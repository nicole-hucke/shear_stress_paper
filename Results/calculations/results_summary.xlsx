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col\Documents\GitHub\shear_stress_paper\Results\calculations\"/>
    </mc:Choice>
  </mc:AlternateContent>
  <xr:revisionPtr revIDLastSave="0" documentId="13_ncr:1_{36C11D63-37F4-4E36-B57E-5FDDB2FA6AC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x results" sheetId="1" r:id="rId1"/>
    <sheet name="storm time series" sheetId="2" r:id="rId2"/>
    <sheet name="spring time ser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919" i="3" l="1"/>
  <c r="AS1919" i="3" s="1"/>
  <c r="AS1915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S850" i="3"/>
  <c r="AS851" i="3"/>
  <c r="AS852" i="3"/>
  <c r="AS853" i="3"/>
  <c r="AS854" i="3"/>
  <c r="AS855" i="3"/>
  <c r="AS856" i="3"/>
  <c r="AS857" i="3"/>
  <c r="AS858" i="3"/>
  <c r="AS859" i="3"/>
  <c r="AS860" i="3"/>
  <c r="AS861" i="3"/>
  <c r="AS862" i="3"/>
  <c r="AS863" i="3"/>
  <c r="AS864" i="3"/>
  <c r="AS865" i="3"/>
  <c r="AS866" i="3"/>
  <c r="AS867" i="3"/>
  <c r="AS868" i="3"/>
  <c r="AS869" i="3"/>
  <c r="AS870" i="3"/>
  <c r="AS871" i="3"/>
  <c r="AS872" i="3"/>
  <c r="AS873" i="3"/>
  <c r="AS874" i="3"/>
  <c r="AS875" i="3"/>
  <c r="AS876" i="3"/>
  <c r="AS877" i="3"/>
  <c r="AS878" i="3"/>
  <c r="AS879" i="3"/>
  <c r="AS880" i="3"/>
  <c r="AS881" i="3"/>
  <c r="AS882" i="3"/>
  <c r="AS883" i="3"/>
  <c r="AS884" i="3"/>
  <c r="AS885" i="3"/>
  <c r="AS886" i="3"/>
  <c r="AS887" i="3"/>
  <c r="AS888" i="3"/>
  <c r="AS889" i="3"/>
  <c r="AS890" i="3"/>
  <c r="AS891" i="3"/>
  <c r="AS892" i="3"/>
  <c r="AS893" i="3"/>
  <c r="AS894" i="3"/>
  <c r="AS895" i="3"/>
  <c r="AS896" i="3"/>
  <c r="AS897" i="3"/>
  <c r="AS898" i="3"/>
  <c r="AS899" i="3"/>
  <c r="AS900" i="3"/>
  <c r="AS901" i="3"/>
  <c r="AS902" i="3"/>
  <c r="AS903" i="3"/>
  <c r="AS904" i="3"/>
  <c r="AS905" i="3"/>
  <c r="AS906" i="3"/>
  <c r="AS907" i="3"/>
  <c r="AS908" i="3"/>
  <c r="AS909" i="3"/>
  <c r="AS910" i="3"/>
  <c r="AS911" i="3"/>
  <c r="AS912" i="3"/>
  <c r="AS913" i="3"/>
  <c r="AS914" i="3"/>
  <c r="AS915" i="3"/>
  <c r="AS916" i="3"/>
  <c r="AS917" i="3"/>
  <c r="AS918" i="3"/>
  <c r="AS919" i="3"/>
  <c r="AS920" i="3"/>
  <c r="AS921" i="3"/>
  <c r="AS922" i="3"/>
  <c r="AS923" i="3"/>
  <c r="AS924" i="3"/>
  <c r="AS925" i="3"/>
  <c r="AS926" i="3"/>
  <c r="AS927" i="3"/>
  <c r="AS928" i="3"/>
  <c r="AS929" i="3"/>
  <c r="AS930" i="3"/>
  <c r="AS931" i="3"/>
  <c r="AS932" i="3"/>
  <c r="AS933" i="3"/>
  <c r="AS934" i="3"/>
  <c r="AS935" i="3"/>
  <c r="AS936" i="3"/>
  <c r="AS937" i="3"/>
  <c r="AS938" i="3"/>
  <c r="AS939" i="3"/>
  <c r="AS940" i="3"/>
  <c r="AS941" i="3"/>
  <c r="AS942" i="3"/>
  <c r="AS943" i="3"/>
  <c r="AS944" i="3"/>
  <c r="AS945" i="3"/>
  <c r="AS946" i="3"/>
  <c r="AS947" i="3"/>
  <c r="AS948" i="3"/>
  <c r="AS949" i="3"/>
  <c r="AS950" i="3"/>
  <c r="AS951" i="3"/>
  <c r="AS952" i="3"/>
  <c r="AS953" i="3"/>
  <c r="AS954" i="3"/>
  <c r="AS955" i="3"/>
  <c r="AS956" i="3"/>
  <c r="AS957" i="3"/>
  <c r="AS958" i="3"/>
  <c r="AS959" i="3"/>
  <c r="AS960" i="3"/>
  <c r="AS961" i="3"/>
  <c r="AS962" i="3"/>
  <c r="AS963" i="3"/>
  <c r="AS964" i="3"/>
  <c r="AS965" i="3"/>
  <c r="AS966" i="3"/>
  <c r="AS967" i="3"/>
  <c r="AS968" i="3"/>
  <c r="AS969" i="3"/>
  <c r="AS970" i="3"/>
  <c r="AS971" i="3"/>
  <c r="AS972" i="3"/>
  <c r="AS973" i="3"/>
  <c r="AS974" i="3"/>
  <c r="AS975" i="3"/>
  <c r="AS976" i="3"/>
  <c r="AS977" i="3"/>
  <c r="AS978" i="3"/>
  <c r="AS979" i="3"/>
  <c r="AS980" i="3"/>
  <c r="AS981" i="3"/>
  <c r="AS982" i="3"/>
  <c r="AS983" i="3"/>
  <c r="AS984" i="3"/>
  <c r="AS985" i="3"/>
  <c r="AS986" i="3"/>
  <c r="AS987" i="3"/>
  <c r="AS988" i="3"/>
  <c r="AS989" i="3"/>
  <c r="AS990" i="3"/>
  <c r="AS991" i="3"/>
  <c r="AS992" i="3"/>
  <c r="AS993" i="3"/>
  <c r="AS994" i="3"/>
  <c r="AS995" i="3"/>
  <c r="AS996" i="3"/>
  <c r="AS997" i="3"/>
  <c r="AS998" i="3"/>
  <c r="AS999" i="3"/>
  <c r="AS1000" i="3"/>
  <c r="AS1001" i="3"/>
  <c r="AS1002" i="3"/>
  <c r="AS1003" i="3"/>
  <c r="AS1004" i="3"/>
  <c r="AS1005" i="3"/>
  <c r="AS1006" i="3"/>
  <c r="AS1007" i="3"/>
  <c r="AS1008" i="3"/>
  <c r="AS1009" i="3"/>
  <c r="AS1010" i="3"/>
  <c r="AS1011" i="3"/>
  <c r="AS1012" i="3"/>
  <c r="AS1013" i="3"/>
  <c r="AS1014" i="3"/>
  <c r="AS1015" i="3"/>
  <c r="AS1016" i="3"/>
  <c r="AS1017" i="3"/>
  <c r="AS1018" i="3"/>
  <c r="AS1019" i="3"/>
  <c r="AS1020" i="3"/>
  <c r="AS1021" i="3"/>
  <c r="AS1022" i="3"/>
  <c r="AS1023" i="3"/>
  <c r="AS1024" i="3"/>
  <c r="AS1025" i="3"/>
  <c r="AS1026" i="3"/>
  <c r="AS1027" i="3"/>
  <c r="AS1028" i="3"/>
  <c r="AS1029" i="3"/>
  <c r="AS1030" i="3"/>
  <c r="AS1031" i="3"/>
  <c r="AS1032" i="3"/>
  <c r="AS1033" i="3"/>
  <c r="AS1034" i="3"/>
  <c r="AS1035" i="3"/>
  <c r="AS1036" i="3"/>
  <c r="AS1037" i="3"/>
  <c r="AS1038" i="3"/>
  <c r="AS1039" i="3"/>
  <c r="AS1040" i="3"/>
  <c r="AS1041" i="3"/>
  <c r="AS1042" i="3"/>
  <c r="AS1043" i="3"/>
  <c r="AS1044" i="3"/>
  <c r="AS1045" i="3"/>
  <c r="AS1046" i="3"/>
  <c r="AS1047" i="3"/>
  <c r="AS1048" i="3"/>
  <c r="AS1049" i="3"/>
  <c r="AS1050" i="3"/>
  <c r="AS1051" i="3"/>
  <c r="AS1052" i="3"/>
  <c r="AS1053" i="3"/>
  <c r="AS1054" i="3"/>
  <c r="AS1055" i="3"/>
  <c r="AS1056" i="3"/>
  <c r="AS1057" i="3"/>
  <c r="AS1058" i="3"/>
  <c r="AS1059" i="3"/>
  <c r="AS1060" i="3"/>
  <c r="AS1061" i="3"/>
  <c r="AS1062" i="3"/>
  <c r="AS1063" i="3"/>
  <c r="AS1064" i="3"/>
  <c r="AS1065" i="3"/>
  <c r="AS1066" i="3"/>
  <c r="AS1067" i="3"/>
  <c r="AS1068" i="3"/>
  <c r="AS1069" i="3"/>
  <c r="AS1070" i="3"/>
  <c r="AS1071" i="3"/>
  <c r="AS1072" i="3"/>
  <c r="AS1073" i="3"/>
  <c r="AS1074" i="3"/>
  <c r="AS1075" i="3"/>
  <c r="AS1076" i="3"/>
  <c r="AS1077" i="3"/>
  <c r="AS1078" i="3"/>
  <c r="AS1079" i="3"/>
  <c r="AS1080" i="3"/>
  <c r="AS1081" i="3"/>
  <c r="AS1082" i="3"/>
  <c r="AS1083" i="3"/>
  <c r="AS1084" i="3"/>
  <c r="AS1085" i="3"/>
  <c r="AS1086" i="3"/>
  <c r="AS1087" i="3"/>
  <c r="AS1088" i="3"/>
  <c r="AS1089" i="3"/>
  <c r="AS1090" i="3"/>
  <c r="AS1091" i="3"/>
  <c r="AS1092" i="3"/>
  <c r="AS1093" i="3"/>
  <c r="AS1094" i="3"/>
  <c r="AS1095" i="3"/>
  <c r="AS1096" i="3"/>
  <c r="AS1097" i="3"/>
  <c r="AS1098" i="3"/>
  <c r="AS1099" i="3"/>
  <c r="AS1100" i="3"/>
  <c r="AS1101" i="3"/>
  <c r="AS1102" i="3"/>
  <c r="AS1103" i="3"/>
  <c r="AS1104" i="3"/>
  <c r="AS1105" i="3"/>
  <c r="AS1106" i="3"/>
  <c r="AS1107" i="3"/>
  <c r="AS1108" i="3"/>
  <c r="AS1109" i="3"/>
  <c r="AS1110" i="3"/>
  <c r="AS1111" i="3"/>
  <c r="AS1112" i="3"/>
  <c r="AS1113" i="3"/>
  <c r="AS1114" i="3"/>
  <c r="AS1115" i="3"/>
  <c r="AS1116" i="3"/>
  <c r="AS1117" i="3"/>
  <c r="AS1118" i="3"/>
  <c r="AS1119" i="3"/>
  <c r="AS1120" i="3"/>
  <c r="AS1121" i="3"/>
  <c r="AS1122" i="3"/>
  <c r="AS1123" i="3"/>
  <c r="AS1124" i="3"/>
  <c r="AS1125" i="3"/>
  <c r="AS1126" i="3"/>
  <c r="AS1127" i="3"/>
  <c r="AS1128" i="3"/>
  <c r="AS1129" i="3"/>
  <c r="AS1130" i="3"/>
  <c r="AS1131" i="3"/>
  <c r="AS1132" i="3"/>
  <c r="AS1133" i="3"/>
  <c r="AS1134" i="3"/>
  <c r="AS1135" i="3"/>
  <c r="AS1136" i="3"/>
  <c r="AS1137" i="3"/>
  <c r="AS1138" i="3"/>
  <c r="AS1139" i="3"/>
  <c r="AS1140" i="3"/>
  <c r="AS1141" i="3"/>
  <c r="AS1142" i="3"/>
  <c r="AS1143" i="3"/>
  <c r="AS1144" i="3"/>
  <c r="AS1145" i="3"/>
  <c r="AS1146" i="3"/>
  <c r="AS1147" i="3"/>
  <c r="AS1148" i="3"/>
  <c r="AS1149" i="3"/>
  <c r="AS1150" i="3"/>
  <c r="AS1151" i="3"/>
  <c r="AS1152" i="3"/>
  <c r="AS1153" i="3"/>
  <c r="AS1154" i="3"/>
  <c r="AS1155" i="3"/>
  <c r="AS1156" i="3"/>
  <c r="AS1157" i="3"/>
  <c r="AS1158" i="3"/>
  <c r="AS1159" i="3"/>
  <c r="AS1160" i="3"/>
  <c r="AS1161" i="3"/>
  <c r="AS1162" i="3"/>
  <c r="AS1163" i="3"/>
  <c r="AS1164" i="3"/>
  <c r="AS1165" i="3"/>
  <c r="AS1166" i="3"/>
  <c r="AS1167" i="3"/>
  <c r="AS1168" i="3"/>
  <c r="AS1169" i="3"/>
  <c r="AS1170" i="3"/>
  <c r="AS1171" i="3"/>
  <c r="AS1172" i="3"/>
  <c r="AS1173" i="3"/>
  <c r="AS1174" i="3"/>
  <c r="AS1175" i="3"/>
  <c r="AS1176" i="3"/>
  <c r="AS1177" i="3"/>
  <c r="AS1178" i="3"/>
  <c r="AS1179" i="3"/>
  <c r="AS1180" i="3"/>
  <c r="AS1181" i="3"/>
  <c r="AS1182" i="3"/>
  <c r="AS1183" i="3"/>
  <c r="AS1184" i="3"/>
  <c r="AS1185" i="3"/>
  <c r="AS1186" i="3"/>
  <c r="AS1187" i="3"/>
  <c r="AS1188" i="3"/>
  <c r="AS1189" i="3"/>
  <c r="AS1190" i="3"/>
  <c r="AS1191" i="3"/>
  <c r="AS1192" i="3"/>
  <c r="AS1193" i="3"/>
  <c r="AS1194" i="3"/>
  <c r="AS1195" i="3"/>
  <c r="AS1196" i="3"/>
  <c r="AS1197" i="3"/>
  <c r="AS1198" i="3"/>
  <c r="AS1199" i="3"/>
  <c r="AS1200" i="3"/>
  <c r="AS1201" i="3"/>
  <c r="AS1202" i="3"/>
  <c r="AS1203" i="3"/>
  <c r="AS1204" i="3"/>
  <c r="AS1205" i="3"/>
  <c r="AS1206" i="3"/>
  <c r="AS1207" i="3"/>
  <c r="AS1208" i="3"/>
  <c r="AS1209" i="3"/>
  <c r="AS1210" i="3"/>
  <c r="AS1211" i="3"/>
  <c r="AS1212" i="3"/>
  <c r="AS1213" i="3"/>
  <c r="AS1214" i="3"/>
  <c r="AS1215" i="3"/>
  <c r="AS1216" i="3"/>
  <c r="AS1217" i="3"/>
  <c r="AS1218" i="3"/>
  <c r="AS1219" i="3"/>
  <c r="AS1220" i="3"/>
  <c r="AS1221" i="3"/>
  <c r="AS1222" i="3"/>
  <c r="AS1223" i="3"/>
  <c r="AS1224" i="3"/>
  <c r="AS1225" i="3"/>
  <c r="AS1226" i="3"/>
  <c r="AS1227" i="3"/>
  <c r="AS1228" i="3"/>
  <c r="AS1229" i="3"/>
  <c r="AS1230" i="3"/>
  <c r="AS1231" i="3"/>
  <c r="AS1232" i="3"/>
  <c r="AS1233" i="3"/>
  <c r="AS1234" i="3"/>
  <c r="AS1235" i="3"/>
  <c r="AS1236" i="3"/>
  <c r="AS1237" i="3"/>
  <c r="AS1238" i="3"/>
  <c r="AS1239" i="3"/>
  <c r="AS1240" i="3"/>
  <c r="AS1241" i="3"/>
  <c r="AS1242" i="3"/>
  <c r="AS1243" i="3"/>
  <c r="AS1244" i="3"/>
  <c r="AS1245" i="3"/>
  <c r="AS1246" i="3"/>
  <c r="AS1247" i="3"/>
  <c r="AS1248" i="3"/>
  <c r="AS1249" i="3"/>
  <c r="AS1250" i="3"/>
  <c r="AS1251" i="3"/>
  <c r="AS1252" i="3"/>
  <c r="AS1253" i="3"/>
  <c r="AS1254" i="3"/>
  <c r="AS1255" i="3"/>
  <c r="AS1256" i="3"/>
  <c r="AS1257" i="3"/>
  <c r="AS1258" i="3"/>
  <c r="AS1259" i="3"/>
  <c r="AS1260" i="3"/>
  <c r="AS1261" i="3"/>
  <c r="AS1262" i="3"/>
  <c r="AS1263" i="3"/>
  <c r="AS1264" i="3"/>
  <c r="AS1265" i="3"/>
  <c r="AS1266" i="3"/>
  <c r="AS1267" i="3"/>
  <c r="AS1268" i="3"/>
  <c r="AS1269" i="3"/>
  <c r="AS1270" i="3"/>
  <c r="AS1271" i="3"/>
  <c r="AS1272" i="3"/>
  <c r="AS1273" i="3"/>
  <c r="AS1274" i="3"/>
  <c r="AS1275" i="3"/>
  <c r="AS1276" i="3"/>
  <c r="AS1277" i="3"/>
  <c r="AS1278" i="3"/>
  <c r="AS1279" i="3"/>
  <c r="AS1280" i="3"/>
  <c r="AS1281" i="3"/>
  <c r="AS1282" i="3"/>
  <c r="AS1283" i="3"/>
  <c r="AS1284" i="3"/>
  <c r="AS1285" i="3"/>
  <c r="AS1286" i="3"/>
  <c r="AS1287" i="3"/>
  <c r="AS1288" i="3"/>
  <c r="AS1289" i="3"/>
  <c r="AS1290" i="3"/>
  <c r="AS1291" i="3"/>
  <c r="AS1292" i="3"/>
  <c r="AS1293" i="3"/>
  <c r="AS1294" i="3"/>
  <c r="AS1295" i="3"/>
  <c r="AS1296" i="3"/>
  <c r="AS1297" i="3"/>
  <c r="AS1298" i="3"/>
  <c r="AS1299" i="3"/>
  <c r="AS1300" i="3"/>
  <c r="AS1301" i="3"/>
  <c r="AS1302" i="3"/>
  <c r="AS1303" i="3"/>
  <c r="AS1304" i="3"/>
  <c r="AS1305" i="3"/>
  <c r="AS1306" i="3"/>
  <c r="AS1307" i="3"/>
  <c r="AS1308" i="3"/>
  <c r="AS1309" i="3"/>
  <c r="AS1310" i="3"/>
  <c r="AS1311" i="3"/>
  <c r="AS1312" i="3"/>
  <c r="AS1313" i="3"/>
  <c r="AS1314" i="3"/>
  <c r="AS1315" i="3"/>
  <c r="AS1316" i="3"/>
  <c r="AS1317" i="3"/>
  <c r="AS1318" i="3"/>
  <c r="AS1319" i="3"/>
  <c r="AS1320" i="3"/>
  <c r="AS1321" i="3"/>
  <c r="AS1322" i="3"/>
  <c r="AS1323" i="3"/>
  <c r="AS1324" i="3"/>
  <c r="AS1325" i="3"/>
  <c r="AS1326" i="3"/>
  <c r="AS1327" i="3"/>
  <c r="AS1328" i="3"/>
  <c r="AS1329" i="3"/>
  <c r="AS1330" i="3"/>
  <c r="AS1331" i="3"/>
  <c r="AS1332" i="3"/>
  <c r="AS1333" i="3"/>
  <c r="AS1334" i="3"/>
  <c r="AS1335" i="3"/>
  <c r="AS1336" i="3"/>
  <c r="AS1337" i="3"/>
  <c r="AS1338" i="3"/>
  <c r="AS1339" i="3"/>
  <c r="AS1340" i="3"/>
  <c r="AS1341" i="3"/>
  <c r="AS1342" i="3"/>
  <c r="AS1343" i="3"/>
  <c r="AS1344" i="3"/>
  <c r="AS1345" i="3"/>
  <c r="AS1346" i="3"/>
  <c r="AS1347" i="3"/>
  <c r="AS1348" i="3"/>
  <c r="AS1349" i="3"/>
  <c r="AS1350" i="3"/>
  <c r="AS1351" i="3"/>
  <c r="AS1352" i="3"/>
  <c r="AS1353" i="3"/>
  <c r="AS1354" i="3"/>
  <c r="AS1355" i="3"/>
  <c r="AS1356" i="3"/>
  <c r="AS1357" i="3"/>
  <c r="AS1358" i="3"/>
  <c r="AS1359" i="3"/>
  <c r="AS1360" i="3"/>
  <c r="AS1361" i="3"/>
  <c r="AS1362" i="3"/>
  <c r="AS1363" i="3"/>
  <c r="AS1364" i="3"/>
  <c r="AS1365" i="3"/>
  <c r="AS1366" i="3"/>
  <c r="AS1367" i="3"/>
  <c r="AS1368" i="3"/>
  <c r="AS1369" i="3"/>
  <c r="AS1370" i="3"/>
  <c r="AS1371" i="3"/>
  <c r="AS1372" i="3"/>
  <c r="AS1373" i="3"/>
  <c r="AS1374" i="3"/>
  <c r="AS1375" i="3"/>
  <c r="AS1376" i="3"/>
  <c r="AS1377" i="3"/>
  <c r="AS1378" i="3"/>
  <c r="AS1379" i="3"/>
  <c r="AS1380" i="3"/>
  <c r="AS1381" i="3"/>
  <c r="AS1382" i="3"/>
  <c r="AS1383" i="3"/>
  <c r="AS1384" i="3"/>
  <c r="AS1385" i="3"/>
  <c r="AS1386" i="3"/>
  <c r="AS1387" i="3"/>
  <c r="AS1388" i="3"/>
  <c r="AS1389" i="3"/>
  <c r="AS1390" i="3"/>
  <c r="AS1391" i="3"/>
  <c r="AS1392" i="3"/>
  <c r="AS1393" i="3"/>
  <c r="AS1394" i="3"/>
  <c r="AS1395" i="3"/>
  <c r="AS1396" i="3"/>
  <c r="AS1397" i="3"/>
  <c r="AS1398" i="3"/>
  <c r="AS1399" i="3"/>
  <c r="AS1400" i="3"/>
  <c r="AS1401" i="3"/>
  <c r="AS1402" i="3"/>
  <c r="AS1403" i="3"/>
  <c r="AS1404" i="3"/>
  <c r="AS1405" i="3"/>
  <c r="AS1406" i="3"/>
  <c r="AS1407" i="3"/>
  <c r="AS1408" i="3"/>
  <c r="AS1409" i="3"/>
  <c r="AS1410" i="3"/>
  <c r="AS1411" i="3"/>
  <c r="AS1412" i="3"/>
  <c r="AS1413" i="3"/>
  <c r="AS1414" i="3"/>
  <c r="AS1415" i="3"/>
  <c r="AS1416" i="3"/>
  <c r="AS1417" i="3"/>
  <c r="AS1418" i="3"/>
  <c r="AS1419" i="3"/>
  <c r="AS1420" i="3"/>
  <c r="AS1421" i="3"/>
  <c r="AS1422" i="3"/>
  <c r="AS1423" i="3"/>
  <c r="AS1424" i="3"/>
  <c r="AS1425" i="3"/>
  <c r="AS1426" i="3"/>
  <c r="AS1427" i="3"/>
  <c r="AS1428" i="3"/>
  <c r="AS1429" i="3"/>
  <c r="AS1430" i="3"/>
  <c r="AS1431" i="3"/>
  <c r="AS1432" i="3"/>
  <c r="AS1433" i="3"/>
  <c r="AS1434" i="3"/>
  <c r="AS1435" i="3"/>
  <c r="AS1436" i="3"/>
  <c r="AS1437" i="3"/>
  <c r="AS1438" i="3"/>
  <c r="AS1439" i="3"/>
  <c r="AS1440" i="3"/>
  <c r="AS1441" i="3"/>
  <c r="AS1442" i="3"/>
  <c r="AS1443" i="3"/>
  <c r="AS1444" i="3"/>
  <c r="AS1445" i="3"/>
  <c r="AS1446" i="3"/>
  <c r="AS1447" i="3"/>
  <c r="AS1448" i="3"/>
  <c r="AS1449" i="3"/>
  <c r="AS1450" i="3"/>
  <c r="AS1451" i="3"/>
  <c r="AS1452" i="3"/>
  <c r="AS1453" i="3"/>
  <c r="AS1454" i="3"/>
  <c r="AS1455" i="3"/>
  <c r="AS1456" i="3"/>
  <c r="AS1457" i="3"/>
  <c r="AS1458" i="3"/>
  <c r="AS1459" i="3"/>
  <c r="AS1460" i="3"/>
  <c r="AS1461" i="3"/>
  <c r="AS1462" i="3"/>
  <c r="AS1463" i="3"/>
  <c r="AS1464" i="3"/>
  <c r="AS1465" i="3"/>
  <c r="AS1466" i="3"/>
  <c r="AS1467" i="3"/>
  <c r="AS1468" i="3"/>
  <c r="AS1469" i="3"/>
  <c r="AS1470" i="3"/>
  <c r="AS1471" i="3"/>
  <c r="AS1472" i="3"/>
  <c r="AS1473" i="3"/>
  <c r="AS1474" i="3"/>
  <c r="AS1475" i="3"/>
  <c r="AS1476" i="3"/>
  <c r="AS1477" i="3"/>
  <c r="AS1478" i="3"/>
  <c r="AS1479" i="3"/>
  <c r="AS1480" i="3"/>
  <c r="AS1481" i="3"/>
  <c r="AS1482" i="3"/>
  <c r="AS1483" i="3"/>
  <c r="AS1484" i="3"/>
  <c r="AS1485" i="3"/>
  <c r="AS1486" i="3"/>
  <c r="AS1487" i="3"/>
  <c r="AS1488" i="3"/>
  <c r="AS1489" i="3"/>
  <c r="AS1490" i="3"/>
  <c r="AS1491" i="3"/>
  <c r="AS1492" i="3"/>
  <c r="AS1493" i="3"/>
  <c r="AS1494" i="3"/>
  <c r="AS1495" i="3"/>
  <c r="AS1496" i="3"/>
  <c r="AS1497" i="3"/>
  <c r="AS1498" i="3"/>
  <c r="AS1499" i="3"/>
  <c r="AS1500" i="3"/>
  <c r="AS1501" i="3"/>
  <c r="AS1502" i="3"/>
  <c r="AS1503" i="3"/>
  <c r="AS1504" i="3"/>
  <c r="AS1505" i="3"/>
  <c r="AS1506" i="3"/>
  <c r="AS1507" i="3"/>
  <c r="AS1508" i="3"/>
  <c r="AS1509" i="3"/>
  <c r="AS1510" i="3"/>
  <c r="AS1511" i="3"/>
  <c r="AS1512" i="3"/>
  <c r="AS1513" i="3"/>
  <c r="AS1514" i="3"/>
  <c r="AS1515" i="3"/>
  <c r="AS1516" i="3"/>
  <c r="AS1517" i="3"/>
  <c r="AS1518" i="3"/>
  <c r="AS1519" i="3"/>
  <c r="AS1520" i="3"/>
  <c r="AS1521" i="3"/>
  <c r="AS1522" i="3"/>
  <c r="AS1523" i="3"/>
  <c r="AS1524" i="3"/>
  <c r="AS1525" i="3"/>
  <c r="AS1526" i="3"/>
  <c r="AS1527" i="3"/>
  <c r="AS1528" i="3"/>
  <c r="AS1529" i="3"/>
  <c r="AS1530" i="3"/>
  <c r="AS1531" i="3"/>
  <c r="AS1532" i="3"/>
  <c r="AS1533" i="3"/>
  <c r="AS1534" i="3"/>
  <c r="AS1535" i="3"/>
  <c r="AS1536" i="3"/>
  <c r="AS1537" i="3"/>
  <c r="AS1538" i="3"/>
  <c r="AS1539" i="3"/>
  <c r="AS1540" i="3"/>
  <c r="AS1541" i="3"/>
  <c r="AS1542" i="3"/>
  <c r="AS1543" i="3"/>
  <c r="AS1544" i="3"/>
  <c r="AS1545" i="3"/>
  <c r="AS1546" i="3"/>
  <c r="AS1547" i="3"/>
  <c r="AS1548" i="3"/>
  <c r="AS1549" i="3"/>
  <c r="AS1550" i="3"/>
  <c r="AS1551" i="3"/>
  <c r="AS1552" i="3"/>
  <c r="AS1553" i="3"/>
  <c r="AS1554" i="3"/>
  <c r="AS1555" i="3"/>
  <c r="AS1556" i="3"/>
  <c r="AS1557" i="3"/>
  <c r="AS1558" i="3"/>
  <c r="AS1559" i="3"/>
  <c r="AS1560" i="3"/>
  <c r="AS1561" i="3"/>
  <c r="AS1562" i="3"/>
  <c r="AS1563" i="3"/>
  <c r="AS1564" i="3"/>
  <c r="AS1565" i="3"/>
  <c r="AS1566" i="3"/>
  <c r="AS1567" i="3"/>
  <c r="AS1568" i="3"/>
  <c r="AS1569" i="3"/>
  <c r="AS1570" i="3"/>
  <c r="AS1571" i="3"/>
  <c r="AS1572" i="3"/>
  <c r="AS1573" i="3"/>
  <c r="AS1574" i="3"/>
  <c r="AS1575" i="3"/>
  <c r="AS1576" i="3"/>
  <c r="AS1577" i="3"/>
  <c r="AS1578" i="3"/>
  <c r="AS1579" i="3"/>
  <c r="AS1580" i="3"/>
  <c r="AS1581" i="3"/>
  <c r="AS1582" i="3"/>
  <c r="AS1583" i="3"/>
  <c r="AS1584" i="3"/>
  <c r="AS1585" i="3"/>
  <c r="AS1586" i="3"/>
  <c r="AS1587" i="3"/>
  <c r="AS1588" i="3"/>
  <c r="AS1589" i="3"/>
  <c r="AS1590" i="3"/>
  <c r="AS1591" i="3"/>
  <c r="AS1592" i="3"/>
  <c r="AS1593" i="3"/>
  <c r="AS1594" i="3"/>
  <c r="AS1595" i="3"/>
  <c r="AS1596" i="3"/>
  <c r="AS1597" i="3"/>
  <c r="AS1598" i="3"/>
  <c r="AS1599" i="3"/>
  <c r="AS1600" i="3"/>
  <c r="AS1601" i="3"/>
  <c r="AS1602" i="3"/>
  <c r="AS1603" i="3"/>
  <c r="AS1604" i="3"/>
  <c r="AS1605" i="3"/>
  <c r="AS1606" i="3"/>
  <c r="AS1607" i="3"/>
  <c r="AS1608" i="3"/>
  <c r="AS1609" i="3"/>
  <c r="AS1610" i="3"/>
  <c r="AS1611" i="3"/>
  <c r="AS1612" i="3"/>
  <c r="AS1613" i="3"/>
  <c r="AS1614" i="3"/>
  <c r="AS1615" i="3"/>
  <c r="AS1616" i="3"/>
  <c r="AS1617" i="3"/>
  <c r="AS1618" i="3"/>
  <c r="AS1619" i="3"/>
  <c r="AS1620" i="3"/>
  <c r="AS1621" i="3"/>
  <c r="AS1622" i="3"/>
  <c r="AS1623" i="3"/>
  <c r="AS1624" i="3"/>
  <c r="AS1625" i="3"/>
  <c r="AS1626" i="3"/>
  <c r="AS1627" i="3"/>
  <c r="AS1628" i="3"/>
  <c r="AS1629" i="3"/>
  <c r="AS1630" i="3"/>
  <c r="AS1631" i="3"/>
  <c r="AS1632" i="3"/>
  <c r="AS1633" i="3"/>
  <c r="AS1634" i="3"/>
  <c r="AS1635" i="3"/>
  <c r="AS1636" i="3"/>
  <c r="AS1637" i="3"/>
  <c r="AS1638" i="3"/>
  <c r="AS1639" i="3"/>
  <c r="AS1640" i="3"/>
  <c r="AS1641" i="3"/>
  <c r="AS1642" i="3"/>
  <c r="AS1643" i="3"/>
  <c r="AS1644" i="3"/>
  <c r="AS1645" i="3"/>
  <c r="AS1646" i="3"/>
  <c r="AS1647" i="3"/>
  <c r="AS1648" i="3"/>
  <c r="AS1649" i="3"/>
  <c r="AS1650" i="3"/>
  <c r="AS1651" i="3"/>
  <c r="AS1652" i="3"/>
  <c r="AS1653" i="3"/>
  <c r="AS1654" i="3"/>
  <c r="AS1655" i="3"/>
  <c r="AS1656" i="3"/>
  <c r="AS1657" i="3"/>
  <c r="AS1658" i="3"/>
  <c r="AS1659" i="3"/>
  <c r="AS1660" i="3"/>
  <c r="AS1661" i="3"/>
  <c r="AS1662" i="3"/>
  <c r="AS1663" i="3"/>
  <c r="AS1664" i="3"/>
  <c r="AS1665" i="3"/>
  <c r="AS1666" i="3"/>
  <c r="AS1667" i="3"/>
  <c r="AS1668" i="3"/>
  <c r="AS1669" i="3"/>
  <c r="AS1670" i="3"/>
  <c r="AS1671" i="3"/>
  <c r="AS1672" i="3"/>
  <c r="AS1673" i="3"/>
  <c r="AS1674" i="3"/>
  <c r="AS1675" i="3"/>
  <c r="AS1676" i="3"/>
  <c r="AS1677" i="3"/>
  <c r="AS1678" i="3"/>
  <c r="AS1679" i="3"/>
  <c r="AS1680" i="3"/>
  <c r="AS1681" i="3"/>
  <c r="AS1682" i="3"/>
  <c r="AS1683" i="3"/>
  <c r="AS1684" i="3"/>
  <c r="AS1685" i="3"/>
  <c r="AS1686" i="3"/>
  <c r="AS1687" i="3"/>
  <c r="AS1688" i="3"/>
  <c r="AS1689" i="3"/>
  <c r="AS1690" i="3"/>
  <c r="AS1691" i="3"/>
  <c r="AS1692" i="3"/>
  <c r="AS1693" i="3"/>
  <c r="AS1694" i="3"/>
  <c r="AS1695" i="3"/>
  <c r="AS1696" i="3"/>
  <c r="AS1697" i="3"/>
  <c r="AS1698" i="3"/>
  <c r="AS1699" i="3"/>
  <c r="AS1700" i="3"/>
  <c r="AS1701" i="3"/>
  <c r="AS1702" i="3"/>
  <c r="AS1703" i="3"/>
  <c r="AS1704" i="3"/>
  <c r="AS1705" i="3"/>
  <c r="AS1706" i="3"/>
  <c r="AS1707" i="3"/>
  <c r="AS1708" i="3"/>
  <c r="AS1709" i="3"/>
  <c r="AS1710" i="3"/>
  <c r="AS1711" i="3"/>
  <c r="AS1712" i="3"/>
  <c r="AS1713" i="3"/>
  <c r="AS1714" i="3"/>
  <c r="AS1715" i="3"/>
  <c r="AS1716" i="3"/>
  <c r="AS1717" i="3"/>
  <c r="AS1718" i="3"/>
  <c r="AS1719" i="3"/>
  <c r="AS1720" i="3"/>
  <c r="AS1721" i="3"/>
  <c r="AS1722" i="3"/>
  <c r="AS1723" i="3"/>
  <c r="AS1724" i="3"/>
  <c r="AS1725" i="3"/>
  <c r="AS1726" i="3"/>
  <c r="AS1727" i="3"/>
  <c r="AS1728" i="3"/>
  <c r="AS1729" i="3"/>
  <c r="AS1730" i="3"/>
  <c r="AS1731" i="3"/>
  <c r="AS1732" i="3"/>
  <c r="AS1733" i="3"/>
  <c r="AS1734" i="3"/>
  <c r="AS1735" i="3"/>
  <c r="AS1736" i="3"/>
  <c r="AS1737" i="3"/>
  <c r="AS1738" i="3"/>
  <c r="AS1739" i="3"/>
  <c r="AS1740" i="3"/>
  <c r="AS1741" i="3"/>
  <c r="AS1742" i="3"/>
  <c r="AS1743" i="3"/>
  <c r="AS1744" i="3"/>
  <c r="AS1745" i="3"/>
  <c r="AS1746" i="3"/>
  <c r="AS1747" i="3"/>
  <c r="AS1748" i="3"/>
  <c r="AS1749" i="3"/>
  <c r="AS1750" i="3"/>
  <c r="AS1751" i="3"/>
  <c r="AS1752" i="3"/>
  <c r="AS1753" i="3"/>
  <c r="AS1754" i="3"/>
  <c r="AS1755" i="3"/>
  <c r="AS1756" i="3"/>
  <c r="AS1757" i="3"/>
  <c r="AS1758" i="3"/>
  <c r="AS1759" i="3"/>
  <c r="AS1760" i="3"/>
  <c r="AS1761" i="3"/>
  <c r="AS1762" i="3"/>
  <c r="AS1763" i="3"/>
  <c r="AS1764" i="3"/>
  <c r="AS1765" i="3"/>
  <c r="AS1766" i="3"/>
  <c r="AS1767" i="3"/>
  <c r="AS1768" i="3"/>
  <c r="AS1769" i="3"/>
  <c r="AS1770" i="3"/>
  <c r="AS1771" i="3"/>
  <c r="AS1772" i="3"/>
  <c r="AS1773" i="3"/>
  <c r="AS1774" i="3"/>
  <c r="AS1775" i="3"/>
  <c r="AS1776" i="3"/>
  <c r="AS1777" i="3"/>
  <c r="AS1778" i="3"/>
  <c r="AS1779" i="3"/>
  <c r="AS1780" i="3"/>
  <c r="AS1781" i="3"/>
  <c r="AS1782" i="3"/>
  <c r="AS1783" i="3"/>
  <c r="AS1784" i="3"/>
  <c r="AS1785" i="3"/>
  <c r="AS1786" i="3"/>
  <c r="AS1787" i="3"/>
  <c r="AS1788" i="3"/>
  <c r="AS1789" i="3"/>
  <c r="AS1790" i="3"/>
  <c r="AS1791" i="3"/>
  <c r="AS1792" i="3"/>
  <c r="AS1793" i="3"/>
  <c r="AS1794" i="3"/>
  <c r="AS1795" i="3"/>
  <c r="AS1796" i="3"/>
  <c r="AS1797" i="3"/>
  <c r="AS1798" i="3"/>
  <c r="AS1799" i="3"/>
  <c r="AS1800" i="3"/>
  <c r="AS1801" i="3"/>
  <c r="AS1802" i="3"/>
  <c r="AS1803" i="3"/>
  <c r="AS1804" i="3"/>
  <c r="AS1805" i="3"/>
  <c r="AS1806" i="3"/>
  <c r="AS1807" i="3"/>
  <c r="AS1808" i="3"/>
  <c r="AS1809" i="3"/>
  <c r="AS1810" i="3"/>
  <c r="AS1811" i="3"/>
  <c r="AS1812" i="3"/>
  <c r="AS1813" i="3"/>
  <c r="AS1814" i="3"/>
  <c r="AS1815" i="3"/>
  <c r="AS1816" i="3"/>
  <c r="AS1817" i="3"/>
  <c r="AS1818" i="3"/>
  <c r="AS1819" i="3"/>
  <c r="AS1820" i="3"/>
  <c r="AS1821" i="3"/>
  <c r="AS1822" i="3"/>
  <c r="AS1823" i="3"/>
  <c r="AS1824" i="3"/>
  <c r="AS1825" i="3"/>
  <c r="AS1826" i="3"/>
  <c r="AS1827" i="3"/>
  <c r="AS1828" i="3"/>
  <c r="AS1829" i="3"/>
  <c r="AS1830" i="3"/>
  <c r="AS1831" i="3"/>
  <c r="AS1832" i="3"/>
  <c r="AS1833" i="3"/>
  <c r="AS1834" i="3"/>
  <c r="AS1835" i="3"/>
  <c r="AS1836" i="3"/>
  <c r="AS1837" i="3"/>
  <c r="AS1838" i="3"/>
  <c r="AS1839" i="3"/>
  <c r="AS1840" i="3"/>
  <c r="AS1841" i="3"/>
  <c r="AS1842" i="3"/>
  <c r="AS1843" i="3"/>
  <c r="AS1844" i="3"/>
  <c r="AS1845" i="3"/>
  <c r="AS1846" i="3"/>
  <c r="AS1847" i="3"/>
  <c r="AS1848" i="3"/>
  <c r="AS1849" i="3"/>
  <c r="AS1850" i="3"/>
  <c r="AS1851" i="3"/>
  <c r="AS1852" i="3"/>
  <c r="AS1853" i="3"/>
  <c r="AS1854" i="3"/>
  <c r="AS1855" i="3"/>
  <c r="AS1856" i="3"/>
  <c r="AS1857" i="3"/>
  <c r="AS1858" i="3"/>
  <c r="AS1859" i="3"/>
  <c r="AS1860" i="3"/>
  <c r="AS1861" i="3"/>
  <c r="AS1862" i="3"/>
  <c r="AS1863" i="3"/>
  <c r="AS1864" i="3"/>
  <c r="AS1865" i="3"/>
  <c r="AS1866" i="3"/>
  <c r="AS1867" i="3"/>
  <c r="AS1868" i="3"/>
  <c r="AS1869" i="3"/>
  <c r="AS1870" i="3"/>
  <c r="AS1871" i="3"/>
  <c r="AS1872" i="3"/>
  <c r="AS1873" i="3"/>
  <c r="AS1874" i="3"/>
  <c r="AS1875" i="3"/>
  <c r="AS1876" i="3"/>
  <c r="AS1877" i="3"/>
  <c r="AS1878" i="3"/>
  <c r="AS1879" i="3"/>
  <c r="AS1880" i="3"/>
  <c r="AS1881" i="3"/>
  <c r="AS1882" i="3"/>
  <c r="AS1883" i="3"/>
  <c r="AS1884" i="3"/>
  <c r="AS1885" i="3"/>
  <c r="AS1886" i="3"/>
  <c r="AS1887" i="3"/>
  <c r="AS1888" i="3"/>
  <c r="AS1889" i="3"/>
  <c r="AS1890" i="3"/>
  <c r="AS1891" i="3"/>
  <c r="AS1892" i="3"/>
  <c r="AS1893" i="3"/>
  <c r="AS1894" i="3"/>
  <c r="AS1895" i="3"/>
  <c r="AS1896" i="3"/>
  <c r="AS1897" i="3"/>
  <c r="AS1898" i="3"/>
  <c r="AS1899" i="3"/>
  <c r="AS1900" i="3"/>
  <c r="AS1901" i="3"/>
  <c r="AS1902" i="3"/>
  <c r="AS1903" i="3"/>
  <c r="AS1904" i="3"/>
  <c r="AS1905" i="3"/>
  <c r="AS1906" i="3"/>
  <c r="AS1907" i="3"/>
  <c r="AS1908" i="3"/>
  <c r="AS1909" i="3"/>
  <c r="AS1910" i="3"/>
  <c r="AS1911" i="3"/>
  <c r="AS1912" i="3"/>
  <c r="AS1913" i="3"/>
  <c r="AS1914" i="3"/>
  <c r="AS1916" i="3"/>
  <c r="AS1917" i="3"/>
  <c r="AS1918" i="3"/>
  <c r="AS1920" i="3"/>
  <c r="AS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770" i="3"/>
  <c r="AR771" i="3"/>
  <c r="AR772" i="3"/>
  <c r="AR773" i="3"/>
  <c r="AR774" i="3"/>
  <c r="AR775" i="3"/>
  <c r="AR776" i="3"/>
  <c r="AR777" i="3"/>
  <c r="AR778" i="3"/>
  <c r="AR779" i="3"/>
  <c r="AR780" i="3"/>
  <c r="AR781" i="3"/>
  <c r="AR782" i="3"/>
  <c r="AR783" i="3"/>
  <c r="AR784" i="3"/>
  <c r="AR785" i="3"/>
  <c r="AR786" i="3"/>
  <c r="AR787" i="3"/>
  <c r="AR788" i="3"/>
  <c r="AR789" i="3"/>
  <c r="AR790" i="3"/>
  <c r="AR791" i="3"/>
  <c r="AR792" i="3"/>
  <c r="AR793" i="3"/>
  <c r="AR794" i="3"/>
  <c r="AR795" i="3"/>
  <c r="AR796" i="3"/>
  <c r="AR797" i="3"/>
  <c r="AR798" i="3"/>
  <c r="AR799" i="3"/>
  <c r="AR800" i="3"/>
  <c r="AR801" i="3"/>
  <c r="AR802" i="3"/>
  <c r="AR803" i="3"/>
  <c r="AR804" i="3"/>
  <c r="AR805" i="3"/>
  <c r="AR806" i="3"/>
  <c r="AR807" i="3"/>
  <c r="AR808" i="3"/>
  <c r="AR809" i="3"/>
  <c r="AR810" i="3"/>
  <c r="AR811" i="3"/>
  <c r="AR812" i="3"/>
  <c r="AR813" i="3"/>
  <c r="AR814" i="3"/>
  <c r="AR815" i="3"/>
  <c r="AR816" i="3"/>
  <c r="AR817" i="3"/>
  <c r="AR818" i="3"/>
  <c r="AR819" i="3"/>
  <c r="AR820" i="3"/>
  <c r="AR821" i="3"/>
  <c r="AR822" i="3"/>
  <c r="AR823" i="3"/>
  <c r="AR824" i="3"/>
  <c r="AR825" i="3"/>
  <c r="AR826" i="3"/>
  <c r="AR827" i="3"/>
  <c r="AR828" i="3"/>
  <c r="AR829" i="3"/>
  <c r="AR830" i="3"/>
  <c r="AR831" i="3"/>
  <c r="AR832" i="3"/>
  <c r="AR833" i="3"/>
  <c r="AR834" i="3"/>
  <c r="AR835" i="3"/>
  <c r="AR836" i="3"/>
  <c r="AR837" i="3"/>
  <c r="AR838" i="3"/>
  <c r="AR839" i="3"/>
  <c r="AR840" i="3"/>
  <c r="AR841" i="3"/>
  <c r="AR842" i="3"/>
  <c r="AR843" i="3"/>
  <c r="AR844" i="3"/>
  <c r="AR845" i="3"/>
  <c r="AR846" i="3"/>
  <c r="AR847" i="3"/>
  <c r="AR848" i="3"/>
  <c r="AR849" i="3"/>
  <c r="AR850" i="3"/>
  <c r="AR851" i="3"/>
  <c r="AR852" i="3"/>
  <c r="AR853" i="3"/>
  <c r="AR854" i="3"/>
  <c r="AR855" i="3"/>
  <c r="AR856" i="3"/>
  <c r="AR857" i="3"/>
  <c r="AR858" i="3"/>
  <c r="AR859" i="3"/>
  <c r="AR860" i="3"/>
  <c r="AR861" i="3"/>
  <c r="AR862" i="3"/>
  <c r="AR863" i="3"/>
  <c r="AR864" i="3"/>
  <c r="AR865" i="3"/>
  <c r="AR866" i="3"/>
  <c r="AR867" i="3"/>
  <c r="AR868" i="3"/>
  <c r="AR869" i="3"/>
  <c r="AR870" i="3"/>
  <c r="AR871" i="3"/>
  <c r="AR872" i="3"/>
  <c r="AR873" i="3"/>
  <c r="AR874" i="3"/>
  <c r="AR875" i="3"/>
  <c r="AR876" i="3"/>
  <c r="AR877" i="3"/>
  <c r="AR878" i="3"/>
  <c r="AR879" i="3"/>
  <c r="AR880" i="3"/>
  <c r="AR881" i="3"/>
  <c r="AR882" i="3"/>
  <c r="AR883" i="3"/>
  <c r="AR884" i="3"/>
  <c r="AR885" i="3"/>
  <c r="AR886" i="3"/>
  <c r="AR887" i="3"/>
  <c r="AR888" i="3"/>
  <c r="AR889" i="3"/>
  <c r="AR890" i="3"/>
  <c r="AR891" i="3"/>
  <c r="AR892" i="3"/>
  <c r="AR893" i="3"/>
  <c r="AR894" i="3"/>
  <c r="AR895" i="3"/>
  <c r="AR896" i="3"/>
  <c r="AR897" i="3"/>
  <c r="AR898" i="3"/>
  <c r="AR899" i="3"/>
  <c r="AR900" i="3"/>
  <c r="AR901" i="3"/>
  <c r="AR902" i="3"/>
  <c r="AR903" i="3"/>
  <c r="AR904" i="3"/>
  <c r="AR905" i="3"/>
  <c r="AR906" i="3"/>
  <c r="AR907" i="3"/>
  <c r="AR908" i="3"/>
  <c r="AR909" i="3"/>
  <c r="AR910" i="3"/>
  <c r="AR911" i="3"/>
  <c r="AR912" i="3"/>
  <c r="AR913" i="3"/>
  <c r="AR914" i="3"/>
  <c r="AR915" i="3"/>
  <c r="AR916" i="3"/>
  <c r="AR917" i="3"/>
  <c r="AR918" i="3"/>
  <c r="AR919" i="3"/>
  <c r="AR920" i="3"/>
  <c r="AR921" i="3"/>
  <c r="AR922" i="3"/>
  <c r="AR923" i="3"/>
  <c r="AR924" i="3"/>
  <c r="AR925" i="3"/>
  <c r="AR926" i="3"/>
  <c r="AR927" i="3"/>
  <c r="AR928" i="3"/>
  <c r="AR929" i="3"/>
  <c r="AR930" i="3"/>
  <c r="AR931" i="3"/>
  <c r="AR932" i="3"/>
  <c r="AR933" i="3"/>
  <c r="AR934" i="3"/>
  <c r="AR935" i="3"/>
  <c r="AR936" i="3"/>
  <c r="AR937" i="3"/>
  <c r="AR938" i="3"/>
  <c r="AR939" i="3"/>
  <c r="AR940" i="3"/>
  <c r="AR941" i="3"/>
  <c r="AR942" i="3"/>
  <c r="AR943" i="3"/>
  <c r="AR944" i="3"/>
  <c r="AR945" i="3"/>
  <c r="AR946" i="3"/>
  <c r="AR947" i="3"/>
  <c r="AR948" i="3"/>
  <c r="AR949" i="3"/>
  <c r="AR950" i="3"/>
  <c r="AR951" i="3"/>
  <c r="AR952" i="3"/>
  <c r="AR953" i="3"/>
  <c r="AR954" i="3"/>
  <c r="AR955" i="3"/>
  <c r="AR956" i="3"/>
  <c r="AR957" i="3"/>
  <c r="AR958" i="3"/>
  <c r="AR959" i="3"/>
  <c r="AR960" i="3"/>
  <c r="AR961" i="3"/>
  <c r="AR962" i="3"/>
  <c r="AR963" i="3"/>
  <c r="AR964" i="3"/>
  <c r="AR965" i="3"/>
  <c r="AR966" i="3"/>
  <c r="AR967" i="3"/>
  <c r="AR968" i="3"/>
  <c r="AR969" i="3"/>
  <c r="AR970" i="3"/>
  <c r="AR971" i="3"/>
  <c r="AR972" i="3"/>
  <c r="AR973" i="3"/>
  <c r="AR974" i="3"/>
  <c r="AR975" i="3"/>
  <c r="AR976" i="3"/>
  <c r="AR977" i="3"/>
  <c r="AR978" i="3"/>
  <c r="AR979" i="3"/>
  <c r="AR980" i="3"/>
  <c r="AR981" i="3"/>
  <c r="AR982" i="3"/>
  <c r="AR983" i="3"/>
  <c r="AR984" i="3"/>
  <c r="AR985" i="3"/>
  <c r="AR986" i="3"/>
  <c r="AR987" i="3"/>
  <c r="AR988" i="3"/>
  <c r="AR989" i="3"/>
  <c r="AR990" i="3"/>
  <c r="AR991" i="3"/>
  <c r="AR992" i="3"/>
  <c r="AR993" i="3"/>
  <c r="AR994" i="3"/>
  <c r="AR995" i="3"/>
  <c r="AR996" i="3"/>
  <c r="AR997" i="3"/>
  <c r="AR998" i="3"/>
  <c r="AR999" i="3"/>
  <c r="AR1000" i="3"/>
  <c r="AR1001" i="3"/>
  <c r="AR1002" i="3"/>
  <c r="AR1003" i="3"/>
  <c r="AR1004" i="3"/>
  <c r="AR1005" i="3"/>
  <c r="AR1006" i="3"/>
  <c r="AR1007" i="3"/>
  <c r="AR1008" i="3"/>
  <c r="AR1009" i="3"/>
  <c r="AR1010" i="3"/>
  <c r="AR1011" i="3"/>
  <c r="AR1012" i="3"/>
  <c r="AR1013" i="3"/>
  <c r="AR1014" i="3"/>
  <c r="AR1015" i="3"/>
  <c r="AR1016" i="3"/>
  <c r="AR1017" i="3"/>
  <c r="AR1018" i="3"/>
  <c r="AR1019" i="3"/>
  <c r="AR1020" i="3"/>
  <c r="AR1021" i="3"/>
  <c r="AR1022" i="3"/>
  <c r="AR1023" i="3"/>
  <c r="AR1024" i="3"/>
  <c r="AR1025" i="3"/>
  <c r="AR1026" i="3"/>
  <c r="AR1027" i="3"/>
  <c r="AR1028" i="3"/>
  <c r="AR1029" i="3"/>
  <c r="AR1030" i="3"/>
  <c r="AR1031" i="3"/>
  <c r="AR1032" i="3"/>
  <c r="AR1033" i="3"/>
  <c r="AR1034" i="3"/>
  <c r="AR1035" i="3"/>
  <c r="AR1036" i="3"/>
  <c r="AR1037" i="3"/>
  <c r="AR1038" i="3"/>
  <c r="AR1039" i="3"/>
  <c r="AR1040" i="3"/>
  <c r="AR1041" i="3"/>
  <c r="AR1042" i="3"/>
  <c r="AR1043" i="3"/>
  <c r="AR1044" i="3"/>
  <c r="AR1045" i="3"/>
  <c r="AR1046" i="3"/>
  <c r="AR1047" i="3"/>
  <c r="AR1048" i="3"/>
  <c r="AR1049" i="3"/>
  <c r="AR1050" i="3"/>
  <c r="AR1051" i="3"/>
  <c r="AR1052" i="3"/>
  <c r="AR1053" i="3"/>
  <c r="AR1054" i="3"/>
  <c r="AR1055" i="3"/>
  <c r="AR1056" i="3"/>
  <c r="AR1057" i="3"/>
  <c r="AR1058" i="3"/>
  <c r="AR1059" i="3"/>
  <c r="AR1060" i="3"/>
  <c r="AR1061" i="3"/>
  <c r="AR1062" i="3"/>
  <c r="AR1063" i="3"/>
  <c r="AR1064" i="3"/>
  <c r="AR1065" i="3"/>
  <c r="AR1066" i="3"/>
  <c r="AR1067" i="3"/>
  <c r="AR1068" i="3"/>
  <c r="AR1069" i="3"/>
  <c r="AR1070" i="3"/>
  <c r="AR1071" i="3"/>
  <c r="AR1072" i="3"/>
  <c r="AR1073" i="3"/>
  <c r="AR1074" i="3"/>
  <c r="AR1075" i="3"/>
  <c r="AR1076" i="3"/>
  <c r="AR1077" i="3"/>
  <c r="AR1078" i="3"/>
  <c r="AR1079" i="3"/>
  <c r="AR1080" i="3"/>
  <c r="AR1081" i="3"/>
  <c r="AR1082" i="3"/>
  <c r="AR1083" i="3"/>
  <c r="AR1084" i="3"/>
  <c r="AR1085" i="3"/>
  <c r="AR1086" i="3"/>
  <c r="AR1087" i="3"/>
  <c r="AR1088" i="3"/>
  <c r="AR1089" i="3"/>
  <c r="AR1090" i="3"/>
  <c r="AR1091" i="3"/>
  <c r="AR1092" i="3"/>
  <c r="AR1093" i="3"/>
  <c r="AR1094" i="3"/>
  <c r="AR1095" i="3"/>
  <c r="AR1096" i="3"/>
  <c r="AR1097" i="3"/>
  <c r="AR1098" i="3"/>
  <c r="AR1099" i="3"/>
  <c r="AR1100" i="3"/>
  <c r="AR1101" i="3"/>
  <c r="AR1102" i="3"/>
  <c r="AR1103" i="3"/>
  <c r="AR1104" i="3"/>
  <c r="AR1105" i="3"/>
  <c r="AR1106" i="3"/>
  <c r="AR1107" i="3"/>
  <c r="AR1108" i="3"/>
  <c r="AR1109" i="3"/>
  <c r="AR1110" i="3"/>
  <c r="AR1111" i="3"/>
  <c r="AR1112" i="3"/>
  <c r="AR1113" i="3"/>
  <c r="AR1114" i="3"/>
  <c r="AR1115" i="3"/>
  <c r="AR1116" i="3"/>
  <c r="AR1117" i="3"/>
  <c r="AR1118" i="3"/>
  <c r="AR1119" i="3"/>
  <c r="AR1120" i="3"/>
  <c r="AR1121" i="3"/>
  <c r="AR1122" i="3"/>
  <c r="AR1123" i="3"/>
  <c r="AR1124" i="3"/>
  <c r="AR1125" i="3"/>
  <c r="AR1126" i="3"/>
  <c r="AR1127" i="3"/>
  <c r="AR1128" i="3"/>
  <c r="AR1129" i="3"/>
  <c r="AR1130" i="3"/>
  <c r="AR1131" i="3"/>
  <c r="AR1132" i="3"/>
  <c r="AR1133" i="3"/>
  <c r="AR1134" i="3"/>
  <c r="AR1135" i="3"/>
  <c r="AR1136" i="3"/>
  <c r="AR1137" i="3"/>
  <c r="AR1138" i="3"/>
  <c r="AR1139" i="3"/>
  <c r="AR1140" i="3"/>
  <c r="AR1141" i="3"/>
  <c r="AR1142" i="3"/>
  <c r="AR1143" i="3"/>
  <c r="AR1144" i="3"/>
  <c r="AR1145" i="3"/>
  <c r="AR1146" i="3"/>
  <c r="AR1147" i="3"/>
  <c r="AR1148" i="3"/>
  <c r="AR1149" i="3"/>
  <c r="AR1150" i="3"/>
  <c r="AR1151" i="3"/>
  <c r="AR1152" i="3"/>
  <c r="AR1153" i="3"/>
  <c r="AR1154" i="3"/>
  <c r="AR1155" i="3"/>
  <c r="AR1156" i="3"/>
  <c r="AR1157" i="3"/>
  <c r="AR1158" i="3"/>
  <c r="AR1159" i="3"/>
  <c r="AR1160" i="3"/>
  <c r="AR1161" i="3"/>
  <c r="AR1162" i="3"/>
  <c r="AR1163" i="3"/>
  <c r="AR1164" i="3"/>
  <c r="AR1165" i="3"/>
  <c r="AR1166" i="3"/>
  <c r="AR1167" i="3"/>
  <c r="AR1168" i="3"/>
  <c r="AR1169" i="3"/>
  <c r="AR1170" i="3"/>
  <c r="AR1171" i="3"/>
  <c r="AR1172" i="3"/>
  <c r="AR1173" i="3"/>
  <c r="AR1174" i="3"/>
  <c r="AR1175" i="3"/>
  <c r="AR1176" i="3"/>
  <c r="AR1177" i="3"/>
  <c r="AR1178" i="3"/>
  <c r="AR1179" i="3"/>
  <c r="AR1180" i="3"/>
  <c r="AR1181" i="3"/>
  <c r="AR1182" i="3"/>
  <c r="AR1183" i="3"/>
  <c r="AR1184" i="3"/>
  <c r="AR1185" i="3"/>
  <c r="AR1186" i="3"/>
  <c r="AR1187" i="3"/>
  <c r="AR1188" i="3"/>
  <c r="AR1189" i="3"/>
  <c r="AR1190" i="3"/>
  <c r="AR1191" i="3"/>
  <c r="AR1192" i="3"/>
  <c r="AR1193" i="3"/>
  <c r="AR1194" i="3"/>
  <c r="AR1195" i="3"/>
  <c r="AR1196" i="3"/>
  <c r="AR1197" i="3"/>
  <c r="AR1198" i="3"/>
  <c r="AR1199" i="3"/>
  <c r="AR1200" i="3"/>
  <c r="AR1201" i="3"/>
  <c r="AR1202" i="3"/>
  <c r="AR1203" i="3"/>
  <c r="AR1204" i="3"/>
  <c r="AR1205" i="3"/>
  <c r="AR1206" i="3"/>
  <c r="AR1207" i="3"/>
  <c r="AR1208" i="3"/>
  <c r="AR1209" i="3"/>
  <c r="AR1210" i="3"/>
  <c r="AR1211" i="3"/>
  <c r="AR1212" i="3"/>
  <c r="AR1213" i="3"/>
  <c r="AR1214" i="3"/>
  <c r="AR1215" i="3"/>
  <c r="AR1216" i="3"/>
  <c r="AR1217" i="3"/>
  <c r="AR1218" i="3"/>
  <c r="AR1219" i="3"/>
  <c r="AR1220" i="3"/>
  <c r="AR1221" i="3"/>
  <c r="AR1222" i="3"/>
  <c r="AR1223" i="3"/>
  <c r="AR1224" i="3"/>
  <c r="AR1225" i="3"/>
  <c r="AR1226" i="3"/>
  <c r="AR1227" i="3"/>
  <c r="AR1228" i="3"/>
  <c r="AR1229" i="3"/>
  <c r="AR1230" i="3"/>
  <c r="AR1231" i="3"/>
  <c r="AR1232" i="3"/>
  <c r="AR1233" i="3"/>
  <c r="AR1234" i="3"/>
  <c r="AR1235" i="3"/>
  <c r="AR1236" i="3"/>
  <c r="AR1237" i="3"/>
  <c r="AR1238" i="3"/>
  <c r="AR1239" i="3"/>
  <c r="AR1240" i="3"/>
  <c r="AR1241" i="3"/>
  <c r="AR1242" i="3"/>
  <c r="AR1243" i="3"/>
  <c r="AR1244" i="3"/>
  <c r="AR1245" i="3"/>
  <c r="AR1246" i="3"/>
  <c r="AR1247" i="3"/>
  <c r="AR1248" i="3"/>
  <c r="AR1249" i="3"/>
  <c r="AR1250" i="3"/>
  <c r="AR1251" i="3"/>
  <c r="AR1252" i="3"/>
  <c r="AR1253" i="3"/>
  <c r="AR1254" i="3"/>
  <c r="AR1255" i="3"/>
  <c r="AR1256" i="3"/>
  <c r="AR1257" i="3"/>
  <c r="AR1258" i="3"/>
  <c r="AR1259" i="3"/>
  <c r="AR1260" i="3"/>
  <c r="AR1261" i="3"/>
  <c r="AR1262" i="3"/>
  <c r="AR1263" i="3"/>
  <c r="AR1264" i="3"/>
  <c r="AR1265" i="3"/>
  <c r="AR1266" i="3"/>
  <c r="AR1267" i="3"/>
  <c r="AR1268" i="3"/>
  <c r="AR1269" i="3"/>
  <c r="AR1270" i="3"/>
  <c r="AR1271" i="3"/>
  <c r="AR1272" i="3"/>
  <c r="AR1273" i="3"/>
  <c r="AR1274" i="3"/>
  <c r="AR1275" i="3"/>
  <c r="AR1276" i="3"/>
  <c r="AR1277" i="3"/>
  <c r="AR1278" i="3"/>
  <c r="AR1279" i="3"/>
  <c r="AR1280" i="3"/>
  <c r="AR1281" i="3"/>
  <c r="AR1282" i="3"/>
  <c r="AR1283" i="3"/>
  <c r="AR1284" i="3"/>
  <c r="AR1285" i="3"/>
  <c r="AR1286" i="3"/>
  <c r="AR1287" i="3"/>
  <c r="AR1288" i="3"/>
  <c r="AR1289" i="3"/>
  <c r="AR1290" i="3"/>
  <c r="AR1291" i="3"/>
  <c r="AR1292" i="3"/>
  <c r="AR1293" i="3"/>
  <c r="AR1294" i="3"/>
  <c r="AR1295" i="3"/>
  <c r="AR1296" i="3"/>
  <c r="AR1297" i="3"/>
  <c r="AR1298" i="3"/>
  <c r="AR1299" i="3"/>
  <c r="AR1300" i="3"/>
  <c r="AR1301" i="3"/>
  <c r="AR1302" i="3"/>
  <c r="AR1303" i="3"/>
  <c r="AR1304" i="3"/>
  <c r="AR1305" i="3"/>
  <c r="AR1306" i="3"/>
  <c r="AR1307" i="3"/>
  <c r="AR1308" i="3"/>
  <c r="AR1309" i="3"/>
  <c r="AR1310" i="3"/>
  <c r="AR1311" i="3"/>
  <c r="AR1312" i="3"/>
  <c r="AR1313" i="3"/>
  <c r="AR1314" i="3"/>
  <c r="AR1315" i="3"/>
  <c r="AR1316" i="3"/>
  <c r="AR1317" i="3"/>
  <c r="AR1318" i="3"/>
  <c r="AR1319" i="3"/>
  <c r="AR1320" i="3"/>
  <c r="AR1321" i="3"/>
  <c r="AR1322" i="3"/>
  <c r="AR1323" i="3"/>
  <c r="AR1324" i="3"/>
  <c r="AR1325" i="3"/>
  <c r="AR1326" i="3"/>
  <c r="AR1327" i="3"/>
  <c r="AR1328" i="3"/>
  <c r="AR1329" i="3"/>
  <c r="AR1330" i="3"/>
  <c r="AR1331" i="3"/>
  <c r="AR1332" i="3"/>
  <c r="AR1333" i="3"/>
  <c r="AR1334" i="3"/>
  <c r="AR1335" i="3"/>
  <c r="AR1336" i="3"/>
  <c r="AR1337" i="3"/>
  <c r="AR1338" i="3"/>
  <c r="AR1339" i="3"/>
  <c r="AR1340" i="3"/>
  <c r="AR1341" i="3"/>
  <c r="AR1342" i="3"/>
  <c r="AR1343" i="3"/>
  <c r="AR1344" i="3"/>
  <c r="AR1345" i="3"/>
  <c r="AR1346" i="3"/>
  <c r="AR1347" i="3"/>
  <c r="AR1348" i="3"/>
  <c r="AR1349" i="3"/>
  <c r="AR1350" i="3"/>
  <c r="AR1351" i="3"/>
  <c r="AR1352" i="3"/>
  <c r="AR1353" i="3"/>
  <c r="AR1354" i="3"/>
  <c r="AR1355" i="3"/>
  <c r="AR1356" i="3"/>
  <c r="AR1357" i="3"/>
  <c r="AR1358" i="3"/>
  <c r="AR1359" i="3"/>
  <c r="AR1360" i="3"/>
  <c r="AR1361" i="3"/>
  <c r="AR1362" i="3"/>
  <c r="AR1363" i="3"/>
  <c r="AR1364" i="3"/>
  <c r="AR1365" i="3"/>
  <c r="AR1366" i="3"/>
  <c r="AR1367" i="3"/>
  <c r="AR1368" i="3"/>
  <c r="AR1369" i="3"/>
  <c r="AR1370" i="3"/>
  <c r="AR1371" i="3"/>
  <c r="AR1372" i="3"/>
  <c r="AR1373" i="3"/>
  <c r="AR1374" i="3"/>
  <c r="AR1375" i="3"/>
  <c r="AR1376" i="3"/>
  <c r="AR1377" i="3"/>
  <c r="AR1378" i="3"/>
  <c r="AR1379" i="3"/>
  <c r="AR1380" i="3"/>
  <c r="AR1381" i="3"/>
  <c r="AR1382" i="3"/>
  <c r="AR1383" i="3"/>
  <c r="AR1384" i="3"/>
  <c r="AR1385" i="3"/>
  <c r="AR1386" i="3"/>
  <c r="AR1387" i="3"/>
  <c r="AR1388" i="3"/>
  <c r="AR1389" i="3"/>
  <c r="AR1390" i="3"/>
  <c r="AR1391" i="3"/>
  <c r="AR1392" i="3"/>
  <c r="AR1393" i="3"/>
  <c r="AR1394" i="3"/>
  <c r="AR1395" i="3"/>
  <c r="AR1396" i="3"/>
  <c r="AR1397" i="3"/>
  <c r="AR1398" i="3"/>
  <c r="AR1399" i="3"/>
  <c r="AR1400" i="3"/>
  <c r="AR1401" i="3"/>
  <c r="AR1402" i="3"/>
  <c r="AR1403" i="3"/>
  <c r="AR1404" i="3"/>
  <c r="AR1405" i="3"/>
  <c r="AR1406" i="3"/>
  <c r="AR1407" i="3"/>
  <c r="AR1408" i="3"/>
  <c r="AR1409" i="3"/>
  <c r="AR1410" i="3"/>
  <c r="AR1411" i="3"/>
  <c r="AR1412" i="3"/>
  <c r="AR1413" i="3"/>
  <c r="AR1414" i="3"/>
  <c r="AR1415" i="3"/>
  <c r="AR1416" i="3"/>
  <c r="AR1417" i="3"/>
  <c r="AR1418" i="3"/>
  <c r="AR1419" i="3"/>
  <c r="AR1420" i="3"/>
  <c r="AR1421" i="3"/>
  <c r="AR1422" i="3"/>
  <c r="AR1423" i="3"/>
  <c r="AR1424" i="3"/>
  <c r="AR1425" i="3"/>
  <c r="AR1426" i="3"/>
  <c r="AR1427" i="3"/>
  <c r="AR1428" i="3"/>
  <c r="AR1429" i="3"/>
  <c r="AR1430" i="3"/>
  <c r="AR1431" i="3"/>
  <c r="AR1432" i="3"/>
  <c r="AR1433" i="3"/>
  <c r="AR1434" i="3"/>
  <c r="AR1435" i="3"/>
  <c r="AR1436" i="3"/>
  <c r="AR1437" i="3"/>
  <c r="AR1438" i="3"/>
  <c r="AR1439" i="3"/>
  <c r="AR1440" i="3"/>
  <c r="AR1441" i="3"/>
  <c r="AR1442" i="3"/>
  <c r="AR1443" i="3"/>
  <c r="AR1444" i="3"/>
  <c r="AR1445" i="3"/>
  <c r="AR1446" i="3"/>
  <c r="AR1447" i="3"/>
  <c r="AR1448" i="3"/>
  <c r="AR1449" i="3"/>
  <c r="AR1450" i="3"/>
  <c r="AR1451" i="3"/>
  <c r="AR1452" i="3"/>
  <c r="AR1453" i="3"/>
  <c r="AR1454" i="3"/>
  <c r="AR1455" i="3"/>
  <c r="AR1456" i="3"/>
  <c r="AR1457" i="3"/>
  <c r="AR1458" i="3"/>
  <c r="AR1459" i="3"/>
  <c r="AR1460" i="3"/>
  <c r="AR1461" i="3"/>
  <c r="AR1462" i="3"/>
  <c r="AR1463" i="3"/>
  <c r="AR1464" i="3"/>
  <c r="AR1465" i="3"/>
  <c r="AR1466" i="3"/>
  <c r="AR1467" i="3"/>
  <c r="AR1468" i="3"/>
  <c r="AR1469" i="3"/>
  <c r="AR1470" i="3"/>
  <c r="AR1471" i="3"/>
  <c r="AR1472" i="3"/>
  <c r="AR1473" i="3"/>
  <c r="AR1474" i="3"/>
  <c r="AR1475" i="3"/>
  <c r="AR1476" i="3"/>
  <c r="AR1477" i="3"/>
  <c r="AR1478" i="3"/>
  <c r="AR1479" i="3"/>
  <c r="AR1480" i="3"/>
  <c r="AR1481" i="3"/>
  <c r="AR1482" i="3"/>
  <c r="AR1483" i="3"/>
  <c r="AR1484" i="3"/>
  <c r="AR1485" i="3"/>
  <c r="AR1486" i="3"/>
  <c r="AR1487" i="3"/>
  <c r="AR1488" i="3"/>
  <c r="AR1489" i="3"/>
  <c r="AR1490" i="3"/>
  <c r="AR1491" i="3"/>
  <c r="AR1492" i="3"/>
  <c r="AR1493" i="3"/>
  <c r="AR1494" i="3"/>
  <c r="AR1495" i="3"/>
  <c r="AR1496" i="3"/>
  <c r="AR1497" i="3"/>
  <c r="AR1498" i="3"/>
  <c r="AR1499" i="3"/>
  <c r="AR1500" i="3"/>
  <c r="AR1501" i="3"/>
  <c r="AR1502" i="3"/>
  <c r="AR1503" i="3"/>
  <c r="AR1504" i="3"/>
  <c r="AR1505" i="3"/>
  <c r="AR1506" i="3"/>
  <c r="AR1507" i="3"/>
  <c r="AR1508" i="3"/>
  <c r="AR1509" i="3"/>
  <c r="AR1510" i="3"/>
  <c r="AR1511" i="3"/>
  <c r="AR1512" i="3"/>
  <c r="AR1513" i="3"/>
  <c r="AR1514" i="3"/>
  <c r="AR1515" i="3"/>
  <c r="AR1516" i="3"/>
  <c r="AR1517" i="3"/>
  <c r="AR1518" i="3"/>
  <c r="AR1519" i="3"/>
  <c r="AR1520" i="3"/>
  <c r="AR1521" i="3"/>
  <c r="AR1522" i="3"/>
  <c r="AR1523" i="3"/>
  <c r="AR1524" i="3"/>
  <c r="AR1525" i="3"/>
  <c r="AR1526" i="3"/>
  <c r="AR1527" i="3"/>
  <c r="AR1528" i="3"/>
  <c r="AR1529" i="3"/>
  <c r="AR1530" i="3"/>
  <c r="AR1531" i="3"/>
  <c r="AR1532" i="3"/>
  <c r="AR1533" i="3"/>
  <c r="AR1534" i="3"/>
  <c r="AR1535" i="3"/>
  <c r="AR1536" i="3"/>
  <c r="AR1537" i="3"/>
  <c r="AR1538" i="3"/>
  <c r="AR1539" i="3"/>
  <c r="AR1540" i="3"/>
  <c r="AR1541" i="3"/>
  <c r="AR1542" i="3"/>
  <c r="AR1543" i="3"/>
  <c r="AR1544" i="3"/>
  <c r="AR1545" i="3"/>
  <c r="AR1546" i="3"/>
  <c r="AR1547" i="3"/>
  <c r="AR1548" i="3"/>
  <c r="AR1549" i="3"/>
  <c r="AR1550" i="3"/>
  <c r="AR1551" i="3"/>
  <c r="AR1552" i="3"/>
  <c r="AR1553" i="3"/>
  <c r="AR1554" i="3"/>
  <c r="AR1555" i="3"/>
  <c r="AR1556" i="3"/>
  <c r="AR1557" i="3"/>
  <c r="AR1558" i="3"/>
  <c r="AR1559" i="3"/>
  <c r="AR1560" i="3"/>
  <c r="AR1561" i="3"/>
  <c r="AR1562" i="3"/>
  <c r="AR1563" i="3"/>
  <c r="AR1564" i="3"/>
  <c r="AR1565" i="3"/>
  <c r="AR1566" i="3"/>
  <c r="AR1567" i="3"/>
  <c r="AR1568" i="3"/>
  <c r="AR1569" i="3"/>
  <c r="AR1570" i="3"/>
  <c r="AR1571" i="3"/>
  <c r="AR1572" i="3"/>
  <c r="AR1573" i="3"/>
  <c r="AR1574" i="3"/>
  <c r="AR1575" i="3"/>
  <c r="AR1576" i="3"/>
  <c r="AR1577" i="3"/>
  <c r="AR1578" i="3"/>
  <c r="AR1579" i="3"/>
  <c r="AR1580" i="3"/>
  <c r="AR1581" i="3"/>
  <c r="AR1582" i="3"/>
  <c r="AR1583" i="3"/>
  <c r="AR1584" i="3"/>
  <c r="AR1585" i="3"/>
  <c r="AR1586" i="3"/>
  <c r="AR1587" i="3"/>
  <c r="AR1588" i="3"/>
  <c r="AR1589" i="3"/>
  <c r="AR1590" i="3"/>
  <c r="AR1591" i="3"/>
  <c r="AR1592" i="3"/>
  <c r="AR1593" i="3"/>
  <c r="AR1594" i="3"/>
  <c r="AR1595" i="3"/>
  <c r="AR1596" i="3"/>
  <c r="AR1597" i="3"/>
  <c r="AR1598" i="3"/>
  <c r="AR1599" i="3"/>
  <c r="AR1600" i="3"/>
  <c r="AR1601" i="3"/>
  <c r="AR1602" i="3"/>
  <c r="AR1603" i="3"/>
  <c r="AR1604" i="3"/>
  <c r="AR1605" i="3"/>
  <c r="AR1606" i="3"/>
  <c r="AR1607" i="3"/>
  <c r="AR1608" i="3"/>
  <c r="AR1609" i="3"/>
  <c r="AR1610" i="3"/>
  <c r="AR1611" i="3"/>
  <c r="AR1612" i="3"/>
  <c r="AR1613" i="3"/>
  <c r="AR1614" i="3"/>
  <c r="AR1615" i="3"/>
  <c r="AR1616" i="3"/>
  <c r="AR1617" i="3"/>
  <c r="AR1618" i="3"/>
  <c r="AR1619" i="3"/>
  <c r="AR1620" i="3"/>
  <c r="AR1621" i="3"/>
  <c r="AR1622" i="3"/>
  <c r="AR1623" i="3"/>
  <c r="AR1624" i="3"/>
  <c r="AR1625" i="3"/>
  <c r="AR1626" i="3"/>
  <c r="AR1627" i="3"/>
  <c r="AR1628" i="3"/>
  <c r="AR1629" i="3"/>
  <c r="AR1630" i="3"/>
  <c r="AR1631" i="3"/>
  <c r="AR1632" i="3"/>
  <c r="AR1633" i="3"/>
  <c r="AR1634" i="3"/>
  <c r="AR1635" i="3"/>
  <c r="AR1636" i="3"/>
  <c r="AR1637" i="3"/>
  <c r="AR1638" i="3"/>
  <c r="AR1639" i="3"/>
  <c r="AR1640" i="3"/>
  <c r="AR1641" i="3"/>
  <c r="AR1642" i="3"/>
  <c r="AR1643" i="3"/>
  <c r="AR1644" i="3"/>
  <c r="AR1645" i="3"/>
  <c r="AR1646" i="3"/>
  <c r="AR1647" i="3"/>
  <c r="AR1648" i="3"/>
  <c r="AR1649" i="3"/>
  <c r="AR1650" i="3"/>
  <c r="AR1651" i="3"/>
  <c r="AR1652" i="3"/>
  <c r="AR1653" i="3"/>
  <c r="AR1654" i="3"/>
  <c r="AR1655" i="3"/>
  <c r="AR1656" i="3"/>
  <c r="AR1657" i="3"/>
  <c r="AR1658" i="3"/>
  <c r="AR1659" i="3"/>
  <c r="AR1660" i="3"/>
  <c r="AR1661" i="3"/>
  <c r="AR1662" i="3"/>
  <c r="AR1663" i="3"/>
  <c r="AR1664" i="3"/>
  <c r="AR1665" i="3"/>
  <c r="AR1666" i="3"/>
  <c r="AR1667" i="3"/>
  <c r="AR1668" i="3"/>
  <c r="AR1669" i="3"/>
  <c r="AR1670" i="3"/>
  <c r="AR1671" i="3"/>
  <c r="AR1672" i="3"/>
  <c r="AR1673" i="3"/>
  <c r="AR1674" i="3"/>
  <c r="AR1675" i="3"/>
  <c r="AR1676" i="3"/>
  <c r="AR1677" i="3"/>
  <c r="AR1678" i="3"/>
  <c r="AR1679" i="3"/>
  <c r="AR1680" i="3"/>
  <c r="AR1681" i="3"/>
  <c r="AR1682" i="3"/>
  <c r="AR1683" i="3"/>
  <c r="AR1684" i="3"/>
  <c r="AR1685" i="3"/>
  <c r="AR1686" i="3"/>
  <c r="AR1687" i="3"/>
  <c r="AR1688" i="3"/>
  <c r="AR1689" i="3"/>
  <c r="AR1690" i="3"/>
  <c r="AR1691" i="3"/>
  <c r="AR1692" i="3"/>
  <c r="AR1693" i="3"/>
  <c r="AR1694" i="3"/>
  <c r="AR1695" i="3"/>
  <c r="AR1696" i="3"/>
  <c r="AR1697" i="3"/>
  <c r="AR1698" i="3"/>
  <c r="AR1699" i="3"/>
  <c r="AR1700" i="3"/>
  <c r="AR1701" i="3"/>
  <c r="AR1702" i="3"/>
  <c r="AR1703" i="3"/>
  <c r="AR1704" i="3"/>
  <c r="AR1705" i="3"/>
  <c r="AR1706" i="3"/>
  <c r="AR1707" i="3"/>
  <c r="AR1708" i="3"/>
  <c r="AR1709" i="3"/>
  <c r="AR1710" i="3"/>
  <c r="AR1711" i="3"/>
  <c r="AR1712" i="3"/>
  <c r="AR1713" i="3"/>
  <c r="AR1714" i="3"/>
  <c r="AR1715" i="3"/>
  <c r="AR1716" i="3"/>
  <c r="AR1717" i="3"/>
  <c r="AR1718" i="3"/>
  <c r="AR1719" i="3"/>
  <c r="AR1720" i="3"/>
  <c r="AR1721" i="3"/>
  <c r="AR1722" i="3"/>
  <c r="AR1723" i="3"/>
  <c r="AR1724" i="3"/>
  <c r="AR1725" i="3"/>
  <c r="AR1726" i="3"/>
  <c r="AR1727" i="3"/>
  <c r="AR1728" i="3"/>
  <c r="AR1729" i="3"/>
  <c r="AR1730" i="3"/>
  <c r="AR1731" i="3"/>
  <c r="AR1732" i="3"/>
  <c r="AR1733" i="3"/>
  <c r="AR1734" i="3"/>
  <c r="AR1735" i="3"/>
  <c r="AR1736" i="3"/>
  <c r="AR1737" i="3"/>
  <c r="AR1738" i="3"/>
  <c r="AR1739" i="3"/>
  <c r="AR1740" i="3"/>
  <c r="AR1741" i="3"/>
  <c r="AR1742" i="3"/>
  <c r="AR1743" i="3"/>
  <c r="AR1744" i="3"/>
  <c r="AR1745" i="3"/>
  <c r="AR1746" i="3"/>
  <c r="AR1747" i="3"/>
  <c r="AR1748" i="3"/>
  <c r="AR1749" i="3"/>
  <c r="AR1750" i="3"/>
  <c r="AR1751" i="3"/>
  <c r="AR1752" i="3"/>
  <c r="AR1753" i="3"/>
  <c r="AR1754" i="3"/>
  <c r="AR1755" i="3"/>
  <c r="AR1756" i="3"/>
  <c r="AR1757" i="3"/>
  <c r="AR1758" i="3"/>
  <c r="AR1759" i="3"/>
  <c r="AR1760" i="3"/>
  <c r="AR1761" i="3"/>
  <c r="AR1762" i="3"/>
  <c r="AR1763" i="3"/>
  <c r="AR1764" i="3"/>
  <c r="AR1765" i="3"/>
  <c r="AR1766" i="3"/>
  <c r="AR1767" i="3"/>
  <c r="AR1768" i="3"/>
  <c r="AR1769" i="3"/>
  <c r="AR1770" i="3"/>
  <c r="AR1771" i="3"/>
  <c r="AR1772" i="3"/>
  <c r="AR1773" i="3"/>
  <c r="AR1774" i="3"/>
  <c r="AR1775" i="3"/>
  <c r="AR1776" i="3"/>
  <c r="AR1777" i="3"/>
  <c r="AR1778" i="3"/>
  <c r="AR1779" i="3"/>
  <c r="AR1780" i="3"/>
  <c r="AR1781" i="3"/>
  <c r="AR1782" i="3"/>
  <c r="AR1783" i="3"/>
  <c r="AR1784" i="3"/>
  <c r="AR1785" i="3"/>
  <c r="AR1786" i="3"/>
  <c r="AR1787" i="3"/>
  <c r="AR1788" i="3"/>
  <c r="AR1789" i="3"/>
  <c r="AR1790" i="3"/>
  <c r="AR1791" i="3"/>
  <c r="AR1792" i="3"/>
  <c r="AR1793" i="3"/>
  <c r="AR1794" i="3"/>
  <c r="AR1795" i="3"/>
  <c r="AR1796" i="3"/>
  <c r="AR1797" i="3"/>
  <c r="AR1798" i="3"/>
  <c r="AR1799" i="3"/>
  <c r="AR1800" i="3"/>
  <c r="AR1801" i="3"/>
  <c r="AR1802" i="3"/>
  <c r="AR1803" i="3"/>
  <c r="AR1804" i="3"/>
  <c r="AR1805" i="3"/>
  <c r="AR1806" i="3"/>
  <c r="AR1807" i="3"/>
  <c r="AR1808" i="3"/>
  <c r="AR1809" i="3"/>
  <c r="AR1810" i="3"/>
  <c r="AR1811" i="3"/>
  <c r="AR1812" i="3"/>
  <c r="AR1813" i="3"/>
  <c r="AR1814" i="3"/>
  <c r="AR1815" i="3"/>
  <c r="AR1816" i="3"/>
  <c r="AR1817" i="3"/>
  <c r="AR1818" i="3"/>
  <c r="AR1819" i="3"/>
  <c r="AR1820" i="3"/>
  <c r="AR1821" i="3"/>
  <c r="AR1822" i="3"/>
  <c r="AR1823" i="3"/>
  <c r="AR1824" i="3"/>
  <c r="AR1825" i="3"/>
  <c r="AR1826" i="3"/>
  <c r="AR1827" i="3"/>
  <c r="AR1828" i="3"/>
  <c r="AR1829" i="3"/>
  <c r="AR1830" i="3"/>
  <c r="AR1831" i="3"/>
  <c r="AR1832" i="3"/>
  <c r="AR1833" i="3"/>
  <c r="AR1834" i="3"/>
  <c r="AR1835" i="3"/>
  <c r="AR1836" i="3"/>
  <c r="AR1837" i="3"/>
  <c r="AR1838" i="3"/>
  <c r="AR1839" i="3"/>
  <c r="AR1840" i="3"/>
  <c r="AR1841" i="3"/>
  <c r="AR1842" i="3"/>
  <c r="AR1843" i="3"/>
  <c r="AR1844" i="3"/>
  <c r="AR1845" i="3"/>
  <c r="AR1846" i="3"/>
  <c r="AR1847" i="3"/>
  <c r="AR1848" i="3"/>
  <c r="AR1849" i="3"/>
  <c r="AR1850" i="3"/>
  <c r="AR1851" i="3"/>
  <c r="AR1852" i="3"/>
  <c r="AR1853" i="3"/>
  <c r="AR1854" i="3"/>
  <c r="AR1855" i="3"/>
  <c r="AR1856" i="3"/>
  <c r="AR1857" i="3"/>
  <c r="AR1858" i="3"/>
  <c r="AR1859" i="3"/>
  <c r="AR1860" i="3"/>
  <c r="AR1861" i="3"/>
  <c r="AR1862" i="3"/>
  <c r="AR1863" i="3"/>
  <c r="AR1864" i="3"/>
  <c r="AR1865" i="3"/>
  <c r="AR1866" i="3"/>
  <c r="AR1867" i="3"/>
  <c r="AR1868" i="3"/>
  <c r="AR1869" i="3"/>
  <c r="AR1870" i="3"/>
  <c r="AR1871" i="3"/>
  <c r="AR1872" i="3"/>
  <c r="AR1873" i="3"/>
  <c r="AR1874" i="3"/>
  <c r="AR1875" i="3"/>
  <c r="AR1876" i="3"/>
  <c r="AR1877" i="3"/>
  <c r="AR1878" i="3"/>
  <c r="AR1879" i="3"/>
  <c r="AR1880" i="3"/>
  <c r="AR1881" i="3"/>
  <c r="AR1882" i="3"/>
  <c r="AR1883" i="3"/>
  <c r="AR1884" i="3"/>
  <c r="AR1885" i="3"/>
  <c r="AR1886" i="3"/>
  <c r="AR1887" i="3"/>
  <c r="AR1888" i="3"/>
  <c r="AR1889" i="3"/>
  <c r="AR1890" i="3"/>
  <c r="AR1891" i="3"/>
  <c r="AR1892" i="3"/>
  <c r="AR1893" i="3"/>
  <c r="AR1894" i="3"/>
  <c r="AR1895" i="3"/>
  <c r="AR1896" i="3"/>
  <c r="AR1897" i="3"/>
  <c r="AR1898" i="3"/>
  <c r="AR1899" i="3"/>
  <c r="AR1900" i="3"/>
  <c r="AR1901" i="3"/>
  <c r="AR1902" i="3"/>
  <c r="AR1903" i="3"/>
  <c r="AR1904" i="3"/>
  <c r="AR1905" i="3"/>
  <c r="AR1906" i="3"/>
  <c r="AR1907" i="3"/>
  <c r="AR1908" i="3"/>
  <c r="AR1909" i="3"/>
  <c r="AR1910" i="3"/>
  <c r="AR1911" i="3"/>
  <c r="AR1912" i="3"/>
  <c r="AR1913" i="3"/>
  <c r="AR1914" i="3"/>
  <c r="AR1915" i="3"/>
  <c r="AR1916" i="3"/>
  <c r="AR1917" i="3"/>
  <c r="AR1918" i="3"/>
  <c r="AR1920" i="3"/>
  <c r="AR3" i="3"/>
  <c r="AQ1" i="3"/>
  <c r="AP1" i="3"/>
  <c r="AN1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Q722" i="3"/>
  <c r="AQ723" i="3"/>
  <c r="AQ724" i="3"/>
  <c r="AQ725" i="3"/>
  <c r="AQ726" i="3"/>
  <c r="AQ727" i="3"/>
  <c r="AQ728" i="3"/>
  <c r="AQ729" i="3"/>
  <c r="AQ730" i="3"/>
  <c r="AQ731" i="3"/>
  <c r="AQ732" i="3"/>
  <c r="AQ733" i="3"/>
  <c r="AQ734" i="3"/>
  <c r="AQ735" i="3"/>
  <c r="AQ736" i="3"/>
  <c r="AQ737" i="3"/>
  <c r="AQ738" i="3"/>
  <c r="AQ739" i="3"/>
  <c r="AQ740" i="3"/>
  <c r="AQ741" i="3"/>
  <c r="AQ742" i="3"/>
  <c r="AQ743" i="3"/>
  <c r="AQ744" i="3"/>
  <c r="AQ745" i="3"/>
  <c r="AQ746" i="3"/>
  <c r="AQ747" i="3"/>
  <c r="AQ748" i="3"/>
  <c r="AQ749" i="3"/>
  <c r="AQ750" i="3"/>
  <c r="AQ751" i="3"/>
  <c r="AQ752" i="3"/>
  <c r="AQ753" i="3"/>
  <c r="AQ754" i="3"/>
  <c r="AQ755" i="3"/>
  <c r="AQ756" i="3"/>
  <c r="AQ757" i="3"/>
  <c r="AQ758" i="3"/>
  <c r="AQ759" i="3"/>
  <c r="AQ760" i="3"/>
  <c r="AQ761" i="3"/>
  <c r="AQ762" i="3"/>
  <c r="AQ763" i="3"/>
  <c r="AQ764" i="3"/>
  <c r="AQ765" i="3"/>
  <c r="AQ766" i="3"/>
  <c r="AQ767" i="3"/>
  <c r="AQ768" i="3"/>
  <c r="AQ769" i="3"/>
  <c r="AQ770" i="3"/>
  <c r="AQ771" i="3"/>
  <c r="AQ772" i="3"/>
  <c r="AQ773" i="3"/>
  <c r="AQ774" i="3"/>
  <c r="AQ775" i="3"/>
  <c r="AQ776" i="3"/>
  <c r="AQ777" i="3"/>
  <c r="AQ778" i="3"/>
  <c r="AQ779" i="3"/>
  <c r="AQ780" i="3"/>
  <c r="AQ781" i="3"/>
  <c r="AQ782" i="3"/>
  <c r="AQ783" i="3"/>
  <c r="AQ784" i="3"/>
  <c r="AQ785" i="3"/>
  <c r="AQ786" i="3"/>
  <c r="AQ787" i="3"/>
  <c r="AQ788" i="3"/>
  <c r="AQ789" i="3"/>
  <c r="AQ790" i="3"/>
  <c r="AQ791" i="3"/>
  <c r="AQ792" i="3"/>
  <c r="AQ793" i="3"/>
  <c r="AQ794" i="3"/>
  <c r="AQ795" i="3"/>
  <c r="AQ796" i="3"/>
  <c r="AQ797" i="3"/>
  <c r="AQ798" i="3"/>
  <c r="AQ799" i="3"/>
  <c r="AQ800" i="3"/>
  <c r="AQ801" i="3"/>
  <c r="AQ802" i="3"/>
  <c r="AQ803" i="3"/>
  <c r="AQ804" i="3"/>
  <c r="AQ805" i="3"/>
  <c r="AQ806" i="3"/>
  <c r="AQ807" i="3"/>
  <c r="AQ808" i="3"/>
  <c r="AQ809" i="3"/>
  <c r="AQ810" i="3"/>
  <c r="AQ811" i="3"/>
  <c r="AQ812" i="3"/>
  <c r="AQ813" i="3"/>
  <c r="AQ814" i="3"/>
  <c r="AQ815" i="3"/>
  <c r="AQ816" i="3"/>
  <c r="AQ817" i="3"/>
  <c r="AQ818" i="3"/>
  <c r="AQ819" i="3"/>
  <c r="AQ820" i="3"/>
  <c r="AQ821" i="3"/>
  <c r="AQ822" i="3"/>
  <c r="AQ823" i="3"/>
  <c r="AQ824" i="3"/>
  <c r="AQ825" i="3"/>
  <c r="AQ826" i="3"/>
  <c r="AQ827" i="3"/>
  <c r="AQ828" i="3"/>
  <c r="AQ829" i="3"/>
  <c r="AQ830" i="3"/>
  <c r="AQ831" i="3"/>
  <c r="AQ832" i="3"/>
  <c r="AQ833" i="3"/>
  <c r="AQ834" i="3"/>
  <c r="AQ835" i="3"/>
  <c r="AQ836" i="3"/>
  <c r="AQ837" i="3"/>
  <c r="AQ838" i="3"/>
  <c r="AQ839" i="3"/>
  <c r="AQ840" i="3"/>
  <c r="AQ841" i="3"/>
  <c r="AQ842" i="3"/>
  <c r="AQ843" i="3"/>
  <c r="AQ844" i="3"/>
  <c r="AQ845" i="3"/>
  <c r="AQ846" i="3"/>
  <c r="AQ847" i="3"/>
  <c r="AQ848" i="3"/>
  <c r="AQ849" i="3"/>
  <c r="AQ850" i="3"/>
  <c r="AQ851" i="3"/>
  <c r="AQ852" i="3"/>
  <c r="AQ853" i="3"/>
  <c r="AQ854" i="3"/>
  <c r="AQ855" i="3"/>
  <c r="AQ856" i="3"/>
  <c r="AQ857" i="3"/>
  <c r="AQ858" i="3"/>
  <c r="AQ859" i="3"/>
  <c r="AQ860" i="3"/>
  <c r="AQ861" i="3"/>
  <c r="AQ862" i="3"/>
  <c r="AQ863" i="3"/>
  <c r="AQ864" i="3"/>
  <c r="AQ865" i="3"/>
  <c r="AQ866" i="3"/>
  <c r="AQ867" i="3"/>
  <c r="AQ868" i="3"/>
  <c r="AQ869" i="3"/>
  <c r="AQ870" i="3"/>
  <c r="AQ871" i="3"/>
  <c r="AQ872" i="3"/>
  <c r="AQ873" i="3"/>
  <c r="AQ874" i="3"/>
  <c r="AQ875" i="3"/>
  <c r="AQ876" i="3"/>
  <c r="AQ877" i="3"/>
  <c r="AQ878" i="3"/>
  <c r="AQ879" i="3"/>
  <c r="AQ880" i="3"/>
  <c r="AQ881" i="3"/>
  <c r="AQ882" i="3"/>
  <c r="AQ883" i="3"/>
  <c r="AQ884" i="3"/>
  <c r="AQ885" i="3"/>
  <c r="AQ886" i="3"/>
  <c r="AQ887" i="3"/>
  <c r="AQ888" i="3"/>
  <c r="AQ889" i="3"/>
  <c r="AQ890" i="3"/>
  <c r="AQ891" i="3"/>
  <c r="AQ892" i="3"/>
  <c r="AQ893" i="3"/>
  <c r="AQ894" i="3"/>
  <c r="AQ895" i="3"/>
  <c r="AQ896" i="3"/>
  <c r="AQ897" i="3"/>
  <c r="AQ898" i="3"/>
  <c r="AQ899" i="3"/>
  <c r="AQ900" i="3"/>
  <c r="AQ901" i="3"/>
  <c r="AQ902" i="3"/>
  <c r="AQ903" i="3"/>
  <c r="AQ904" i="3"/>
  <c r="AQ905" i="3"/>
  <c r="AQ906" i="3"/>
  <c r="AQ907" i="3"/>
  <c r="AQ908" i="3"/>
  <c r="AQ909" i="3"/>
  <c r="AQ910" i="3"/>
  <c r="AQ911" i="3"/>
  <c r="AQ912" i="3"/>
  <c r="AQ913" i="3"/>
  <c r="AQ914" i="3"/>
  <c r="AQ915" i="3"/>
  <c r="AQ916" i="3"/>
  <c r="AQ917" i="3"/>
  <c r="AQ918" i="3"/>
  <c r="AQ919" i="3"/>
  <c r="AQ920" i="3"/>
  <c r="AQ921" i="3"/>
  <c r="AQ922" i="3"/>
  <c r="AQ923" i="3"/>
  <c r="AQ924" i="3"/>
  <c r="AQ925" i="3"/>
  <c r="AQ926" i="3"/>
  <c r="AQ927" i="3"/>
  <c r="AQ928" i="3"/>
  <c r="AQ929" i="3"/>
  <c r="AQ930" i="3"/>
  <c r="AQ931" i="3"/>
  <c r="AQ932" i="3"/>
  <c r="AQ933" i="3"/>
  <c r="AQ934" i="3"/>
  <c r="AQ935" i="3"/>
  <c r="AQ936" i="3"/>
  <c r="AQ937" i="3"/>
  <c r="AQ938" i="3"/>
  <c r="AQ939" i="3"/>
  <c r="AQ940" i="3"/>
  <c r="AQ941" i="3"/>
  <c r="AQ942" i="3"/>
  <c r="AQ943" i="3"/>
  <c r="AQ944" i="3"/>
  <c r="AQ945" i="3"/>
  <c r="AQ946" i="3"/>
  <c r="AQ947" i="3"/>
  <c r="AQ948" i="3"/>
  <c r="AQ949" i="3"/>
  <c r="AQ950" i="3"/>
  <c r="AQ951" i="3"/>
  <c r="AQ952" i="3"/>
  <c r="AQ953" i="3"/>
  <c r="AQ954" i="3"/>
  <c r="AQ955" i="3"/>
  <c r="AQ956" i="3"/>
  <c r="AQ957" i="3"/>
  <c r="AQ958" i="3"/>
  <c r="AQ959" i="3"/>
  <c r="AQ960" i="3"/>
  <c r="AQ961" i="3"/>
  <c r="AQ962" i="3"/>
  <c r="AQ963" i="3"/>
  <c r="AQ964" i="3"/>
  <c r="AQ965" i="3"/>
  <c r="AQ966" i="3"/>
  <c r="AQ967" i="3"/>
  <c r="AQ968" i="3"/>
  <c r="AQ969" i="3"/>
  <c r="AQ970" i="3"/>
  <c r="AQ971" i="3"/>
  <c r="AQ972" i="3"/>
  <c r="AQ973" i="3"/>
  <c r="AQ974" i="3"/>
  <c r="AQ975" i="3"/>
  <c r="AQ976" i="3"/>
  <c r="AQ977" i="3"/>
  <c r="AQ978" i="3"/>
  <c r="AQ979" i="3"/>
  <c r="AQ980" i="3"/>
  <c r="AQ981" i="3"/>
  <c r="AQ982" i="3"/>
  <c r="AQ983" i="3"/>
  <c r="AQ984" i="3"/>
  <c r="AQ985" i="3"/>
  <c r="AQ986" i="3"/>
  <c r="AQ987" i="3"/>
  <c r="AQ988" i="3"/>
  <c r="AQ989" i="3"/>
  <c r="AQ990" i="3"/>
  <c r="AQ991" i="3"/>
  <c r="AQ992" i="3"/>
  <c r="AQ993" i="3"/>
  <c r="AQ994" i="3"/>
  <c r="AQ995" i="3"/>
  <c r="AQ996" i="3"/>
  <c r="AQ997" i="3"/>
  <c r="AQ998" i="3"/>
  <c r="AQ999" i="3"/>
  <c r="AQ1000" i="3"/>
  <c r="AQ1001" i="3"/>
  <c r="AQ1002" i="3"/>
  <c r="AQ1003" i="3"/>
  <c r="AQ1004" i="3"/>
  <c r="AQ1005" i="3"/>
  <c r="AQ1006" i="3"/>
  <c r="AQ1007" i="3"/>
  <c r="AQ1008" i="3"/>
  <c r="AQ1009" i="3"/>
  <c r="AQ1010" i="3"/>
  <c r="AQ1011" i="3"/>
  <c r="AQ1012" i="3"/>
  <c r="AQ1013" i="3"/>
  <c r="AQ1014" i="3"/>
  <c r="AQ1015" i="3"/>
  <c r="AQ1016" i="3"/>
  <c r="AQ1017" i="3"/>
  <c r="AQ1018" i="3"/>
  <c r="AQ1019" i="3"/>
  <c r="AQ1020" i="3"/>
  <c r="AQ1021" i="3"/>
  <c r="AQ1022" i="3"/>
  <c r="AQ1023" i="3"/>
  <c r="AQ1024" i="3"/>
  <c r="AQ1025" i="3"/>
  <c r="AQ1026" i="3"/>
  <c r="AQ1027" i="3"/>
  <c r="AQ1028" i="3"/>
  <c r="AQ1029" i="3"/>
  <c r="AQ1030" i="3"/>
  <c r="AQ1031" i="3"/>
  <c r="AQ1032" i="3"/>
  <c r="AQ1033" i="3"/>
  <c r="AQ1034" i="3"/>
  <c r="AQ1035" i="3"/>
  <c r="AQ1036" i="3"/>
  <c r="AQ1037" i="3"/>
  <c r="AQ1038" i="3"/>
  <c r="AQ1039" i="3"/>
  <c r="AQ1040" i="3"/>
  <c r="AQ1041" i="3"/>
  <c r="AQ1042" i="3"/>
  <c r="AQ1043" i="3"/>
  <c r="AQ1044" i="3"/>
  <c r="AQ1045" i="3"/>
  <c r="AQ1046" i="3"/>
  <c r="AQ1047" i="3"/>
  <c r="AQ1048" i="3"/>
  <c r="AQ1049" i="3"/>
  <c r="AQ1050" i="3"/>
  <c r="AQ1051" i="3"/>
  <c r="AQ1052" i="3"/>
  <c r="AQ1053" i="3"/>
  <c r="AQ1054" i="3"/>
  <c r="AQ1055" i="3"/>
  <c r="AQ1056" i="3"/>
  <c r="AQ1057" i="3"/>
  <c r="AQ1058" i="3"/>
  <c r="AQ1059" i="3"/>
  <c r="AQ1060" i="3"/>
  <c r="AQ1061" i="3"/>
  <c r="AQ1062" i="3"/>
  <c r="AQ1063" i="3"/>
  <c r="AQ1064" i="3"/>
  <c r="AQ1065" i="3"/>
  <c r="AQ1066" i="3"/>
  <c r="AQ1067" i="3"/>
  <c r="AQ1068" i="3"/>
  <c r="AQ1069" i="3"/>
  <c r="AQ1070" i="3"/>
  <c r="AQ1071" i="3"/>
  <c r="AQ1072" i="3"/>
  <c r="AQ1073" i="3"/>
  <c r="AQ1074" i="3"/>
  <c r="AQ1075" i="3"/>
  <c r="AQ1076" i="3"/>
  <c r="AQ1077" i="3"/>
  <c r="AQ1078" i="3"/>
  <c r="AQ1079" i="3"/>
  <c r="AQ1080" i="3"/>
  <c r="AQ1081" i="3"/>
  <c r="AQ1082" i="3"/>
  <c r="AQ1083" i="3"/>
  <c r="AQ1084" i="3"/>
  <c r="AQ1085" i="3"/>
  <c r="AQ1086" i="3"/>
  <c r="AQ1087" i="3"/>
  <c r="AQ1088" i="3"/>
  <c r="AQ1089" i="3"/>
  <c r="AQ1090" i="3"/>
  <c r="AQ1091" i="3"/>
  <c r="AQ1092" i="3"/>
  <c r="AQ1093" i="3"/>
  <c r="AQ1094" i="3"/>
  <c r="AQ1095" i="3"/>
  <c r="AQ1096" i="3"/>
  <c r="AQ1097" i="3"/>
  <c r="AQ1098" i="3"/>
  <c r="AQ1099" i="3"/>
  <c r="AQ1100" i="3"/>
  <c r="AQ1101" i="3"/>
  <c r="AQ1102" i="3"/>
  <c r="AQ1103" i="3"/>
  <c r="AQ1104" i="3"/>
  <c r="AQ1105" i="3"/>
  <c r="AQ1106" i="3"/>
  <c r="AQ1107" i="3"/>
  <c r="AQ1108" i="3"/>
  <c r="AQ1109" i="3"/>
  <c r="AQ1110" i="3"/>
  <c r="AQ1111" i="3"/>
  <c r="AQ1112" i="3"/>
  <c r="AQ1113" i="3"/>
  <c r="AQ1114" i="3"/>
  <c r="AQ1115" i="3"/>
  <c r="AQ1116" i="3"/>
  <c r="AQ1117" i="3"/>
  <c r="AQ1118" i="3"/>
  <c r="AQ1119" i="3"/>
  <c r="AQ1120" i="3"/>
  <c r="AQ1121" i="3"/>
  <c r="AQ1122" i="3"/>
  <c r="AQ1123" i="3"/>
  <c r="AQ1124" i="3"/>
  <c r="AQ1125" i="3"/>
  <c r="AQ1126" i="3"/>
  <c r="AQ1127" i="3"/>
  <c r="AQ1128" i="3"/>
  <c r="AQ1129" i="3"/>
  <c r="AQ1130" i="3"/>
  <c r="AQ1131" i="3"/>
  <c r="AQ1132" i="3"/>
  <c r="AQ1133" i="3"/>
  <c r="AQ1134" i="3"/>
  <c r="AQ1135" i="3"/>
  <c r="AQ1136" i="3"/>
  <c r="AQ1137" i="3"/>
  <c r="AQ1138" i="3"/>
  <c r="AQ1139" i="3"/>
  <c r="AQ1140" i="3"/>
  <c r="AQ1141" i="3"/>
  <c r="AQ1142" i="3"/>
  <c r="AQ1143" i="3"/>
  <c r="AQ1144" i="3"/>
  <c r="AQ1145" i="3"/>
  <c r="AQ1146" i="3"/>
  <c r="AQ1147" i="3"/>
  <c r="AQ1148" i="3"/>
  <c r="AQ1149" i="3"/>
  <c r="AQ1150" i="3"/>
  <c r="AQ1151" i="3"/>
  <c r="AQ1152" i="3"/>
  <c r="AQ1153" i="3"/>
  <c r="AQ1154" i="3"/>
  <c r="AQ1155" i="3"/>
  <c r="AQ1156" i="3"/>
  <c r="AQ1157" i="3"/>
  <c r="AQ1158" i="3"/>
  <c r="AQ1159" i="3"/>
  <c r="AQ1160" i="3"/>
  <c r="AQ1161" i="3"/>
  <c r="AQ1162" i="3"/>
  <c r="AQ1163" i="3"/>
  <c r="AQ1164" i="3"/>
  <c r="AQ1165" i="3"/>
  <c r="AQ1166" i="3"/>
  <c r="AQ1167" i="3"/>
  <c r="AQ1168" i="3"/>
  <c r="AQ1169" i="3"/>
  <c r="AQ1170" i="3"/>
  <c r="AQ1171" i="3"/>
  <c r="AQ1172" i="3"/>
  <c r="AQ1173" i="3"/>
  <c r="AQ1174" i="3"/>
  <c r="AQ1175" i="3"/>
  <c r="AQ1176" i="3"/>
  <c r="AQ1177" i="3"/>
  <c r="AQ1178" i="3"/>
  <c r="AQ1179" i="3"/>
  <c r="AQ1180" i="3"/>
  <c r="AQ1181" i="3"/>
  <c r="AQ1182" i="3"/>
  <c r="AQ1183" i="3"/>
  <c r="AQ1184" i="3"/>
  <c r="AQ1185" i="3"/>
  <c r="AQ1186" i="3"/>
  <c r="AQ1187" i="3"/>
  <c r="AQ1188" i="3"/>
  <c r="AQ1189" i="3"/>
  <c r="AQ1190" i="3"/>
  <c r="AQ1191" i="3"/>
  <c r="AQ1192" i="3"/>
  <c r="AQ1193" i="3"/>
  <c r="AQ1194" i="3"/>
  <c r="AQ1195" i="3"/>
  <c r="AQ1196" i="3"/>
  <c r="AQ1197" i="3"/>
  <c r="AQ1198" i="3"/>
  <c r="AQ1199" i="3"/>
  <c r="AQ1200" i="3"/>
  <c r="AQ1201" i="3"/>
  <c r="AQ1202" i="3"/>
  <c r="AQ1203" i="3"/>
  <c r="AQ1204" i="3"/>
  <c r="AQ1205" i="3"/>
  <c r="AQ1206" i="3"/>
  <c r="AQ1207" i="3"/>
  <c r="AQ1208" i="3"/>
  <c r="AQ1209" i="3"/>
  <c r="AQ1210" i="3"/>
  <c r="AQ1211" i="3"/>
  <c r="AQ1212" i="3"/>
  <c r="AQ1213" i="3"/>
  <c r="AQ1214" i="3"/>
  <c r="AQ1215" i="3"/>
  <c r="AQ1216" i="3"/>
  <c r="AQ1217" i="3"/>
  <c r="AQ1218" i="3"/>
  <c r="AQ1219" i="3"/>
  <c r="AQ1220" i="3"/>
  <c r="AQ1221" i="3"/>
  <c r="AQ1222" i="3"/>
  <c r="AQ1223" i="3"/>
  <c r="AQ1224" i="3"/>
  <c r="AQ1225" i="3"/>
  <c r="AQ1226" i="3"/>
  <c r="AQ1227" i="3"/>
  <c r="AQ1228" i="3"/>
  <c r="AQ1229" i="3"/>
  <c r="AQ1230" i="3"/>
  <c r="AQ1231" i="3"/>
  <c r="AQ1232" i="3"/>
  <c r="AQ1233" i="3"/>
  <c r="AQ1234" i="3"/>
  <c r="AQ1235" i="3"/>
  <c r="AQ1236" i="3"/>
  <c r="AQ1237" i="3"/>
  <c r="AQ1238" i="3"/>
  <c r="AQ1239" i="3"/>
  <c r="AQ1240" i="3"/>
  <c r="AQ1241" i="3"/>
  <c r="AQ1242" i="3"/>
  <c r="AQ1243" i="3"/>
  <c r="AQ1244" i="3"/>
  <c r="AQ1245" i="3"/>
  <c r="AQ1246" i="3"/>
  <c r="AQ1247" i="3"/>
  <c r="AQ1248" i="3"/>
  <c r="AQ1249" i="3"/>
  <c r="AQ1250" i="3"/>
  <c r="AQ1251" i="3"/>
  <c r="AQ1252" i="3"/>
  <c r="AQ1253" i="3"/>
  <c r="AQ1254" i="3"/>
  <c r="AQ1255" i="3"/>
  <c r="AQ1256" i="3"/>
  <c r="AQ1257" i="3"/>
  <c r="AQ1258" i="3"/>
  <c r="AQ1259" i="3"/>
  <c r="AQ1260" i="3"/>
  <c r="AQ1261" i="3"/>
  <c r="AQ1262" i="3"/>
  <c r="AQ1263" i="3"/>
  <c r="AQ1264" i="3"/>
  <c r="AQ1265" i="3"/>
  <c r="AQ1266" i="3"/>
  <c r="AQ1267" i="3"/>
  <c r="AQ1268" i="3"/>
  <c r="AQ1269" i="3"/>
  <c r="AQ1270" i="3"/>
  <c r="AQ1271" i="3"/>
  <c r="AQ1272" i="3"/>
  <c r="AQ1273" i="3"/>
  <c r="AQ1274" i="3"/>
  <c r="AQ1275" i="3"/>
  <c r="AQ1276" i="3"/>
  <c r="AQ1277" i="3"/>
  <c r="AQ1278" i="3"/>
  <c r="AQ1279" i="3"/>
  <c r="AQ1280" i="3"/>
  <c r="AQ1281" i="3"/>
  <c r="AQ1282" i="3"/>
  <c r="AQ1283" i="3"/>
  <c r="AQ1284" i="3"/>
  <c r="AQ1285" i="3"/>
  <c r="AQ1286" i="3"/>
  <c r="AQ1287" i="3"/>
  <c r="AQ1288" i="3"/>
  <c r="AQ1289" i="3"/>
  <c r="AQ1290" i="3"/>
  <c r="AQ1291" i="3"/>
  <c r="AQ1292" i="3"/>
  <c r="AQ1293" i="3"/>
  <c r="AQ1294" i="3"/>
  <c r="AQ1295" i="3"/>
  <c r="AQ1296" i="3"/>
  <c r="AQ1297" i="3"/>
  <c r="AQ1298" i="3"/>
  <c r="AQ1299" i="3"/>
  <c r="AQ1300" i="3"/>
  <c r="AQ1301" i="3"/>
  <c r="AQ1302" i="3"/>
  <c r="AQ1303" i="3"/>
  <c r="AQ1304" i="3"/>
  <c r="AQ1305" i="3"/>
  <c r="AQ1306" i="3"/>
  <c r="AQ1307" i="3"/>
  <c r="AQ1308" i="3"/>
  <c r="AQ1309" i="3"/>
  <c r="AQ1310" i="3"/>
  <c r="AQ1311" i="3"/>
  <c r="AQ1312" i="3"/>
  <c r="AQ1313" i="3"/>
  <c r="AQ1314" i="3"/>
  <c r="AQ1315" i="3"/>
  <c r="AQ1316" i="3"/>
  <c r="AQ1317" i="3"/>
  <c r="AQ1318" i="3"/>
  <c r="AQ1319" i="3"/>
  <c r="AQ1320" i="3"/>
  <c r="AQ1321" i="3"/>
  <c r="AQ1322" i="3"/>
  <c r="AQ1323" i="3"/>
  <c r="AQ1324" i="3"/>
  <c r="AQ1325" i="3"/>
  <c r="AQ1326" i="3"/>
  <c r="AQ1327" i="3"/>
  <c r="AQ1328" i="3"/>
  <c r="AQ1329" i="3"/>
  <c r="AQ1330" i="3"/>
  <c r="AQ1331" i="3"/>
  <c r="AQ1332" i="3"/>
  <c r="AQ1333" i="3"/>
  <c r="AQ1334" i="3"/>
  <c r="AQ1335" i="3"/>
  <c r="AQ1336" i="3"/>
  <c r="AQ1337" i="3"/>
  <c r="AQ1338" i="3"/>
  <c r="AQ1339" i="3"/>
  <c r="AQ1340" i="3"/>
  <c r="AQ1341" i="3"/>
  <c r="AQ1342" i="3"/>
  <c r="AQ1343" i="3"/>
  <c r="AQ1344" i="3"/>
  <c r="AQ1345" i="3"/>
  <c r="AQ1346" i="3"/>
  <c r="AQ1347" i="3"/>
  <c r="AQ1348" i="3"/>
  <c r="AQ1349" i="3"/>
  <c r="AQ1350" i="3"/>
  <c r="AQ1351" i="3"/>
  <c r="AQ1352" i="3"/>
  <c r="AQ1353" i="3"/>
  <c r="AQ1354" i="3"/>
  <c r="AQ1355" i="3"/>
  <c r="AQ1356" i="3"/>
  <c r="AQ1357" i="3"/>
  <c r="AQ1358" i="3"/>
  <c r="AQ1359" i="3"/>
  <c r="AQ1360" i="3"/>
  <c r="AQ1361" i="3"/>
  <c r="AQ1362" i="3"/>
  <c r="AQ1363" i="3"/>
  <c r="AQ1364" i="3"/>
  <c r="AQ1365" i="3"/>
  <c r="AQ1366" i="3"/>
  <c r="AQ1367" i="3"/>
  <c r="AQ1368" i="3"/>
  <c r="AQ1369" i="3"/>
  <c r="AQ1370" i="3"/>
  <c r="AQ1371" i="3"/>
  <c r="AQ1372" i="3"/>
  <c r="AQ1373" i="3"/>
  <c r="AQ1374" i="3"/>
  <c r="AQ1375" i="3"/>
  <c r="AQ1376" i="3"/>
  <c r="AQ1377" i="3"/>
  <c r="AQ1378" i="3"/>
  <c r="AQ1379" i="3"/>
  <c r="AQ1380" i="3"/>
  <c r="AQ1381" i="3"/>
  <c r="AQ1382" i="3"/>
  <c r="AQ1383" i="3"/>
  <c r="AQ1384" i="3"/>
  <c r="AQ1385" i="3"/>
  <c r="AQ1386" i="3"/>
  <c r="AQ1387" i="3"/>
  <c r="AQ1388" i="3"/>
  <c r="AQ1389" i="3"/>
  <c r="AQ1390" i="3"/>
  <c r="AQ1391" i="3"/>
  <c r="AQ1392" i="3"/>
  <c r="AQ1393" i="3"/>
  <c r="AQ1394" i="3"/>
  <c r="AQ1395" i="3"/>
  <c r="AQ1396" i="3"/>
  <c r="AQ1397" i="3"/>
  <c r="AQ1398" i="3"/>
  <c r="AQ1399" i="3"/>
  <c r="AQ1400" i="3"/>
  <c r="AQ1401" i="3"/>
  <c r="AQ1402" i="3"/>
  <c r="AQ1403" i="3"/>
  <c r="AQ1404" i="3"/>
  <c r="AQ1405" i="3"/>
  <c r="AQ1406" i="3"/>
  <c r="AQ1407" i="3"/>
  <c r="AQ1408" i="3"/>
  <c r="AQ1409" i="3"/>
  <c r="AQ1410" i="3"/>
  <c r="AQ1411" i="3"/>
  <c r="AQ1412" i="3"/>
  <c r="AQ1413" i="3"/>
  <c r="AQ1414" i="3"/>
  <c r="AQ1415" i="3"/>
  <c r="AQ1416" i="3"/>
  <c r="AQ1417" i="3"/>
  <c r="AQ1418" i="3"/>
  <c r="AQ1419" i="3"/>
  <c r="AQ1420" i="3"/>
  <c r="AQ1421" i="3"/>
  <c r="AQ1422" i="3"/>
  <c r="AQ1423" i="3"/>
  <c r="AQ1424" i="3"/>
  <c r="AQ1425" i="3"/>
  <c r="AQ1426" i="3"/>
  <c r="AQ1427" i="3"/>
  <c r="AQ1428" i="3"/>
  <c r="AQ1429" i="3"/>
  <c r="AQ1430" i="3"/>
  <c r="AQ1431" i="3"/>
  <c r="AQ1432" i="3"/>
  <c r="AQ1433" i="3"/>
  <c r="AQ1434" i="3"/>
  <c r="AQ1435" i="3"/>
  <c r="AQ1436" i="3"/>
  <c r="AQ1437" i="3"/>
  <c r="AQ1438" i="3"/>
  <c r="AQ1439" i="3"/>
  <c r="AQ1440" i="3"/>
  <c r="AQ1441" i="3"/>
  <c r="AQ1442" i="3"/>
  <c r="AQ1443" i="3"/>
  <c r="AQ1444" i="3"/>
  <c r="AQ1445" i="3"/>
  <c r="AQ1446" i="3"/>
  <c r="AQ1447" i="3"/>
  <c r="AQ1448" i="3"/>
  <c r="AQ1449" i="3"/>
  <c r="AQ1450" i="3"/>
  <c r="AQ1451" i="3"/>
  <c r="AQ1452" i="3"/>
  <c r="AQ1453" i="3"/>
  <c r="AQ1454" i="3"/>
  <c r="AQ1455" i="3"/>
  <c r="AQ1456" i="3"/>
  <c r="AQ1457" i="3"/>
  <c r="AQ1458" i="3"/>
  <c r="AQ1459" i="3"/>
  <c r="AQ1460" i="3"/>
  <c r="AQ1461" i="3"/>
  <c r="AQ1462" i="3"/>
  <c r="AQ1463" i="3"/>
  <c r="AQ1464" i="3"/>
  <c r="AQ1465" i="3"/>
  <c r="AQ1466" i="3"/>
  <c r="AQ1467" i="3"/>
  <c r="AQ1468" i="3"/>
  <c r="AQ1469" i="3"/>
  <c r="AQ1470" i="3"/>
  <c r="AQ1471" i="3"/>
  <c r="AQ1472" i="3"/>
  <c r="AQ1473" i="3"/>
  <c r="AQ1474" i="3"/>
  <c r="AQ1475" i="3"/>
  <c r="AQ1476" i="3"/>
  <c r="AQ1477" i="3"/>
  <c r="AQ1478" i="3"/>
  <c r="AQ1479" i="3"/>
  <c r="AQ1480" i="3"/>
  <c r="AQ1481" i="3"/>
  <c r="AQ1482" i="3"/>
  <c r="AQ1483" i="3"/>
  <c r="AQ1484" i="3"/>
  <c r="AQ1485" i="3"/>
  <c r="AQ1486" i="3"/>
  <c r="AQ1487" i="3"/>
  <c r="AQ1488" i="3"/>
  <c r="AQ1489" i="3"/>
  <c r="AQ1490" i="3"/>
  <c r="AQ1491" i="3"/>
  <c r="AQ1492" i="3"/>
  <c r="AQ1493" i="3"/>
  <c r="AQ1494" i="3"/>
  <c r="AQ1495" i="3"/>
  <c r="AQ1496" i="3"/>
  <c r="AQ1497" i="3"/>
  <c r="AQ1498" i="3"/>
  <c r="AQ1499" i="3"/>
  <c r="AQ1500" i="3"/>
  <c r="AQ1501" i="3"/>
  <c r="AQ1502" i="3"/>
  <c r="AQ1503" i="3"/>
  <c r="AQ1504" i="3"/>
  <c r="AQ1505" i="3"/>
  <c r="AQ1506" i="3"/>
  <c r="AQ1507" i="3"/>
  <c r="AQ1508" i="3"/>
  <c r="AQ1509" i="3"/>
  <c r="AQ1510" i="3"/>
  <c r="AQ1511" i="3"/>
  <c r="AQ1512" i="3"/>
  <c r="AQ1513" i="3"/>
  <c r="AQ1514" i="3"/>
  <c r="AQ1515" i="3"/>
  <c r="AQ1516" i="3"/>
  <c r="AQ1517" i="3"/>
  <c r="AQ1518" i="3"/>
  <c r="AQ1519" i="3"/>
  <c r="AQ1520" i="3"/>
  <c r="AQ1521" i="3"/>
  <c r="AQ1522" i="3"/>
  <c r="AQ1523" i="3"/>
  <c r="AQ1524" i="3"/>
  <c r="AQ1525" i="3"/>
  <c r="AQ1526" i="3"/>
  <c r="AQ1527" i="3"/>
  <c r="AQ1528" i="3"/>
  <c r="AQ1529" i="3"/>
  <c r="AQ1530" i="3"/>
  <c r="AQ1531" i="3"/>
  <c r="AQ1532" i="3"/>
  <c r="AQ1533" i="3"/>
  <c r="AQ1534" i="3"/>
  <c r="AQ1535" i="3"/>
  <c r="AQ1536" i="3"/>
  <c r="AQ1537" i="3"/>
  <c r="AQ1538" i="3"/>
  <c r="AQ1539" i="3"/>
  <c r="AQ1540" i="3"/>
  <c r="AQ1541" i="3"/>
  <c r="AQ1542" i="3"/>
  <c r="AQ1543" i="3"/>
  <c r="AQ1544" i="3"/>
  <c r="AQ1545" i="3"/>
  <c r="AQ1546" i="3"/>
  <c r="AQ1547" i="3"/>
  <c r="AQ1548" i="3"/>
  <c r="AQ1549" i="3"/>
  <c r="AQ1550" i="3"/>
  <c r="AQ1551" i="3"/>
  <c r="AQ1552" i="3"/>
  <c r="AQ1553" i="3"/>
  <c r="AQ1554" i="3"/>
  <c r="AQ1555" i="3"/>
  <c r="AQ1556" i="3"/>
  <c r="AQ1557" i="3"/>
  <c r="AQ1558" i="3"/>
  <c r="AQ1559" i="3"/>
  <c r="AQ1560" i="3"/>
  <c r="AQ1561" i="3"/>
  <c r="AQ1562" i="3"/>
  <c r="AQ1563" i="3"/>
  <c r="AQ1564" i="3"/>
  <c r="AQ1565" i="3"/>
  <c r="AQ1566" i="3"/>
  <c r="AQ1567" i="3"/>
  <c r="AQ1568" i="3"/>
  <c r="AQ1569" i="3"/>
  <c r="AQ1570" i="3"/>
  <c r="AQ1571" i="3"/>
  <c r="AQ1572" i="3"/>
  <c r="AQ1573" i="3"/>
  <c r="AQ1574" i="3"/>
  <c r="AQ1575" i="3"/>
  <c r="AQ1576" i="3"/>
  <c r="AQ1577" i="3"/>
  <c r="AQ1578" i="3"/>
  <c r="AQ1579" i="3"/>
  <c r="AQ1580" i="3"/>
  <c r="AQ1581" i="3"/>
  <c r="AQ1582" i="3"/>
  <c r="AQ1583" i="3"/>
  <c r="AQ1584" i="3"/>
  <c r="AQ1585" i="3"/>
  <c r="AQ1586" i="3"/>
  <c r="AQ1587" i="3"/>
  <c r="AQ1588" i="3"/>
  <c r="AQ1589" i="3"/>
  <c r="AQ1590" i="3"/>
  <c r="AQ1591" i="3"/>
  <c r="AQ1592" i="3"/>
  <c r="AQ1593" i="3"/>
  <c r="AQ1594" i="3"/>
  <c r="AQ1595" i="3"/>
  <c r="AQ1596" i="3"/>
  <c r="AQ1597" i="3"/>
  <c r="AQ1598" i="3"/>
  <c r="AQ1599" i="3"/>
  <c r="AQ1600" i="3"/>
  <c r="AQ1601" i="3"/>
  <c r="AQ1602" i="3"/>
  <c r="AQ1603" i="3"/>
  <c r="AQ1604" i="3"/>
  <c r="AQ1605" i="3"/>
  <c r="AQ1606" i="3"/>
  <c r="AQ1607" i="3"/>
  <c r="AQ1608" i="3"/>
  <c r="AQ1609" i="3"/>
  <c r="AQ1610" i="3"/>
  <c r="AQ1611" i="3"/>
  <c r="AQ1612" i="3"/>
  <c r="AQ1613" i="3"/>
  <c r="AQ1614" i="3"/>
  <c r="AQ1615" i="3"/>
  <c r="AQ1616" i="3"/>
  <c r="AQ1617" i="3"/>
  <c r="AQ1618" i="3"/>
  <c r="AQ1619" i="3"/>
  <c r="AQ1620" i="3"/>
  <c r="AQ1621" i="3"/>
  <c r="AQ1622" i="3"/>
  <c r="AQ1623" i="3"/>
  <c r="AQ1624" i="3"/>
  <c r="AQ1625" i="3"/>
  <c r="AQ1626" i="3"/>
  <c r="AQ1627" i="3"/>
  <c r="AQ1628" i="3"/>
  <c r="AQ1629" i="3"/>
  <c r="AQ1630" i="3"/>
  <c r="AQ1631" i="3"/>
  <c r="AQ1632" i="3"/>
  <c r="AQ1633" i="3"/>
  <c r="AQ1634" i="3"/>
  <c r="AQ1635" i="3"/>
  <c r="AQ1636" i="3"/>
  <c r="AQ1637" i="3"/>
  <c r="AQ1638" i="3"/>
  <c r="AQ1639" i="3"/>
  <c r="AQ1640" i="3"/>
  <c r="AQ1641" i="3"/>
  <c r="AQ1642" i="3"/>
  <c r="AQ1643" i="3"/>
  <c r="AQ1644" i="3"/>
  <c r="AQ1645" i="3"/>
  <c r="AQ1646" i="3"/>
  <c r="AQ1647" i="3"/>
  <c r="AQ1648" i="3"/>
  <c r="AQ1649" i="3"/>
  <c r="AQ1650" i="3"/>
  <c r="AQ1651" i="3"/>
  <c r="AQ1652" i="3"/>
  <c r="AQ1653" i="3"/>
  <c r="AQ1654" i="3"/>
  <c r="AQ1655" i="3"/>
  <c r="AQ1656" i="3"/>
  <c r="AQ1657" i="3"/>
  <c r="AQ1658" i="3"/>
  <c r="AQ1659" i="3"/>
  <c r="AQ1660" i="3"/>
  <c r="AQ1661" i="3"/>
  <c r="AQ1662" i="3"/>
  <c r="AQ1663" i="3"/>
  <c r="AQ1664" i="3"/>
  <c r="AQ1665" i="3"/>
  <c r="AQ1666" i="3"/>
  <c r="AQ1667" i="3"/>
  <c r="AQ1668" i="3"/>
  <c r="AQ1669" i="3"/>
  <c r="AQ1670" i="3"/>
  <c r="AQ1671" i="3"/>
  <c r="AQ1672" i="3"/>
  <c r="AQ1673" i="3"/>
  <c r="AQ1674" i="3"/>
  <c r="AQ1675" i="3"/>
  <c r="AQ1676" i="3"/>
  <c r="AQ1677" i="3"/>
  <c r="AQ1678" i="3"/>
  <c r="AQ1679" i="3"/>
  <c r="AQ1680" i="3"/>
  <c r="AQ1681" i="3"/>
  <c r="AQ1682" i="3"/>
  <c r="AQ1683" i="3"/>
  <c r="AQ1684" i="3"/>
  <c r="AQ1685" i="3"/>
  <c r="AQ1686" i="3"/>
  <c r="AQ1687" i="3"/>
  <c r="AQ1688" i="3"/>
  <c r="AQ1689" i="3"/>
  <c r="AQ1690" i="3"/>
  <c r="AQ1691" i="3"/>
  <c r="AQ1692" i="3"/>
  <c r="AQ1693" i="3"/>
  <c r="AQ1694" i="3"/>
  <c r="AQ1695" i="3"/>
  <c r="AQ1696" i="3"/>
  <c r="AQ1697" i="3"/>
  <c r="AQ1698" i="3"/>
  <c r="AQ1699" i="3"/>
  <c r="AQ1700" i="3"/>
  <c r="AQ1701" i="3"/>
  <c r="AQ1702" i="3"/>
  <c r="AQ1703" i="3"/>
  <c r="AQ1704" i="3"/>
  <c r="AQ1705" i="3"/>
  <c r="AQ1706" i="3"/>
  <c r="AQ1707" i="3"/>
  <c r="AQ1708" i="3"/>
  <c r="AQ1709" i="3"/>
  <c r="AQ1710" i="3"/>
  <c r="AQ1711" i="3"/>
  <c r="AQ1712" i="3"/>
  <c r="AQ1713" i="3"/>
  <c r="AQ1714" i="3"/>
  <c r="AQ1715" i="3"/>
  <c r="AQ1716" i="3"/>
  <c r="AQ1717" i="3"/>
  <c r="AQ1718" i="3"/>
  <c r="AQ1719" i="3"/>
  <c r="AQ1720" i="3"/>
  <c r="AQ1721" i="3"/>
  <c r="AQ1722" i="3"/>
  <c r="AQ1723" i="3"/>
  <c r="AQ1724" i="3"/>
  <c r="AQ1725" i="3"/>
  <c r="AQ1726" i="3"/>
  <c r="AQ1727" i="3"/>
  <c r="AQ1728" i="3"/>
  <c r="AQ1729" i="3"/>
  <c r="AQ1730" i="3"/>
  <c r="AQ1731" i="3"/>
  <c r="AQ1732" i="3"/>
  <c r="AQ1733" i="3"/>
  <c r="AQ1734" i="3"/>
  <c r="AQ1735" i="3"/>
  <c r="AQ1736" i="3"/>
  <c r="AQ1737" i="3"/>
  <c r="AQ1738" i="3"/>
  <c r="AQ1739" i="3"/>
  <c r="AQ1740" i="3"/>
  <c r="AQ1741" i="3"/>
  <c r="AQ1742" i="3"/>
  <c r="AQ1743" i="3"/>
  <c r="AQ1744" i="3"/>
  <c r="AQ1745" i="3"/>
  <c r="AQ1746" i="3"/>
  <c r="AQ1747" i="3"/>
  <c r="AQ1748" i="3"/>
  <c r="AQ1749" i="3"/>
  <c r="AQ1750" i="3"/>
  <c r="AQ1751" i="3"/>
  <c r="AQ1752" i="3"/>
  <c r="AQ1753" i="3"/>
  <c r="AQ1754" i="3"/>
  <c r="AQ1755" i="3"/>
  <c r="AQ1756" i="3"/>
  <c r="AQ1757" i="3"/>
  <c r="AQ1758" i="3"/>
  <c r="AQ1759" i="3"/>
  <c r="AQ1760" i="3"/>
  <c r="AQ1761" i="3"/>
  <c r="AQ1762" i="3"/>
  <c r="AQ1763" i="3"/>
  <c r="AQ1764" i="3"/>
  <c r="AQ1765" i="3"/>
  <c r="AQ1766" i="3"/>
  <c r="AQ1767" i="3"/>
  <c r="AQ1768" i="3"/>
  <c r="AQ1769" i="3"/>
  <c r="AQ1770" i="3"/>
  <c r="AQ1771" i="3"/>
  <c r="AQ1772" i="3"/>
  <c r="AQ1773" i="3"/>
  <c r="AQ1774" i="3"/>
  <c r="AQ1775" i="3"/>
  <c r="AQ1776" i="3"/>
  <c r="AQ1777" i="3"/>
  <c r="AQ1778" i="3"/>
  <c r="AQ1779" i="3"/>
  <c r="AQ1780" i="3"/>
  <c r="AQ1781" i="3"/>
  <c r="AQ1782" i="3"/>
  <c r="AQ1783" i="3"/>
  <c r="AQ1784" i="3"/>
  <c r="AQ1785" i="3"/>
  <c r="AQ1786" i="3"/>
  <c r="AQ1787" i="3"/>
  <c r="AQ1788" i="3"/>
  <c r="AQ1789" i="3"/>
  <c r="AQ1790" i="3"/>
  <c r="AQ1791" i="3"/>
  <c r="AQ1792" i="3"/>
  <c r="AQ1793" i="3"/>
  <c r="AQ1794" i="3"/>
  <c r="AQ1795" i="3"/>
  <c r="AQ1796" i="3"/>
  <c r="AQ1797" i="3"/>
  <c r="AQ1798" i="3"/>
  <c r="AQ1799" i="3"/>
  <c r="AQ1800" i="3"/>
  <c r="AQ1801" i="3"/>
  <c r="AQ1802" i="3"/>
  <c r="AQ1803" i="3"/>
  <c r="AQ1804" i="3"/>
  <c r="AQ1805" i="3"/>
  <c r="AQ1806" i="3"/>
  <c r="AQ1807" i="3"/>
  <c r="AQ1808" i="3"/>
  <c r="AQ1809" i="3"/>
  <c r="AQ1810" i="3"/>
  <c r="AQ1811" i="3"/>
  <c r="AQ1812" i="3"/>
  <c r="AQ1813" i="3"/>
  <c r="AQ1814" i="3"/>
  <c r="AQ1815" i="3"/>
  <c r="AQ1816" i="3"/>
  <c r="AQ1817" i="3"/>
  <c r="AQ1818" i="3"/>
  <c r="AQ1819" i="3"/>
  <c r="AQ1820" i="3"/>
  <c r="AQ1821" i="3"/>
  <c r="AQ1822" i="3"/>
  <c r="AQ1823" i="3"/>
  <c r="AQ1824" i="3"/>
  <c r="AQ1825" i="3"/>
  <c r="AQ1826" i="3"/>
  <c r="AQ1827" i="3"/>
  <c r="AQ1828" i="3"/>
  <c r="AQ1829" i="3"/>
  <c r="AQ1830" i="3"/>
  <c r="AQ1831" i="3"/>
  <c r="AQ1832" i="3"/>
  <c r="AQ1833" i="3"/>
  <c r="AQ1834" i="3"/>
  <c r="AQ1835" i="3"/>
  <c r="AQ1836" i="3"/>
  <c r="AQ1837" i="3"/>
  <c r="AQ1838" i="3"/>
  <c r="AQ1839" i="3"/>
  <c r="AQ1840" i="3"/>
  <c r="AQ1841" i="3"/>
  <c r="AQ1842" i="3"/>
  <c r="AQ1843" i="3"/>
  <c r="AQ1844" i="3"/>
  <c r="AQ1845" i="3"/>
  <c r="AQ1846" i="3"/>
  <c r="AQ1847" i="3"/>
  <c r="AQ1848" i="3"/>
  <c r="AQ1849" i="3"/>
  <c r="AQ1850" i="3"/>
  <c r="AQ1851" i="3"/>
  <c r="AQ1852" i="3"/>
  <c r="AQ1853" i="3"/>
  <c r="AQ1854" i="3"/>
  <c r="AQ1855" i="3"/>
  <c r="AQ1856" i="3"/>
  <c r="AQ1857" i="3"/>
  <c r="AQ1858" i="3"/>
  <c r="AQ1859" i="3"/>
  <c r="AQ1860" i="3"/>
  <c r="AQ1861" i="3"/>
  <c r="AQ1862" i="3"/>
  <c r="AQ1863" i="3"/>
  <c r="AQ1864" i="3"/>
  <c r="AQ1865" i="3"/>
  <c r="AQ1866" i="3"/>
  <c r="AQ1867" i="3"/>
  <c r="AQ1868" i="3"/>
  <c r="AQ1869" i="3"/>
  <c r="AQ1870" i="3"/>
  <c r="AQ1871" i="3"/>
  <c r="AQ1872" i="3"/>
  <c r="AQ1873" i="3"/>
  <c r="AQ1874" i="3"/>
  <c r="AQ1875" i="3"/>
  <c r="AQ1876" i="3"/>
  <c r="AQ1877" i="3"/>
  <c r="AQ1878" i="3"/>
  <c r="AQ1879" i="3"/>
  <c r="AQ1880" i="3"/>
  <c r="AQ1881" i="3"/>
  <c r="AQ1882" i="3"/>
  <c r="AQ1883" i="3"/>
  <c r="AQ1884" i="3"/>
  <c r="AQ1885" i="3"/>
  <c r="AQ1886" i="3"/>
  <c r="AQ1887" i="3"/>
  <c r="AQ1888" i="3"/>
  <c r="AQ1889" i="3"/>
  <c r="AQ1890" i="3"/>
  <c r="AQ1891" i="3"/>
  <c r="AQ1892" i="3"/>
  <c r="AQ1893" i="3"/>
  <c r="AQ1894" i="3"/>
  <c r="AQ1895" i="3"/>
  <c r="AQ1896" i="3"/>
  <c r="AQ1897" i="3"/>
  <c r="AQ1898" i="3"/>
  <c r="AQ1899" i="3"/>
  <c r="AQ1900" i="3"/>
  <c r="AQ1901" i="3"/>
  <c r="AQ1902" i="3"/>
  <c r="AQ1903" i="3"/>
  <c r="AQ1904" i="3"/>
  <c r="AQ1905" i="3"/>
  <c r="AQ1906" i="3"/>
  <c r="AQ1907" i="3"/>
  <c r="AQ1908" i="3"/>
  <c r="AQ1909" i="3"/>
  <c r="AQ1910" i="3"/>
  <c r="AQ1911" i="3"/>
  <c r="AQ1912" i="3"/>
  <c r="AQ1913" i="3"/>
  <c r="AQ1914" i="3"/>
  <c r="AQ1915" i="3"/>
  <c r="AQ1916" i="3"/>
  <c r="AQ1917" i="3"/>
  <c r="AQ1918" i="3"/>
  <c r="AQ1919" i="3"/>
  <c r="AQ1920" i="3"/>
  <c r="AQ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AP683" i="3"/>
  <c r="AP684" i="3"/>
  <c r="AP685" i="3"/>
  <c r="AP686" i="3"/>
  <c r="AP687" i="3"/>
  <c r="AP688" i="3"/>
  <c r="AP689" i="3"/>
  <c r="AP690" i="3"/>
  <c r="AP691" i="3"/>
  <c r="AP692" i="3"/>
  <c r="AP693" i="3"/>
  <c r="AP694" i="3"/>
  <c r="AP695" i="3"/>
  <c r="AP696" i="3"/>
  <c r="AP697" i="3"/>
  <c r="AP698" i="3"/>
  <c r="AP699" i="3"/>
  <c r="AP700" i="3"/>
  <c r="AP701" i="3"/>
  <c r="AP702" i="3"/>
  <c r="AP703" i="3"/>
  <c r="AP704" i="3"/>
  <c r="AP705" i="3"/>
  <c r="AP706" i="3"/>
  <c r="AP707" i="3"/>
  <c r="AP708" i="3"/>
  <c r="AP709" i="3"/>
  <c r="AP710" i="3"/>
  <c r="AP711" i="3"/>
  <c r="AP712" i="3"/>
  <c r="AP713" i="3"/>
  <c r="AP714" i="3"/>
  <c r="AP715" i="3"/>
  <c r="AP716" i="3"/>
  <c r="AP717" i="3"/>
  <c r="AP718" i="3"/>
  <c r="AP719" i="3"/>
  <c r="AP720" i="3"/>
  <c r="AP721" i="3"/>
  <c r="AP722" i="3"/>
  <c r="AP723" i="3"/>
  <c r="AP724" i="3"/>
  <c r="AP725" i="3"/>
  <c r="AP726" i="3"/>
  <c r="AP727" i="3"/>
  <c r="AP728" i="3"/>
  <c r="AP729" i="3"/>
  <c r="AP730" i="3"/>
  <c r="AP731" i="3"/>
  <c r="AP732" i="3"/>
  <c r="AP733" i="3"/>
  <c r="AP734" i="3"/>
  <c r="AP735" i="3"/>
  <c r="AP736" i="3"/>
  <c r="AP737" i="3"/>
  <c r="AP738" i="3"/>
  <c r="AP739" i="3"/>
  <c r="AP740" i="3"/>
  <c r="AP741" i="3"/>
  <c r="AP742" i="3"/>
  <c r="AP743" i="3"/>
  <c r="AP744" i="3"/>
  <c r="AP745" i="3"/>
  <c r="AP746" i="3"/>
  <c r="AP747" i="3"/>
  <c r="AP748" i="3"/>
  <c r="AP749" i="3"/>
  <c r="AP750" i="3"/>
  <c r="AP751" i="3"/>
  <c r="AP752" i="3"/>
  <c r="AP753" i="3"/>
  <c r="AP754" i="3"/>
  <c r="AP755" i="3"/>
  <c r="AP756" i="3"/>
  <c r="AP757" i="3"/>
  <c r="AP758" i="3"/>
  <c r="AP759" i="3"/>
  <c r="AP760" i="3"/>
  <c r="AP761" i="3"/>
  <c r="AP762" i="3"/>
  <c r="AP763" i="3"/>
  <c r="AP764" i="3"/>
  <c r="AP765" i="3"/>
  <c r="AP766" i="3"/>
  <c r="AP767" i="3"/>
  <c r="AP768" i="3"/>
  <c r="AP769" i="3"/>
  <c r="AP770" i="3"/>
  <c r="AP771" i="3"/>
  <c r="AP772" i="3"/>
  <c r="AP773" i="3"/>
  <c r="AP774" i="3"/>
  <c r="AP775" i="3"/>
  <c r="AP776" i="3"/>
  <c r="AP777" i="3"/>
  <c r="AP778" i="3"/>
  <c r="AP779" i="3"/>
  <c r="AP780" i="3"/>
  <c r="AP781" i="3"/>
  <c r="AP782" i="3"/>
  <c r="AP783" i="3"/>
  <c r="AP784" i="3"/>
  <c r="AP785" i="3"/>
  <c r="AP786" i="3"/>
  <c r="AP787" i="3"/>
  <c r="AP788" i="3"/>
  <c r="AP789" i="3"/>
  <c r="AP790" i="3"/>
  <c r="AP791" i="3"/>
  <c r="AP792" i="3"/>
  <c r="AP793" i="3"/>
  <c r="AP794" i="3"/>
  <c r="AP795" i="3"/>
  <c r="AP796" i="3"/>
  <c r="AP797" i="3"/>
  <c r="AP798" i="3"/>
  <c r="AP799" i="3"/>
  <c r="AP800" i="3"/>
  <c r="AP801" i="3"/>
  <c r="AP802" i="3"/>
  <c r="AP803" i="3"/>
  <c r="AP804" i="3"/>
  <c r="AP805" i="3"/>
  <c r="AP806" i="3"/>
  <c r="AP807" i="3"/>
  <c r="AP808" i="3"/>
  <c r="AP809" i="3"/>
  <c r="AP810" i="3"/>
  <c r="AP811" i="3"/>
  <c r="AP812" i="3"/>
  <c r="AP813" i="3"/>
  <c r="AP814" i="3"/>
  <c r="AP815" i="3"/>
  <c r="AP816" i="3"/>
  <c r="AP817" i="3"/>
  <c r="AP818" i="3"/>
  <c r="AP819" i="3"/>
  <c r="AP820" i="3"/>
  <c r="AP821" i="3"/>
  <c r="AP822" i="3"/>
  <c r="AP823" i="3"/>
  <c r="AP824" i="3"/>
  <c r="AP825" i="3"/>
  <c r="AP826" i="3"/>
  <c r="AP827" i="3"/>
  <c r="AP828" i="3"/>
  <c r="AP829" i="3"/>
  <c r="AP830" i="3"/>
  <c r="AP831" i="3"/>
  <c r="AP832" i="3"/>
  <c r="AP833" i="3"/>
  <c r="AP834" i="3"/>
  <c r="AP835" i="3"/>
  <c r="AP836" i="3"/>
  <c r="AP837" i="3"/>
  <c r="AP838" i="3"/>
  <c r="AP839" i="3"/>
  <c r="AP840" i="3"/>
  <c r="AP841" i="3"/>
  <c r="AP842" i="3"/>
  <c r="AP843" i="3"/>
  <c r="AP844" i="3"/>
  <c r="AP845" i="3"/>
  <c r="AP846" i="3"/>
  <c r="AP847" i="3"/>
  <c r="AP848" i="3"/>
  <c r="AP849" i="3"/>
  <c r="AP850" i="3"/>
  <c r="AP851" i="3"/>
  <c r="AP852" i="3"/>
  <c r="AP853" i="3"/>
  <c r="AP854" i="3"/>
  <c r="AP855" i="3"/>
  <c r="AP856" i="3"/>
  <c r="AP857" i="3"/>
  <c r="AP858" i="3"/>
  <c r="AP859" i="3"/>
  <c r="AP860" i="3"/>
  <c r="AP861" i="3"/>
  <c r="AP862" i="3"/>
  <c r="AP863" i="3"/>
  <c r="AP864" i="3"/>
  <c r="AP865" i="3"/>
  <c r="AP866" i="3"/>
  <c r="AP867" i="3"/>
  <c r="AP868" i="3"/>
  <c r="AP869" i="3"/>
  <c r="AP870" i="3"/>
  <c r="AP871" i="3"/>
  <c r="AP872" i="3"/>
  <c r="AP873" i="3"/>
  <c r="AP874" i="3"/>
  <c r="AP875" i="3"/>
  <c r="AP876" i="3"/>
  <c r="AP877" i="3"/>
  <c r="AP878" i="3"/>
  <c r="AP879" i="3"/>
  <c r="AP880" i="3"/>
  <c r="AP881" i="3"/>
  <c r="AP882" i="3"/>
  <c r="AP883" i="3"/>
  <c r="AP884" i="3"/>
  <c r="AP885" i="3"/>
  <c r="AP886" i="3"/>
  <c r="AP887" i="3"/>
  <c r="AP888" i="3"/>
  <c r="AP889" i="3"/>
  <c r="AP890" i="3"/>
  <c r="AP891" i="3"/>
  <c r="AP892" i="3"/>
  <c r="AP893" i="3"/>
  <c r="AP894" i="3"/>
  <c r="AP895" i="3"/>
  <c r="AP896" i="3"/>
  <c r="AP897" i="3"/>
  <c r="AP898" i="3"/>
  <c r="AP899" i="3"/>
  <c r="AP900" i="3"/>
  <c r="AP901" i="3"/>
  <c r="AP902" i="3"/>
  <c r="AP903" i="3"/>
  <c r="AP904" i="3"/>
  <c r="AP905" i="3"/>
  <c r="AP906" i="3"/>
  <c r="AP907" i="3"/>
  <c r="AP908" i="3"/>
  <c r="AP909" i="3"/>
  <c r="AP910" i="3"/>
  <c r="AP911" i="3"/>
  <c r="AP912" i="3"/>
  <c r="AP913" i="3"/>
  <c r="AP914" i="3"/>
  <c r="AP915" i="3"/>
  <c r="AP916" i="3"/>
  <c r="AP917" i="3"/>
  <c r="AP918" i="3"/>
  <c r="AP919" i="3"/>
  <c r="AP920" i="3"/>
  <c r="AP921" i="3"/>
  <c r="AP922" i="3"/>
  <c r="AP923" i="3"/>
  <c r="AP924" i="3"/>
  <c r="AP925" i="3"/>
  <c r="AP926" i="3"/>
  <c r="AP927" i="3"/>
  <c r="AP928" i="3"/>
  <c r="AP929" i="3"/>
  <c r="AP930" i="3"/>
  <c r="AP931" i="3"/>
  <c r="AP932" i="3"/>
  <c r="AP933" i="3"/>
  <c r="AP934" i="3"/>
  <c r="AP935" i="3"/>
  <c r="AP936" i="3"/>
  <c r="AP937" i="3"/>
  <c r="AP938" i="3"/>
  <c r="AP939" i="3"/>
  <c r="AP940" i="3"/>
  <c r="AP941" i="3"/>
  <c r="AP942" i="3"/>
  <c r="AP943" i="3"/>
  <c r="AP944" i="3"/>
  <c r="AP945" i="3"/>
  <c r="AP946" i="3"/>
  <c r="AP947" i="3"/>
  <c r="AP948" i="3"/>
  <c r="AP949" i="3"/>
  <c r="AP950" i="3"/>
  <c r="AP951" i="3"/>
  <c r="AP952" i="3"/>
  <c r="AP953" i="3"/>
  <c r="AP954" i="3"/>
  <c r="AP955" i="3"/>
  <c r="AP956" i="3"/>
  <c r="AP957" i="3"/>
  <c r="AP958" i="3"/>
  <c r="AP959" i="3"/>
  <c r="AP960" i="3"/>
  <c r="AP961" i="3"/>
  <c r="AP962" i="3"/>
  <c r="AP963" i="3"/>
  <c r="AP964" i="3"/>
  <c r="AP965" i="3"/>
  <c r="AP966" i="3"/>
  <c r="AP967" i="3"/>
  <c r="AP968" i="3"/>
  <c r="AP969" i="3"/>
  <c r="AP970" i="3"/>
  <c r="AP971" i="3"/>
  <c r="AP972" i="3"/>
  <c r="AP973" i="3"/>
  <c r="AP974" i="3"/>
  <c r="AP975" i="3"/>
  <c r="AP976" i="3"/>
  <c r="AP977" i="3"/>
  <c r="AP978" i="3"/>
  <c r="AP979" i="3"/>
  <c r="AP980" i="3"/>
  <c r="AP981" i="3"/>
  <c r="AP982" i="3"/>
  <c r="AP983" i="3"/>
  <c r="AP984" i="3"/>
  <c r="AP985" i="3"/>
  <c r="AP986" i="3"/>
  <c r="AP987" i="3"/>
  <c r="AP988" i="3"/>
  <c r="AP989" i="3"/>
  <c r="AP990" i="3"/>
  <c r="AP991" i="3"/>
  <c r="AP992" i="3"/>
  <c r="AP993" i="3"/>
  <c r="AP994" i="3"/>
  <c r="AP995" i="3"/>
  <c r="AP996" i="3"/>
  <c r="AP997" i="3"/>
  <c r="AP998" i="3"/>
  <c r="AP999" i="3"/>
  <c r="AP1000" i="3"/>
  <c r="AP1001" i="3"/>
  <c r="AP1002" i="3"/>
  <c r="AP1003" i="3"/>
  <c r="AP1004" i="3"/>
  <c r="AP1005" i="3"/>
  <c r="AP1006" i="3"/>
  <c r="AP1007" i="3"/>
  <c r="AP1008" i="3"/>
  <c r="AP1009" i="3"/>
  <c r="AP1010" i="3"/>
  <c r="AP1011" i="3"/>
  <c r="AP1012" i="3"/>
  <c r="AP1013" i="3"/>
  <c r="AP1014" i="3"/>
  <c r="AP1015" i="3"/>
  <c r="AP1016" i="3"/>
  <c r="AP1017" i="3"/>
  <c r="AP1018" i="3"/>
  <c r="AP1019" i="3"/>
  <c r="AP1020" i="3"/>
  <c r="AP1021" i="3"/>
  <c r="AP1022" i="3"/>
  <c r="AP1023" i="3"/>
  <c r="AP1024" i="3"/>
  <c r="AP1025" i="3"/>
  <c r="AP1026" i="3"/>
  <c r="AP1027" i="3"/>
  <c r="AP1028" i="3"/>
  <c r="AP1029" i="3"/>
  <c r="AP1030" i="3"/>
  <c r="AP1031" i="3"/>
  <c r="AP1032" i="3"/>
  <c r="AP1033" i="3"/>
  <c r="AP1034" i="3"/>
  <c r="AP1035" i="3"/>
  <c r="AP1036" i="3"/>
  <c r="AP1037" i="3"/>
  <c r="AP1038" i="3"/>
  <c r="AP1039" i="3"/>
  <c r="AP1040" i="3"/>
  <c r="AP1041" i="3"/>
  <c r="AP1042" i="3"/>
  <c r="AP1043" i="3"/>
  <c r="AP1044" i="3"/>
  <c r="AP1045" i="3"/>
  <c r="AP1046" i="3"/>
  <c r="AP1047" i="3"/>
  <c r="AP1048" i="3"/>
  <c r="AP1049" i="3"/>
  <c r="AP1050" i="3"/>
  <c r="AP1051" i="3"/>
  <c r="AP1052" i="3"/>
  <c r="AP1053" i="3"/>
  <c r="AP1054" i="3"/>
  <c r="AP1055" i="3"/>
  <c r="AP1056" i="3"/>
  <c r="AP1057" i="3"/>
  <c r="AP1058" i="3"/>
  <c r="AP1059" i="3"/>
  <c r="AP1060" i="3"/>
  <c r="AP1061" i="3"/>
  <c r="AP1062" i="3"/>
  <c r="AP1063" i="3"/>
  <c r="AP1064" i="3"/>
  <c r="AP1065" i="3"/>
  <c r="AP1066" i="3"/>
  <c r="AP1067" i="3"/>
  <c r="AP1068" i="3"/>
  <c r="AP1069" i="3"/>
  <c r="AP1070" i="3"/>
  <c r="AP1071" i="3"/>
  <c r="AP1072" i="3"/>
  <c r="AP1073" i="3"/>
  <c r="AP1074" i="3"/>
  <c r="AP1075" i="3"/>
  <c r="AP1076" i="3"/>
  <c r="AP1077" i="3"/>
  <c r="AP1078" i="3"/>
  <c r="AP1079" i="3"/>
  <c r="AP1080" i="3"/>
  <c r="AP1081" i="3"/>
  <c r="AP1082" i="3"/>
  <c r="AP1083" i="3"/>
  <c r="AP1084" i="3"/>
  <c r="AP1085" i="3"/>
  <c r="AP1086" i="3"/>
  <c r="AP1087" i="3"/>
  <c r="AP1088" i="3"/>
  <c r="AP1089" i="3"/>
  <c r="AP1090" i="3"/>
  <c r="AP1091" i="3"/>
  <c r="AP1092" i="3"/>
  <c r="AP1093" i="3"/>
  <c r="AP1094" i="3"/>
  <c r="AP1095" i="3"/>
  <c r="AP1096" i="3"/>
  <c r="AP1097" i="3"/>
  <c r="AP1098" i="3"/>
  <c r="AP1099" i="3"/>
  <c r="AP1100" i="3"/>
  <c r="AP1101" i="3"/>
  <c r="AP1102" i="3"/>
  <c r="AP1103" i="3"/>
  <c r="AP1104" i="3"/>
  <c r="AP1105" i="3"/>
  <c r="AP1106" i="3"/>
  <c r="AP1107" i="3"/>
  <c r="AP1108" i="3"/>
  <c r="AP1109" i="3"/>
  <c r="AP1110" i="3"/>
  <c r="AP1111" i="3"/>
  <c r="AP1112" i="3"/>
  <c r="AP1113" i="3"/>
  <c r="AP1114" i="3"/>
  <c r="AP1115" i="3"/>
  <c r="AP1116" i="3"/>
  <c r="AP1117" i="3"/>
  <c r="AP1118" i="3"/>
  <c r="AP1119" i="3"/>
  <c r="AP1120" i="3"/>
  <c r="AP1121" i="3"/>
  <c r="AP1122" i="3"/>
  <c r="AP1123" i="3"/>
  <c r="AP1124" i="3"/>
  <c r="AP1125" i="3"/>
  <c r="AP1126" i="3"/>
  <c r="AP1127" i="3"/>
  <c r="AP1128" i="3"/>
  <c r="AP1129" i="3"/>
  <c r="AP1130" i="3"/>
  <c r="AP1131" i="3"/>
  <c r="AP1132" i="3"/>
  <c r="AP1133" i="3"/>
  <c r="AP1134" i="3"/>
  <c r="AP1135" i="3"/>
  <c r="AP1136" i="3"/>
  <c r="AP1137" i="3"/>
  <c r="AP1138" i="3"/>
  <c r="AP1139" i="3"/>
  <c r="AP1140" i="3"/>
  <c r="AP1141" i="3"/>
  <c r="AP1142" i="3"/>
  <c r="AP1143" i="3"/>
  <c r="AP1144" i="3"/>
  <c r="AP1145" i="3"/>
  <c r="AP1146" i="3"/>
  <c r="AP1147" i="3"/>
  <c r="AP1148" i="3"/>
  <c r="AP1149" i="3"/>
  <c r="AP1150" i="3"/>
  <c r="AP1151" i="3"/>
  <c r="AP1152" i="3"/>
  <c r="AP1153" i="3"/>
  <c r="AP1154" i="3"/>
  <c r="AP1155" i="3"/>
  <c r="AP1156" i="3"/>
  <c r="AP1157" i="3"/>
  <c r="AP1158" i="3"/>
  <c r="AP1159" i="3"/>
  <c r="AP1160" i="3"/>
  <c r="AP1161" i="3"/>
  <c r="AP1162" i="3"/>
  <c r="AP1163" i="3"/>
  <c r="AP1164" i="3"/>
  <c r="AP1165" i="3"/>
  <c r="AP1166" i="3"/>
  <c r="AP1167" i="3"/>
  <c r="AP1168" i="3"/>
  <c r="AP1169" i="3"/>
  <c r="AP1170" i="3"/>
  <c r="AP1171" i="3"/>
  <c r="AP1172" i="3"/>
  <c r="AP1173" i="3"/>
  <c r="AP1174" i="3"/>
  <c r="AP1175" i="3"/>
  <c r="AP1176" i="3"/>
  <c r="AP1177" i="3"/>
  <c r="AP1178" i="3"/>
  <c r="AP1179" i="3"/>
  <c r="AP1180" i="3"/>
  <c r="AP1181" i="3"/>
  <c r="AP1182" i="3"/>
  <c r="AP1183" i="3"/>
  <c r="AP1184" i="3"/>
  <c r="AP1185" i="3"/>
  <c r="AP1186" i="3"/>
  <c r="AP1187" i="3"/>
  <c r="AP1188" i="3"/>
  <c r="AP1189" i="3"/>
  <c r="AP1190" i="3"/>
  <c r="AP1191" i="3"/>
  <c r="AP1192" i="3"/>
  <c r="AP1193" i="3"/>
  <c r="AP1194" i="3"/>
  <c r="AP1195" i="3"/>
  <c r="AP1196" i="3"/>
  <c r="AP1197" i="3"/>
  <c r="AP1198" i="3"/>
  <c r="AP1199" i="3"/>
  <c r="AP1200" i="3"/>
  <c r="AP1201" i="3"/>
  <c r="AP1202" i="3"/>
  <c r="AP1203" i="3"/>
  <c r="AP1204" i="3"/>
  <c r="AP1205" i="3"/>
  <c r="AP1206" i="3"/>
  <c r="AP1207" i="3"/>
  <c r="AP1208" i="3"/>
  <c r="AP1209" i="3"/>
  <c r="AP1210" i="3"/>
  <c r="AP1211" i="3"/>
  <c r="AP1212" i="3"/>
  <c r="AP1213" i="3"/>
  <c r="AP1214" i="3"/>
  <c r="AP1215" i="3"/>
  <c r="AP1216" i="3"/>
  <c r="AP1217" i="3"/>
  <c r="AP1218" i="3"/>
  <c r="AP1219" i="3"/>
  <c r="AP1220" i="3"/>
  <c r="AP1221" i="3"/>
  <c r="AP1222" i="3"/>
  <c r="AP1223" i="3"/>
  <c r="AP1224" i="3"/>
  <c r="AP1225" i="3"/>
  <c r="AP1226" i="3"/>
  <c r="AP1227" i="3"/>
  <c r="AP1228" i="3"/>
  <c r="AP1229" i="3"/>
  <c r="AP1230" i="3"/>
  <c r="AP1231" i="3"/>
  <c r="AP1232" i="3"/>
  <c r="AP1233" i="3"/>
  <c r="AP1234" i="3"/>
  <c r="AP1235" i="3"/>
  <c r="AP1236" i="3"/>
  <c r="AP1237" i="3"/>
  <c r="AP1238" i="3"/>
  <c r="AP1239" i="3"/>
  <c r="AP1240" i="3"/>
  <c r="AP1241" i="3"/>
  <c r="AP1242" i="3"/>
  <c r="AP1243" i="3"/>
  <c r="AP1244" i="3"/>
  <c r="AP1245" i="3"/>
  <c r="AP1246" i="3"/>
  <c r="AP1247" i="3"/>
  <c r="AP1248" i="3"/>
  <c r="AP1249" i="3"/>
  <c r="AP1250" i="3"/>
  <c r="AP1251" i="3"/>
  <c r="AP1252" i="3"/>
  <c r="AP1253" i="3"/>
  <c r="AP1254" i="3"/>
  <c r="AP1255" i="3"/>
  <c r="AP1256" i="3"/>
  <c r="AP1257" i="3"/>
  <c r="AP1258" i="3"/>
  <c r="AP1259" i="3"/>
  <c r="AP1260" i="3"/>
  <c r="AP1261" i="3"/>
  <c r="AP1262" i="3"/>
  <c r="AP1263" i="3"/>
  <c r="AP1264" i="3"/>
  <c r="AP1265" i="3"/>
  <c r="AP1266" i="3"/>
  <c r="AP1267" i="3"/>
  <c r="AP1268" i="3"/>
  <c r="AP1269" i="3"/>
  <c r="AP1270" i="3"/>
  <c r="AP1271" i="3"/>
  <c r="AP1272" i="3"/>
  <c r="AP1273" i="3"/>
  <c r="AP1274" i="3"/>
  <c r="AP1275" i="3"/>
  <c r="AP1276" i="3"/>
  <c r="AP1277" i="3"/>
  <c r="AP1278" i="3"/>
  <c r="AP1279" i="3"/>
  <c r="AP1280" i="3"/>
  <c r="AP1281" i="3"/>
  <c r="AP1282" i="3"/>
  <c r="AP1283" i="3"/>
  <c r="AP1284" i="3"/>
  <c r="AP1285" i="3"/>
  <c r="AP1286" i="3"/>
  <c r="AP1287" i="3"/>
  <c r="AP1288" i="3"/>
  <c r="AP1289" i="3"/>
  <c r="AP1290" i="3"/>
  <c r="AP1291" i="3"/>
  <c r="AP1292" i="3"/>
  <c r="AP1293" i="3"/>
  <c r="AP1294" i="3"/>
  <c r="AP1295" i="3"/>
  <c r="AP1296" i="3"/>
  <c r="AP1297" i="3"/>
  <c r="AP1298" i="3"/>
  <c r="AP1299" i="3"/>
  <c r="AP1300" i="3"/>
  <c r="AP1301" i="3"/>
  <c r="AP1302" i="3"/>
  <c r="AP1303" i="3"/>
  <c r="AP1304" i="3"/>
  <c r="AP1305" i="3"/>
  <c r="AP1306" i="3"/>
  <c r="AP1307" i="3"/>
  <c r="AP1308" i="3"/>
  <c r="AP1309" i="3"/>
  <c r="AP1310" i="3"/>
  <c r="AP1311" i="3"/>
  <c r="AP1312" i="3"/>
  <c r="AP1313" i="3"/>
  <c r="AP1314" i="3"/>
  <c r="AP1315" i="3"/>
  <c r="AP1316" i="3"/>
  <c r="AP1317" i="3"/>
  <c r="AP1318" i="3"/>
  <c r="AP1319" i="3"/>
  <c r="AP1320" i="3"/>
  <c r="AP1321" i="3"/>
  <c r="AP1322" i="3"/>
  <c r="AP1323" i="3"/>
  <c r="AP1324" i="3"/>
  <c r="AP1325" i="3"/>
  <c r="AP1326" i="3"/>
  <c r="AP1327" i="3"/>
  <c r="AP1328" i="3"/>
  <c r="AP1329" i="3"/>
  <c r="AP1330" i="3"/>
  <c r="AP1331" i="3"/>
  <c r="AP1332" i="3"/>
  <c r="AP1333" i="3"/>
  <c r="AP1334" i="3"/>
  <c r="AP1335" i="3"/>
  <c r="AP1336" i="3"/>
  <c r="AP1337" i="3"/>
  <c r="AP1338" i="3"/>
  <c r="AP1339" i="3"/>
  <c r="AP1340" i="3"/>
  <c r="AP1341" i="3"/>
  <c r="AP1342" i="3"/>
  <c r="AP1343" i="3"/>
  <c r="AP1344" i="3"/>
  <c r="AP1345" i="3"/>
  <c r="AP1346" i="3"/>
  <c r="AP1347" i="3"/>
  <c r="AP1348" i="3"/>
  <c r="AP1349" i="3"/>
  <c r="AP1350" i="3"/>
  <c r="AP1351" i="3"/>
  <c r="AP1352" i="3"/>
  <c r="AP1353" i="3"/>
  <c r="AP1354" i="3"/>
  <c r="AP1355" i="3"/>
  <c r="AP1356" i="3"/>
  <c r="AP1357" i="3"/>
  <c r="AP1358" i="3"/>
  <c r="AP1359" i="3"/>
  <c r="AP1360" i="3"/>
  <c r="AP1361" i="3"/>
  <c r="AP1362" i="3"/>
  <c r="AP1363" i="3"/>
  <c r="AP1364" i="3"/>
  <c r="AP1365" i="3"/>
  <c r="AP1366" i="3"/>
  <c r="AP1367" i="3"/>
  <c r="AP1368" i="3"/>
  <c r="AP1369" i="3"/>
  <c r="AP1370" i="3"/>
  <c r="AP1371" i="3"/>
  <c r="AP1372" i="3"/>
  <c r="AP1373" i="3"/>
  <c r="AP1374" i="3"/>
  <c r="AP1375" i="3"/>
  <c r="AP1376" i="3"/>
  <c r="AP1377" i="3"/>
  <c r="AP1378" i="3"/>
  <c r="AP1379" i="3"/>
  <c r="AP1380" i="3"/>
  <c r="AP1381" i="3"/>
  <c r="AP1382" i="3"/>
  <c r="AP1383" i="3"/>
  <c r="AP1384" i="3"/>
  <c r="AP1385" i="3"/>
  <c r="AP1386" i="3"/>
  <c r="AP1387" i="3"/>
  <c r="AP1388" i="3"/>
  <c r="AP1389" i="3"/>
  <c r="AP1390" i="3"/>
  <c r="AP1391" i="3"/>
  <c r="AP1392" i="3"/>
  <c r="AP1393" i="3"/>
  <c r="AP1394" i="3"/>
  <c r="AP1395" i="3"/>
  <c r="AP1396" i="3"/>
  <c r="AP1397" i="3"/>
  <c r="AP1398" i="3"/>
  <c r="AP1399" i="3"/>
  <c r="AP1400" i="3"/>
  <c r="AP1401" i="3"/>
  <c r="AP1402" i="3"/>
  <c r="AP1403" i="3"/>
  <c r="AP1404" i="3"/>
  <c r="AP1405" i="3"/>
  <c r="AP1406" i="3"/>
  <c r="AP1407" i="3"/>
  <c r="AP1408" i="3"/>
  <c r="AP1409" i="3"/>
  <c r="AP1410" i="3"/>
  <c r="AP1411" i="3"/>
  <c r="AP1412" i="3"/>
  <c r="AP1413" i="3"/>
  <c r="AP1414" i="3"/>
  <c r="AP1415" i="3"/>
  <c r="AP1416" i="3"/>
  <c r="AP1417" i="3"/>
  <c r="AP1418" i="3"/>
  <c r="AP1419" i="3"/>
  <c r="AP1420" i="3"/>
  <c r="AP1421" i="3"/>
  <c r="AP1422" i="3"/>
  <c r="AP1423" i="3"/>
  <c r="AP1424" i="3"/>
  <c r="AP1425" i="3"/>
  <c r="AP1426" i="3"/>
  <c r="AP1427" i="3"/>
  <c r="AP1428" i="3"/>
  <c r="AP1429" i="3"/>
  <c r="AP1430" i="3"/>
  <c r="AP1431" i="3"/>
  <c r="AP1432" i="3"/>
  <c r="AP1433" i="3"/>
  <c r="AP1434" i="3"/>
  <c r="AP1435" i="3"/>
  <c r="AP1436" i="3"/>
  <c r="AP1437" i="3"/>
  <c r="AP1438" i="3"/>
  <c r="AP1439" i="3"/>
  <c r="AP1440" i="3"/>
  <c r="AP1441" i="3"/>
  <c r="AP1442" i="3"/>
  <c r="AP1443" i="3"/>
  <c r="AP1444" i="3"/>
  <c r="AP1445" i="3"/>
  <c r="AP1446" i="3"/>
  <c r="AP1447" i="3"/>
  <c r="AP1448" i="3"/>
  <c r="AP1449" i="3"/>
  <c r="AP1450" i="3"/>
  <c r="AP1451" i="3"/>
  <c r="AP1452" i="3"/>
  <c r="AP1453" i="3"/>
  <c r="AP1454" i="3"/>
  <c r="AP1455" i="3"/>
  <c r="AP1456" i="3"/>
  <c r="AP1457" i="3"/>
  <c r="AP1458" i="3"/>
  <c r="AP1459" i="3"/>
  <c r="AP1460" i="3"/>
  <c r="AP1461" i="3"/>
  <c r="AP1462" i="3"/>
  <c r="AP1463" i="3"/>
  <c r="AP1464" i="3"/>
  <c r="AP1465" i="3"/>
  <c r="AP1466" i="3"/>
  <c r="AP1467" i="3"/>
  <c r="AP1468" i="3"/>
  <c r="AP1469" i="3"/>
  <c r="AP1470" i="3"/>
  <c r="AP1471" i="3"/>
  <c r="AP1472" i="3"/>
  <c r="AP1473" i="3"/>
  <c r="AP1474" i="3"/>
  <c r="AP1475" i="3"/>
  <c r="AP1476" i="3"/>
  <c r="AP1477" i="3"/>
  <c r="AP1478" i="3"/>
  <c r="AP1479" i="3"/>
  <c r="AP1480" i="3"/>
  <c r="AP1481" i="3"/>
  <c r="AP1482" i="3"/>
  <c r="AP1483" i="3"/>
  <c r="AP1484" i="3"/>
  <c r="AP1485" i="3"/>
  <c r="AP1486" i="3"/>
  <c r="AP1487" i="3"/>
  <c r="AP1488" i="3"/>
  <c r="AP1489" i="3"/>
  <c r="AP1490" i="3"/>
  <c r="AP1491" i="3"/>
  <c r="AP1492" i="3"/>
  <c r="AP1493" i="3"/>
  <c r="AP1494" i="3"/>
  <c r="AP1495" i="3"/>
  <c r="AP1496" i="3"/>
  <c r="AP1497" i="3"/>
  <c r="AP1498" i="3"/>
  <c r="AP1499" i="3"/>
  <c r="AP1500" i="3"/>
  <c r="AP1501" i="3"/>
  <c r="AP1502" i="3"/>
  <c r="AP1503" i="3"/>
  <c r="AP1504" i="3"/>
  <c r="AP1505" i="3"/>
  <c r="AP1506" i="3"/>
  <c r="AP1507" i="3"/>
  <c r="AP1508" i="3"/>
  <c r="AP1509" i="3"/>
  <c r="AP1510" i="3"/>
  <c r="AP1511" i="3"/>
  <c r="AP1512" i="3"/>
  <c r="AP1513" i="3"/>
  <c r="AP1514" i="3"/>
  <c r="AP1515" i="3"/>
  <c r="AP1516" i="3"/>
  <c r="AP1517" i="3"/>
  <c r="AP1518" i="3"/>
  <c r="AP1519" i="3"/>
  <c r="AP1520" i="3"/>
  <c r="AP1521" i="3"/>
  <c r="AP1522" i="3"/>
  <c r="AP1523" i="3"/>
  <c r="AP1524" i="3"/>
  <c r="AP1525" i="3"/>
  <c r="AP1526" i="3"/>
  <c r="AP1527" i="3"/>
  <c r="AP1528" i="3"/>
  <c r="AP1529" i="3"/>
  <c r="AP1530" i="3"/>
  <c r="AP1531" i="3"/>
  <c r="AP1532" i="3"/>
  <c r="AP1533" i="3"/>
  <c r="AP1534" i="3"/>
  <c r="AP1535" i="3"/>
  <c r="AP1536" i="3"/>
  <c r="AP1537" i="3"/>
  <c r="AP1538" i="3"/>
  <c r="AP1539" i="3"/>
  <c r="AP1540" i="3"/>
  <c r="AP1541" i="3"/>
  <c r="AP1542" i="3"/>
  <c r="AP1543" i="3"/>
  <c r="AP1544" i="3"/>
  <c r="AP1545" i="3"/>
  <c r="AP1546" i="3"/>
  <c r="AP1547" i="3"/>
  <c r="AP1548" i="3"/>
  <c r="AP1549" i="3"/>
  <c r="AP1550" i="3"/>
  <c r="AP1551" i="3"/>
  <c r="AP1552" i="3"/>
  <c r="AP1553" i="3"/>
  <c r="AP1554" i="3"/>
  <c r="AP1555" i="3"/>
  <c r="AP1556" i="3"/>
  <c r="AP1557" i="3"/>
  <c r="AP1558" i="3"/>
  <c r="AP1559" i="3"/>
  <c r="AP1560" i="3"/>
  <c r="AP1561" i="3"/>
  <c r="AP1562" i="3"/>
  <c r="AP1563" i="3"/>
  <c r="AP1564" i="3"/>
  <c r="AP1565" i="3"/>
  <c r="AP1566" i="3"/>
  <c r="AP1567" i="3"/>
  <c r="AP1568" i="3"/>
  <c r="AP1569" i="3"/>
  <c r="AP1570" i="3"/>
  <c r="AP1571" i="3"/>
  <c r="AP1572" i="3"/>
  <c r="AP1573" i="3"/>
  <c r="AP1574" i="3"/>
  <c r="AP1575" i="3"/>
  <c r="AP1576" i="3"/>
  <c r="AP1577" i="3"/>
  <c r="AP1578" i="3"/>
  <c r="AP1579" i="3"/>
  <c r="AP1580" i="3"/>
  <c r="AP1581" i="3"/>
  <c r="AP1582" i="3"/>
  <c r="AP1583" i="3"/>
  <c r="AP1584" i="3"/>
  <c r="AP1585" i="3"/>
  <c r="AP1586" i="3"/>
  <c r="AP1587" i="3"/>
  <c r="AP1588" i="3"/>
  <c r="AP1589" i="3"/>
  <c r="AP1590" i="3"/>
  <c r="AP1591" i="3"/>
  <c r="AP1592" i="3"/>
  <c r="AP1593" i="3"/>
  <c r="AP1594" i="3"/>
  <c r="AP1595" i="3"/>
  <c r="AP1596" i="3"/>
  <c r="AP1597" i="3"/>
  <c r="AP1598" i="3"/>
  <c r="AP1599" i="3"/>
  <c r="AP1600" i="3"/>
  <c r="AP1601" i="3"/>
  <c r="AP1602" i="3"/>
  <c r="AP1603" i="3"/>
  <c r="AP1604" i="3"/>
  <c r="AP1605" i="3"/>
  <c r="AP1606" i="3"/>
  <c r="AP1607" i="3"/>
  <c r="AP1608" i="3"/>
  <c r="AP1609" i="3"/>
  <c r="AP1610" i="3"/>
  <c r="AP1611" i="3"/>
  <c r="AP1612" i="3"/>
  <c r="AP1613" i="3"/>
  <c r="AP1614" i="3"/>
  <c r="AP1615" i="3"/>
  <c r="AP1616" i="3"/>
  <c r="AP1617" i="3"/>
  <c r="AP1618" i="3"/>
  <c r="AP1619" i="3"/>
  <c r="AP1620" i="3"/>
  <c r="AP1621" i="3"/>
  <c r="AP1622" i="3"/>
  <c r="AP1623" i="3"/>
  <c r="AP1624" i="3"/>
  <c r="AP1625" i="3"/>
  <c r="AP1626" i="3"/>
  <c r="AP1627" i="3"/>
  <c r="AP1628" i="3"/>
  <c r="AP1629" i="3"/>
  <c r="AP1630" i="3"/>
  <c r="AP1631" i="3"/>
  <c r="AP1632" i="3"/>
  <c r="AP1633" i="3"/>
  <c r="AP1634" i="3"/>
  <c r="AP1635" i="3"/>
  <c r="AP1636" i="3"/>
  <c r="AP1637" i="3"/>
  <c r="AP1638" i="3"/>
  <c r="AP1639" i="3"/>
  <c r="AP1640" i="3"/>
  <c r="AP1641" i="3"/>
  <c r="AP1642" i="3"/>
  <c r="AP1643" i="3"/>
  <c r="AP1644" i="3"/>
  <c r="AP1645" i="3"/>
  <c r="AP1646" i="3"/>
  <c r="AP1647" i="3"/>
  <c r="AP1648" i="3"/>
  <c r="AP1649" i="3"/>
  <c r="AP1650" i="3"/>
  <c r="AP1651" i="3"/>
  <c r="AP1652" i="3"/>
  <c r="AP1653" i="3"/>
  <c r="AP1654" i="3"/>
  <c r="AP1655" i="3"/>
  <c r="AP1656" i="3"/>
  <c r="AP1657" i="3"/>
  <c r="AP1658" i="3"/>
  <c r="AP1659" i="3"/>
  <c r="AP1660" i="3"/>
  <c r="AP1661" i="3"/>
  <c r="AP1662" i="3"/>
  <c r="AP1663" i="3"/>
  <c r="AP1664" i="3"/>
  <c r="AP1665" i="3"/>
  <c r="AP1666" i="3"/>
  <c r="AP1667" i="3"/>
  <c r="AP1668" i="3"/>
  <c r="AP1669" i="3"/>
  <c r="AP1670" i="3"/>
  <c r="AP1671" i="3"/>
  <c r="AP1672" i="3"/>
  <c r="AP1673" i="3"/>
  <c r="AP1674" i="3"/>
  <c r="AP1675" i="3"/>
  <c r="AP1676" i="3"/>
  <c r="AP1677" i="3"/>
  <c r="AP1678" i="3"/>
  <c r="AP1679" i="3"/>
  <c r="AP1680" i="3"/>
  <c r="AP1681" i="3"/>
  <c r="AP1682" i="3"/>
  <c r="AP1683" i="3"/>
  <c r="AP1684" i="3"/>
  <c r="AP1685" i="3"/>
  <c r="AP1686" i="3"/>
  <c r="AP1687" i="3"/>
  <c r="AP1688" i="3"/>
  <c r="AP1689" i="3"/>
  <c r="AP1690" i="3"/>
  <c r="AP1691" i="3"/>
  <c r="AP1692" i="3"/>
  <c r="AP1693" i="3"/>
  <c r="AP1694" i="3"/>
  <c r="AP1695" i="3"/>
  <c r="AP1696" i="3"/>
  <c r="AP1697" i="3"/>
  <c r="AP1698" i="3"/>
  <c r="AP1699" i="3"/>
  <c r="AP1700" i="3"/>
  <c r="AP1701" i="3"/>
  <c r="AP1702" i="3"/>
  <c r="AP1703" i="3"/>
  <c r="AP1704" i="3"/>
  <c r="AP1705" i="3"/>
  <c r="AP1706" i="3"/>
  <c r="AP1707" i="3"/>
  <c r="AP1708" i="3"/>
  <c r="AP1709" i="3"/>
  <c r="AP1710" i="3"/>
  <c r="AP1711" i="3"/>
  <c r="AP1712" i="3"/>
  <c r="AP1713" i="3"/>
  <c r="AP1714" i="3"/>
  <c r="AP1715" i="3"/>
  <c r="AP1716" i="3"/>
  <c r="AP1717" i="3"/>
  <c r="AP1718" i="3"/>
  <c r="AP1719" i="3"/>
  <c r="AP1720" i="3"/>
  <c r="AP1721" i="3"/>
  <c r="AP1722" i="3"/>
  <c r="AP1723" i="3"/>
  <c r="AP1724" i="3"/>
  <c r="AP1725" i="3"/>
  <c r="AP1726" i="3"/>
  <c r="AP1727" i="3"/>
  <c r="AP1728" i="3"/>
  <c r="AP1729" i="3"/>
  <c r="AP1730" i="3"/>
  <c r="AP1731" i="3"/>
  <c r="AP1732" i="3"/>
  <c r="AP1733" i="3"/>
  <c r="AP1734" i="3"/>
  <c r="AP1735" i="3"/>
  <c r="AP1736" i="3"/>
  <c r="AP1737" i="3"/>
  <c r="AP1738" i="3"/>
  <c r="AP1739" i="3"/>
  <c r="AP1740" i="3"/>
  <c r="AP1741" i="3"/>
  <c r="AP1742" i="3"/>
  <c r="AP1743" i="3"/>
  <c r="AP1744" i="3"/>
  <c r="AP1745" i="3"/>
  <c r="AP1746" i="3"/>
  <c r="AP1747" i="3"/>
  <c r="AP1748" i="3"/>
  <c r="AP1749" i="3"/>
  <c r="AP1750" i="3"/>
  <c r="AP1751" i="3"/>
  <c r="AP1752" i="3"/>
  <c r="AP1753" i="3"/>
  <c r="AP1754" i="3"/>
  <c r="AP1755" i="3"/>
  <c r="AP1756" i="3"/>
  <c r="AP1757" i="3"/>
  <c r="AP1758" i="3"/>
  <c r="AP1759" i="3"/>
  <c r="AP1760" i="3"/>
  <c r="AP1761" i="3"/>
  <c r="AP1762" i="3"/>
  <c r="AP1763" i="3"/>
  <c r="AP1764" i="3"/>
  <c r="AP1765" i="3"/>
  <c r="AP1766" i="3"/>
  <c r="AP1767" i="3"/>
  <c r="AP1768" i="3"/>
  <c r="AP1769" i="3"/>
  <c r="AP1770" i="3"/>
  <c r="AP1771" i="3"/>
  <c r="AP1772" i="3"/>
  <c r="AP1773" i="3"/>
  <c r="AP1774" i="3"/>
  <c r="AP1775" i="3"/>
  <c r="AP1776" i="3"/>
  <c r="AP1777" i="3"/>
  <c r="AP1778" i="3"/>
  <c r="AP1779" i="3"/>
  <c r="AP1780" i="3"/>
  <c r="AP1781" i="3"/>
  <c r="AP1782" i="3"/>
  <c r="AP1783" i="3"/>
  <c r="AP1784" i="3"/>
  <c r="AP1785" i="3"/>
  <c r="AP1786" i="3"/>
  <c r="AP1787" i="3"/>
  <c r="AP1788" i="3"/>
  <c r="AP1789" i="3"/>
  <c r="AP1790" i="3"/>
  <c r="AP1791" i="3"/>
  <c r="AP1792" i="3"/>
  <c r="AP1793" i="3"/>
  <c r="AP1794" i="3"/>
  <c r="AP1795" i="3"/>
  <c r="AP1796" i="3"/>
  <c r="AP1797" i="3"/>
  <c r="AP1798" i="3"/>
  <c r="AP1799" i="3"/>
  <c r="AP1800" i="3"/>
  <c r="AP1801" i="3"/>
  <c r="AP1802" i="3"/>
  <c r="AP1803" i="3"/>
  <c r="AP1804" i="3"/>
  <c r="AP1805" i="3"/>
  <c r="AP1806" i="3"/>
  <c r="AP1807" i="3"/>
  <c r="AP1808" i="3"/>
  <c r="AP1809" i="3"/>
  <c r="AP1810" i="3"/>
  <c r="AP1811" i="3"/>
  <c r="AP1812" i="3"/>
  <c r="AP1813" i="3"/>
  <c r="AP1814" i="3"/>
  <c r="AP1815" i="3"/>
  <c r="AP1816" i="3"/>
  <c r="AP1817" i="3"/>
  <c r="AP1818" i="3"/>
  <c r="AP1819" i="3"/>
  <c r="AP1820" i="3"/>
  <c r="AP1821" i="3"/>
  <c r="AP1822" i="3"/>
  <c r="AP1823" i="3"/>
  <c r="AP1824" i="3"/>
  <c r="AP1825" i="3"/>
  <c r="AP1826" i="3"/>
  <c r="AP1827" i="3"/>
  <c r="AP1828" i="3"/>
  <c r="AP1829" i="3"/>
  <c r="AP1830" i="3"/>
  <c r="AP1831" i="3"/>
  <c r="AP1832" i="3"/>
  <c r="AP1833" i="3"/>
  <c r="AP1834" i="3"/>
  <c r="AP1835" i="3"/>
  <c r="AP1836" i="3"/>
  <c r="AP1837" i="3"/>
  <c r="AP1838" i="3"/>
  <c r="AP1839" i="3"/>
  <c r="AP1840" i="3"/>
  <c r="AP1841" i="3"/>
  <c r="AP1842" i="3"/>
  <c r="AP1843" i="3"/>
  <c r="AP1844" i="3"/>
  <c r="AP1845" i="3"/>
  <c r="AP1846" i="3"/>
  <c r="AP1847" i="3"/>
  <c r="AP1848" i="3"/>
  <c r="AP1849" i="3"/>
  <c r="AP1850" i="3"/>
  <c r="AP1851" i="3"/>
  <c r="AP1852" i="3"/>
  <c r="AP1853" i="3"/>
  <c r="AP1854" i="3"/>
  <c r="AP1855" i="3"/>
  <c r="AP1856" i="3"/>
  <c r="AP1857" i="3"/>
  <c r="AP1858" i="3"/>
  <c r="AP1859" i="3"/>
  <c r="AP1860" i="3"/>
  <c r="AP1861" i="3"/>
  <c r="AP1862" i="3"/>
  <c r="AP1863" i="3"/>
  <c r="AP1864" i="3"/>
  <c r="AP1865" i="3"/>
  <c r="AP1866" i="3"/>
  <c r="AP1867" i="3"/>
  <c r="AP1868" i="3"/>
  <c r="AP1869" i="3"/>
  <c r="AP1870" i="3"/>
  <c r="AP1871" i="3"/>
  <c r="AP1872" i="3"/>
  <c r="AP1873" i="3"/>
  <c r="AP1874" i="3"/>
  <c r="AP1875" i="3"/>
  <c r="AP1876" i="3"/>
  <c r="AP1877" i="3"/>
  <c r="AP1878" i="3"/>
  <c r="AP1879" i="3"/>
  <c r="AP1880" i="3"/>
  <c r="AP1881" i="3"/>
  <c r="AP1882" i="3"/>
  <c r="AP1883" i="3"/>
  <c r="AP1884" i="3"/>
  <c r="AP1885" i="3"/>
  <c r="AP1886" i="3"/>
  <c r="AP1887" i="3"/>
  <c r="AP1888" i="3"/>
  <c r="AP1889" i="3"/>
  <c r="AP1890" i="3"/>
  <c r="AP1891" i="3"/>
  <c r="AP1892" i="3"/>
  <c r="AP1893" i="3"/>
  <c r="AP1894" i="3"/>
  <c r="AP1895" i="3"/>
  <c r="AP1896" i="3"/>
  <c r="AP1897" i="3"/>
  <c r="AP1898" i="3"/>
  <c r="AP1899" i="3"/>
  <c r="AP1900" i="3"/>
  <c r="AP1901" i="3"/>
  <c r="AP1902" i="3"/>
  <c r="AP1903" i="3"/>
  <c r="AP1904" i="3"/>
  <c r="AP1905" i="3"/>
  <c r="AP1906" i="3"/>
  <c r="AP1907" i="3"/>
  <c r="AP1908" i="3"/>
  <c r="AP1909" i="3"/>
  <c r="AP1910" i="3"/>
  <c r="AP1911" i="3"/>
  <c r="AP1912" i="3"/>
  <c r="AP1913" i="3"/>
  <c r="AP1914" i="3"/>
  <c r="AP1915" i="3"/>
  <c r="AP1916" i="3"/>
  <c r="AP1917" i="3"/>
  <c r="AP1918" i="3"/>
  <c r="AP1919" i="3"/>
  <c r="AP1920" i="3"/>
  <c r="AP3" i="3"/>
  <c r="AO1920" i="3"/>
  <c r="AO1919" i="3"/>
  <c r="AO1918" i="3"/>
  <c r="AO1917" i="3"/>
  <c r="AO1916" i="3"/>
  <c r="AO1915" i="3"/>
  <c r="AO1914" i="3"/>
  <c r="AO1913" i="3"/>
  <c r="AO1912" i="3"/>
  <c r="AO1911" i="3"/>
  <c r="AO1910" i="3"/>
  <c r="AO1909" i="3"/>
  <c r="AO1908" i="3"/>
  <c r="AO1907" i="3"/>
  <c r="AO1906" i="3"/>
  <c r="AO1905" i="3"/>
  <c r="AO1904" i="3"/>
  <c r="AO1903" i="3"/>
  <c r="AO1902" i="3"/>
  <c r="AO1901" i="3"/>
  <c r="AO1900" i="3"/>
  <c r="AO1899" i="3"/>
  <c r="AO1898" i="3"/>
  <c r="AO1897" i="3"/>
  <c r="AO1896" i="3"/>
  <c r="AO1895" i="3"/>
  <c r="AO1894" i="3"/>
  <c r="AO1893" i="3"/>
  <c r="AO1892" i="3"/>
  <c r="AO1891" i="3"/>
  <c r="AO1890" i="3"/>
  <c r="AO1889" i="3"/>
  <c r="AO1888" i="3"/>
  <c r="AO1887" i="3"/>
  <c r="AO1886" i="3"/>
  <c r="AO1885" i="3"/>
  <c r="AO1884" i="3"/>
  <c r="AO1883" i="3"/>
  <c r="AO1882" i="3"/>
  <c r="AO1881" i="3"/>
  <c r="AO1880" i="3"/>
  <c r="AO1879" i="3"/>
  <c r="AO1878" i="3"/>
  <c r="AO1877" i="3"/>
  <c r="AO1876" i="3"/>
  <c r="AO1875" i="3"/>
  <c r="AO1874" i="3"/>
  <c r="AO1873" i="3"/>
  <c r="AO1872" i="3"/>
  <c r="AO1871" i="3"/>
  <c r="AO1870" i="3"/>
  <c r="AO1869" i="3"/>
  <c r="AO1868" i="3"/>
  <c r="AO1867" i="3"/>
  <c r="AO1866" i="3"/>
  <c r="AO1865" i="3"/>
  <c r="AO1864" i="3"/>
  <c r="AO1863" i="3"/>
  <c r="AO1862" i="3"/>
  <c r="AO1861" i="3"/>
  <c r="AO1860" i="3"/>
  <c r="AO1859" i="3"/>
  <c r="AO1858" i="3"/>
  <c r="AO1857" i="3"/>
  <c r="AO1856" i="3"/>
  <c r="AO1855" i="3"/>
  <c r="AO1854" i="3"/>
  <c r="AO1853" i="3"/>
  <c r="AO1852" i="3"/>
  <c r="AO1851" i="3"/>
  <c r="AO1850" i="3"/>
  <c r="AO1849" i="3"/>
  <c r="AO1848" i="3"/>
  <c r="AO1847" i="3"/>
  <c r="AO1846" i="3"/>
  <c r="AO1845" i="3"/>
  <c r="AO1844" i="3"/>
  <c r="AO1843" i="3"/>
  <c r="AO1842" i="3"/>
  <c r="AO1841" i="3"/>
  <c r="AO1840" i="3"/>
  <c r="AO1839" i="3"/>
  <c r="AO1838" i="3"/>
  <c r="AO1837" i="3"/>
  <c r="AO1836" i="3"/>
  <c r="AO1835" i="3"/>
  <c r="AO1834" i="3"/>
  <c r="AO1833" i="3"/>
  <c r="AO1832" i="3"/>
  <c r="AO1831" i="3"/>
  <c r="AO1830" i="3"/>
  <c r="AO1829" i="3"/>
  <c r="AO1828" i="3"/>
  <c r="AO1827" i="3"/>
  <c r="AO1826" i="3"/>
  <c r="AO1825" i="3"/>
  <c r="AO1824" i="3"/>
  <c r="AO1823" i="3"/>
  <c r="AO1822" i="3"/>
  <c r="AO1821" i="3"/>
  <c r="AO1820" i="3"/>
  <c r="AO1819" i="3"/>
  <c r="AO1818" i="3"/>
  <c r="AO1817" i="3"/>
  <c r="AO1816" i="3"/>
  <c r="AO1815" i="3"/>
  <c r="AO1814" i="3"/>
  <c r="AO1813" i="3"/>
  <c r="AO1812" i="3"/>
  <c r="AO1811" i="3"/>
  <c r="AO1810" i="3"/>
  <c r="AO1809" i="3"/>
  <c r="AO1808" i="3"/>
  <c r="AO1807" i="3"/>
  <c r="AO1806" i="3"/>
  <c r="AO1805" i="3"/>
  <c r="AO1804" i="3"/>
  <c r="AO1803" i="3"/>
  <c r="AO1802" i="3"/>
  <c r="AO1801" i="3"/>
  <c r="AO1800" i="3"/>
  <c r="AO1799" i="3"/>
  <c r="AO1798" i="3"/>
  <c r="AO1797" i="3"/>
  <c r="AO1796" i="3"/>
  <c r="AO1795" i="3"/>
  <c r="AO1794" i="3"/>
  <c r="AO1793" i="3"/>
  <c r="AO1792" i="3"/>
  <c r="AO1791" i="3"/>
  <c r="AO1790" i="3"/>
  <c r="AO1789" i="3"/>
  <c r="AO1788" i="3"/>
  <c r="AO1787" i="3"/>
  <c r="AO1786" i="3"/>
  <c r="AO1785" i="3"/>
  <c r="AO1784" i="3"/>
  <c r="AO1783" i="3"/>
  <c r="AO1782" i="3"/>
  <c r="AO1781" i="3"/>
  <c r="AO1780" i="3"/>
  <c r="AO1779" i="3"/>
  <c r="AO1778" i="3"/>
  <c r="AO1777" i="3"/>
  <c r="AO1776" i="3"/>
  <c r="AO1775" i="3"/>
  <c r="AO1774" i="3"/>
  <c r="AO1773" i="3"/>
  <c r="AO1772" i="3"/>
  <c r="AO1771" i="3"/>
  <c r="AO1770" i="3"/>
  <c r="AO1769" i="3"/>
  <c r="AO1768" i="3"/>
  <c r="AO1767" i="3"/>
  <c r="AO1766" i="3"/>
  <c r="AO1765" i="3"/>
  <c r="AO1764" i="3"/>
  <c r="AO1763" i="3"/>
  <c r="AO1762" i="3"/>
  <c r="AO1761" i="3"/>
  <c r="AO1760" i="3"/>
  <c r="AO1759" i="3"/>
  <c r="AO1758" i="3"/>
  <c r="AO1757" i="3"/>
  <c r="AO1756" i="3"/>
  <c r="AO1755" i="3"/>
  <c r="AO1754" i="3"/>
  <c r="AO1753" i="3"/>
  <c r="AO1752" i="3"/>
  <c r="AO1751" i="3"/>
  <c r="AO1750" i="3"/>
  <c r="AO1749" i="3"/>
  <c r="AO1748" i="3"/>
  <c r="AO1747" i="3"/>
  <c r="AO1746" i="3"/>
  <c r="AO1745" i="3"/>
  <c r="AO1744" i="3"/>
  <c r="AO1743" i="3"/>
  <c r="AO1742" i="3"/>
  <c r="AO1741" i="3"/>
  <c r="AO1740" i="3"/>
  <c r="AO1739" i="3"/>
  <c r="AO1738" i="3"/>
  <c r="AO1737" i="3"/>
  <c r="AO1736" i="3"/>
  <c r="AO1735" i="3"/>
  <c r="AO1734" i="3"/>
  <c r="AO1733" i="3"/>
  <c r="AO1732" i="3"/>
  <c r="AO1731" i="3"/>
  <c r="AO1730" i="3"/>
  <c r="AO1729" i="3"/>
  <c r="AO1728" i="3"/>
  <c r="AO1727" i="3"/>
  <c r="AO1726" i="3"/>
  <c r="AO1725" i="3"/>
  <c r="AO1724" i="3"/>
  <c r="AO1723" i="3"/>
  <c r="AO1722" i="3"/>
  <c r="AO1721" i="3"/>
  <c r="AO1720" i="3"/>
  <c r="AO1719" i="3"/>
  <c r="AO1718" i="3"/>
  <c r="AO1717" i="3"/>
  <c r="AO1716" i="3"/>
  <c r="AO1715" i="3"/>
  <c r="AO1714" i="3"/>
  <c r="AO1713" i="3"/>
  <c r="AO1712" i="3"/>
  <c r="AO1711" i="3"/>
  <c r="AO1710" i="3"/>
  <c r="AO1709" i="3"/>
  <c r="AO1708" i="3"/>
  <c r="AO1707" i="3"/>
  <c r="AO1706" i="3"/>
  <c r="AO1705" i="3"/>
  <c r="AO1704" i="3"/>
  <c r="AO1703" i="3"/>
  <c r="AO1702" i="3"/>
  <c r="AO1701" i="3"/>
  <c r="AO1700" i="3"/>
  <c r="AO1699" i="3"/>
  <c r="AO1698" i="3"/>
  <c r="AO1697" i="3"/>
  <c r="AO1696" i="3"/>
  <c r="AO1695" i="3"/>
  <c r="AO1694" i="3"/>
  <c r="AO1693" i="3"/>
  <c r="AO1692" i="3"/>
  <c r="AO1691" i="3"/>
  <c r="AO1690" i="3"/>
  <c r="AO1689" i="3"/>
  <c r="AO1688" i="3"/>
  <c r="AO1687" i="3"/>
  <c r="AO1686" i="3"/>
  <c r="AO1685" i="3"/>
  <c r="AO1684" i="3"/>
  <c r="AO1683" i="3"/>
  <c r="AO1682" i="3"/>
  <c r="AO1681" i="3"/>
  <c r="AO1680" i="3"/>
  <c r="AO1679" i="3"/>
  <c r="AO1678" i="3"/>
  <c r="AO1677" i="3"/>
  <c r="AO1676" i="3"/>
  <c r="AO1675" i="3"/>
  <c r="AO1674" i="3"/>
  <c r="AO1673" i="3"/>
  <c r="AO1672" i="3"/>
  <c r="AO1671" i="3"/>
  <c r="AO1670" i="3"/>
  <c r="AO1669" i="3"/>
  <c r="AO1668" i="3"/>
  <c r="AO1667" i="3"/>
  <c r="AO1666" i="3"/>
  <c r="AO1665" i="3"/>
  <c r="AO1664" i="3"/>
  <c r="AO1663" i="3"/>
  <c r="AO1662" i="3"/>
  <c r="AO1661" i="3"/>
  <c r="AO1660" i="3"/>
  <c r="AO1659" i="3"/>
  <c r="AO1658" i="3"/>
  <c r="AO1657" i="3"/>
  <c r="AO1656" i="3"/>
  <c r="AO1655" i="3"/>
  <c r="AO1654" i="3"/>
  <c r="AO1653" i="3"/>
  <c r="AO1652" i="3"/>
  <c r="AO1651" i="3"/>
  <c r="AO1650" i="3"/>
  <c r="AO1649" i="3"/>
  <c r="AO1648" i="3"/>
  <c r="AO1647" i="3"/>
  <c r="AO1646" i="3"/>
  <c r="AO1645" i="3"/>
  <c r="AO1644" i="3"/>
  <c r="AO1643" i="3"/>
  <c r="AO1642" i="3"/>
  <c r="AO1641" i="3"/>
  <c r="AO1640" i="3"/>
  <c r="AO1639" i="3"/>
  <c r="AO1638" i="3"/>
  <c r="AO1637" i="3"/>
  <c r="AO1636" i="3"/>
  <c r="AO1635" i="3"/>
  <c r="AO1634" i="3"/>
  <c r="AO1633" i="3"/>
  <c r="AO1632" i="3"/>
  <c r="AO1631" i="3"/>
  <c r="AO1630" i="3"/>
  <c r="AO1629" i="3"/>
  <c r="AO1628" i="3"/>
  <c r="AO1627" i="3"/>
  <c r="AO1626" i="3"/>
  <c r="AO1625" i="3"/>
  <c r="AO1624" i="3"/>
  <c r="AO1623" i="3"/>
  <c r="AO1622" i="3"/>
  <c r="AO1621" i="3"/>
  <c r="AO1620" i="3"/>
  <c r="AO1619" i="3"/>
  <c r="AO1618" i="3"/>
  <c r="AO1617" i="3"/>
  <c r="AO1616" i="3"/>
  <c r="AO1615" i="3"/>
  <c r="AO1614" i="3"/>
  <c r="AO1613" i="3"/>
  <c r="AO1612" i="3"/>
  <c r="AO1611" i="3"/>
  <c r="AO1610" i="3"/>
  <c r="AO1609" i="3"/>
  <c r="AO1608" i="3"/>
  <c r="AO1607" i="3"/>
  <c r="AO1606" i="3"/>
  <c r="AO1605" i="3"/>
  <c r="AO1604" i="3"/>
  <c r="AO1603" i="3"/>
  <c r="AO1602" i="3"/>
  <c r="AO1601" i="3"/>
  <c r="AO1600" i="3"/>
  <c r="AO1599" i="3"/>
  <c r="AO1598" i="3"/>
  <c r="AO1597" i="3"/>
  <c r="AO1596" i="3"/>
  <c r="AO1595" i="3"/>
  <c r="AO1594" i="3"/>
  <c r="AO1593" i="3"/>
  <c r="AO1592" i="3"/>
  <c r="AO1591" i="3"/>
  <c r="AO1590" i="3"/>
  <c r="AO1589" i="3"/>
  <c r="AO1588" i="3"/>
  <c r="AO1587" i="3"/>
  <c r="AO1586" i="3"/>
  <c r="AO1585" i="3"/>
  <c r="AO1584" i="3"/>
  <c r="AO1583" i="3"/>
  <c r="AO1582" i="3"/>
  <c r="AO1581" i="3"/>
  <c r="AO1580" i="3"/>
  <c r="AO1579" i="3"/>
  <c r="AO1578" i="3"/>
  <c r="AO1577" i="3"/>
  <c r="AO1576" i="3"/>
  <c r="AO1575" i="3"/>
  <c r="AO1574" i="3"/>
  <c r="AO1573" i="3"/>
  <c r="AO1572" i="3"/>
  <c r="AO1571" i="3"/>
  <c r="AO1570" i="3"/>
  <c r="AO1569" i="3"/>
  <c r="AO1568" i="3"/>
  <c r="AO1567" i="3"/>
  <c r="AO1566" i="3"/>
  <c r="AO1565" i="3"/>
  <c r="AO1564" i="3"/>
  <c r="AO1563" i="3"/>
  <c r="AO1562" i="3"/>
  <c r="AO1561" i="3"/>
  <c r="AO1560" i="3"/>
  <c r="AO1559" i="3"/>
  <c r="AO1558" i="3"/>
  <c r="AO1557" i="3"/>
  <c r="AO1556" i="3"/>
  <c r="AO1555" i="3"/>
  <c r="AO1554" i="3"/>
  <c r="AO1553" i="3"/>
  <c r="AO1552" i="3"/>
  <c r="AO1551" i="3"/>
  <c r="AO1550" i="3"/>
  <c r="AO1549" i="3"/>
  <c r="AO1548" i="3"/>
  <c r="AO1547" i="3"/>
  <c r="AO1546" i="3"/>
  <c r="AO1545" i="3"/>
  <c r="AO1544" i="3"/>
  <c r="AO1543" i="3"/>
  <c r="AO1542" i="3"/>
  <c r="AO1541" i="3"/>
  <c r="AO1540" i="3"/>
  <c r="AO1539" i="3"/>
  <c r="AO1538" i="3"/>
  <c r="AO1537" i="3"/>
  <c r="AO1536" i="3"/>
  <c r="AO1535" i="3"/>
  <c r="AO1534" i="3"/>
  <c r="AO1533" i="3"/>
  <c r="AO1532" i="3"/>
  <c r="AO1531" i="3"/>
  <c r="AO1530" i="3"/>
  <c r="AO1529" i="3"/>
  <c r="AO1528" i="3"/>
  <c r="AO1527" i="3"/>
  <c r="AO1526" i="3"/>
  <c r="AO1525" i="3"/>
  <c r="AO1524" i="3"/>
  <c r="AO1523" i="3"/>
  <c r="AO1522" i="3"/>
  <c r="AO1521" i="3"/>
  <c r="AO1520" i="3"/>
  <c r="AO1519" i="3"/>
  <c r="AO1518" i="3"/>
  <c r="AO1517" i="3"/>
  <c r="AO1516" i="3"/>
  <c r="AO1515" i="3"/>
  <c r="AO1514" i="3"/>
  <c r="AO1513" i="3"/>
  <c r="AO1512" i="3"/>
  <c r="AO1511" i="3"/>
  <c r="AO1510" i="3"/>
  <c r="AO1509" i="3"/>
  <c r="AO1508" i="3"/>
  <c r="AO1507" i="3"/>
  <c r="AO1506" i="3"/>
  <c r="AO1505" i="3"/>
  <c r="AO1504" i="3"/>
  <c r="AO1503" i="3"/>
  <c r="AO1502" i="3"/>
  <c r="AO1501" i="3"/>
  <c r="AO1500" i="3"/>
  <c r="AO1499" i="3"/>
  <c r="AO1498" i="3"/>
  <c r="AO1497" i="3"/>
  <c r="AO1496" i="3"/>
  <c r="AO1495" i="3"/>
  <c r="AO1494" i="3"/>
  <c r="AO1493" i="3"/>
  <c r="AO1492" i="3"/>
  <c r="AO1491" i="3"/>
  <c r="AO1490" i="3"/>
  <c r="AO1489" i="3"/>
  <c r="AO1488" i="3"/>
  <c r="AO1487" i="3"/>
  <c r="AO1486" i="3"/>
  <c r="AO1485" i="3"/>
  <c r="AO1484" i="3"/>
  <c r="AO1483" i="3"/>
  <c r="AO1482" i="3"/>
  <c r="AO1481" i="3"/>
  <c r="AO1480" i="3"/>
  <c r="AO1479" i="3"/>
  <c r="AO1478" i="3"/>
  <c r="AO1477" i="3"/>
  <c r="AO1476" i="3"/>
  <c r="AO1475" i="3"/>
  <c r="AO1474" i="3"/>
  <c r="AO1473" i="3"/>
  <c r="AO1472" i="3"/>
  <c r="AO1471" i="3"/>
  <c r="AO1470" i="3"/>
  <c r="AO1469" i="3"/>
  <c r="AO1468" i="3"/>
  <c r="AO1467" i="3"/>
  <c r="AO1466" i="3"/>
  <c r="AO1465" i="3"/>
  <c r="AO1464" i="3"/>
  <c r="AO1463" i="3"/>
  <c r="AO1462" i="3"/>
  <c r="AO1461" i="3"/>
  <c r="AO1460" i="3"/>
  <c r="AO1459" i="3"/>
  <c r="AO1458" i="3"/>
  <c r="AO1457" i="3"/>
  <c r="AO1456" i="3"/>
  <c r="AO1455" i="3"/>
  <c r="AO1454" i="3"/>
  <c r="AO1453" i="3"/>
  <c r="AO1452" i="3"/>
  <c r="AO1451" i="3"/>
  <c r="AO1450" i="3"/>
  <c r="AO1449" i="3"/>
  <c r="AO1448" i="3"/>
  <c r="AO1447" i="3"/>
  <c r="AO1446" i="3"/>
  <c r="AO1445" i="3"/>
  <c r="AO1444" i="3"/>
  <c r="AO1443" i="3"/>
  <c r="AO1442" i="3"/>
  <c r="AO1441" i="3"/>
  <c r="AO1440" i="3"/>
  <c r="AO1439" i="3"/>
  <c r="AO1438" i="3"/>
  <c r="AO1437" i="3"/>
  <c r="AO1436" i="3"/>
  <c r="AO1435" i="3"/>
  <c r="AO1434" i="3"/>
  <c r="AO1433" i="3"/>
  <c r="AO1432" i="3"/>
  <c r="AO1431" i="3"/>
  <c r="AO1430" i="3"/>
  <c r="AO1429" i="3"/>
  <c r="AO1428" i="3"/>
  <c r="AO1427" i="3"/>
  <c r="AO1426" i="3"/>
  <c r="AO1425" i="3"/>
  <c r="AO1424" i="3"/>
  <c r="AO1423" i="3"/>
  <c r="AO1422" i="3"/>
  <c r="AO1421" i="3"/>
  <c r="AO1420" i="3"/>
  <c r="AO1419" i="3"/>
  <c r="AO1418" i="3"/>
  <c r="AO1417" i="3"/>
  <c r="AO1416" i="3"/>
  <c r="AO1415" i="3"/>
  <c r="AO1414" i="3"/>
  <c r="AO1413" i="3"/>
  <c r="AO1412" i="3"/>
  <c r="AO1411" i="3"/>
  <c r="AO1410" i="3"/>
  <c r="AO1409" i="3"/>
  <c r="AO1408" i="3"/>
  <c r="AO1407" i="3"/>
  <c r="AO1406" i="3"/>
  <c r="AO1405" i="3"/>
  <c r="AO1404" i="3"/>
  <c r="AO1403" i="3"/>
  <c r="AO1402" i="3"/>
  <c r="AO1401" i="3"/>
  <c r="AO1400" i="3"/>
  <c r="AO1399" i="3"/>
  <c r="AO1398" i="3"/>
  <c r="AO1397" i="3"/>
  <c r="AO1396" i="3"/>
  <c r="AO1395" i="3"/>
  <c r="AO1394" i="3"/>
  <c r="AO1393" i="3"/>
  <c r="AO1392" i="3"/>
  <c r="AO1391" i="3"/>
  <c r="AO1390" i="3"/>
  <c r="AO1389" i="3"/>
  <c r="AO1388" i="3"/>
  <c r="AO1387" i="3"/>
  <c r="AO1386" i="3"/>
  <c r="AO1385" i="3"/>
  <c r="AO1384" i="3"/>
  <c r="AO1383" i="3"/>
  <c r="AO1382" i="3"/>
  <c r="AO1381" i="3"/>
  <c r="AO1380" i="3"/>
  <c r="AO1379" i="3"/>
  <c r="AO1378" i="3"/>
  <c r="AO1377" i="3"/>
  <c r="AO1376" i="3"/>
  <c r="AO1375" i="3"/>
  <c r="AO1374" i="3"/>
  <c r="AO1373" i="3"/>
  <c r="AO1372" i="3"/>
  <c r="AO1371" i="3"/>
  <c r="AO1370" i="3"/>
  <c r="AO1369" i="3"/>
  <c r="AO1368" i="3"/>
  <c r="AO1367" i="3"/>
  <c r="AO1366" i="3"/>
  <c r="AO1365" i="3"/>
  <c r="AO1364" i="3"/>
  <c r="AO1363" i="3"/>
  <c r="AO1362" i="3"/>
  <c r="AO1361" i="3"/>
  <c r="AO1360" i="3"/>
  <c r="AO1359" i="3"/>
  <c r="AO1358" i="3"/>
  <c r="AO1357" i="3"/>
  <c r="AO1356" i="3"/>
  <c r="AO1355" i="3"/>
  <c r="AO1354" i="3"/>
  <c r="AO1353" i="3"/>
  <c r="AO1352" i="3"/>
  <c r="AO1351" i="3"/>
  <c r="AO1350" i="3"/>
  <c r="AO1349" i="3"/>
  <c r="AO1348" i="3"/>
  <c r="AO1347" i="3"/>
  <c r="AO1346" i="3"/>
  <c r="AO1345" i="3"/>
  <c r="AO1344" i="3"/>
  <c r="AO1343" i="3"/>
  <c r="AO1342" i="3"/>
  <c r="AO1341" i="3"/>
  <c r="AO1340" i="3"/>
  <c r="AO1339" i="3"/>
  <c r="AO1338" i="3"/>
  <c r="AO1337" i="3"/>
  <c r="AO1336" i="3"/>
  <c r="AO1335" i="3"/>
  <c r="AO1334" i="3"/>
  <c r="AO1333" i="3"/>
  <c r="AO1332" i="3"/>
  <c r="AO1331" i="3"/>
  <c r="AO1330" i="3"/>
  <c r="AO1329" i="3"/>
  <c r="AO1328" i="3"/>
  <c r="AO1327" i="3"/>
  <c r="AO1326" i="3"/>
  <c r="AO1325" i="3"/>
  <c r="AO1324" i="3"/>
  <c r="AO1323" i="3"/>
  <c r="AO1322" i="3"/>
  <c r="AO1321" i="3"/>
  <c r="AO1320" i="3"/>
  <c r="AO1319" i="3"/>
  <c r="AO1318" i="3"/>
  <c r="AO1317" i="3"/>
  <c r="AO1316" i="3"/>
  <c r="AO1315" i="3"/>
  <c r="AO1314" i="3"/>
  <c r="AO1313" i="3"/>
  <c r="AO1312" i="3"/>
  <c r="AO1311" i="3"/>
  <c r="AO1310" i="3"/>
  <c r="AO1309" i="3"/>
  <c r="AO1308" i="3"/>
  <c r="AO1307" i="3"/>
  <c r="AO1306" i="3"/>
  <c r="AO1305" i="3"/>
  <c r="AO1304" i="3"/>
  <c r="AO1303" i="3"/>
  <c r="AO1302" i="3"/>
  <c r="AO1301" i="3"/>
  <c r="AO1300" i="3"/>
  <c r="AO1299" i="3"/>
  <c r="AO1298" i="3"/>
  <c r="AO1297" i="3"/>
  <c r="AO1296" i="3"/>
  <c r="AO1295" i="3"/>
  <c r="AO1294" i="3"/>
  <c r="AO1293" i="3"/>
  <c r="AO1292" i="3"/>
  <c r="AO1291" i="3"/>
  <c r="AO1290" i="3"/>
  <c r="AO1289" i="3"/>
  <c r="AO1288" i="3"/>
  <c r="AO1287" i="3"/>
  <c r="AO1286" i="3"/>
  <c r="AO1285" i="3"/>
  <c r="AO1284" i="3"/>
  <c r="AO1283" i="3"/>
  <c r="AO1282" i="3"/>
  <c r="AO1281" i="3"/>
  <c r="AO1280" i="3"/>
  <c r="AO1279" i="3"/>
  <c r="AO1278" i="3"/>
  <c r="AO1277" i="3"/>
  <c r="AO1276" i="3"/>
  <c r="AO1275" i="3"/>
  <c r="AO1274" i="3"/>
  <c r="AO1273" i="3"/>
  <c r="AO1272" i="3"/>
  <c r="AO1271" i="3"/>
  <c r="AO1270" i="3"/>
  <c r="AO1269" i="3"/>
  <c r="AO1268" i="3"/>
  <c r="AO1267" i="3"/>
  <c r="AO1266" i="3"/>
  <c r="AO1265" i="3"/>
  <c r="AO1264" i="3"/>
  <c r="AO1263" i="3"/>
  <c r="AO1262" i="3"/>
  <c r="AO1261" i="3"/>
  <c r="AO1260" i="3"/>
  <c r="AO1259" i="3"/>
  <c r="AO1258" i="3"/>
  <c r="AO1257" i="3"/>
  <c r="AO1256" i="3"/>
  <c r="AO1255" i="3"/>
  <c r="AO1254" i="3"/>
  <c r="AO1253" i="3"/>
  <c r="AO1252" i="3"/>
  <c r="AO1251" i="3"/>
  <c r="AO1250" i="3"/>
  <c r="AO1249" i="3"/>
  <c r="AO1248" i="3"/>
  <c r="AO1247" i="3"/>
  <c r="AO1246" i="3"/>
  <c r="AO1245" i="3"/>
  <c r="AO1244" i="3"/>
  <c r="AO1243" i="3"/>
  <c r="AO1242" i="3"/>
  <c r="AO1241" i="3"/>
  <c r="AO1240" i="3"/>
  <c r="AO1239" i="3"/>
  <c r="AO1238" i="3"/>
  <c r="AO1237" i="3"/>
  <c r="AO1236" i="3"/>
  <c r="AO1235" i="3"/>
  <c r="AO1234" i="3"/>
  <c r="AO1233" i="3"/>
  <c r="AO1232" i="3"/>
  <c r="AO1231" i="3"/>
  <c r="AO1230" i="3"/>
  <c r="AO1229" i="3"/>
  <c r="AO1228" i="3"/>
  <c r="AO1227" i="3"/>
  <c r="AO1226" i="3"/>
  <c r="AO1225" i="3"/>
  <c r="AO1224" i="3"/>
  <c r="AO1223" i="3"/>
  <c r="AO1222" i="3"/>
  <c r="AO1221" i="3"/>
  <c r="AO1220" i="3"/>
  <c r="AO1219" i="3"/>
  <c r="AO1218" i="3"/>
  <c r="AO1217" i="3"/>
  <c r="AO1216" i="3"/>
  <c r="AO1215" i="3"/>
  <c r="AO1214" i="3"/>
  <c r="AO1213" i="3"/>
  <c r="AO1212" i="3"/>
  <c r="AO1211" i="3"/>
  <c r="AO1210" i="3"/>
  <c r="AO1209" i="3"/>
  <c r="AO1208" i="3"/>
  <c r="AO1207" i="3"/>
  <c r="AO1206" i="3"/>
  <c r="AO1205" i="3"/>
  <c r="AO1204" i="3"/>
  <c r="AO1203" i="3"/>
  <c r="AO1202" i="3"/>
  <c r="AO1201" i="3"/>
  <c r="AO1200" i="3"/>
  <c r="AO1199" i="3"/>
  <c r="AO1198" i="3"/>
  <c r="AO1197" i="3"/>
  <c r="AO1196" i="3"/>
  <c r="AO1195" i="3"/>
  <c r="AO1194" i="3"/>
  <c r="AO1193" i="3"/>
  <c r="AO1192" i="3"/>
  <c r="AO1191" i="3"/>
  <c r="AO1190" i="3"/>
  <c r="AO1189" i="3"/>
  <c r="AO1188" i="3"/>
  <c r="AO1187" i="3"/>
  <c r="AO1186" i="3"/>
  <c r="AO1185" i="3"/>
  <c r="AO1184" i="3"/>
  <c r="AO1183" i="3"/>
  <c r="AO1182" i="3"/>
  <c r="AO1181" i="3"/>
  <c r="AO1180" i="3"/>
  <c r="AO1179" i="3"/>
  <c r="AO1178" i="3"/>
  <c r="AO1177" i="3"/>
  <c r="AO1176" i="3"/>
  <c r="AO1175" i="3"/>
  <c r="AO1174" i="3"/>
  <c r="AO1173" i="3"/>
  <c r="AO1172" i="3"/>
  <c r="AO1171" i="3"/>
  <c r="AO1170" i="3"/>
  <c r="AO1169" i="3"/>
  <c r="AO1168" i="3"/>
  <c r="AO1167" i="3"/>
  <c r="AO1166" i="3"/>
  <c r="AO1165" i="3"/>
  <c r="AO1164" i="3"/>
  <c r="AO1163" i="3"/>
  <c r="AO1162" i="3"/>
  <c r="AO1161" i="3"/>
  <c r="AO1160" i="3"/>
  <c r="AO1159" i="3"/>
  <c r="AO1158" i="3"/>
  <c r="AO1157" i="3"/>
  <c r="AO1156" i="3"/>
  <c r="AO1155" i="3"/>
  <c r="AO1154" i="3"/>
  <c r="AO1153" i="3"/>
  <c r="AO1152" i="3"/>
  <c r="AO1151" i="3"/>
  <c r="AO1150" i="3"/>
  <c r="AO1149" i="3"/>
  <c r="AO1148" i="3"/>
  <c r="AO1147" i="3"/>
  <c r="AO1146" i="3"/>
  <c r="AO1145" i="3"/>
  <c r="AO1144" i="3"/>
  <c r="AO1143" i="3"/>
  <c r="AO1142" i="3"/>
  <c r="AO1141" i="3"/>
  <c r="AO1140" i="3"/>
  <c r="AO1139" i="3"/>
  <c r="AO1138" i="3"/>
  <c r="AO1137" i="3"/>
  <c r="AO1136" i="3"/>
  <c r="AO1135" i="3"/>
  <c r="AO1134" i="3"/>
  <c r="AO1133" i="3"/>
  <c r="AO1132" i="3"/>
  <c r="AO1131" i="3"/>
  <c r="AO1130" i="3"/>
  <c r="AO1129" i="3"/>
  <c r="AO1128" i="3"/>
  <c r="AO1127" i="3"/>
  <c r="AO1126" i="3"/>
  <c r="AO1125" i="3"/>
  <c r="AO1124" i="3"/>
  <c r="AO1123" i="3"/>
  <c r="AO1122" i="3"/>
  <c r="AO1121" i="3"/>
  <c r="AO1120" i="3"/>
  <c r="AO1119" i="3"/>
  <c r="AO1118" i="3"/>
  <c r="AO1117" i="3"/>
  <c r="AO1116" i="3"/>
  <c r="AO1115" i="3"/>
  <c r="AO1114" i="3"/>
  <c r="AO1113" i="3"/>
  <c r="AO1112" i="3"/>
  <c r="AO1111" i="3"/>
  <c r="AO1110" i="3"/>
  <c r="AO1109" i="3"/>
  <c r="AO1108" i="3"/>
  <c r="AO1107" i="3"/>
  <c r="AO1106" i="3"/>
  <c r="AO1105" i="3"/>
  <c r="AO1104" i="3"/>
  <c r="AO1103" i="3"/>
  <c r="AO1102" i="3"/>
  <c r="AO1101" i="3"/>
  <c r="AO1100" i="3"/>
  <c r="AO1099" i="3"/>
  <c r="AO1098" i="3"/>
  <c r="AO1097" i="3"/>
  <c r="AO1096" i="3"/>
  <c r="AO1095" i="3"/>
  <c r="AO1094" i="3"/>
  <c r="AO1093" i="3"/>
  <c r="AO1092" i="3"/>
  <c r="AO1091" i="3"/>
  <c r="AO1090" i="3"/>
  <c r="AO1089" i="3"/>
  <c r="AO1088" i="3"/>
  <c r="AO1087" i="3"/>
  <c r="AO1086" i="3"/>
  <c r="AO1085" i="3"/>
  <c r="AO1084" i="3"/>
  <c r="AO1083" i="3"/>
  <c r="AO1082" i="3"/>
  <c r="AO1081" i="3"/>
  <c r="AO1080" i="3"/>
  <c r="AO1079" i="3"/>
  <c r="AO1078" i="3"/>
  <c r="AO1077" i="3"/>
  <c r="AO1076" i="3"/>
  <c r="AO1075" i="3"/>
  <c r="AO1074" i="3"/>
  <c r="AO1073" i="3"/>
  <c r="AO1072" i="3"/>
  <c r="AO1071" i="3"/>
  <c r="AO1070" i="3"/>
  <c r="AO1069" i="3"/>
  <c r="AO1068" i="3"/>
  <c r="AO1067" i="3"/>
  <c r="AO1066" i="3"/>
  <c r="AO1065" i="3"/>
  <c r="AO1064" i="3"/>
  <c r="AO1063" i="3"/>
  <c r="AO1062" i="3"/>
  <c r="AO1061" i="3"/>
  <c r="AO1060" i="3"/>
  <c r="AO1059" i="3"/>
  <c r="AO1058" i="3"/>
  <c r="AO1057" i="3"/>
  <c r="AO1056" i="3"/>
  <c r="AO1055" i="3"/>
  <c r="AO1054" i="3"/>
  <c r="AO1053" i="3"/>
  <c r="AO1052" i="3"/>
  <c r="AO1051" i="3"/>
  <c r="AO1050" i="3"/>
  <c r="AO1049" i="3"/>
  <c r="AO1048" i="3"/>
  <c r="AO1047" i="3"/>
  <c r="AO1046" i="3"/>
  <c r="AO1045" i="3"/>
  <c r="AO1044" i="3"/>
  <c r="AO1043" i="3"/>
  <c r="AO1042" i="3"/>
  <c r="AO1041" i="3"/>
  <c r="AO1040" i="3"/>
  <c r="AO1039" i="3"/>
  <c r="AO1038" i="3"/>
  <c r="AO1037" i="3"/>
  <c r="AO1036" i="3"/>
  <c r="AO1035" i="3"/>
  <c r="AO1034" i="3"/>
  <c r="AO1033" i="3"/>
  <c r="AO1032" i="3"/>
  <c r="AO1031" i="3"/>
  <c r="AO1030" i="3"/>
  <c r="AO1029" i="3"/>
  <c r="AO1028" i="3"/>
  <c r="AO1027" i="3"/>
  <c r="AO1026" i="3"/>
  <c r="AO1025" i="3"/>
  <c r="AO1024" i="3"/>
  <c r="AO1023" i="3"/>
  <c r="AO1022" i="3"/>
  <c r="AO1021" i="3"/>
  <c r="AO1020" i="3"/>
  <c r="AO1019" i="3"/>
  <c r="AO1018" i="3"/>
  <c r="AO1017" i="3"/>
  <c r="AO1016" i="3"/>
  <c r="AO1015" i="3"/>
  <c r="AO1014" i="3"/>
  <c r="AO1013" i="3"/>
  <c r="AO1012" i="3"/>
  <c r="AO1011" i="3"/>
  <c r="AO1010" i="3"/>
  <c r="AO1009" i="3"/>
  <c r="AO1008" i="3"/>
  <c r="AO1007" i="3"/>
  <c r="AO1006" i="3"/>
  <c r="AO1005" i="3"/>
  <c r="AO1004" i="3"/>
  <c r="AO1003" i="3"/>
  <c r="AO1002" i="3"/>
  <c r="AO1001" i="3"/>
  <c r="AO1000" i="3"/>
  <c r="AO999" i="3"/>
  <c r="AO998" i="3"/>
  <c r="AO997" i="3"/>
  <c r="AO996" i="3"/>
  <c r="AO995" i="3"/>
  <c r="AO994" i="3"/>
  <c r="AO993" i="3"/>
  <c r="AO992" i="3"/>
  <c r="AO991" i="3"/>
  <c r="AO990" i="3"/>
  <c r="AO989" i="3"/>
  <c r="AO988" i="3"/>
  <c r="AO987" i="3"/>
  <c r="AO986" i="3"/>
  <c r="AO985" i="3"/>
  <c r="AO984" i="3"/>
  <c r="AO983" i="3"/>
  <c r="AO982" i="3"/>
  <c r="AO981" i="3"/>
  <c r="AO980" i="3"/>
  <c r="AO979" i="3"/>
  <c r="AO978" i="3"/>
  <c r="AO977" i="3"/>
  <c r="AO976" i="3"/>
  <c r="AO975" i="3"/>
  <c r="AO974" i="3"/>
  <c r="AO973" i="3"/>
  <c r="AO972" i="3"/>
  <c r="AO971" i="3"/>
  <c r="AO970" i="3"/>
  <c r="AO969" i="3"/>
  <c r="AO968" i="3"/>
  <c r="AO967" i="3"/>
  <c r="AO966" i="3"/>
  <c r="AO965" i="3"/>
  <c r="AO964" i="3"/>
  <c r="AO963" i="3"/>
  <c r="AO962" i="3"/>
  <c r="AO961" i="3"/>
  <c r="AO960" i="3"/>
  <c r="AO959" i="3"/>
  <c r="AO958" i="3"/>
  <c r="AO957" i="3"/>
  <c r="AO956" i="3"/>
  <c r="AO955" i="3"/>
  <c r="AO954" i="3"/>
  <c r="AO953" i="3"/>
  <c r="AO952" i="3"/>
  <c r="AO951" i="3"/>
  <c r="AO950" i="3"/>
  <c r="AO949" i="3"/>
  <c r="AO948" i="3"/>
  <c r="AO947" i="3"/>
  <c r="AO946" i="3"/>
  <c r="AO945" i="3"/>
  <c r="AO944" i="3"/>
  <c r="AO943" i="3"/>
  <c r="AO942" i="3"/>
  <c r="AO941" i="3"/>
  <c r="AO940" i="3"/>
  <c r="AO939" i="3"/>
  <c r="AO938" i="3"/>
  <c r="AO937" i="3"/>
  <c r="AO936" i="3"/>
  <c r="AO935" i="3"/>
  <c r="AO934" i="3"/>
  <c r="AO933" i="3"/>
  <c r="AO932" i="3"/>
  <c r="AO931" i="3"/>
  <c r="AO930" i="3"/>
  <c r="AO929" i="3"/>
  <c r="AO928" i="3"/>
  <c r="AO927" i="3"/>
  <c r="AO926" i="3"/>
  <c r="AO925" i="3"/>
  <c r="AO924" i="3"/>
  <c r="AO923" i="3"/>
  <c r="AO922" i="3"/>
  <c r="AO921" i="3"/>
  <c r="AO920" i="3"/>
  <c r="AO919" i="3"/>
  <c r="AO918" i="3"/>
  <c r="AO917" i="3"/>
  <c r="AO916" i="3"/>
  <c r="AO915" i="3"/>
  <c r="AO914" i="3"/>
  <c r="AO913" i="3"/>
  <c r="AO912" i="3"/>
  <c r="AO911" i="3"/>
  <c r="AO910" i="3"/>
  <c r="AO909" i="3"/>
  <c r="AO908" i="3"/>
  <c r="AO907" i="3"/>
  <c r="AO906" i="3"/>
  <c r="AO905" i="3"/>
  <c r="AO904" i="3"/>
  <c r="AO903" i="3"/>
  <c r="AO902" i="3"/>
  <c r="AO901" i="3"/>
  <c r="AO900" i="3"/>
  <c r="AO899" i="3"/>
  <c r="AO898" i="3"/>
  <c r="AO897" i="3"/>
  <c r="AO896" i="3"/>
  <c r="AO895" i="3"/>
  <c r="AO894" i="3"/>
  <c r="AO893" i="3"/>
  <c r="AO892" i="3"/>
  <c r="AO891" i="3"/>
  <c r="AO890" i="3"/>
  <c r="AO889" i="3"/>
  <c r="AO888" i="3"/>
  <c r="AO887" i="3"/>
  <c r="AO886" i="3"/>
  <c r="AO885" i="3"/>
  <c r="AO884" i="3"/>
  <c r="AO883" i="3"/>
  <c r="AO882" i="3"/>
  <c r="AO881" i="3"/>
  <c r="AO880" i="3"/>
  <c r="AO879" i="3"/>
  <c r="AO878" i="3"/>
  <c r="AO877" i="3"/>
  <c r="AO876" i="3"/>
  <c r="AO875" i="3"/>
  <c r="AO874" i="3"/>
  <c r="AO873" i="3"/>
  <c r="AO872" i="3"/>
  <c r="AO871" i="3"/>
  <c r="AO870" i="3"/>
  <c r="AO869" i="3"/>
  <c r="AO868" i="3"/>
  <c r="AO867" i="3"/>
  <c r="AO866" i="3"/>
  <c r="AO865" i="3"/>
  <c r="AO864" i="3"/>
  <c r="AO863" i="3"/>
  <c r="AO862" i="3"/>
  <c r="AO861" i="3"/>
  <c r="AO860" i="3"/>
  <c r="AO859" i="3"/>
  <c r="AO858" i="3"/>
  <c r="AO857" i="3"/>
  <c r="AO856" i="3"/>
  <c r="AO855" i="3"/>
  <c r="AO854" i="3"/>
  <c r="AO853" i="3"/>
  <c r="AO852" i="3"/>
  <c r="AO851" i="3"/>
  <c r="AO850" i="3"/>
  <c r="AO849" i="3"/>
  <c r="AO848" i="3"/>
  <c r="AO847" i="3"/>
  <c r="AO846" i="3"/>
  <c r="AO845" i="3"/>
  <c r="AO844" i="3"/>
  <c r="AO843" i="3"/>
  <c r="AO842" i="3"/>
  <c r="AO841" i="3"/>
  <c r="AO840" i="3"/>
  <c r="AO839" i="3"/>
  <c r="AO838" i="3"/>
  <c r="AO837" i="3"/>
  <c r="AO836" i="3"/>
  <c r="AO835" i="3"/>
  <c r="AO834" i="3"/>
  <c r="AO833" i="3"/>
  <c r="AO832" i="3"/>
  <c r="AO831" i="3"/>
  <c r="AO830" i="3"/>
  <c r="AO829" i="3"/>
  <c r="AO828" i="3"/>
  <c r="AO827" i="3"/>
  <c r="AO826" i="3"/>
  <c r="AO825" i="3"/>
  <c r="AO824" i="3"/>
  <c r="AO823" i="3"/>
  <c r="AO822" i="3"/>
  <c r="AO821" i="3"/>
  <c r="AO820" i="3"/>
  <c r="AO819" i="3"/>
  <c r="AO818" i="3"/>
  <c r="AO817" i="3"/>
  <c r="AO816" i="3"/>
  <c r="AO815" i="3"/>
  <c r="AO814" i="3"/>
  <c r="AO813" i="3"/>
  <c r="AO812" i="3"/>
  <c r="AO811" i="3"/>
  <c r="AO810" i="3"/>
  <c r="AO809" i="3"/>
  <c r="AO808" i="3"/>
  <c r="AO807" i="3"/>
  <c r="AO806" i="3"/>
  <c r="AO805" i="3"/>
  <c r="AO804" i="3"/>
  <c r="AO803" i="3"/>
  <c r="AO802" i="3"/>
  <c r="AO801" i="3"/>
  <c r="AO800" i="3"/>
  <c r="AO799" i="3"/>
  <c r="AO798" i="3"/>
  <c r="AO797" i="3"/>
  <c r="AO796" i="3"/>
  <c r="AO795" i="3"/>
  <c r="AO794" i="3"/>
  <c r="AO793" i="3"/>
  <c r="AO792" i="3"/>
  <c r="AO791" i="3"/>
  <c r="AO790" i="3"/>
  <c r="AO789" i="3"/>
  <c r="AO788" i="3"/>
  <c r="AO787" i="3"/>
  <c r="AO786" i="3"/>
  <c r="AO785" i="3"/>
  <c r="AO784" i="3"/>
  <c r="AO783" i="3"/>
  <c r="AO782" i="3"/>
  <c r="AO781" i="3"/>
  <c r="AO780" i="3"/>
  <c r="AO779" i="3"/>
  <c r="AO778" i="3"/>
  <c r="AO777" i="3"/>
  <c r="AO776" i="3"/>
  <c r="AO775" i="3"/>
  <c r="AO774" i="3"/>
  <c r="AO773" i="3"/>
  <c r="AO772" i="3"/>
  <c r="AO771" i="3"/>
  <c r="AO770" i="3"/>
  <c r="AO769" i="3"/>
  <c r="AO768" i="3"/>
  <c r="AO767" i="3"/>
  <c r="AO766" i="3"/>
  <c r="AO765" i="3"/>
  <c r="AO764" i="3"/>
  <c r="AO763" i="3"/>
  <c r="AO762" i="3"/>
  <c r="AO761" i="3"/>
  <c r="AO760" i="3"/>
  <c r="AO759" i="3"/>
  <c r="AO758" i="3"/>
  <c r="AO757" i="3"/>
  <c r="AO756" i="3"/>
  <c r="AO755" i="3"/>
  <c r="AO754" i="3"/>
  <c r="AO753" i="3"/>
  <c r="AO752" i="3"/>
  <c r="AO751" i="3"/>
  <c r="AO750" i="3"/>
  <c r="AO749" i="3"/>
  <c r="AO748" i="3"/>
  <c r="AO747" i="3"/>
  <c r="AO746" i="3"/>
  <c r="AO745" i="3"/>
  <c r="AO744" i="3"/>
  <c r="AO743" i="3"/>
  <c r="AO742" i="3"/>
  <c r="AO741" i="3"/>
  <c r="AO740" i="3"/>
  <c r="AO739" i="3"/>
  <c r="AO738" i="3"/>
  <c r="AO737" i="3"/>
  <c r="AO736" i="3"/>
  <c r="AO735" i="3"/>
  <c r="AO734" i="3"/>
  <c r="AO733" i="3"/>
  <c r="AO732" i="3"/>
  <c r="AO731" i="3"/>
  <c r="AO730" i="3"/>
  <c r="AO729" i="3"/>
  <c r="AO728" i="3"/>
  <c r="AO727" i="3"/>
  <c r="AO726" i="3"/>
  <c r="AO725" i="3"/>
  <c r="AO724" i="3"/>
  <c r="AO723" i="3"/>
  <c r="AO722" i="3"/>
  <c r="AO721" i="3"/>
  <c r="AO720" i="3"/>
  <c r="AO719" i="3"/>
  <c r="AO718" i="3"/>
  <c r="AO717" i="3"/>
  <c r="AO716" i="3"/>
  <c r="AO715" i="3"/>
  <c r="AO714" i="3"/>
  <c r="AO713" i="3"/>
  <c r="AO712" i="3"/>
  <c r="AO711" i="3"/>
  <c r="AO710" i="3"/>
  <c r="AO709" i="3"/>
  <c r="AO708" i="3"/>
  <c r="AO707" i="3"/>
  <c r="AO706" i="3"/>
  <c r="AO705" i="3"/>
  <c r="AO704" i="3"/>
  <c r="AO703" i="3"/>
  <c r="AO702" i="3"/>
  <c r="AO701" i="3"/>
  <c r="AO700" i="3"/>
  <c r="AO699" i="3"/>
  <c r="AO698" i="3"/>
  <c r="AO697" i="3"/>
  <c r="AO696" i="3"/>
  <c r="AO695" i="3"/>
  <c r="AO694" i="3"/>
  <c r="AO693" i="3"/>
  <c r="AO692" i="3"/>
  <c r="AO691" i="3"/>
  <c r="AO690" i="3"/>
  <c r="AO689" i="3"/>
  <c r="AO688" i="3"/>
  <c r="AO687" i="3"/>
  <c r="AO686" i="3"/>
  <c r="AO685" i="3"/>
  <c r="AO684" i="3"/>
  <c r="AO683" i="3"/>
  <c r="AO682" i="3"/>
  <c r="AO681" i="3"/>
  <c r="AO680" i="3"/>
  <c r="AO679" i="3"/>
  <c r="AO678" i="3"/>
  <c r="AO677" i="3"/>
  <c r="AO676" i="3"/>
  <c r="AO675" i="3"/>
  <c r="AO674" i="3"/>
  <c r="AO673" i="3"/>
  <c r="AO672" i="3"/>
  <c r="AO671" i="3"/>
  <c r="AO670" i="3"/>
  <c r="AO669" i="3"/>
  <c r="AO668" i="3"/>
  <c r="AO667" i="3"/>
  <c r="AO666" i="3"/>
  <c r="AO665" i="3"/>
  <c r="AO664" i="3"/>
  <c r="AO663" i="3"/>
  <c r="AO662" i="3"/>
  <c r="AO661" i="3"/>
  <c r="AO660" i="3"/>
  <c r="AO659" i="3"/>
  <c r="AO658" i="3"/>
  <c r="AO657" i="3"/>
  <c r="AO656" i="3"/>
  <c r="AO655" i="3"/>
  <c r="AO654" i="3"/>
  <c r="AO653" i="3"/>
  <c r="AO652" i="3"/>
  <c r="AO651" i="3"/>
  <c r="AO650" i="3"/>
  <c r="AO649" i="3"/>
  <c r="AO648" i="3"/>
  <c r="AO647" i="3"/>
  <c r="AO646" i="3"/>
  <c r="AO645" i="3"/>
  <c r="AO644" i="3"/>
  <c r="AO643" i="3"/>
  <c r="AO642" i="3"/>
  <c r="AO641" i="3"/>
  <c r="AO640" i="3"/>
  <c r="AO639" i="3"/>
  <c r="AO638" i="3"/>
  <c r="AO637" i="3"/>
  <c r="AO636" i="3"/>
  <c r="AO635" i="3"/>
  <c r="AO634" i="3"/>
  <c r="AO633" i="3"/>
  <c r="AO632" i="3"/>
  <c r="AO631" i="3"/>
  <c r="AO630" i="3"/>
  <c r="AO629" i="3"/>
  <c r="AO628" i="3"/>
  <c r="AO627" i="3"/>
  <c r="AO626" i="3"/>
  <c r="AO625" i="3"/>
  <c r="AO624" i="3"/>
  <c r="AO623" i="3"/>
  <c r="AO622" i="3"/>
  <c r="AO621" i="3"/>
  <c r="AO620" i="3"/>
  <c r="AO619" i="3"/>
  <c r="AO618" i="3"/>
  <c r="AO617" i="3"/>
  <c r="AO616" i="3"/>
  <c r="AO615" i="3"/>
  <c r="AO614" i="3"/>
  <c r="AO613" i="3"/>
  <c r="AO612" i="3"/>
  <c r="AO611" i="3"/>
  <c r="AO610" i="3"/>
  <c r="AO609" i="3"/>
  <c r="AO608" i="3"/>
  <c r="AO607" i="3"/>
  <c r="AO606" i="3"/>
  <c r="AO605" i="3"/>
  <c r="AO604" i="3"/>
  <c r="AO603" i="3"/>
  <c r="AO602" i="3"/>
  <c r="AO601" i="3"/>
  <c r="AO600" i="3"/>
  <c r="AO599" i="3"/>
  <c r="AO598" i="3"/>
  <c r="AO597" i="3"/>
  <c r="AO596" i="3"/>
  <c r="AO595" i="3"/>
  <c r="AO594" i="3"/>
  <c r="AO593" i="3"/>
  <c r="AO592" i="3"/>
  <c r="AO591" i="3"/>
  <c r="AO590" i="3"/>
  <c r="AO589" i="3"/>
  <c r="AO588" i="3"/>
  <c r="AO587" i="3"/>
  <c r="AO586" i="3"/>
  <c r="AO585" i="3"/>
  <c r="AO584" i="3"/>
  <c r="AO583" i="3"/>
  <c r="AO582" i="3"/>
  <c r="AO581" i="3"/>
  <c r="AO580" i="3"/>
  <c r="AO579" i="3"/>
  <c r="AO578" i="3"/>
  <c r="AO577" i="3"/>
  <c r="AO576" i="3"/>
  <c r="AO575" i="3"/>
  <c r="AO574" i="3"/>
  <c r="AO573" i="3"/>
  <c r="AO572" i="3"/>
  <c r="AO571" i="3"/>
  <c r="AO570" i="3"/>
  <c r="AO569" i="3"/>
  <c r="AO568" i="3"/>
  <c r="AO567" i="3"/>
  <c r="AO566" i="3"/>
  <c r="AO565" i="3"/>
  <c r="AO564" i="3"/>
  <c r="AO563" i="3"/>
  <c r="AO562" i="3"/>
  <c r="AO561" i="3"/>
  <c r="AO560" i="3"/>
  <c r="AO559" i="3"/>
  <c r="AO558" i="3"/>
  <c r="AO557" i="3"/>
  <c r="AO556" i="3"/>
  <c r="AO555" i="3"/>
  <c r="AO554" i="3"/>
  <c r="AO553" i="3"/>
  <c r="AO552" i="3"/>
  <c r="AO551" i="3"/>
  <c r="AO550" i="3"/>
  <c r="AO549" i="3"/>
  <c r="AO548" i="3"/>
  <c r="AO547" i="3"/>
  <c r="AO546" i="3"/>
  <c r="AO545" i="3"/>
  <c r="AO544" i="3"/>
  <c r="AO543" i="3"/>
  <c r="AO542" i="3"/>
  <c r="AO541" i="3"/>
  <c r="AO540" i="3"/>
  <c r="AO539" i="3"/>
  <c r="AO538" i="3"/>
  <c r="AO537" i="3"/>
  <c r="AO536" i="3"/>
  <c r="AO535" i="3"/>
  <c r="AO534" i="3"/>
  <c r="AO533" i="3"/>
  <c r="AO532" i="3"/>
  <c r="AO531" i="3"/>
  <c r="AO530" i="3"/>
  <c r="AO529" i="3"/>
  <c r="AO528" i="3"/>
  <c r="AO527" i="3"/>
  <c r="AO526" i="3"/>
  <c r="AO525" i="3"/>
  <c r="AO524" i="3"/>
  <c r="AO523" i="3"/>
  <c r="AO522" i="3"/>
  <c r="AO521" i="3"/>
  <c r="AO520" i="3"/>
  <c r="AO519" i="3"/>
  <c r="AO518" i="3"/>
  <c r="AO517" i="3"/>
  <c r="AO516" i="3"/>
  <c r="AO515" i="3"/>
  <c r="AO514" i="3"/>
  <c r="AO513" i="3"/>
  <c r="AO512" i="3"/>
  <c r="AO511" i="3"/>
  <c r="AO510" i="3"/>
  <c r="AO509" i="3"/>
  <c r="AO508" i="3"/>
  <c r="AO507" i="3"/>
  <c r="AO506" i="3"/>
  <c r="AO505" i="3"/>
  <c r="AO504" i="3"/>
  <c r="AO503" i="3"/>
  <c r="AO502" i="3"/>
  <c r="AO501" i="3"/>
  <c r="AO500" i="3"/>
  <c r="AO499" i="3"/>
  <c r="AO498" i="3"/>
  <c r="AO497" i="3"/>
  <c r="AO496" i="3"/>
  <c r="AO495" i="3"/>
  <c r="AO494" i="3"/>
  <c r="AO493" i="3"/>
  <c r="AO492" i="3"/>
  <c r="AO491" i="3"/>
  <c r="AO490" i="3"/>
  <c r="AO489" i="3"/>
  <c r="AO488" i="3"/>
  <c r="AO487" i="3"/>
  <c r="AO486" i="3"/>
  <c r="AO485" i="3"/>
  <c r="AO484" i="3"/>
  <c r="AO483" i="3"/>
  <c r="AO482" i="3"/>
  <c r="AO481" i="3"/>
  <c r="AO480" i="3"/>
  <c r="AO479" i="3"/>
  <c r="AO478" i="3"/>
  <c r="AO477" i="3"/>
  <c r="AO476" i="3"/>
  <c r="AO475" i="3"/>
  <c r="AO474" i="3"/>
  <c r="AO473" i="3"/>
  <c r="AO472" i="3"/>
  <c r="AO471" i="3"/>
  <c r="AO470" i="3"/>
  <c r="AO469" i="3"/>
  <c r="AO468" i="3"/>
  <c r="AO467" i="3"/>
  <c r="AO466" i="3"/>
  <c r="AO465" i="3"/>
  <c r="AO464" i="3"/>
  <c r="AO463" i="3"/>
  <c r="AO462" i="3"/>
  <c r="AO461" i="3"/>
  <c r="AO460" i="3"/>
  <c r="AO459" i="3"/>
  <c r="AO458" i="3"/>
  <c r="AO457" i="3"/>
  <c r="AO456" i="3"/>
  <c r="AO455" i="3"/>
  <c r="AO454" i="3"/>
  <c r="AO453" i="3"/>
  <c r="AO452" i="3"/>
  <c r="AO451" i="3"/>
  <c r="AO450" i="3"/>
  <c r="AO449" i="3"/>
  <c r="AO448" i="3"/>
  <c r="AO447" i="3"/>
  <c r="AO446" i="3"/>
  <c r="AO445" i="3"/>
  <c r="AO444" i="3"/>
  <c r="AO443" i="3"/>
  <c r="AO442" i="3"/>
  <c r="AO441" i="3"/>
  <c r="AO440" i="3"/>
  <c r="AO439" i="3"/>
  <c r="AO438" i="3"/>
  <c r="AO437" i="3"/>
  <c r="AO436" i="3"/>
  <c r="AO435" i="3"/>
  <c r="AO434" i="3"/>
  <c r="AO433" i="3"/>
  <c r="AO432" i="3"/>
  <c r="AO431" i="3"/>
  <c r="AO430" i="3"/>
  <c r="AO429" i="3"/>
  <c r="AO428" i="3"/>
  <c r="AO427" i="3"/>
  <c r="AO426" i="3"/>
  <c r="AO425" i="3"/>
  <c r="AO424" i="3"/>
  <c r="AO423" i="3"/>
  <c r="AO422" i="3"/>
  <c r="AO421" i="3"/>
  <c r="AO420" i="3"/>
  <c r="AO419" i="3"/>
  <c r="AO418" i="3"/>
  <c r="AO417" i="3"/>
  <c r="AO416" i="3"/>
  <c r="AO415" i="3"/>
  <c r="AO414" i="3"/>
  <c r="AO413" i="3"/>
  <c r="AO412" i="3"/>
  <c r="AO411" i="3"/>
  <c r="AO410" i="3"/>
  <c r="AO409" i="3"/>
  <c r="AO408" i="3"/>
  <c r="AO407" i="3"/>
  <c r="AO406" i="3"/>
  <c r="AO405" i="3"/>
  <c r="AO404" i="3"/>
  <c r="AO403" i="3"/>
  <c r="AO402" i="3"/>
  <c r="AO401" i="3"/>
  <c r="AO400" i="3"/>
  <c r="AO399" i="3"/>
  <c r="AO398" i="3"/>
  <c r="AO397" i="3"/>
  <c r="AO396" i="3"/>
  <c r="AO395" i="3"/>
  <c r="AO394" i="3"/>
  <c r="AO393" i="3"/>
  <c r="AO392" i="3"/>
  <c r="AO391" i="3"/>
  <c r="AO390" i="3"/>
  <c r="AO389" i="3"/>
  <c r="AO388" i="3"/>
  <c r="AO387" i="3"/>
  <c r="AO386" i="3"/>
  <c r="AO385" i="3"/>
  <c r="AO384" i="3"/>
  <c r="AO383" i="3"/>
  <c r="AO382" i="3"/>
  <c r="AO381" i="3"/>
  <c r="AO380" i="3"/>
  <c r="AO379" i="3"/>
  <c r="AO378" i="3"/>
  <c r="AO377" i="3"/>
  <c r="AO376" i="3"/>
  <c r="AO375" i="3"/>
  <c r="AO374" i="3"/>
  <c r="AO373" i="3"/>
  <c r="AO372" i="3"/>
  <c r="AO371" i="3"/>
  <c r="AO370" i="3"/>
  <c r="AO369" i="3"/>
  <c r="AO368" i="3"/>
  <c r="AO367" i="3"/>
  <c r="AO366" i="3"/>
  <c r="AO365" i="3"/>
  <c r="AO364" i="3"/>
  <c r="AO363" i="3"/>
  <c r="AO362" i="3"/>
  <c r="AO361" i="3"/>
  <c r="AO360" i="3"/>
  <c r="AO359" i="3"/>
  <c r="AO358" i="3"/>
  <c r="AO357" i="3"/>
  <c r="AO356" i="3"/>
  <c r="AO355" i="3"/>
  <c r="AO354" i="3"/>
  <c r="AO353" i="3"/>
  <c r="AO352" i="3"/>
  <c r="AO351" i="3"/>
  <c r="AO350" i="3"/>
  <c r="AO349" i="3"/>
  <c r="AO348" i="3"/>
  <c r="AO347" i="3"/>
  <c r="AO346" i="3"/>
  <c r="AO345" i="3"/>
  <c r="AO344" i="3"/>
  <c r="AO343" i="3"/>
  <c r="AO342" i="3"/>
  <c r="AO341" i="3"/>
  <c r="AO340" i="3"/>
  <c r="AO339" i="3"/>
  <c r="AO338" i="3"/>
  <c r="AO337" i="3"/>
  <c r="AO336" i="3"/>
  <c r="AO335" i="3"/>
  <c r="AO334" i="3"/>
  <c r="AO333" i="3"/>
  <c r="AO332" i="3"/>
  <c r="AO331" i="3"/>
  <c r="AO330" i="3"/>
  <c r="AO329" i="3"/>
  <c r="AO328" i="3"/>
  <c r="AO327" i="3"/>
  <c r="AO326" i="3"/>
  <c r="AO325" i="3"/>
  <c r="AO324" i="3"/>
  <c r="AO323" i="3"/>
  <c r="AO322" i="3"/>
  <c r="AO321" i="3"/>
  <c r="AO320" i="3"/>
  <c r="AO319" i="3"/>
  <c r="AO318" i="3"/>
  <c r="AO317" i="3"/>
  <c r="AO316" i="3"/>
  <c r="AO315" i="3"/>
  <c r="AO314" i="3"/>
  <c r="AO313" i="3"/>
  <c r="AO312" i="3"/>
  <c r="AO311" i="3"/>
  <c r="AO310" i="3"/>
  <c r="AO309" i="3"/>
  <c r="AO308" i="3"/>
  <c r="AO307" i="3"/>
  <c r="AO306" i="3"/>
  <c r="AO305" i="3"/>
  <c r="AO304" i="3"/>
  <c r="AO303" i="3"/>
  <c r="AO302" i="3"/>
  <c r="AO301" i="3"/>
  <c r="AO300" i="3"/>
  <c r="AO299" i="3"/>
  <c r="AO298" i="3"/>
  <c r="AO297" i="3"/>
  <c r="AO296" i="3"/>
  <c r="AO295" i="3"/>
  <c r="AO294" i="3"/>
  <c r="AO293" i="3"/>
  <c r="AO292" i="3"/>
  <c r="AO291" i="3"/>
  <c r="AO290" i="3"/>
  <c r="AO289" i="3"/>
  <c r="AO288" i="3"/>
  <c r="AO287" i="3"/>
  <c r="AO286" i="3"/>
  <c r="AO285" i="3"/>
  <c r="AO284" i="3"/>
  <c r="AO283" i="3"/>
  <c r="AO282" i="3"/>
  <c r="AO281" i="3"/>
  <c r="AO280" i="3"/>
  <c r="AO279" i="3"/>
  <c r="AO278" i="3"/>
  <c r="AO277" i="3"/>
  <c r="AO276" i="3"/>
  <c r="AO275" i="3"/>
  <c r="AO274" i="3"/>
  <c r="AO273" i="3"/>
  <c r="AO272" i="3"/>
  <c r="AO271" i="3"/>
  <c r="AO270" i="3"/>
  <c r="AO269" i="3"/>
  <c r="AO268" i="3"/>
  <c r="AO267" i="3"/>
  <c r="AO266" i="3"/>
  <c r="AO265" i="3"/>
  <c r="AO264" i="3"/>
  <c r="AO263" i="3"/>
  <c r="AO262" i="3"/>
  <c r="AO261" i="3"/>
  <c r="AO260" i="3"/>
  <c r="AO259" i="3"/>
  <c r="AO258" i="3"/>
  <c r="AO257" i="3"/>
  <c r="AO256" i="3"/>
  <c r="AO255" i="3"/>
  <c r="AO254" i="3"/>
  <c r="AO253" i="3"/>
  <c r="AO252" i="3"/>
  <c r="AO251" i="3"/>
  <c r="AO250" i="3"/>
  <c r="AO249" i="3"/>
  <c r="AO248" i="3"/>
  <c r="AO247" i="3"/>
  <c r="AO246" i="3"/>
  <c r="AO245" i="3"/>
  <c r="AO244" i="3"/>
  <c r="AO243" i="3"/>
  <c r="AO242" i="3"/>
  <c r="AO241" i="3"/>
  <c r="AO240" i="3"/>
  <c r="AO239" i="3"/>
  <c r="AO238" i="3"/>
  <c r="AO237" i="3"/>
  <c r="AO236" i="3"/>
  <c r="AO235" i="3"/>
  <c r="AO234" i="3"/>
  <c r="AO233" i="3"/>
  <c r="AO232" i="3"/>
  <c r="AO231" i="3"/>
  <c r="AO230" i="3"/>
  <c r="AO229" i="3"/>
  <c r="AO228" i="3"/>
  <c r="AO227" i="3"/>
  <c r="AO226" i="3"/>
  <c r="AO225" i="3"/>
  <c r="AO224" i="3"/>
  <c r="AO223" i="3"/>
  <c r="AO222" i="3"/>
  <c r="AO221" i="3"/>
  <c r="AO220" i="3"/>
  <c r="AO219" i="3"/>
  <c r="AO218" i="3"/>
  <c r="AO217" i="3"/>
  <c r="AO216" i="3"/>
  <c r="AO215" i="3"/>
  <c r="AO214" i="3"/>
  <c r="AO213" i="3"/>
  <c r="AO212" i="3"/>
  <c r="AO211" i="3"/>
  <c r="AO210" i="3"/>
  <c r="AO209" i="3"/>
  <c r="AO208" i="3"/>
  <c r="AO207" i="3"/>
  <c r="AO206" i="3"/>
  <c r="AO205" i="3"/>
  <c r="AO204" i="3"/>
  <c r="AO203" i="3"/>
  <c r="AO202" i="3"/>
  <c r="AO201" i="3"/>
  <c r="AO200" i="3"/>
  <c r="AO199" i="3"/>
  <c r="AO198" i="3"/>
  <c r="AO197" i="3"/>
  <c r="AO196" i="3"/>
  <c r="AO195" i="3"/>
  <c r="AO194" i="3"/>
  <c r="AO193" i="3"/>
  <c r="AO192" i="3"/>
  <c r="AO191" i="3"/>
  <c r="AO190" i="3"/>
  <c r="AO189" i="3"/>
  <c r="AO188" i="3"/>
  <c r="AO187" i="3"/>
  <c r="AO186" i="3"/>
  <c r="AO185" i="3"/>
  <c r="AO184" i="3"/>
  <c r="AO183" i="3"/>
  <c r="AO182" i="3"/>
  <c r="AO181" i="3"/>
  <c r="AO180" i="3"/>
  <c r="AO179" i="3"/>
  <c r="AO178" i="3"/>
  <c r="AO177" i="3"/>
  <c r="AO176" i="3"/>
  <c r="AO175" i="3"/>
  <c r="AO174" i="3"/>
  <c r="AO173" i="3"/>
  <c r="AO172" i="3"/>
  <c r="AO171" i="3"/>
  <c r="AO170" i="3"/>
  <c r="AO169" i="3"/>
  <c r="AO168" i="3"/>
  <c r="AO167" i="3"/>
  <c r="AO166" i="3"/>
  <c r="AO165" i="3"/>
  <c r="AO164" i="3"/>
  <c r="AO163" i="3"/>
  <c r="AO162" i="3"/>
  <c r="AO161" i="3"/>
  <c r="AO160" i="3"/>
  <c r="AO159" i="3"/>
  <c r="AO158" i="3"/>
  <c r="AO157" i="3"/>
  <c r="AO156" i="3"/>
  <c r="AO155" i="3"/>
  <c r="AO154" i="3"/>
  <c r="AO153" i="3"/>
  <c r="AO152" i="3"/>
  <c r="AO151" i="3"/>
  <c r="AO150" i="3"/>
  <c r="AO149" i="3"/>
  <c r="AO148" i="3"/>
  <c r="AO147" i="3"/>
  <c r="AO146" i="3"/>
  <c r="AO145" i="3"/>
  <c r="AO144" i="3"/>
  <c r="AO143" i="3"/>
  <c r="AO142" i="3"/>
  <c r="AO141" i="3"/>
  <c r="AO140" i="3"/>
  <c r="AO139" i="3"/>
  <c r="AO138" i="3"/>
  <c r="AO137" i="3"/>
  <c r="AO136" i="3"/>
  <c r="AO135" i="3"/>
  <c r="AO134" i="3"/>
  <c r="AO133" i="3"/>
  <c r="AO132" i="3"/>
  <c r="AO131" i="3"/>
  <c r="AO130" i="3"/>
  <c r="AO129" i="3"/>
  <c r="AO128" i="3"/>
  <c r="AO127" i="3"/>
  <c r="AO126" i="3"/>
  <c r="AO125" i="3"/>
  <c r="AO124" i="3"/>
  <c r="AO123" i="3"/>
  <c r="AO122" i="3"/>
  <c r="AO121" i="3"/>
  <c r="AO120" i="3"/>
  <c r="AO119" i="3"/>
  <c r="AO118" i="3"/>
  <c r="AO117" i="3"/>
  <c r="AO116" i="3"/>
  <c r="AO115" i="3"/>
  <c r="AO114" i="3"/>
  <c r="AO113" i="3"/>
  <c r="AO112" i="3"/>
  <c r="AO111" i="3"/>
  <c r="AO110" i="3"/>
  <c r="AO109" i="3"/>
  <c r="AO108" i="3"/>
  <c r="AO107" i="3"/>
  <c r="AO106" i="3"/>
  <c r="AO105" i="3"/>
  <c r="AO104" i="3"/>
  <c r="AO103" i="3"/>
  <c r="AO102" i="3"/>
  <c r="AO101" i="3"/>
  <c r="AO100" i="3"/>
  <c r="AO99" i="3"/>
  <c r="AO3" i="3"/>
  <c r="AO98" i="3"/>
  <c r="AO97" i="3"/>
  <c r="AO96" i="3"/>
  <c r="AO95" i="3"/>
  <c r="AO94" i="3"/>
  <c r="AO93" i="3"/>
  <c r="AO92" i="3"/>
  <c r="AO91" i="3"/>
  <c r="AO90" i="3"/>
  <c r="AO89" i="3"/>
  <c r="AO88" i="3"/>
  <c r="AO87" i="3"/>
  <c r="AO86" i="3"/>
  <c r="AO85" i="3"/>
  <c r="AO84" i="3"/>
  <c r="AO83" i="3"/>
  <c r="AO82" i="3"/>
  <c r="AO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O67" i="3"/>
  <c r="AO66" i="3"/>
  <c r="AO65" i="3"/>
  <c r="AO64" i="3"/>
  <c r="AO63" i="3"/>
  <c r="AO62" i="3"/>
  <c r="AO61" i="3"/>
  <c r="AO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AL1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775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3" i="3"/>
  <c r="AI444" i="3"/>
  <c r="AF435" i="3"/>
  <c r="AG431" i="3"/>
  <c r="AG444" i="3"/>
  <c r="AD1" i="3"/>
  <c r="AF25" i="3" s="1"/>
  <c r="AG25" i="3" s="1"/>
  <c r="AB1" i="3"/>
  <c r="T4" i="3"/>
  <c r="AF6" i="3"/>
  <c r="AG6" i="3" s="1"/>
  <c r="AF23" i="3"/>
  <c r="AG23" i="3" s="1"/>
  <c r="AF24" i="3"/>
  <c r="AG24" i="3" s="1"/>
  <c r="AF29" i="3"/>
  <c r="AG29" i="3" s="1"/>
  <c r="AF45" i="3"/>
  <c r="AG45" i="3" s="1"/>
  <c r="AF49" i="3"/>
  <c r="AG49" i="3" s="1"/>
  <c r="AF54" i="3"/>
  <c r="AG54" i="3" s="1"/>
  <c r="AF70" i="3"/>
  <c r="AG70" i="3" s="1"/>
  <c r="AF71" i="3"/>
  <c r="AG71" i="3" s="1"/>
  <c r="AF76" i="3"/>
  <c r="AG76" i="3" s="1"/>
  <c r="AF90" i="3"/>
  <c r="AG90" i="3" s="1"/>
  <c r="AF92" i="3"/>
  <c r="AG92" i="3" s="1"/>
  <c r="AF99" i="3"/>
  <c r="AG99" i="3" s="1"/>
  <c r="AF114" i="3"/>
  <c r="AG114" i="3" s="1"/>
  <c r="AF115" i="3"/>
  <c r="AG115" i="3" s="1"/>
  <c r="AF119" i="3"/>
  <c r="AG119" i="3" s="1"/>
  <c r="AF134" i="3"/>
  <c r="AG134" i="3" s="1"/>
  <c r="AF135" i="3"/>
  <c r="AG135" i="3" s="1"/>
  <c r="AF140" i="3"/>
  <c r="AG140" i="3" s="1"/>
  <c r="AF154" i="3"/>
  <c r="AG154" i="3" s="1"/>
  <c r="AF156" i="3"/>
  <c r="AG156" i="3" s="1"/>
  <c r="AF163" i="3"/>
  <c r="AG163" i="3" s="1"/>
  <c r="AF178" i="3"/>
  <c r="AG178" i="3" s="1"/>
  <c r="AF179" i="3"/>
  <c r="AG179" i="3" s="1"/>
  <c r="AF183" i="3"/>
  <c r="AG183" i="3" s="1"/>
  <c r="AF198" i="3"/>
  <c r="AG198" i="3" s="1"/>
  <c r="AF199" i="3"/>
  <c r="AG199" i="3" s="1"/>
  <c r="AF204" i="3"/>
  <c r="AG204" i="3" s="1"/>
  <c r="AF218" i="3"/>
  <c r="AG218" i="3" s="1"/>
  <c r="AF220" i="3"/>
  <c r="AG220" i="3" s="1"/>
  <c r="AF227" i="3"/>
  <c r="AG227" i="3" s="1"/>
  <c r="AF242" i="3"/>
  <c r="AG242" i="3" s="1"/>
  <c r="AF243" i="3"/>
  <c r="AG243" i="3" s="1"/>
  <c r="AF247" i="3"/>
  <c r="AG247" i="3" s="1"/>
  <c r="AF261" i="3"/>
  <c r="AG261" i="3" s="1"/>
  <c r="AF262" i="3"/>
  <c r="AG262" i="3" s="1"/>
  <c r="AF266" i="3"/>
  <c r="AG266" i="3" s="1"/>
  <c r="AF277" i="3"/>
  <c r="AG277" i="3" s="1"/>
  <c r="AF278" i="3"/>
  <c r="AG278" i="3" s="1"/>
  <c r="AF282" i="3"/>
  <c r="AG282" i="3" s="1"/>
  <c r="AF293" i="3"/>
  <c r="AG293" i="3" s="1"/>
  <c r="AF294" i="3"/>
  <c r="AG294" i="3" s="1"/>
  <c r="AF298" i="3"/>
  <c r="AG298" i="3" s="1"/>
  <c r="AF309" i="3"/>
  <c r="AG309" i="3" s="1"/>
  <c r="AF310" i="3"/>
  <c r="AG310" i="3" s="1"/>
  <c r="AF314" i="3"/>
  <c r="AG314" i="3" s="1"/>
  <c r="AF325" i="3"/>
  <c r="AG325" i="3" s="1"/>
  <c r="AF326" i="3"/>
  <c r="AG326" i="3" s="1"/>
  <c r="AF330" i="3"/>
  <c r="AG330" i="3" s="1"/>
  <c r="AF341" i="3"/>
  <c r="AG341" i="3" s="1"/>
  <c r="AF342" i="3"/>
  <c r="AG342" i="3" s="1"/>
  <c r="AF346" i="3"/>
  <c r="AG346" i="3" s="1"/>
  <c r="AF357" i="3"/>
  <c r="AG357" i="3" s="1"/>
  <c r="AF358" i="3"/>
  <c r="AG358" i="3" s="1"/>
  <c r="AF362" i="3"/>
  <c r="AG362" i="3" s="1"/>
  <c r="AF373" i="3"/>
  <c r="AG373" i="3" s="1"/>
  <c r="AF374" i="3"/>
  <c r="AG374" i="3" s="1"/>
  <c r="AF378" i="3"/>
  <c r="AG378" i="3" s="1"/>
  <c r="AF389" i="3"/>
  <c r="AG389" i="3" s="1"/>
  <c r="AF390" i="3"/>
  <c r="AG390" i="3" s="1"/>
  <c r="AF394" i="3"/>
  <c r="AG394" i="3" s="1"/>
  <c r="AF405" i="3"/>
  <c r="AG405" i="3" s="1"/>
  <c r="AF406" i="3"/>
  <c r="AG406" i="3" s="1"/>
  <c r="AF410" i="3"/>
  <c r="AG410" i="3" s="1"/>
  <c r="AF421" i="3"/>
  <c r="AG421" i="3" s="1"/>
  <c r="AF422" i="3"/>
  <c r="AG422" i="3" s="1"/>
  <c r="AF426" i="3"/>
  <c r="AG426" i="3" s="1"/>
  <c r="AF437" i="3"/>
  <c r="AG437" i="3" s="1"/>
  <c r="AF438" i="3"/>
  <c r="AG438" i="3" s="1"/>
  <c r="AF442" i="3"/>
  <c r="AG442" i="3" s="1"/>
  <c r="AE1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3" i="3"/>
  <c r="Z1" i="3"/>
  <c r="U3" i="3"/>
  <c r="S1" i="3"/>
  <c r="AB774" i="3"/>
  <c r="AB773" i="3"/>
  <c r="Z773" i="3"/>
  <c r="V207" i="3" s="1"/>
  <c r="W207" i="3" s="1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T3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R1" i="3"/>
  <c r="P1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6" i="3"/>
  <c r="R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3" i="3"/>
  <c r="G1" i="3"/>
  <c r="F1" i="3"/>
  <c r="H14" i="3" s="1"/>
  <c r="I14" i="3" s="1"/>
  <c r="D1" i="3"/>
  <c r="N1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3" i="3"/>
  <c r="K100" i="3"/>
  <c r="I96" i="2"/>
  <c r="I100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3" i="3"/>
  <c r="B1" i="3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3" i="2"/>
  <c r="BR3" i="2"/>
  <c r="BR4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S102" i="2"/>
  <c r="BS101" i="2"/>
  <c r="BQ101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3" i="2"/>
  <c r="BN1" i="2"/>
  <c r="BL1" i="2"/>
  <c r="BB1" i="2"/>
  <c r="AX1" i="2"/>
  <c r="AP1" i="2"/>
  <c r="V762" i="3" l="1"/>
  <c r="W762" i="3" s="1"/>
  <c r="V746" i="3"/>
  <c r="W746" i="3" s="1"/>
  <c r="V730" i="3"/>
  <c r="W730" i="3" s="1"/>
  <c r="V714" i="3"/>
  <c r="W714" i="3" s="1"/>
  <c r="V698" i="3"/>
  <c r="W698" i="3" s="1"/>
  <c r="V682" i="3"/>
  <c r="W682" i="3" s="1"/>
  <c r="V666" i="3"/>
  <c r="W666" i="3" s="1"/>
  <c r="V650" i="3"/>
  <c r="W650" i="3" s="1"/>
  <c r="V634" i="3"/>
  <c r="W634" i="3" s="1"/>
  <c r="V618" i="3"/>
  <c r="W618" i="3" s="1"/>
  <c r="V602" i="3"/>
  <c r="W602" i="3" s="1"/>
  <c r="V584" i="3"/>
  <c r="W584" i="3" s="1"/>
  <c r="V552" i="3"/>
  <c r="W552" i="3" s="1"/>
  <c r="V520" i="3"/>
  <c r="W520" i="3" s="1"/>
  <c r="V447" i="3"/>
  <c r="W447" i="3" s="1"/>
  <c r="V319" i="3"/>
  <c r="W319" i="3" s="1"/>
  <c r="V191" i="3"/>
  <c r="W191" i="3" s="1"/>
  <c r="V761" i="3"/>
  <c r="W761" i="3" s="1"/>
  <c r="V745" i="3"/>
  <c r="W745" i="3" s="1"/>
  <c r="V729" i="3"/>
  <c r="W729" i="3" s="1"/>
  <c r="V713" i="3"/>
  <c r="W713" i="3" s="1"/>
  <c r="V697" i="3"/>
  <c r="W697" i="3" s="1"/>
  <c r="V681" i="3"/>
  <c r="W681" i="3" s="1"/>
  <c r="V665" i="3"/>
  <c r="W665" i="3" s="1"/>
  <c r="V649" i="3"/>
  <c r="W649" i="3" s="1"/>
  <c r="V633" i="3"/>
  <c r="W633" i="3" s="1"/>
  <c r="V617" i="3"/>
  <c r="W617" i="3" s="1"/>
  <c r="V601" i="3"/>
  <c r="W601" i="3" s="1"/>
  <c r="V579" i="3"/>
  <c r="W579" i="3" s="1"/>
  <c r="V547" i="3"/>
  <c r="W547" i="3" s="1"/>
  <c r="V515" i="3"/>
  <c r="W515" i="3" s="1"/>
  <c r="V435" i="3"/>
  <c r="W435" i="3" s="1"/>
  <c r="V307" i="3"/>
  <c r="W307" i="3" s="1"/>
  <c r="V179" i="3"/>
  <c r="W179" i="3" s="1"/>
  <c r="W776" i="3"/>
  <c r="V760" i="3"/>
  <c r="W760" i="3" s="1"/>
  <c r="V744" i="3"/>
  <c r="W744" i="3" s="1"/>
  <c r="V728" i="3"/>
  <c r="W728" i="3" s="1"/>
  <c r="V712" i="3"/>
  <c r="W712" i="3" s="1"/>
  <c r="V696" i="3"/>
  <c r="W696" i="3" s="1"/>
  <c r="V680" i="3"/>
  <c r="W680" i="3" s="1"/>
  <c r="V664" i="3"/>
  <c r="W664" i="3" s="1"/>
  <c r="V648" i="3"/>
  <c r="W648" i="3" s="1"/>
  <c r="V632" i="3"/>
  <c r="W632" i="3" s="1"/>
  <c r="V616" i="3"/>
  <c r="W616" i="3" s="1"/>
  <c r="V600" i="3"/>
  <c r="W600" i="3" s="1"/>
  <c r="V576" i="3"/>
  <c r="W576" i="3" s="1"/>
  <c r="V544" i="3"/>
  <c r="W544" i="3" s="1"/>
  <c r="V512" i="3"/>
  <c r="W512" i="3" s="1"/>
  <c r="V431" i="3"/>
  <c r="W431" i="3" s="1"/>
  <c r="V303" i="3"/>
  <c r="W303" i="3" s="1"/>
  <c r="V175" i="3"/>
  <c r="W175" i="3" s="1"/>
  <c r="V775" i="3"/>
  <c r="W775" i="3" s="1"/>
  <c r="V759" i="3"/>
  <c r="W759" i="3" s="1"/>
  <c r="V743" i="3"/>
  <c r="W743" i="3" s="1"/>
  <c r="V727" i="3"/>
  <c r="W727" i="3" s="1"/>
  <c r="V711" i="3"/>
  <c r="W711" i="3" s="1"/>
  <c r="V695" i="3"/>
  <c r="W695" i="3" s="1"/>
  <c r="V679" i="3"/>
  <c r="W679" i="3" s="1"/>
  <c r="V663" i="3"/>
  <c r="W663" i="3" s="1"/>
  <c r="V647" i="3"/>
  <c r="W647" i="3" s="1"/>
  <c r="V631" i="3"/>
  <c r="W631" i="3" s="1"/>
  <c r="V615" i="3"/>
  <c r="W615" i="3" s="1"/>
  <c r="V599" i="3"/>
  <c r="W599" i="3" s="1"/>
  <c r="V575" i="3"/>
  <c r="W575" i="3" s="1"/>
  <c r="V543" i="3"/>
  <c r="W543" i="3" s="1"/>
  <c r="V511" i="3"/>
  <c r="W511" i="3" s="1"/>
  <c r="V419" i="3"/>
  <c r="W419" i="3" s="1"/>
  <c r="V291" i="3"/>
  <c r="W291" i="3" s="1"/>
  <c r="V163" i="3"/>
  <c r="W163" i="3" s="1"/>
  <c r="V774" i="3"/>
  <c r="W774" i="3" s="1"/>
  <c r="V758" i="3"/>
  <c r="W758" i="3" s="1"/>
  <c r="V742" i="3"/>
  <c r="W742" i="3" s="1"/>
  <c r="V726" i="3"/>
  <c r="W726" i="3" s="1"/>
  <c r="V710" i="3"/>
  <c r="W710" i="3" s="1"/>
  <c r="V694" i="3"/>
  <c r="W694" i="3" s="1"/>
  <c r="V678" i="3"/>
  <c r="W678" i="3" s="1"/>
  <c r="V662" i="3"/>
  <c r="W662" i="3" s="1"/>
  <c r="V646" i="3"/>
  <c r="W646" i="3" s="1"/>
  <c r="V630" i="3"/>
  <c r="W630" i="3" s="1"/>
  <c r="V614" i="3"/>
  <c r="W614" i="3" s="1"/>
  <c r="V598" i="3"/>
  <c r="W598" i="3" s="1"/>
  <c r="V574" i="3"/>
  <c r="W574" i="3" s="1"/>
  <c r="V542" i="3"/>
  <c r="W542" i="3" s="1"/>
  <c r="V510" i="3"/>
  <c r="W510" i="3" s="1"/>
  <c r="V415" i="3"/>
  <c r="W415" i="3" s="1"/>
  <c r="V287" i="3"/>
  <c r="W287" i="3" s="1"/>
  <c r="V147" i="3"/>
  <c r="W147" i="3" s="1"/>
  <c r="V773" i="3"/>
  <c r="W773" i="3" s="1"/>
  <c r="V757" i="3"/>
  <c r="W757" i="3" s="1"/>
  <c r="V741" i="3"/>
  <c r="W741" i="3" s="1"/>
  <c r="V725" i="3"/>
  <c r="W725" i="3" s="1"/>
  <c r="V709" i="3"/>
  <c r="W709" i="3" s="1"/>
  <c r="V693" i="3"/>
  <c r="W693" i="3" s="1"/>
  <c r="V677" i="3"/>
  <c r="W677" i="3" s="1"/>
  <c r="V661" i="3"/>
  <c r="W661" i="3" s="1"/>
  <c r="V645" i="3"/>
  <c r="W645" i="3" s="1"/>
  <c r="V629" i="3"/>
  <c r="W629" i="3" s="1"/>
  <c r="V613" i="3"/>
  <c r="W613" i="3" s="1"/>
  <c r="V597" i="3"/>
  <c r="W597" i="3" s="1"/>
  <c r="V573" i="3"/>
  <c r="W573" i="3" s="1"/>
  <c r="V541" i="3"/>
  <c r="W541" i="3" s="1"/>
  <c r="V509" i="3"/>
  <c r="W509" i="3" s="1"/>
  <c r="V403" i="3"/>
  <c r="W403" i="3" s="1"/>
  <c r="V275" i="3"/>
  <c r="W275" i="3" s="1"/>
  <c r="V131" i="3"/>
  <c r="W131" i="3" s="1"/>
  <c r="V772" i="3"/>
  <c r="W772" i="3" s="1"/>
  <c r="V756" i="3"/>
  <c r="W756" i="3" s="1"/>
  <c r="V740" i="3"/>
  <c r="W740" i="3" s="1"/>
  <c r="V724" i="3"/>
  <c r="W724" i="3" s="1"/>
  <c r="V708" i="3"/>
  <c r="W708" i="3" s="1"/>
  <c r="V692" i="3"/>
  <c r="W692" i="3" s="1"/>
  <c r="V676" i="3"/>
  <c r="W676" i="3" s="1"/>
  <c r="V660" i="3"/>
  <c r="W660" i="3" s="1"/>
  <c r="V644" i="3"/>
  <c r="W644" i="3" s="1"/>
  <c r="V628" i="3"/>
  <c r="W628" i="3" s="1"/>
  <c r="V612" i="3"/>
  <c r="W612" i="3" s="1"/>
  <c r="V596" i="3"/>
  <c r="W596" i="3" s="1"/>
  <c r="V572" i="3"/>
  <c r="W572" i="3" s="1"/>
  <c r="V540" i="3"/>
  <c r="W540" i="3" s="1"/>
  <c r="V508" i="3"/>
  <c r="W508" i="3" s="1"/>
  <c r="V399" i="3"/>
  <c r="W399" i="3" s="1"/>
  <c r="V271" i="3"/>
  <c r="W271" i="3" s="1"/>
  <c r="V115" i="3"/>
  <c r="W115" i="3" s="1"/>
  <c r="V771" i="3"/>
  <c r="W771" i="3" s="1"/>
  <c r="V755" i="3"/>
  <c r="W755" i="3" s="1"/>
  <c r="V739" i="3"/>
  <c r="W739" i="3" s="1"/>
  <c r="V723" i="3"/>
  <c r="W723" i="3" s="1"/>
  <c r="V707" i="3"/>
  <c r="W707" i="3" s="1"/>
  <c r="V691" i="3"/>
  <c r="W691" i="3" s="1"/>
  <c r="V675" i="3"/>
  <c r="W675" i="3" s="1"/>
  <c r="V659" i="3"/>
  <c r="W659" i="3" s="1"/>
  <c r="V643" i="3"/>
  <c r="W643" i="3" s="1"/>
  <c r="V627" i="3"/>
  <c r="W627" i="3" s="1"/>
  <c r="V611" i="3"/>
  <c r="W611" i="3" s="1"/>
  <c r="V595" i="3"/>
  <c r="W595" i="3" s="1"/>
  <c r="V571" i="3"/>
  <c r="W571" i="3" s="1"/>
  <c r="V539" i="3"/>
  <c r="W539" i="3" s="1"/>
  <c r="V507" i="3"/>
  <c r="W507" i="3" s="1"/>
  <c r="V387" i="3"/>
  <c r="W387" i="3" s="1"/>
  <c r="V259" i="3"/>
  <c r="W259" i="3" s="1"/>
  <c r="V99" i="3"/>
  <c r="W99" i="3" s="1"/>
  <c r="V770" i="3"/>
  <c r="W770" i="3" s="1"/>
  <c r="V754" i="3"/>
  <c r="W754" i="3" s="1"/>
  <c r="V738" i="3"/>
  <c r="W738" i="3" s="1"/>
  <c r="V722" i="3"/>
  <c r="W722" i="3" s="1"/>
  <c r="V706" i="3"/>
  <c r="W706" i="3" s="1"/>
  <c r="V690" i="3"/>
  <c r="W690" i="3" s="1"/>
  <c r="V674" i="3"/>
  <c r="W674" i="3" s="1"/>
  <c r="V658" i="3"/>
  <c r="W658" i="3" s="1"/>
  <c r="V642" i="3"/>
  <c r="W642" i="3" s="1"/>
  <c r="V626" i="3"/>
  <c r="W626" i="3" s="1"/>
  <c r="V610" i="3"/>
  <c r="W610" i="3" s="1"/>
  <c r="V594" i="3"/>
  <c r="W594" i="3" s="1"/>
  <c r="V568" i="3"/>
  <c r="W568" i="3" s="1"/>
  <c r="V536" i="3"/>
  <c r="W536" i="3" s="1"/>
  <c r="V504" i="3"/>
  <c r="W504" i="3" s="1"/>
  <c r="V383" i="3"/>
  <c r="W383" i="3" s="1"/>
  <c r="V255" i="3"/>
  <c r="W255" i="3" s="1"/>
  <c r="V83" i="3"/>
  <c r="W83" i="3" s="1"/>
  <c r="V769" i="3"/>
  <c r="W769" i="3" s="1"/>
  <c r="V753" i="3"/>
  <c r="W753" i="3" s="1"/>
  <c r="V737" i="3"/>
  <c r="W737" i="3" s="1"/>
  <c r="V721" i="3"/>
  <c r="W721" i="3" s="1"/>
  <c r="V705" i="3"/>
  <c r="W705" i="3" s="1"/>
  <c r="V689" i="3"/>
  <c r="W689" i="3" s="1"/>
  <c r="V673" i="3"/>
  <c r="W673" i="3" s="1"/>
  <c r="V657" i="3"/>
  <c r="W657" i="3" s="1"/>
  <c r="V641" i="3"/>
  <c r="W641" i="3" s="1"/>
  <c r="V625" i="3"/>
  <c r="W625" i="3" s="1"/>
  <c r="V609" i="3"/>
  <c r="W609" i="3" s="1"/>
  <c r="V593" i="3"/>
  <c r="W593" i="3" s="1"/>
  <c r="V563" i="3"/>
  <c r="W563" i="3" s="1"/>
  <c r="V531" i="3"/>
  <c r="W531" i="3" s="1"/>
  <c r="V499" i="3"/>
  <c r="W499" i="3" s="1"/>
  <c r="V371" i="3"/>
  <c r="W371" i="3" s="1"/>
  <c r="V243" i="3"/>
  <c r="W243" i="3" s="1"/>
  <c r="V67" i="3"/>
  <c r="W67" i="3" s="1"/>
  <c r="V768" i="3"/>
  <c r="W768" i="3" s="1"/>
  <c r="V752" i="3"/>
  <c r="W752" i="3" s="1"/>
  <c r="V736" i="3"/>
  <c r="W736" i="3" s="1"/>
  <c r="V720" i="3"/>
  <c r="W720" i="3" s="1"/>
  <c r="V704" i="3"/>
  <c r="W704" i="3" s="1"/>
  <c r="V688" i="3"/>
  <c r="W688" i="3" s="1"/>
  <c r="V672" i="3"/>
  <c r="W672" i="3" s="1"/>
  <c r="V656" i="3"/>
  <c r="W656" i="3" s="1"/>
  <c r="V640" i="3"/>
  <c r="W640" i="3" s="1"/>
  <c r="V624" i="3"/>
  <c r="W624" i="3" s="1"/>
  <c r="V608" i="3"/>
  <c r="W608" i="3" s="1"/>
  <c r="V592" i="3"/>
  <c r="W592" i="3" s="1"/>
  <c r="V560" i="3"/>
  <c r="W560" i="3" s="1"/>
  <c r="V528" i="3"/>
  <c r="W528" i="3" s="1"/>
  <c r="V495" i="3"/>
  <c r="W495" i="3" s="1"/>
  <c r="V367" i="3"/>
  <c r="W367" i="3" s="1"/>
  <c r="V239" i="3"/>
  <c r="W239" i="3" s="1"/>
  <c r="V51" i="3"/>
  <c r="W51" i="3" s="1"/>
  <c r="V767" i="3"/>
  <c r="W767" i="3" s="1"/>
  <c r="V751" i="3"/>
  <c r="W751" i="3" s="1"/>
  <c r="V735" i="3"/>
  <c r="W735" i="3" s="1"/>
  <c r="V719" i="3"/>
  <c r="W719" i="3" s="1"/>
  <c r="V703" i="3"/>
  <c r="W703" i="3" s="1"/>
  <c r="V687" i="3"/>
  <c r="W687" i="3" s="1"/>
  <c r="V671" i="3"/>
  <c r="W671" i="3" s="1"/>
  <c r="V655" i="3"/>
  <c r="W655" i="3" s="1"/>
  <c r="V639" i="3"/>
  <c r="W639" i="3" s="1"/>
  <c r="V623" i="3"/>
  <c r="W623" i="3" s="1"/>
  <c r="V607" i="3"/>
  <c r="W607" i="3" s="1"/>
  <c r="V591" i="3"/>
  <c r="W591" i="3" s="1"/>
  <c r="V559" i="3"/>
  <c r="W559" i="3" s="1"/>
  <c r="V527" i="3"/>
  <c r="W527" i="3" s="1"/>
  <c r="V483" i="3"/>
  <c r="W483" i="3" s="1"/>
  <c r="V355" i="3"/>
  <c r="W355" i="3" s="1"/>
  <c r="V227" i="3"/>
  <c r="W227" i="3" s="1"/>
  <c r="V35" i="3"/>
  <c r="W35" i="3" s="1"/>
  <c r="V766" i="3"/>
  <c r="W766" i="3" s="1"/>
  <c r="V750" i="3"/>
  <c r="W750" i="3" s="1"/>
  <c r="V734" i="3"/>
  <c r="W734" i="3" s="1"/>
  <c r="V718" i="3"/>
  <c r="W718" i="3" s="1"/>
  <c r="V702" i="3"/>
  <c r="W702" i="3" s="1"/>
  <c r="V686" i="3"/>
  <c r="W686" i="3" s="1"/>
  <c r="V670" i="3"/>
  <c r="W670" i="3" s="1"/>
  <c r="V654" i="3"/>
  <c r="W654" i="3" s="1"/>
  <c r="V638" i="3"/>
  <c r="W638" i="3" s="1"/>
  <c r="V622" i="3"/>
  <c r="W622" i="3" s="1"/>
  <c r="V606" i="3"/>
  <c r="W606" i="3" s="1"/>
  <c r="V590" i="3"/>
  <c r="W590" i="3" s="1"/>
  <c r="V558" i="3"/>
  <c r="W558" i="3" s="1"/>
  <c r="V526" i="3"/>
  <c r="W526" i="3" s="1"/>
  <c r="V479" i="3"/>
  <c r="W479" i="3" s="1"/>
  <c r="V351" i="3"/>
  <c r="W351" i="3" s="1"/>
  <c r="V223" i="3"/>
  <c r="W223" i="3" s="1"/>
  <c r="V19" i="3"/>
  <c r="W19" i="3" s="1"/>
  <c r="V765" i="3"/>
  <c r="W765" i="3" s="1"/>
  <c r="V749" i="3"/>
  <c r="W749" i="3" s="1"/>
  <c r="V733" i="3"/>
  <c r="W733" i="3" s="1"/>
  <c r="V717" i="3"/>
  <c r="W717" i="3" s="1"/>
  <c r="V701" i="3"/>
  <c r="W701" i="3" s="1"/>
  <c r="V685" i="3"/>
  <c r="W685" i="3" s="1"/>
  <c r="V669" i="3"/>
  <c r="W669" i="3" s="1"/>
  <c r="V653" i="3"/>
  <c r="W653" i="3" s="1"/>
  <c r="V637" i="3"/>
  <c r="W637" i="3" s="1"/>
  <c r="V621" i="3"/>
  <c r="W621" i="3" s="1"/>
  <c r="V605" i="3"/>
  <c r="W605" i="3" s="1"/>
  <c r="V589" i="3"/>
  <c r="W589" i="3" s="1"/>
  <c r="V557" i="3"/>
  <c r="W557" i="3" s="1"/>
  <c r="V525" i="3"/>
  <c r="W525" i="3" s="1"/>
  <c r="V467" i="3"/>
  <c r="W467" i="3" s="1"/>
  <c r="V339" i="3"/>
  <c r="W339" i="3" s="1"/>
  <c r="V211" i="3"/>
  <c r="W211" i="3" s="1"/>
  <c r="V764" i="3"/>
  <c r="W764" i="3" s="1"/>
  <c r="V748" i="3"/>
  <c r="W748" i="3" s="1"/>
  <c r="V732" i="3"/>
  <c r="W732" i="3" s="1"/>
  <c r="V716" i="3"/>
  <c r="W716" i="3" s="1"/>
  <c r="V700" i="3"/>
  <c r="W700" i="3" s="1"/>
  <c r="V684" i="3"/>
  <c r="W684" i="3" s="1"/>
  <c r="V668" i="3"/>
  <c r="W668" i="3" s="1"/>
  <c r="V652" i="3"/>
  <c r="W652" i="3" s="1"/>
  <c r="V636" i="3"/>
  <c r="W636" i="3" s="1"/>
  <c r="V620" i="3"/>
  <c r="W620" i="3" s="1"/>
  <c r="V604" i="3"/>
  <c r="W604" i="3" s="1"/>
  <c r="V588" i="3"/>
  <c r="W588" i="3" s="1"/>
  <c r="V556" i="3"/>
  <c r="W556" i="3" s="1"/>
  <c r="V524" i="3"/>
  <c r="W524" i="3" s="1"/>
  <c r="V463" i="3"/>
  <c r="W463" i="3" s="1"/>
  <c r="V335" i="3"/>
  <c r="W335" i="3" s="1"/>
  <c r="V9" i="3"/>
  <c r="W9" i="3" s="1"/>
  <c r="V25" i="3"/>
  <c r="W25" i="3" s="1"/>
  <c r="V41" i="3"/>
  <c r="W41" i="3" s="1"/>
  <c r="V57" i="3"/>
  <c r="W57" i="3" s="1"/>
  <c r="V73" i="3"/>
  <c r="W73" i="3" s="1"/>
  <c r="V89" i="3"/>
  <c r="W89" i="3" s="1"/>
  <c r="V105" i="3"/>
  <c r="W105" i="3" s="1"/>
  <c r="V121" i="3"/>
  <c r="W121" i="3" s="1"/>
  <c r="V137" i="3"/>
  <c r="W137" i="3" s="1"/>
  <c r="V153" i="3"/>
  <c r="W153" i="3" s="1"/>
  <c r="V169" i="3"/>
  <c r="W169" i="3" s="1"/>
  <c r="V185" i="3"/>
  <c r="W185" i="3" s="1"/>
  <c r="V201" i="3"/>
  <c r="W201" i="3" s="1"/>
  <c r="V217" i="3"/>
  <c r="W217" i="3" s="1"/>
  <c r="V233" i="3"/>
  <c r="W233" i="3" s="1"/>
  <c r="V249" i="3"/>
  <c r="W249" i="3" s="1"/>
  <c r="V265" i="3"/>
  <c r="W265" i="3" s="1"/>
  <c r="V281" i="3"/>
  <c r="W281" i="3" s="1"/>
  <c r="V297" i="3"/>
  <c r="W297" i="3" s="1"/>
  <c r="V313" i="3"/>
  <c r="W313" i="3" s="1"/>
  <c r="V329" i="3"/>
  <c r="W329" i="3" s="1"/>
  <c r="V345" i="3"/>
  <c r="W345" i="3" s="1"/>
  <c r="V361" i="3"/>
  <c r="W361" i="3" s="1"/>
  <c r="V377" i="3"/>
  <c r="W377" i="3" s="1"/>
  <c r="V393" i="3"/>
  <c r="W393" i="3" s="1"/>
  <c r="V409" i="3"/>
  <c r="W409" i="3" s="1"/>
  <c r="V425" i="3"/>
  <c r="W425" i="3" s="1"/>
  <c r="V441" i="3"/>
  <c r="W441" i="3" s="1"/>
  <c r="V457" i="3"/>
  <c r="W457" i="3" s="1"/>
  <c r="V473" i="3"/>
  <c r="W473" i="3" s="1"/>
  <c r="V489" i="3"/>
  <c r="W489" i="3" s="1"/>
  <c r="V505" i="3"/>
  <c r="W505" i="3" s="1"/>
  <c r="V521" i="3"/>
  <c r="W521" i="3" s="1"/>
  <c r="V537" i="3"/>
  <c r="W537" i="3" s="1"/>
  <c r="V553" i="3"/>
  <c r="W553" i="3" s="1"/>
  <c r="V569" i="3"/>
  <c r="W569" i="3" s="1"/>
  <c r="V585" i="3"/>
  <c r="W585" i="3" s="1"/>
  <c r="V10" i="3"/>
  <c r="W10" i="3" s="1"/>
  <c r="V26" i="3"/>
  <c r="W26" i="3" s="1"/>
  <c r="V42" i="3"/>
  <c r="W42" i="3" s="1"/>
  <c r="V58" i="3"/>
  <c r="W58" i="3" s="1"/>
  <c r="V74" i="3"/>
  <c r="W74" i="3" s="1"/>
  <c r="V90" i="3"/>
  <c r="W90" i="3" s="1"/>
  <c r="V106" i="3"/>
  <c r="W106" i="3" s="1"/>
  <c r="V122" i="3"/>
  <c r="W122" i="3" s="1"/>
  <c r="V138" i="3"/>
  <c r="W138" i="3" s="1"/>
  <c r="V154" i="3"/>
  <c r="W154" i="3" s="1"/>
  <c r="V170" i="3"/>
  <c r="W170" i="3" s="1"/>
  <c r="V186" i="3"/>
  <c r="W186" i="3" s="1"/>
  <c r="V202" i="3"/>
  <c r="W202" i="3" s="1"/>
  <c r="V218" i="3"/>
  <c r="W218" i="3" s="1"/>
  <c r="V234" i="3"/>
  <c r="W234" i="3" s="1"/>
  <c r="V250" i="3"/>
  <c r="W250" i="3" s="1"/>
  <c r="V266" i="3"/>
  <c r="W266" i="3" s="1"/>
  <c r="V282" i="3"/>
  <c r="W282" i="3" s="1"/>
  <c r="V298" i="3"/>
  <c r="W298" i="3" s="1"/>
  <c r="V314" i="3"/>
  <c r="W314" i="3" s="1"/>
  <c r="V330" i="3"/>
  <c r="W330" i="3" s="1"/>
  <c r="V346" i="3"/>
  <c r="W346" i="3" s="1"/>
  <c r="V362" i="3"/>
  <c r="W362" i="3" s="1"/>
  <c r="V378" i="3"/>
  <c r="W378" i="3" s="1"/>
  <c r="V394" i="3"/>
  <c r="W394" i="3" s="1"/>
  <c r="V410" i="3"/>
  <c r="W410" i="3" s="1"/>
  <c r="V426" i="3"/>
  <c r="W426" i="3" s="1"/>
  <c r="V442" i="3"/>
  <c r="W442" i="3" s="1"/>
  <c r="V458" i="3"/>
  <c r="W458" i="3" s="1"/>
  <c r="V474" i="3"/>
  <c r="W474" i="3" s="1"/>
  <c r="V490" i="3"/>
  <c r="W490" i="3" s="1"/>
  <c r="V506" i="3"/>
  <c r="W506" i="3" s="1"/>
  <c r="V522" i="3"/>
  <c r="W522" i="3" s="1"/>
  <c r="V538" i="3"/>
  <c r="W538" i="3" s="1"/>
  <c r="V554" i="3"/>
  <c r="W554" i="3" s="1"/>
  <c r="V570" i="3"/>
  <c r="W570" i="3" s="1"/>
  <c r="V586" i="3"/>
  <c r="W586" i="3" s="1"/>
  <c r="V11" i="3"/>
  <c r="W11" i="3" s="1"/>
  <c r="V27" i="3"/>
  <c r="W27" i="3" s="1"/>
  <c r="V43" i="3"/>
  <c r="W43" i="3" s="1"/>
  <c r="V59" i="3"/>
  <c r="W59" i="3" s="1"/>
  <c r="V75" i="3"/>
  <c r="W75" i="3" s="1"/>
  <c r="V91" i="3"/>
  <c r="W91" i="3" s="1"/>
  <c r="V107" i="3"/>
  <c r="W107" i="3" s="1"/>
  <c r="V123" i="3"/>
  <c r="W123" i="3" s="1"/>
  <c r="V139" i="3"/>
  <c r="W139" i="3" s="1"/>
  <c r="V155" i="3"/>
  <c r="W155" i="3" s="1"/>
  <c r="V171" i="3"/>
  <c r="W171" i="3" s="1"/>
  <c r="V187" i="3"/>
  <c r="W187" i="3" s="1"/>
  <c r="V203" i="3"/>
  <c r="W203" i="3" s="1"/>
  <c r="V219" i="3"/>
  <c r="W219" i="3" s="1"/>
  <c r="V235" i="3"/>
  <c r="W235" i="3" s="1"/>
  <c r="V251" i="3"/>
  <c r="W251" i="3" s="1"/>
  <c r="V267" i="3"/>
  <c r="W267" i="3" s="1"/>
  <c r="V283" i="3"/>
  <c r="W283" i="3" s="1"/>
  <c r="V299" i="3"/>
  <c r="W299" i="3" s="1"/>
  <c r="V315" i="3"/>
  <c r="W315" i="3" s="1"/>
  <c r="V331" i="3"/>
  <c r="W331" i="3" s="1"/>
  <c r="V347" i="3"/>
  <c r="W347" i="3" s="1"/>
  <c r="V363" i="3"/>
  <c r="W363" i="3" s="1"/>
  <c r="V379" i="3"/>
  <c r="W379" i="3" s="1"/>
  <c r="V395" i="3"/>
  <c r="W395" i="3" s="1"/>
  <c r="V411" i="3"/>
  <c r="W411" i="3" s="1"/>
  <c r="V427" i="3"/>
  <c r="W427" i="3" s="1"/>
  <c r="V443" i="3"/>
  <c r="W443" i="3" s="1"/>
  <c r="V459" i="3"/>
  <c r="W459" i="3" s="1"/>
  <c r="V475" i="3"/>
  <c r="W475" i="3" s="1"/>
  <c r="V491" i="3"/>
  <c r="W491" i="3" s="1"/>
  <c r="V12" i="3"/>
  <c r="W12" i="3" s="1"/>
  <c r="V28" i="3"/>
  <c r="W28" i="3" s="1"/>
  <c r="V44" i="3"/>
  <c r="W44" i="3" s="1"/>
  <c r="V60" i="3"/>
  <c r="W60" i="3" s="1"/>
  <c r="V76" i="3"/>
  <c r="W76" i="3" s="1"/>
  <c r="V92" i="3"/>
  <c r="W92" i="3" s="1"/>
  <c r="V108" i="3"/>
  <c r="W108" i="3" s="1"/>
  <c r="V124" i="3"/>
  <c r="W124" i="3" s="1"/>
  <c r="V140" i="3"/>
  <c r="W140" i="3" s="1"/>
  <c r="V156" i="3"/>
  <c r="W156" i="3" s="1"/>
  <c r="V172" i="3"/>
  <c r="W172" i="3" s="1"/>
  <c r="V188" i="3"/>
  <c r="W188" i="3" s="1"/>
  <c r="V204" i="3"/>
  <c r="W204" i="3" s="1"/>
  <c r="V220" i="3"/>
  <c r="W220" i="3" s="1"/>
  <c r="V236" i="3"/>
  <c r="W236" i="3" s="1"/>
  <c r="V252" i="3"/>
  <c r="W252" i="3" s="1"/>
  <c r="V268" i="3"/>
  <c r="W268" i="3" s="1"/>
  <c r="V284" i="3"/>
  <c r="W284" i="3" s="1"/>
  <c r="V300" i="3"/>
  <c r="W300" i="3" s="1"/>
  <c r="V316" i="3"/>
  <c r="W316" i="3" s="1"/>
  <c r="V332" i="3"/>
  <c r="W332" i="3" s="1"/>
  <c r="V348" i="3"/>
  <c r="W348" i="3" s="1"/>
  <c r="V364" i="3"/>
  <c r="W364" i="3" s="1"/>
  <c r="V380" i="3"/>
  <c r="W380" i="3" s="1"/>
  <c r="V396" i="3"/>
  <c r="W396" i="3" s="1"/>
  <c r="V412" i="3"/>
  <c r="W412" i="3" s="1"/>
  <c r="V428" i="3"/>
  <c r="W428" i="3" s="1"/>
  <c r="V444" i="3"/>
  <c r="W444" i="3" s="1"/>
  <c r="V460" i="3"/>
  <c r="W460" i="3" s="1"/>
  <c r="V476" i="3"/>
  <c r="W476" i="3" s="1"/>
  <c r="V492" i="3"/>
  <c r="W492" i="3" s="1"/>
  <c r="V13" i="3"/>
  <c r="W13" i="3" s="1"/>
  <c r="V29" i="3"/>
  <c r="W29" i="3" s="1"/>
  <c r="V45" i="3"/>
  <c r="W45" i="3" s="1"/>
  <c r="V61" i="3"/>
  <c r="W61" i="3" s="1"/>
  <c r="V77" i="3"/>
  <c r="W77" i="3" s="1"/>
  <c r="V93" i="3"/>
  <c r="W93" i="3" s="1"/>
  <c r="V109" i="3"/>
  <c r="W109" i="3" s="1"/>
  <c r="V125" i="3"/>
  <c r="W125" i="3" s="1"/>
  <c r="V141" i="3"/>
  <c r="W141" i="3" s="1"/>
  <c r="V157" i="3"/>
  <c r="W157" i="3" s="1"/>
  <c r="V173" i="3"/>
  <c r="W173" i="3" s="1"/>
  <c r="V189" i="3"/>
  <c r="W189" i="3" s="1"/>
  <c r="V205" i="3"/>
  <c r="W205" i="3" s="1"/>
  <c r="V221" i="3"/>
  <c r="W221" i="3" s="1"/>
  <c r="V237" i="3"/>
  <c r="W237" i="3" s="1"/>
  <c r="V253" i="3"/>
  <c r="W253" i="3" s="1"/>
  <c r="V269" i="3"/>
  <c r="W269" i="3" s="1"/>
  <c r="V285" i="3"/>
  <c r="W285" i="3" s="1"/>
  <c r="V301" i="3"/>
  <c r="W301" i="3" s="1"/>
  <c r="V317" i="3"/>
  <c r="W317" i="3" s="1"/>
  <c r="V333" i="3"/>
  <c r="W333" i="3" s="1"/>
  <c r="V349" i="3"/>
  <c r="W349" i="3" s="1"/>
  <c r="V365" i="3"/>
  <c r="W365" i="3" s="1"/>
  <c r="V381" i="3"/>
  <c r="W381" i="3" s="1"/>
  <c r="V397" i="3"/>
  <c r="W397" i="3" s="1"/>
  <c r="V413" i="3"/>
  <c r="W413" i="3" s="1"/>
  <c r="V429" i="3"/>
  <c r="W429" i="3" s="1"/>
  <c r="V445" i="3"/>
  <c r="W445" i="3" s="1"/>
  <c r="V461" i="3"/>
  <c r="W461" i="3" s="1"/>
  <c r="V477" i="3"/>
  <c r="W477" i="3" s="1"/>
  <c r="V493" i="3"/>
  <c r="W493" i="3" s="1"/>
  <c r="V14" i="3"/>
  <c r="W14" i="3" s="1"/>
  <c r="V30" i="3"/>
  <c r="W30" i="3" s="1"/>
  <c r="V46" i="3"/>
  <c r="W46" i="3" s="1"/>
  <c r="V62" i="3"/>
  <c r="W62" i="3" s="1"/>
  <c r="V78" i="3"/>
  <c r="W78" i="3" s="1"/>
  <c r="V94" i="3"/>
  <c r="W94" i="3" s="1"/>
  <c r="V110" i="3"/>
  <c r="W110" i="3" s="1"/>
  <c r="V126" i="3"/>
  <c r="W126" i="3" s="1"/>
  <c r="V142" i="3"/>
  <c r="W142" i="3" s="1"/>
  <c r="V158" i="3"/>
  <c r="W158" i="3" s="1"/>
  <c r="V174" i="3"/>
  <c r="W174" i="3" s="1"/>
  <c r="V190" i="3"/>
  <c r="W190" i="3" s="1"/>
  <c r="V206" i="3"/>
  <c r="W206" i="3" s="1"/>
  <c r="V222" i="3"/>
  <c r="W222" i="3" s="1"/>
  <c r="V238" i="3"/>
  <c r="W238" i="3" s="1"/>
  <c r="V254" i="3"/>
  <c r="W254" i="3" s="1"/>
  <c r="V270" i="3"/>
  <c r="W270" i="3" s="1"/>
  <c r="V286" i="3"/>
  <c r="W286" i="3" s="1"/>
  <c r="V302" i="3"/>
  <c r="W302" i="3" s="1"/>
  <c r="V318" i="3"/>
  <c r="W318" i="3" s="1"/>
  <c r="V334" i="3"/>
  <c r="W334" i="3" s="1"/>
  <c r="V350" i="3"/>
  <c r="W350" i="3" s="1"/>
  <c r="V366" i="3"/>
  <c r="W366" i="3" s="1"/>
  <c r="V382" i="3"/>
  <c r="W382" i="3" s="1"/>
  <c r="V398" i="3"/>
  <c r="W398" i="3" s="1"/>
  <c r="V414" i="3"/>
  <c r="W414" i="3" s="1"/>
  <c r="V430" i="3"/>
  <c r="W430" i="3" s="1"/>
  <c r="V446" i="3"/>
  <c r="W446" i="3" s="1"/>
  <c r="V462" i="3"/>
  <c r="W462" i="3" s="1"/>
  <c r="V478" i="3"/>
  <c r="W478" i="3" s="1"/>
  <c r="V494" i="3"/>
  <c r="W494" i="3" s="1"/>
  <c r="V15" i="3"/>
  <c r="W15" i="3" s="1"/>
  <c r="V31" i="3"/>
  <c r="W31" i="3" s="1"/>
  <c r="V47" i="3"/>
  <c r="W47" i="3" s="1"/>
  <c r="V63" i="3"/>
  <c r="W63" i="3" s="1"/>
  <c r="V79" i="3"/>
  <c r="W79" i="3" s="1"/>
  <c r="V95" i="3"/>
  <c r="W95" i="3" s="1"/>
  <c r="V111" i="3"/>
  <c r="W111" i="3" s="1"/>
  <c r="V127" i="3"/>
  <c r="W127" i="3" s="1"/>
  <c r="V143" i="3"/>
  <c r="W143" i="3" s="1"/>
  <c r="V159" i="3"/>
  <c r="W159" i="3" s="1"/>
  <c r="V16" i="3"/>
  <c r="W16" i="3" s="1"/>
  <c r="V32" i="3"/>
  <c r="W32" i="3" s="1"/>
  <c r="V48" i="3"/>
  <c r="W48" i="3" s="1"/>
  <c r="V64" i="3"/>
  <c r="W64" i="3" s="1"/>
  <c r="V80" i="3"/>
  <c r="W80" i="3" s="1"/>
  <c r="V96" i="3"/>
  <c r="W96" i="3" s="1"/>
  <c r="V112" i="3"/>
  <c r="W112" i="3" s="1"/>
  <c r="V128" i="3"/>
  <c r="W128" i="3" s="1"/>
  <c r="V144" i="3"/>
  <c r="W144" i="3" s="1"/>
  <c r="V160" i="3"/>
  <c r="W160" i="3" s="1"/>
  <c r="V176" i="3"/>
  <c r="W176" i="3" s="1"/>
  <c r="V192" i="3"/>
  <c r="W192" i="3" s="1"/>
  <c r="V208" i="3"/>
  <c r="W208" i="3" s="1"/>
  <c r="V224" i="3"/>
  <c r="W224" i="3" s="1"/>
  <c r="V240" i="3"/>
  <c r="W240" i="3" s="1"/>
  <c r="V256" i="3"/>
  <c r="W256" i="3" s="1"/>
  <c r="V272" i="3"/>
  <c r="W272" i="3" s="1"/>
  <c r="V288" i="3"/>
  <c r="W288" i="3" s="1"/>
  <c r="V304" i="3"/>
  <c r="W304" i="3" s="1"/>
  <c r="V320" i="3"/>
  <c r="W320" i="3" s="1"/>
  <c r="V336" i="3"/>
  <c r="W336" i="3" s="1"/>
  <c r="V352" i="3"/>
  <c r="W352" i="3" s="1"/>
  <c r="V368" i="3"/>
  <c r="W368" i="3" s="1"/>
  <c r="V384" i="3"/>
  <c r="W384" i="3" s="1"/>
  <c r="V400" i="3"/>
  <c r="W400" i="3" s="1"/>
  <c r="V416" i="3"/>
  <c r="W416" i="3" s="1"/>
  <c r="V432" i="3"/>
  <c r="W432" i="3" s="1"/>
  <c r="V448" i="3"/>
  <c r="W448" i="3" s="1"/>
  <c r="V464" i="3"/>
  <c r="W464" i="3" s="1"/>
  <c r="V480" i="3"/>
  <c r="W480" i="3" s="1"/>
  <c r="V496" i="3"/>
  <c r="W496" i="3" s="1"/>
  <c r="V3" i="3"/>
  <c r="W3" i="3" s="1"/>
  <c r="V17" i="3"/>
  <c r="W17" i="3" s="1"/>
  <c r="V33" i="3"/>
  <c r="W33" i="3" s="1"/>
  <c r="V49" i="3"/>
  <c r="W49" i="3" s="1"/>
  <c r="V65" i="3"/>
  <c r="W65" i="3" s="1"/>
  <c r="V81" i="3"/>
  <c r="W81" i="3" s="1"/>
  <c r="V97" i="3"/>
  <c r="W97" i="3" s="1"/>
  <c r="V113" i="3"/>
  <c r="W113" i="3" s="1"/>
  <c r="V129" i="3"/>
  <c r="W129" i="3" s="1"/>
  <c r="V145" i="3"/>
  <c r="W145" i="3" s="1"/>
  <c r="V161" i="3"/>
  <c r="W161" i="3" s="1"/>
  <c r="V177" i="3"/>
  <c r="W177" i="3" s="1"/>
  <c r="V193" i="3"/>
  <c r="W193" i="3" s="1"/>
  <c r="V209" i="3"/>
  <c r="W209" i="3" s="1"/>
  <c r="V225" i="3"/>
  <c r="W225" i="3" s="1"/>
  <c r="V241" i="3"/>
  <c r="W241" i="3" s="1"/>
  <c r="V257" i="3"/>
  <c r="W257" i="3" s="1"/>
  <c r="V273" i="3"/>
  <c r="W273" i="3" s="1"/>
  <c r="V289" i="3"/>
  <c r="W289" i="3" s="1"/>
  <c r="V305" i="3"/>
  <c r="W305" i="3" s="1"/>
  <c r="V321" i="3"/>
  <c r="W321" i="3" s="1"/>
  <c r="V337" i="3"/>
  <c r="W337" i="3" s="1"/>
  <c r="V353" i="3"/>
  <c r="W353" i="3" s="1"/>
  <c r="V369" i="3"/>
  <c r="W369" i="3" s="1"/>
  <c r="V385" i="3"/>
  <c r="W385" i="3" s="1"/>
  <c r="V401" i="3"/>
  <c r="W401" i="3" s="1"/>
  <c r="V417" i="3"/>
  <c r="W417" i="3" s="1"/>
  <c r="V433" i="3"/>
  <c r="W433" i="3" s="1"/>
  <c r="V449" i="3"/>
  <c r="W449" i="3" s="1"/>
  <c r="V465" i="3"/>
  <c r="W465" i="3" s="1"/>
  <c r="V481" i="3"/>
  <c r="W481" i="3" s="1"/>
  <c r="V497" i="3"/>
  <c r="W497" i="3" s="1"/>
  <c r="V513" i="3"/>
  <c r="W513" i="3" s="1"/>
  <c r="V529" i="3"/>
  <c r="W529" i="3" s="1"/>
  <c r="V545" i="3"/>
  <c r="W545" i="3" s="1"/>
  <c r="V561" i="3"/>
  <c r="W561" i="3" s="1"/>
  <c r="V577" i="3"/>
  <c r="W577" i="3" s="1"/>
  <c r="V18" i="3"/>
  <c r="W18" i="3" s="1"/>
  <c r="V34" i="3"/>
  <c r="W34" i="3" s="1"/>
  <c r="V50" i="3"/>
  <c r="W50" i="3" s="1"/>
  <c r="V66" i="3"/>
  <c r="W66" i="3" s="1"/>
  <c r="V82" i="3"/>
  <c r="W82" i="3" s="1"/>
  <c r="V98" i="3"/>
  <c r="W98" i="3" s="1"/>
  <c r="V114" i="3"/>
  <c r="W114" i="3" s="1"/>
  <c r="V130" i="3"/>
  <c r="W130" i="3" s="1"/>
  <c r="V146" i="3"/>
  <c r="W146" i="3" s="1"/>
  <c r="V162" i="3"/>
  <c r="W162" i="3" s="1"/>
  <c r="V178" i="3"/>
  <c r="W178" i="3" s="1"/>
  <c r="V194" i="3"/>
  <c r="W194" i="3" s="1"/>
  <c r="V210" i="3"/>
  <c r="W210" i="3" s="1"/>
  <c r="V226" i="3"/>
  <c r="W226" i="3" s="1"/>
  <c r="V242" i="3"/>
  <c r="W242" i="3" s="1"/>
  <c r="V258" i="3"/>
  <c r="W258" i="3" s="1"/>
  <c r="V274" i="3"/>
  <c r="W274" i="3" s="1"/>
  <c r="V290" i="3"/>
  <c r="W290" i="3" s="1"/>
  <c r="V306" i="3"/>
  <c r="W306" i="3" s="1"/>
  <c r="V322" i="3"/>
  <c r="W322" i="3" s="1"/>
  <c r="V338" i="3"/>
  <c r="W338" i="3" s="1"/>
  <c r="V354" i="3"/>
  <c r="W354" i="3" s="1"/>
  <c r="V370" i="3"/>
  <c r="W370" i="3" s="1"/>
  <c r="V386" i="3"/>
  <c r="W386" i="3" s="1"/>
  <c r="V402" i="3"/>
  <c r="W402" i="3" s="1"/>
  <c r="V418" i="3"/>
  <c r="W418" i="3" s="1"/>
  <c r="V434" i="3"/>
  <c r="W434" i="3" s="1"/>
  <c r="V450" i="3"/>
  <c r="W450" i="3" s="1"/>
  <c r="V466" i="3"/>
  <c r="W466" i="3" s="1"/>
  <c r="V482" i="3"/>
  <c r="W482" i="3" s="1"/>
  <c r="V498" i="3"/>
  <c r="W498" i="3" s="1"/>
  <c r="V514" i="3"/>
  <c r="W514" i="3" s="1"/>
  <c r="V530" i="3"/>
  <c r="W530" i="3" s="1"/>
  <c r="V546" i="3"/>
  <c r="W546" i="3" s="1"/>
  <c r="V562" i="3"/>
  <c r="W562" i="3" s="1"/>
  <c r="V578" i="3"/>
  <c r="W578" i="3" s="1"/>
  <c r="V4" i="3"/>
  <c r="W4" i="3" s="1"/>
  <c r="V20" i="3"/>
  <c r="W20" i="3" s="1"/>
  <c r="V36" i="3"/>
  <c r="W36" i="3" s="1"/>
  <c r="V52" i="3"/>
  <c r="W52" i="3" s="1"/>
  <c r="V68" i="3"/>
  <c r="W68" i="3" s="1"/>
  <c r="V84" i="3"/>
  <c r="W84" i="3" s="1"/>
  <c r="V100" i="3"/>
  <c r="W100" i="3" s="1"/>
  <c r="V116" i="3"/>
  <c r="W116" i="3" s="1"/>
  <c r="V132" i="3"/>
  <c r="W132" i="3" s="1"/>
  <c r="V148" i="3"/>
  <c r="W148" i="3" s="1"/>
  <c r="V164" i="3"/>
  <c r="W164" i="3" s="1"/>
  <c r="V180" i="3"/>
  <c r="W180" i="3" s="1"/>
  <c r="V196" i="3"/>
  <c r="W196" i="3" s="1"/>
  <c r="V212" i="3"/>
  <c r="W212" i="3" s="1"/>
  <c r="V228" i="3"/>
  <c r="W228" i="3" s="1"/>
  <c r="V244" i="3"/>
  <c r="W244" i="3" s="1"/>
  <c r="V260" i="3"/>
  <c r="W260" i="3" s="1"/>
  <c r="V276" i="3"/>
  <c r="W276" i="3" s="1"/>
  <c r="V292" i="3"/>
  <c r="W292" i="3" s="1"/>
  <c r="V308" i="3"/>
  <c r="W308" i="3" s="1"/>
  <c r="V324" i="3"/>
  <c r="W324" i="3" s="1"/>
  <c r="V340" i="3"/>
  <c r="W340" i="3" s="1"/>
  <c r="V356" i="3"/>
  <c r="W356" i="3" s="1"/>
  <c r="V372" i="3"/>
  <c r="W372" i="3" s="1"/>
  <c r="V388" i="3"/>
  <c r="W388" i="3" s="1"/>
  <c r="V404" i="3"/>
  <c r="W404" i="3" s="1"/>
  <c r="V420" i="3"/>
  <c r="W420" i="3" s="1"/>
  <c r="V436" i="3"/>
  <c r="W436" i="3" s="1"/>
  <c r="V452" i="3"/>
  <c r="W452" i="3" s="1"/>
  <c r="V468" i="3"/>
  <c r="W468" i="3" s="1"/>
  <c r="V484" i="3"/>
  <c r="W484" i="3" s="1"/>
  <c r="V500" i="3"/>
  <c r="W500" i="3" s="1"/>
  <c r="V516" i="3"/>
  <c r="W516" i="3" s="1"/>
  <c r="V532" i="3"/>
  <c r="W532" i="3" s="1"/>
  <c r="V548" i="3"/>
  <c r="W548" i="3" s="1"/>
  <c r="V564" i="3"/>
  <c r="W564" i="3" s="1"/>
  <c r="V580" i="3"/>
  <c r="W580" i="3" s="1"/>
  <c r="V5" i="3"/>
  <c r="W5" i="3" s="1"/>
  <c r="V21" i="3"/>
  <c r="W21" i="3" s="1"/>
  <c r="V37" i="3"/>
  <c r="W37" i="3" s="1"/>
  <c r="V53" i="3"/>
  <c r="W53" i="3" s="1"/>
  <c r="V69" i="3"/>
  <c r="W69" i="3" s="1"/>
  <c r="V85" i="3"/>
  <c r="W85" i="3" s="1"/>
  <c r="V101" i="3"/>
  <c r="W101" i="3" s="1"/>
  <c r="V117" i="3"/>
  <c r="W117" i="3" s="1"/>
  <c r="V133" i="3"/>
  <c r="W133" i="3" s="1"/>
  <c r="V149" i="3"/>
  <c r="W149" i="3" s="1"/>
  <c r="V165" i="3"/>
  <c r="W165" i="3" s="1"/>
  <c r="V181" i="3"/>
  <c r="W181" i="3" s="1"/>
  <c r="V197" i="3"/>
  <c r="W197" i="3" s="1"/>
  <c r="V213" i="3"/>
  <c r="W213" i="3" s="1"/>
  <c r="V229" i="3"/>
  <c r="W229" i="3" s="1"/>
  <c r="V245" i="3"/>
  <c r="W245" i="3" s="1"/>
  <c r="V261" i="3"/>
  <c r="W261" i="3" s="1"/>
  <c r="V277" i="3"/>
  <c r="W277" i="3" s="1"/>
  <c r="V293" i="3"/>
  <c r="W293" i="3" s="1"/>
  <c r="V309" i="3"/>
  <c r="W309" i="3" s="1"/>
  <c r="V325" i="3"/>
  <c r="W325" i="3" s="1"/>
  <c r="V341" i="3"/>
  <c r="W341" i="3" s="1"/>
  <c r="V357" i="3"/>
  <c r="W357" i="3" s="1"/>
  <c r="V373" i="3"/>
  <c r="W373" i="3" s="1"/>
  <c r="V389" i="3"/>
  <c r="W389" i="3" s="1"/>
  <c r="V405" i="3"/>
  <c r="W405" i="3" s="1"/>
  <c r="V421" i="3"/>
  <c r="W421" i="3" s="1"/>
  <c r="V437" i="3"/>
  <c r="W437" i="3" s="1"/>
  <c r="V453" i="3"/>
  <c r="W453" i="3" s="1"/>
  <c r="V469" i="3"/>
  <c r="W469" i="3" s="1"/>
  <c r="V485" i="3"/>
  <c r="W485" i="3" s="1"/>
  <c r="V501" i="3"/>
  <c r="W501" i="3" s="1"/>
  <c r="V517" i="3"/>
  <c r="W517" i="3" s="1"/>
  <c r="V533" i="3"/>
  <c r="W533" i="3" s="1"/>
  <c r="V549" i="3"/>
  <c r="W549" i="3" s="1"/>
  <c r="V565" i="3"/>
  <c r="W565" i="3" s="1"/>
  <c r="V581" i="3"/>
  <c r="W581" i="3" s="1"/>
  <c r="V6" i="3"/>
  <c r="W6" i="3" s="1"/>
  <c r="V22" i="3"/>
  <c r="W22" i="3" s="1"/>
  <c r="V38" i="3"/>
  <c r="W38" i="3" s="1"/>
  <c r="V54" i="3"/>
  <c r="W54" i="3" s="1"/>
  <c r="V70" i="3"/>
  <c r="W70" i="3" s="1"/>
  <c r="V86" i="3"/>
  <c r="W86" i="3" s="1"/>
  <c r="V102" i="3"/>
  <c r="W102" i="3" s="1"/>
  <c r="V118" i="3"/>
  <c r="W118" i="3" s="1"/>
  <c r="V134" i="3"/>
  <c r="W134" i="3" s="1"/>
  <c r="V150" i="3"/>
  <c r="W150" i="3" s="1"/>
  <c r="V166" i="3"/>
  <c r="W166" i="3" s="1"/>
  <c r="V182" i="3"/>
  <c r="W182" i="3" s="1"/>
  <c r="V198" i="3"/>
  <c r="W198" i="3" s="1"/>
  <c r="V214" i="3"/>
  <c r="W214" i="3" s="1"/>
  <c r="V230" i="3"/>
  <c r="W230" i="3" s="1"/>
  <c r="V246" i="3"/>
  <c r="W246" i="3" s="1"/>
  <c r="V262" i="3"/>
  <c r="W262" i="3" s="1"/>
  <c r="V278" i="3"/>
  <c r="W278" i="3" s="1"/>
  <c r="V294" i="3"/>
  <c r="W294" i="3" s="1"/>
  <c r="V310" i="3"/>
  <c r="W310" i="3" s="1"/>
  <c r="V326" i="3"/>
  <c r="W326" i="3" s="1"/>
  <c r="V342" i="3"/>
  <c r="W342" i="3" s="1"/>
  <c r="V358" i="3"/>
  <c r="W358" i="3" s="1"/>
  <c r="V374" i="3"/>
  <c r="W374" i="3" s="1"/>
  <c r="V390" i="3"/>
  <c r="W390" i="3" s="1"/>
  <c r="V406" i="3"/>
  <c r="W406" i="3" s="1"/>
  <c r="V422" i="3"/>
  <c r="W422" i="3" s="1"/>
  <c r="V438" i="3"/>
  <c r="W438" i="3" s="1"/>
  <c r="V454" i="3"/>
  <c r="W454" i="3" s="1"/>
  <c r="V470" i="3"/>
  <c r="W470" i="3" s="1"/>
  <c r="V486" i="3"/>
  <c r="W486" i="3" s="1"/>
  <c r="V502" i="3"/>
  <c r="W502" i="3" s="1"/>
  <c r="V518" i="3"/>
  <c r="W518" i="3" s="1"/>
  <c r="V534" i="3"/>
  <c r="W534" i="3" s="1"/>
  <c r="V550" i="3"/>
  <c r="W550" i="3" s="1"/>
  <c r="V566" i="3"/>
  <c r="W566" i="3" s="1"/>
  <c r="V582" i="3"/>
  <c r="W582" i="3" s="1"/>
  <c r="V7" i="3"/>
  <c r="W7" i="3" s="1"/>
  <c r="V23" i="3"/>
  <c r="W23" i="3" s="1"/>
  <c r="V39" i="3"/>
  <c r="W39" i="3" s="1"/>
  <c r="V55" i="3"/>
  <c r="W55" i="3" s="1"/>
  <c r="V71" i="3"/>
  <c r="W71" i="3" s="1"/>
  <c r="V87" i="3"/>
  <c r="W87" i="3" s="1"/>
  <c r="V103" i="3"/>
  <c r="W103" i="3" s="1"/>
  <c r="V119" i="3"/>
  <c r="W119" i="3" s="1"/>
  <c r="V135" i="3"/>
  <c r="W135" i="3" s="1"/>
  <c r="V151" i="3"/>
  <c r="W151" i="3" s="1"/>
  <c r="V167" i="3"/>
  <c r="W167" i="3" s="1"/>
  <c r="V183" i="3"/>
  <c r="W183" i="3" s="1"/>
  <c r="V199" i="3"/>
  <c r="W199" i="3" s="1"/>
  <c r="V215" i="3"/>
  <c r="W215" i="3" s="1"/>
  <c r="V231" i="3"/>
  <c r="W231" i="3" s="1"/>
  <c r="V247" i="3"/>
  <c r="W247" i="3" s="1"/>
  <c r="V263" i="3"/>
  <c r="W263" i="3" s="1"/>
  <c r="V279" i="3"/>
  <c r="W279" i="3" s="1"/>
  <c r="V295" i="3"/>
  <c r="W295" i="3" s="1"/>
  <c r="V311" i="3"/>
  <c r="W311" i="3" s="1"/>
  <c r="V327" i="3"/>
  <c r="W327" i="3" s="1"/>
  <c r="V343" i="3"/>
  <c r="W343" i="3" s="1"/>
  <c r="V359" i="3"/>
  <c r="W359" i="3" s="1"/>
  <c r="V375" i="3"/>
  <c r="W375" i="3" s="1"/>
  <c r="V391" i="3"/>
  <c r="W391" i="3" s="1"/>
  <c r="V407" i="3"/>
  <c r="W407" i="3" s="1"/>
  <c r="V423" i="3"/>
  <c r="W423" i="3" s="1"/>
  <c r="V439" i="3"/>
  <c r="W439" i="3" s="1"/>
  <c r="V455" i="3"/>
  <c r="W455" i="3" s="1"/>
  <c r="V471" i="3"/>
  <c r="W471" i="3" s="1"/>
  <c r="V487" i="3"/>
  <c r="W487" i="3" s="1"/>
  <c r="V503" i="3"/>
  <c r="W503" i="3" s="1"/>
  <c r="V519" i="3"/>
  <c r="W519" i="3" s="1"/>
  <c r="V535" i="3"/>
  <c r="W535" i="3" s="1"/>
  <c r="V551" i="3"/>
  <c r="W551" i="3" s="1"/>
  <c r="V567" i="3"/>
  <c r="W567" i="3" s="1"/>
  <c r="V583" i="3"/>
  <c r="W583" i="3" s="1"/>
  <c r="V8" i="3"/>
  <c r="W8" i="3" s="1"/>
  <c r="V24" i="3"/>
  <c r="W24" i="3" s="1"/>
  <c r="V40" i="3"/>
  <c r="W40" i="3" s="1"/>
  <c r="V56" i="3"/>
  <c r="W56" i="3" s="1"/>
  <c r="V72" i="3"/>
  <c r="W72" i="3" s="1"/>
  <c r="V88" i="3"/>
  <c r="W88" i="3" s="1"/>
  <c r="V104" i="3"/>
  <c r="W104" i="3" s="1"/>
  <c r="V120" i="3"/>
  <c r="W120" i="3" s="1"/>
  <c r="V136" i="3"/>
  <c r="W136" i="3" s="1"/>
  <c r="V152" i="3"/>
  <c r="W152" i="3" s="1"/>
  <c r="V168" i="3"/>
  <c r="W168" i="3" s="1"/>
  <c r="V184" i="3"/>
  <c r="W184" i="3" s="1"/>
  <c r="V200" i="3"/>
  <c r="W200" i="3" s="1"/>
  <c r="V216" i="3"/>
  <c r="W216" i="3" s="1"/>
  <c r="V232" i="3"/>
  <c r="W232" i="3" s="1"/>
  <c r="V248" i="3"/>
  <c r="W248" i="3" s="1"/>
  <c r="V264" i="3"/>
  <c r="W264" i="3" s="1"/>
  <c r="V280" i="3"/>
  <c r="W280" i="3" s="1"/>
  <c r="V296" i="3"/>
  <c r="W296" i="3" s="1"/>
  <c r="V312" i="3"/>
  <c r="W312" i="3" s="1"/>
  <c r="V328" i="3"/>
  <c r="W328" i="3" s="1"/>
  <c r="V344" i="3"/>
  <c r="W344" i="3" s="1"/>
  <c r="V360" i="3"/>
  <c r="W360" i="3" s="1"/>
  <c r="V376" i="3"/>
  <c r="W376" i="3" s="1"/>
  <c r="V392" i="3"/>
  <c r="W392" i="3" s="1"/>
  <c r="V408" i="3"/>
  <c r="W408" i="3" s="1"/>
  <c r="V424" i="3"/>
  <c r="W424" i="3" s="1"/>
  <c r="V440" i="3"/>
  <c r="W440" i="3" s="1"/>
  <c r="V456" i="3"/>
  <c r="W456" i="3" s="1"/>
  <c r="V472" i="3"/>
  <c r="W472" i="3" s="1"/>
  <c r="V488" i="3"/>
  <c r="W488" i="3" s="1"/>
  <c r="V763" i="3"/>
  <c r="W763" i="3" s="1"/>
  <c r="V747" i="3"/>
  <c r="W747" i="3" s="1"/>
  <c r="V731" i="3"/>
  <c r="W731" i="3" s="1"/>
  <c r="V715" i="3"/>
  <c r="W715" i="3" s="1"/>
  <c r="V699" i="3"/>
  <c r="W699" i="3" s="1"/>
  <c r="V683" i="3"/>
  <c r="W683" i="3" s="1"/>
  <c r="V667" i="3"/>
  <c r="W667" i="3" s="1"/>
  <c r="V651" i="3"/>
  <c r="W651" i="3" s="1"/>
  <c r="V635" i="3"/>
  <c r="W635" i="3" s="1"/>
  <c r="V619" i="3"/>
  <c r="W619" i="3" s="1"/>
  <c r="V603" i="3"/>
  <c r="W603" i="3" s="1"/>
  <c r="V587" i="3"/>
  <c r="W587" i="3" s="1"/>
  <c r="V555" i="3"/>
  <c r="W555" i="3" s="1"/>
  <c r="V523" i="3"/>
  <c r="W523" i="3" s="1"/>
  <c r="V451" i="3"/>
  <c r="W451" i="3" s="1"/>
  <c r="V323" i="3"/>
  <c r="W323" i="3" s="1"/>
  <c r="V195" i="3"/>
  <c r="W195" i="3" s="1"/>
  <c r="AF436" i="3"/>
  <c r="AG436" i="3" s="1"/>
  <c r="AF420" i="3"/>
  <c r="AG420" i="3" s="1"/>
  <c r="AF404" i="3"/>
  <c r="AG404" i="3" s="1"/>
  <c r="AF388" i="3"/>
  <c r="AG388" i="3" s="1"/>
  <c r="AF372" i="3"/>
  <c r="AG372" i="3" s="1"/>
  <c r="AF356" i="3"/>
  <c r="AG356" i="3" s="1"/>
  <c r="AF340" i="3"/>
  <c r="AG340" i="3" s="1"/>
  <c r="AF324" i="3"/>
  <c r="AG324" i="3" s="1"/>
  <c r="AF308" i="3"/>
  <c r="AG308" i="3" s="1"/>
  <c r="AF292" i="3"/>
  <c r="AG292" i="3" s="1"/>
  <c r="AF276" i="3"/>
  <c r="AG276" i="3" s="1"/>
  <c r="AF260" i="3"/>
  <c r="AG260" i="3" s="1"/>
  <c r="AF241" i="3"/>
  <c r="AG241" i="3" s="1"/>
  <c r="AF217" i="3"/>
  <c r="AG217" i="3" s="1"/>
  <c r="AF197" i="3"/>
  <c r="AG197" i="3" s="1"/>
  <c r="AF177" i="3"/>
  <c r="AG177" i="3" s="1"/>
  <c r="AF153" i="3"/>
  <c r="AG153" i="3" s="1"/>
  <c r="AF133" i="3"/>
  <c r="AG133" i="3" s="1"/>
  <c r="AF113" i="3"/>
  <c r="AG113" i="3" s="1"/>
  <c r="AF89" i="3"/>
  <c r="AG89" i="3" s="1"/>
  <c r="AF68" i="3"/>
  <c r="AG68" i="3" s="1"/>
  <c r="AF44" i="3"/>
  <c r="AG44" i="3" s="1"/>
  <c r="AF22" i="3"/>
  <c r="AG22" i="3" s="1"/>
  <c r="AG435" i="3"/>
  <c r="AF419" i="3"/>
  <c r="AG419" i="3" s="1"/>
  <c r="AF403" i="3"/>
  <c r="AG403" i="3" s="1"/>
  <c r="AF387" i="3"/>
  <c r="AG387" i="3" s="1"/>
  <c r="AF371" i="3"/>
  <c r="AG371" i="3" s="1"/>
  <c r="AF355" i="3"/>
  <c r="AG355" i="3" s="1"/>
  <c r="AF339" i="3"/>
  <c r="AG339" i="3" s="1"/>
  <c r="AF323" i="3"/>
  <c r="AG323" i="3" s="1"/>
  <c r="AF307" i="3"/>
  <c r="AG307" i="3" s="1"/>
  <c r="AF291" i="3"/>
  <c r="AG291" i="3" s="1"/>
  <c r="AF275" i="3"/>
  <c r="AG275" i="3" s="1"/>
  <c r="AF259" i="3"/>
  <c r="AG259" i="3" s="1"/>
  <c r="AF237" i="3"/>
  <c r="AG237" i="3" s="1"/>
  <c r="AF216" i="3"/>
  <c r="AG216" i="3" s="1"/>
  <c r="AF196" i="3"/>
  <c r="AG196" i="3" s="1"/>
  <c r="AF173" i="3"/>
  <c r="AG173" i="3" s="1"/>
  <c r="AF152" i="3"/>
  <c r="AG152" i="3" s="1"/>
  <c r="AF132" i="3"/>
  <c r="AG132" i="3" s="1"/>
  <c r="AF109" i="3"/>
  <c r="AG109" i="3" s="1"/>
  <c r="AF88" i="3"/>
  <c r="AG88" i="3" s="1"/>
  <c r="AF67" i="3"/>
  <c r="AG67" i="3" s="1"/>
  <c r="AF42" i="3"/>
  <c r="AG42" i="3" s="1"/>
  <c r="AF20" i="3"/>
  <c r="AG20" i="3" s="1"/>
  <c r="AF434" i="3"/>
  <c r="AG434" i="3" s="1"/>
  <c r="AF418" i="3"/>
  <c r="AG418" i="3" s="1"/>
  <c r="AF402" i="3"/>
  <c r="AG402" i="3" s="1"/>
  <c r="AF386" i="3"/>
  <c r="AG386" i="3" s="1"/>
  <c r="AF370" i="3"/>
  <c r="AG370" i="3" s="1"/>
  <c r="AF354" i="3"/>
  <c r="AG354" i="3" s="1"/>
  <c r="AF338" i="3"/>
  <c r="AG338" i="3" s="1"/>
  <c r="AF322" i="3"/>
  <c r="AG322" i="3" s="1"/>
  <c r="AF306" i="3"/>
  <c r="AG306" i="3" s="1"/>
  <c r="AF290" i="3"/>
  <c r="AG290" i="3" s="1"/>
  <c r="AF274" i="3"/>
  <c r="AG274" i="3" s="1"/>
  <c r="AF258" i="3"/>
  <c r="AG258" i="3" s="1"/>
  <c r="AF236" i="3"/>
  <c r="AG236" i="3" s="1"/>
  <c r="AF215" i="3"/>
  <c r="AG215" i="3" s="1"/>
  <c r="AF195" i="3"/>
  <c r="AG195" i="3" s="1"/>
  <c r="AF172" i="3"/>
  <c r="AG172" i="3" s="1"/>
  <c r="AF151" i="3"/>
  <c r="AG151" i="3" s="1"/>
  <c r="AF131" i="3"/>
  <c r="AG131" i="3" s="1"/>
  <c r="AF108" i="3"/>
  <c r="AG108" i="3" s="1"/>
  <c r="AF87" i="3"/>
  <c r="AG87" i="3" s="1"/>
  <c r="AF66" i="3"/>
  <c r="AG66" i="3" s="1"/>
  <c r="AF41" i="3"/>
  <c r="AG41" i="3" s="1"/>
  <c r="AF18" i="3"/>
  <c r="AG18" i="3" s="1"/>
  <c r="AF433" i="3"/>
  <c r="AG433" i="3" s="1"/>
  <c r="AF417" i="3"/>
  <c r="AG417" i="3" s="1"/>
  <c r="AF401" i="3"/>
  <c r="AG401" i="3" s="1"/>
  <c r="AF385" i="3"/>
  <c r="AG385" i="3" s="1"/>
  <c r="AF369" i="3"/>
  <c r="AG369" i="3" s="1"/>
  <c r="AF353" i="3"/>
  <c r="AG353" i="3" s="1"/>
  <c r="AF337" i="3"/>
  <c r="AG337" i="3" s="1"/>
  <c r="AF321" i="3"/>
  <c r="AG321" i="3" s="1"/>
  <c r="AF305" i="3"/>
  <c r="AG305" i="3" s="1"/>
  <c r="AF289" i="3"/>
  <c r="AG289" i="3" s="1"/>
  <c r="AF273" i="3"/>
  <c r="AG273" i="3" s="1"/>
  <c r="AF257" i="3"/>
  <c r="AG257" i="3" s="1"/>
  <c r="AF234" i="3"/>
  <c r="AG234" i="3" s="1"/>
  <c r="AF214" i="3"/>
  <c r="AG214" i="3" s="1"/>
  <c r="AF194" i="3"/>
  <c r="AG194" i="3" s="1"/>
  <c r="AF170" i="3"/>
  <c r="AG170" i="3" s="1"/>
  <c r="AF150" i="3"/>
  <c r="AG150" i="3" s="1"/>
  <c r="AF130" i="3"/>
  <c r="AG130" i="3" s="1"/>
  <c r="AF106" i="3"/>
  <c r="AG106" i="3" s="1"/>
  <c r="AF86" i="3"/>
  <c r="AG86" i="3" s="1"/>
  <c r="AF65" i="3"/>
  <c r="AG65" i="3" s="1"/>
  <c r="AF40" i="3"/>
  <c r="AG40" i="3" s="1"/>
  <c r="AF17" i="3"/>
  <c r="AG17" i="3" s="1"/>
  <c r="AF432" i="3"/>
  <c r="AG432" i="3" s="1"/>
  <c r="AF416" i="3"/>
  <c r="AG416" i="3" s="1"/>
  <c r="AF400" i="3"/>
  <c r="AG400" i="3" s="1"/>
  <c r="AF384" i="3"/>
  <c r="AG384" i="3" s="1"/>
  <c r="AF368" i="3"/>
  <c r="AG368" i="3" s="1"/>
  <c r="AF352" i="3"/>
  <c r="AG352" i="3" s="1"/>
  <c r="AF336" i="3"/>
  <c r="AG336" i="3" s="1"/>
  <c r="AF320" i="3"/>
  <c r="AG320" i="3" s="1"/>
  <c r="AF304" i="3"/>
  <c r="AG304" i="3" s="1"/>
  <c r="AF288" i="3"/>
  <c r="AG288" i="3" s="1"/>
  <c r="AF272" i="3"/>
  <c r="AG272" i="3" s="1"/>
  <c r="AF254" i="3"/>
  <c r="AG254" i="3" s="1"/>
  <c r="AF233" i="3"/>
  <c r="AG233" i="3" s="1"/>
  <c r="AF213" i="3"/>
  <c r="AG213" i="3" s="1"/>
  <c r="AF193" i="3"/>
  <c r="AG193" i="3" s="1"/>
  <c r="AF169" i="3"/>
  <c r="AG169" i="3" s="1"/>
  <c r="AF149" i="3"/>
  <c r="AG149" i="3" s="1"/>
  <c r="AF129" i="3"/>
  <c r="AG129" i="3" s="1"/>
  <c r="AF105" i="3"/>
  <c r="AG105" i="3" s="1"/>
  <c r="AF85" i="3"/>
  <c r="AG85" i="3" s="1"/>
  <c r="AF61" i="3"/>
  <c r="AG61" i="3" s="1"/>
  <c r="AF39" i="3"/>
  <c r="AG39" i="3" s="1"/>
  <c r="AF13" i="3"/>
  <c r="AG13" i="3" s="1"/>
  <c r="AF431" i="3"/>
  <c r="AF415" i="3"/>
  <c r="AG415" i="3" s="1"/>
  <c r="AF399" i="3"/>
  <c r="AG399" i="3" s="1"/>
  <c r="AF383" i="3"/>
  <c r="AG383" i="3" s="1"/>
  <c r="AF367" i="3"/>
  <c r="AG367" i="3" s="1"/>
  <c r="AF351" i="3"/>
  <c r="AG351" i="3" s="1"/>
  <c r="AF335" i="3"/>
  <c r="AG335" i="3" s="1"/>
  <c r="AF319" i="3"/>
  <c r="AG319" i="3" s="1"/>
  <c r="AF303" i="3"/>
  <c r="AG303" i="3" s="1"/>
  <c r="AF287" i="3"/>
  <c r="AG287" i="3" s="1"/>
  <c r="AF271" i="3"/>
  <c r="AG271" i="3" s="1"/>
  <c r="AF253" i="3"/>
  <c r="AG253" i="3" s="1"/>
  <c r="AF232" i="3"/>
  <c r="AG232" i="3" s="1"/>
  <c r="AF212" i="3"/>
  <c r="AG212" i="3" s="1"/>
  <c r="AF189" i="3"/>
  <c r="AG189" i="3" s="1"/>
  <c r="AF168" i="3"/>
  <c r="AG168" i="3" s="1"/>
  <c r="AF148" i="3"/>
  <c r="AG148" i="3" s="1"/>
  <c r="AF125" i="3"/>
  <c r="AG125" i="3" s="1"/>
  <c r="AF104" i="3"/>
  <c r="AG104" i="3" s="1"/>
  <c r="AF84" i="3"/>
  <c r="AG84" i="3" s="1"/>
  <c r="AF60" i="3"/>
  <c r="AG60" i="3" s="1"/>
  <c r="AF38" i="3"/>
  <c r="AG38" i="3" s="1"/>
  <c r="AF12" i="3"/>
  <c r="AG12" i="3" s="1"/>
  <c r="AF430" i="3"/>
  <c r="AG430" i="3" s="1"/>
  <c r="AF414" i="3"/>
  <c r="AG414" i="3" s="1"/>
  <c r="AF398" i="3"/>
  <c r="AG398" i="3" s="1"/>
  <c r="AF382" i="3"/>
  <c r="AG382" i="3" s="1"/>
  <c r="AF366" i="3"/>
  <c r="AG366" i="3" s="1"/>
  <c r="AF350" i="3"/>
  <c r="AG350" i="3" s="1"/>
  <c r="AF334" i="3"/>
  <c r="AG334" i="3" s="1"/>
  <c r="AF318" i="3"/>
  <c r="AG318" i="3" s="1"/>
  <c r="AF302" i="3"/>
  <c r="AG302" i="3" s="1"/>
  <c r="AF286" i="3"/>
  <c r="AG286" i="3" s="1"/>
  <c r="AF270" i="3"/>
  <c r="AG270" i="3" s="1"/>
  <c r="AF252" i="3"/>
  <c r="AG252" i="3" s="1"/>
  <c r="AF231" i="3"/>
  <c r="AG231" i="3" s="1"/>
  <c r="AF211" i="3"/>
  <c r="AG211" i="3" s="1"/>
  <c r="AF188" i="3"/>
  <c r="AG188" i="3" s="1"/>
  <c r="AF167" i="3"/>
  <c r="AG167" i="3" s="1"/>
  <c r="AF147" i="3"/>
  <c r="AG147" i="3" s="1"/>
  <c r="AF124" i="3"/>
  <c r="AG124" i="3" s="1"/>
  <c r="AF103" i="3"/>
  <c r="AG103" i="3" s="1"/>
  <c r="AF83" i="3"/>
  <c r="AG83" i="3" s="1"/>
  <c r="AF58" i="3"/>
  <c r="AG58" i="3" s="1"/>
  <c r="AF36" i="3"/>
  <c r="AG36" i="3" s="1"/>
  <c r="AF10" i="3"/>
  <c r="AG10" i="3" s="1"/>
  <c r="AF429" i="3"/>
  <c r="AG429" i="3" s="1"/>
  <c r="AF413" i="3"/>
  <c r="AG413" i="3" s="1"/>
  <c r="AF397" i="3"/>
  <c r="AG397" i="3" s="1"/>
  <c r="AF381" i="3"/>
  <c r="AG381" i="3" s="1"/>
  <c r="AF365" i="3"/>
  <c r="AG365" i="3" s="1"/>
  <c r="AF349" i="3"/>
  <c r="AG349" i="3" s="1"/>
  <c r="AF333" i="3"/>
  <c r="AG333" i="3" s="1"/>
  <c r="AF317" i="3"/>
  <c r="AG317" i="3" s="1"/>
  <c r="AF301" i="3"/>
  <c r="AG301" i="3" s="1"/>
  <c r="AF285" i="3"/>
  <c r="AG285" i="3" s="1"/>
  <c r="AF269" i="3"/>
  <c r="AG269" i="3" s="1"/>
  <c r="AF250" i="3"/>
  <c r="AG250" i="3" s="1"/>
  <c r="AF230" i="3"/>
  <c r="AG230" i="3" s="1"/>
  <c r="AF210" i="3"/>
  <c r="AG210" i="3" s="1"/>
  <c r="AF186" i="3"/>
  <c r="AG186" i="3" s="1"/>
  <c r="AF166" i="3"/>
  <c r="AG166" i="3" s="1"/>
  <c r="AF146" i="3"/>
  <c r="AG146" i="3" s="1"/>
  <c r="AF122" i="3"/>
  <c r="AG122" i="3" s="1"/>
  <c r="AF102" i="3"/>
  <c r="AG102" i="3" s="1"/>
  <c r="AF82" i="3"/>
  <c r="AG82" i="3" s="1"/>
  <c r="AF57" i="3"/>
  <c r="AG57" i="3" s="1"/>
  <c r="AF35" i="3"/>
  <c r="AG35" i="3" s="1"/>
  <c r="AF9" i="3"/>
  <c r="AG9" i="3" s="1"/>
  <c r="AF428" i="3"/>
  <c r="AG428" i="3" s="1"/>
  <c r="AF412" i="3"/>
  <c r="AG412" i="3" s="1"/>
  <c r="AF396" i="3"/>
  <c r="AG396" i="3" s="1"/>
  <c r="AF380" i="3"/>
  <c r="AG380" i="3" s="1"/>
  <c r="AF364" i="3"/>
  <c r="AG364" i="3" s="1"/>
  <c r="AF348" i="3"/>
  <c r="AG348" i="3" s="1"/>
  <c r="AF332" i="3"/>
  <c r="AG332" i="3" s="1"/>
  <c r="AF316" i="3"/>
  <c r="AG316" i="3" s="1"/>
  <c r="AF300" i="3"/>
  <c r="AG300" i="3" s="1"/>
  <c r="AF284" i="3"/>
  <c r="AG284" i="3" s="1"/>
  <c r="AF268" i="3"/>
  <c r="AG268" i="3" s="1"/>
  <c r="AF249" i="3"/>
  <c r="AG249" i="3" s="1"/>
  <c r="AF229" i="3"/>
  <c r="AG229" i="3" s="1"/>
  <c r="AF209" i="3"/>
  <c r="AG209" i="3" s="1"/>
  <c r="AF185" i="3"/>
  <c r="AG185" i="3" s="1"/>
  <c r="AF165" i="3"/>
  <c r="AG165" i="3" s="1"/>
  <c r="AF145" i="3"/>
  <c r="AG145" i="3" s="1"/>
  <c r="AF121" i="3"/>
  <c r="AG121" i="3" s="1"/>
  <c r="AF101" i="3"/>
  <c r="AG101" i="3" s="1"/>
  <c r="AF81" i="3"/>
  <c r="AG81" i="3" s="1"/>
  <c r="AF56" i="3"/>
  <c r="AG56" i="3" s="1"/>
  <c r="AF34" i="3"/>
  <c r="AG34" i="3" s="1"/>
  <c r="AF8" i="3"/>
  <c r="AG8" i="3" s="1"/>
  <c r="AF3" i="3"/>
  <c r="AG3" i="3" s="1"/>
  <c r="AF427" i="3"/>
  <c r="AG427" i="3" s="1"/>
  <c r="AF411" i="3"/>
  <c r="AG411" i="3" s="1"/>
  <c r="AF395" i="3"/>
  <c r="AG395" i="3" s="1"/>
  <c r="AF379" i="3"/>
  <c r="AG379" i="3" s="1"/>
  <c r="AF363" i="3"/>
  <c r="AG363" i="3" s="1"/>
  <c r="AF347" i="3"/>
  <c r="AG347" i="3" s="1"/>
  <c r="AF331" i="3"/>
  <c r="AG331" i="3" s="1"/>
  <c r="AF315" i="3"/>
  <c r="AG315" i="3" s="1"/>
  <c r="AF299" i="3"/>
  <c r="AG299" i="3" s="1"/>
  <c r="AF283" i="3"/>
  <c r="AG283" i="3" s="1"/>
  <c r="AF267" i="3"/>
  <c r="AG267" i="3" s="1"/>
  <c r="AF248" i="3"/>
  <c r="AG248" i="3" s="1"/>
  <c r="AF228" i="3"/>
  <c r="AG228" i="3" s="1"/>
  <c r="AF205" i="3"/>
  <c r="AG205" i="3" s="1"/>
  <c r="AF184" i="3"/>
  <c r="AG184" i="3" s="1"/>
  <c r="AF164" i="3"/>
  <c r="AG164" i="3" s="1"/>
  <c r="AF141" i="3"/>
  <c r="AG141" i="3" s="1"/>
  <c r="AF120" i="3"/>
  <c r="AG120" i="3" s="1"/>
  <c r="AF100" i="3"/>
  <c r="AG100" i="3" s="1"/>
  <c r="AF77" i="3"/>
  <c r="AG77" i="3" s="1"/>
  <c r="AF55" i="3"/>
  <c r="AG55" i="3" s="1"/>
  <c r="AF33" i="3"/>
  <c r="AG33" i="3" s="1"/>
  <c r="AF7" i="3"/>
  <c r="AG7" i="3" s="1"/>
  <c r="AF441" i="3"/>
  <c r="AG441" i="3" s="1"/>
  <c r="AF425" i="3"/>
  <c r="AG425" i="3" s="1"/>
  <c r="AF409" i="3"/>
  <c r="AG409" i="3" s="1"/>
  <c r="AF393" i="3"/>
  <c r="AG393" i="3" s="1"/>
  <c r="AF377" i="3"/>
  <c r="AG377" i="3" s="1"/>
  <c r="AF361" i="3"/>
  <c r="AG361" i="3" s="1"/>
  <c r="AF345" i="3"/>
  <c r="AG345" i="3" s="1"/>
  <c r="AF329" i="3"/>
  <c r="AG329" i="3" s="1"/>
  <c r="AF313" i="3"/>
  <c r="AG313" i="3" s="1"/>
  <c r="AF297" i="3"/>
  <c r="AG297" i="3" s="1"/>
  <c r="AF281" i="3"/>
  <c r="AG281" i="3" s="1"/>
  <c r="AF265" i="3"/>
  <c r="AG265" i="3" s="1"/>
  <c r="AF246" i="3"/>
  <c r="AG246" i="3" s="1"/>
  <c r="AF226" i="3"/>
  <c r="AG226" i="3" s="1"/>
  <c r="AF202" i="3"/>
  <c r="AG202" i="3" s="1"/>
  <c r="AF182" i="3"/>
  <c r="AG182" i="3" s="1"/>
  <c r="AF162" i="3"/>
  <c r="AG162" i="3" s="1"/>
  <c r="AF138" i="3"/>
  <c r="AG138" i="3" s="1"/>
  <c r="AF118" i="3"/>
  <c r="AG118" i="3" s="1"/>
  <c r="AF98" i="3"/>
  <c r="AG98" i="3" s="1"/>
  <c r="AF74" i="3"/>
  <c r="AG74" i="3" s="1"/>
  <c r="AF52" i="3"/>
  <c r="AG52" i="3" s="1"/>
  <c r="AF28" i="3"/>
  <c r="AG28" i="3" s="1"/>
  <c r="AF4" i="3"/>
  <c r="AG4" i="3" s="1"/>
  <c r="AF440" i="3"/>
  <c r="AG440" i="3" s="1"/>
  <c r="AF424" i="3"/>
  <c r="AG424" i="3" s="1"/>
  <c r="AF408" i="3"/>
  <c r="AG408" i="3" s="1"/>
  <c r="AF392" i="3"/>
  <c r="AG392" i="3" s="1"/>
  <c r="AF376" i="3"/>
  <c r="AG376" i="3" s="1"/>
  <c r="AF360" i="3"/>
  <c r="AG360" i="3" s="1"/>
  <c r="AF344" i="3"/>
  <c r="AG344" i="3" s="1"/>
  <c r="AF328" i="3"/>
  <c r="AG328" i="3" s="1"/>
  <c r="AF312" i="3"/>
  <c r="AG312" i="3" s="1"/>
  <c r="AF296" i="3"/>
  <c r="AG296" i="3" s="1"/>
  <c r="AF280" i="3"/>
  <c r="AG280" i="3" s="1"/>
  <c r="AF264" i="3"/>
  <c r="AG264" i="3" s="1"/>
  <c r="AF245" i="3"/>
  <c r="AG245" i="3" s="1"/>
  <c r="AF225" i="3"/>
  <c r="AG225" i="3" s="1"/>
  <c r="AF201" i="3"/>
  <c r="AG201" i="3" s="1"/>
  <c r="AF181" i="3"/>
  <c r="AG181" i="3" s="1"/>
  <c r="AF161" i="3"/>
  <c r="AG161" i="3" s="1"/>
  <c r="AF137" i="3"/>
  <c r="AG137" i="3" s="1"/>
  <c r="AF117" i="3"/>
  <c r="AG117" i="3" s="1"/>
  <c r="AF97" i="3"/>
  <c r="AG97" i="3" s="1"/>
  <c r="AF73" i="3"/>
  <c r="AG73" i="3" s="1"/>
  <c r="AF51" i="3"/>
  <c r="AG51" i="3" s="1"/>
  <c r="AF26" i="3"/>
  <c r="AG26" i="3" s="1"/>
  <c r="AF439" i="3"/>
  <c r="AG439" i="3" s="1"/>
  <c r="AF423" i="3"/>
  <c r="AG423" i="3" s="1"/>
  <c r="AF407" i="3"/>
  <c r="AG407" i="3" s="1"/>
  <c r="AF391" i="3"/>
  <c r="AG391" i="3" s="1"/>
  <c r="AF375" i="3"/>
  <c r="AG375" i="3" s="1"/>
  <c r="AF359" i="3"/>
  <c r="AG359" i="3" s="1"/>
  <c r="AF343" i="3"/>
  <c r="AG343" i="3" s="1"/>
  <c r="AF327" i="3"/>
  <c r="AG327" i="3" s="1"/>
  <c r="AF311" i="3"/>
  <c r="AG311" i="3" s="1"/>
  <c r="AF295" i="3"/>
  <c r="AG295" i="3" s="1"/>
  <c r="AF279" i="3"/>
  <c r="AG279" i="3" s="1"/>
  <c r="AF263" i="3"/>
  <c r="AG263" i="3" s="1"/>
  <c r="AF244" i="3"/>
  <c r="AG244" i="3" s="1"/>
  <c r="AF221" i="3"/>
  <c r="AG221" i="3" s="1"/>
  <c r="AF200" i="3"/>
  <c r="AG200" i="3" s="1"/>
  <c r="AF180" i="3"/>
  <c r="AG180" i="3" s="1"/>
  <c r="AF157" i="3"/>
  <c r="AG157" i="3" s="1"/>
  <c r="AF136" i="3"/>
  <c r="AG136" i="3" s="1"/>
  <c r="AF116" i="3"/>
  <c r="AG116" i="3" s="1"/>
  <c r="AF93" i="3"/>
  <c r="AG93" i="3" s="1"/>
  <c r="AF72" i="3"/>
  <c r="AG72" i="3" s="1"/>
  <c r="AF50" i="3"/>
  <c r="AG50" i="3" s="1"/>
  <c r="AF11" i="3"/>
  <c r="AG11" i="3" s="1"/>
  <c r="AF69" i="3"/>
  <c r="AG69" i="3" s="1"/>
  <c r="AF53" i="3"/>
  <c r="AG53" i="3" s="1"/>
  <c r="AF37" i="3"/>
  <c r="AG37" i="3" s="1"/>
  <c r="AF21" i="3"/>
  <c r="AG21" i="3" s="1"/>
  <c r="AF5" i="3"/>
  <c r="AG5" i="3" s="1"/>
  <c r="AF19" i="3"/>
  <c r="AG19" i="3" s="1"/>
  <c r="AF256" i="3"/>
  <c r="AG256" i="3" s="1"/>
  <c r="AF240" i="3"/>
  <c r="AG240" i="3" s="1"/>
  <c r="AF224" i="3"/>
  <c r="AG224" i="3" s="1"/>
  <c r="AF208" i="3"/>
  <c r="AG208" i="3" s="1"/>
  <c r="AF192" i="3"/>
  <c r="AG192" i="3" s="1"/>
  <c r="AF176" i="3"/>
  <c r="AG176" i="3" s="1"/>
  <c r="AF160" i="3"/>
  <c r="AG160" i="3" s="1"/>
  <c r="AF144" i="3"/>
  <c r="AG144" i="3" s="1"/>
  <c r="AF128" i="3"/>
  <c r="AG128" i="3" s="1"/>
  <c r="AF112" i="3"/>
  <c r="AG112" i="3" s="1"/>
  <c r="AF96" i="3"/>
  <c r="AG96" i="3" s="1"/>
  <c r="AF80" i="3"/>
  <c r="AG80" i="3" s="1"/>
  <c r="AF64" i="3"/>
  <c r="AG64" i="3" s="1"/>
  <c r="AF48" i="3"/>
  <c r="AG48" i="3" s="1"/>
  <c r="AF32" i="3"/>
  <c r="AG32" i="3" s="1"/>
  <c r="AF16" i="3"/>
  <c r="AG16" i="3" s="1"/>
  <c r="AF255" i="3"/>
  <c r="AG255" i="3" s="1"/>
  <c r="AF239" i="3"/>
  <c r="AG239" i="3" s="1"/>
  <c r="AF223" i="3"/>
  <c r="AG223" i="3" s="1"/>
  <c r="AF207" i="3"/>
  <c r="AG207" i="3" s="1"/>
  <c r="AF191" i="3"/>
  <c r="AG191" i="3" s="1"/>
  <c r="AF175" i="3"/>
  <c r="AG175" i="3" s="1"/>
  <c r="AF159" i="3"/>
  <c r="AG159" i="3" s="1"/>
  <c r="AF143" i="3"/>
  <c r="AG143" i="3" s="1"/>
  <c r="AF127" i="3"/>
  <c r="AG127" i="3" s="1"/>
  <c r="AF111" i="3"/>
  <c r="AG111" i="3" s="1"/>
  <c r="AF95" i="3"/>
  <c r="AG95" i="3" s="1"/>
  <c r="AF79" i="3"/>
  <c r="AG79" i="3" s="1"/>
  <c r="AF63" i="3"/>
  <c r="AG63" i="3" s="1"/>
  <c r="AF47" i="3"/>
  <c r="AG47" i="3" s="1"/>
  <c r="AF31" i="3"/>
  <c r="AG31" i="3" s="1"/>
  <c r="AF15" i="3"/>
  <c r="AG15" i="3" s="1"/>
  <c r="AF238" i="3"/>
  <c r="AG238" i="3" s="1"/>
  <c r="AF222" i="3"/>
  <c r="AG222" i="3" s="1"/>
  <c r="AF206" i="3"/>
  <c r="AG206" i="3" s="1"/>
  <c r="AF190" i="3"/>
  <c r="AG190" i="3" s="1"/>
  <c r="AF174" i="3"/>
  <c r="AG174" i="3" s="1"/>
  <c r="AF158" i="3"/>
  <c r="AG158" i="3" s="1"/>
  <c r="AF142" i="3"/>
  <c r="AG142" i="3" s="1"/>
  <c r="AF126" i="3"/>
  <c r="AG126" i="3" s="1"/>
  <c r="AF110" i="3"/>
  <c r="AG110" i="3" s="1"/>
  <c r="AF94" i="3"/>
  <c r="AG94" i="3" s="1"/>
  <c r="AF78" i="3"/>
  <c r="AG78" i="3" s="1"/>
  <c r="AF62" i="3"/>
  <c r="AG62" i="3" s="1"/>
  <c r="AF46" i="3"/>
  <c r="AG46" i="3" s="1"/>
  <c r="AF30" i="3"/>
  <c r="AG30" i="3" s="1"/>
  <c r="AF14" i="3"/>
  <c r="AG14" i="3" s="1"/>
  <c r="AF251" i="3"/>
  <c r="AG251" i="3" s="1"/>
  <c r="AF235" i="3"/>
  <c r="AG235" i="3" s="1"/>
  <c r="AF219" i="3"/>
  <c r="AG219" i="3" s="1"/>
  <c r="AF203" i="3"/>
  <c r="AG203" i="3" s="1"/>
  <c r="AF187" i="3"/>
  <c r="AG187" i="3" s="1"/>
  <c r="AF171" i="3"/>
  <c r="AG171" i="3" s="1"/>
  <c r="AF155" i="3"/>
  <c r="AG155" i="3" s="1"/>
  <c r="AF139" i="3"/>
  <c r="AG139" i="3" s="1"/>
  <c r="AF123" i="3"/>
  <c r="AG123" i="3" s="1"/>
  <c r="AF107" i="3"/>
  <c r="AG107" i="3" s="1"/>
  <c r="AF91" i="3"/>
  <c r="AG91" i="3" s="1"/>
  <c r="AF75" i="3"/>
  <c r="AG75" i="3" s="1"/>
  <c r="AF59" i="3"/>
  <c r="AG59" i="3" s="1"/>
  <c r="AF43" i="3"/>
  <c r="AG43" i="3" s="1"/>
  <c r="AF27" i="3"/>
  <c r="AG27" i="3" s="1"/>
  <c r="H94" i="3"/>
  <c r="I94" i="3" s="1"/>
  <c r="H78" i="3"/>
  <c r="I78" i="3" s="1"/>
  <c r="H62" i="3"/>
  <c r="I62" i="3" s="1"/>
  <c r="H46" i="3"/>
  <c r="I46" i="3" s="1"/>
  <c r="H30" i="3"/>
  <c r="I30" i="3" s="1"/>
  <c r="H15" i="3"/>
  <c r="I15" i="3" s="1"/>
  <c r="H61" i="3"/>
  <c r="I61" i="3" s="1"/>
  <c r="H29" i="3"/>
  <c r="I29" i="3" s="1"/>
  <c r="H92" i="3"/>
  <c r="I92" i="3" s="1"/>
  <c r="H12" i="3"/>
  <c r="I12" i="3" s="1"/>
  <c r="H91" i="3"/>
  <c r="I91" i="3" s="1"/>
  <c r="H75" i="3"/>
  <c r="I75" i="3" s="1"/>
  <c r="H59" i="3"/>
  <c r="I59" i="3" s="1"/>
  <c r="H43" i="3"/>
  <c r="I43" i="3" s="1"/>
  <c r="H27" i="3"/>
  <c r="I27" i="3" s="1"/>
  <c r="H11" i="3"/>
  <c r="I11" i="3" s="1"/>
  <c r="H93" i="3"/>
  <c r="I93" i="3" s="1"/>
  <c r="H13" i="3"/>
  <c r="I13" i="3" s="1"/>
  <c r="H60" i="3"/>
  <c r="I60" i="3" s="1"/>
  <c r="H44" i="3"/>
  <c r="I44" i="3" s="1"/>
  <c r="H90" i="3"/>
  <c r="I90" i="3" s="1"/>
  <c r="H74" i="3"/>
  <c r="I74" i="3" s="1"/>
  <c r="H58" i="3"/>
  <c r="I58" i="3" s="1"/>
  <c r="H42" i="3"/>
  <c r="I42" i="3" s="1"/>
  <c r="H26" i="3"/>
  <c r="I26" i="3" s="1"/>
  <c r="H10" i="3"/>
  <c r="I10" i="3" s="1"/>
  <c r="H77" i="3"/>
  <c r="I77" i="3" s="1"/>
  <c r="H45" i="3"/>
  <c r="I45" i="3" s="1"/>
  <c r="H76" i="3"/>
  <c r="I76" i="3" s="1"/>
  <c r="H28" i="3"/>
  <c r="I28" i="3" s="1"/>
  <c r="H89" i="3"/>
  <c r="I89" i="3" s="1"/>
  <c r="H73" i="3"/>
  <c r="I73" i="3" s="1"/>
  <c r="H57" i="3"/>
  <c r="I57" i="3" s="1"/>
  <c r="H41" i="3"/>
  <c r="I41" i="3" s="1"/>
  <c r="H25" i="3"/>
  <c r="I25" i="3" s="1"/>
  <c r="H9" i="3"/>
  <c r="I9" i="3" s="1"/>
  <c r="H88" i="3"/>
  <c r="I88" i="3" s="1"/>
  <c r="H72" i="3"/>
  <c r="I72" i="3" s="1"/>
  <c r="H56" i="3"/>
  <c r="I56" i="3" s="1"/>
  <c r="H40" i="3"/>
  <c r="I40" i="3" s="1"/>
  <c r="H24" i="3"/>
  <c r="I24" i="3" s="1"/>
  <c r="H8" i="3"/>
  <c r="I8" i="3" s="1"/>
  <c r="H71" i="3"/>
  <c r="I71" i="3" s="1"/>
  <c r="H55" i="3"/>
  <c r="I55" i="3" s="1"/>
  <c r="H39" i="3"/>
  <c r="I39" i="3" s="1"/>
  <c r="H23" i="3"/>
  <c r="I23" i="3" s="1"/>
  <c r="H7" i="3"/>
  <c r="I7" i="3" s="1"/>
  <c r="H70" i="3"/>
  <c r="I70" i="3" s="1"/>
  <c r="H6" i="3"/>
  <c r="I6" i="3" s="1"/>
  <c r="H5" i="3"/>
  <c r="I5" i="3" s="1"/>
  <c r="H38" i="3"/>
  <c r="I38" i="3" s="1"/>
  <c r="H85" i="3"/>
  <c r="I85" i="3" s="1"/>
  <c r="H53" i="3"/>
  <c r="I53" i="3" s="1"/>
  <c r="H21" i="3"/>
  <c r="I21" i="3" s="1"/>
  <c r="H84" i="3"/>
  <c r="I84" i="3" s="1"/>
  <c r="H68" i="3"/>
  <c r="I68" i="3" s="1"/>
  <c r="H52" i="3"/>
  <c r="I52" i="3" s="1"/>
  <c r="H36" i="3"/>
  <c r="I36" i="3" s="1"/>
  <c r="H20" i="3"/>
  <c r="I20" i="3" s="1"/>
  <c r="H4" i="3"/>
  <c r="I4" i="3" s="1"/>
  <c r="H87" i="3"/>
  <c r="I87" i="3" s="1"/>
  <c r="H86" i="3"/>
  <c r="I86" i="3" s="1"/>
  <c r="H22" i="3"/>
  <c r="I22" i="3" s="1"/>
  <c r="H69" i="3"/>
  <c r="I69" i="3" s="1"/>
  <c r="H37" i="3"/>
  <c r="I37" i="3" s="1"/>
  <c r="H3" i="3"/>
  <c r="I3" i="3" s="1"/>
  <c r="H83" i="3"/>
  <c r="I83" i="3" s="1"/>
  <c r="H67" i="3"/>
  <c r="I67" i="3" s="1"/>
  <c r="H51" i="3"/>
  <c r="I51" i="3" s="1"/>
  <c r="H35" i="3"/>
  <c r="I35" i="3" s="1"/>
  <c r="H19" i="3"/>
  <c r="I19" i="3" s="1"/>
  <c r="H18" i="3"/>
  <c r="I18" i="3" s="1"/>
  <c r="H54" i="3"/>
  <c r="I54" i="3" s="1"/>
  <c r="H98" i="3"/>
  <c r="I98" i="3" s="1"/>
  <c r="H82" i="3"/>
  <c r="I82" i="3" s="1"/>
  <c r="H66" i="3"/>
  <c r="I66" i="3" s="1"/>
  <c r="H50" i="3"/>
  <c r="I50" i="3" s="1"/>
  <c r="H34" i="3"/>
  <c r="I34" i="3" s="1"/>
  <c r="H97" i="3"/>
  <c r="I97" i="3" s="1"/>
  <c r="H81" i="3"/>
  <c r="I81" i="3" s="1"/>
  <c r="H65" i="3"/>
  <c r="I65" i="3" s="1"/>
  <c r="H49" i="3"/>
  <c r="I49" i="3" s="1"/>
  <c r="H33" i="3"/>
  <c r="I33" i="3" s="1"/>
  <c r="H17" i="3"/>
  <c r="I17" i="3" s="1"/>
  <c r="H96" i="3"/>
  <c r="I96" i="3" s="1"/>
  <c r="H80" i="3"/>
  <c r="I80" i="3" s="1"/>
  <c r="H64" i="3"/>
  <c r="I64" i="3" s="1"/>
  <c r="H48" i="3"/>
  <c r="I48" i="3" s="1"/>
  <c r="H32" i="3"/>
  <c r="I32" i="3" s="1"/>
  <c r="H16" i="3"/>
  <c r="I16" i="3" s="1"/>
  <c r="H95" i="3"/>
  <c r="I95" i="3" s="1"/>
  <c r="H79" i="3"/>
  <c r="I79" i="3" s="1"/>
  <c r="H63" i="3"/>
  <c r="I63" i="3" s="1"/>
  <c r="H47" i="3"/>
  <c r="I47" i="3" s="1"/>
  <c r="H31" i="3"/>
  <c r="I31" i="3" s="1"/>
  <c r="AD1" i="2"/>
  <c r="R1" i="2"/>
  <c r="F1" i="2"/>
  <c r="CO3" i="2" l="1"/>
  <c r="CP3" i="2" s="1"/>
  <c r="CQ3" i="2" s="1"/>
  <c r="CW3" i="2"/>
  <c r="CX3" i="2" s="1"/>
  <c r="CT1" i="2"/>
  <c r="CD1" i="2" l="1"/>
  <c r="BY3" i="2"/>
  <c r="BY4" i="2"/>
  <c r="BY5" i="2"/>
  <c r="BZ5" i="2" s="1"/>
  <c r="CA5" i="2" s="1"/>
  <c r="BY6" i="2"/>
  <c r="BZ6" i="2" s="1"/>
  <c r="CA6" i="2" s="1"/>
  <c r="BY7" i="2"/>
  <c r="BZ7" i="2" s="1"/>
  <c r="CA7" i="2" s="1"/>
  <c r="BY8" i="2"/>
  <c r="BZ8" i="2" s="1"/>
  <c r="CA8" i="2" s="1"/>
  <c r="BY9" i="2"/>
  <c r="BZ9" i="2" s="1"/>
  <c r="CA9" i="2" s="1"/>
  <c r="BY10" i="2"/>
  <c r="BY11" i="2"/>
  <c r="BZ11" i="2" s="1"/>
  <c r="CA11" i="2" s="1"/>
  <c r="BY12" i="2"/>
  <c r="BZ12" i="2" s="1"/>
  <c r="CA12" i="2" s="1"/>
  <c r="BY13" i="2"/>
  <c r="BZ13" i="2" s="1"/>
  <c r="CA13" i="2" s="1"/>
  <c r="BY14" i="2"/>
  <c r="BZ14" i="2" s="1"/>
  <c r="CA14" i="2" s="1"/>
  <c r="BY15" i="2"/>
  <c r="BZ15" i="2" s="1"/>
  <c r="CA15" i="2" s="1"/>
  <c r="BY16" i="2"/>
  <c r="BZ16" i="2" s="1"/>
  <c r="CA16" i="2" s="1"/>
  <c r="BY17" i="2"/>
  <c r="BZ17" i="2" s="1"/>
  <c r="CA17" i="2" s="1"/>
  <c r="BY18" i="2"/>
  <c r="BZ18" i="2" s="1"/>
  <c r="CA18" i="2" s="1"/>
  <c r="BY19" i="2"/>
  <c r="BZ19" i="2" s="1"/>
  <c r="CA19" i="2" s="1"/>
  <c r="BY20" i="2"/>
  <c r="BZ20" i="2" s="1"/>
  <c r="CA20" i="2" s="1"/>
  <c r="BY21" i="2"/>
  <c r="BZ21" i="2" s="1"/>
  <c r="CA21" i="2" s="1"/>
  <c r="BY22" i="2"/>
  <c r="BY23" i="2"/>
  <c r="BZ23" i="2" s="1"/>
  <c r="CA23" i="2" s="1"/>
  <c r="BY24" i="2"/>
  <c r="BZ24" i="2" s="1"/>
  <c r="CA24" i="2" s="1"/>
  <c r="BY25" i="2"/>
  <c r="BZ25" i="2" s="1"/>
  <c r="CA25" i="2" s="1"/>
  <c r="BY26" i="2"/>
  <c r="BZ26" i="2" s="1"/>
  <c r="CA26" i="2" s="1"/>
  <c r="BY27" i="2"/>
  <c r="BZ27" i="2" s="1"/>
  <c r="CA27" i="2" s="1"/>
  <c r="BY28" i="2"/>
  <c r="BZ28" i="2" s="1"/>
  <c r="CA28" i="2" s="1"/>
  <c r="BY29" i="2"/>
  <c r="BZ29" i="2" s="1"/>
  <c r="CA29" i="2" s="1"/>
  <c r="BY30" i="2"/>
  <c r="BZ30" i="2" s="1"/>
  <c r="CA30" i="2" s="1"/>
  <c r="BY31" i="2"/>
  <c r="BZ31" i="2" s="1"/>
  <c r="CA31" i="2" s="1"/>
  <c r="BY32" i="2"/>
  <c r="BZ32" i="2" s="1"/>
  <c r="CA32" i="2" s="1"/>
  <c r="BY33" i="2"/>
  <c r="BZ33" i="2" s="1"/>
  <c r="CA33" i="2" s="1"/>
  <c r="BY34" i="2"/>
  <c r="BZ34" i="2" s="1"/>
  <c r="CA34" i="2" s="1"/>
  <c r="BY35" i="2"/>
  <c r="BZ35" i="2" s="1"/>
  <c r="CA35" i="2" s="1"/>
  <c r="BY36" i="2"/>
  <c r="BZ36" i="2" s="1"/>
  <c r="CA36" i="2" s="1"/>
  <c r="BY37" i="2"/>
  <c r="BZ37" i="2" s="1"/>
  <c r="CA37" i="2" s="1"/>
  <c r="BY38" i="2"/>
  <c r="BZ38" i="2" s="1"/>
  <c r="CA38" i="2" s="1"/>
  <c r="BY39" i="2"/>
  <c r="BZ39" i="2" s="1"/>
  <c r="CA39" i="2" s="1"/>
  <c r="BY40" i="2"/>
  <c r="BZ40" i="2" s="1"/>
  <c r="CA40" i="2" s="1"/>
  <c r="BY41" i="2"/>
  <c r="BY42" i="2"/>
  <c r="BZ42" i="2" s="1"/>
  <c r="CA42" i="2" s="1"/>
  <c r="BY43" i="2"/>
  <c r="BZ43" i="2" s="1"/>
  <c r="CA43" i="2" s="1"/>
  <c r="BY44" i="2"/>
  <c r="BZ44" i="2" s="1"/>
  <c r="CA44" i="2" s="1"/>
  <c r="BY45" i="2"/>
  <c r="BZ45" i="2" s="1"/>
  <c r="CA45" i="2" s="1"/>
  <c r="BY46" i="2"/>
  <c r="BZ46" i="2" s="1"/>
  <c r="CA46" i="2" s="1"/>
  <c r="BY47" i="2"/>
  <c r="BZ47" i="2" s="1"/>
  <c r="CA47" i="2" s="1"/>
  <c r="BY48" i="2"/>
  <c r="BZ48" i="2" s="1"/>
  <c r="CA48" i="2" s="1"/>
  <c r="BY49" i="2"/>
  <c r="BZ49" i="2" s="1"/>
  <c r="CA49" i="2" s="1"/>
  <c r="BY50" i="2"/>
  <c r="BZ50" i="2" s="1"/>
  <c r="CA50" i="2" s="1"/>
  <c r="BY51" i="2"/>
  <c r="BZ51" i="2" s="1"/>
  <c r="CA51" i="2" s="1"/>
  <c r="BY52" i="2"/>
  <c r="BZ52" i="2" s="1"/>
  <c r="CA52" i="2" s="1"/>
  <c r="BY53" i="2"/>
  <c r="BZ53" i="2" s="1"/>
  <c r="CA53" i="2" s="1"/>
  <c r="BY54" i="2"/>
  <c r="BZ54" i="2" s="1"/>
  <c r="CA54" i="2" s="1"/>
  <c r="BY55" i="2"/>
  <c r="BZ55" i="2" s="1"/>
  <c r="CA55" i="2" s="1"/>
  <c r="BY56" i="2"/>
  <c r="BZ56" i="2" s="1"/>
  <c r="CA56" i="2" s="1"/>
  <c r="BY57" i="2"/>
  <c r="BZ57" i="2" s="1"/>
  <c r="CA57" i="2" s="1"/>
  <c r="BY58" i="2"/>
  <c r="BZ58" i="2" s="1"/>
  <c r="CA58" i="2" s="1"/>
  <c r="BY59" i="2"/>
  <c r="BZ59" i="2" s="1"/>
  <c r="CA59" i="2" s="1"/>
  <c r="BY60" i="2"/>
  <c r="BZ60" i="2" s="1"/>
  <c r="CA60" i="2" s="1"/>
  <c r="BY61" i="2"/>
  <c r="BZ61" i="2" s="1"/>
  <c r="CA61" i="2" s="1"/>
  <c r="BY62" i="2"/>
  <c r="BZ62" i="2" s="1"/>
  <c r="CA62" i="2" s="1"/>
  <c r="BY63" i="2"/>
  <c r="BZ63" i="2" s="1"/>
  <c r="CA63" i="2" s="1"/>
  <c r="BY64" i="2"/>
  <c r="BZ64" i="2" s="1"/>
  <c r="CA64" i="2" s="1"/>
  <c r="BY65" i="2"/>
  <c r="BZ65" i="2" s="1"/>
  <c r="CA65" i="2" s="1"/>
  <c r="BY66" i="2"/>
  <c r="BZ66" i="2" s="1"/>
  <c r="CA66" i="2" s="1"/>
  <c r="BY67" i="2"/>
  <c r="BZ67" i="2" s="1"/>
  <c r="CA67" i="2" s="1"/>
  <c r="BY68" i="2"/>
  <c r="BZ68" i="2" s="1"/>
  <c r="CA68" i="2" s="1"/>
  <c r="BY69" i="2"/>
  <c r="BZ69" i="2" s="1"/>
  <c r="CA69" i="2" s="1"/>
  <c r="BY70" i="2"/>
  <c r="BY71" i="2"/>
  <c r="BZ71" i="2" s="1"/>
  <c r="CA71" i="2" s="1"/>
  <c r="BY72" i="2"/>
  <c r="BZ72" i="2" s="1"/>
  <c r="CA72" i="2" s="1"/>
  <c r="BY73" i="2"/>
  <c r="BZ73" i="2" s="1"/>
  <c r="CA73" i="2" s="1"/>
  <c r="BY74" i="2"/>
  <c r="BZ74" i="2" s="1"/>
  <c r="CA74" i="2" s="1"/>
  <c r="BY75" i="2"/>
  <c r="BZ75" i="2" s="1"/>
  <c r="CA75" i="2" s="1"/>
  <c r="BY76" i="2"/>
  <c r="BZ76" i="2" s="1"/>
  <c r="CA76" i="2" s="1"/>
  <c r="BY77" i="2"/>
  <c r="BZ77" i="2" s="1"/>
  <c r="CA77" i="2" s="1"/>
  <c r="BY78" i="2"/>
  <c r="BZ78" i="2" s="1"/>
  <c r="CA78" i="2" s="1"/>
  <c r="BY79" i="2"/>
  <c r="BZ79" i="2" s="1"/>
  <c r="CA79" i="2" s="1"/>
  <c r="BY80" i="2"/>
  <c r="BZ80" i="2" s="1"/>
  <c r="CA80" i="2" s="1"/>
  <c r="BY81" i="2"/>
  <c r="BZ81" i="2" s="1"/>
  <c r="CA81" i="2" s="1"/>
  <c r="BY82" i="2"/>
  <c r="BZ82" i="2" s="1"/>
  <c r="CA82" i="2" s="1"/>
  <c r="BY83" i="2"/>
  <c r="BZ83" i="2" s="1"/>
  <c r="CA83" i="2" s="1"/>
  <c r="BY84" i="2"/>
  <c r="BZ84" i="2" s="1"/>
  <c r="CA84" i="2" s="1"/>
  <c r="BY85" i="2"/>
  <c r="BZ85" i="2" s="1"/>
  <c r="CA85" i="2" s="1"/>
  <c r="BY86" i="2"/>
  <c r="BZ86" i="2" s="1"/>
  <c r="CA86" i="2" s="1"/>
  <c r="BY87" i="2"/>
  <c r="BZ87" i="2" s="1"/>
  <c r="CA87" i="2" s="1"/>
  <c r="CW4" i="2"/>
  <c r="CX4" i="2" s="1"/>
  <c r="CY4" i="2" s="1"/>
  <c r="CW5" i="2"/>
  <c r="CX5" i="2" s="1"/>
  <c r="CY5" i="2" s="1"/>
  <c r="CW6" i="2"/>
  <c r="CX6" i="2" s="1"/>
  <c r="CY6" i="2" s="1"/>
  <c r="CW7" i="2"/>
  <c r="CX7" i="2" s="1"/>
  <c r="CY7" i="2" s="1"/>
  <c r="CW8" i="2"/>
  <c r="CX8" i="2" s="1"/>
  <c r="CY8" i="2" s="1"/>
  <c r="CW9" i="2"/>
  <c r="CX9" i="2" s="1"/>
  <c r="CY9" i="2" s="1"/>
  <c r="CW10" i="2"/>
  <c r="CX10" i="2" s="1"/>
  <c r="CY10" i="2" s="1"/>
  <c r="CW11" i="2"/>
  <c r="CX11" i="2" s="1"/>
  <c r="CY11" i="2" s="1"/>
  <c r="CW12" i="2"/>
  <c r="CX12" i="2" s="1"/>
  <c r="CY12" i="2" s="1"/>
  <c r="CW13" i="2"/>
  <c r="CX13" i="2" s="1"/>
  <c r="CY13" i="2" s="1"/>
  <c r="CW14" i="2"/>
  <c r="CX14" i="2" s="1"/>
  <c r="CY14" i="2" s="1"/>
  <c r="CW15" i="2"/>
  <c r="CX15" i="2" s="1"/>
  <c r="CY15" i="2" s="1"/>
  <c r="CW16" i="2"/>
  <c r="CX16" i="2" s="1"/>
  <c r="CY16" i="2" s="1"/>
  <c r="CW17" i="2"/>
  <c r="CX17" i="2" s="1"/>
  <c r="CY17" i="2" s="1"/>
  <c r="CW18" i="2"/>
  <c r="CX18" i="2" s="1"/>
  <c r="CY18" i="2" s="1"/>
  <c r="CW19" i="2"/>
  <c r="CX19" i="2" s="1"/>
  <c r="CY19" i="2" s="1"/>
  <c r="CW20" i="2"/>
  <c r="CX20" i="2" s="1"/>
  <c r="CY20" i="2" s="1"/>
  <c r="CW21" i="2"/>
  <c r="CX21" i="2" s="1"/>
  <c r="CY21" i="2" s="1"/>
  <c r="CW22" i="2"/>
  <c r="CX22" i="2" s="1"/>
  <c r="CY22" i="2" s="1"/>
  <c r="CW23" i="2"/>
  <c r="CX23" i="2" s="1"/>
  <c r="CY23" i="2" s="1"/>
  <c r="CW24" i="2"/>
  <c r="CX24" i="2" s="1"/>
  <c r="CY24" i="2" s="1"/>
  <c r="CW25" i="2"/>
  <c r="CX25" i="2" s="1"/>
  <c r="CY25" i="2" s="1"/>
  <c r="CW26" i="2"/>
  <c r="CX26" i="2" s="1"/>
  <c r="CY26" i="2" s="1"/>
  <c r="CW27" i="2"/>
  <c r="CX27" i="2" s="1"/>
  <c r="CY27" i="2" s="1"/>
  <c r="CW28" i="2"/>
  <c r="CX28" i="2" s="1"/>
  <c r="CY28" i="2" s="1"/>
  <c r="CW29" i="2"/>
  <c r="CX29" i="2" s="1"/>
  <c r="CY29" i="2" s="1"/>
  <c r="CW30" i="2"/>
  <c r="CX30" i="2" s="1"/>
  <c r="CY30" i="2" s="1"/>
  <c r="CW31" i="2"/>
  <c r="CX31" i="2" s="1"/>
  <c r="CY31" i="2" s="1"/>
  <c r="CW32" i="2"/>
  <c r="CX32" i="2" s="1"/>
  <c r="CY32" i="2" s="1"/>
  <c r="CW33" i="2"/>
  <c r="CX33" i="2" s="1"/>
  <c r="CY33" i="2" s="1"/>
  <c r="CW34" i="2"/>
  <c r="CX34" i="2" s="1"/>
  <c r="CY34" i="2" s="1"/>
  <c r="CW35" i="2"/>
  <c r="CX35" i="2" s="1"/>
  <c r="CY35" i="2" s="1"/>
  <c r="CW36" i="2"/>
  <c r="CX36" i="2" s="1"/>
  <c r="CY36" i="2" s="1"/>
  <c r="CW37" i="2"/>
  <c r="CX37" i="2" s="1"/>
  <c r="CY37" i="2" s="1"/>
  <c r="CW38" i="2"/>
  <c r="CX38" i="2" s="1"/>
  <c r="CY38" i="2" s="1"/>
  <c r="CW39" i="2"/>
  <c r="CX39" i="2" s="1"/>
  <c r="CY39" i="2" s="1"/>
  <c r="CW40" i="2"/>
  <c r="CX40" i="2" s="1"/>
  <c r="CY40" i="2" s="1"/>
  <c r="CW41" i="2"/>
  <c r="CX41" i="2" s="1"/>
  <c r="CY41" i="2" s="1"/>
  <c r="CW42" i="2"/>
  <c r="CX42" i="2" s="1"/>
  <c r="CY42" i="2" s="1"/>
  <c r="CW43" i="2"/>
  <c r="CX43" i="2" s="1"/>
  <c r="CY43" i="2" s="1"/>
  <c r="CW44" i="2"/>
  <c r="CX44" i="2" s="1"/>
  <c r="CY44" i="2" s="1"/>
  <c r="CW45" i="2"/>
  <c r="CX45" i="2" s="1"/>
  <c r="CY45" i="2" s="1"/>
  <c r="CW46" i="2"/>
  <c r="CX46" i="2" s="1"/>
  <c r="CY46" i="2" s="1"/>
  <c r="CW47" i="2"/>
  <c r="CX47" i="2" s="1"/>
  <c r="CY47" i="2" s="1"/>
  <c r="CW48" i="2"/>
  <c r="CX48" i="2" s="1"/>
  <c r="CY48" i="2" s="1"/>
  <c r="CW49" i="2"/>
  <c r="CX49" i="2" s="1"/>
  <c r="CY49" i="2" s="1"/>
  <c r="CW50" i="2"/>
  <c r="CX50" i="2" s="1"/>
  <c r="CY50" i="2" s="1"/>
  <c r="CW51" i="2"/>
  <c r="CX51" i="2" s="1"/>
  <c r="CY51" i="2" s="1"/>
  <c r="CW52" i="2"/>
  <c r="CX52" i="2" s="1"/>
  <c r="CY52" i="2" s="1"/>
  <c r="CW53" i="2"/>
  <c r="CX53" i="2" s="1"/>
  <c r="CY53" i="2" s="1"/>
  <c r="CW54" i="2"/>
  <c r="CX54" i="2" s="1"/>
  <c r="CY54" i="2" s="1"/>
  <c r="CW55" i="2"/>
  <c r="CX55" i="2" s="1"/>
  <c r="CY55" i="2" s="1"/>
  <c r="CW56" i="2"/>
  <c r="CX56" i="2" s="1"/>
  <c r="CY56" i="2" s="1"/>
  <c r="CW57" i="2"/>
  <c r="CX57" i="2" s="1"/>
  <c r="CY57" i="2" s="1"/>
  <c r="CW58" i="2"/>
  <c r="CX58" i="2" s="1"/>
  <c r="CY58" i="2" s="1"/>
  <c r="CW59" i="2"/>
  <c r="CX59" i="2" s="1"/>
  <c r="CY59" i="2" s="1"/>
  <c r="CW60" i="2"/>
  <c r="CX60" i="2" s="1"/>
  <c r="CY60" i="2" s="1"/>
  <c r="CW61" i="2"/>
  <c r="CX61" i="2" s="1"/>
  <c r="CY61" i="2" s="1"/>
  <c r="CW62" i="2"/>
  <c r="CX62" i="2" s="1"/>
  <c r="CY62" i="2" s="1"/>
  <c r="CW63" i="2"/>
  <c r="CX63" i="2" s="1"/>
  <c r="CY63" i="2" s="1"/>
  <c r="CW64" i="2"/>
  <c r="CX64" i="2" s="1"/>
  <c r="CY64" i="2" s="1"/>
  <c r="CW65" i="2"/>
  <c r="CX65" i="2" s="1"/>
  <c r="CY65" i="2" s="1"/>
  <c r="CW66" i="2"/>
  <c r="CX66" i="2" s="1"/>
  <c r="CY66" i="2" s="1"/>
  <c r="CW67" i="2"/>
  <c r="CX67" i="2" s="1"/>
  <c r="CY67" i="2" s="1"/>
  <c r="CW68" i="2"/>
  <c r="CX68" i="2" s="1"/>
  <c r="CY68" i="2" s="1"/>
  <c r="CW69" i="2"/>
  <c r="CX69" i="2" s="1"/>
  <c r="CY69" i="2" s="1"/>
  <c r="CW70" i="2"/>
  <c r="CX70" i="2" s="1"/>
  <c r="CY70" i="2" s="1"/>
  <c r="CW71" i="2"/>
  <c r="CX71" i="2" s="1"/>
  <c r="CY71" i="2" s="1"/>
  <c r="CW72" i="2"/>
  <c r="CX72" i="2" s="1"/>
  <c r="CY72" i="2" s="1"/>
  <c r="CW73" i="2"/>
  <c r="CX73" i="2" s="1"/>
  <c r="CY73" i="2" s="1"/>
  <c r="CW74" i="2"/>
  <c r="CX74" i="2" s="1"/>
  <c r="CY74" i="2" s="1"/>
  <c r="CW75" i="2"/>
  <c r="CX75" i="2" s="1"/>
  <c r="CY75" i="2" s="1"/>
  <c r="CW76" i="2"/>
  <c r="CX76" i="2" s="1"/>
  <c r="CY76" i="2" s="1"/>
  <c r="CW77" i="2"/>
  <c r="CX77" i="2" s="1"/>
  <c r="CY77" i="2" s="1"/>
  <c r="CW78" i="2"/>
  <c r="CX78" i="2" s="1"/>
  <c r="CY78" i="2" s="1"/>
  <c r="CW79" i="2"/>
  <c r="CX79" i="2" s="1"/>
  <c r="CY79" i="2" s="1"/>
  <c r="CW80" i="2"/>
  <c r="CX80" i="2" s="1"/>
  <c r="CY80" i="2" s="1"/>
  <c r="CW81" i="2"/>
  <c r="CX81" i="2" s="1"/>
  <c r="CY81" i="2" s="1"/>
  <c r="CW82" i="2"/>
  <c r="CX82" i="2" s="1"/>
  <c r="CY82" i="2" s="1"/>
  <c r="CW83" i="2"/>
  <c r="CX83" i="2" s="1"/>
  <c r="CY83" i="2" s="1"/>
  <c r="CW84" i="2"/>
  <c r="CX84" i="2" s="1"/>
  <c r="CY84" i="2" s="1"/>
  <c r="CW85" i="2"/>
  <c r="CX85" i="2" s="1"/>
  <c r="CY85" i="2" s="1"/>
  <c r="CW86" i="2"/>
  <c r="CX86" i="2" s="1"/>
  <c r="CY86" i="2" s="1"/>
  <c r="CW87" i="2"/>
  <c r="CX87" i="2" s="1"/>
  <c r="CY87" i="2" s="1"/>
  <c r="CW88" i="2"/>
  <c r="CX88" i="2" s="1"/>
  <c r="CY88" i="2" s="1"/>
  <c r="CW89" i="2"/>
  <c r="CX89" i="2" s="1"/>
  <c r="CY89" i="2" s="1"/>
  <c r="CW90" i="2"/>
  <c r="CX90" i="2" s="1"/>
  <c r="CY90" i="2" s="1"/>
  <c r="CW91" i="2"/>
  <c r="CX91" i="2" s="1"/>
  <c r="CY91" i="2" s="1"/>
  <c r="CW92" i="2"/>
  <c r="CX92" i="2" s="1"/>
  <c r="CY92" i="2" s="1"/>
  <c r="CW93" i="2"/>
  <c r="CX93" i="2" s="1"/>
  <c r="CY93" i="2" s="1"/>
  <c r="CW94" i="2"/>
  <c r="CX94" i="2" s="1"/>
  <c r="CY94" i="2" s="1"/>
  <c r="CW95" i="2"/>
  <c r="CX95" i="2" s="1"/>
  <c r="CY95" i="2" s="1"/>
  <c r="CW96" i="2"/>
  <c r="CX96" i="2" s="1"/>
  <c r="CY96" i="2" s="1"/>
  <c r="CW97" i="2"/>
  <c r="CX97" i="2" s="1"/>
  <c r="CY97" i="2" s="1"/>
  <c r="CW98" i="2"/>
  <c r="CX98" i="2" s="1"/>
  <c r="CY98" i="2" s="1"/>
  <c r="CW99" i="2"/>
  <c r="CX99" i="2" s="1"/>
  <c r="CY99" i="2" s="1"/>
  <c r="CW100" i="2"/>
  <c r="CX100" i="2" s="1"/>
  <c r="CY100" i="2" s="1"/>
  <c r="CW101" i="2"/>
  <c r="CX101" i="2" s="1"/>
  <c r="CY101" i="2" s="1"/>
  <c r="CW102" i="2"/>
  <c r="CX102" i="2" s="1"/>
  <c r="CY102" i="2" s="1"/>
  <c r="CW103" i="2"/>
  <c r="CX103" i="2" s="1"/>
  <c r="CY103" i="2" s="1"/>
  <c r="CW104" i="2"/>
  <c r="CX104" i="2" s="1"/>
  <c r="CY104" i="2" s="1"/>
  <c r="CW105" i="2"/>
  <c r="CX105" i="2" s="1"/>
  <c r="CY105" i="2" s="1"/>
  <c r="CW106" i="2"/>
  <c r="CX106" i="2" s="1"/>
  <c r="CY106" i="2" s="1"/>
  <c r="CW107" i="2"/>
  <c r="CX107" i="2" s="1"/>
  <c r="CY107" i="2" s="1"/>
  <c r="CW108" i="2"/>
  <c r="CX108" i="2" s="1"/>
  <c r="CY108" i="2" s="1"/>
  <c r="CW109" i="2"/>
  <c r="CX109" i="2" s="1"/>
  <c r="CY109" i="2" s="1"/>
  <c r="CW110" i="2"/>
  <c r="CX110" i="2" s="1"/>
  <c r="CY110" i="2" s="1"/>
  <c r="CW111" i="2"/>
  <c r="CX111" i="2" s="1"/>
  <c r="CY111" i="2" s="1"/>
  <c r="CW112" i="2"/>
  <c r="CX112" i="2" s="1"/>
  <c r="CY112" i="2" s="1"/>
  <c r="CW113" i="2"/>
  <c r="CX113" i="2" s="1"/>
  <c r="CY113" i="2" s="1"/>
  <c r="CW114" i="2"/>
  <c r="CX114" i="2" s="1"/>
  <c r="CY114" i="2" s="1"/>
  <c r="CW115" i="2"/>
  <c r="CX115" i="2" s="1"/>
  <c r="CY115" i="2" s="1"/>
  <c r="CW116" i="2"/>
  <c r="CX116" i="2" s="1"/>
  <c r="CY116" i="2" s="1"/>
  <c r="CW117" i="2"/>
  <c r="CX117" i="2" s="1"/>
  <c r="CY117" i="2" s="1"/>
  <c r="CW118" i="2"/>
  <c r="CX118" i="2" s="1"/>
  <c r="CY118" i="2" s="1"/>
  <c r="CW119" i="2"/>
  <c r="CX119" i="2" s="1"/>
  <c r="CY119" i="2" s="1"/>
  <c r="CW120" i="2"/>
  <c r="CX120" i="2" s="1"/>
  <c r="CY120" i="2" s="1"/>
  <c r="CY3" i="2"/>
  <c r="CL1" i="2"/>
  <c r="CO4" i="2"/>
  <c r="CP4" i="2" s="1"/>
  <c r="CQ4" i="2" s="1"/>
  <c r="CO5" i="2"/>
  <c r="CP5" i="2" s="1"/>
  <c r="CQ5" i="2" s="1"/>
  <c r="CO6" i="2"/>
  <c r="CP6" i="2" s="1"/>
  <c r="CQ6" i="2" s="1"/>
  <c r="CO7" i="2"/>
  <c r="CP7" i="2" s="1"/>
  <c r="CQ7" i="2" s="1"/>
  <c r="CO8" i="2"/>
  <c r="CP8" i="2" s="1"/>
  <c r="CQ8" i="2" s="1"/>
  <c r="CO9" i="2"/>
  <c r="CP9" i="2" s="1"/>
  <c r="CQ9" i="2" s="1"/>
  <c r="CO10" i="2"/>
  <c r="CP10" i="2" s="1"/>
  <c r="CQ10" i="2" s="1"/>
  <c r="CO11" i="2"/>
  <c r="CP11" i="2" s="1"/>
  <c r="CQ11" i="2" s="1"/>
  <c r="CO12" i="2"/>
  <c r="CP12" i="2" s="1"/>
  <c r="CQ12" i="2" s="1"/>
  <c r="CO13" i="2"/>
  <c r="CP13" i="2" s="1"/>
  <c r="CQ13" i="2" s="1"/>
  <c r="CO14" i="2"/>
  <c r="CP14" i="2" s="1"/>
  <c r="CQ14" i="2" s="1"/>
  <c r="CO15" i="2"/>
  <c r="CP15" i="2" s="1"/>
  <c r="CQ15" i="2" s="1"/>
  <c r="CO16" i="2"/>
  <c r="CP16" i="2" s="1"/>
  <c r="CQ16" i="2" s="1"/>
  <c r="CO17" i="2"/>
  <c r="CP17" i="2" s="1"/>
  <c r="CQ17" i="2" s="1"/>
  <c r="CO18" i="2"/>
  <c r="CP18" i="2" s="1"/>
  <c r="CQ18" i="2" s="1"/>
  <c r="CO19" i="2"/>
  <c r="CP19" i="2" s="1"/>
  <c r="CQ19" i="2" s="1"/>
  <c r="CO20" i="2"/>
  <c r="CP20" i="2" s="1"/>
  <c r="CQ20" i="2" s="1"/>
  <c r="CO21" i="2"/>
  <c r="CP21" i="2" s="1"/>
  <c r="CQ21" i="2" s="1"/>
  <c r="CO22" i="2"/>
  <c r="CP22" i="2" s="1"/>
  <c r="CQ22" i="2" s="1"/>
  <c r="CO23" i="2"/>
  <c r="CP23" i="2" s="1"/>
  <c r="CQ23" i="2" s="1"/>
  <c r="CO24" i="2"/>
  <c r="CP24" i="2" s="1"/>
  <c r="CQ24" i="2" s="1"/>
  <c r="CO25" i="2"/>
  <c r="CP25" i="2" s="1"/>
  <c r="CQ25" i="2" s="1"/>
  <c r="CO26" i="2"/>
  <c r="CP26" i="2" s="1"/>
  <c r="CQ26" i="2" s="1"/>
  <c r="CO27" i="2"/>
  <c r="CP27" i="2" s="1"/>
  <c r="CQ27" i="2" s="1"/>
  <c r="CO28" i="2"/>
  <c r="CP28" i="2" s="1"/>
  <c r="CQ28" i="2" s="1"/>
  <c r="CO29" i="2"/>
  <c r="CP29" i="2" s="1"/>
  <c r="CQ29" i="2" s="1"/>
  <c r="CO30" i="2"/>
  <c r="CP30" i="2" s="1"/>
  <c r="CQ30" i="2" s="1"/>
  <c r="CO31" i="2"/>
  <c r="CP31" i="2" s="1"/>
  <c r="CQ31" i="2" s="1"/>
  <c r="CO32" i="2"/>
  <c r="CP32" i="2" s="1"/>
  <c r="CQ32" i="2" s="1"/>
  <c r="CO33" i="2"/>
  <c r="CP33" i="2" s="1"/>
  <c r="CQ33" i="2" s="1"/>
  <c r="CO34" i="2"/>
  <c r="CP34" i="2" s="1"/>
  <c r="CQ34" i="2" s="1"/>
  <c r="CO35" i="2"/>
  <c r="CP35" i="2" s="1"/>
  <c r="CQ35" i="2" s="1"/>
  <c r="CO36" i="2"/>
  <c r="CP36" i="2" s="1"/>
  <c r="CQ36" i="2" s="1"/>
  <c r="CO37" i="2"/>
  <c r="CP37" i="2" s="1"/>
  <c r="CQ37" i="2" s="1"/>
  <c r="CO38" i="2"/>
  <c r="CP38" i="2" s="1"/>
  <c r="CQ38" i="2" s="1"/>
  <c r="CO39" i="2"/>
  <c r="CP39" i="2" s="1"/>
  <c r="CQ39" i="2" s="1"/>
  <c r="CO40" i="2"/>
  <c r="CP40" i="2" s="1"/>
  <c r="CQ40" i="2" s="1"/>
  <c r="CO41" i="2"/>
  <c r="CP41" i="2" s="1"/>
  <c r="CQ41" i="2" s="1"/>
  <c r="CO42" i="2"/>
  <c r="CP42" i="2" s="1"/>
  <c r="CQ42" i="2" s="1"/>
  <c r="CO43" i="2"/>
  <c r="CP43" i="2" s="1"/>
  <c r="CQ43" i="2" s="1"/>
  <c r="CO44" i="2"/>
  <c r="CP44" i="2" s="1"/>
  <c r="CQ44" i="2" s="1"/>
  <c r="CO45" i="2"/>
  <c r="CP45" i="2" s="1"/>
  <c r="CQ45" i="2" s="1"/>
  <c r="CO46" i="2"/>
  <c r="CP46" i="2" s="1"/>
  <c r="CQ46" i="2" s="1"/>
  <c r="CO47" i="2"/>
  <c r="CP47" i="2" s="1"/>
  <c r="CQ47" i="2" s="1"/>
  <c r="CO48" i="2"/>
  <c r="CP48" i="2" s="1"/>
  <c r="CQ48" i="2" s="1"/>
  <c r="CO49" i="2"/>
  <c r="CP49" i="2" s="1"/>
  <c r="CQ49" i="2" s="1"/>
  <c r="CO50" i="2"/>
  <c r="CP50" i="2" s="1"/>
  <c r="CQ50" i="2" s="1"/>
  <c r="CO51" i="2"/>
  <c r="CP51" i="2" s="1"/>
  <c r="CQ51" i="2" s="1"/>
  <c r="CO52" i="2"/>
  <c r="CP52" i="2" s="1"/>
  <c r="CQ52" i="2" s="1"/>
  <c r="CO53" i="2"/>
  <c r="CP53" i="2" s="1"/>
  <c r="CQ53" i="2" s="1"/>
  <c r="CO54" i="2"/>
  <c r="CP54" i="2" s="1"/>
  <c r="CQ54" i="2" s="1"/>
  <c r="CO55" i="2"/>
  <c r="CP55" i="2" s="1"/>
  <c r="CQ55" i="2" s="1"/>
  <c r="CO56" i="2"/>
  <c r="CP56" i="2" s="1"/>
  <c r="CQ56" i="2" s="1"/>
  <c r="CO57" i="2"/>
  <c r="CP57" i="2" s="1"/>
  <c r="CQ57" i="2" s="1"/>
  <c r="CO58" i="2"/>
  <c r="CP58" i="2" s="1"/>
  <c r="CQ58" i="2" s="1"/>
  <c r="CO59" i="2"/>
  <c r="CP59" i="2" s="1"/>
  <c r="CQ59" i="2" s="1"/>
  <c r="CO60" i="2"/>
  <c r="CP60" i="2" s="1"/>
  <c r="CQ60" i="2" s="1"/>
  <c r="CO61" i="2"/>
  <c r="CP61" i="2" s="1"/>
  <c r="CQ61" i="2" s="1"/>
  <c r="CO62" i="2"/>
  <c r="CP62" i="2" s="1"/>
  <c r="CQ62" i="2" s="1"/>
  <c r="CO63" i="2"/>
  <c r="CP63" i="2" s="1"/>
  <c r="CQ63" i="2" s="1"/>
  <c r="CO64" i="2"/>
  <c r="CP64" i="2" s="1"/>
  <c r="CQ64" i="2" s="1"/>
  <c r="CO65" i="2"/>
  <c r="CP65" i="2" s="1"/>
  <c r="CQ65" i="2" s="1"/>
  <c r="CO66" i="2"/>
  <c r="CP66" i="2" s="1"/>
  <c r="CQ66" i="2" s="1"/>
  <c r="CO67" i="2"/>
  <c r="CP67" i="2" s="1"/>
  <c r="CQ67" i="2" s="1"/>
  <c r="CO68" i="2"/>
  <c r="CP68" i="2" s="1"/>
  <c r="CQ68" i="2" s="1"/>
  <c r="CO69" i="2"/>
  <c r="CP69" i="2" s="1"/>
  <c r="CQ69" i="2" s="1"/>
  <c r="CO70" i="2"/>
  <c r="CP70" i="2" s="1"/>
  <c r="CQ70" i="2" s="1"/>
  <c r="CO71" i="2"/>
  <c r="CP71" i="2" s="1"/>
  <c r="CQ71" i="2" s="1"/>
  <c r="CO72" i="2"/>
  <c r="CP72" i="2" s="1"/>
  <c r="CQ72" i="2" s="1"/>
  <c r="CO73" i="2"/>
  <c r="CP73" i="2" s="1"/>
  <c r="CQ73" i="2" s="1"/>
  <c r="CO74" i="2"/>
  <c r="CP74" i="2" s="1"/>
  <c r="CQ74" i="2" s="1"/>
  <c r="CO75" i="2"/>
  <c r="CP75" i="2" s="1"/>
  <c r="CQ75" i="2" s="1"/>
  <c r="CO76" i="2"/>
  <c r="CP76" i="2" s="1"/>
  <c r="CQ76" i="2" s="1"/>
  <c r="CO77" i="2"/>
  <c r="CP77" i="2" s="1"/>
  <c r="CQ77" i="2" s="1"/>
  <c r="CO78" i="2"/>
  <c r="CP78" i="2" s="1"/>
  <c r="CQ78" i="2" s="1"/>
  <c r="CO79" i="2"/>
  <c r="CP79" i="2" s="1"/>
  <c r="CQ79" i="2" s="1"/>
  <c r="CO80" i="2"/>
  <c r="CP80" i="2" s="1"/>
  <c r="CQ80" i="2" s="1"/>
  <c r="CO81" i="2"/>
  <c r="CP81" i="2" s="1"/>
  <c r="CQ81" i="2" s="1"/>
  <c r="CO82" i="2"/>
  <c r="CP82" i="2" s="1"/>
  <c r="CQ82" i="2" s="1"/>
  <c r="CO83" i="2"/>
  <c r="CP83" i="2" s="1"/>
  <c r="CQ83" i="2" s="1"/>
  <c r="CO84" i="2"/>
  <c r="CP84" i="2" s="1"/>
  <c r="CQ84" i="2" s="1"/>
  <c r="CO85" i="2"/>
  <c r="CP85" i="2" s="1"/>
  <c r="CQ85" i="2" s="1"/>
  <c r="CO86" i="2"/>
  <c r="CP86" i="2" s="1"/>
  <c r="CQ86" i="2" s="1"/>
  <c r="CO87" i="2"/>
  <c r="CP87" i="2" s="1"/>
  <c r="CQ87" i="2" s="1"/>
  <c r="CO88" i="2"/>
  <c r="CP88" i="2" s="1"/>
  <c r="CQ88" i="2" s="1"/>
  <c r="CO89" i="2"/>
  <c r="CP89" i="2" s="1"/>
  <c r="CQ89" i="2" s="1"/>
  <c r="CO90" i="2"/>
  <c r="CP90" i="2" s="1"/>
  <c r="CQ90" i="2" s="1"/>
  <c r="CO91" i="2"/>
  <c r="CP91" i="2" s="1"/>
  <c r="CQ91" i="2" s="1"/>
  <c r="CO92" i="2"/>
  <c r="CP92" i="2" s="1"/>
  <c r="CQ92" i="2" s="1"/>
  <c r="CO93" i="2"/>
  <c r="CP93" i="2" s="1"/>
  <c r="CQ93" i="2" s="1"/>
  <c r="CO94" i="2"/>
  <c r="CP94" i="2" s="1"/>
  <c r="CQ94" i="2" s="1"/>
  <c r="CO95" i="2"/>
  <c r="CP95" i="2" s="1"/>
  <c r="CQ95" i="2" s="1"/>
  <c r="CO96" i="2"/>
  <c r="CP96" i="2" s="1"/>
  <c r="CQ96" i="2" s="1"/>
  <c r="CO97" i="2"/>
  <c r="CP97" i="2" s="1"/>
  <c r="CQ97" i="2" s="1"/>
  <c r="CO98" i="2"/>
  <c r="CP98" i="2" s="1"/>
  <c r="CQ98" i="2" s="1"/>
  <c r="CO99" i="2"/>
  <c r="CP99" i="2" s="1"/>
  <c r="CQ99" i="2" s="1"/>
  <c r="CO100" i="2"/>
  <c r="CP100" i="2" s="1"/>
  <c r="CQ100" i="2" s="1"/>
  <c r="CO101" i="2"/>
  <c r="CP101" i="2" s="1"/>
  <c r="CQ101" i="2" s="1"/>
  <c r="CO102" i="2"/>
  <c r="CP102" i="2" s="1"/>
  <c r="CQ102" i="2" s="1"/>
  <c r="CO103" i="2"/>
  <c r="CP103" i="2" s="1"/>
  <c r="CQ103" i="2" s="1"/>
  <c r="CO104" i="2"/>
  <c r="CP104" i="2" s="1"/>
  <c r="CQ104" i="2" s="1"/>
  <c r="CO105" i="2"/>
  <c r="CP105" i="2" s="1"/>
  <c r="CQ105" i="2" s="1"/>
  <c r="CO106" i="2"/>
  <c r="CP106" i="2" s="1"/>
  <c r="CQ106" i="2" s="1"/>
  <c r="CO107" i="2"/>
  <c r="CP107" i="2" s="1"/>
  <c r="CQ107" i="2" s="1"/>
  <c r="CO108" i="2"/>
  <c r="CP108" i="2" s="1"/>
  <c r="CQ108" i="2" s="1"/>
  <c r="CO109" i="2"/>
  <c r="CP109" i="2" s="1"/>
  <c r="CQ109" i="2" s="1"/>
  <c r="CO110" i="2"/>
  <c r="CP110" i="2" s="1"/>
  <c r="CQ110" i="2" s="1"/>
  <c r="CO111" i="2"/>
  <c r="CP111" i="2" s="1"/>
  <c r="CQ111" i="2" s="1"/>
  <c r="CO112" i="2"/>
  <c r="CP112" i="2" s="1"/>
  <c r="CQ112" i="2" s="1"/>
  <c r="CO113" i="2"/>
  <c r="CP113" i="2" s="1"/>
  <c r="CQ113" i="2" s="1"/>
  <c r="CO114" i="2"/>
  <c r="CP114" i="2" s="1"/>
  <c r="CQ114" i="2" s="1"/>
  <c r="CO115" i="2"/>
  <c r="CP115" i="2" s="1"/>
  <c r="CQ115" i="2" s="1"/>
  <c r="CO116" i="2"/>
  <c r="CP116" i="2" s="1"/>
  <c r="CQ116" i="2" s="1"/>
  <c r="CO117" i="2"/>
  <c r="CP117" i="2" s="1"/>
  <c r="CQ117" i="2" s="1"/>
  <c r="CO118" i="2"/>
  <c r="CP118" i="2" s="1"/>
  <c r="CQ118" i="2" s="1"/>
  <c r="CO119" i="2"/>
  <c r="CP119" i="2" s="1"/>
  <c r="CQ119" i="2" s="1"/>
  <c r="CO120" i="2"/>
  <c r="CP120" i="2" s="1"/>
  <c r="CQ120" i="2" s="1"/>
  <c r="CO121" i="2"/>
  <c r="CP121" i="2" s="1"/>
  <c r="CQ121" i="2" s="1"/>
  <c r="CO122" i="2"/>
  <c r="CP122" i="2" s="1"/>
  <c r="CQ122" i="2" s="1"/>
  <c r="CO123" i="2"/>
  <c r="CP123" i="2" s="1"/>
  <c r="CQ123" i="2" s="1"/>
  <c r="CG4" i="2"/>
  <c r="CH4" i="2" s="1"/>
  <c r="CI4" i="2" s="1"/>
  <c r="CG5" i="2"/>
  <c r="CH5" i="2" s="1"/>
  <c r="CI5" i="2" s="1"/>
  <c r="CG6" i="2"/>
  <c r="CH6" i="2" s="1"/>
  <c r="CI6" i="2" s="1"/>
  <c r="CG7" i="2"/>
  <c r="CH7" i="2" s="1"/>
  <c r="CI7" i="2" s="1"/>
  <c r="CG8" i="2"/>
  <c r="CH8" i="2" s="1"/>
  <c r="CI8" i="2" s="1"/>
  <c r="CG9" i="2"/>
  <c r="CH9" i="2" s="1"/>
  <c r="CI9" i="2" s="1"/>
  <c r="CG10" i="2"/>
  <c r="CH10" i="2" s="1"/>
  <c r="CI10" i="2" s="1"/>
  <c r="CG11" i="2"/>
  <c r="CH11" i="2" s="1"/>
  <c r="CI11" i="2" s="1"/>
  <c r="CG12" i="2"/>
  <c r="CH12" i="2" s="1"/>
  <c r="CI12" i="2" s="1"/>
  <c r="CG13" i="2"/>
  <c r="CH13" i="2" s="1"/>
  <c r="CI13" i="2" s="1"/>
  <c r="CG14" i="2"/>
  <c r="CH14" i="2" s="1"/>
  <c r="CI14" i="2" s="1"/>
  <c r="CG15" i="2"/>
  <c r="CH15" i="2" s="1"/>
  <c r="CI15" i="2" s="1"/>
  <c r="CG16" i="2"/>
  <c r="CH16" i="2" s="1"/>
  <c r="CI16" i="2" s="1"/>
  <c r="CG17" i="2"/>
  <c r="CH17" i="2" s="1"/>
  <c r="CI17" i="2" s="1"/>
  <c r="CG18" i="2"/>
  <c r="CH18" i="2" s="1"/>
  <c r="CI18" i="2" s="1"/>
  <c r="CG19" i="2"/>
  <c r="CH19" i="2" s="1"/>
  <c r="CI19" i="2" s="1"/>
  <c r="CG20" i="2"/>
  <c r="CH20" i="2" s="1"/>
  <c r="CI20" i="2" s="1"/>
  <c r="CG21" i="2"/>
  <c r="CH21" i="2" s="1"/>
  <c r="CI21" i="2" s="1"/>
  <c r="CG22" i="2"/>
  <c r="CH22" i="2" s="1"/>
  <c r="CI22" i="2" s="1"/>
  <c r="CG23" i="2"/>
  <c r="CH23" i="2" s="1"/>
  <c r="CI23" i="2" s="1"/>
  <c r="CG24" i="2"/>
  <c r="CH24" i="2" s="1"/>
  <c r="CI24" i="2" s="1"/>
  <c r="CG25" i="2"/>
  <c r="CH25" i="2" s="1"/>
  <c r="CI25" i="2" s="1"/>
  <c r="CG26" i="2"/>
  <c r="CH26" i="2" s="1"/>
  <c r="CI26" i="2" s="1"/>
  <c r="CG27" i="2"/>
  <c r="CH27" i="2" s="1"/>
  <c r="CI27" i="2" s="1"/>
  <c r="CG28" i="2"/>
  <c r="CH28" i="2" s="1"/>
  <c r="CI28" i="2" s="1"/>
  <c r="CG29" i="2"/>
  <c r="CH29" i="2" s="1"/>
  <c r="CI29" i="2" s="1"/>
  <c r="CG30" i="2"/>
  <c r="CH30" i="2" s="1"/>
  <c r="CI30" i="2" s="1"/>
  <c r="CG31" i="2"/>
  <c r="CH31" i="2" s="1"/>
  <c r="CI31" i="2" s="1"/>
  <c r="CG32" i="2"/>
  <c r="CH32" i="2" s="1"/>
  <c r="CI32" i="2" s="1"/>
  <c r="CG33" i="2"/>
  <c r="CH33" i="2" s="1"/>
  <c r="CI33" i="2" s="1"/>
  <c r="CG34" i="2"/>
  <c r="CH34" i="2" s="1"/>
  <c r="CI34" i="2" s="1"/>
  <c r="CG35" i="2"/>
  <c r="CH35" i="2" s="1"/>
  <c r="CI35" i="2" s="1"/>
  <c r="CG36" i="2"/>
  <c r="CH36" i="2" s="1"/>
  <c r="CI36" i="2" s="1"/>
  <c r="CG37" i="2"/>
  <c r="CH37" i="2" s="1"/>
  <c r="CI37" i="2" s="1"/>
  <c r="CG38" i="2"/>
  <c r="CH38" i="2" s="1"/>
  <c r="CI38" i="2" s="1"/>
  <c r="CG39" i="2"/>
  <c r="CH39" i="2" s="1"/>
  <c r="CI39" i="2" s="1"/>
  <c r="CG40" i="2"/>
  <c r="CH40" i="2" s="1"/>
  <c r="CI40" i="2" s="1"/>
  <c r="CG41" i="2"/>
  <c r="CH41" i="2" s="1"/>
  <c r="CI41" i="2" s="1"/>
  <c r="CG42" i="2"/>
  <c r="CH42" i="2" s="1"/>
  <c r="CI42" i="2" s="1"/>
  <c r="CG43" i="2"/>
  <c r="CH43" i="2" s="1"/>
  <c r="CI43" i="2" s="1"/>
  <c r="CG44" i="2"/>
  <c r="CH44" i="2" s="1"/>
  <c r="CI44" i="2" s="1"/>
  <c r="CG45" i="2"/>
  <c r="CH45" i="2" s="1"/>
  <c r="CI45" i="2" s="1"/>
  <c r="CG46" i="2"/>
  <c r="CH46" i="2" s="1"/>
  <c r="CI46" i="2" s="1"/>
  <c r="CG47" i="2"/>
  <c r="CH47" i="2" s="1"/>
  <c r="CI47" i="2" s="1"/>
  <c r="CG48" i="2"/>
  <c r="CH48" i="2" s="1"/>
  <c r="CI48" i="2" s="1"/>
  <c r="CG49" i="2"/>
  <c r="CH49" i="2" s="1"/>
  <c r="CI49" i="2" s="1"/>
  <c r="CG50" i="2"/>
  <c r="CH50" i="2" s="1"/>
  <c r="CI50" i="2" s="1"/>
  <c r="CG51" i="2"/>
  <c r="CH51" i="2" s="1"/>
  <c r="CI51" i="2" s="1"/>
  <c r="CG52" i="2"/>
  <c r="CH52" i="2" s="1"/>
  <c r="CI52" i="2" s="1"/>
  <c r="CG53" i="2"/>
  <c r="CH53" i="2" s="1"/>
  <c r="CI53" i="2" s="1"/>
  <c r="CG54" i="2"/>
  <c r="CH54" i="2" s="1"/>
  <c r="CI54" i="2" s="1"/>
  <c r="CG55" i="2"/>
  <c r="CH55" i="2" s="1"/>
  <c r="CI55" i="2" s="1"/>
  <c r="CG56" i="2"/>
  <c r="CH56" i="2" s="1"/>
  <c r="CI56" i="2" s="1"/>
  <c r="CG57" i="2"/>
  <c r="CH57" i="2" s="1"/>
  <c r="CI57" i="2" s="1"/>
  <c r="CG58" i="2"/>
  <c r="CH58" i="2" s="1"/>
  <c r="CI58" i="2" s="1"/>
  <c r="CG59" i="2"/>
  <c r="CH59" i="2" s="1"/>
  <c r="CI59" i="2" s="1"/>
  <c r="CG60" i="2"/>
  <c r="CH60" i="2" s="1"/>
  <c r="CI60" i="2" s="1"/>
  <c r="CG61" i="2"/>
  <c r="CH61" i="2" s="1"/>
  <c r="CI61" i="2" s="1"/>
  <c r="CG62" i="2"/>
  <c r="CH62" i="2" s="1"/>
  <c r="CI62" i="2" s="1"/>
  <c r="CG63" i="2"/>
  <c r="CH63" i="2" s="1"/>
  <c r="CI63" i="2" s="1"/>
  <c r="CG64" i="2"/>
  <c r="CH64" i="2" s="1"/>
  <c r="CI64" i="2" s="1"/>
  <c r="CG65" i="2"/>
  <c r="CH65" i="2" s="1"/>
  <c r="CI65" i="2" s="1"/>
  <c r="CG66" i="2"/>
  <c r="CH66" i="2" s="1"/>
  <c r="CI66" i="2" s="1"/>
  <c r="CG67" i="2"/>
  <c r="CH67" i="2" s="1"/>
  <c r="CI67" i="2" s="1"/>
  <c r="CG68" i="2"/>
  <c r="CH68" i="2" s="1"/>
  <c r="CI68" i="2" s="1"/>
  <c r="CG69" i="2"/>
  <c r="CH69" i="2" s="1"/>
  <c r="CI69" i="2" s="1"/>
  <c r="CG70" i="2"/>
  <c r="CH70" i="2" s="1"/>
  <c r="CI70" i="2" s="1"/>
  <c r="CG71" i="2"/>
  <c r="CH71" i="2" s="1"/>
  <c r="CI71" i="2" s="1"/>
  <c r="CG72" i="2"/>
  <c r="CH72" i="2" s="1"/>
  <c r="CI72" i="2" s="1"/>
  <c r="CG73" i="2"/>
  <c r="CH73" i="2" s="1"/>
  <c r="CI73" i="2" s="1"/>
  <c r="CG74" i="2"/>
  <c r="CH74" i="2" s="1"/>
  <c r="CI74" i="2" s="1"/>
  <c r="CG75" i="2"/>
  <c r="CH75" i="2" s="1"/>
  <c r="CI75" i="2" s="1"/>
  <c r="CG76" i="2"/>
  <c r="CH76" i="2" s="1"/>
  <c r="CI76" i="2" s="1"/>
  <c r="CG77" i="2"/>
  <c r="CH77" i="2" s="1"/>
  <c r="CI77" i="2" s="1"/>
  <c r="CG78" i="2"/>
  <c r="CH78" i="2" s="1"/>
  <c r="CI78" i="2" s="1"/>
  <c r="CG79" i="2"/>
  <c r="CH79" i="2" s="1"/>
  <c r="CI79" i="2" s="1"/>
  <c r="CG80" i="2"/>
  <c r="CH80" i="2" s="1"/>
  <c r="CI80" i="2" s="1"/>
  <c r="CG81" i="2"/>
  <c r="CH81" i="2" s="1"/>
  <c r="CI81" i="2" s="1"/>
  <c r="CG82" i="2"/>
  <c r="CH82" i="2" s="1"/>
  <c r="CI82" i="2" s="1"/>
  <c r="CG83" i="2"/>
  <c r="CH83" i="2" s="1"/>
  <c r="CI83" i="2" s="1"/>
  <c r="CG84" i="2"/>
  <c r="CH84" i="2" s="1"/>
  <c r="CI84" i="2" s="1"/>
  <c r="CG85" i="2"/>
  <c r="CH85" i="2" s="1"/>
  <c r="CI85" i="2" s="1"/>
  <c r="CG86" i="2"/>
  <c r="CH86" i="2" s="1"/>
  <c r="CI86" i="2" s="1"/>
  <c r="CG87" i="2"/>
  <c r="CH87" i="2" s="1"/>
  <c r="CI87" i="2" s="1"/>
  <c r="CG88" i="2"/>
  <c r="CH88" i="2" s="1"/>
  <c r="CI88" i="2" s="1"/>
  <c r="CG89" i="2"/>
  <c r="CH89" i="2" s="1"/>
  <c r="CI89" i="2" s="1"/>
  <c r="CG90" i="2"/>
  <c r="CH90" i="2" s="1"/>
  <c r="CI90" i="2" s="1"/>
  <c r="CG91" i="2"/>
  <c r="CH91" i="2" s="1"/>
  <c r="CI91" i="2" s="1"/>
  <c r="CG92" i="2"/>
  <c r="CH92" i="2" s="1"/>
  <c r="CI92" i="2" s="1"/>
  <c r="CG93" i="2"/>
  <c r="CH93" i="2" s="1"/>
  <c r="CI93" i="2" s="1"/>
  <c r="CG94" i="2"/>
  <c r="CH94" i="2" s="1"/>
  <c r="CI94" i="2" s="1"/>
  <c r="CG95" i="2"/>
  <c r="CH95" i="2" s="1"/>
  <c r="CI95" i="2" s="1"/>
  <c r="CG96" i="2"/>
  <c r="CH96" i="2" s="1"/>
  <c r="CI96" i="2" s="1"/>
  <c r="CG97" i="2"/>
  <c r="CH97" i="2" s="1"/>
  <c r="CI97" i="2" s="1"/>
  <c r="CG98" i="2"/>
  <c r="CH98" i="2" s="1"/>
  <c r="CI98" i="2" s="1"/>
  <c r="CG99" i="2"/>
  <c r="CH99" i="2" s="1"/>
  <c r="CI99" i="2" s="1"/>
  <c r="CG100" i="2"/>
  <c r="CH100" i="2" s="1"/>
  <c r="CI100" i="2" s="1"/>
  <c r="CG101" i="2"/>
  <c r="CH101" i="2" s="1"/>
  <c r="CI101" i="2" s="1"/>
  <c r="CG102" i="2"/>
  <c r="CH102" i="2" s="1"/>
  <c r="CI102" i="2" s="1"/>
  <c r="CG103" i="2"/>
  <c r="CH103" i="2" s="1"/>
  <c r="CI103" i="2" s="1"/>
  <c r="CG104" i="2"/>
  <c r="CH104" i="2" s="1"/>
  <c r="CI104" i="2" s="1"/>
  <c r="CG105" i="2"/>
  <c r="CH105" i="2" s="1"/>
  <c r="CI105" i="2" s="1"/>
  <c r="CG106" i="2"/>
  <c r="CH106" i="2" s="1"/>
  <c r="CI106" i="2" s="1"/>
  <c r="CG107" i="2"/>
  <c r="CH107" i="2" s="1"/>
  <c r="CI107" i="2" s="1"/>
  <c r="CG108" i="2"/>
  <c r="CH108" i="2" s="1"/>
  <c r="CI108" i="2" s="1"/>
  <c r="CG109" i="2"/>
  <c r="CH109" i="2" s="1"/>
  <c r="CI109" i="2" s="1"/>
  <c r="CG110" i="2"/>
  <c r="CH110" i="2" s="1"/>
  <c r="CI110" i="2" s="1"/>
  <c r="CG111" i="2"/>
  <c r="CH111" i="2" s="1"/>
  <c r="CI111" i="2" s="1"/>
  <c r="CG112" i="2"/>
  <c r="CH112" i="2" s="1"/>
  <c r="CI112" i="2" s="1"/>
  <c r="CG113" i="2"/>
  <c r="CH113" i="2" s="1"/>
  <c r="CI113" i="2" s="1"/>
  <c r="CG114" i="2"/>
  <c r="CH114" i="2" s="1"/>
  <c r="CI114" i="2" s="1"/>
  <c r="CG115" i="2"/>
  <c r="CH115" i="2" s="1"/>
  <c r="CI115" i="2" s="1"/>
  <c r="CG116" i="2"/>
  <c r="CH116" i="2" s="1"/>
  <c r="CI116" i="2" s="1"/>
  <c r="CG117" i="2"/>
  <c r="CH117" i="2" s="1"/>
  <c r="CI117" i="2" s="1"/>
  <c r="CG118" i="2"/>
  <c r="CH118" i="2" s="1"/>
  <c r="CI118" i="2" s="1"/>
  <c r="CG119" i="2"/>
  <c r="CH119" i="2" s="1"/>
  <c r="CI119" i="2" s="1"/>
  <c r="CG120" i="2"/>
  <c r="CH120" i="2" s="1"/>
  <c r="CI120" i="2" s="1"/>
  <c r="CG121" i="2"/>
  <c r="CH121" i="2" s="1"/>
  <c r="CI121" i="2" s="1"/>
  <c r="CG122" i="2"/>
  <c r="CH122" i="2" s="1"/>
  <c r="CI122" i="2" s="1"/>
  <c r="CG123" i="2"/>
  <c r="CH123" i="2" s="1"/>
  <c r="CI123" i="2" s="1"/>
  <c r="CG124" i="2"/>
  <c r="CH124" i="2" s="1"/>
  <c r="CI124" i="2" s="1"/>
  <c r="CG125" i="2"/>
  <c r="CH125" i="2" s="1"/>
  <c r="CI125" i="2" s="1"/>
  <c r="CG126" i="2"/>
  <c r="CH126" i="2" s="1"/>
  <c r="CI126" i="2" s="1"/>
  <c r="CG127" i="2"/>
  <c r="CH127" i="2" s="1"/>
  <c r="CI127" i="2" s="1"/>
  <c r="CG128" i="2"/>
  <c r="CH128" i="2" s="1"/>
  <c r="CI128" i="2" s="1"/>
  <c r="CG129" i="2"/>
  <c r="CH129" i="2" s="1"/>
  <c r="CI129" i="2" s="1"/>
  <c r="CG130" i="2"/>
  <c r="CH130" i="2" s="1"/>
  <c r="CI130" i="2" s="1"/>
  <c r="CG131" i="2"/>
  <c r="CH131" i="2" s="1"/>
  <c r="CI131" i="2" s="1"/>
  <c r="CG132" i="2"/>
  <c r="CH132" i="2" s="1"/>
  <c r="CI132" i="2" s="1"/>
  <c r="CG133" i="2"/>
  <c r="CH133" i="2" s="1"/>
  <c r="CI133" i="2" s="1"/>
  <c r="CG134" i="2"/>
  <c r="CH134" i="2" s="1"/>
  <c r="CI134" i="2" s="1"/>
  <c r="CG135" i="2"/>
  <c r="CH135" i="2" s="1"/>
  <c r="CI135" i="2" s="1"/>
  <c r="CG136" i="2"/>
  <c r="CH136" i="2" s="1"/>
  <c r="CI136" i="2" s="1"/>
  <c r="CG137" i="2"/>
  <c r="CH137" i="2" s="1"/>
  <c r="CI137" i="2" s="1"/>
  <c r="CG138" i="2"/>
  <c r="CH138" i="2" s="1"/>
  <c r="CI138" i="2" s="1"/>
  <c r="CG139" i="2"/>
  <c r="CH139" i="2" s="1"/>
  <c r="CI139" i="2" s="1"/>
  <c r="CG140" i="2"/>
  <c r="CH140" i="2" s="1"/>
  <c r="CI140" i="2" s="1"/>
  <c r="CG141" i="2"/>
  <c r="CH141" i="2" s="1"/>
  <c r="CI141" i="2" s="1"/>
  <c r="CG142" i="2"/>
  <c r="CH142" i="2" s="1"/>
  <c r="CI142" i="2" s="1"/>
  <c r="CG143" i="2"/>
  <c r="CH143" i="2" s="1"/>
  <c r="CI143" i="2" s="1"/>
  <c r="CG144" i="2"/>
  <c r="CH144" i="2" s="1"/>
  <c r="CI144" i="2" s="1"/>
  <c r="CG145" i="2"/>
  <c r="CH145" i="2" s="1"/>
  <c r="CI145" i="2" s="1"/>
  <c r="CG146" i="2"/>
  <c r="CH146" i="2" s="1"/>
  <c r="CI146" i="2" s="1"/>
  <c r="CG147" i="2"/>
  <c r="CH147" i="2" s="1"/>
  <c r="CI147" i="2" s="1"/>
  <c r="CG148" i="2"/>
  <c r="CH148" i="2" s="1"/>
  <c r="CI148" i="2" s="1"/>
  <c r="CG149" i="2"/>
  <c r="CH149" i="2" s="1"/>
  <c r="CI149" i="2" s="1"/>
  <c r="CG150" i="2"/>
  <c r="CH150" i="2" s="1"/>
  <c r="CI150" i="2" s="1"/>
  <c r="CG151" i="2"/>
  <c r="CH151" i="2" s="1"/>
  <c r="CI151" i="2" s="1"/>
  <c r="CG152" i="2"/>
  <c r="CH152" i="2" s="1"/>
  <c r="CI152" i="2" s="1"/>
  <c r="CG153" i="2"/>
  <c r="CH153" i="2" s="1"/>
  <c r="CI153" i="2" s="1"/>
  <c r="CG154" i="2"/>
  <c r="CH154" i="2" s="1"/>
  <c r="CI154" i="2" s="1"/>
  <c r="CG155" i="2"/>
  <c r="CH155" i="2" s="1"/>
  <c r="CI155" i="2" s="1"/>
  <c r="CG3" i="2"/>
  <c r="CH3" i="2" s="1"/>
  <c r="CI3" i="2" s="1"/>
  <c r="BV1" i="2"/>
  <c r="BZ3" i="2"/>
  <c r="CA3" i="2" s="1"/>
  <c r="BZ4" i="2"/>
  <c r="CA4" i="2" s="1"/>
  <c r="BZ10" i="2"/>
  <c r="CA10" i="2" s="1"/>
  <c r="BZ22" i="2"/>
  <c r="CA22" i="2" s="1"/>
  <c r="BZ41" i="2"/>
  <c r="CA41" i="2" s="1"/>
  <c r="BZ70" i="2"/>
  <c r="CA70" i="2" s="1"/>
  <c r="CY1" i="2" l="1"/>
  <c r="CQ1" i="2"/>
  <c r="CI1" i="2"/>
  <c r="CA1" i="2"/>
  <c r="BJ1" i="2"/>
  <c r="BM4" i="2"/>
  <c r="BN4" i="2" s="1"/>
  <c r="BO4" i="2" s="1"/>
  <c r="BM5" i="2"/>
  <c r="BM6" i="2"/>
  <c r="BN6" i="2" s="1"/>
  <c r="BO6" i="2" s="1"/>
  <c r="BM7" i="2"/>
  <c r="BN7" i="2" s="1"/>
  <c r="BO7" i="2" s="1"/>
  <c r="BM8" i="2"/>
  <c r="BM9" i="2"/>
  <c r="BN9" i="2" s="1"/>
  <c r="BO9" i="2" s="1"/>
  <c r="BM10" i="2"/>
  <c r="BN10" i="2" s="1"/>
  <c r="BO10" i="2" s="1"/>
  <c r="BM11" i="2"/>
  <c r="BM12" i="2"/>
  <c r="BN12" i="2" s="1"/>
  <c r="BO12" i="2" s="1"/>
  <c r="BM13" i="2"/>
  <c r="BN13" i="2" s="1"/>
  <c r="BO13" i="2" s="1"/>
  <c r="BM14" i="2"/>
  <c r="BM15" i="2"/>
  <c r="BN15" i="2" s="1"/>
  <c r="BO15" i="2" s="1"/>
  <c r="BM16" i="2"/>
  <c r="BN16" i="2" s="1"/>
  <c r="BO16" i="2" s="1"/>
  <c r="BM17" i="2"/>
  <c r="BN17" i="2" s="1"/>
  <c r="BO17" i="2" s="1"/>
  <c r="BM18" i="2"/>
  <c r="BN18" i="2" s="1"/>
  <c r="BO18" i="2" s="1"/>
  <c r="BM19" i="2"/>
  <c r="BN19" i="2" s="1"/>
  <c r="BO19" i="2" s="1"/>
  <c r="BM20" i="2"/>
  <c r="BM21" i="2"/>
  <c r="BN21" i="2" s="1"/>
  <c r="BO21" i="2" s="1"/>
  <c r="BM22" i="2"/>
  <c r="BN22" i="2" s="1"/>
  <c r="BO22" i="2" s="1"/>
  <c r="BM23" i="2"/>
  <c r="BM24" i="2"/>
  <c r="BN24" i="2" s="1"/>
  <c r="BO24" i="2" s="1"/>
  <c r="BM25" i="2"/>
  <c r="BN25" i="2" s="1"/>
  <c r="BO25" i="2" s="1"/>
  <c r="BM26" i="2"/>
  <c r="BM27" i="2"/>
  <c r="BN27" i="2" s="1"/>
  <c r="BO27" i="2" s="1"/>
  <c r="BM28" i="2"/>
  <c r="BN28" i="2" s="1"/>
  <c r="BO28" i="2" s="1"/>
  <c r="BM29" i="2"/>
  <c r="BM30" i="2"/>
  <c r="BN30" i="2" s="1"/>
  <c r="BO30" i="2" s="1"/>
  <c r="BM31" i="2"/>
  <c r="BN31" i="2" s="1"/>
  <c r="BO31" i="2" s="1"/>
  <c r="BM32" i="2"/>
  <c r="BM33" i="2"/>
  <c r="BN33" i="2" s="1"/>
  <c r="BO33" i="2" s="1"/>
  <c r="BM34" i="2"/>
  <c r="BN34" i="2" s="1"/>
  <c r="BO34" i="2" s="1"/>
  <c r="BM35" i="2"/>
  <c r="BN35" i="2" s="1"/>
  <c r="BO35" i="2" s="1"/>
  <c r="BM36" i="2"/>
  <c r="BN36" i="2" s="1"/>
  <c r="BO36" i="2" s="1"/>
  <c r="BM37" i="2"/>
  <c r="BN37" i="2" s="1"/>
  <c r="BO37" i="2" s="1"/>
  <c r="BM38" i="2"/>
  <c r="BM39" i="2"/>
  <c r="BN39" i="2" s="1"/>
  <c r="BO39" i="2" s="1"/>
  <c r="BM40" i="2"/>
  <c r="BN40" i="2" s="1"/>
  <c r="BO40" i="2" s="1"/>
  <c r="BM41" i="2"/>
  <c r="BM42" i="2"/>
  <c r="BN42" i="2" s="1"/>
  <c r="BO42" i="2" s="1"/>
  <c r="BM43" i="2"/>
  <c r="BN43" i="2" s="1"/>
  <c r="BO43" i="2" s="1"/>
  <c r="BM44" i="2"/>
  <c r="BM45" i="2"/>
  <c r="BN45" i="2" s="1"/>
  <c r="BO45" i="2" s="1"/>
  <c r="BM46" i="2"/>
  <c r="BN46" i="2" s="1"/>
  <c r="BO46" i="2" s="1"/>
  <c r="BM47" i="2"/>
  <c r="BM48" i="2"/>
  <c r="BN48" i="2" s="1"/>
  <c r="BO48" i="2" s="1"/>
  <c r="BM49" i="2"/>
  <c r="BN49" i="2" s="1"/>
  <c r="BO49" i="2" s="1"/>
  <c r="BM50" i="2"/>
  <c r="BM51" i="2"/>
  <c r="BN51" i="2" s="1"/>
  <c r="BO51" i="2" s="1"/>
  <c r="BM52" i="2"/>
  <c r="BN52" i="2" s="1"/>
  <c r="BO52" i="2" s="1"/>
  <c r="BM53" i="2"/>
  <c r="BN53" i="2" s="1"/>
  <c r="BO53" i="2" s="1"/>
  <c r="BM54" i="2"/>
  <c r="BN54" i="2" s="1"/>
  <c r="BO54" i="2" s="1"/>
  <c r="BM55" i="2"/>
  <c r="BN55" i="2" s="1"/>
  <c r="BO55" i="2" s="1"/>
  <c r="BM56" i="2"/>
  <c r="BM57" i="2"/>
  <c r="BN57" i="2" s="1"/>
  <c r="BO57" i="2" s="1"/>
  <c r="BM58" i="2"/>
  <c r="BN58" i="2" s="1"/>
  <c r="BO58" i="2" s="1"/>
  <c r="BM59" i="2"/>
  <c r="BM60" i="2"/>
  <c r="BN60" i="2" s="1"/>
  <c r="BO60" i="2" s="1"/>
  <c r="BM61" i="2"/>
  <c r="BN61" i="2" s="1"/>
  <c r="BO61" i="2" s="1"/>
  <c r="BM62" i="2"/>
  <c r="BM63" i="2"/>
  <c r="BN63" i="2" s="1"/>
  <c r="BO63" i="2" s="1"/>
  <c r="BM64" i="2"/>
  <c r="BN64" i="2" s="1"/>
  <c r="BO64" i="2" s="1"/>
  <c r="BM65" i="2"/>
  <c r="BM66" i="2"/>
  <c r="BN66" i="2" s="1"/>
  <c r="BO66" i="2" s="1"/>
  <c r="BM67" i="2"/>
  <c r="BN67" i="2" s="1"/>
  <c r="BO67" i="2" s="1"/>
  <c r="BM68" i="2"/>
  <c r="BM69" i="2"/>
  <c r="BN69" i="2" s="1"/>
  <c r="BO69" i="2" s="1"/>
  <c r="BM70" i="2"/>
  <c r="BN70" i="2" s="1"/>
  <c r="BO70" i="2" s="1"/>
  <c r="BM71" i="2"/>
  <c r="BN71" i="2" s="1"/>
  <c r="BO71" i="2" s="1"/>
  <c r="BM72" i="2"/>
  <c r="BN72" i="2" s="1"/>
  <c r="BO72" i="2" s="1"/>
  <c r="BM73" i="2"/>
  <c r="BN73" i="2" s="1"/>
  <c r="BO73" i="2" s="1"/>
  <c r="BM74" i="2"/>
  <c r="BM75" i="2"/>
  <c r="BN75" i="2" s="1"/>
  <c r="BO75" i="2" s="1"/>
  <c r="BM76" i="2"/>
  <c r="BN76" i="2" s="1"/>
  <c r="BO76" i="2" s="1"/>
  <c r="BM77" i="2"/>
  <c r="BM78" i="2"/>
  <c r="BN78" i="2" s="1"/>
  <c r="BO78" i="2" s="1"/>
  <c r="BM79" i="2"/>
  <c r="BN79" i="2" s="1"/>
  <c r="BO79" i="2" s="1"/>
  <c r="BM80" i="2"/>
  <c r="BM81" i="2"/>
  <c r="BN81" i="2" s="1"/>
  <c r="BO81" i="2" s="1"/>
  <c r="BM82" i="2"/>
  <c r="BN82" i="2" s="1"/>
  <c r="BO82" i="2" s="1"/>
  <c r="BM83" i="2"/>
  <c r="BM84" i="2"/>
  <c r="BN84" i="2" s="1"/>
  <c r="BO84" i="2" s="1"/>
  <c r="BM85" i="2"/>
  <c r="BN85" i="2" s="1"/>
  <c r="BO85" i="2" s="1"/>
  <c r="BM86" i="2"/>
  <c r="BM87" i="2"/>
  <c r="BN87" i="2" s="1"/>
  <c r="BO87" i="2" s="1"/>
  <c r="BM88" i="2"/>
  <c r="BN88" i="2" s="1"/>
  <c r="BO88" i="2" s="1"/>
  <c r="BM89" i="2"/>
  <c r="BM90" i="2"/>
  <c r="BN90" i="2" s="1"/>
  <c r="BO90" i="2" s="1"/>
  <c r="BM91" i="2"/>
  <c r="BN91" i="2" s="1"/>
  <c r="BO91" i="2" s="1"/>
  <c r="BM92" i="2"/>
  <c r="BM93" i="2"/>
  <c r="BN93" i="2" s="1"/>
  <c r="BO93" i="2" s="1"/>
  <c r="BM94" i="2"/>
  <c r="BN94" i="2" s="1"/>
  <c r="BO94" i="2" s="1"/>
  <c r="BM95" i="2"/>
  <c r="BM96" i="2"/>
  <c r="BN96" i="2" s="1"/>
  <c r="BO96" i="2" s="1"/>
  <c r="BM97" i="2"/>
  <c r="BN97" i="2" s="1"/>
  <c r="BO97" i="2" s="1"/>
  <c r="BM98" i="2"/>
  <c r="BM99" i="2"/>
  <c r="BN99" i="2" s="1"/>
  <c r="BO99" i="2" s="1"/>
  <c r="BM3" i="2"/>
  <c r="BN3" i="2" s="1"/>
  <c r="BO3" i="2" s="1"/>
  <c r="BA4" i="2"/>
  <c r="BB4" i="2" s="1"/>
  <c r="BA5" i="2"/>
  <c r="BB5" i="2" s="1"/>
  <c r="BA6" i="2"/>
  <c r="BA7" i="2"/>
  <c r="BB7" i="2" s="1"/>
  <c r="BA8" i="2"/>
  <c r="BB8" i="2" s="1"/>
  <c r="BA9" i="2"/>
  <c r="BB9" i="2" s="1"/>
  <c r="BA10" i="2"/>
  <c r="BB10" i="2" s="1"/>
  <c r="BA11" i="2"/>
  <c r="BB11" i="2" s="1"/>
  <c r="BA12" i="2"/>
  <c r="BA13" i="2"/>
  <c r="BB13" i="2" s="1"/>
  <c r="BA14" i="2"/>
  <c r="BB14" i="2" s="1"/>
  <c r="BA15" i="2"/>
  <c r="BB15" i="2" s="1"/>
  <c r="BA16" i="2"/>
  <c r="BA17" i="2"/>
  <c r="BB17" i="2" s="1"/>
  <c r="BA18" i="2"/>
  <c r="BA19" i="2"/>
  <c r="BB19" i="2" s="1"/>
  <c r="BA20" i="2"/>
  <c r="BA21" i="2"/>
  <c r="BB21" i="2" s="1"/>
  <c r="BA22" i="2"/>
  <c r="BB22" i="2" s="1"/>
  <c r="BA23" i="2"/>
  <c r="BB23" i="2" s="1"/>
  <c r="BA24" i="2"/>
  <c r="BA25" i="2"/>
  <c r="BB25" i="2" s="1"/>
  <c r="BA26" i="2"/>
  <c r="BB26" i="2" s="1"/>
  <c r="BA27" i="2"/>
  <c r="BB27" i="2" s="1"/>
  <c r="BA28" i="2"/>
  <c r="BB28" i="2" s="1"/>
  <c r="BA29" i="2"/>
  <c r="BA30" i="2"/>
  <c r="BA31" i="2"/>
  <c r="BB31" i="2" s="1"/>
  <c r="BA32" i="2"/>
  <c r="BA33" i="2"/>
  <c r="BB33" i="2" s="1"/>
  <c r="BA34" i="2"/>
  <c r="BB34" i="2" s="1"/>
  <c r="BA35" i="2"/>
  <c r="BA36" i="2"/>
  <c r="BA37" i="2"/>
  <c r="BB37" i="2" s="1"/>
  <c r="BA38" i="2"/>
  <c r="BB38" i="2" s="1"/>
  <c r="BA39" i="2"/>
  <c r="BB39" i="2" s="1"/>
  <c r="BA40" i="2"/>
  <c r="BB40" i="2" s="1"/>
  <c r="BA41" i="2"/>
  <c r="BA42" i="2"/>
  <c r="BA43" i="2"/>
  <c r="BB43" i="2" s="1"/>
  <c r="BA44" i="2"/>
  <c r="BB44" i="2" s="1"/>
  <c r="BA45" i="2"/>
  <c r="BB45" i="2" s="1"/>
  <c r="BA46" i="2"/>
  <c r="BB46" i="2" s="1"/>
  <c r="BA47" i="2"/>
  <c r="BA48" i="2"/>
  <c r="BA49" i="2"/>
  <c r="BB49" i="2" s="1"/>
  <c r="BA50" i="2"/>
  <c r="BA51" i="2"/>
  <c r="BB51" i="2" s="1"/>
  <c r="BA52" i="2"/>
  <c r="BB52" i="2" s="1"/>
  <c r="BA53" i="2"/>
  <c r="BA54" i="2"/>
  <c r="BA55" i="2"/>
  <c r="BB55" i="2" s="1"/>
  <c r="BA56" i="2"/>
  <c r="BB56" i="2" s="1"/>
  <c r="BA57" i="2"/>
  <c r="BB57" i="2" s="1"/>
  <c r="BA58" i="2"/>
  <c r="BB58" i="2" s="1"/>
  <c r="BA59" i="2"/>
  <c r="BA60" i="2"/>
  <c r="BA61" i="2"/>
  <c r="BB61" i="2" s="1"/>
  <c r="BA62" i="2"/>
  <c r="BB62" i="2" s="1"/>
  <c r="BA63" i="2"/>
  <c r="BB63" i="2" s="1"/>
  <c r="BA64" i="2"/>
  <c r="BB64" i="2" s="1"/>
  <c r="BA65" i="2"/>
  <c r="BA66" i="2"/>
  <c r="BA67" i="2"/>
  <c r="BB67" i="2" s="1"/>
  <c r="BA68" i="2"/>
  <c r="BA69" i="2"/>
  <c r="BB69" i="2" s="1"/>
  <c r="BA70" i="2"/>
  <c r="BB70" i="2" s="1"/>
  <c r="BA71" i="2"/>
  <c r="BA72" i="2"/>
  <c r="BA73" i="2"/>
  <c r="BB73" i="2" s="1"/>
  <c r="BA74" i="2"/>
  <c r="BB74" i="2" s="1"/>
  <c r="BA75" i="2"/>
  <c r="BB75" i="2" s="1"/>
  <c r="BA76" i="2"/>
  <c r="BB76" i="2" s="1"/>
  <c r="BA77" i="2"/>
  <c r="BA78" i="2"/>
  <c r="BA79" i="2"/>
  <c r="BB79" i="2" s="1"/>
  <c r="BA80" i="2"/>
  <c r="BB80" i="2" s="1"/>
  <c r="BA81" i="2"/>
  <c r="BB81" i="2" s="1"/>
  <c r="BA82" i="2"/>
  <c r="BB82" i="2" s="1"/>
  <c r="BA83" i="2"/>
  <c r="BA84" i="2"/>
  <c r="BA85" i="2"/>
  <c r="BB85" i="2" s="1"/>
  <c r="BA86" i="2"/>
  <c r="BA87" i="2"/>
  <c r="BB87" i="2" s="1"/>
  <c r="BA88" i="2"/>
  <c r="BB88" i="2" s="1"/>
  <c r="BA89" i="2"/>
  <c r="BA90" i="2"/>
  <c r="BB90" i="2" s="1"/>
  <c r="BA91" i="2"/>
  <c r="BB91" i="2" s="1"/>
  <c r="BA92" i="2"/>
  <c r="BB92" i="2" s="1"/>
  <c r="BA93" i="2"/>
  <c r="BB93" i="2" s="1"/>
  <c r="BA94" i="2"/>
  <c r="BB94" i="2" s="1"/>
  <c r="BA95" i="2"/>
  <c r="BA96" i="2"/>
  <c r="BB96" i="2" s="1"/>
  <c r="BA97" i="2"/>
  <c r="BB97" i="2" s="1"/>
  <c r="BA98" i="2"/>
  <c r="BB98" i="2" s="1"/>
  <c r="BA99" i="2"/>
  <c r="BB99" i="2" s="1"/>
  <c r="BA3" i="2"/>
  <c r="BB3" i="2" s="1"/>
  <c r="AO4" i="2"/>
  <c r="AP4" i="2" s="1"/>
  <c r="AO5" i="2"/>
  <c r="AO6" i="2"/>
  <c r="AP6" i="2" s="1"/>
  <c r="AO7" i="2"/>
  <c r="AP7" i="2" s="1"/>
  <c r="AO8" i="2"/>
  <c r="AP8" i="2" s="1"/>
  <c r="AO9" i="2"/>
  <c r="AO10" i="2"/>
  <c r="AP10" i="2" s="1"/>
  <c r="AO11" i="2"/>
  <c r="AO12" i="2"/>
  <c r="AP12" i="2" s="1"/>
  <c r="AO13" i="2"/>
  <c r="AP13" i="2" s="1"/>
  <c r="AO14" i="2"/>
  <c r="AO15" i="2"/>
  <c r="AO16" i="2"/>
  <c r="AP16" i="2" s="1"/>
  <c r="AO17" i="2"/>
  <c r="AO18" i="2"/>
  <c r="AP18" i="2" s="1"/>
  <c r="AO19" i="2"/>
  <c r="AP19" i="2" s="1"/>
  <c r="AO20" i="2"/>
  <c r="AP20" i="2" s="1"/>
  <c r="AO21" i="2"/>
  <c r="AO22" i="2"/>
  <c r="AP22" i="2" s="1"/>
  <c r="AO23" i="2"/>
  <c r="AO24" i="2"/>
  <c r="AP24" i="2" s="1"/>
  <c r="AO25" i="2"/>
  <c r="AP25" i="2" s="1"/>
  <c r="AO26" i="2"/>
  <c r="AP26" i="2" s="1"/>
  <c r="AO27" i="2"/>
  <c r="AO28" i="2"/>
  <c r="AP28" i="2" s="1"/>
  <c r="AO29" i="2"/>
  <c r="AO30" i="2"/>
  <c r="AP30" i="2" s="1"/>
  <c r="AO31" i="2"/>
  <c r="AP31" i="2" s="1"/>
  <c r="AO32" i="2"/>
  <c r="AO33" i="2"/>
  <c r="AO34" i="2"/>
  <c r="AP34" i="2" s="1"/>
  <c r="AO35" i="2"/>
  <c r="AO36" i="2"/>
  <c r="AP36" i="2" s="1"/>
  <c r="AO37" i="2"/>
  <c r="AO38" i="2"/>
  <c r="AO39" i="2"/>
  <c r="AO40" i="2"/>
  <c r="AP40" i="2" s="1"/>
  <c r="AO41" i="2"/>
  <c r="AO42" i="2"/>
  <c r="AP42" i="2" s="1"/>
  <c r="AO43" i="2"/>
  <c r="AP43" i="2" s="1"/>
  <c r="AO44" i="2"/>
  <c r="AP44" i="2" s="1"/>
  <c r="AO45" i="2"/>
  <c r="AO46" i="2"/>
  <c r="AP46" i="2" s="1"/>
  <c r="AO47" i="2"/>
  <c r="AO48" i="2"/>
  <c r="AP48" i="2" s="1"/>
  <c r="AO49" i="2"/>
  <c r="AP49" i="2" s="1"/>
  <c r="AO50" i="2"/>
  <c r="AP50" i="2" s="1"/>
  <c r="AO51" i="2"/>
  <c r="AO52" i="2"/>
  <c r="AP52" i="2" s="1"/>
  <c r="AO53" i="2"/>
  <c r="AO54" i="2"/>
  <c r="AP54" i="2" s="1"/>
  <c r="AO55" i="2"/>
  <c r="AO56" i="2"/>
  <c r="AO57" i="2"/>
  <c r="AO58" i="2"/>
  <c r="AP58" i="2" s="1"/>
  <c r="AO59" i="2"/>
  <c r="AO60" i="2"/>
  <c r="AP60" i="2" s="1"/>
  <c r="AO61" i="2"/>
  <c r="AO62" i="2"/>
  <c r="AO63" i="2"/>
  <c r="AO64" i="2"/>
  <c r="AP64" i="2" s="1"/>
  <c r="AO65" i="2"/>
  <c r="AO66" i="2"/>
  <c r="AP66" i="2" s="1"/>
  <c r="AO67" i="2"/>
  <c r="AP67" i="2" s="1"/>
  <c r="AO68" i="2"/>
  <c r="AP68" i="2" s="1"/>
  <c r="AO69" i="2"/>
  <c r="AO70" i="2"/>
  <c r="AP70" i="2" s="1"/>
  <c r="AO71" i="2"/>
  <c r="AO72" i="2"/>
  <c r="AP72" i="2" s="1"/>
  <c r="AO73" i="2"/>
  <c r="AO74" i="2"/>
  <c r="AO75" i="2"/>
  <c r="AO76" i="2"/>
  <c r="AO77" i="2"/>
  <c r="AO78" i="2"/>
  <c r="AP78" i="2" s="1"/>
  <c r="AO79" i="2"/>
  <c r="AP79" i="2" s="1"/>
  <c r="AO80" i="2"/>
  <c r="AO81" i="2"/>
  <c r="AO82" i="2"/>
  <c r="AP82" i="2" s="1"/>
  <c r="AO83" i="2"/>
  <c r="AO84" i="2"/>
  <c r="AP84" i="2" s="1"/>
  <c r="AO85" i="2"/>
  <c r="AP85" i="2" s="1"/>
  <c r="AO86" i="2"/>
  <c r="AO87" i="2"/>
  <c r="AO88" i="2"/>
  <c r="AP88" i="2" s="1"/>
  <c r="AO89" i="2"/>
  <c r="AO90" i="2"/>
  <c r="AP90" i="2" s="1"/>
  <c r="AO91" i="2"/>
  <c r="AO92" i="2"/>
  <c r="AO93" i="2"/>
  <c r="AO94" i="2"/>
  <c r="AP94" i="2" s="1"/>
  <c r="AO95" i="2"/>
  <c r="AO96" i="2"/>
  <c r="AP96" i="2" s="1"/>
  <c r="AO97" i="2"/>
  <c r="AP97" i="2" s="1"/>
  <c r="AO98" i="2"/>
  <c r="AO99" i="2"/>
  <c r="AO3" i="2"/>
  <c r="AP3" i="2" s="1"/>
  <c r="AL1" i="2"/>
  <c r="Z1" i="2"/>
  <c r="AC4" i="2"/>
  <c r="AD4" i="2" s="1"/>
  <c r="AC5" i="2"/>
  <c r="AC6" i="2"/>
  <c r="AD6" i="2" s="1"/>
  <c r="AC7" i="2"/>
  <c r="AD7" i="2" s="1"/>
  <c r="AC8" i="2"/>
  <c r="AD8" i="2" s="1"/>
  <c r="AC9" i="2"/>
  <c r="AC10" i="2"/>
  <c r="AD10" i="2" s="1"/>
  <c r="AC11" i="2"/>
  <c r="AC12" i="2"/>
  <c r="AD12" i="2" s="1"/>
  <c r="AC13" i="2"/>
  <c r="AD13" i="2" s="1"/>
  <c r="AC14" i="2"/>
  <c r="AD14" i="2" s="1"/>
  <c r="AC15" i="2"/>
  <c r="AC16" i="2"/>
  <c r="AD16" i="2" s="1"/>
  <c r="AC17" i="2"/>
  <c r="AC18" i="2"/>
  <c r="AD18" i="2" s="1"/>
  <c r="AC19" i="2"/>
  <c r="AC20" i="2"/>
  <c r="AC21" i="2"/>
  <c r="AC22" i="2"/>
  <c r="AD22" i="2" s="1"/>
  <c r="AC23" i="2"/>
  <c r="AC24" i="2"/>
  <c r="AD24" i="2" s="1"/>
  <c r="AC25" i="2"/>
  <c r="AD25" i="2" s="1"/>
  <c r="AC26" i="2"/>
  <c r="AD26" i="2" s="1"/>
  <c r="AC27" i="2"/>
  <c r="AC28" i="2"/>
  <c r="AD28" i="2" s="1"/>
  <c r="AC29" i="2"/>
  <c r="AC30" i="2"/>
  <c r="AD30" i="2" s="1"/>
  <c r="AC31" i="2"/>
  <c r="AD31" i="2" s="1"/>
  <c r="AC32" i="2"/>
  <c r="AD32" i="2" s="1"/>
  <c r="AC33" i="2"/>
  <c r="AC34" i="2"/>
  <c r="AC35" i="2"/>
  <c r="AC36" i="2"/>
  <c r="AD36" i="2" s="1"/>
  <c r="AC37" i="2"/>
  <c r="AD37" i="2" s="1"/>
  <c r="AC38" i="2"/>
  <c r="AD38" i="2" s="1"/>
  <c r="AC39" i="2"/>
  <c r="AC40" i="2"/>
  <c r="AD40" i="2" s="1"/>
  <c r="AC41" i="2"/>
  <c r="AC42" i="2"/>
  <c r="AD42" i="2" s="1"/>
  <c r="AC43" i="2"/>
  <c r="AD43" i="2" s="1"/>
  <c r="AC44" i="2"/>
  <c r="AD44" i="2" s="1"/>
  <c r="AC45" i="2"/>
  <c r="AC46" i="2"/>
  <c r="AD46" i="2" s="1"/>
  <c r="AC47" i="2"/>
  <c r="AC48" i="2"/>
  <c r="AD48" i="2" s="1"/>
  <c r="AC49" i="2"/>
  <c r="AD49" i="2" s="1"/>
  <c r="AC50" i="2"/>
  <c r="AD50" i="2" s="1"/>
  <c r="AC51" i="2"/>
  <c r="AC52" i="2"/>
  <c r="AD52" i="2" s="1"/>
  <c r="AC53" i="2"/>
  <c r="AC54" i="2"/>
  <c r="AD54" i="2" s="1"/>
  <c r="AC55" i="2"/>
  <c r="AC56" i="2"/>
  <c r="AC57" i="2"/>
  <c r="AC58" i="2"/>
  <c r="AD58" i="2" s="1"/>
  <c r="AC59" i="2"/>
  <c r="AC60" i="2"/>
  <c r="AD60" i="2" s="1"/>
  <c r="AC61" i="2"/>
  <c r="AD61" i="2" s="1"/>
  <c r="AC62" i="2"/>
  <c r="AD62" i="2" s="1"/>
  <c r="AC63" i="2"/>
  <c r="AC64" i="2"/>
  <c r="AD64" i="2" s="1"/>
  <c r="AC65" i="2"/>
  <c r="AC66" i="2"/>
  <c r="AD66" i="2" s="1"/>
  <c r="AC67" i="2"/>
  <c r="AD67" i="2" s="1"/>
  <c r="AC68" i="2"/>
  <c r="AD68" i="2" s="1"/>
  <c r="AC69" i="2"/>
  <c r="AC70" i="2"/>
  <c r="AD70" i="2" s="1"/>
  <c r="AC71" i="2"/>
  <c r="AC72" i="2"/>
  <c r="AD72" i="2" s="1"/>
  <c r="AC73" i="2"/>
  <c r="AC74" i="2"/>
  <c r="AC75" i="2"/>
  <c r="AC76" i="2"/>
  <c r="AD76" i="2" s="1"/>
  <c r="AC77" i="2"/>
  <c r="AC78" i="2"/>
  <c r="AD78" i="2" s="1"/>
  <c r="AC79" i="2"/>
  <c r="AD79" i="2" s="1"/>
  <c r="AC80" i="2"/>
  <c r="AD80" i="2" s="1"/>
  <c r="AC81" i="2"/>
  <c r="AC82" i="2"/>
  <c r="AD82" i="2" s="1"/>
  <c r="AC83" i="2"/>
  <c r="AC84" i="2"/>
  <c r="AD84" i="2" s="1"/>
  <c r="AC85" i="2"/>
  <c r="AD85" i="2" s="1"/>
  <c r="AC86" i="2"/>
  <c r="AD86" i="2" s="1"/>
  <c r="AC87" i="2"/>
  <c r="AC88" i="2"/>
  <c r="AD88" i="2" s="1"/>
  <c r="AC89" i="2"/>
  <c r="AC90" i="2"/>
  <c r="AD90" i="2" s="1"/>
  <c r="AC91" i="2"/>
  <c r="AC92" i="2"/>
  <c r="AC93" i="2"/>
  <c r="AC94" i="2"/>
  <c r="AD94" i="2" s="1"/>
  <c r="AC95" i="2"/>
  <c r="AC96" i="2"/>
  <c r="AD96" i="2" s="1"/>
  <c r="AC97" i="2"/>
  <c r="AD97" i="2" s="1"/>
  <c r="AC98" i="2"/>
  <c r="AD98" i="2" s="1"/>
  <c r="AC99" i="2"/>
  <c r="AC100" i="2"/>
  <c r="AC3" i="2"/>
  <c r="AD3" i="2" s="1"/>
  <c r="Q4" i="2"/>
  <c r="R4" i="2" s="1"/>
  <c r="S4" i="2" s="1"/>
  <c r="Q5" i="2"/>
  <c r="R5" i="2" s="1"/>
  <c r="Q6" i="2"/>
  <c r="Q7" i="2"/>
  <c r="R7" i="2" s="1"/>
  <c r="Q8" i="2"/>
  <c r="R8" i="2" s="1"/>
  <c r="Q9" i="2"/>
  <c r="Q10" i="2"/>
  <c r="R10" i="2" s="1"/>
  <c r="Q11" i="2"/>
  <c r="R11" i="2" s="1"/>
  <c r="Q12" i="2"/>
  <c r="Q13" i="2"/>
  <c r="R13" i="2" s="1"/>
  <c r="Q14" i="2"/>
  <c r="R14" i="2" s="1"/>
  <c r="Q15" i="2"/>
  <c r="R15" i="2" s="1"/>
  <c r="Q16" i="2"/>
  <c r="R16" i="2" s="1"/>
  <c r="Q17" i="2"/>
  <c r="R17" i="2" s="1"/>
  <c r="Q18" i="2"/>
  <c r="Q19" i="2"/>
  <c r="R19" i="2" s="1"/>
  <c r="Q20" i="2"/>
  <c r="R20" i="2" s="1"/>
  <c r="Q21" i="2"/>
  <c r="R21" i="2" s="1"/>
  <c r="Q22" i="2"/>
  <c r="R22" i="2" s="1"/>
  <c r="Q23" i="2"/>
  <c r="R23" i="2" s="1"/>
  <c r="Q24" i="2"/>
  <c r="Q25" i="2"/>
  <c r="R25" i="2" s="1"/>
  <c r="Q26" i="2"/>
  <c r="R26" i="2" s="1"/>
  <c r="Q27" i="2"/>
  <c r="R27" i="2" s="1"/>
  <c r="Q28" i="2"/>
  <c r="R28" i="2" s="1"/>
  <c r="Q29" i="2"/>
  <c r="R29" i="2" s="1"/>
  <c r="Q30" i="2"/>
  <c r="Q31" i="2"/>
  <c r="R31" i="2" s="1"/>
  <c r="Q32" i="2"/>
  <c r="R32" i="2" s="1"/>
  <c r="Q33" i="2"/>
  <c r="R33" i="2" s="1"/>
  <c r="Q34" i="2"/>
  <c r="R34" i="2" s="1"/>
  <c r="Q35" i="2"/>
  <c r="R35" i="2" s="1"/>
  <c r="Q36" i="2"/>
  <c r="Q37" i="2"/>
  <c r="R37" i="2" s="1"/>
  <c r="Q38" i="2"/>
  <c r="R38" i="2" s="1"/>
  <c r="Q39" i="2"/>
  <c r="R39" i="2" s="1"/>
  <c r="Q40" i="2"/>
  <c r="R40" i="2" s="1"/>
  <c r="Q41" i="2"/>
  <c r="R41" i="2" s="1"/>
  <c r="Q42" i="2"/>
  <c r="Q43" i="2"/>
  <c r="R43" i="2" s="1"/>
  <c r="Q44" i="2"/>
  <c r="R44" i="2" s="1"/>
  <c r="Q45" i="2"/>
  <c r="R45" i="2" s="1"/>
  <c r="Q46" i="2"/>
  <c r="R46" i="2" s="1"/>
  <c r="Q47" i="2"/>
  <c r="R47" i="2" s="1"/>
  <c r="Q48" i="2"/>
  <c r="Q49" i="2"/>
  <c r="R49" i="2" s="1"/>
  <c r="Q50" i="2"/>
  <c r="R50" i="2" s="1"/>
  <c r="Q51" i="2"/>
  <c r="R51" i="2" s="1"/>
  <c r="Q52" i="2"/>
  <c r="R52" i="2" s="1"/>
  <c r="Q53" i="2"/>
  <c r="R53" i="2" s="1"/>
  <c r="Q54" i="2"/>
  <c r="Q55" i="2"/>
  <c r="R55" i="2" s="1"/>
  <c r="Q56" i="2"/>
  <c r="R56" i="2" s="1"/>
  <c r="Q57" i="2"/>
  <c r="R57" i="2" s="1"/>
  <c r="Q58" i="2"/>
  <c r="R58" i="2" s="1"/>
  <c r="Q59" i="2"/>
  <c r="R59" i="2" s="1"/>
  <c r="Q60" i="2"/>
  <c r="Q61" i="2"/>
  <c r="R61" i="2" s="1"/>
  <c r="Q62" i="2"/>
  <c r="R62" i="2" s="1"/>
  <c r="Q63" i="2"/>
  <c r="R63" i="2" s="1"/>
  <c r="Q64" i="2"/>
  <c r="R64" i="2" s="1"/>
  <c r="Q65" i="2"/>
  <c r="R65" i="2" s="1"/>
  <c r="Q66" i="2"/>
  <c r="Q67" i="2"/>
  <c r="R67" i="2" s="1"/>
  <c r="Q68" i="2"/>
  <c r="R68" i="2" s="1"/>
  <c r="Q69" i="2"/>
  <c r="R69" i="2" s="1"/>
  <c r="Q70" i="2"/>
  <c r="Q71" i="2"/>
  <c r="R71" i="2" s="1"/>
  <c r="Q72" i="2"/>
  <c r="Q73" i="2"/>
  <c r="R73" i="2" s="1"/>
  <c r="Q74" i="2"/>
  <c r="R74" i="2" s="1"/>
  <c r="Q75" i="2"/>
  <c r="R75" i="2" s="1"/>
  <c r="Q76" i="2"/>
  <c r="R76" i="2" s="1"/>
  <c r="Q77" i="2"/>
  <c r="R77" i="2" s="1"/>
  <c r="Q78" i="2"/>
  <c r="Q79" i="2"/>
  <c r="R79" i="2" s="1"/>
  <c r="Q80" i="2"/>
  <c r="R80" i="2" s="1"/>
  <c r="Q81" i="2"/>
  <c r="R81" i="2" s="1"/>
  <c r="Q82" i="2"/>
  <c r="R82" i="2" s="1"/>
  <c r="Q83" i="2"/>
  <c r="R83" i="2" s="1"/>
  <c r="Q84" i="2"/>
  <c r="Q85" i="2"/>
  <c r="R85" i="2" s="1"/>
  <c r="Q86" i="2"/>
  <c r="R86" i="2" s="1"/>
  <c r="Q87" i="2"/>
  <c r="R87" i="2" s="1"/>
  <c r="Q88" i="2"/>
  <c r="Q89" i="2"/>
  <c r="R89" i="2" s="1"/>
  <c r="Q90" i="2"/>
  <c r="Q91" i="2"/>
  <c r="R91" i="2" s="1"/>
  <c r="Q92" i="2"/>
  <c r="R92" i="2" s="1"/>
  <c r="Q93" i="2"/>
  <c r="R93" i="2" s="1"/>
  <c r="Q94" i="2"/>
  <c r="R94" i="2" s="1"/>
  <c r="Q95" i="2"/>
  <c r="R95" i="2" s="1"/>
  <c r="Q96" i="2"/>
  <c r="Q97" i="2"/>
  <c r="R97" i="2" s="1"/>
  <c r="Q98" i="2"/>
  <c r="R98" i="2" s="1"/>
  <c r="Q99" i="2"/>
  <c r="Q3" i="2"/>
  <c r="R3" i="2" s="1"/>
  <c r="N1" i="2"/>
  <c r="BC23" i="2" l="1"/>
  <c r="BC11" i="2"/>
  <c r="BC5" i="2"/>
  <c r="BC99" i="2"/>
  <c r="BC93" i="2"/>
  <c r="BC87" i="2"/>
  <c r="BC81" i="2"/>
  <c r="BC75" i="2"/>
  <c r="BC69" i="2"/>
  <c r="BC63" i="2"/>
  <c r="BC57" i="2"/>
  <c r="BC51" i="2"/>
  <c r="BC45" i="2"/>
  <c r="BC39" i="2"/>
  <c r="BC33" i="2"/>
  <c r="BC27" i="2"/>
  <c r="BC21" i="2"/>
  <c r="BC15" i="2"/>
  <c r="BC9" i="2"/>
  <c r="BC98" i="2"/>
  <c r="BC92" i="2"/>
  <c r="BC80" i="2"/>
  <c r="BC74" i="2"/>
  <c r="BC62" i="2"/>
  <c r="BC56" i="2"/>
  <c r="BC44" i="2"/>
  <c r="BC38" i="2"/>
  <c r="BC26" i="2"/>
  <c r="BC14" i="2"/>
  <c r="BC8" i="2"/>
  <c r="BC97" i="2"/>
  <c r="BC73" i="2"/>
  <c r="BC55" i="2"/>
  <c r="BC43" i="2"/>
  <c r="BC31" i="2"/>
  <c r="BC25" i="2"/>
  <c r="BC13" i="2"/>
  <c r="BC7" i="2"/>
  <c r="BC91" i="2"/>
  <c r="BC85" i="2"/>
  <c r="BC79" i="2"/>
  <c r="BC67" i="2"/>
  <c r="BC61" i="2"/>
  <c r="BC49" i="2"/>
  <c r="BC37" i="2"/>
  <c r="BC19" i="2"/>
  <c r="BC96" i="2"/>
  <c r="BC90" i="2"/>
  <c r="BC17" i="2"/>
  <c r="BC3" i="2"/>
  <c r="BC94" i="2"/>
  <c r="BC88" i="2"/>
  <c r="BC82" i="2"/>
  <c r="BC76" i="2"/>
  <c r="BC70" i="2"/>
  <c r="BC64" i="2"/>
  <c r="BC58" i="2"/>
  <c r="BC52" i="2"/>
  <c r="BC46" i="2"/>
  <c r="BC40" i="2"/>
  <c r="BC34" i="2"/>
  <c r="BC28" i="2"/>
  <c r="BC22" i="2"/>
  <c r="BC10" i="2"/>
  <c r="BC4" i="2"/>
  <c r="AQ97" i="2"/>
  <c r="AQ85" i="2"/>
  <c r="AQ79" i="2"/>
  <c r="AQ67" i="2"/>
  <c r="AQ49" i="2"/>
  <c r="AQ43" i="2"/>
  <c r="AQ31" i="2"/>
  <c r="AQ25" i="2"/>
  <c r="AQ19" i="2"/>
  <c r="AQ13" i="2"/>
  <c r="AQ7" i="2"/>
  <c r="AQ96" i="2"/>
  <c r="AQ90" i="2"/>
  <c r="AQ84" i="2"/>
  <c r="AQ78" i="2"/>
  <c r="AQ72" i="2"/>
  <c r="AQ66" i="2"/>
  <c r="AQ60" i="2"/>
  <c r="AQ54" i="2"/>
  <c r="AQ48" i="2"/>
  <c r="AQ42" i="2"/>
  <c r="AQ36" i="2"/>
  <c r="AQ30" i="2"/>
  <c r="AQ24" i="2"/>
  <c r="AQ18" i="2"/>
  <c r="AQ12" i="2"/>
  <c r="AQ6" i="2"/>
  <c r="AQ3" i="2"/>
  <c r="AQ94" i="2"/>
  <c r="AQ88" i="2"/>
  <c r="AQ82" i="2"/>
  <c r="AQ70" i="2"/>
  <c r="AQ64" i="2"/>
  <c r="AQ58" i="2"/>
  <c r="AQ52" i="2"/>
  <c r="AQ46" i="2"/>
  <c r="AQ40" i="2"/>
  <c r="AQ34" i="2"/>
  <c r="AQ28" i="2"/>
  <c r="AQ22" i="2"/>
  <c r="AQ16" i="2"/>
  <c r="AQ10" i="2"/>
  <c r="AQ4" i="2"/>
  <c r="AQ68" i="2"/>
  <c r="AQ50" i="2"/>
  <c r="AQ44" i="2"/>
  <c r="AQ26" i="2"/>
  <c r="AQ20" i="2"/>
  <c r="AQ8" i="2"/>
  <c r="AE88" i="2"/>
  <c r="AE52" i="2"/>
  <c r="AE10" i="2"/>
  <c r="AE76" i="2"/>
  <c r="AE46" i="2"/>
  <c r="AE22" i="2"/>
  <c r="AE98" i="2"/>
  <c r="AE86" i="2"/>
  <c r="AE80" i="2"/>
  <c r="AE68" i="2"/>
  <c r="AE62" i="2"/>
  <c r="AE50" i="2"/>
  <c r="AE44" i="2"/>
  <c r="AE38" i="2"/>
  <c r="AE32" i="2"/>
  <c r="AE26" i="2"/>
  <c r="AE14" i="2"/>
  <c r="AE8" i="2"/>
  <c r="AE94" i="2"/>
  <c r="AE64" i="2"/>
  <c r="AE40" i="2"/>
  <c r="AE16" i="2"/>
  <c r="AE97" i="2"/>
  <c r="AE85" i="2"/>
  <c r="AE79" i="2"/>
  <c r="AE67" i="2"/>
  <c r="AE61" i="2"/>
  <c r="AE49" i="2"/>
  <c r="AE43" i="2"/>
  <c r="AE37" i="2"/>
  <c r="AE31" i="2"/>
  <c r="AE25" i="2"/>
  <c r="AE13" i="2"/>
  <c r="AE7" i="2"/>
  <c r="AE70" i="2"/>
  <c r="AE28" i="2"/>
  <c r="AE96" i="2"/>
  <c r="AE90" i="2"/>
  <c r="AE84" i="2"/>
  <c r="AE78" i="2"/>
  <c r="AE72" i="2"/>
  <c r="AE66" i="2"/>
  <c r="AE60" i="2"/>
  <c r="AE54" i="2"/>
  <c r="AE48" i="2"/>
  <c r="AE42" i="2"/>
  <c r="AE36" i="2"/>
  <c r="AE30" i="2"/>
  <c r="AE24" i="2"/>
  <c r="AE18" i="2"/>
  <c r="AE12" i="2"/>
  <c r="AE6" i="2"/>
  <c r="AE82" i="2"/>
  <c r="AE58" i="2"/>
  <c r="AE4" i="2"/>
  <c r="AE3" i="2"/>
  <c r="S98" i="2"/>
  <c r="S80" i="2"/>
  <c r="S62" i="2"/>
  <c r="S44" i="2"/>
  <c r="S20" i="2"/>
  <c r="S91" i="2"/>
  <c r="S73" i="2"/>
  <c r="S55" i="2"/>
  <c r="S31" i="2"/>
  <c r="S25" i="2"/>
  <c r="S19" i="2"/>
  <c r="S7" i="2"/>
  <c r="S85" i="2"/>
  <c r="S67" i="2"/>
  <c r="S61" i="2"/>
  <c r="S49" i="2"/>
  <c r="S43" i="2"/>
  <c r="S37" i="2"/>
  <c r="S13" i="2"/>
  <c r="S83" i="2"/>
  <c r="S77" i="2"/>
  <c r="S71" i="2"/>
  <c r="S65" i="2"/>
  <c r="S59" i="2"/>
  <c r="S53" i="2"/>
  <c r="S47" i="2"/>
  <c r="S41" i="2"/>
  <c r="S35" i="2"/>
  <c r="S29" i="2"/>
  <c r="S23" i="2"/>
  <c r="S17" i="2"/>
  <c r="S11" i="2"/>
  <c r="S5" i="2"/>
  <c r="S86" i="2"/>
  <c r="S68" i="2"/>
  <c r="S56" i="2"/>
  <c r="S38" i="2"/>
  <c r="S26" i="2"/>
  <c r="S8" i="2"/>
  <c r="S3" i="2"/>
  <c r="S82" i="2"/>
  <c r="S58" i="2"/>
  <c r="S52" i="2"/>
  <c r="S40" i="2"/>
  <c r="S34" i="2"/>
  <c r="S28" i="2"/>
  <c r="S22" i="2"/>
  <c r="S16" i="2"/>
  <c r="S10" i="2"/>
  <c r="S92" i="2"/>
  <c r="S74" i="2"/>
  <c r="S50" i="2"/>
  <c r="S32" i="2"/>
  <c r="S14" i="2"/>
  <c r="S97" i="2"/>
  <c r="S79" i="2"/>
  <c r="S95" i="2"/>
  <c r="S89" i="2"/>
  <c r="S94" i="2"/>
  <c r="S76" i="2"/>
  <c r="S64" i="2"/>
  <c r="S46" i="2"/>
  <c r="S93" i="2"/>
  <c r="S87" i="2"/>
  <c r="S81" i="2"/>
  <c r="S75" i="2"/>
  <c r="S69" i="2"/>
  <c r="S63" i="2"/>
  <c r="S57" i="2"/>
  <c r="S51" i="2"/>
  <c r="S45" i="2"/>
  <c r="S39" i="2"/>
  <c r="S33" i="2"/>
  <c r="S27" i="2"/>
  <c r="S21" i="2"/>
  <c r="S15" i="2"/>
  <c r="BB41" i="2"/>
  <c r="AP62" i="2"/>
  <c r="AP38" i="2"/>
  <c r="BB16" i="2"/>
  <c r="BB95" i="2"/>
  <c r="AP61" i="2"/>
  <c r="AP32" i="2"/>
  <c r="AP14" i="2"/>
  <c r="BB89" i="2"/>
  <c r="BB71" i="2"/>
  <c r="BB53" i="2"/>
  <c r="BB35" i="2"/>
  <c r="BB59" i="2"/>
  <c r="AP56" i="2"/>
  <c r="BB86" i="2"/>
  <c r="BB68" i="2"/>
  <c r="BB50" i="2"/>
  <c r="BB32" i="2"/>
  <c r="BN89" i="2"/>
  <c r="BO89" i="2" s="1"/>
  <c r="BB77" i="2"/>
  <c r="BB83" i="2"/>
  <c r="BB65" i="2"/>
  <c r="BB47" i="2"/>
  <c r="BB29" i="2"/>
  <c r="AP91" i="2"/>
  <c r="AP73" i="2"/>
  <c r="AP55" i="2"/>
  <c r="AP37" i="2"/>
  <c r="AP95" i="2"/>
  <c r="AP83" i="2"/>
  <c r="AP77" i="2"/>
  <c r="AP71" i="2"/>
  <c r="AP65" i="2"/>
  <c r="AP59" i="2"/>
  <c r="AP53" i="2"/>
  <c r="AP47" i="2"/>
  <c r="AP41" i="2"/>
  <c r="AP35" i="2"/>
  <c r="AP29" i="2"/>
  <c r="AP23" i="2"/>
  <c r="AP17" i="2"/>
  <c r="AP11" i="2"/>
  <c r="AP5" i="2"/>
  <c r="AP86" i="2"/>
  <c r="BB84" i="2"/>
  <c r="BB78" i="2"/>
  <c r="BB72" i="2"/>
  <c r="BB66" i="2"/>
  <c r="BB60" i="2"/>
  <c r="BB54" i="2"/>
  <c r="BB48" i="2"/>
  <c r="BB42" i="2"/>
  <c r="BB36" i="2"/>
  <c r="BB30" i="2"/>
  <c r="BB24" i="2"/>
  <c r="BB18" i="2"/>
  <c r="BB12" i="2"/>
  <c r="BB6" i="2"/>
  <c r="AP92" i="2"/>
  <c r="AP74" i="2"/>
  <c r="AP89" i="2"/>
  <c r="AP76" i="2"/>
  <c r="BN98" i="2"/>
  <c r="BO98" i="2" s="1"/>
  <c r="BN92" i="2"/>
  <c r="BO92" i="2" s="1"/>
  <c r="BN86" i="2"/>
  <c r="BO86" i="2" s="1"/>
  <c r="BN80" i="2"/>
  <c r="BO80" i="2" s="1"/>
  <c r="BN74" i="2"/>
  <c r="BO74" i="2" s="1"/>
  <c r="BN68" i="2"/>
  <c r="BO68" i="2" s="1"/>
  <c r="BN62" i="2"/>
  <c r="BO62" i="2" s="1"/>
  <c r="BN56" i="2"/>
  <c r="BO56" i="2" s="1"/>
  <c r="BN50" i="2"/>
  <c r="BO50" i="2" s="1"/>
  <c r="BN44" i="2"/>
  <c r="BO44" i="2" s="1"/>
  <c r="BN38" i="2"/>
  <c r="BO38" i="2" s="1"/>
  <c r="BN32" i="2"/>
  <c r="BO32" i="2" s="1"/>
  <c r="BN26" i="2"/>
  <c r="BO26" i="2" s="1"/>
  <c r="BN20" i="2"/>
  <c r="BO20" i="2" s="1"/>
  <c r="BN14" i="2"/>
  <c r="BO14" i="2" s="1"/>
  <c r="BN8" i="2"/>
  <c r="BO8" i="2" s="1"/>
  <c r="AP99" i="2"/>
  <c r="AP93" i="2"/>
  <c r="AP87" i="2"/>
  <c r="AP81" i="2"/>
  <c r="AP75" i="2"/>
  <c r="AP69" i="2"/>
  <c r="AP63" i="2"/>
  <c r="AP57" i="2"/>
  <c r="AP51" i="2"/>
  <c r="AP45" i="2"/>
  <c r="AP39" i="2"/>
  <c r="AP33" i="2"/>
  <c r="AP27" i="2"/>
  <c r="AP21" i="2"/>
  <c r="AP15" i="2"/>
  <c r="AP9" i="2"/>
  <c r="AP98" i="2"/>
  <c r="AP80" i="2"/>
  <c r="BB20" i="2"/>
  <c r="BN95" i="2"/>
  <c r="BO95" i="2" s="1"/>
  <c r="BN77" i="2"/>
  <c r="BO77" i="2" s="1"/>
  <c r="BN59" i="2"/>
  <c r="BO59" i="2" s="1"/>
  <c r="BN41" i="2"/>
  <c r="BO41" i="2" s="1"/>
  <c r="BN23" i="2"/>
  <c r="BO23" i="2" s="1"/>
  <c r="BN5" i="2"/>
  <c r="BN83" i="2"/>
  <c r="BO83" i="2" s="1"/>
  <c r="BN65" i="2"/>
  <c r="BO65" i="2" s="1"/>
  <c r="BN47" i="2"/>
  <c r="BO47" i="2" s="1"/>
  <c r="BN29" i="2"/>
  <c r="BO29" i="2" s="1"/>
  <c r="BN11" i="2"/>
  <c r="BO11" i="2" s="1"/>
  <c r="R96" i="2"/>
  <c r="R78" i="2"/>
  <c r="R66" i="2"/>
  <c r="R48" i="2"/>
  <c r="R12" i="2"/>
  <c r="AD100" i="2"/>
  <c r="R90" i="2"/>
  <c r="R72" i="2"/>
  <c r="R60" i="2"/>
  <c r="R54" i="2"/>
  <c r="R42" i="2"/>
  <c r="R30" i="2"/>
  <c r="R24" i="2"/>
  <c r="R18" i="2"/>
  <c r="R6" i="2"/>
  <c r="R88" i="2"/>
  <c r="R70" i="2"/>
  <c r="R84" i="2"/>
  <c r="R99" i="2"/>
  <c r="R9" i="2"/>
  <c r="R36" i="2"/>
  <c r="AD91" i="2"/>
  <c r="AD73" i="2"/>
  <c r="AD55" i="2"/>
  <c r="AD19" i="2"/>
  <c r="AD34" i="2"/>
  <c r="AD95" i="2"/>
  <c r="AD89" i="2"/>
  <c r="AD83" i="2"/>
  <c r="AD77" i="2"/>
  <c r="AD71" i="2"/>
  <c r="AD65" i="2"/>
  <c r="AD59" i="2"/>
  <c r="AD53" i="2"/>
  <c r="AD47" i="2"/>
  <c r="AD41" i="2"/>
  <c r="AD35" i="2"/>
  <c r="AD29" i="2"/>
  <c r="AD23" i="2"/>
  <c r="AD17" i="2"/>
  <c r="AD11" i="2"/>
  <c r="AD5" i="2"/>
  <c r="AD99" i="2"/>
  <c r="AD93" i="2"/>
  <c r="AD87" i="2"/>
  <c r="AD81" i="2"/>
  <c r="AD75" i="2"/>
  <c r="AD69" i="2"/>
  <c r="AD63" i="2"/>
  <c r="AD57" i="2"/>
  <c r="AD51" i="2"/>
  <c r="AD45" i="2"/>
  <c r="AD39" i="2"/>
  <c r="AD33" i="2"/>
  <c r="AD27" i="2"/>
  <c r="AD21" i="2"/>
  <c r="AD15" i="2"/>
  <c r="AD9" i="2"/>
  <c r="AD92" i="2"/>
  <c r="AD74" i="2"/>
  <c r="AD56" i="2"/>
  <c r="AD20" i="2"/>
  <c r="BG101" i="2" l="1"/>
  <c r="BC12" i="2"/>
  <c r="BC83" i="2"/>
  <c r="BC24" i="2"/>
  <c r="BC60" i="2"/>
  <c r="BC36" i="2"/>
  <c r="BC72" i="2"/>
  <c r="BC47" i="2"/>
  <c r="BC50" i="2"/>
  <c r="BC53" i="2"/>
  <c r="BC95" i="2"/>
  <c r="BC65" i="2"/>
  <c r="BG102" i="2"/>
  <c r="BC78" i="2"/>
  <c r="BC71" i="2"/>
  <c r="BC48" i="2"/>
  <c r="BC89" i="2"/>
  <c r="BC18" i="2"/>
  <c r="BC54" i="2"/>
  <c r="BC77" i="2"/>
  <c r="BC42" i="2"/>
  <c r="BC68" i="2"/>
  <c r="BC84" i="2"/>
  <c r="BC20" i="2"/>
  <c r="BC59" i="2"/>
  <c r="BC16" i="2"/>
  <c r="BC86" i="2"/>
  <c r="BC41" i="2"/>
  <c r="BC30" i="2"/>
  <c r="BC66" i="2"/>
  <c r="BC29" i="2"/>
  <c r="BC32" i="2"/>
  <c r="BC35" i="2"/>
  <c r="AQ69" i="2"/>
  <c r="AQ39" i="2"/>
  <c r="AQ75" i="2"/>
  <c r="AQ92" i="2"/>
  <c r="AQ21" i="2"/>
  <c r="AQ57" i="2"/>
  <c r="AQ93" i="2"/>
  <c r="AQ76" i="2"/>
  <c r="AQ86" i="2"/>
  <c r="AQ35" i="2"/>
  <c r="AQ71" i="2"/>
  <c r="AQ73" i="2"/>
  <c r="AQ56" i="2"/>
  <c r="AQ14" i="2"/>
  <c r="AQ62" i="2"/>
  <c r="AQ27" i="2"/>
  <c r="AQ89" i="2"/>
  <c r="AQ41" i="2"/>
  <c r="AQ77" i="2"/>
  <c r="AQ91" i="2"/>
  <c r="AQ32" i="2"/>
  <c r="AQ33" i="2"/>
  <c r="AQ74" i="2"/>
  <c r="AQ11" i="2"/>
  <c r="AQ47" i="2"/>
  <c r="AQ83" i="2"/>
  <c r="AQ61" i="2"/>
  <c r="AU102" i="2"/>
  <c r="AQ98" i="2"/>
  <c r="AQ17" i="2"/>
  <c r="AQ53" i="2"/>
  <c r="AU101" i="2"/>
  <c r="AQ99" i="2"/>
  <c r="AQ95" i="2"/>
  <c r="AQ9" i="2"/>
  <c r="AQ45" i="2"/>
  <c r="AQ81" i="2"/>
  <c r="AQ23" i="2"/>
  <c r="AQ59" i="2"/>
  <c r="AQ37" i="2"/>
  <c r="AQ63" i="2"/>
  <c r="AQ80" i="2"/>
  <c r="AQ15" i="2"/>
  <c r="AQ51" i="2"/>
  <c r="AQ87" i="2"/>
  <c r="AQ29" i="2"/>
  <c r="AQ65" i="2"/>
  <c r="AQ55" i="2"/>
  <c r="AQ38" i="2"/>
  <c r="W102" i="2"/>
  <c r="AE87" i="2"/>
  <c r="AE95" i="2"/>
  <c r="AE57" i="2"/>
  <c r="AE65" i="2"/>
  <c r="AE27" i="2"/>
  <c r="AE63" i="2"/>
  <c r="AE71" i="2"/>
  <c r="AE33" i="2"/>
  <c r="AE5" i="2"/>
  <c r="AE77" i="2"/>
  <c r="AE100" i="2"/>
  <c r="AE92" i="2"/>
  <c r="AE39" i="2"/>
  <c r="AE75" i="2"/>
  <c r="AE11" i="2"/>
  <c r="AE47" i="2"/>
  <c r="AE83" i="2"/>
  <c r="AE73" i="2"/>
  <c r="AE51" i="2"/>
  <c r="AE93" i="2"/>
  <c r="AE34" i="2"/>
  <c r="AE56" i="2"/>
  <c r="AE99" i="2"/>
  <c r="AE19" i="2"/>
  <c r="AE74" i="2"/>
  <c r="AE69" i="2"/>
  <c r="AE41" i="2"/>
  <c r="AE55" i="2"/>
  <c r="AI102" i="2"/>
  <c r="AE9" i="2"/>
  <c r="AE45" i="2"/>
  <c r="AE81" i="2"/>
  <c r="AE17" i="2"/>
  <c r="AE53" i="2"/>
  <c r="AE89" i="2"/>
  <c r="AE91" i="2"/>
  <c r="AE59" i="2"/>
  <c r="AE15" i="2"/>
  <c r="AE21" i="2"/>
  <c r="AI103" i="2"/>
  <c r="AE23" i="2"/>
  <c r="AE20" i="2"/>
  <c r="AE29" i="2"/>
  <c r="AE35" i="2"/>
  <c r="W101" i="2"/>
  <c r="S18" i="2"/>
  <c r="S78" i="2"/>
  <c r="S90" i="2"/>
  <c r="S30" i="2"/>
  <c r="S70" i="2"/>
  <c r="S42" i="2"/>
  <c r="S12" i="2"/>
  <c r="S9" i="2"/>
  <c r="S72" i="2"/>
  <c r="S24" i="2"/>
  <c r="S88" i="2"/>
  <c r="S54" i="2"/>
  <c r="S48" i="2"/>
  <c r="S99" i="2"/>
  <c r="S96" i="2"/>
  <c r="S84" i="2"/>
  <c r="S36" i="2"/>
  <c r="S6" i="2"/>
  <c r="S60" i="2"/>
  <c r="S66" i="2"/>
  <c r="BO5" i="2"/>
  <c r="BO1" i="2" s="1"/>
  <c r="AQ5" i="2"/>
  <c r="BC6" i="2"/>
  <c r="BE101" i="2" l="1"/>
  <c r="BF27" i="2" s="1"/>
  <c r="BG27" i="2" s="1"/>
  <c r="BF23" i="2"/>
  <c r="BG23" i="2" s="1"/>
  <c r="BF91" i="2"/>
  <c r="BG91" i="2" s="1"/>
  <c r="BF56" i="2"/>
  <c r="BG56" i="2" s="1"/>
  <c r="BF67" i="2"/>
  <c r="BG67" i="2" s="1"/>
  <c r="BF10" i="2"/>
  <c r="BG10" i="2" s="1"/>
  <c r="BF97" i="2"/>
  <c r="BG97" i="2" s="1"/>
  <c r="BF24" i="2"/>
  <c r="BG24" i="2" s="1"/>
  <c r="BC1" i="2"/>
  <c r="AZ1" i="2"/>
  <c r="AS101" i="2"/>
  <c r="AT93" i="2" s="1"/>
  <c r="AU93" i="2" s="1"/>
  <c r="AQ1" i="2"/>
  <c r="AN1" i="2"/>
  <c r="AB1" i="2"/>
  <c r="AF98" i="2" s="1"/>
  <c r="AG98" i="2" s="1"/>
  <c r="U101" i="2"/>
  <c r="V3" i="2" s="1"/>
  <c r="W3" i="2" s="1"/>
  <c r="AE1" i="2"/>
  <c r="AG102" i="2"/>
  <c r="AH87" i="2" s="1"/>
  <c r="AI87" i="2" s="1"/>
  <c r="S1" i="2"/>
  <c r="P1" i="2"/>
  <c r="T39" i="2" s="1"/>
  <c r="U39" i="2" s="1"/>
  <c r="B1" i="2"/>
  <c r="E4" i="2"/>
  <c r="F4" i="2" s="1"/>
  <c r="G4" i="2" s="1"/>
  <c r="E5" i="2"/>
  <c r="F5" i="2" s="1"/>
  <c r="G5" i="2" s="1"/>
  <c r="E6" i="2"/>
  <c r="F6" i="2" s="1"/>
  <c r="G6" i="2" s="1"/>
  <c r="E7" i="2"/>
  <c r="F7" i="2" s="1"/>
  <c r="G7" i="2" s="1"/>
  <c r="E8" i="2"/>
  <c r="F8" i="2" s="1"/>
  <c r="G8" i="2" s="1"/>
  <c r="E9" i="2"/>
  <c r="F9" i="2" s="1"/>
  <c r="G9" i="2" s="1"/>
  <c r="E10" i="2"/>
  <c r="F10" i="2" s="1"/>
  <c r="G10" i="2" s="1"/>
  <c r="E11" i="2"/>
  <c r="F11" i="2" s="1"/>
  <c r="G11" i="2" s="1"/>
  <c r="E12" i="2"/>
  <c r="F12" i="2" s="1"/>
  <c r="G12" i="2" s="1"/>
  <c r="E13" i="2"/>
  <c r="F13" i="2" s="1"/>
  <c r="G13" i="2" s="1"/>
  <c r="E14" i="2"/>
  <c r="F14" i="2" s="1"/>
  <c r="G14" i="2" s="1"/>
  <c r="E15" i="2"/>
  <c r="F15" i="2" s="1"/>
  <c r="G15" i="2" s="1"/>
  <c r="E16" i="2"/>
  <c r="F16" i="2" s="1"/>
  <c r="G16" i="2" s="1"/>
  <c r="E17" i="2"/>
  <c r="F17" i="2" s="1"/>
  <c r="G17" i="2" s="1"/>
  <c r="E18" i="2"/>
  <c r="F18" i="2" s="1"/>
  <c r="G18" i="2" s="1"/>
  <c r="E19" i="2"/>
  <c r="F19" i="2" s="1"/>
  <c r="G19" i="2" s="1"/>
  <c r="E20" i="2"/>
  <c r="F20" i="2" s="1"/>
  <c r="G20" i="2" s="1"/>
  <c r="E21" i="2"/>
  <c r="E22" i="2"/>
  <c r="F22" i="2" s="1"/>
  <c r="G22" i="2" s="1"/>
  <c r="E23" i="2"/>
  <c r="F23" i="2" s="1"/>
  <c r="G23" i="2" s="1"/>
  <c r="E24" i="2"/>
  <c r="F24" i="2" s="1"/>
  <c r="G24" i="2" s="1"/>
  <c r="E25" i="2"/>
  <c r="F25" i="2" s="1"/>
  <c r="G25" i="2" s="1"/>
  <c r="E26" i="2"/>
  <c r="F26" i="2" s="1"/>
  <c r="G26" i="2" s="1"/>
  <c r="E27" i="2"/>
  <c r="E28" i="2"/>
  <c r="F28" i="2" s="1"/>
  <c r="G28" i="2" s="1"/>
  <c r="E29" i="2"/>
  <c r="F29" i="2" s="1"/>
  <c r="G29" i="2" s="1"/>
  <c r="E30" i="2"/>
  <c r="F30" i="2" s="1"/>
  <c r="G30" i="2" s="1"/>
  <c r="E31" i="2"/>
  <c r="F31" i="2" s="1"/>
  <c r="G31" i="2" s="1"/>
  <c r="E32" i="2"/>
  <c r="F32" i="2" s="1"/>
  <c r="G32" i="2" s="1"/>
  <c r="E33" i="2"/>
  <c r="E34" i="2"/>
  <c r="F34" i="2" s="1"/>
  <c r="G34" i="2" s="1"/>
  <c r="E35" i="2"/>
  <c r="F35" i="2" s="1"/>
  <c r="G35" i="2" s="1"/>
  <c r="E36" i="2"/>
  <c r="F36" i="2" s="1"/>
  <c r="G36" i="2" s="1"/>
  <c r="E37" i="2"/>
  <c r="F37" i="2" s="1"/>
  <c r="G37" i="2" s="1"/>
  <c r="E38" i="2"/>
  <c r="F38" i="2" s="1"/>
  <c r="G38" i="2" s="1"/>
  <c r="E39" i="2"/>
  <c r="E40" i="2"/>
  <c r="F40" i="2" s="1"/>
  <c r="G40" i="2" s="1"/>
  <c r="E41" i="2"/>
  <c r="F41" i="2" s="1"/>
  <c r="G41" i="2" s="1"/>
  <c r="E42" i="2"/>
  <c r="F42" i="2" s="1"/>
  <c r="G42" i="2" s="1"/>
  <c r="E43" i="2"/>
  <c r="F43" i="2" s="1"/>
  <c r="G43" i="2" s="1"/>
  <c r="E44" i="2"/>
  <c r="F44" i="2" s="1"/>
  <c r="G44" i="2" s="1"/>
  <c r="E45" i="2"/>
  <c r="E46" i="2"/>
  <c r="F46" i="2" s="1"/>
  <c r="G46" i="2" s="1"/>
  <c r="E47" i="2"/>
  <c r="F47" i="2" s="1"/>
  <c r="G47" i="2" s="1"/>
  <c r="E48" i="2"/>
  <c r="F48" i="2" s="1"/>
  <c r="G48" i="2" s="1"/>
  <c r="E49" i="2"/>
  <c r="F49" i="2" s="1"/>
  <c r="G49" i="2" s="1"/>
  <c r="E50" i="2"/>
  <c r="F50" i="2" s="1"/>
  <c r="G50" i="2" s="1"/>
  <c r="E51" i="2"/>
  <c r="E52" i="2"/>
  <c r="F52" i="2" s="1"/>
  <c r="G52" i="2" s="1"/>
  <c r="E53" i="2"/>
  <c r="F53" i="2" s="1"/>
  <c r="G53" i="2" s="1"/>
  <c r="E54" i="2"/>
  <c r="F54" i="2" s="1"/>
  <c r="G54" i="2" s="1"/>
  <c r="E55" i="2"/>
  <c r="F55" i="2" s="1"/>
  <c r="G55" i="2" s="1"/>
  <c r="E56" i="2"/>
  <c r="F56" i="2" s="1"/>
  <c r="G56" i="2" s="1"/>
  <c r="E57" i="2"/>
  <c r="E58" i="2"/>
  <c r="F58" i="2" s="1"/>
  <c r="G58" i="2" s="1"/>
  <c r="E59" i="2"/>
  <c r="F59" i="2" s="1"/>
  <c r="G59" i="2" s="1"/>
  <c r="E60" i="2"/>
  <c r="F60" i="2" s="1"/>
  <c r="G60" i="2" s="1"/>
  <c r="E61" i="2"/>
  <c r="F61" i="2" s="1"/>
  <c r="G61" i="2" s="1"/>
  <c r="E62" i="2"/>
  <c r="F62" i="2" s="1"/>
  <c r="G62" i="2" s="1"/>
  <c r="E63" i="2"/>
  <c r="E64" i="2"/>
  <c r="F64" i="2" s="1"/>
  <c r="G64" i="2" s="1"/>
  <c r="E65" i="2"/>
  <c r="F65" i="2" s="1"/>
  <c r="G65" i="2" s="1"/>
  <c r="E66" i="2"/>
  <c r="F66" i="2" s="1"/>
  <c r="G66" i="2" s="1"/>
  <c r="E67" i="2"/>
  <c r="F67" i="2" s="1"/>
  <c r="G67" i="2" s="1"/>
  <c r="E68" i="2"/>
  <c r="F68" i="2" s="1"/>
  <c r="G68" i="2" s="1"/>
  <c r="E69" i="2"/>
  <c r="E70" i="2"/>
  <c r="F70" i="2" s="1"/>
  <c r="G70" i="2" s="1"/>
  <c r="E71" i="2"/>
  <c r="F71" i="2" s="1"/>
  <c r="G71" i="2" s="1"/>
  <c r="E72" i="2"/>
  <c r="F72" i="2" s="1"/>
  <c r="G72" i="2" s="1"/>
  <c r="E73" i="2"/>
  <c r="F73" i="2" s="1"/>
  <c r="G73" i="2" s="1"/>
  <c r="E74" i="2"/>
  <c r="F74" i="2" s="1"/>
  <c r="G74" i="2" s="1"/>
  <c r="E75" i="2"/>
  <c r="E76" i="2"/>
  <c r="F76" i="2" s="1"/>
  <c r="E77" i="2"/>
  <c r="F77" i="2" s="1"/>
  <c r="G77" i="2" s="1"/>
  <c r="E78" i="2"/>
  <c r="F78" i="2" s="1"/>
  <c r="G78" i="2" s="1"/>
  <c r="E79" i="2"/>
  <c r="F79" i="2" s="1"/>
  <c r="G79" i="2" s="1"/>
  <c r="E80" i="2"/>
  <c r="F80" i="2" s="1"/>
  <c r="G80" i="2" s="1"/>
  <c r="E81" i="2"/>
  <c r="E82" i="2"/>
  <c r="F82" i="2" s="1"/>
  <c r="G82" i="2" s="1"/>
  <c r="E83" i="2"/>
  <c r="F83" i="2" s="1"/>
  <c r="G83" i="2" s="1"/>
  <c r="E84" i="2"/>
  <c r="F84" i="2" s="1"/>
  <c r="G84" i="2" s="1"/>
  <c r="E85" i="2"/>
  <c r="F85" i="2" s="1"/>
  <c r="G85" i="2" s="1"/>
  <c r="E86" i="2"/>
  <c r="F86" i="2" s="1"/>
  <c r="G86" i="2" s="1"/>
  <c r="E87" i="2"/>
  <c r="E88" i="2"/>
  <c r="F88" i="2" s="1"/>
  <c r="G88" i="2" s="1"/>
  <c r="E89" i="2"/>
  <c r="F89" i="2" s="1"/>
  <c r="G89" i="2" s="1"/>
  <c r="E90" i="2"/>
  <c r="F90" i="2" s="1"/>
  <c r="G90" i="2" s="1"/>
  <c r="E91" i="2"/>
  <c r="F91" i="2" s="1"/>
  <c r="G91" i="2" s="1"/>
  <c r="E92" i="2"/>
  <c r="F92" i="2" s="1"/>
  <c r="G92" i="2" s="1"/>
  <c r="E93" i="2"/>
  <c r="E94" i="2"/>
  <c r="F94" i="2" s="1"/>
  <c r="E3" i="2"/>
  <c r="F3" i="2" s="1"/>
  <c r="BF99" i="2" l="1"/>
  <c r="BG99" i="2" s="1"/>
  <c r="BF12" i="2"/>
  <c r="BG12" i="2" s="1"/>
  <c r="BF28" i="2"/>
  <c r="BG28" i="2" s="1"/>
  <c r="BF93" i="2"/>
  <c r="BG93" i="2" s="1"/>
  <c r="BF17" i="2"/>
  <c r="BG17" i="2" s="1"/>
  <c r="BF73" i="2"/>
  <c r="BG73" i="2" s="1"/>
  <c r="BF69" i="2"/>
  <c r="BG69" i="2" s="1"/>
  <c r="BF14" i="2"/>
  <c r="BG14" i="2" s="1"/>
  <c r="BF48" i="2"/>
  <c r="BG48" i="2" s="1"/>
  <c r="BF51" i="2"/>
  <c r="BG51" i="2" s="1"/>
  <c r="BF40" i="2"/>
  <c r="BG40" i="2" s="1"/>
  <c r="BF34" i="2"/>
  <c r="BG34" i="2" s="1"/>
  <c r="BF58" i="2"/>
  <c r="BG58" i="2" s="1"/>
  <c r="BF42" i="2"/>
  <c r="BG42" i="2" s="1"/>
  <c r="BF33" i="2"/>
  <c r="BG33" i="2" s="1"/>
  <c r="BF32" i="2"/>
  <c r="BG32" i="2" s="1"/>
  <c r="BF26" i="2"/>
  <c r="BG26" i="2" s="1"/>
  <c r="BF89" i="2"/>
  <c r="BG89" i="2" s="1"/>
  <c r="BF15" i="2"/>
  <c r="BG15" i="2" s="1"/>
  <c r="BF41" i="2"/>
  <c r="BG41" i="2" s="1"/>
  <c r="BF11" i="2"/>
  <c r="BG11" i="2" s="1"/>
  <c r="BF84" i="2"/>
  <c r="BG84" i="2" s="1"/>
  <c r="BF65" i="2"/>
  <c r="BG65" i="2" s="1"/>
  <c r="BF47" i="2"/>
  <c r="BG47" i="2" s="1"/>
  <c r="BF76" i="2"/>
  <c r="BG76" i="2" s="1"/>
  <c r="BF90" i="2"/>
  <c r="BG90" i="2" s="1"/>
  <c r="BF25" i="2"/>
  <c r="BG25" i="2" s="1"/>
  <c r="BF53" i="2"/>
  <c r="BG53" i="2" s="1"/>
  <c r="BF49" i="2"/>
  <c r="BG49" i="2" s="1"/>
  <c r="BF45" i="2"/>
  <c r="BG45" i="2" s="1"/>
  <c r="BF7" i="2"/>
  <c r="BG7" i="2" s="1"/>
  <c r="BF30" i="2"/>
  <c r="BG30" i="2" s="1"/>
  <c r="BF62" i="2"/>
  <c r="BG62" i="2" s="1"/>
  <c r="BF85" i="2"/>
  <c r="BG85" i="2" s="1"/>
  <c r="BF18" i="2"/>
  <c r="BG18" i="2" s="1"/>
  <c r="BF37" i="2"/>
  <c r="BG37" i="2" s="1"/>
  <c r="BF22" i="2"/>
  <c r="BG22" i="2" s="1"/>
  <c r="BF6" i="2"/>
  <c r="BG6" i="2" s="1"/>
  <c r="BF92" i="2"/>
  <c r="BG92" i="2" s="1"/>
  <c r="BF13" i="2"/>
  <c r="BG13" i="2" s="1"/>
  <c r="BF44" i="2"/>
  <c r="BG44" i="2" s="1"/>
  <c r="BF29" i="2"/>
  <c r="BG29" i="2" s="1"/>
  <c r="BF96" i="2"/>
  <c r="BG96" i="2" s="1"/>
  <c r="BF72" i="2"/>
  <c r="BG72" i="2" s="1"/>
  <c r="BF74" i="2"/>
  <c r="BG74" i="2" s="1"/>
  <c r="BF35" i="2"/>
  <c r="BG35" i="2" s="1"/>
  <c r="BF98" i="2"/>
  <c r="BG98" i="2" s="1"/>
  <c r="BF16" i="2"/>
  <c r="BG16" i="2" s="1"/>
  <c r="BF87" i="2"/>
  <c r="BG87" i="2" s="1"/>
  <c r="BF80" i="2"/>
  <c r="BG80" i="2" s="1"/>
  <c r="BF71" i="2"/>
  <c r="BG71" i="2" s="1"/>
  <c r="BF38" i="2"/>
  <c r="BG38" i="2" s="1"/>
  <c r="BF19" i="2"/>
  <c r="BG19" i="2" s="1"/>
  <c r="BF95" i="2"/>
  <c r="BG95" i="2" s="1"/>
  <c r="BF5" i="2"/>
  <c r="BG5" i="2" s="1"/>
  <c r="BF9" i="2"/>
  <c r="BG9" i="2" s="1"/>
  <c r="BF88" i="2"/>
  <c r="BG88" i="2" s="1"/>
  <c r="BF59" i="2"/>
  <c r="BG59" i="2" s="1"/>
  <c r="BF61" i="2"/>
  <c r="BG61" i="2" s="1"/>
  <c r="BF3" i="2"/>
  <c r="BG3" i="2" s="1"/>
  <c r="BF79" i="2"/>
  <c r="BG79" i="2" s="1"/>
  <c r="BF4" i="2"/>
  <c r="BG4" i="2" s="1"/>
  <c r="BF75" i="2"/>
  <c r="BG75" i="2" s="1"/>
  <c r="BF83" i="2"/>
  <c r="BG83" i="2" s="1"/>
  <c r="BF39" i="2"/>
  <c r="BG39" i="2" s="1"/>
  <c r="BF86" i="2"/>
  <c r="BG86" i="2" s="1"/>
  <c r="BF50" i="2"/>
  <c r="BG50" i="2" s="1"/>
  <c r="BF31" i="2"/>
  <c r="BG31" i="2" s="1"/>
  <c r="BF81" i="2"/>
  <c r="BG81" i="2" s="1"/>
  <c r="BF60" i="2"/>
  <c r="BG60" i="2" s="1"/>
  <c r="BF57" i="2"/>
  <c r="BG57" i="2" s="1"/>
  <c r="BF68" i="2"/>
  <c r="BG68" i="2" s="1"/>
  <c r="BF43" i="2"/>
  <c r="BG43" i="2" s="1"/>
  <c r="BF66" i="2"/>
  <c r="BG66" i="2" s="1"/>
  <c r="BF78" i="2"/>
  <c r="BG78" i="2" s="1"/>
  <c r="BF54" i="2"/>
  <c r="BG54" i="2" s="1"/>
  <c r="BF55" i="2"/>
  <c r="BG55" i="2" s="1"/>
  <c r="BF94" i="2"/>
  <c r="BG94" i="2" s="1"/>
  <c r="BF8" i="2"/>
  <c r="BG8" i="2" s="1"/>
  <c r="BF63" i="2"/>
  <c r="BG63" i="2" s="1"/>
  <c r="BF46" i="2"/>
  <c r="BG46" i="2" s="1"/>
  <c r="BF52" i="2"/>
  <c r="BG52" i="2" s="1"/>
  <c r="BF20" i="2"/>
  <c r="BG20" i="2" s="1"/>
  <c r="BF36" i="2"/>
  <c r="BG36" i="2" s="1"/>
  <c r="BF21" i="2"/>
  <c r="BG21" i="2" s="1"/>
  <c r="BF77" i="2"/>
  <c r="BG77" i="2" s="1"/>
  <c r="BF64" i="2"/>
  <c r="BG64" i="2" s="1"/>
  <c r="BF70" i="2"/>
  <c r="BG70" i="2" s="1"/>
  <c r="BF82" i="2"/>
  <c r="BG82" i="2" s="1"/>
  <c r="AT87" i="2"/>
  <c r="AU87" i="2" s="1"/>
  <c r="BD3" i="2"/>
  <c r="BE3" i="2" s="1"/>
  <c r="BD11" i="2"/>
  <c r="BE11" i="2" s="1"/>
  <c r="BD21" i="2"/>
  <c r="BE21" i="2" s="1"/>
  <c r="BD29" i="2"/>
  <c r="BE29" i="2" s="1"/>
  <c r="BD36" i="2"/>
  <c r="BE36" i="2" s="1"/>
  <c r="BD44" i="2"/>
  <c r="BE44" i="2" s="1"/>
  <c r="BD51" i="2"/>
  <c r="BE51" i="2" s="1"/>
  <c r="BD58" i="2"/>
  <c r="BE58" i="2" s="1"/>
  <c r="BD4" i="2"/>
  <c r="BE4" i="2" s="1"/>
  <c r="BD40" i="2"/>
  <c r="BE40" i="2" s="1"/>
  <c r="BD62" i="2"/>
  <c r="BE62" i="2" s="1"/>
  <c r="BD80" i="2"/>
  <c r="BE80" i="2" s="1"/>
  <c r="BD5" i="2"/>
  <c r="BE5" i="2" s="1"/>
  <c r="BD17" i="2"/>
  <c r="BE17" i="2" s="1"/>
  <c r="BD32" i="2"/>
  <c r="BE32" i="2" s="1"/>
  <c r="BD41" i="2"/>
  <c r="BE41" i="2" s="1"/>
  <c r="BD53" i="2"/>
  <c r="BE53" i="2" s="1"/>
  <c r="BD63" i="2"/>
  <c r="BE63" i="2" s="1"/>
  <c r="BD72" i="2"/>
  <c r="BE72" i="2" s="1"/>
  <c r="BD81" i="2"/>
  <c r="BE81" i="2" s="1"/>
  <c r="BD89" i="2"/>
  <c r="BE89" i="2" s="1"/>
  <c r="BD98" i="2"/>
  <c r="BE98" i="2" s="1"/>
  <c r="BD6" i="2"/>
  <c r="BE6" i="2" s="1"/>
  <c r="BD22" i="2"/>
  <c r="BE22" i="2" s="1"/>
  <c r="BD33" i="2"/>
  <c r="BE33" i="2" s="1"/>
  <c r="BD45" i="2"/>
  <c r="BE45" i="2" s="1"/>
  <c r="BD54" i="2"/>
  <c r="BE54" i="2" s="1"/>
  <c r="BD65" i="2"/>
  <c r="BE65" i="2" s="1"/>
  <c r="BD74" i="2"/>
  <c r="BE74" i="2" s="1"/>
  <c r="BD82" i="2"/>
  <c r="BE82" i="2" s="1"/>
  <c r="BD90" i="2"/>
  <c r="BE90" i="2" s="1"/>
  <c r="BD99" i="2"/>
  <c r="BE99" i="2" s="1"/>
  <c r="BD87" i="2"/>
  <c r="BE87" i="2" s="1"/>
  <c r="BD9" i="2"/>
  <c r="BE9" i="2" s="1"/>
  <c r="BD23" i="2"/>
  <c r="BE23" i="2" s="1"/>
  <c r="BD34" i="2"/>
  <c r="BE34" i="2" s="1"/>
  <c r="BD46" i="2"/>
  <c r="BE46" i="2" s="1"/>
  <c r="BD56" i="2"/>
  <c r="BE56" i="2" s="1"/>
  <c r="BD66" i="2"/>
  <c r="BE66" i="2" s="1"/>
  <c r="BD75" i="2"/>
  <c r="BE75" i="2" s="1"/>
  <c r="BD83" i="2"/>
  <c r="BE83" i="2" s="1"/>
  <c r="BD92" i="2"/>
  <c r="BE92" i="2" s="1"/>
  <c r="BD12" i="2"/>
  <c r="BE12" i="2" s="1"/>
  <c r="BD24" i="2"/>
  <c r="BE24" i="2" s="1"/>
  <c r="BD38" i="2"/>
  <c r="BE38" i="2" s="1"/>
  <c r="BD47" i="2"/>
  <c r="BE47" i="2" s="1"/>
  <c r="BD59" i="2"/>
  <c r="BE59" i="2" s="1"/>
  <c r="BD68" i="2"/>
  <c r="BE68" i="2" s="1"/>
  <c r="BD76" i="2"/>
  <c r="BE76" i="2" s="1"/>
  <c r="BD84" i="2"/>
  <c r="BE84" i="2" s="1"/>
  <c r="BD94" i="2"/>
  <c r="BE94" i="2" s="1"/>
  <c r="BD15" i="2"/>
  <c r="BE15" i="2" s="1"/>
  <c r="BD27" i="2"/>
  <c r="BE27" i="2" s="1"/>
  <c r="BD39" i="2"/>
  <c r="BE39" i="2" s="1"/>
  <c r="BD48" i="2"/>
  <c r="BE48" i="2" s="1"/>
  <c r="BD60" i="2"/>
  <c r="BE60" i="2" s="1"/>
  <c r="BD69" i="2"/>
  <c r="BE69" i="2" s="1"/>
  <c r="BD77" i="2"/>
  <c r="BE77" i="2" s="1"/>
  <c r="BD95" i="2"/>
  <c r="BE95" i="2" s="1"/>
  <c r="BD16" i="2"/>
  <c r="BE16" i="2" s="1"/>
  <c r="BD30" i="2"/>
  <c r="BE30" i="2" s="1"/>
  <c r="BD52" i="2"/>
  <c r="BE52" i="2" s="1"/>
  <c r="BD70" i="2"/>
  <c r="BE70" i="2" s="1"/>
  <c r="BD88" i="2"/>
  <c r="BE88" i="2" s="1"/>
  <c r="BD96" i="2"/>
  <c r="BE96" i="2" s="1"/>
  <c r="BD31" i="2"/>
  <c r="BE31" i="2" s="1"/>
  <c r="BD67" i="2"/>
  <c r="BE67" i="2" s="1"/>
  <c r="BD8" i="2"/>
  <c r="BE8" i="2" s="1"/>
  <c r="BD78" i="2"/>
  <c r="BE78" i="2" s="1"/>
  <c r="BD35" i="2"/>
  <c r="BE35" i="2" s="1"/>
  <c r="BD37" i="2"/>
  <c r="BE37" i="2" s="1"/>
  <c r="BD73" i="2"/>
  <c r="BE73" i="2" s="1"/>
  <c r="BD14" i="2"/>
  <c r="BE14" i="2" s="1"/>
  <c r="BD71" i="2"/>
  <c r="BE71" i="2" s="1"/>
  <c r="BD28" i="2"/>
  <c r="BE28" i="2" s="1"/>
  <c r="BD7" i="2"/>
  <c r="BE7" i="2" s="1"/>
  <c r="BD43" i="2"/>
  <c r="BE43" i="2" s="1"/>
  <c r="BD79" i="2"/>
  <c r="BE79" i="2" s="1"/>
  <c r="BD20" i="2"/>
  <c r="BE20" i="2" s="1"/>
  <c r="BD64" i="2"/>
  <c r="BE64" i="2" s="1"/>
  <c r="BD18" i="2"/>
  <c r="BE18" i="2" s="1"/>
  <c r="BD13" i="2"/>
  <c r="BE13" i="2" s="1"/>
  <c r="BD49" i="2"/>
  <c r="BE49" i="2" s="1"/>
  <c r="BD85" i="2"/>
  <c r="BE85" i="2" s="1"/>
  <c r="BD26" i="2"/>
  <c r="BE26" i="2" s="1"/>
  <c r="BD57" i="2"/>
  <c r="BE57" i="2" s="1"/>
  <c r="BD10" i="2"/>
  <c r="BE10" i="2" s="1"/>
  <c r="BD19" i="2"/>
  <c r="BE19" i="2" s="1"/>
  <c r="BD55" i="2"/>
  <c r="BE55" i="2" s="1"/>
  <c r="BD91" i="2"/>
  <c r="BE91" i="2" s="1"/>
  <c r="BD93" i="2"/>
  <c r="BE93" i="2" s="1"/>
  <c r="BD50" i="2"/>
  <c r="BE50" i="2" s="1"/>
  <c r="BD25" i="2"/>
  <c r="BE25" i="2" s="1"/>
  <c r="BD61" i="2"/>
  <c r="BE61" i="2" s="1"/>
  <c r="BD97" i="2"/>
  <c r="BE97" i="2" s="1"/>
  <c r="BD86" i="2"/>
  <c r="BE86" i="2" s="1"/>
  <c r="BD42" i="2"/>
  <c r="BE42" i="2" s="1"/>
  <c r="AT99" i="2"/>
  <c r="AT10" i="2"/>
  <c r="AU10" i="2" s="1"/>
  <c r="AT43" i="2"/>
  <c r="AU43" i="2" s="1"/>
  <c r="AT4" i="2"/>
  <c r="AU4" i="2" s="1"/>
  <c r="AT65" i="2"/>
  <c r="AU65" i="2" s="1"/>
  <c r="AT80" i="2"/>
  <c r="AU80" i="2" s="1"/>
  <c r="AH10" i="2"/>
  <c r="AI10" i="2" s="1"/>
  <c r="AT22" i="2"/>
  <c r="AU22" i="2" s="1"/>
  <c r="AT92" i="2"/>
  <c r="AU92" i="2" s="1"/>
  <c r="AT67" i="2"/>
  <c r="AU67" i="2" s="1"/>
  <c r="AT51" i="2"/>
  <c r="AU51" i="2" s="1"/>
  <c r="AT59" i="2"/>
  <c r="AU59" i="2" s="1"/>
  <c r="AT42" i="2"/>
  <c r="AU42" i="2" s="1"/>
  <c r="AT77" i="2"/>
  <c r="AU77" i="2" s="1"/>
  <c r="AT38" i="2"/>
  <c r="AU38" i="2" s="1"/>
  <c r="AT34" i="2"/>
  <c r="AU34" i="2" s="1"/>
  <c r="T19" i="2"/>
  <c r="U19" i="2" s="1"/>
  <c r="AF22" i="2"/>
  <c r="AG22" i="2" s="1"/>
  <c r="T32" i="2"/>
  <c r="U32" i="2" s="1"/>
  <c r="T10" i="2"/>
  <c r="U10" i="2" s="1"/>
  <c r="AF85" i="2"/>
  <c r="AG85" i="2" s="1"/>
  <c r="AF79" i="2"/>
  <c r="AG79" i="2" s="1"/>
  <c r="AF23" i="2"/>
  <c r="AG23" i="2" s="1"/>
  <c r="AT27" i="2"/>
  <c r="AU27" i="2" s="1"/>
  <c r="AT63" i="2"/>
  <c r="AU63" i="2" s="1"/>
  <c r="AT32" i="2"/>
  <c r="AU32" i="2" s="1"/>
  <c r="AT60" i="2"/>
  <c r="AU60" i="2" s="1"/>
  <c r="AT72" i="2"/>
  <c r="AU72" i="2" s="1"/>
  <c r="AT49" i="2"/>
  <c r="AU49" i="2" s="1"/>
  <c r="AT31" i="2"/>
  <c r="AU31" i="2" s="1"/>
  <c r="T37" i="2"/>
  <c r="U37" i="2" s="1"/>
  <c r="T66" i="2"/>
  <c r="U66" i="2" s="1"/>
  <c r="T15" i="2"/>
  <c r="U15" i="2" s="1"/>
  <c r="AF8" i="2"/>
  <c r="AG8" i="2" s="1"/>
  <c r="AF47" i="2"/>
  <c r="AG47" i="2" s="1"/>
  <c r="AT17" i="2"/>
  <c r="AU17" i="2" s="1"/>
  <c r="AT52" i="2"/>
  <c r="AU52" i="2" s="1"/>
  <c r="AT28" i="2"/>
  <c r="AU28" i="2" s="1"/>
  <c r="AT48" i="2"/>
  <c r="AU48" i="2" s="1"/>
  <c r="AT89" i="2"/>
  <c r="AU89" i="2" s="1"/>
  <c r="T85" i="2"/>
  <c r="U85" i="2" s="1"/>
  <c r="T65" i="2"/>
  <c r="U65" i="2" s="1"/>
  <c r="AF83" i="2"/>
  <c r="AG83" i="2" s="1"/>
  <c r="AF88" i="2"/>
  <c r="AG88" i="2" s="1"/>
  <c r="AF99" i="2"/>
  <c r="AG99" i="2" s="1"/>
  <c r="AT30" i="2"/>
  <c r="AU30" i="2" s="1"/>
  <c r="AT94" i="2"/>
  <c r="AU94" i="2" s="1"/>
  <c r="AT64" i="2"/>
  <c r="AU64" i="2" s="1"/>
  <c r="AT85" i="2"/>
  <c r="AU85" i="2" s="1"/>
  <c r="T48" i="2"/>
  <c r="U48" i="2" s="1"/>
  <c r="T63" i="2"/>
  <c r="U63" i="2" s="1"/>
  <c r="AF39" i="2"/>
  <c r="AG39" i="2" s="1"/>
  <c r="T23" i="2"/>
  <c r="U23" i="2" s="1"/>
  <c r="AF28" i="2"/>
  <c r="AG28" i="2" s="1"/>
  <c r="AF64" i="2"/>
  <c r="AG64" i="2" s="1"/>
  <c r="T34" i="2"/>
  <c r="U34" i="2" s="1"/>
  <c r="AF46" i="2"/>
  <c r="AG46" i="2" s="1"/>
  <c r="T68" i="2"/>
  <c r="U68" i="2" s="1"/>
  <c r="T78" i="2"/>
  <c r="U78" i="2" s="1"/>
  <c r="AF45" i="2"/>
  <c r="AG45" i="2" s="1"/>
  <c r="AF60" i="2"/>
  <c r="AG60" i="2" s="1"/>
  <c r="AF25" i="2"/>
  <c r="AG25" i="2" s="1"/>
  <c r="AT15" i="2"/>
  <c r="AU15" i="2" s="1"/>
  <c r="AT62" i="2"/>
  <c r="AU62" i="2" s="1"/>
  <c r="AT35" i="2"/>
  <c r="AU35" i="2" s="1"/>
  <c r="AT24" i="2"/>
  <c r="AU24" i="2" s="1"/>
  <c r="AT36" i="2"/>
  <c r="AU36" i="2" s="1"/>
  <c r="AT79" i="2"/>
  <c r="AU79" i="2" s="1"/>
  <c r="AT18" i="2"/>
  <c r="AU18" i="2" s="1"/>
  <c r="AT11" i="2"/>
  <c r="AU11" i="2" s="1"/>
  <c r="V84" i="2"/>
  <c r="W84" i="2" s="1"/>
  <c r="V52" i="2"/>
  <c r="W52" i="2" s="1"/>
  <c r="V70" i="2"/>
  <c r="W70" i="2" s="1"/>
  <c r="T72" i="2"/>
  <c r="U72" i="2" s="1"/>
  <c r="T20" i="2"/>
  <c r="U20" i="2" s="1"/>
  <c r="T59" i="2"/>
  <c r="U59" i="2" s="1"/>
  <c r="T99" i="2"/>
  <c r="U99" i="2" s="1"/>
  <c r="V48" i="2"/>
  <c r="W48" i="2" s="1"/>
  <c r="V77" i="2"/>
  <c r="W77" i="2" s="1"/>
  <c r="V11" i="2"/>
  <c r="W11" i="2" s="1"/>
  <c r="V41" i="2"/>
  <c r="W41" i="2" s="1"/>
  <c r="V59" i="2"/>
  <c r="W59" i="2" s="1"/>
  <c r="V25" i="2"/>
  <c r="W25" i="2" s="1"/>
  <c r="AH51" i="2"/>
  <c r="AI51" i="2" s="1"/>
  <c r="AT81" i="2"/>
  <c r="AU81" i="2" s="1"/>
  <c r="AT47" i="2"/>
  <c r="AU47" i="2" s="1"/>
  <c r="AT91" i="2"/>
  <c r="AU91" i="2" s="1"/>
  <c r="AU99" i="2"/>
  <c r="AT20" i="2"/>
  <c r="AU20" i="2" s="1"/>
  <c r="AT96" i="2"/>
  <c r="AU96" i="2" s="1"/>
  <c r="AT44" i="2"/>
  <c r="AU44" i="2" s="1"/>
  <c r="AT13" i="2"/>
  <c r="AU13" i="2" s="1"/>
  <c r="AT6" i="2"/>
  <c r="AU6" i="2" s="1"/>
  <c r="AT68" i="2"/>
  <c r="AU68" i="2" s="1"/>
  <c r="AT25" i="2"/>
  <c r="AU25" i="2" s="1"/>
  <c r="AT82" i="2"/>
  <c r="AU82" i="2" s="1"/>
  <c r="AT53" i="2"/>
  <c r="AU53" i="2" s="1"/>
  <c r="AT29" i="2"/>
  <c r="AU29" i="2" s="1"/>
  <c r="V7" i="2"/>
  <c r="W7" i="2" s="1"/>
  <c r="V61" i="2"/>
  <c r="W61" i="2" s="1"/>
  <c r="V96" i="2"/>
  <c r="W96" i="2" s="1"/>
  <c r="V29" i="2"/>
  <c r="W29" i="2" s="1"/>
  <c r="V37" i="2"/>
  <c r="W37" i="2" s="1"/>
  <c r="V73" i="2"/>
  <c r="W73" i="2" s="1"/>
  <c r="T91" i="2"/>
  <c r="U91" i="2" s="1"/>
  <c r="T22" i="2"/>
  <c r="U22" i="2" s="1"/>
  <c r="T42" i="2"/>
  <c r="U42" i="2" s="1"/>
  <c r="T17" i="2"/>
  <c r="U17" i="2" s="1"/>
  <c r="T57" i="2"/>
  <c r="U57" i="2" s="1"/>
  <c r="V36" i="2"/>
  <c r="W36" i="2" s="1"/>
  <c r="V31" i="2"/>
  <c r="W31" i="2" s="1"/>
  <c r="V47" i="2"/>
  <c r="W47" i="2" s="1"/>
  <c r="V21" i="2"/>
  <c r="W21" i="2" s="1"/>
  <c r="V16" i="2"/>
  <c r="W16" i="2" s="1"/>
  <c r="V63" i="2"/>
  <c r="W63" i="2" s="1"/>
  <c r="AH54" i="2"/>
  <c r="AI54" i="2" s="1"/>
  <c r="AT76" i="2"/>
  <c r="AU76" i="2" s="1"/>
  <c r="AT75" i="2"/>
  <c r="AU75" i="2" s="1"/>
  <c r="AT23" i="2"/>
  <c r="AU23" i="2" s="1"/>
  <c r="AT83" i="2"/>
  <c r="AU83" i="2" s="1"/>
  <c r="AT33" i="2"/>
  <c r="AU33" i="2" s="1"/>
  <c r="AT46" i="2"/>
  <c r="AU46" i="2" s="1"/>
  <c r="AT26" i="2"/>
  <c r="AU26" i="2" s="1"/>
  <c r="AT58" i="2"/>
  <c r="AU58" i="2" s="1"/>
  <c r="AT66" i="2"/>
  <c r="AU66" i="2" s="1"/>
  <c r="AT78" i="2"/>
  <c r="AU78" i="2" s="1"/>
  <c r="AT70" i="2"/>
  <c r="AU70" i="2" s="1"/>
  <c r="AT7" i="2"/>
  <c r="AU7" i="2" s="1"/>
  <c r="AT54" i="2"/>
  <c r="AU54" i="2" s="1"/>
  <c r="AT21" i="2"/>
  <c r="AU21" i="2" s="1"/>
  <c r="AT45" i="2"/>
  <c r="AU45" i="2" s="1"/>
  <c r="AT39" i="2"/>
  <c r="AU39" i="2" s="1"/>
  <c r="T7" i="2"/>
  <c r="U7" i="2" s="1"/>
  <c r="T74" i="2"/>
  <c r="U74" i="2" s="1"/>
  <c r="T6" i="2"/>
  <c r="U6" i="2" s="1"/>
  <c r="T16" i="2"/>
  <c r="U16" i="2" s="1"/>
  <c r="T21" i="2"/>
  <c r="U21" i="2" s="1"/>
  <c r="V54" i="2"/>
  <c r="W54" i="2" s="1"/>
  <c r="V72" i="2"/>
  <c r="W72" i="2" s="1"/>
  <c r="V10" i="2"/>
  <c r="W10" i="2" s="1"/>
  <c r="V67" i="2"/>
  <c r="W67" i="2" s="1"/>
  <c r="V39" i="2"/>
  <c r="W39" i="2" s="1"/>
  <c r="V34" i="2"/>
  <c r="W34" i="2" s="1"/>
  <c r="V81" i="2"/>
  <c r="W81" i="2" s="1"/>
  <c r="AH94" i="2"/>
  <c r="AI94" i="2" s="1"/>
  <c r="AT14" i="2"/>
  <c r="AU14" i="2" s="1"/>
  <c r="AT86" i="2"/>
  <c r="AU86" i="2" s="1"/>
  <c r="AT55" i="2"/>
  <c r="AU55" i="2" s="1"/>
  <c r="AT61" i="2"/>
  <c r="AU61" i="2" s="1"/>
  <c r="AT88" i="2"/>
  <c r="AU88" i="2" s="1"/>
  <c r="AT16" i="2"/>
  <c r="AU16" i="2" s="1"/>
  <c r="AT3" i="2"/>
  <c r="AU3" i="2" s="1"/>
  <c r="AT50" i="2"/>
  <c r="AU50" i="2" s="1"/>
  <c r="AT19" i="2"/>
  <c r="AU19" i="2" s="1"/>
  <c r="AT12" i="2"/>
  <c r="AU12" i="2" s="1"/>
  <c r="AT8" i="2"/>
  <c r="AU8" i="2" s="1"/>
  <c r="AT90" i="2"/>
  <c r="AU90" i="2" s="1"/>
  <c r="AT71" i="2"/>
  <c r="AU71" i="2" s="1"/>
  <c r="V99" i="2"/>
  <c r="W99" i="2" s="1"/>
  <c r="V28" i="2"/>
  <c r="W28" i="2" s="1"/>
  <c r="V19" i="2"/>
  <c r="W19" i="2" s="1"/>
  <c r="V95" i="2"/>
  <c r="W95" i="2" s="1"/>
  <c r="V35" i="2"/>
  <c r="W35" i="2" s="1"/>
  <c r="V92" i="2"/>
  <c r="W92" i="2" s="1"/>
  <c r="AT9" i="2"/>
  <c r="AU9" i="2" s="1"/>
  <c r="AT57" i="2"/>
  <c r="AU57" i="2" s="1"/>
  <c r="AT73" i="2"/>
  <c r="AU73" i="2" s="1"/>
  <c r="AT5" i="2"/>
  <c r="AU5" i="2" s="1"/>
  <c r="AT74" i="2"/>
  <c r="AU74" i="2" s="1"/>
  <c r="AT98" i="2"/>
  <c r="AU98" i="2" s="1"/>
  <c r="AT95" i="2"/>
  <c r="AU95" i="2" s="1"/>
  <c r="AT56" i="2"/>
  <c r="AU56" i="2" s="1"/>
  <c r="V30" i="2"/>
  <c r="W30" i="2" s="1"/>
  <c r="V55" i="2"/>
  <c r="W55" i="2" s="1"/>
  <c r="V14" i="2"/>
  <c r="W14" i="2" s="1"/>
  <c r="V53" i="2"/>
  <c r="W53" i="2" s="1"/>
  <c r="AT84" i="2"/>
  <c r="AU84" i="2" s="1"/>
  <c r="AT40" i="2"/>
  <c r="AU40" i="2" s="1"/>
  <c r="AT97" i="2"/>
  <c r="AU97" i="2" s="1"/>
  <c r="AT69" i="2"/>
  <c r="AU69" i="2" s="1"/>
  <c r="AT41" i="2"/>
  <c r="AU41" i="2" s="1"/>
  <c r="AT37" i="2"/>
  <c r="AU37" i="2" s="1"/>
  <c r="T31" i="2"/>
  <c r="U31" i="2" s="1"/>
  <c r="T49" i="2"/>
  <c r="U49" i="2" s="1"/>
  <c r="T46" i="2"/>
  <c r="U46" i="2" s="1"/>
  <c r="T80" i="2"/>
  <c r="U80" i="2" s="1"/>
  <c r="T38" i="2"/>
  <c r="U38" i="2" s="1"/>
  <c r="T60" i="2"/>
  <c r="U60" i="2" s="1"/>
  <c r="T12" i="2"/>
  <c r="U12" i="2" s="1"/>
  <c r="T71" i="2"/>
  <c r="U71" i="2" s="1"/>
  <c r="T29" i="2"/>
  <c r="U29" i="2" s="1"/>
  <c r="T64" i="2"/>
  <c r="U64" i="2" s="1"/>
  <c r="T40" i="2"/>
  <c r="U40" i="2" s="1"/>
  <c r="T69" i="2"/>
  <c r="U69" i="2" s="1"/>
  <c r="T27" i="2"/>
  <c r="U27" i="2" s="1"/>
  <c r="AF19" i="2"/>
  <c r="AG19" i="2" s="1"/>
  <c r="AF24" i="2"/>
  <c r="AG24" i="2" s="1"/>
  <c r="AF66" i="2"/>
  <c r="AG66" i="2" s="1"/>
  <c r="AF14" i="2"/>
  <c r="AG14" i="2" s="1"/>
  <c r="AF18" i="2"/>
  <c r="AG18" i="2" s="1"/>
  <c r="AF75" i="2"/>
  <c r="AG75" i="2" s="1"/>
  <c r="AF54" i="2"/>
  <c r="AG54" i="2" s="1"/>
  <c r="AF74" i="2"/>
  <c r="AG74" i="2" s="1"/>
  <c r="AF91" i="2"/>
  <c r="AG91" i="2" s="1"/>
  <c r="AF9" i="2"/>
  <c r="AG9" i="2" s="1"/>
  <c r="AF6" i="2"/>
  <c r="AG6" i="2" s="1"/>
  <c r="AF55" i="2"/>
  <c r="AG55" i="2" s="1"/>
  <c r="AF30" i="2"/>
  <c r="AG30" i="2" s="1"/>
  <c r="AF92" i="2"/>
  <c r="AG92" i="2" s="1"/>
  <c r="AF71" i="2"/>
  <c r="AG71" i="2" s="1"/>
  <c r="AF15" i="2"/>
  <c r="AG15" i="2" s="1"/>
  <c r="V8" i="2"/>
  <c r="W8" i="2" s="1"/>
  <c r="V97" i="2"/>
  <c r="W97" i="2" s="1"/>
  <c r="V76" i="2"/>
  <c r="W76" i="2" s="1"/>
  <c r="V5" i="2"/>
  <c r="W5" i="2" s="1"/>
  <c r="V89" i="2"/>
  <c r="W89" i="2" s="1"/>
  <c r="V17" i="2"/>
  <c r="W17" i="2" s="1"/>
  <c r="V85" i="2"/>
  <c r="W85" i="2" s="1"/>
  <c r="V45" i="2"/>
  <c r="W45" i="2" s="1"/>
  <c r="V32" i="2"/>
  <c r="W32" i="2" s="1"/>
  <c r="AF97" i="2"/>
  <c r="AG97" i="2" s="1"/>
  <c r="AF90" i="2"/>
  <c r="AG90" i="2" s="1"/>
  <c r="AF4" i="2"/>
  <c r="AG4" i="2" s="1"/>
  <c r="AF43" i="2"/>
  <c r="AG43" i="2" s="1"/>
  <c r="AF84" i="2"/>
  <c r="AG84" i="2" s="1"/>
  <c r="AF95" i="2"/>
  <c r="AG95" i="2" s="1"/>
  <c r="AF12" i="2"/>
  <c r="AG12" i="2" s="1"/>
  <c r="AF48" i="2"/>
  <c r="AG48" i="2" s="1"/>
  <c r="AF86" i="2"/>
  <c r="AG86" i="2" s="1"/>
  <c r="AF63" i="2"/>
  <c r="AG63" i="2" s="1"/>
  <c r="AF40" i="2"/>
  <c r="AG40" i="2" s="1"/>
  <c r="AF44" i="2"/>
  <c r="AG44" i="2" s="1"/>
  <c r="AF51" i="2"/>
  <c r="AG51" i="2" s="1"/>
  <c r="AF70" i="2"/>
  <c r="AG70" i="2" s="1"/>
  <c r="AF67" i="2"/>
  <c r="AG67" i="2" s="1"/>
  <c r="AF42" i="2"/>
  <c r="AG42" i="2" s="1"/>
  <c r="AR14" i="2"/>
  <c r="AS14" i="2" s="1"/>
  <c r="AR26" i="2"/>
  <c r="AS26" i="2" s="1"/>
  <c r="AR36" i="2"/>
  <c r="AS36" i="2" s="1"/>
  <c r="AR44" i="2"/>
  <c r="AS44" i="2" s="1"/>
  <c r="AR54" i="2"/>
  <c r="AS54" i="2" s="1"/>
  <c r="AR62" i="2"/>
  <c r="AS62" i="2" s="1"/>
  <c r="AR72" i="2"/>
  <c r="AS72" i="2" s="1"/>
  <c r="AR80" i="2"/>
  <c r="AS80" i="2" s="1"/>
  <c r="AR90" i="2"/>
  <c r="AS90" i="2" s="1"/>
  <c r="AR98" i="2"/>
  <c r="AS98" i="2" s="1"/>
  <c r="AR6" i="2"/>
  <c r="AS6" i="2" s="1"/>
  <c r="AR18" i="2"/>
  <c r="AS18" i="2" s="1"/>
  <c r="AR28" i="2"/>
  <c r="AS28" i="2" s="1"/>
  <c r="AR37" i="2"/>
  <c r="AS37" i="2" s="1"/>
  <c r="AR46" i="2"/>
  <c r="AS46" i="2" s="1"/>
  <c r="AR55" i="2"/>
  <c r="AS55" i="2" s="1"/>
  <c r="AR64" i="2"/>
  <c r="AS64" i="2" s="1"/>
  <c r="AR73" i="2"/>
  <c r="AS73" i="2" s="1"/>
  <c r="AR82" i="2"/>
  <c r="AS82" i="2" s="1"/>
  <c r="AR91" i="2"/>
  <c r="AS91" i="2" s="1"/>
  <c r="AR3" i="2"/>
  <c r="AS3" i="2" s="1"/>
  <c r="AR7" i="2"/>
  <c r="AS7" i="2" s="1"/>
  <c r="AR19" i="2"/>
  <c r="AS19" i="2" s="1"/>
  <c r="AR30" i="2"/>
  <c r="AS30" i="2" s="1"/>
  <c r="AR38" i="2"/>
  <c r="AS38" i="2" s="1"/>
  <c r="AR48" i="2"/>
  <c r="AS48" i="2" s="1"/>
  <c r="AR56" i="2"/>
  <c r="AS56" i="2" s="1"/>
  <c r="AR66" i="2"/>
  <c r="AS66" i="2" s="1"/>
  <c r="AR74" i="2"/>
  <c r="AS74" i="2" s="1"/>
  <c r="AR84" i="2"/>
  <c r="AS84" i="2" s="1"/>
  <c r="AR92" i="2"/>
  <c r="AS92" i="2" s="1"/>
  <c r="AR8" i="2"/>
  <c r="AS8" i="2" s="1"/>
  <c r="AR20" i="2"/>
  <c r="AS20" i="2" s="1"/>
  <c r="AR31" i="2"/>
  <c r="AS31" i="2" s="1"/>
  <c r="AR40" i="2"/>
  <c r="AS40" i="2" s="1"/>
  <c r="AR49" i="2"/>
  <c r="AS49" i="2" s="1"/>
  <c r="AR58" i="2"/>
  <c r="AS58" i="2" s="1"/>
  <c r="AR67" i="2"/>
  <c r="AS67" i="2" s="1"/>
  <c r="AR76" i="2"/>
  <c r="AS76" i="2" s="1"/>
  <c r="AR85" i="2"/>
  <c r="AS85" i="2" s="1"/>
  <c r="AR94" i="2"/>
  <c r="AS94" i="2" s="1"/>
  <c r="AR12" i="2"/>
  <c r="AS12" i="2" s="1"/>
  <c r="AR24" i="2"/>
  <c r="AS24" i="2" s="1"/>
  <c r="AR32" i="2"/>
  <c r="AS32" i="2" s="1"/>
  <c r="AR60" i="2"/>
  <c r="AS60" i="2" s="1"/>
  <c r="AR86" i="2"/>
  <c r="AS86" i="2" s="1"/>
  <c r="AR34" i="2"/>
  <c r="AS34" i="2" s="1"/>
  <c r="AR61" i="2"/>
  <c r="AS61" i="2" s="1"/>
  <c r="AR88" i="2"/>
  <c r="AS88" i="2" s="1"/>
  <c r="AR42" i="2"/>
  <c r="AS42" i="2" s="1"/>
  <c r="AR68" i="2"/>
  <c r="AS68" i="2" s="1"/>
  <c r="AR96" i="2"/>
  <c r="AS96" i="2" s="1"/>
  <c r="AR43" i="2"/>
  <c r="AS43" i="2" s="1"/>
  <c r="AR70" i="2"/>
  <c r="AS70" i="2" s="1"/>
  <c r="AR97" i="2"/>
  <c r="AS97" i="2" s="1"/>
  <c r="AR13" i="2"/>
  <c r="AS13" i="2" s="1"/>
  <c r="AR50" i="2"/>
  <c r="AS50" i="2" s="1"/>
  <c r="AR78" i="2"/>
  <c r="AS78" i="2" s="1"/>
  <c r="AR25" i="2"/>
  <c r="AS25" i="2" s="1"/>
  <c r="AR52" i="2"/>
  <c r="AS52" i="2" s="1"/>
  <c r="AR79" i="2"/>
  <c r="AS79" i="2" s="1"/>
  <c r="AR99" i="2"/>
  <c r="AS99" i="2" s="1"/>
  <c r="AR63" i="2"/>
  <c r="AS63" i="2" s="1"/>
  <c r="AR27" i="2"/>
  <c r="AS27" i="2" s="1"/>
  <c r="AR83" i="2"/>
  <c r="AS83" i="2" s="1"/>
  <c r="AR47" i="2"/>
  <c r="AS47" i="2" s="1"/>
  <c r="AR11" i="2"/>
  <c r="AS11" i="2" s="1"/>
  <c r="AR5" i="2"/>
  <c r="AS5" i="2" s="1"/>
  <c r="AR93" i="2"/>
  <c r="AS93" i="2" s="1"/>
  <c r="AR57" i="2"/>
  <c r="AS57" i="2" s="1"/>
  <c r="AR21" i="2"/>
  <c r="AS21" i="2" s="1"/>
  <c r="AR77" i="2"/>
  <c r="AS77" i="2" s="1"/>
  <c r="AR41" i="2"/>
  <c r="AS41" i="2" s="1"/>
  <c r="AR22" i="2"/>
  <c r="AS22" i="2" s="1"/>
  <c r="AR87" i="2"/>
  <c r="AS87" i="2" s="1"/>
  <c r="AR51" i="2"/>
  <c r="AS51" i="2" s="1"/>
  <c r="AR15" i="2"/>
  <c r="AS15" i="2" s="1"/>
  <c r="AR71" i="2"/>
  <c r="AS71" i="2" s="1"/>
  <c r="AR35" i="2"/>
  <c r="AS35" i="2" s="1"/>
  <c r="AR16" i="2"/>
  <c r="AS16" i="2" s="1"/>
  <c r="AR81" i="2"/>
  <c r="AS81" i="2" s="1"/>
  <c r="AR45" i="2"/>
  <c r="AS45" i="2" s="1"/>
  <c r="AR9" i="2"/>
  <c r="AS9" i="2" s="1"/>
  <c r="AR65" i="2"/>
  <c r="AS65" i="2" s="1"/>
  <c r="AR29" i="2"/>
  <c r="AS29" i="2" s="1"/>
  <c r="AR10" i="2"/>
  <c r="AS10" i="2" s="1"/>
  <c r="AR75" i="2"/>
  <c r="AS75" i="2" s="1"/>
  <c r="AR39" i="2"/>
  <c r="AS39" i="2" s="1"/>
  <c r="AR95" i="2"/>
  <c r="AS95" i="2" s="1"/>
  <c r="AR59" i="2"/>
  <c r="AS59" i="2" s="1"/>
  <c r="AR23" i="2"/>
  <c r="AS23" i="2" s="1"/>
  <c r="AR4" i="2"/>
  <c r="AS4" i="2" s="1"/>
  <c r="AR69" i="2"/>
  <c r="AS69" i="2" s="1"/>
  <c r="AR33" i="2"/>
  <c r="AS33" i="2" s="1"/>
  <c r="AR89" i="2"/>
  <c r="AS89" i="2" s="1"/>
  <c r="AR53" i="2"/>
  <c r="AS53" i="2" s="1"/>
  <c r="AR17" i="2"/>
  <c r="AS17" i="2" s="1"/>
  <c r="T25" i="2"/>
  <c r="U25" i="2" s="1"/>
  <c r="T73" i="2"/>
  <c r="U73" i="2" s="1"/>
  <c r="T94" i="2"/>
  <c r="U94" i="2" s="1"/>
  <c r="T4" i="2"/>
  <c r="U4" i="2" s="1"/>
  <c r="T56" i="2"/>
  <c r="U56" i="2" s="1"/>
  <c r="T14" i="2"/>
  <c r="U14" i="2" s="1"/>
  <c r="T36" i="2"/>
  <c r="U36" i="2" s="1"/>
  <c r="T95" i="2"/>
  <c r="U95" i="2" s="1"/>
  <c r="T53" i="2"/>
  <c r="U53" i="2" s="1"/>
  <c r="T5" i="2"/>
  <c r="U5" i="2" s="1"/>
  <c r="T88" i="2"/>
  <c r="U88" i="2" s="1"/>
  <c r="T93" i="2"/>
  <c r="U93" i="2" s="1"/>
  <c r="T51" i="2"/>
  <c r="U51" i="2" s="1"/>
  <c r="T9" i="2"/>
  <c r="U9" i="2" s="1"/>
  <c r="AF13" i="2"/>
  <c r="AG13" i="2" s="1"/>
  <c r="AF94" i="2"/>
  <c r="AG94" i="2" s="1"/>
  <c r="AF81" i="2"/>
  <c r="AG81" i="2" s="1"/>
  <c r="AF80" i="2"/>
  <c r="AG80" i="2" s="1"/>
  <c r="AF52" i="2"/>
  <c r="AG52" i="2" s="1"/>
  <c r="AF73" i="2"/>
  <c r="AG73" i="2" s="1"/>
  <c r="AF10" i="2"/>
  <c r="AG10" i="2" s="1"/>
  <c r="AF27" i="2"/>
  <c r="AG27" i="2" s="1"/>
  <c r="AF41" i="2"/>
  <c r="AG41" i="2" s="1"/>
  <c r="AF61" i="2"/>
  <c r="AG61" i="2" s="1"/>
  <c r="AF93" i="2"/>
  <c r="AG93" i="2" s="1"/>
  <c r="AF100" i="2"/>
  <c r="AG100" i="2" s="1"/>
  <c r="AF49" i="2"/>
  <c r="AG49" i="2" s="1"/>
  <c r="AF78" i="2"/>
  <c r="AG78" i="2" s="1"/>
  <c r="AF38" i="2"/>
  <c r="AG38" i="2" s="1"/>
  <c r="AF76" i="2"/>
  <c r="AG76" i="2" s="1"/>
  <c r="V60" i="2"/>
  <c r="W60" i="2" s="1"/>
  <c r="V66" i="2"/>
  <c r="W66" i="2" s="1"/>
  <c r="V24" i="2"/>
  <c r="W24" i="2" s="1"/>
  <c r="V51" i="2"/>
  <c r="W51" i="2" s="1"/>
  <c r="V65" i="2"/>
  <c r="W65" i="2" s="1"/>
  <c r="V20" i="2"/>
  <c r="W20" i="2" s="1"/>
  <c r="V62" i="2"/>
  <c r="W62" i="2" s="1"/>
  <c r="V57" i="2"/>
  <c r="W57" i="2" s="1"/>
  <c r="V74" i="2"/>
  <c r="W74" i="2" s="1"/>
  <c r="V91" i="2"/>
  <c r="W91" i="2" s="1"/>
  <c r="V58" i="2"/>
  <c r="W58" i="2" s="1"/>
  <c r="V71" i="2"/>
  <c r="W71" i="2" s="1"/>
  <c r="V44" i="2"/>
  <c r="W44" i="2" s="1"/>
  <c r="V46" i="2"/>
  <c r="W46" i="2" s="1"/>
  <c r="V88" i="2"/>
  <c r="W88" i="2" s="1"/>
  <c r="T61" i="2"/>
  <c r="U61" i="2" s="1"/>
  <c r="T43" i="2"/>
  <c r="U43" i="2" s="1"/>
  <c r="T82" i="2"/>
  <c r="U82" i="2" s="1"/>
  <c r="T92" i="2"/>
  <c r="U92" i="2" s="1"/>
  <c r="T50" i="2"/>
  <c r="U50" i="2" s="1"/>
  <c r="T8" i="2"/>
  <c r="U8" i="2" s="1"/>
  <c r="T30" i="2"/>
  <c r="U30" i="2" s="1"/>
  <c r="T89" i="2"/>
  <c r="U89" i="2" s="1"/>
  <c r="T41" i="2"/>
  <c r="U41" i="2" s="1"/>
  <c r="T96" i="2"/>
  <c r="U96" i="2" s="1"/>
  <c r="T70" i="2"/>
  <c r="U70" i="2" s="1"/>
  <c r="T87" i="2"/>
  <c r="U87" i="2" s="1"/>
  <c r="T45" i="2"/>
  <c r="U45" i="2" s="1"/>
  <c r="AF69" i="2"/>
  <c r="AG69" i="2" s="1"/>
  <c r="AF62" i="2"/>
  <c r="AG62" i="2" s="1"/>
  <c r="AF29" i="2"/>
  <c r="AG29" i="2" s="1"/>
  <c r="AF77" i="2"/>
  <c r="AG77" i="2" s="1"/>
  <c r="AF68" i="2"/>
  <c r="AG68" i="2" s="1"/>
  <c r="AF82" i="2"/>
  <c r="AG82" i="2" s="1"/>
  <c r="AF7" i="2"/>
  <c r="AG7" i="2" s="1"/>
  <c r="AF17" i="2"/>
  <c r="AG17" i="2" s="1"/>
  <c r="AF87" i="2"/>
  <c r="AG87" i="2" s="1"/>
  <c r="AF35" i="2"/>
  <c r="AG35" i="2" s="1"/>
  <c r="AF50" i="2"/>
  <c r="AG50" i="2" s="1"/>
  <c r="AF31" i="2"/>
  <c r="AG31" i="2" s="1"/>
  <c r="AF58" i="2"/>
  <c r="AG58" i="2" s="1"/>
  <c r="AF53" i="2"/>
  <c r="AG53" i="2" s="1"/>
  <c r="AF36" i="2"/>
  <c r="AG36" i="2" s="1"/>
  <c r="V90" i="2"/>
  <c r="W90" i="2" s="1"/>
  <c r="V18" i="2"/>
  <c r="W18" i="2" s="1"/>
  <c r="V4" i="2"/>
  <c r="W4" i="2" s="1"/>
  <c r="V82" i="2"/>
  <c r="W82" i="2" s="1"/>
  <c r="V64" i="2"/>
  <c r="W64" i="2" s="1"/>
  <c r="V26" i="2"/>
  <c r="W26" i="2" s="1"/>
  <c r="V83" i="2"/>
  <c r="W83" i="2" s="1"/>
  <c r="V80" i="2"/>
  <c r="W80" i="2" s="1"/>
  <c r="V33" i="2"/>
  <c r="W33" i="2" s="1"/>
  <c r="V75" i="2"/>
  <c r="W75" i="2" s="1"/>
  <c r="V40" i="2"/>
  <c r="W40" i="2" s="1"/>
  <c r="V15" i="2"/>
  <c r="W15" i="2" s="1"/>
  <c r="V38" i="2"/>
  <c r="W38" i="2" s="1"/>
  <c r="V13" i="2"/>
  <c r="W13" i="2" s="1"/>
  <c r="V98" i="2"/>
  <c r="W98" i="2" s="1"/>
  <c r="V94" i="2"/>
  <c r="W94" i="2" s="1"/>
  <c r="V6" i="2"/>
  <c r="W6" i="2" s="1"/>
  <c r="AF3" i="2"/>
  <c r="AG3" i="2" s="1"/>
  <c r="T97" i="2"/>
  <c r="U97" i="2" s="1"/>
  <c r="T79" i="2"/>
  <c r="U79" i="2" s="1"/>
  <c r="T58" i="2"/>
  <c r="U58" i="2" s="1"/>
  <c r="T86" i="2"/>
  <c r="U86" i="2" s="1"/>
  <c r="T44" i="2"/>
  <c r="U44" i="2" s="1"/>
  <c r="T84" i="2"/>
  <c r="U84" i="2" s="1"/>
  <c r="T24" i="2"/>
  <c r="U24" i="2" s="1"/>
  <c r="T77" i="2"/>
  <c r="U77" i="2" s="1"/>
  <c r="T35" i="2"/>
  <c r="U35" i="2" s="1"/>
  <c r="T3" i="2"/>
  <c r="U3" i="2" s="1"/>
  <c r="T52" i="2"/>
  <c r="U52" i="2" s="1"/>
  <c r="T81" i="2"/>
  <c r="U81" i="2" s="1"/>
  <c r="T33" i="2"/>
  <c r="U33" i="2" s="1"/>
  <c r="AF65" i="2"/>
  <c r="AG65" i="2" s="1"/>
  <c r="AF56" i="2"/>
  <c r="AG56" i="2" s="1"/>
  <c r="AF5" i="2"/>
  <c r="AG5" i="2" s="1"/>
  <c r="AF37" i="2"/>
  <c r="AG37" i="2" s="1"/>
  <c r="AF11" i="2"/>
  <c r="AG11" i="2" s="1"/>
  <c r="AF59" i="2"/>
  <c r="AG59" i="2" s="1"/>
  <c r="AF96" i="2"/>
  <c r="AG96" i="2" s="1"/>
  <c r="AF89" i="2"/>
  <c r="AG89" i="2" s="1"/>
  <c r="AF26" i="2"/>
  <c r="AG26" i="2" s="1"/>
  <c r="AF16" i="2"/>
  <c r="AG16" i="2" s="1"/>
  <c r="AF21" i="2"/>
  <c r="AG21" i="2" s="1"/>
  <c r="AF32" i="2"/>
  <c r="AG32" i="2" s="1"/>
  <c r="AF72" i="2"/>
  <c r="AG72" i="2" s="1"/>
  <c r="AF20" i="2"/>
  <c r="AG20" i="2" s="1"/>
  <c r="AF57" i="2"/>
  <c r="AG57" i="2" s="1"/>
  <c r="AF34" i="2"/>
  <c r="AG34" i="2" s="1"/>
  <c r="V42" i="2"/>
  <c r="W42" i="2" s="1"/>
  <c r="V12" i="2"/>
  <c r="W12" i="2" s="1"/>
  <c r="V9" i="2"/>
  <c r="W9" i="2" s="1"/>
  <c r="V23" i="2"/>
  <c r="W23" i="2" s="1"/>
  <c r="V50" i="2"/>
  <c r="W50" i="2" s="1"/>
  <c r="V68" i="2"/>
  <c r="W68" i="2" s="1"/>
  <c r="V43" i="2"/>
  <c r="W43" i="2" s="1"/>
  <c r="V22" i="2"/>
  <c r="W22" i="2" s="1"/>
  <c r="V87" i="2"/>
  <c r="W87" i="2" s="1"/>
  <c r="V93" i="2"/>
  <c r="W93" i="2" s="1"/>
  <c r="V56" i="2"/>
  <c r="W56" i="2" s="1"/>
  <c r="V69" i="2"/>
  <c r="W69" i="2" s="1"/>
  <c r="V86" i="2"/>
  <c r="W86" i="2" s="1"/>
  <c r="V49" i="2"/>
  <c r="W49" i="2" s="1"/>
  <c r="V27" i="2"/>
  <c r="W27" i="2" s="1"/>
  <c r="V79" i="2"/>
  <c r="W79" i="2" s="1"/>
  <c r="V78" i="2"/>
  <c r="W78" i="2" s="1"/>
  <c r="AH34" i="2"/>
  <c r="AI34" i="2" s="1"/>
  <c r="AH37" i="2"/>
  <c r="AI37" i="2" s="1"/>
  <c r="AH32" i="2"/>
  <c r="AI32" i="2" s="1"/>
  <c r="AH4" i="2"/>
  <c r="AI4" i="2" s="1"/>
  <c r="AF33" i="2"/>
  <c r="AG33" i="2" s="1"/>
  <c r="AH19" i="2"/>
  <c r="AI19" i="2" s="1"/>
  <c r="AH80" i="2"/>
  <c r="AI80" i="2" s="1"/>
  <c r="AH36" i="2"/>
  <c r="AI36" i="2" s="1"/>
  <c r="AH24" i="2"/>
  <c r="AI24" i="2" s="1"/>
  <c r="AH95" i="2"/>
  <c r="AI95" i="2" s="1"/>
  <c r="AH5" i="2"/>
  <c r="AI5" i="2" s="1"/>
  <c r="AH74" i="2"/>
  <c r="AI74" i="2" s="1"/>
  <c r="AH12" i="2"/>
  <c r="AI12" i="2" s="1"/>
  <c r="AH72" i="2"/>
  <c r="AI72" i="2" s="1"/>
  <c r="AH44" i="2"/>
  <c r="AI44" i="2" s="1"/>
  <c r="AH92" i="2"/>
  <c r="AI92" i="2" s="1"/>
  <c r="AH66" i="2"/>
  <c r="AI66" i="2" s="1"/>
  <c r="AH61" i="2"/>
  <c r="AI61" i="2" s="1"/>
  <c r="AH67" i="2"/>
  <c r="AI67" i="2" s="1"/>
  <c r="AH53" i="2"/>
  <c r="AI53" i="2" s="1"/>
  <c r="AH11" i="2"/>
  <c r="AI11" i="2" s="1"/>
  <c r="AH28" i="2"/>
  <c r="AI28" i="2" s="1"/>
  <c r="AH40" i="2"/>
  <c r="AI40" i="2" s="1"/>
  <c r="AH97" i="2"/>
  <c r="AI97" i="2" s="1"/>
  <c r="AH63" i="2"/>
  <c r="AI63" i="2" s="1"/>
  <c r="AH29" i="2"/>
  <c r="AI29" i="2" s="1"/>
  <c r="AH30" i="2"/>
  <c r="AI30" i="2" s="1"/>
  <c r="AH50" i="2"/>
  <c r="AI50" i="2" s="1"/>
  <c r="AH13" i="2"/>
  <c r="AI13" i="2" s="1"/>
  <c r="AH18" i="2"/>
  <c r="AI18" i="2" s="1"/>
  <c r="AH25" i="2"/>
  <c r="AI25" i="2" s="1"/>
  <c r="AH62" i="2"/>
  <c r="AI62" i="2" s="1"/>
  <c r="AH31" i="2"/>
  <c r="AI31" i="2" s="1"/>
  <c r="AH33" i="2"/>
  <c r="AI33" i="2" s="1"/>
  <c r="AH77" i="2"/>
  <c r="AI77" i="2" s="1"/>
  <c r="AH43" i="2"/>
  <c r="AI43" i="2" s="1"/>
  <c r="AH52" i="2"/>
  <c r="AI52" i="2" s="1"/>
  <c r="AH16" i="2"/>
  <c r="AI16" i="2" s="1"/>
  <c r="AH100" i="2"/>
  <c r="AI100" i="2" s="1"/>
  <c r="AH99" i="2"/>
  <c r="AI99" i="2" s="1"/>
  <c r="AH59" i="2"/>
  <c r="AI59" i="2" s="1"/>
  <c r="AH65" i="2"/>
  <c r="AI65" i="2" s="1"/>
  <c r="AH41" i="2"/>
  <c r="AI41" i="2" s="1"/>
  <c r="AH73" i="2"/>
  <c r="AI73" i="2" s="1"/>
  <c r="AH85" i="2"/>
  <c r="AI85" i="2" s="1"/>
  <c r="AH48" i="2"/>
  <c r="AI48" i="2" s="1"/>
  <c r="AH22" i="2"/>
  <c r="AI22" i="2" s="1"/>
  <c r="AH90" i="2"/>
  <c r="AI90" i="2" s="1"/>
  <c r="AH64" i="2"/>
  <c r="AI64" i="2" s="1"/>
  <c r="AH78" i="2"/>
  <c r="AI78" i="2" s="1"/>
  <c r="AH76" i="2"/>
  <c r="AI76" i="2" s="1"/>
  <c r="AH81" i="2"/>
  <c r="AI81" i="2" s="1"/>
  <c r="AH69" i="2"/>
  <c r="AI69" i="2" s="1"/>
  <c r="AH57" i="2"/>
  <c r="AI57" i="2" s="1"/>
  <c r="AH89" i="2"/>
  <c r="AI89" i="2" s="1"/>
  <c r="AH58" i="2"/>
  <c r="AI58" i="2" s="1"/>
  <c r="AH8" i="2"/>
  <c r="AI8" i="2" s="1"/>
  <c r="AH84" i="2"/>
  <c r="AI84" i="2" s="1"/>
  <c r="AH82" i="2"/>
  <c r="AI82" i="2" s="1"/>
  <c r="AH70" i="2"/>
  <c r="AI70" i="2" s="1"/>
  <c r="AH14" i="2"/>
  <c r="AI14" i="2" s="1"/>
  <c r="AH96" i="2"/>
  <c r="AI96" i="2" s="1"/>
  <c r="AH88" i="2"/>
  <c r="AI88" i="2" s="1"/>
  <c r="AH9" i="2"/>
  <c r="AI9" i="2" s="1"/>
  <c r="AH46" i="2"/>
  <c r="AI46" i="2" s="1"/>
  <c r="AH60" i="2"/>
  <c r="AI60" i="2" s="1"/>
  <c r="AH79" i="2"/>
  <c r="AI79" i="2" s="1"/>
  <c r="AH98" i="2"/>
  <c r="AI98" i="2" s="1"/>
  <c r="AH27" i="2"/>
  <c r="AI27" i="2" s="1"/>
  <c r="AH45" i="2"/>
  <c r="AI45" i="2" s="1"/>
  <c r="AH71" i="2"/>
  <c r="AI71" i="2" s="1"/>
  <c r="AH91" i="2"/>
  <c r="AI91" i="2" s="1"/>
  <c r="AH20" i="2"/>
  <c r="AI20" i="2" s="1"/>
  <c r="AH38" i="2"/>
  <c r="AI38" i="2" s="1"/>
  <c r="AH6" i="2"/>
  <c r="AI6" i="2" s="1"/>
  <c r="AH7" i="2"/>
  <c r="AI7" i="2" s="1"/>
  <c r="AH26" i="2"/>
  <c r="AI26" i="2" s="1"/>
  <c r="AH3" i="2"/>
  <c r="AI3" i="2" s="1"/>
  <c r="AH75" i="2"/>
  <c r="AI75" i="2" s="1"/>
  <c r="AH56" i="2"/>
  <c r="AI56" i="2" s="1"/>
  <c r="AH21" i="2"/>
  <c r="AI21" i="2" s="1"/>
  <c r="AH93" i="2"/>
  <c r="AI93" i="2" s="1"/>
  <c r="AH23" i="2"/>
  <c r="AI23" i="2" s="1"/>
  <c r="AH83" i="2"/>
  <c r="AI83" i="2" s="1"/>
  <c r="AH55" i="2"/>
  <c r="AI55" i="2" s="1"/>
  <c r="AH47" i="2"/>
  <c r="AI47" i="2" s="1"/>
  <c r="AH35" i="2"/>
  <c r="AI35" i="2" s="1"/>
  <c r="AH17" i="2"/>
  <c r="AI17" i="2" s="1"/>
  <c r="AH86" i="2"/>
  <c r="AI86" i="2" s="1"/>
  <c r="AH42" i="2"/>
  <c r="AI42" i="2" s="1"/>
  <c r="AH49" i="2"/>
  <c r="AI49" i="2" s="1"/>
  <c r="AH68" i="2"/>
  <c r="AI68" i="2" s="1"/>
  <c r="AH39" i="2"/>
  <c r="AI39" i="2" s="1"/>
  <c r="AH15" i="2"/>
  <c r="AI15" i="2" s="1"/>
  <c r="G76" i="2"/>
  <c r="T55" i="2"/>
  <c r="U55" i="2" s="1"/>
  <c r="T67" i="2"/>
  <c r="U67" i="2" s="1"/>
  <c r="T13" i="2"/>
  <c r="U13" i="2" s="1"/>
  <c r="T76" i="2"/>
  <c r="U76" i="2" s="1"/>
  <c r="T98" i="2"/>
  <c r="U98" i="2" s="1"/>
  <c r="T62" i="2"/>
  <c r="U62" i="2" s="1"/>
  <c r="T26" i="2"/>
  <c r="U26" i="2" s="1"/>
  <c r="T54" i="2"/>
  <c r="U54" i="2" s="1"/>
  <c r="T18" i="2"/>
  <c r="U18" i="2" s="1"/>
  <c r="T83" i="2"/>
  <c r="U83" i="2" s="1"/>
  <c r="T47" i="2"/>
  <c r="U47" i="2" s="1"/>
  <c r="T11" i="2"/>
  <c r="U11" i="2" s="1"/>
  <c r="T90" i="2"/>
  <c r="U90" i="2" s="1"/>
  <c r="T28" i="2"/>
  <c r="U28" i="2" s="1"/>
  <c r="T75" i="2"/>
  <c r="U75" i="2" s="1"/>
  <c r="G94" i="2"/>
  <c r="G3" i="2"/>
  <c r="F93" i="2"/>
  <c r="G93" i="2" s="1"/>
  <c r="F87" i="2"/>
  <c r="G87" i="2" s="1"/>
  <c r="F81" i="2"/>
  <c r="G81" i="2" s="1"/>
  <c r="F69" i="2"/>
  <c r="G69" i="2" s="1"/>
  <c r="F63" i="2"/>
  <c r="G63" i="2" s="1"/>
  <c r="F57" i="2"/>
  <c r="G57" i="2" s="1"/>
  <c r="F51" i="2"/>
  <c r="G51" i="2" s="1"/>
  <c r="F45" i="2"/>
  <c r="G45" i="2" s="1"/>
  <c r="F39" i="2"/>
  <c r="G39" i="2" s="1"/>
  <c r="F33" i="2"/>
  <c r="G33" i="2" s="1"/>
  <c r="F27" i="2"/>
  <c r="G27" i="2" s="1"/>
  <c r="F21" i="2"/>
  <c r="G21" i="2" s="1"/>
  <c r="F75" i="2"/>
  <c r="G75" i="2" s="1"/>
  <c r="K97" i="2" l="1"/>
  <c r="K96" i="2"/>
  <c r="D1" i="2"/>
  <c r="G1" i="2"/>
  <c r="J76" i="2" l="1"/>
  <c r="K76" i="2" s="1"/>
  <c r="J94" i="2"/>
  <c r="K94" i="2" s="1"/>
  <c r="J7" i="2"/>
  <c r="J13" i="2"/>
  <c r="J19" i="2"/>
  <c r="K19" i="2" s="1"/>
  <c r="J25" i="2"/>
  <c r="K25" i="2" s="1"/>
  <c r="J31" i="2"/>
  <c r="K31" i="2" s="1"/>
  <c r="J37" i="2"/>
  <c r="K37" i="2" s="1"/>
  <c r="J43" i="2"/>
  <c r="K43" i="2" s="1"/>
  <c r="J49" i="2"/>
  <c r="K49" i="2" s="1"/>
  <c r="J55" i="2"/>
  <c r="K55" i="2" s="1"/>
  <c r="J61" i="2"/>
  <c r="K61" i="2" s="1"/>
  <c r="J67" i="2"/>
  <c r="K67" i="2" s="1"/>
  <c r="J73" i="2"/>
  <c r="K73" i="2" s="1"/>
  <c r="J79" i="2"/>
  <c r="K79" i="2" s="1"/>
  <c r="J85" i="2"/>
  <c r="K85" i="2" s="1"/>
  <c r="J91" i="2"/>
  <c r="K91" i="2" s="1"/>
  <c r="J8" i="2"/>
  <c r="K8" i="2" s="1"/>
  <c r="J14" i="2"/>
  <c r="J20" i="2"/>
  <c r="K20" i="2" s="1"/>
  <c r="J26" i="2"/>
  <c r="K26" i="2" s="1"/>
  <c r="J32" i="2"/>
  <c r="K32" i="2" s="1"/>
  <c r="J38" i="2"/>
  <c r="K38" i="2" s="1"/>
  <c r="J44" i="2"/>
  <c r="K44" i="2" s="1"/>
  <c r="J50" i="2"/>
  <c r="K50" i="2" s="1"/>
  <c r="J68" i="2"/>
  <c r="K68" i="2" s="1"/>
  <c r="J80" i="2"/>
  <c r="K80" i="2" s="1"/>
  <c r="J9" i="2"/>
  <c r="K9" i="2" s="1"/>
  <c r="J15" i="2"/>
  <c r="K15" i="2" s="1"/>
  <c r="J21" i="2"/>
  <c r="K21" i="2" s="1"/>
  <c r="J27" i="2"/>
  <c r="K27" i="2" s="1"/>
  <c r="J33" i="2"/>
  <c r="K33" i="2" s="1"/>
  <c r="J39" i="2"/>
  <c r="K39" i="2" s="1"/>
  <c r="J45" i="2"/>
  <c r="K45" i="2" s="1"/>
  <c r="J51" i="2"/>
  <c r="K51" i="2" s="1"/>
  <c r="J57" i="2"/>
  <c r="K57" i="2" s="1"/>
  <c r="J63" i="2"/>
  <c r="K63" i="2" s="1"/>
  <c r="J69" i="2"/>
  <c r="K69" i="2" s="1"/>
  <c r="J75" i="2"/>
  <c r="K75" i="2" s="1"/>
  <c r="J81" i="2"/>
  <c r="K81" i="2" s="1"/>
  <c r="J87" i="2"/>
  <c r="K87" i="2" s="1"/>
  <c r="J93" i="2"/>
  <c r="K93" i="2" s="1"/>
  <c r="J6" i="2"/>
  <c r="K6" i="2" s="1"/>
  <c r="J24" i="2"/>
  <c r="K24" i="2" s="1"/>
  <c r="J42" i="2"/>
  <c r="K42" i="2" s="1"/>
  <c r="J60" i="2"/>
  <c r="K60" i="2" s="1"/>
  <c r="J84" i="2"/>
  <c r="K84" i="2" s="1"/>
  <c r="J56" i="2"/>
  <c r="K56" i="2" s="1"/>
  <c r="J74" i="2"/>
  <c r="K74" i="2" s="1"/>
  <c r="J92" i="2"/>
  <c r="K92" i="2" s="1"/>
  <c r="J4" i="2"/>
  <c r="K4" i="2" s="1"/>
  <c r="J10" i="2"/>
  <c r="K10" i="2" s="1"/>
  <c r="J16" i="2"/>
  <c r="K16" i="2" s="1"/>
  <c r="J22" i="2"/>
  <c r="K22" i="2" s="1"/>
  <c r="J28" i="2"/>
  <c r="K28" i="2" s="1"/>
  <c r="J34" i="2"/>
  <c r="K34" i="2" s="1"/>
  <c r="J40" i="2"/>
  <c r="K40" i="2" s="1"/>
  <c r="J46" i="2"/>
  <c r="K46" i="2" s="1"/>
  <c r="J52" i="2"/>
  <c r="K52" i="2" s="1"/>
  <c r="J58" i="2"/>
  <c r="K58" i="2" s="1"/>
  <c r="J64" i="2"/>
  <c r="K64" i="2" s="1"/>
  <c r="J70" i="2"/>
  <c r="K70" i="2" s="1"/>
  <c r="J82" i="2"/>
  <c r="K82" i="2" s="1"/>
  <c r="J88" i="2"/>
  <c r="K88" i="2" s="1"/>
  <c r="J12" i="2"/>
  <c r="K12" i="2" s="1"/>
  <c r="J30" i="2"/>
  <c r="K30" i="2" s="1"/>
  <c r="J48" i="2"/>
  <c r="K48" i="2" s="1"/>
  <c r="J72" i="2"/>
  <c r="K72" i="2" s="1"/>
  <c r="J90" i="2"/>
  <c r="K90" i="2" s="1"/>
  <c r="J62" i="2"/>
  <c r="K62" i="2" s="1"/>
  <c r="J86" i="2"/>
  <c r="K86" i="2" s="1"/>
  <c r="J5" i="2"/>
  <c r="K5" i="2" s="1"/>
  <c r="J11" i="2"/>
  <c r="K11" i="2" s="1"/>
  <c r="J17" i="2"/>
  <c r="K17" i="2" s="1"/>
  <c r="J23" i="2"/>
  <c r="K23" i="2" s="1"/>
  <c r="J29" i="2"/>
  <c r="K29" i="2" s="1"/>
  <c r="J35" i="2"/>
  <c r="K35" i="2" s="1"/>
  <c r="J41" i="2"/>
  <c r="K41" i="2" s="1"/>
  <c r="J47" i="2"/>
  <c r="K47" i="2" s="1"/>
  <c r="J53" i="2"/>
  <c r="K53" i="2" s="1"/>
  <c r="J59" i="2"/>
  <c r="K59" i="2" s="1"/>
  <c r="J65" i="2"/>
  <c r="K65" i="2" s="1"/>
  <c r="J71" i="2"/>
  <c r="K71" i="2" s="1"/>
  <c r="J77" i="2"/>
  <c r="K77" i="2" s="1"/>
  <c r="J83" i="2"/>
  <c r="K83" i="2" s="1"/>
  <c r="J89" i="2"/>
  <c r="K89" i="2" s="1"/>
  <c r="J18" i="2"/>
  <c r="K18" i="2" s="1"/>
  <c r="J36" i="2"/>
  <c r="K36" i="2" s="1"/>
  <c r="J54" i="2"/>
  <c r="K54" i="2" s="1"/>
  <c r="J66" i="2"/>
  <c r="K66" i="2" s="1"/>
  <c r="J78" i="2"/>
  <c r="K78" i="2" s="1"/>
  <c r="J3" i="2"/>
  <c r="K3" i="2" s="1"/>
  <c r="K7" i="2"/>
  <c r="K13" i="2"/>
  <c r="K14" i="2"/>
  <c r="H70" i="2"/>
  <c r="I70" i="2" s="1"/>
  <c r="H88" i="2"/>
  <c r="I88" i="2" s="1"/>
  <c r="H25" i="2"/>
  <c r="I25" i="2" s="1"/>
  <c r="H55" i="2"/>
  <c r="I55" i="2" s="1"/>
  <c r="H73" i="2"/>
  <c r="I73" i="2" s="1"/>
  <c r="H91" i="2"/>
  <c r="I91" i="2" s="1"/>
  <c r="H76" i="2"/>
  <c r="I76" i="2" s="1"/>
  <c r="H94" i="2"/>
  <c r="I94" i="2" s="1"/>
  <c r="H19" i="2"/>
  <c r="I19" i="2" s="1"/>
  <c r="H43" i="2"/>
  <c r="I43" i="2" s="1"/>
  <c r="H67" i="2"/>
  <c r="I67" i="2" s="1"/>
  <c r="H82" i="2"/>
  <c r="I82" i="2" s="1"/>
  <c r="H7" i="2"/>
  <c r="I7" i="2" s="1"/>
  <c r="H31" i="2"/>
  <c r="I31" i="2" s="1"/>
  <c r="H49" i="2"/>
  <c r="I49" i="2" s="1"/>
  <c r="H79" i="2"/>
  <c r="I79" i="2" s="1"/>
  <c r="H13" i="2"/>
  <c r="I13" i="2" s="1"/>
  <c r="H37" i="2"/>
  <c r="I37" i="2" s="1"/>
  <c r="H61" i="2"/>
  <c r="I61" i="2" s="1"/>
  <c r="H85" i="2"/>
  <c r="I85" i="2" s="1"/>
  <c r="H64" i="2"/>
  <c r="I64" i="2" s="1"/>
  <c r="H72" i="2"/>
  <c r="I72" i="2" s="1"/>
  <c r="H36" i="2"/>
  <c r="I36" i="2" s="1"/>
  <c r="H3" i="2"/>
  <c r="I3" i="2" s="1"/>
  <c r="H59" i="2"/>
  <c r="I59" i="2" s="1"/>
  <c r="H23" i="2"/>
  <c r="I23" i="2" s="1"/>
  <c r="H52" i="2"/>
  <c r="I52" i="2" s="1"/>
  <c r="H81" i="2"/>
  <c r="I81" i="2" s="1"/>
  <c r="H45" i="2"/>
  <c r="I45" i="2" s="1"/>
  <c r="H9" i="2"/>
  <c r="I9" i="2" s="1"/>
  <c r="H92" i="2"/>
  <c r="I92" i="2" s="1"/>
  <c r="H56" i="2"/>
  <c r="I56" i="2" s="1"/>
  <c r="H20" i="2"/>
  <c r="I20" i="2" s="1"/>
  <c r="H66" i="2"/>
  <c r="I66" i="2" s="1"/>
  <c r="H30" i="2"/>
  <c r="I30" i="2" s="1"/>
  <c r="H89" i="2"/>
  <c r="I89" i="2" s="1"/>
  <c r="H53" i="2"/>
  <c r="I53" i="2" s="1"/>
  <c r="H17" i="2"/>
  <c r="I17" i="2" s="1"/>
  <c r="H40" i="2"/>
  <c r="I40" i="2" s="1"/>
  <c r="H75" i="2"/>
  <c r="I75" i="2" s="1"/>
  <c r="H39" i="2"/>
  <c r="I39" i="2" s="1"/>
  <c r="H58" i="2"/>
  <c r="I58" i="2" s="1"/>
  <c r="H86" i="2"/>
  <c r="I86" i="2" s="1"/>
  <c r="H50" i="2"/>
  <c r="I50" i="2" s="1"/>
  <c r="H14" i="2"/>
  <c r="I14" i="2" s="1"/>
  <c r="H8" i="2"/>
  <c r="I8" i="2" s="1"/>
  <c r="H60" i="2"/>
  <c r="I60" i="2" s="1"/>
  <c r="H24" i="2"/>
  <c r="I24" i="2" s="1"/>
  <c r="H83" i="2"/>
  <c r="I83" i="2" s="1"/>
  <c r="H47" i="2"/>
  <c r="I47" i="2" s="1"/>
  <c r="H11" i="2"/>
  <c r="I11" i="2" s="1"/>
  <c r="H28" i="2"/>
  <c r="I28" i="2" s="1"/>
  <c r="H69" i="2"/>
  <c r="I69" i="2" s="1"/>
  <c r="H33" i="2"/>
  <c r="I33" i="2" s="1"/>
  <c r="H46" i="2"/>
  <c r="I46" i="2" s="1"/>
  <c r="H80" i="2"/>
  <c r="I80" i="2" s="1"/>
  <c r="H44" i="2"/>
  <c r="I44" i="2" s="1"/>
  <c r="H90" i="2"/>
  <c r="I90" i="2" s="1"/>
  <c r="H54" i="2"/>
  <c r="I54" i="2" s="1"/>
  <c r="H18" i="2"/>
  <c r="I18" i="2" s="1"/>
  <c r="H77" i="2"/>
  <c r="I77" i="2" s="1"/>
  <c r="H41" i="2"/>
  <c r="I41" i="2" s="1"/>
  <c r="H5" i="2"/>
  <c r="I5" i="2" s="1"/>
  <c r="H10" i="2"/>
  <c r="I10" i="2" s="1"/>
  <c r="H63" i="2"/>
  <c r="I63" i="2" s="1"/>
  <c r="H27" i="2"/>
  <c r="I27" i="2" s="1"/>
  <c r="H34" i="2"/>
  <c r="I34" i="2" s="1"/>
  <c r="H74" i="2"/>
  <c r="I74" i="2" s="1"/>
  <c r="H38" i="2"/>
  <c r="I38" i="2" s="1"/>
  <c r="H84" i="2"/>
  <c r="I84" i="2" s="1"/>
  <c r="H48" i="2"/>
  <c r="I48" i="2" s="1"/>
  <c r="H12" i="2"/>
  <c r="I12" i="2" s="1"/>
  <c r="H71" i="2"/>
  <c r="I71" i="2" s="1"/>
  <c r="H35" i="2"/>
  <c r="I35" i="2" s="1"/>
  <c r="H22" i="2"/>
  <c r="I22" i="2" s="1"/>
  <c r="H93" i="2"/>
  <c r="I93" i="2" s="1"/>
  <c r="H57" i="2"/>
  <c r="I57" i="2" s="1"/>
  <c r="H21" i="2"/>
  <c r="I21" i="2" s="1"/>
  <c r="H16" i="2"/>
  <c r="I16" i="2" s="1"/>
  <c r="H68" i="2"/>
  <c r="I68" i="2" s="1"/>
  <c r="H32" i="2"/>
  <c r="I32" i="2" s="1"/>
  <c r="H78" i="2"/>
  <c r="I78" i="2" s="1"/>
  <c r="H42" i="2"/>
  <c r="I42" i="2" s="1"/>
  <c r="H6" i="2"/>
  <c r="I6" i="2" s="1"/>
  <c r="H65" i="2"/>
  <c r="I65" i="2" s="1"/>
  <c r="H29" i="2"/>
  <c r="I29" i="2" s="1"/>
  <c r="H87" i="2"/>
  <c r="I87" i="2" s="1"/>
  <c r="H51" i="2"/>
  <c r="I51" i="2" s="1"/>
  <c r="H15" i="2"/>
  <c r="I15" i="2" s="1"/>
  <c r="H4" i="2"/>
  <c r="I4" i="2" s="1"/>
  <c r="H62" i="2"/>
  <c r="I62" i="2" s="1"/>
  <c r="H26" i="2"/>
  <c r="I26" i="2" s="1"/>
</calcChain>
</file>

<file path=xl/sharedStrings.xml><?xml version="1.0" encoding="utf-8"?>
<sst xmlns="http://schemas.openxmlformats.org/spreadsheetml/2006/main" count="248" uniqueCount="60">
  <si>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</si>
  <si>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</si>
  <si>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</si>
  <si>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</si>
  <si>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</si>
  <si>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</si>
  <si>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</si>
  <si>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</si>
  <si>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</si>
  <si>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</si>
  <si>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</si>
  <si>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</si>
  <si>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</si>
  <si>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</si>
  <si>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</si>
  <si>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</si>
  <si>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</si>
  <si>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</si>
  <si>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</si>
  <si>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</si>
  <si>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</si>
  <si>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</si>
  <si>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</si>
  <si>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</si>
  <si>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</si>
  <si>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</si>
  <si>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</si>
  <si>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Time</t>
  </si>
  <si>
    <t>Max Amp</t>
  </si>
  <si>
    <t>Storm 2</t>
  </si>
  <si>
    <t>tau</t>
  </si>
  <si>
    <t>amp_factor</t>
  </si>
  <si>
    <t>Ch2 Impulses</t>
  </si>
  <si>
    <t>Impulses/s</t>
  </si>
  <si>
    <t>Tau (Pa)</t>
  </si>
  <si>
    <t>Dmax (mm)</t>
  </si>
  <si>
    <t>Storm 3</t>
  </si>
  <si>
    <t>Storm 4</t>
  </si>
  <si>
    <t>Storm 5</t>
  </si>
  <si>
    <t>Storm 6</t>
  </si>
  <si>
    <t>Storm 7</t>
  </si>
  <si>
    <t xml:space="preserve">Imp/s * MaxAmp </t>
  </si>
  <si>
    <t>Imp/s</t>
  </si>
  <si>
    <t>Imp/s * MaxAmp</t>
  </si>
  <si>
    <t>Event 1</t>
  </si>
  <si>
    <t>Event 2</t>
  </si>
  <si>
    <t>Event 3</t>
  </si>
  <si>
    <t>Event 4</t>
  </si>
  <si>
    <t>S</t>
  </si>
  <si>
    <t>Dmax Tau (Pa)</t>
  </si>
  <si>
    <t>Tau Base (Pa)</t>
  </si>
  <si>
    <t>Corrected Dmax (mm)</t>
  </si>
  <si>
    <t>Tau Correction</t>
  </si>
  <si>
    <t>Imp/s*Amax Correction</t>
  </si>
  <si>
    <t xml:space="preserve">Dmax Imp/s*Amax </t>
  </si>
  <si>
    <t>Imp/s*Amax  Baseflow</t>
  </si>
  <si>
    <t>March</t>
  </si>
  <si>
    <t>April</t>
  </si>
  <si>
    <t>May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</si>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</sst>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400]h:mm:ss\ AM/PM"/>
    <numFmt numFmtId="165" formatCode="0.000000"/>
    <numFmt numFmtId="166" formatCode="0.00000"/>
    <numFmt numFmtId="167" formatCode="0.0000"/>
    <numFmt numFmtId="168" formatCode="0.000"/>
    <numFmt numFmtId="169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22" fontId="0" fillId="3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4" borderId="0" xfId="0" applyFont="1" applyFill="1"/>
    <xf numFmtId="2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8" fontId="0" fillId="3" borderId="0" xfId="0" applyNumberFormat="1" applyFill="1" applyAlignment="1">
      <alignment horizontal="center"/>
    </xf>
    <xf numFmtId="19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22" fontId="0" fillId="6" borderId="0" xfId="0" applyNumberFormat="1" applyFill="1" applyAlignment="1">
      <alignment horizontal="center"/>
    </xf>
    <xf numFmtId="167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168" fontId="2" fillId="0" borderId="0" xfId="0" applyNumberFormat="1" applyFont="1" applyAlignment="1">
      <alignment horizontal="center"/>
    </xf>
    <xf numFmtId="0" fontId="1" fillId="8" borderId="0" xfId="0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22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168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19" fontId="1" fillId="1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9" fontId="1" fillId="2" borderId="0" xfId="0" applyNumberFormat="1" applyFont="1" applyFill="1" applyAlignment="1">
      <alignment horizontal="center"/>
    </xf>
    <xf numFmtId="22" fontId="0" fillId="2" borderId="0" xfId="0" applyNumberFormat="1" applyFill="1" applyAlignment="1">
      <alignment horizontal="center"/>
    </xf>
    <xf numFmtId="169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2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2" fontId="0" fillId="12" borderId="0" xfId="0" applyNumberFormat="1" applyFill="1" applyAlignment="1">
      <alignment horizontal="center"/>
    </xf>
    <xf numFmtId="168" fontId="0" fillId="12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2" fillId="13" borderId="0" xfId="0" applyFont="1" applyFill="1" applyAlignment="1">
      <alignment horizontal="center"/>
    </xf>
    <xf numFmtId="168" fontId="1" fillId="8" borderId="0" xfId="0" applyNumberFormat="1" applyFont="1" applyFill="1" applyAlignment="1">
      <alignment horizontal="center"/>
    </xf>
    <xf numFmtId="168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8" fontId="1" fillId="12" borderId="0" xfId="0" applyNumberFormat="1" applyFont="1" applyFill="1" applyAlignment="1">
      <alignment horizontal="center"/>
    </xf>
    <xf numFmtId="164" fontId="1" fillId="12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168" fontId="1" fillId="14" borderId="0" xfId="0" applyNumberFormat="1" applyFont="1" applyFill="1" applyAlignment="1">
      <alignment horizontal="center"/>
    </xf>
    <xf numFmtId="164" fontId="1" fillId="14" borderId="0" xfId="0" applyNumberFormat="1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22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167" fontId="0" fillId="14" borderId="0" xfId="0" applyNumberFormat="1" applyFill="1" applyAlignment="1">
      <alignment horizontal="center"/>
    </xf>
    <xf numFmtId="167" fontId="0" fillId="8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166" fontId="0" fillId="12" borderId="0" xfId="0" applyNumberFormat="1" applyFill="1" applyAlignment="1">
      <alignment horizontal="center"/>
    </xf>
    <xf numFmtId="167" fontId="0" fillId="12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15" borderId="0" xfId="0" applyFont="1" applyFill="1" applyAlignment="1">
      <alignment horizontal="center"/>
    </xf>
    <xf numFmtId="22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18" borderId="0" xfId="0" applyFill="1" applyAlignment="1">
      <alignment horizontal="center"/>
    </xf>
    <xf numFmtId="22" fontId="0" fillId="18" borderId="0" xfId="0" applyNumberFormat="1" applyFill="1" applyAlignment="1">
      <alignment horizontal="center"/>
    </xf>
    <xf numFmtId="168" fontId="0" fillId="18" borderId="0" xfId="0" applyNumberFormat="1" applyFill="1" applyAlignment="1">
      <alignment horizontal="center"/>
    </xf>
    <xf numFmtId="2" fontId="0" fillId="18" borderId="0" xfId="0" applyNumberForma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22" fontId="0" fillId="19" borderId="0" xfId="0" applyNumberFormat="1" applyFill="1" applyAlignment="1">
      <alignment horizontal="center"/>
    </xf>
    <xf numFmtId="167" fontId="0" fillId="19" borderId="0" xfId="0" applyNumberFormat="1" applyFill="1" applyAlignment="1">
      <alignment horizontal="center"/>
    </xf>
    <xf numFmtId="0" fontId="0" fillId="19" borderId="0" xfId="0" applyFill="1" applyAlignment="1">
      <alignment horizontal="center"/>
    </xf>
    <xf numFmtId="2" fontId="0" fillId="19" borderId="0" xfId="0" applyNumberFormat="1" applyFill="1" applyAlignment="1">
      <alignment horizontal="center"/>
    </xf>
    <xf numFmtId="168" fontId="0" fillId="19" borderId="0" xfId="0" applyNumberFormat="1" applyFill="1" applyAlignment="1">
      <alignment horizontal="center"/>
    </xf>
    <xf numFmtId="0" fontId="0" fillId="20" borderId="0" xfId="0" applyFill="1" applyAlignment="1">
      <alignment horizontal="center"/>
    </xf>
    <xf numFmtId="22" fontId="0" fillId="20" borderId="0" xfId="0" applyNumberFormat="1" applyFill="1"/>
    <xf numFmtId="167" fontId="0" fillId="20" borderId="0" xfId="0" applyNumberFormat="1" applyFill="1" applyAlignment="1">
      <alignment horizontal="center"/>
    </xf>
    <xf numFmtId="168" fontId="0" fillId="20" borderId="0" xfId="0" applyNumberFormat="1" applyFill="1" applyAlignment="1">
      <alignment horizontal="center"/>
    </xf>
    <xf numFmtId="2" fontId="0" fillId="20" borderId="0" xfId="0" applyNumberFormat="1" applyFill="1" applyAlignment="1">
      <alignment horizontal="center"/>
    </xf>
    <xf numFmtId="2" fontId="1" fillId="18" borderId="0" xfId="0" applyNumberFormat="1" applyFont="1" applyFill="1" applyAlignment="1">
      <alignment horizontal="center"/>
    </xf>
    <xf numFmtId="164" fontId="1" fillId="18" borderId="0" xfId="0" applyNumberFormat="1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2" fontId="1" fillId="19" borderId="0" xfId="0" applyNumberFormat="1" applyFont="1" applyFill="1" applyAlignment="1">
      <alignment horizontal="center"/>
    </xf>
    <xf numFmtId="164" fontId="1" fillId="19" borderId="0" xfId="0" applyNumberFormat="1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2" fontId="1" fillId="20" borderId="0" xfId="0" applyNumberFormat="1" applyFont="1" applyFill="1" applyAlignment="1">
      <alignment horizontal="center"/>
    </xf>
    <xf numFmtId="164" fontId="1" fillId="20" borderId="0" xfId="0" applyNumberFormat="1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0" fillId="19" borderId="0" xfId="0" applyFill="1"/>
    <xf numFmtId="166" fontId="0" fillId="3" borderId="0" xfId="0" applyNumberFormat="1" applyFill="1"/>
    <xf numFmtId="0" fontId="0" fillId="3" borderId="0" xfId="0" applyFill="1"/>
    <xf numFmtId="0" fontId="0" fillId="18" borderId="0" xfId="0" applyFill="1"/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9" fontId="0" fillId="3" borderId="0" xfId="0" applyNumberFormat="1" applyFill="1" applyAlignment="1">
      <alignment horizontal="center"/>
    </xf>
    <xf numFmtId="169" fontId="0" fillId="6" borderId="0" xfId="0" applyNumberFormat="1" applyFill="1" applyAlignment="1">
      <alignment horizontal="center"/>
    </xf>
    <xf numFmtId="168" fontId="0" fillId="6" borderId="0" xfId="0" applyNumberFormat="1" applyFill="1" applyAlignment="1">
      <alignment horizontal="center"/>
    </xf>
    <xf numFmtId="0" fontId="2" fillId="5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2" fillId="8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168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11" borderId="0" xfId="0" applyFont="1" applyFill="1"/>
    <xf numFmtId="0" fontId="2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2 -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 time series'!$A$3:$A$94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 time series'!$C$3:$C$94</c:f>
              <c:numCache>
                <c:formatCode>0.00000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67-44BC-B740-70A0200B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 time series'!$A$3:$A$94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 time series'!$G$3:$G$94</c:f>
              <c:numCache>
                <c:formatCode>0.00</c:formatCode>
                <c:ptCount val="92"/>
                <c:pt idx="0">
                  <c:v>2.4599510474069515</c:v>
                </c:pt>
                <c:pt idx="1">
                  <c:v>2.791356996271706</c:v>
                </c:pt>
                <c:pt idx="2">
                  <c:v>2.7649809345134853</c:v>
                </c:pt>
                <c:pt idx="3">
                  <c:v>2.4673148397084299</c:v>
                </c:pt>
                <c:pt idx="4">
                  <c:v>2.6457893704180964</c:v>
                </c:pt>
                <c:pt idx="5">
                  <c:v>2.3305783803926121</c:v>
                </c:pt>
                <c:pt idx="6">
                  <c:v>2.519936075085202</c:v>
                </c:pt>
                <c:pt idx="7">
                  <c:v>2.7344911288796694</c:v>
                </c:pt>
                <c:pt idx="8">
                  <c:v>2.5987833405071061</c:v>
                </c:pt>
                <c:pt idx="9">
                  <c:v>2.5177073751060881</c:v>
                </c:pt>
                <c:pt idx="10">
                  <c:v>2.5009070349243157</c:v>
                </c:pt>
                <c:pt idx="11">
                  <c:v>2.6140845154105792</c:v>
                </c:pt>
                <c:pt idx="12">
                  <c:v>2.7385988992140011</c:v>
                </c:pt>
                <c:pt idx="13">
                  <c:v>2.4928226307659678</c:v>
                </c:pt>
                <c:pt idx="14">
                  <c:v>1.955137808952677</c:v>
                </c:pt>
                <c:pt idx="15">
                  <c:v>1.9100868324142395</c:v>
                </c:pt>
                <c:pt idx="16">
                  <c:v>2.3597504837832695</c:v>
                </c:pt>
                <c:pt idx="17">
                  <c:v>2.2621472474486231</c:v>
                </c:pt>
                <c:pt idx="18">
                  <c:v>2.1886123908823101</c:v>
                </c:pt>
                <c:pt idx="19">
                  <c:v>2.0708367050090577</c:v>
                </c:pt>
                <c:pt idx="20">
                  <c:v>2.2203737895454494</c:v>
                </c:pt>
                <c:pt idx="21">
                  <c:v>2.1516403171733334</c:v>
                </c:pt>
                <c:pt idx="22">
                  <c:v>2.8109089601537796</c:v>
                </c:pt>
                <c:pt idx="23">
                  <c:v>2.2972335025138353</c:v>
                </c:pt>
                <c:pt idx="24">
                  <c:v>1.987134337417199</c:v>
                </c:pt>
                <c:pt idx="25">
                  <c:v>2.3715024734635026</c:v>
                </c:pt>
                <c:pt idx="26">
                  <c:v>2.1918527936826915</c:v>
                </c:pt>
                <c:pt idx="27">
                  <c:v>2.0954901014104932</c:v>
                </c:pt>
                <c:pt idx="28">
                  <c:v>2.0566781292310021</c:v>
                </c:pt>
                <c:pt idx="29">
                  <c:v>2.1015524171423281</c:v>
                </c:pt>
                <c:pt idx="30">
                  <c:v>1.8867225320127219</c:v>
                </c:pt>
                <c:pt idx="31">
                  <c:v>2.0742160088414772</c:v>
                </c:pt>
                <c:pt idx="32">
                  <c:v>2.5598144420098592</c:v>
                </c:pt>
                <c:pt idx="33">
                  <c:v>2.8000452401310367</c:v>
                </c:pt>
                <c:pt idx="34">
                  <c:v>2.2126595392400104</c:v>
                </c:pt>
                <c:pt idx="35">
                  <c:v>2.4063153288996197</c:v>
                </c:pt>
                <c:pt idx="36">
                  <c:v>2.5005328993596638</c:v>
                </c:pt>
                <c:pt idx="37">
                  <c:v>2.7887964937903398</c:v>
                </c:pt>
                <c:pt idx="38">
                  <c:v>2.2353458694972441</c:v>
                </c:pt>
                <c:pt idx="39">
                  <c:v>2.1403096958246715</c:v>
                </c:pt>
                <c:pt idx="40">
                  <c:v>2.5151462820220147</c:v>
                </c:pt>
                <c:pt idx="41">
                  <c:v>2.2483611090648514</c:v>
                </c:pt>
                <c:pt idx="42">
                  <c:v>1.9960082421885208</c:v>
                </c:pt>
                <c:pt idx="43">
                  <c:v>2.393450860062051</c:v>
                </c:pt>
                <c:pt idx="44">
                  <c:v>1.8202265142136964</c:v>
                </c:pt>
                <c:pt idx="45">
                  <c:v>1.9122893030964594</c:v>
                </c:pt>
                <c:pt idx="46">
                  <c:v>2.4806328887058307</c:v>
                </c:pt>
                <c:pt idx="47">
                  <c:v>2.0680484163617989</c:v>
                </c:pt>
                <c:pt idx="48">
                  <c:v>2.1923101887379342</c:v>
                </c:pt>
                <c:pt idx="49">
                  <c:v>2.3584103922725554</c:v>
                </c:pt>
                <c:pt idx="50">
                  <c:v>2.3762676229922564</c:v>
                </c:pt>
                <c:pt idx="51">
                  <c:v>2.1421789492760746</c:v>
                </c:pt>
                <c:pt idx="52">
                  <c:v>2.3931565222710121</c:v>
                </c:pt>
                <c:pt idx="53">
                  <c:v>1.929398795245691</c:v>
                </c:pt>
                <c:pt idx="54">
                  <c:v>1.7766629370625679</c:v>
                </c:pt>
                <c:pt idx="55">
                  <c:v>1.9799141859576828</c:v>
                </c:pt>
                <c:pt idx="56">
                  <c:v>1.9851199936728641</c:v>
                </c:pt>
                <c:pt idx="57">
                  <c:v>2.6695984197047946</c:v>
                </c:pt>
                <c:pt idx="58">
                  <c:v>3.4390710041697061</c:v>
                </c:pt>
                <c:pt idx="59">
                  <c:v>16.570402163552938</c:v>
                </c:pt>
                <c:pt idx="60">
                  <c:v>80.273877098790663</c:v>
                </c:pt>
                <c:pt idx="61">
                  <c:v>57.74068660746331</c:v>
                </c:pt>
                <c:pt idx="62">
                  <c:v>47.567699592066525</c:v>
                </c:pt>
                <c:pt idx="63">
                  <c:v>37.803575502160662</c:v>
                </c:pt>
                <c:pt idx="64">
                  <c:v>40.243169637786821</c:v>
                </c:pt>
                <c:pt idx="65">
                  <c:v>42.735212073900847</c:v>
                </c:pt>
                <c:pt idx="66">
                  <c:v>43.617949398828969</c:v>
                </c:pt>
                <c:pt idx="67">
                  <c:v>39.930389944927285</c:v>
                </c:pt>
                <c:pt idx="68">
                  <c:v>42.07379889809004</c:v>
                </c:pt>
                <c:pt idx="69">
                  <c:v>37.463227375233117</c:v>
                </c:pt>
                <c:pt idx="70">
                  <c:v>32.15885703275017</c:v>
                </c:pt>
                <c:pt idx="71">
                  <c:v>30.216881568047896</c:v>
                </c:pt>
                <c:pt idx="72">
                  <c:v>25.2787257337237</c:v>
                </c:pt>
                <c:pt idx="73">
                  <c:v>23.739182874624156</c:v>
                </c:pt>
                <c:pt idx="74">
                  <c:v>20.789893494319333</c:v>
                </c:pt>
                <c:pt idx="75">
                  <c:v>16.932750535726619</c:v>
                </c:pt>
                <c:pt idx="76">
                  <c:v>16.986556591580069</c:v>
                </c:pt>
                <c:pt idx="77">
                  <c:v>16.446236032101172</c:v>
                </c:pt>
                <c:pt idx="78">
                  <c:v>15.7063329331754</c:v>
                </c:pt>
                <c:pt idx="79">
                  <c:v>16.489667945408691</c:v>
                </c:pt>
                <c:pt idx="80">
                  <c:v>19.118390583830159</c:v>
                </c:pt>
                <c:pt idx="81">
                  <c:v>19.676102765150922</c:v>
                </c:pt>
                <c:pt idx="82">
                  <c:v>19.144849338717748</c:v>
                </c:pt>
                <c:pt idx="83">
                  <c:v>19.754958522759882</c:v>
                </c:pt>
                <c:pt idx="84">
                  <c:v>19.39100882698407</c:v>
                </c:pt>
                <c:pt idx="85">
                  <c:v>24.136926880406467</c:v>
                </c:pt>
                <c:pt idx="86">
                  <c:v>24.678012257173279</c:v>
                </c:pt>
                <c:pt idx="87">
                  <c:v>26.325657424734072</c:v>
                </c:pt>
                <c:pt idx="88">
                  <c:v>23.593040021995446</c:v>
                </c:pt>
                <c:pt idx="89">
                  <c:v>22.475689915463917</c:v>
                </c:pt>
                <c:pt idx="90">
                  <c:v>26.430343391447533</c:v>
                </c:pt>
                <c:pt idx="91">
                  <c:v>23.017241398062826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67-44BC-B740-70A0200B5064}"/>
            </c:ext>
          </c:extLst>
        </c:ser>
        <c:ser>
          <c:idx val="1"/>
          <c:order val="2"/>
          <c:tx>
            <c:strRef>
              <c:f>'storm time series'!$H$1:$I$1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 time series'!$A$3:$A$94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 time series'!$I$3:$I$94</c:f>
              <c:numCache>
                <c:formatCode>0.0</c:formatCode>
                <c:ptCount val="92"/>
                <c:pt idx="0">
                  <c:v>9.306695903269626E-3</c:v>
                </c:pt>
                <c:pt idx="1">
                  <c:v>1.1084693167060107E-2</c:v>
                </c:pt>
                <c:pt idx="2">
                  <c:v>1.4149689739239414E-2</c:v>
                </c:pt>
                <c:pt idx="3">
                  <c:v>1.0111658144212264E-2</c:v>
                </c:pt>
                <c:pt idx="4">
                  <c:v>0</c:v>
                </c:pt>
                <c:pt idx="5">
                  <c:v>0</c:v>
                </c:pt>
                <c:pt idx="6">
                  <c:v>1.0381028740789666E-2</c:v>
                </c:pt>
                <c:pt idx="7">
                  <c:v>9.9826377683301364E-3</c:v>
                </c:pt>
                <c:pt idx="8">
                  <c:v>6.9664316697664519E-3</c:v>
                </c:pt>
                <c:pt idx="9">
                  <c:v>2.2448084116217853E-4</c:v>
                </c:pt>
                <c:pt idx="10">
                  <c:v>5.0898467945299473E-3</c:v>
                </c:pt>
                <c:pt idx="11">
                  <c:v>1.0819038849580706E-2</c:v>
                </c:pt>
                <c:pt idx="12">
                  <c:v>6.1786090553792444E-3</c:v>
                </c:pt>
                <c:pt idx="13">
                  <c:v>7.235745784733582E-3</c:v>
                </c:pt>
                <c:pt idx="14">
                  <c:v>0</c:v>
                </c:pt>
                <c:pt idx="15">
                  <c:v>0</c:v>
                </c:pt>
                <c:pt idx="16">
                  <c:v>3.2286702345095133E-3</c:v>
                </c:pt>
                <c:pt idx="17">
                  <c:v>3.0503733496682972E-3</c:v>
                </c:pt>
                <c:pt idx="18">
                  <c:v>4.4661609979661943E-3</c:v>
                </c:pt>
                <c:pt idx="19">
                  <c:v>2.4444858759796193E-3</c:v>
                </c:pt>
                <c:pt idx="20">
                  <c:v>4.1432301910584172E-4</c:v>
                </c:pt>
                <c:pt idx="21">
                  <c:v>1.0381050034967955E-2</c:v>
                </c:pt>
                <c:pt idx="22">
                  <c:v>2.6240944284109537E-2</c:v>
                </c:pt>
                <c:pt idx="23">
                  <c:v>1.0744850934874661E-2</c:v>
                </c:pt>
                <c:pt idx="24">
                  <c:v>5.3573925438005678E-3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3.8460180490094767E-3</c:v>
                </c:pt>
                <c:pt idx="33">
                  <c:v>9.1778271568033979E-3</c:v>
                </c:pt>
                <c:pt idx="34">
                  <c:v>0</c:v>
                </c:pt>
                <c:pt idx="35">
                  <c:v>0</c:v>
                </c:pt>
                <c:pt idx="36">
                  <c:v>1.1035247192457865E-2</c:v>
                </c:pt>
                <c:pt idx="37">
                  <c:v>3.2580038253978007E-3</c:v>
                </c:pt>
                <c:pt idx="38">
                  <c:v>0</c:v>
                </c:pt>
                <c:pt idx="39">
                  <c:v>0</c:v>
                </c:pt>
                <c:pt idx="40">
                  <c:v>3.2365000125427136E-3</c:v>
                </c:pt>
                <c:pt idx="41">
                  <c:v>0</c:v>
                </c:pt>
                <c:pt idx="42">
                  <c:v>0</c:v>
                </c:pt>
                <c:pt idx="43">
                  <c:v>8.698466851754103E-4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1.5519226758376691E-3</c:v>
                </c:pt>
                <c:pt idx="48">
                  <c:v>4.1229761984936785E-3</c:v>
                </c:pt>
                <c:pt idx="49">
                  <c:v>8.942964931244201E-3</c:v>
                </c:pt>
                <c:pt idx="50">
                  <c:v>4.6581890630436442E-3</c:v>
                </c:pt>
                <c:pt idx="51">
                  <c:v>0</c:v>
                </c:pt>
                <c:pt idx="52">
                  <c:v>1.0214195036304995E-3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0.81760577536876866</c:v>
                </c:pt>
                <c:pt idx="60">
                  <c:v>80.273877098790663</c:v>
                </c:pt>
                <c:pt idx="61">
                  <c:v>57.74068660746331</c:v>
                </c:pt>
                <c:pt idx="62">
                  <c:v>47.567699592066525</c:v>
                </c:pt>
                <c:pt idx="63">
                  <c:v>37.803575502160662</c:v>
                </c:pt>
                <c:pt idx="64">
                  <c:v>40.243169637786821</c:v>
                </c:pt>
                <c:pt idx="65">
                  <c:v>42.735212073900847</c:v>
                </c:pt>
                <c:pt idx="66">
                  <c:v>43.617949398828969</c:v>
                </c:pt>
                <c:pt idx="67">
                  <c:v>39.930389944927285</c:v>
                </c:pt>
                <c:pt idx="68">
                  <c:v>42.07379889809004</c:v>
                </c:pt>
                <c:pt idx="69">
                  <c:v>37.463227375233117</c:v>
                </c:pt>
                <c:pt idx="70">
                  <c:v>32.15885703275017</c:v>
                </c:pt>
                <c:pt idx="71">
                  <c:v>27.634462455111816</c:v>
                </c:pt>
                <c:pt idx="72">
                  <c:v>18.773721909552222</c:v>
                </c:pt>
                <c:pt idx="73">
                  <c:v>16.835340446799066</c:v>
                </c:pt>
                <c:pt idx="74">
                  <c:v>12.294946455054752</c:v>
                </c:pt>
                <c:pt idx="75">
                  <c:v>7.1515160314566799</c:v>
                </c:pt>
                <c:pt idx="76">
                  <c:v>6.2971234818709414</c:v>
                </c:pt>
                <c:pt idx="77">
                  <c:v>5.1333180478983191</c:v>
                </c:pt>
                <c:pt idx="78">
                  <c:v>3.7314270148539359</c:v>
                </c:pt>
                <c:pt idx="79">
                  <c:v>3.7515898071216722</c:v>
                </c:pt>
                <c:pt idx="80">
                  <c:v>4.3688152304902816</c:v>
                </c:pt>
                <c:pt idx="81">
                  <c:v>4.0554793628399581</c:v>
                </c:pt>
                <c:pt idx="82">
                  <c:v>3.4300473908930718</c:v>
                </c:pt>
                <c:pt idx="83">
                  <c:v>3.1841930822415985</c:v>
                </c:pt>
                <c:pt idx="84">
                  <c:v>3.1147389171815569</c:v>
                </c:pt>
                <c:pt idx="85">
                  <c:v>3.3601350097615192</c:v>
                </c:pt>
                <c:pt idx="86">
                  <c:v>3.6300870701404202</c:v>
                </c:pt>
                <c:pt idx="87">
                  <c:v>3.9213341908222579</c:v>
                </c:pt>
                <c:pt idx="88">
                  <c:v>3.0081117560473021</c:v>
                </c:pt>
                <c:pt idx="89">
                  <c:v>2.6924505671910031</c:v>
                </c:pt>
                <c:pt idx="90">
                  <c:v>3.3148822479758215</c:v>
                </c:pt>
                <c:pt idx="91">
                  <c:v>2.8526952208031826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2-4F62-BD05-8293A5632B88}"/>
            </c:ext>
          </c:extLst>
        </c:ser>
        <c:ser>
          <c:idx val="2"/>
          <c:order val="3"/>
          <c:tx>
            <c:strRef>
              <c:f>'storm time series'!$J$1:$K$1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'storm time series'!$A$3:$A$94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 time series'!$K$3:$K$94</c:f>
              <c:numCache>
                <c:formatCode>0.0</c:formatCode>
                <c:ptCount val="92"/>
                <c:pt idx="0">
                  <c:v>2.1134904415770156E-4</c:v>
                </c:pt>
                <c:pt idx="1">
                  <c:v>9.0690417180645029E-4</c:v>
                </c:pt>
                <c:pt idx="2">
                  <c:v>8.4255886551190258E-4</c:v>
                </c:pt>
                <c:pt idx="3">
                  <c:v>2.2424175260879565E-4</c:v>
                </c:pt>
                <c:pt idx="4">
                  <c:v>5.7163639068074886E-4</c:v>
                </c:pt>
                <c:pt idx="5">
                  <c:v>2.6562541665654917E-6</c:v>
                </c:pt>
                <c:pt idx="6">
                  <c:v>3.1963775563631817E-4</c:v>
                </c:pt>
                <c:pt idx="7">
                  <c:v>7.7018384752364146E-4</c:v>
                </c:pt>
                <c:pt idx="8">
                  <c:v>4.735106137817289E-4</c:v>
                </c:pt>
                <c:pt idx="9">
                  <c:v>3.1548026324060459E-4</c:v>
                </c:pt>
                <c:pt idx="10">
                  <c:v>2.8447529875143268E-4</c:v>
                </c:pt>
                <c:pt idx="11">
                  <c:v>5.0492124507850672E-4</c:v>
                </c:pt>
                <c:pt idx="12">
                  <c:v>7.7981010003265482E-4</c:v>
                </c:pt>
                <c:pt idx="13">
                  <c:v>2.6976555545075352E-4</c:v>
                </c:pt>
                <c:pt idx="14">
                  <c:v>0</c:v>
                </c:pt>
                <c:pt idx="15">
                  <c:v>0</c:v>
                </c:pt>
                <c:pt idx="16">
                  <c:v>4.6815723152490877E-5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9.5565073537459222E-4</c:v>
                </c:pt>
                <c:pt idx="23">
                  <c:v>0</c:v>
                </c:pt>
                <c:pt idx="24">
                  <c:v>0</c:v>
                </c:pt>
                <c:pt idx="25">
                  <c:v>6.5076119294763993E-5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3.9580187667072455E-4</c:v>
                </c:pt>
                <c:pt idx="33">
                  <c:v>9.2845479825883804E-4</c:v>
                </c:pt>
                <c:pt idx="34">
                  <c:v>0</c:v>
                </c:pt>
                <c:pt idx="35">
                  <c:v>1.2077321301984821E-4</c:v>
                </c:pt>
                <c:pt idx="36">
                  <c:v>2.8379154730677909E-4</c:v>
                </c:pt>
                <c:pt idx="37">
                  <c:v>9.0058670774813287E-4</c:v>
                </c:pt>
                <c:pt idx="38">
                  <c:v>0</c:v>
                </c:pt>
                <c:pt idx="39">
                  <c:v>0</c:v>
                </c:pt>
                <c:pt idx="40">
                  <c:v>3.1071559161864717E-4</c:v>
                </c:pt>
                <c:pt idx="41">
                  <c:v>0</c:v>
                </c:pt>
                <c:pt idx="42">
                  <c:v>0</c:v>
                </c:pt>
                <c:pt idx="43">
                  <c:v>9.9910514927047938E-5</c:v>
                </c:pt>
                <c:pt idx="44">
                  <c:v>0</c:v>
                </c:pt>
                <c:pt idx="45">
                  <c:v>0</c:v>
                </c:pt>
                <c:pt idx="46">
                  <c:v>2.4784270316908493E-4</c:v>
                </c:pt>
                <c:pt idx="47">
                  <c:v>0</c:v>
                </c:pt>
                <c:pt idx="48">
                  <c:v>0</c:v>
                </c:pt>
                <c:pt idx="49">
                  <c:v>4.4750714456279013E-5</c:v>
                </c:pt>
                <c:pt idx="50">
                  <c:v>7.2557828583946345E-5</c:v>
                </c:pt>
                <c:pt idx="51">
                  <c:v>0</c:v>
                </c:pt>
                <c:pt idx="52">
                  <c:v>9.9437042805766707E-5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6.231964932223021E-4</c:v>
                </c:pt>
                <c:pt idx="58">
                  <c:v>3.0370012592080527E-3</c:v>
                </c:pt>
                <c:pt idx="59">
                  <c:v>0.64918586310711357</c:v>
                </c:pt>
                <c:pt idx="60">
                  <c:v>80.273877098790663</c:v>
                </c:pt>
                <c:pt idx="61">
                  <c:v>29.442546033579191</c:v>
                </c:pt>
                <c:pt idx="62">
                  <c:v>16.31642645306794</c:v>
                </c:pt>
                <c:pt idx="63">
                  <c:v>8.1010154920267254</c:v>
                </c:pt>
                <c:pt idx="64">
                  <c:v>9.8024841500616429</c:v>
                </c:pt>
                <c:pt idx="65">
                  <c:v>11.772379250304057</c:v>
                </c:pt>
                <c:pt idx="66">
                  <c:v>12.5291812819928</c:v>
                </c:pt>
                <c:pt idx="67">
                  <c:v>9.5720935711056221</c:v>
                </c:pt>
                <c:pt idx="68">
                  <c:v>11.225865643469508</c:v>
                </c:pt>
                <c:pt idx="69">
                  <c:v>7.8806811190426371</c:v>
                </c:pt>
                <c:pt idx="70">
                  <c:v>4.9466632750487243</c:v>
                </c:pt>
                <c:pt idx="71">
                  <c:v>4.0901903528495991</c:v>
                </c:pt>
                <c:pt idx="72">
                  <c:v>2.3712394427249568</c:v>
                </c:pt>
                <c:pt idx="73">
                  <c:v>1.9565860828258177</c:v>
                </c:pt>
                <c:pt idx="74">
                  <c:v>1.3032971480398352</c:v>
                </c:pt>
                <c:pt idx="75">
                  <c:v>0.69389715674520147</c:v>
                </c:pt>
                <c:pt idx="76">
                  <c:v>0.7007066696823504</c:v>
                </c:pt>
                <c:pt idx="77">
                  <c:v>0.63431871081042923</c:v>
                </c:pt>
                <c:pt idx="78">
                  <c:v>0.55040864798435074</c:v>
                </c:pt>
                <c:pt idx="79">
                  <c:v>0.63949295872696432</c:v>
                </c:pt>
                <c:pt idx="80">
                  <c:v>1.0077895536687496</c:v>
                </c:pt>
                <c:pt idx="81">
                  <c:v>1.1007767520050482</c:v>
                </c:pt>
                <c:pt idx="82">
                  <c:v>1.0120776837806971</c:v>
                </c:pt>
                <c:pt idx="83">
                  <c:v>1.1143696165032715</c:v>
                </c:pt>
                <c:pt idx="84">
                  <c:v>1.0525581634831525</c:v>
                </c:pt>
                <c:pt idx="85">
                  <c:v>2.0586319048115302</c:v>
                </c:pt>
                <c:pt idx="86">
                  <c:v>2.2030880555184837</c:v>
                </c:pt>
                <c:pt idx="87">
                  <c:v>2.6844545415187167</c:v>
                </c:pt>
                <c:pt idx="88">
                  <c:v>1.9199593365540897</c:v>
                </c:pt>
                <c:pt idx="89">
                  <c:v>1.6549675813216762</c:v>
                </c:pt>
                <c:pt idx="90">
                  <c:v>2.7172165163989765</c:v>
                </c:pt>
                <c:pt idx="91">
                  <c:v>1.7801158529898038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02-4F62-BD05-8293A5632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3 -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 time series'!$M$3:$M$99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 time series'!$O$3:$O$99</c:f>
              <c:numCache>
                <c:formatCode>0.00000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D-4333-BE8F-49B08301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 time series'!$M$3:$M$99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 time series'!$S$3:$S$99</c:f>
              <c:numCache>
                <c:formatCode>0.00</c:formatCode>
                <c:ptCount val="97"/>
                <c:pt idx="0">
                  <c:v>10.753606437639453</c:v>
                </c:pt>
                <c:pt idx="1">
                  <c:v>11.449421484108383</c:v>
                </c:pt>
                <c:pt idx="2">
                  <c:v>11.527468362180842</c:v>
                </c:pt>
                <c:pt idx="3">
                  <c:v>9.6051177537464021</c:v>
                </c:pt>
                <c:pt idx="4">
                  <c:v>11.045136245479773</c:v>
                </c:pt>
                <c:pt idx="5">
                  <c:v>10.008974257758966</c:v>
                </c:pt>
                <c:pt idx="6">
                  <c:v>11.70227778463963</c:v>
                </c:pt>
                <c:pt idx="7">
                  <c:v>12.629965915920756</c:v>
                </c:pt>
                <c:pt idx="8">
                  <c:v>12.364784977486735</c:v>
                </c:pt>
                <c:pt idx="9">
                  <c:v>12.012677009828534</c:v>
                </c:pt>
                <c:pt idx="10">
                  <c:v>10.448104279992853</c:v>
                </c:pt>
                <c:pt idx="11">
                  <c:v>10.571623815098866</c:v>
                </c:pt>
                <c:pt idx="12">
                  <c:v>10.006489385883089</c:v>
                </c:pt>
                <c:pt idx="13">
                  <c:v>10.821066004280896</c:v>
                </c:pt>
                <c:pt idx="14">
                  <c:v>10.498695217004803</c:v>
                </c:pt>
                <c:pt idx="15">
                  <c:v>10.132373543120504</c:v>
                </c:pt>
                <c:pt idx="16">
                  <c:v>9.1308573594191778</c:v>
                </c:pt>
                <c:pt idx="17">
                  <c:v>9.7221608905720132</c:v>
                </c:pt>
                <c:pt idx="18">
                  <c:v>10.144524430776944</c:v>
                </c:pt>
                <c:pt idx="19">
                  <c:v>9.3894205084169062</c:v>
                </c:pt>
                <c:pt idx="20">
                  <c:v>9.2906308866960661</c:v>
                </c:pt>
                <c:pt idx="21">
                  <c:v>10.021974915550905</c:v>
                </c:pt>
                <c:pt idx="22">
                  <c:v>9.0464232720722055</c:v>
                </c:pt>
                <c:pt idx="23">
                  <c:v>9.7720595240525299</c:v>
                </c:pt>
                <c:pt idx="24">
                  <c:v>9.4821414923295126</c:v>
                </c:pt>
                <c:pt idx="25">
                  <c:v>8.3323959976455857</c:v>
                </c:pt>
                <c:pt idx="26">
                  <c:v>8.6933050378684342</c:v>
                </c:pt>
                <c:pt idx="27">
                  <c:v>8.1642300776925687</c:v>
                </c:pt>
                <c:pt idx="28">
                  <c:v>8.4584096024010673</c:v>
                </c:pt>
                <c:pt idx="29">
                  <c:v>8.2769967530698683</c:v>
                </c:pt>
                <c:pt idx="30">
                  <c:v>8.5455137041248861</c:v>
                </c:pt>
                <c:pt idx="31">
                  <c:v>8.8199926345190907</c:v>
                </c:pt>
                <c:pt idx="32">
                  <c:v>9.2059671796596909</c:v>
                </c:pt>
                <c:pt idx="33">
                  <c:v>9.7399017992620589</c:v>
                </c:pt>
                <c:pt idx="34">
                  <c:v>8.9916750266202623</c:v>
                </c:pt>
                <c:pt idx="35">
                  <c:v>8.1244058647089226</c:v>
                </c:pt>
                <c:pt idx="36">
                  <c:v>8.2293421289185194</c:v>
                </c:pt>
                <c:pt idx="37">
                  <c:v>8.8830242017558998</c:v>
                </c:pt>
                <c:pt idx="38">
                  <c:v>7.4876823764861795</c:v>
                </c:pt>
                <c:pt idx="39">
                  <c:v>7.6002864174498352</c:v>
                </c:pt>
                <c:pt idx="40">
                  <c:v>8.2700680944641576</c:v>
                </c:pt>
                <c:pt idx="41">
                  <c:v>8.0427614120993436</c:v>
                </c:pt>
                <c:pt idx="42">
                  <c:v>8.6032735656642547</c:v>
                </c:pt>
                <c:pt idx="43">
                  <c:v>7.5120517164204665</c:v>
                </c:pt>
                <c:pt idx="44">
                  <c:v>8.6773354505305136</c:v>
                </c:pt>
                <c:pt idx="45">
                  <c:v>7.8682624843202937</c:v>
                </c:pt>
                <c:pt idx="46">
                  <c:v>8.2953107824859842</c:v>
                </c:pt>
                <c:pt idx="47">
                  <c:v>8.5634504287651811</c:v>
                </c:pt>
                <c:pt idx="48">
                  <c:v>7.8938803457987481</c:v>
                </c:pt>
                <c:pt idx="49">
                  <c:v>8.1770252175386684</c:v>
                </c:pt>
                <c:pt idx="50">
                  <c:v>8.066911022859431</c:v>
                </c:pt>
                <c:pt idx="51">
                  <c:v>8.6557595760042485</c:v>
                </c:pt>
                <c:pt idx="52">
                  <c:v>12.721779242976282</c:v>
                </c:pt>
                <c:pt idx="53">
                  <c:v>15.263647387955624</c:v>
                </c:pt>
                <c:pt idx="54">
                  <c:v>13.900493495878012</c:v>
                </c:pt>
                <c:pt idx="55">
                  <c:v>11.689688123522197</c:v>
                </c:pt>
                <c:pt idx="56">
                  <c:v>15.615862001903615</c:v>
                </c:pt>
                <c:pt idx="57">
                  <c:v>31.628057381454148</c:v>
                </c:pt>
                <c:pt idx="58">
                  <c:v>39.520557851236589</c:v>
                </c:pt>
                <c:pt idx="59">
                  <c:v>48.206055461172006</c:v>
                </c:pt>
                <c:pt idx="60">
                  <c:v>52.388619007464662</c:v>
                </c:pt>
                <c:pt idx="61">
                  <c:v>44.818728513329802</c:v>
                </c:pt>
                <c:pt idx="62">
                  <c:v>43.206049923903961</c:v>
                </c:pt>
                <c:pt idx="63">
                  <c:v>43.31440835604613</c:v>
                </c:pt>
                <c:pt idx="64">
                  <c:v>37.496655980859039</c:v>
                </c:pt>
                <c:pt idx="65">
                  <c:v>35.145846764055413</c:v>
                </c:pt>
                <c:pt idx="66">
                  <c:v>31.976588608982734</c:v>
                </c:pt>
                <c:pt idx="67">
                  <c:v>30.14223013829745</c:v>
                </c:pt>
                <c:pt idx="68">
                  <c:v>28.210255746906032</c:v>
                </c:pt>
                <c:pt idx="69">
                  <c:v>27.954913528904317</c:v>
                </c:pt>
                <c:pt idx="70">
                  <c:v>26.174497591542213</c:v>
                </c:pt>
                <c:pt idx="71">
                  <c:v>27.109452181307351</c:v>
                </c:pt>
                <c:pt idx="72">
                  <c:v>29.726733706097683</c:v>
                </c:pt>
                <c:pt idx="73">
                  <c:v>28.327737969171352</c:v>
                </c:pt>
                <c:pt idx="74">
                  <c:v>23.797764112710826</c:v>
                </c:pt>
                <c:pt idx="75">
                  <c:v>20.863194372065465</c:v>
                </c:pt>
                <c:pt idx="76">
                  <c:v>18.078849450748503</c:v>
                </c:pt>
                <c:pt idx="77">
                  <c:v>20.406822924107267</c:v>
                </c:pt>
                <c:pt idx="78">
                  <c:v>19.850611599526427</c:v>
                </c:pt>
                <c:pt idx="79">
                  <c:v>17.977901391426752</c:v>
                </c:pt>
                <c:pt idx="80">
                  <c:v>17.07631863833031</c:v>
                </c:pt>
                <c:pt idx="81">
                  <c:v>15.778347530235623</c:v>
                </c:pt>
                <c:pt idx="82">
                  <c:v>15.957435005051694</c:v>
                </c:pt>
                <c:pt idx="83">
                  <c:v>13.063505968143513</c:v>
                </c:pt>
                <c:pt idx="84">
                  <c:v>14.994273444610025</c:v>
                </c:pt>
                <c:pt idx="85">
                  <c:v>15.932994882849687</c:v>
                </c:pt>
                <c:pt idx="86">
                  <c:v>12.794959706299212</c:v>
                </c:pt>
                <c:pt idx="87">
                  <c:v>14.140466465617099</c:v>
                </c:pt>
                <c:pt idx="88">
                  <c:v>14.307481627007895</c:v>
                </c:pt>
                <c:pt idx="89">
                  <c:v>13.232340354745734</c:v>
                </c:pt>
                <c:pt idx="90">
                  <c:v>12.418775120350533</c:v>
                </c:pt>
                <c:pt idx="91">
                  <c:v>12.000262783276698</c:v>
                </c:pt>
                <c:pt idx="92">
                  <c:v>10.539760480415518</c:v>
                </c:pt>
                <c:pt idx="93">
                  <c:v>11.628493871820435</c:v>
                </c:pt>
                <c:pt idx="94">
                  <c:v>11.211900529191803</c:v>
                </c:pt>
                <c:pt idx="95">
                  <c:v>11.487340197684183</c:v>
                </c:pt>
                <c:pt idx="96">
                  <c:v>12.606209548605374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CD-4333-BE8F-49B083016804}"/>
            </c:ext>
          </c:extLst>
        </c:ser>
        <c:ser>
          <c:idx val="1"/>
          <c:order val="2"/>
          <c:tx>
            <c:strRef>
              <c:f>'storm time series'!$T$1:$U$1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 time series'!$M$3:$M$99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 time series'!$U$3:$U$99</c:f>
              <c:numCache>
                <c:formatCode>0.0</c:formatCode>
                <c:ptCount val="97"/>
                <c:pt idx="0">
                  <c:v>5.3043078141977111E-2</c:v>
                </c:pt>
                <c:pt idx="1">
                  <c:v>8.190449682246001E-2</c:v>
                </c:pt>
                <c:pt idx="2">
                  <c:v>2.2764995624604864E-2</c:v>
                </c:pt>
                <c:pt idx="3">
                  <c:v>4.0557898755441656E-3</c:v>
                </c:pt>
                <c:pt idx="4">
                  <c:v>3.6107311725291899E-2</c:v>
                </c:pt>
                <c:pt idx="5">
                  <c:v>2.1174051517889973E-2</c:v>
                </c:pt>
                <c:pt idx="6">
                  <c:v>2.6677627175149363E-2</c:v>
                </c:pt>
                <c:pt idx="7">
                  <c:v>5.5662095124627088E-2</c:v>
                </c:pt>
                <c:pt idx="8">
                  <c:v>6.9966658228153941E-2</c:v>
                </c:pt>
                <c:pt idx="9">
                  <c:v>3.4374450967251675E-2</c:v>
                </c:pt>
                <c:pt idx="10">
                  <c:v>9.8364889666810174E-3</c:v>
                </c:pt>
                <c:pt idx="11">
                  <c:v>1.305201504721425E-2</c:v>
                </c:pt>
                <c:pt idx="12">
                  <c:v>1.2354284669853659E-2</c:v>
                </c:pt>
                <c:pt idx="13">
                  <c:v>3.6477909518725531E-2</c:v>
                </c:pt>
                <c:pt idx="14">
                  <c:v>4.2662238696246288E-2</c:v>
                </c:pt>
                <c:pt idx="15">
                  <c:v>5.7285346209902865E-3</c:v>
                </c:pt>
                <c:pt idx="16">
                  <c:v>0</c:v>
                </c:pt>
                <c:pt idx="17">
                  <c:v>2.591845539788553E-3</c:v>
                </c:pt>
                <c:pt idx="18">
                  <c:v>2.4740446330263628E-2</c:v>
                </c:pt>
                <c:pt idx="19">
                  <c:v>2.4486343578116906E-2</c:v>
                </c:pt>
                <c:pt idx="20">
                  <c:v>5.4354987431372405E-3</c:v>
                </c:pt>
                <c:pt idx="21">
                  <c:v>1.2319569594840592E-2</c:v>
                </c:pt>
                <c:pt idx="22">
                  <c:v>0</c:v>
                </c:pt>
                <c:pt idx="23">
                  <c:v>0</c:v>
                </c:pt>
                <c:pt idx="24">
                  <c:v>2.036395454775991E-2</c:v>
                </c:pt>
                <c:pt idx="25">
                  <c:v>3.5183792841159529E-3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1.025241175340438E-2</c:v>
                </c:pt>
                <c:pt idx="33">
                  <c:v>7.0655284568076557E-3</c:v>
                </c:pt>
                <c:pt idx="34">
                  <c:v>3.1403561770720991E-3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2.9706096899232353E-4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1.1214476188139977E-2</c:v>
                </c:pt>
                <c:pt idx="52">
                  <c:v>0.12356238479325059</c:v>
                </c:pt>
                <c:pt idx="53">
                  <c:v>0.4353702051547183</c:v>
                </c:pt>
                <c:pt idx="54">
                  <c:v>0.45622573741800793</c:v>
                </c:pt>
                <c:pt idx="55">
                  <c:v>0.75074233100974019</c:v>
                </c:pt>
                <c:pt idx="56">
                  <c:v>2.9308665569481409</c:v>
                </c:pt>
                <c:pt idx="57">
                  <c:v>12.583304344940883</c:v>
                </c:pt>
                <c:pt idx="58">
                  <c:v>25.464634770438447</c:v>
                </c:pt>
                <c:pt idx="59">
                  <c:v>42.103719891931561</c:v>
                </c:pt>
                <c:pt idx="60">
                  <c:v>52.388619007464662</c:v>
                </c:pt>
                <c:pt idx="61">
                  <c:v>44.254710277426049</c:v>
                </c:pt>
                <c:pt idx="62">
                  <c:v>41.545434777691639</c:v>
                </c:pt>
                <c:pt idx="63">
                  <c:v>41.598040972687059</c:v>
                </c:pt>
                <c:pt idx="64">
                  <c:v>33.252419427200714</c:v>
                </c:pt>
                <c:pt idx="65">
                  <c:v>27.993113510155617</c:v>
                </c:pt>
                <c:pt idx="66">
                  <c:v>23.093211144418405</c:v>
                </c:pt>
                <c:pt idx="67">
                  <c:v>18.989044503448103</c:v>
                </c:pt>
                <c:pt idx="68">
                  <c:v>15.566756002316611</c:v>
                </c:pt>
                <c:pt idx="69">
                  <c:v>14.556653371844025</c:v>
                </c:pt>
                <c:pt idx="70">
                  <c:v>12.859136473522469</c:v>
                </c:pt>
                <c:pt idx="71">
                  <c:v>11.567426614681498</c:v>
                </c:pt>
                <c:pt idx="72">
                  <c:v>13.477447457185487</c:v>
                </c:pt>
                <c:pt idx="73">
                  <c:v>11.506614019594451</c:v>
                </c:pt>
                <c:pt idx="74">
                  <c:v>7.2992632505662938</c:v>
                </c:pt>
                <c:pt idx="75">
                  <c:v>6.4159524037580251</c:v>
                </c:pt>
                <c:pt idx="76">
                  <c:v>4.7808864838763672</c:v>
                </c:pt>
                <c:pt idx="77">
                  <c:v>5.4989716108118971</c:v>
                </c:pt>
                <c:pt idx="78">
                  <c:v>5.6827620594423944</c:v>
                </c:pt>
                <c:pt idx="79">
                  <c:v>3.987279709503154</c:v>
                </c:pt>
                <c:pt idx="80">
                  <c:v>3.1909701186932158</c:v>
                </c:pt>
                <c:pt idx="81">
                  <c:v>3.1399475167085042</c:v>
                </c:pt>
                <c:pt idx="82">
                  <c:v>2.6239824193536299</c:v>
                </c:pt>
                <c:pt idx="83">
                  <c:v>1.5551235760058977</c:v>
                </c:pt>
                <c:pt idx="84">
                  <c:v>2.4756264780334889</c:v>
                </c:pt>
                <c:pt idx="85">
                  <c:v>2.6514899669602037</c:v>
                </c:pt>
                <c:pt idx="86">
                  <c:v>1.653224980053533</c:v>
                </c:pt>
                <c:pt idx="87">
                  <c:v>1.9311951652373449</c:v>
                </c:pt>
                <c:pt idx="88">
                  <c:v>1.8236552404798809</c:v>
                </c:pt>
                <c:pt idx="89">
                  <c:v>1.4374282733853239</c:v>
                </c:pt>
                <c:pt idx="90">
                  <c:v>1.0315109894299381</c:v>
                </c:pt>
                <c:pt idx="91">
                  <c:v>0.85879668057662406</c:v>
                </c:pt>
                <c:pt idx="92">
                  <c:v>0.76605144362465383</c:v>
                </c:pt>
                <c:pt idx="93">
                  <c:v>0.76893368041346</c:v>
                </c:pt>
                <c:pt idx="94">
                  <c:v>0.7163156177390847</c:v>
                </c:pt>
                <c:pt idx="95">
                  <c:v>0.76186541977796662</c:v>
                </c:pt>
                <c:pt idx="96">
                  <c:v>0.85191381113272668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AB-4637-B904-C01523069365}"/>
            </c:ext>
          </c:extLst>
        </c:ser>
        <c:ser>
          <c:idx val="2"/>
          <c:order val="3"/>
          <c:tx>
            <c:strRef>
              <c:f>'storm time series'!$V$1:$W$1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'storm time series'!$M$3:$M$99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 time series'!$W$3:$W$99</c:f>
              <c:numCache>
                <c:formatCode>0.0</c:formatCode>
                <c:ptCount val="97"/>
                <c:pt idx="0">
                  <c:v>0.18387499144555899</c:v>
                </c:pt>
                <c:pt idx="1">
                  <c:v>0.25885210263706637</c:v>
                </c:pt>
                <c:pt idx="2">
                  <c:v>0.2679990817116748</c:v>
                </c:pt>
                <c:pt idx="3">
                  <c:v>8.4437456664127955E-2</c:v>
                </c:pt>
                <c:pt idx="4">
                  <c:v>0.21387166118146408</c:v>
                </c:pt>
                <c:pt idx="5">
                  <c:v>0.11611424772050637</c:v>
                </c:pt>
                <c:pt idx="6">
                  <c:v>0.28904173882478912</c:v>
                </c:pt>
                <c:pt idx="7">
                  <c:v>0.41401608730206352</c:v>
                </c:pt>
                <c:pt idx="8">
                  <c:v>0.37595110699450979</c:v>
                </c:pt>
                <c:pt idx="9">
                  <c:v>0.32832993687627676</c:v>
                </c:pt>
                <c:pt idx="10">
                  <c:v>0.1545646445840653</c:v>
                </c:pt>
                <c:pt idx="11">
                  <c:v>0.1661575412214934</c:v>
                </c:pt>
                <c:pt idx="12">
                  <c:v>0.11590871459779384</c:v>
                </c:pt>
                <c:pt idx="13">
                  <c:v>0.1906380319694311</c:v>
                </c:pt>
                <c:pt idx="14">
                  <c:v>0.15927089122920141</c:v>
                </c:pt>
                <c:pt idx="15">
                  <c:v>0.12648970894726924</c:v>
                </c:pt>
                <c:pt idx="16">
                  <c:v>5.1540645491778773E-2</c:v>
                </c:pt>
                <c:pt idx="17">
                  <c:v>9.3263601926499753E-2</c:v>
                </c:pt>
                <c:pt idx="18">
                  <c:v>0.12752932658561247</c:v>
                </c:pt>
                <c:pt idx="19">
                  <c:v>6.89125322410028E-2</c:v>
                </c:pt>
                <c:pt idx="20">
                  <c:v>6.2117692259651233E-2</c:v>
                </c:pt>
                <c:pt idx="21">
                  <c:v>0.11719175841006163</c:v>
                </c:pt>
                <c:pt idx="22">
                  <c:v>4.6154242191037601E-2</c:v>
                </c:pt>
                <c:pt idx="23">
                  <c:v>9.7113584007031614E-2</c:v>
                </c:pt>
                <c:pt idx="24">
                  <c:v>7.5469528456629062E-2</c:v>
                </c:pt>
                <c:pt idx="25">
                  <c:v>6.0166179700333316E-3</c:v>
                </c:pt>
                <c:pt idx="26">
                  <c:v>2.5115170048585302E-2</c:v>
                </c:pt>
                <c:pt idx="27">
                  <c:v>0</c:v>
                </c:pt>
                <c:pt idx="28">
                  <c:v>1.2415273280719737E-2</c:v>
                </c:pt>
                <c:pt idx="29">
                  <c:v>3.2936033398705345E-3</c:v>
                </c:pt>
                <c:pt idx="30">
                  <c:v>1.7006332780485543E-2</c:v>
                </c:pt>
                <c:pt idx="31">
                  <c:v>3.2390421460197674E-2</c:v>
                </c:pt>
                <c:pt idx="32">
                  <c:v>5.6449901725794865E-2</c:v>
                </c:pt>
                <c:pt idx="33">
                  <c:v>9.4626422505232996E-2</c:v>
                </c:pt>
                <c:pt idx="34">
                  <c:v>4.2735847760294036E-2</c:v>
                </c:pt>
                <c:pt idx="35">
                  <c:v>0</c:v>
                </c:pt>
                <c:pt idx="36">
                  <c:v>9.9482618672082509E-4</c:v>
                </c:pt>
                <c:pt idx="37">
                  <c:v>3.6123150583565009E-2</c:v>
                </c:pt>
                <c:pt idx="38">
                  <c:v>0</c:v>
                </c:pt>
                <c:pt idx="39">
                  <c:v>0</c:v>
                </c:pt>
                <c:pt idx="40">
                  <c:v>2.9568798806384536E-3</c:v>
                </c:pt>
                <c:pt idx="41">
                  <c:v>0</c:v>
                </c:pt>
                <c:pt idx="42">
                  <c:v>2.0127352366140858E-2</c:v>
                </c:pt>
                <c:pt idx="43">
                  <c:v>0</c:v>
                </c:pt>
                <c:pt idx="44">
                  <c:v>2.4219448497937297E-2</c:v>
                </c:pt>
                <c:pt idx="45">
                  <c:v>0</c:v>
                </c:pt>
                <c:pt idx="46">
                  <c:v>4.1877424957678525E-3</c:v>
                </c:pt>
                <c:pt idx="47">
                  <c:v>1.7968963442895412E-2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2.301682004262575E-2</c:v>
                </c:pt>
                <c:pt idx="52">
                  <c:v>0.42764466742697926</c:v>
                </c:pt>
                <c:pt idx="53">
                  <c:v>0.90410466118547261</c:v>
                </c:pt>
                <c:pt idx="54">
                  <c:v>0.62401512213386201</c:v>
                </c:pt>
                <c:pt idx="55">
                  <c:v>0.28750042030984252</c:v>
                </c:pt>
                <c:pt idx="56">
                  <c:v>0.9863809757657177</c:v>
                </c:pt>
                <c:pt idx="57">
                  <c:v>10.812908300608651</c:v>
                </c:pt>
                <c:pt idx="58">
                  <c:v>21.823328669542274</c:v>
                </c:pt>
                <c:pt idx="59">
                  <c:v>40.498401383901985</c:v>
                </c:pt>
                <c:pt idx="60">
                  <c:v>52.388619007464662</c:v>
                </c:pt>
                <c:pt idx="61">
                  <c:v>32.303485376374532</c:v>
                </c:pt>
                <c:pt idx="62">
                  <c:v>28.823432499359861</c:v>
                </c:pt>
                <c:pt idx="63">
                  <c:v>29.049061001236321</c:v>
                </c:pt>
                <c:pt idx="64">
                  <c:v>18.509432528055576</c:v>
                </c:pt>
                <c:pt idx="65">
                  <c:v>15.099248436022899</c:v>
                </c:pt>
                <c:pt idx="66">
                  <c:v>11.196295187210989</c:v>
                </c:pt>
                <c:pt idx="67">
                  <c:v>9.2749948666787478</c:v>
                </c:pt>
                <c:pt idx="68">
                  <c:v>7.4993224824178188</c:v>
                </c:pt>
                <c:pt idx="69">
                  <c:v>7.282781769147272</c:v>
                </c:pt>
                <c:pt idx="70">
                  <c:v>5.8850242445094674</c:v>
                </c:pt>
                <c:pt idx="71">
                  <c:v>6.594923181443936</c:v>
                </c:pt>
                <c:pt idx="72">
                  <c:v>8.8722063639566624</c:v>
                </c:pt>
                <c:pt idx="73">
                  <c:v>7.6003439499819434</c:v>
                </c:pt>
                <c:pt idx="74">
                  <c:v>4.3076815904663652</c:v>
                </c:pt>
                <c:pt idx="75">
                  <c:v>2.7722667044327545</c:v>
                </c:pt>
                <c:pt idx="76">
                  <c:v>1.6864930147137396</c:v>
                </c:pt>
                <c:pt idx="77">
                  <c:v>2.570939353532562</c:v>
                </c:pt>
                <c:pt idx="78">
                  <c:v>2.3383379318443756</c:v>
                </c:pt>
                <c:pt idx="79">
                  <c:v>1.653259595296525</c:v>
                </c:pt>
                <c:pt idx="80">
                  <c:v>1.3741578979255835</c:v>
                </c:pt>
                <c:pt idx="81">
                  <c:v>1.0257683113662293</c:v>
                </c:pt>
                <c:pt idx="82">
                  <c:v>1.070243099753162</c:v>
                </c:pt>
                <c:pt idx="83">
                  <c:v>0.48044031658571151</c:v>
                </c:pt>
                <c:pt idx="84">
                  <c:v>0.84399493234906009</c:v>
                </c:pt>
                <c:pt idx="85">
                  <c:v>1.0641074704228883</c:v>
                </c:pt>
                <c:pt idx="86">
                  <c:v>0.43867493447335582</c:v>
                </c:pt>
                <c:pt idx="87">
                  <c:v>0.66905511693843145</c:v>
                </c:pt>
                <c:pt idx="88">
                  <c:v>0.70145331668485433</c:v>
                </c:pt>
                <c:pt idx="89">
                  <c:v>0.50774901952196794</c:v>
                </c:pt>
                <c:pt idx="90">
                  <c:v>0.38354601757574636</c:v>
                </c:pt>
                <c:pt idx="91">
                  <c:v>0.32671071279536706</c:v>
                </c:pt>
                <c:pt idx="92">
                  <c:v>0.16313376162635718</c:v>
                </c:pt>
                <c:pt idx="93">
                  <c:v>0.28006587184589576</c:v>
                </c:pt>
                <c:pt idx="94">
                  <c:v>0.23194268064360765</c:v>
                </c:pt>
                <c:pt idx="95">
                  <c:v>0.26327712934970576</c:v>
                </c:pt>
                <c:pt idx="96">
                  <c:v>0.41052763431359102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B-4637-B904-C0152306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4 -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 time series'!$Y$3:$Y$100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 time series'!$AA$3:$AA$100</c:f>
              <c:numCache>
                <c:formatCode>0.0000</c:formatCode>
                <c:ptCount val="98"/>
                <c:pt idx="0">
                  <c:v>0.85462156099999997</c:v>
                </c:pt>
                <c:pt idx="1">
                  <c:v>0.99067576999999996</c:v>
                </c:pt>
                <c:pt idx="2">
                  <c:v>1.1441742989999999</c:v>
                </c:pt>
                <c:pt idx="3">
                  <c:v>0.73432993800000002</c:v>
                </c:pt>
                <c:pt idx="4">
                  <c:v>1.317101139</c:v>
                </c:pt>
                <c:pt idx="5">
                  <c:v>1.1441742989999999</c:v>
                </c:pt>
                <c:pt idx="6">
                  <c:v>1.257509953</c:v>
                </c:pt>
                <c:pt idx="7">
                  <c:v>0.85462156099999997</c:v>
                </c:pt>
                <c:pt idx="8">
                  <c:v>1.257509953</c:v>
                </c:pt>
                <c:pt idx="9">
                  <c:v>0.85462156099999997</c:v>
                </c:pt>
                <c:pt idx="10">
                  <c:v>0.99067576999999996</c:v>
                </c:pt>
                <c:pt idx="11">
                  <c:v>0.99067576999999996</c:v>
                </c:pt>
                <c:pt idx="12">
                  <c:v>0.99067576999999996</c:v>
                </c:pt>
                <c:pt idx="13">
                  <c:v>1.1441742989999999</c:v>
                </c:pt>
                <c:pt idx="14">
                  <c:v>0.99067576999999996</c:v>
                </c:pt>
                <c:pt idx="15">
                  <c:v>0.66228851600000005</c:v>
                </c:pt>
                <c:pt idx="16">
                  <c:v>0.99067576999999996</c:v>
                </c:pt>
                <c:pt idx="17">
                  <c:v>1.4444654269999999</c:v>
                </c:pt>
                <c:pt idx="18">
                  <c:v>0.99067576999999996</c:v>
                </c:pt>
                <c:pt idx="19">
                  <c:v>0.85462156099999997</c:v>
                </c:pt>
                <c:pt idx="20">
                  <c:v>0.99067576999999996</c:v>
                </c:pt>
                <c:pt idx="21">
                  <c:v>0.99067576999999996</c:v>
                </c:pt>
                <c:pt idx="22">
                  <c:v>0.89783227600000004</c:v>
                </c:pt>
                <c:pt idx="23">
                  <c:v>0.99067576999999996</c:v>
                </c:pt>
                <c:pt idx="24">
                  <c:v>1.1441742989999999</c:v>
                </c:pt>
                <c:pt idx="25">
                  <c:v>0.89783227600000004</c:v>
                </c:pt>
                <c:pt idx="26">
                  <c:v>1.1441742989999999</c:v>
                </c:pt>
                <c:pt idx="27">
                  <c:v>0.73432993800000002</c:v>
                </c:pt>
                <c:pt idx="28">
                  <c:v>0.85462156099999997</c:v>
                </c:pt>
                <c:pt idx="29">
                  <c:v>1.145105356</c:v>
                </c:pt>
                <c:pt idx="30">
                  <c:v>1.257509953</c:v>
                </c:pt>
                <c:pt idx="31">
                  <c:v>1.145105356</c:v>
                </c:pt>
                <c:pt idx="32">
                  <c:v>1.318149035</c:v>
                </c:pt>
                <c:pt idx="33">
                  <c:v>1.318149035</c:v>
                </c:pt>
                <c:pt idx="34">
                  <c:v>1.145105356</c:v>
                </c:pt>
                <c:pt idx="35">
                  <c:v>1.145105356</c:v>
                </c:pt>
                <c:pt idx="36">
                  <c:v>0.99150227300000005</c:v>
                </c:pt>
                <c:pt idx="37">
                  <c:v>0.99150227300000005</c:v>
                </c:pt>
                <c:pt idx="38">
                  <c:v>0.99150227300000005</c:v>
                </c:pt>
                <c:pt idx="39">
                  <c:v>1.145105356</c:v>
                </c:pt>
                <c:pt idx="40">
                  <c:v>0.89859415399999998</c:v>
                </c:pt>
                <c:pt idx="41">
                  <c:v>0.89859415399999998</c:v>
                </c:pt>
                <c:pt idx="42">
                  <c:v>0.85535298199999998</c:v>
                </c:pt>
                <c:pt idx="43">
                  <c:v>0.66228851600000005</c:v>
                </c:pt>
                <c:pt idx="44">
                  <c:v>0.475692385</c:v>
                </c:pt>
                <c:pt idx="45">
                  <c:v>0.77321039300000005</c:v>
                </c:pt>
                <c:pt idx="46">
                  <c:v>0.56216848100000005</c:v>
                </c:pt>
                <c:pt idx="47">
                  <c:v>0.73432993800000002</c:v>
                </c:pt>
                <c:pt idx="48">
                  <c:v>0.85462156099999997</c:v>
                </c:pt>
                <c:pt idx="49">
                  <c:v>0.772537527</c:v>
                </c:pt>
                <c:pt idx="50">
                  <c:v>0.85462156099999997</c:v>
                </c:pt>
                <c:pt idx="51">
                  <c:v>0.89783227600000004</c:v>
                </c:pt>
                <c:pt idx="52">
                  <c:v>0.56216848100000005</c:v>
                </c:pt>
                <c:pt idx="53">
                  <c:v>0.77321039300000005</c:v>
                </c:pt>
                <c:pt idx="54">
                  <c:v>0.89859415399999998</c:v>
                </c:pt>
                <c:pt idx="55">
                  <c:v>1.5125919880000001</c:v>
                </c:pt>
                <c:pt idx="56">
                  <c:v>1.654461261</c:v>
                </c:pt>
                <c:pt idx="57">
                  <c:v>1.5125919880000001</c:v>
                </c:pt>
                <c:pt idx="58">
                  <c:v>1.88950475</c:v>
                </c:pt>
                <c:pt idx="59">
                  <c:v>4.4021109559999996</c:v>
                </c:pt>
                <c:pt idx="60">
                  <c:v>14.6021538</c:v>
                </c:pt>
                <c:pt idx="61">
                  <c:v>13.238676509999999</c:v>
                </c:pt>
                <c:pt idx="62">
                  <c:v>14.6021538</c:v>
                </c:pt>
                <c:pt idx="63">
                  <c:v>20.131538750000001</c:v>
                </c:pt>
                <c:pt idx="64">
                  <c:v>10.529934320000001</c:v>
                </c:pt>
                <c:pt idx="65">
                  <c:v>5.509495866</c:v>
                </c:pt>
                <c:pt idx="66">
                  <c:v>9.2095990650000008</c:v>
                </c:pt>
                <c:pt idx="67">
                  <c:v>6.5397134279999998</c:v>
                </c:pt>
                <c:pt idx="68">
                  <c:v>3.8698277910000001</c:v>
                </c:pt>
                <c:pt idx="69">
                  <c:v>5.509495866</c:v>
                </c:pt>
                <c:pt idx="70">
                  <c:v>2.6539428329999999</c:v>
                </c:pt>
                <c:pt idx="71">
                  <c:v>2.8809824239999999</c:v>
                </c:pt>
                <c:pt idx="72">
                  <c:v>2.6558198119999998</c:v>
                </c:pt>
                <c:pt idx="73">
                  <c:v>2.6558198119999998</c:v>
                </c:pt>
                <c:pt idx="74">
                  <c:v>2.0619739560000001</c:v>
                </c:pt>
                <c:pt idx="75">
                  <c:v>2.3436582540000002</c:v>
                </c:pt>
                <c:pt idx="76">
                  <c:v>2.0619739560000001</c:v>
                </c:pt>
                <c:pt idx="77">
                  <c:v>1.8086265969999999</c:v>
                </c:pt>
                <c:pt idx="78">
                  <c:v>2.3436582540000002</c:v>
                </c:pt>
                <c:pt idx="79">
                  <c:v>1.654461261</c:v>
                </c:pt>
                <c:pt idx="80">
                  <c:v>1.8086265969999999</c:v>
                </c:pt>
                <c:pt idx="81">
                  <c:v>1.8086265969999999</c:v>
                </c:pt>
                <c:pt idx="82">
                  <c:v>2.1522282119999998</c:v>
                </c:pt>
                <c:pt idx="83">
                  <c:v>1.88950475</c:v>
                </c:pt>
                <c:pt idx="84">
                  <c:v>2.1522282119999998</c:v>
                </c:pt>
                <c:pt idx="85">
                  <c:v>2.3419653060000001</c:v>
                </c:pt>
                <c:pt idx="86">
                  <c:v>1.654461261</c:v>
                </c:pt>
                <c:pt idx="87">
                  <c:v>1.5125919880000001</c:v>
                </c:pt>
                <c:pt idx="88">
                  <c:v>1.654461261</c:v>
                </c:pt>
                <c:pt idx="89">
                  <c:v>2.1522282119999998</c:v>
                </c:pt>
                <c:pt idx="90">
                  <c:v>1.511415151</c:v>
                </c:pt>
                <c:pt idx="91">
                  <c:v>1.729502407</c:v>
                </c:pt>
                <c:pt idx="92">
                  <c:v>1.511415151</c:v>
                </c:pt>
                <c:pt idx="93">
                  <c:v>1.654461261</c:v>
                </c:pt>
                <c:pt idx="94">
                  <c:v>1.4444654269999999</c:v>
                </c:pt>
                <c:pt idx="95">
                  <c:v>1.654461261</c:v>
                </c:pt>
                <c:pt idx="96">
                  <c:v>1.729502407</c:v>
                </c:pt>
                <c:pt idx="97">
                  <c:v>1.511415151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E5-4C7F-9F5A-E9242429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'storm time series'!$Y$3:$Y$100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 time series'!$AE$4:$AE$100</c:f>
              <c:numCache>
                <c:formatCode>0.000</c:formatCode>
                <c:ptCount val="97"/>
                <c:pt idx="0">
                  <c:v>24.834623711052632</c:v>
                </c:pt>
                <c:pt idx="1">
                  <c:v>29.921368797033395</c:v>
                </c:pt>
                <c:pt idx="2">
                  <c:v>17.593855701595938</c:v>
                </c:pt>
                <c:pt idx="3">
                  <c:v>31.416100892084852</c:v>
                </c:pt>
                <c:pt idx="4">
                  <c:v>31.72190310962235</c:v>
                </c:pt>
                <c:pt idx="5">
                  <c:v>32.296096210611431</c:v>
                </c:pt>
                <c:pt idx="6">
                  <c:v>22.560679543175702</c:v>
                </c:pt>
                <c:pt idx="7">
                  <c:v>28.745635725673324</c:v>
                </c:pt>
                <c:pt idx="8">
                  <c:v>20.797941855513933</c:v>
                </c:pt>
                <c:pt idx="9">
                  <c:v>22.415302573371232</c:v>
                </c:pt>
                <c:pt idx="10">
                  <c:v>25.000150459147054</c:v>
                </c:pt>
                <c:pt idx="11">
                  <c:v>20.794874277441039</c:v>
                </c:pt>
                <c:pt idx="12">
                  <c:v>25.851328026017967</c:v>
                </c:pt>
                <c:pt idx="13">
                  <c:v>24.344066247837816</c:v>
                </c:pt>
                <c:pt idx="14">
                  <c:v>13.897065098168484</c:v>
                </c:pt>
                <c:pt idx="15">
                  <c:v>25.042965983382995</c:v>
                </c:pt>
                <c:pt idx="16">
                  <c:v>34.074083109995165</c:v>
                </c:pt>
                <c:pt idx="17">
                  <c:v>23.299505046324192</c:v>
                </c:pt>
                <c:pt idx="18">
                  <c:v>19.74442880413374</c:v>
                </c:pt>
                <c:pt idx="19">
                  <c:v>24.481562219331547</c:v>
                </c:pt>
                <c:pt idx="20">
                  <c:v>26.305713580823937</c:v>
                </c:pt>
                <c:pt idx="21">
                  <c:v>18.195119915262755</c:v>
                </c:pt>
                <c:pt idx="22">
                  <c:v>22.286838718986882</c:v>
                </c:pt>
                <c:pt idx="23">
                  <c:v>28.029419693648578</c:v>
                </c:pt>
                <c:pt idx="24">
                  <c:v>20.924189043504651</c:v>
                </c:pt>
                <c:pt idx="25">
                  <c:v>23.617769736132988</c:v>
                </c:pt>
                <c:pt idx="26">
                  <c:v>15.019242595540955</c:v>
                </c:pt>
                <c:pt idx="27">
                  <c:v>22.200397561997416</c:v>
                </c:pt>
                <c:pt idx="28">
                  <c:v>34.072659579360547</c:v>
                </c:pt>
                <c:pt idx="29">
                  <c:v>36.075288113137567</c:v>
                </c:pt>
                <c:pt idx="30">
                  <c:v>33.162763445790141</c:v>
                </c:pt>
                <c:pt idx="31">
                  <c:v>33.154611821964082</c:v>
                </c:pt>
                <c:pt idx="32">
                  <c:v>33.299564222719859</c:v>
                </c:pt>
                <c:pt idx="33">
                  <c:v>30.497558859900899</c:v>
                </c:pt>
                <c:pt idx="34">
                  <c:v>30.662751949554721</c:v>
                </c:pt>
                <c:pt idx="35">
                  <c:v>26.413777935966973</c:v>
                </c:pt>
                <c:pt idx="36">
                  <c:v>31.648459436364803</c:v>
                </c:pt>
                <c:pt idx="37">
                  <c:v>27.358674605746323</c:v>
                </c:pt>
                <c:pt idx="38">
                  <c:v>30.783289155104974</c:v>
                </c:pt>
                <c:pt idx="39">
                  <c:v>24.968028454143379</c:v>
                </c:pt>
                <c:pt idx="40">
                  <c:v>32.017461353840112</c:v>
                </c:pt>
                <c:pt idx="41">
                  <c:v>25.807271531844108</c:v>
                </c:pt>
                <c:pt idx="42">
                  <c:v>20.356801407695279</c:v>
                </c:pt>
                <c:pt idx="43">
                  <c:v>10.688100700571788</c:v>
                </c:pt>
                <c:pt idx="44">
                  <c:v>23.029285130619289</c:v>
                </c:pt>
                <c:pt idx="45">
                  <c:v>16.506473735075257</c:v>
                </c:pt>
                <c:pt idx="46">
                  <c:v>23.363546554934821</c:v>
                </c:pt>
                <c:pt idx="47">
                  <c:v>28.447231957877804</c:v>
                </c:pt>
                <c:pt idx="48">
                  <c:v>20.83155278206107</c:v>
                </c:pt>
                <c:pt idx="49">
                  <c:v>22.46966438227409</c:v>
                </c:pt>
                <c:pt idx="50">
                  <c:v>27.631963081806077</c:v>
                </c:pt>
                <c:pt idx="51">
                  <c:v>14.01403997288701</c:v>
                </c:pt>
                <c:pt idx="52">
                  <c:v>23.323837793864588</c:v>
                </c:pt>
                <c:pt idx="53">
                  <c:v>30.475025054476774</c:v>
                </c:pt>
                <c:pt idx="54">
                  <c:v>39.976974540218343</c:v>
                </c:pt>
                <c:pt idx="55">
                  <c:v>44.357726288728202</c:v>
                </c:pt>
                <c:pt idx="56">
                  <c:v>35.519168131343648</c:v>
                </c:pt>
                <c:pt idx="57">
                  <c:v>45.33368254123814</c:v>
                </c:pt>
                <c:pt idx="58">
                  <c:v>54.471179758949042</c:v>
                </c:pt>
                <c:pt idx="59">
                  <c:v>66.475800518584137</c:v>
                </c:pt>
                <c:pt idx="60">
                  <c:v>67.895630319562855</c:v>
                </c:pt>
                <c:pt idx="61">
                  <c:v>74.369135417746435</c:v>
                </c:pt>
                <c:pt idx="62">
                  <c:v>75.463396074733694</c:v>
                </c:pt>
                <c:pt idx="63">
                  <c:v>72.887401129850275</c:v>
                </c:pt>
                <c:pt idx="64">
                  <c:v>62.926854263426122</c:v>
                </c:pt>
                <c:pt idx="65">
                  <c:v>68.058800694432833</c:v>
                </c:pt>
                <c:pt idx="66">
                  <c:v>70.468009795221292</c:v>
                </c:pt>
                <c:pt idx="67">
                  <c:v>64.629613249745333</c:v>
                </c:pt>
                <c:pt idx="68">
                  <c:v>66.88126761185822</c:v>
                </c:pt>
                <c:pt idx="69">
                  <c:v>55.372613673813277</c:v>
                </c:pt>
                <c:pt idx="70">
                  <c:v>54.095331733934266</c:v>
                </c:pt>
                <c:pt idx="71">
                  <c:v>50.626120782656123</c:v>
                </c:pt>
                <c:pt idx="72">
                  <c:v>50.571011673526229</c:v>
                </c:pt>
                <c:pt idx="73">
                  <c:v>44.121621251906596</c:v>
                </c:pt>
                <c:pt idx="74">
                  <c:v>47.547214629001694</c:v>
                </c:pt>
                <c:pt idx="75">
                  <c:v>42.572631686625165</c:v>
                </c:pt>
                <c:pt idx="76">
                  <c:v>40.070420028323532</c:v>
                </c:pt>
                <c:pt idx="77">
                  <c:v>42.498084377982146</c:v>
                </c:pt>
                <c:pt idx="78">
                  <c:v>33.937431496062899</c:v>
                </c:pt>
                <c:pt idx="79">
                  <c:v>36.855333381216369</c:v>
                </c:pt>
                <c:pt idx="80">
                  <c:v>38.071665105915713</c:v>
                </c:pt>
                <c:pt idx="81">
                  <c:v>47.072201205244433</c:v>
                </c:pt>
                <c:pt idx="82">
                  <c:v>45.078553070083458</c:v>
                </c:pt>
                <c:pt idx="83">
                  <c:v>41.386267006171423</c:v>
                </c:pt>
                <c:pt idx="84">
                  <c:v>42.245370956387312</c:v>
                </c:pt>
                <c:pt idx="85">
                  <c:v>35.631584116137674</c:v>
                </c:pt>
                <c:pt idx="86">
                  <c:v>32.853333490527433</c:v>
                </c:pt>
                <c:pt idx="87">
                  <c:v>28.940109598441055</c:v>
                </c:pt>
                <c:pt idx="88">
                  <c:v>34.940571287453785</c:v>
                </c:pt>
                <c:pt idx="89">
                  <c:v>27.320662019534588</c:v>
                </c:pt>
                <c:pt idx="90">
                  <c:v>31.385143033866363</c:v>
                </c:pt>
                <c:pt idx="91">
                  <c:v>26.560697547969596</c:v>
                </c:pt>
                <c:pt idx="92">
                  <c:v>28.640680563368452</c:v>
                </c:pt>
                <c:pt idx="93">
                  <c:v>25.922024993699843</c:v>
                </c:pt>
                <c:pt idx="94">
                  <c:v>27.024533240405859</c:v>
                </c:pt>
                <c:pt idx="95">
                  <c:v>28.461926274567773</c:v>
                </c:pt>
                <c:pt idx="96">
                  <c:v>25.826018806095679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5-4C7F-9F5A-E924242941B3}"/>
            </c:ext>
          </c:extLst>
        </c:ser>
        <c:ser>
          <c:idx val="1"/>
          <c:order val="2"/>
          <c:tx>
            <c:strRef>
              <c:f>'storm time series'!$AF$1:$AG$1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 time series'!$Y$3:$Y$100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 time series'!$AG$3:$AG$100</c:f>
              <c:numCache>
                <c:formatCode>0.000</c:formatCode>
                <c:ptCount val="98"/>
                <c:pt idx="0">
                  <c:v>0</c:v>
                </c:pt>
                <c:pt idx="1">
                  <c:v>2.46036002543434E-2</c:v>
                </c:pt>
                <c:pt idx="2">
                  <c:v>0.26935718833224398</c:v>
                </c:pt>
                <c:pt idx="3">
                  <c:v>0</c:v>
                </c:pt>
                <c:pt idx="4">
                  <c:v>0.56635848319803972</c:v>
                </c:pt>
                <c:pt idx="5">
                  <c:v>0.28556590068175303</c:v>
                </c:pt>
                <c:pt idx="6">
                  <c:v>0.48177501261502254</c:v>
                </c:pt>
                <c:pt idx="7">
                  <c:v>0</c:v>
                </c:pt>
                <c:pt idx="8">
                  <c:v>0.42881123848686109</c:v>
                </c:pt>
                <c:pt idx="9">
                  <c:v>0</c:v>
                </c:pt>
                <c:pt idx="10">
                  <c:v>2.2206784790137057E-2</c:v>
                </c:pt>
                <c:pt idx="11">
                  <c:v>2.4767587194065143E-2</c:v>
                </c:pt>
                <c:pt idx="12">
                  <c:v>2.0601430487299364E-2</c:v>
                </c:pt>
                <c:pt idx="13">
                  <c:v>0.23271799759485337</c:v>
                </c:pt>
                <c:pt idx="14">
                  <c:v>2.4117606189478606E-2</c:v>
                </c:pt>
                <c:pt idx="15">
                  <c:v>0</c:v>
                </c:pt>
                <c:pt idx="16">
                  <c:v>2.4810004427973643E-2</c:v>
                </c:pt>
                <c:pt idx="17">
                  <c:v>0.84078173958028679</c:v>
                </c:pt>
                <c:pt idx="18">
                  <c:v>2.3082761992028571E-2</c:v>
                </c:pt>
                <c:pt idx="19">
                  <c:v>0</c:v>
                </c:pt>
                <c:pt idx="20">
                  <c:v>2.4253823108187498E-2</c:v>
                </c:pt>
                <c:pt idx="21">
                  <c:v>2.606100534794098E-2</c:v>
                </c:pt>
                <c:pt idx="22">
                  <c:v>0</c:v>
                </c:pt>
                <c:pt idx="23">
                  <c:v>2.2079515967497396E-2</c:v>
                </c:pt>
                <c:pt idx="24">
                  <c:v>0.25232554467943186</c:v>
                </c:pt>
                <c:pt idx="25">
                  <c:v>0</c:v>
                </c:pt>
                <c:pt idx="26">
                  <c:v>0.21261113065903181</c:v>
                </c:pt>
                <c:pt idx="27">
                  <c:v>0</c:v>
                </c:pt>
                <c:pt idx="28">
                  <c:v>0</c:v>
                </c:pt>
                <c:pt idx="29">
                  <c:v>0.30838353838551735</c:v>
                </c:pt>
                <c:pt idx="30">
                  <c:v>0.53815087348194346</c:v>
                </c:pt>
                <c:pt idx="31">
                  <c:v>0.30014828488027834</c:v>
                </c:pt>
                <c:pt idx="32">
                  <c:v>0.59951305245541386</c:v>
                </c:pt>
                <c:pt idx="33">
                  <c:v>0.60213413143846706</c:v>
                </c:pt>
                <c:pt idx="34">
                  <c:v>0.27602615203639258</c:v>
                </c:pt>
                <c:pt idx="35">
                  <c:v>0.27752127540313853</c:v>
                </c:pt>
                <c:pt idx="36">
                  <c:v>2.7307482171067893E-2</c:v>
                </c:pt>
                <c:pt idx="37">
                  <c:v>3.2719277942572692E-2</c:v>
                </c:pt>
                <c:pt idx="38">
                  <c:v>2.8284349207129633E-2</c:v>
                </c:pt>
                <c:pt idx="39">
                  <c:v>0.27861222898332827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1.1285821563651852</c:v>
                </c:pt>
                <c:pt idx="56">
                  <c:v>1.5807015589024254</c:v>
                </c:pt>
                <c:pt idx="57">
                  <c:v>1.0027346947338662</c:v>
                </c:pt>
                <c:pt idx="58">
                  <c:v>2.1716112441035706</c:v>
                </c:pt>
                <c:pt idx="59">
                  <c:v>9.7526286861639733</c:v>
                </c:pt>
                <c:pt idx="60">
                  <c:v>47.291391731335388</c:v>
                </c:pt>
                <c:pt idx="61">
                  <c:v>43.469794072448202</c:v>
                </c:pt>
                <c:pt idx="62">
                  <c:v>52.906770408551139</c:v>
                </c:pt>
                <c:pt idx="63">
                  <c:v>75.463396074733694</c:v>
                </c:pt>
                <c:pt idx="64">
                  <c:v>36.361217930949145</c:v>
                </c:pt>
                <c:pt idx="65">
                  <c:v>14.903543988489609</c:v>
                </c:pt>
                <c:pt idx="66">
                  <c:v>29.262342158342207</c:v>
                </c:pt>
                <c:pt idx="67">
                  <c:v>20.478623117502558</c:v>
                </c:pt>
                <c:pt idx="68">
                  <c:v>9.7759277154848956</c:v>
                </c:pt>
                <c:pt idx="69">
                  <c:v>15.840103967164437</c:v>
                </c:pt>
                <c:pt idx="70">
                  <c:v>4.8617568617117994</c:v>
                </c:pt>
                <c:pt idx="71">
                  <c:v>5.3906273384398595</c:v>
                </c:pt>
                <c:pt idx="72">
                  <c:v>4.4499707865361486</c:v>
                </c:pt>
                <c:pt idx="73">
                  <c:v>4.4451267668500885</c:v>
                </c:pt>
                <c:pt idx="74">
                  <c:v>2.5107151583439165</c:v>
                </c:pt>
                <c:pt idx="75">
                  <c:v>3.4046764294859471</c:v>
                </c:pt>
                <c:pt idx="76">
                  <c:v>2.4225708093531004</c:v>
                </c:pt>
                <c:pt idx="77">
                  <c:v>1.7503395788127369</c:v>
                </c:pt>
                <c:pt idx="78">
                  <c:v>3.0431272853523774</c:v>
                </c:pt>
                <c:pt idx="79">
                  <c:v>1.2093710692426243</c:v>
                </c:pt>
                <c:pt idx="80">
                  <c:v>1.6098994884975806</c:v>
                </c:pt>
                <c:pt idx="81">
                  <c:v>1.6630307897717362</c:v>
                </c:pt>
                <c:pt idx="82">
                  <c:v>2.9003542378362117</c:v>
                </c:pt>
                <c:pt idx="83">
                  <c:v>2.1593898229172881</c:v>
                </c:pt>
                <c:pt idx="84">
                  <c:v>2.5500153344474761</c:v>
                </c:pt>
                <c:pt idx="85">
                  <c:v>3.0212986658691112</c:v>
                </c:pt>
                <c:pt idx="86">
                  <c:v>1.2697427318959313</c:v>
                </c:pt>
                <c:pt idx="87">
                  <c:v>0.92747603791833866</c:v>
                </c:pt>
                <c:pt idx="88">
                  <c:v>1.0312899281469101</c:v>
                </c:pt>
                <c:pt idx="89">
                  <c:v>2.1528637159779627</c:v>
                </c:pt>
                <c:pt idx="90">
                  <c:v>0.76960617959224586</c:v>
                </c:pt>
                <c:pt idx="91">
                  <c:v>1.2413420229682206</c:v>
                </c:pt>
                <c:pt idx="92">
                  <c:v>0.74819844967820559</c:v>
                </c:pt>
                <c:pt idx="93">
                  <c:v>1.02061968009499</c:v>
                </c:pt>
                <c:pt idx="94">
                  <c:v>0.63962881106119718</c:v>
                </c:pt>
                <c:pt idx="95">
                  <c:v>0.9630277607933887</c:v>
                </c:pt>
                <c:pt idx="96">
                  <c:v>1.1257232474970771</c:v>
                </c:pt>
                <c:pt idx="97">
                  <c:v>0.72750300315656036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A-4B47-B2A5-558A2B996C38}"/>
            </c:ext>
          </c:extLst>
        </c:ser>
        <c:ser>
          <c:idx val="2"/>
          <c:order val="3"/>
          <c:tx>
            <c:strRef>
              <c:f>'storm time series'!$AH$1:$AI$1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'storm time series'!$Y$3:$Y$100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 time series'!$AI$3:$AI$100</c:f>
              <c:numCache>
                <c:formatCode>0.000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1.2814256241200466</c:v>
                </c:pt>
                <c:pt idx="3">
                  <c:v>0</c:v>
                </c:pt>
                <c:pt idx="4">
                  <c:v>1.9061685866052305</c:v>
                </c:pt>
                <c:pt idx="5">
                  <c:v>2.0441023739070006</c:v>
                </c:pt>
                <c:pt idx="6">
                  <c:v>2.3126291916928707</c:v>
                </c:pt>
                <c:pt idx="7">
                  <c:v>0</c:v>
                </c:pt>
                <c:pt idx="8">
                  <c:v>0.84579696865609999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3.225322735224271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8.9252115792235465E-2</c:v>
                </c:pt>
                <c:pt idx="22">
                  <c:v>0</c:v>
                </c:pt>
                <c:pt idx="23">
                  <c:v>0</c:v>
                </c:pt>
                <c:pt idx="24">
                  <c:v>0.60355977751830847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3.2245416645164964</c:v>
                </c:pt>
                <c:pt idx="30">
                  <c:v>4.4062423064033478</c:v>
                </c:pt>
                <c:pt idx="31">
                  <c:v>2.7419453942947487</c:v>
                </c:pt>
                <c:pt idx="32">
                  <c:v>2.7377707368644835</c:v>
                </c:pt>
                <c:pt idx="33">
                  <c:v>2.8123958626163073</c:v>
                </c:pt>
                <c:pt idx="34">
                  <c:v>1.5126579055545719</c:v>
                </c:pt>
                <c:pt idx="35">
                  <c:v>1.5811530523312054</c:v>
                </c:pt>
                <c:pt idx="36">
                  <c:v>0.11872779343023863</c:v>
                </c:pt>
                <c:pt idx="37">
                  <c:v>2.0106554844907265</c:v>
                </c:pt>
                <c:pt idx="38">
                  <c:v>0.39209441464337624</c:v>
                </c:pt>
                <c:pt idx="39">
                  <c:v>1.6317573142081256</c:v>
                </c:pt>
                <c:pt idx="40">
                  <c:v>0</c:v>
                </c:pt>
                <c:pt idx="41">
                  <c:v>2.1807589246794392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0.74278070386149109</c:v>
                </c:pt>
                <c:pt idx="49">
                  <c:v>0</c:v>
                </c:pt>
                <c:pt idx="50">
                  <c:v>0</c:v>
                </c:pt>
                <c:pt idx="51">
                  <c:v>0.47648144387926056</c:v>
                </c:pt>
                <c:pt idx="52">
                  <c:v>0</c:v>
                </c:pt>
                <c:pt idx="53">
                  <c:v>0</c:v>
                </c:pt>
                <c:pt idx="54">
                  <c:v>1.5033910669225594</c:v>
                </c:pt>
                <c:pt idx="55">
                  <c:v>7.2131430291960283</c:v>
                </c:pt>
                <c:pt idx="56">
                  <c:v>11.236972072285161</c:v>
                </c:pt>
                <c:pt idx="57">
                  <c:v>4.0612120747554936</c:v>
                </c:pt>
                <c:pt idx="58">
                  <c:v>12.269179326256188</c:v>
                </c:pt>
                <c:pt idx="59">
                  <c:v>24.613500775913497</c:v>
                </c:pt>
                <c:pt idx="60">
                  <c:v>49.373292551783905</c:v>
                </c:pt>
                <c:pt idx="61">
                  <c:v>53.034122673910822</c:v>
                </c:pt>
                <c:pt idx="62">
                  <c:v>71.904537014948758</c:v>
                </c:pt>
                <c:pt idx="63">
                  <c:v>75.463396074733694</c:v>
                </c:pt>
                <c:pt idx="64">
                  <c:v>67.259673081945579</c:v>
                </c:pt>
                <c:pt idx="65">
                  <c:v>40.932036729940684</c:v>
                </c:pt>
                <c:pt idx="66">
                  <c:v>53.465504299338306</c:v>
                </c:pt>
                <c:pt idx="67">
                  <c:v>60.096118539580473</c:v>
                </c:pt>
                <c:pt idx="68">
                  <c:v>44.857841745807249</c:v>
                </c:pt>
                <c:pt idx="69">
                  <c:v>50.401845248959297</c:v>
                </c:pt>
                <c:pt idx="70">
                  <c:v>26.114678721144234</c:v>
                </c:pt>
                <c:pt idx="71">
                  <c:v>24.003510828343988</c:v>
                </c:pt>
                <c:pt idx="72">
                  <c:v>18.802062202385333</c:v>
                </c:pt>
                <c:pt idx="73">
                  <c:v>18.725522708448835</c:v>
                </c:pt>
                <c:pt idx="74">
                  <c:v>10.994938126081466</c:v>
                </c:pt>
                <c:pt idx="75">
                  <c:v>14.804804822462378</c:v>
                </c:pt>
                <c:pt idx="76">
                  <c:v>9.4796575785690216</c:v>
                </c:pt>
                <c:pt idx="77">
                  <c:v>7.2890105262002676</c:v>
                </c:pt>
                <c:pt idx="78">
                  <c:v>9.4098636144043137</c:v>
                </c:pt>
                <c:pt idx="79">
                  <c:v>3.1507179885471293</c:v>
                </c:pt>
                <c:pt idx="80">
                  <c:v>4.9126694839933398</c:v>
                </c:pt>
                <c:pt idx="81">
                  <c:v>5.7559767528714643</c:v>
                </c:pt>
                <c:pt idx="82">
                  <c:v>14.237450266178659</c:v>
                </c:pt>
                <c:pt idx="83">
                  <c:v>11.99437318598979</c:v>
                </c:pt>
                <c:pt idx="84">
                  <c:v>8.4023092955406735</c:v>
                </c:pt>
                <c:pt idx="85">
                  <c:v>9.1753710620374971</c:v>
                </c:pt>
                <c:pt idx="86">
                  <c:v>4.1298950454300813</c:v>
                </c:pt>
                <c:pt idx="87">
                  <c:v>2.585309108874037</c:v>
                </c:pt>
                <c:pt idx="88">
                  <c:v>0.91455935307769887</c:v>
                </c:pt>
                <c:pt idx="89">
                  <c:v>3.7161295276776114</c:v>
                </c:pt>
                <c:pt idx="90">
                  <c:v>0.38054812454506753</c:v>
                </c:pt>
                <c:pt idx="91">
                  <c:v>1.8923996239087555</c:v>
                </c:pt>
                <c:pt idx="92">
                  <c:v>0.15938427926016815</c:v>
                </c:pt>
                <c:pt idx="93">
                  <c:v>0.80922086828832873</c:v>
                </c:pt>
                <c:pt idx="94">
                  <c:v>0</c:v>
                </c:pt>
                <c:pt idx="95">
                  <c:v>0.2921872300271019</c:v>
                </c:pt>
                <c:pt idx="96">
                  <c:v>0.74778326174738563</c:v>
                </c:pt>
                <c:pt idx="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5A-4B47-B2A5-558A2B99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5 -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 time series'!$AK$3:$AK$99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 time series'!$AM$3:$AM$99</c:f>
              <c:numCache>
                <c:formatCode>General</c:formatCode>
                <c:ptCount val="97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 time series'!$AK$3:$AK$99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 time series'!$AQ$3:$AQ$99</c:f>
              <c:numCache>
                <c:formatCode>0.00</c:formatCode>
                <c:ptCount val="97"/>
                <c:pt idx="0">
                  <c:v>8.0363282851212663</c:v>
                </c:pt>
                <c:pt idx="1">
                  <c:v>16.253130487710635</c:v>
                </c:pt>
                <c:pt idx="2">
                  <c:v>10.535536766165974</c:v>
                </c:pt>
                <c:pt idx="3">
                  <c:v>18.684885468832288</c:v>
                </c:pt>
                <c:pt idx="4">
                  <c:v>17.640772512635152</c:v>
                </c:pt>
                <c:pt idx="5">
                  <c:v>13.172981394580948</c:v>
                </c:pt>
                <c:pt idx="6">
                  <c:v>13.805109624900602</c:v>
                </c:pt>
                <c:pt idx="7">
                  <c:v>12.128814236870042</c:v>
                </c:pt>
                <c:pt idx="8">
                  <c:v>13.959466228967017</c:v>
                </c:pt>
                <c:pt idx="9">
                  <c:v>10.978402578063717</c:v>
                </c:pt>
                <c:pt idx="10">
                  <c:v>14.83588582432855</c:v>
                </c:pt>
                <c:pt idx="11">
                  <c:v>14.273234972770835</c:v>
                </c:pt>
                <c:pt idx="12">
                  <c:v>19.080874918651901</c:v>
                </c:pt>
                <c:pt idx="13">
                  <c:v>12.959321815719266</c:v>
                </c:pt>
                <c:pt idx="14">
                  <c:v>12.354980307207368</c:v>
                </c:pt>
                <c:pt idx="15">
                  <c:v>15.895817122994304</c:v>
                </c:pt>
                <c:pt idx="16">
                  <c:v>13.988698765594263</c:v>
                </c:pt>
                <c:pt idx="17">
                  <c:v>10.523883237973774</c:v>
                </c:pt>
                <c:pt idx="18">
                  <c:v>12.789791024101083</c:v>
                </c:pt>
                <c:pt idx="19">
                  <c:v>13.218935705818058</c:v>
                </c:pt>
                <c:pt idx="20">
                  <c:v>11.262693512806807</c:v>
                </c:pt>
                <c:pt idx="21">
                  <c:v>16.777436215677767</c:v>
                </c:pt>
                <c:pt idx="22">
                  <c:v>9.695425382061428</c:v>
                </c:pt>
                <c:pt idx="23">
                  <c:v>13.629787270141717</c:v>
                </c:pt>
                <c:pt idx="24">
                  <c:v>15.943264747477949</c:v>
                </c:pt>
                <c:pt idx="25">
                  <c:v>13.630558650220944</c:v>
                </c:pt>
                <c:pt idx="26">
                  <c:v>17.100413280789716</c:v>
                </c:pt>
                <c:pt idx="27">
                  <c:v>15.030792490474056</c:v>
                </c:pt>
                <c:pt idx="28">
                  <c:v>12.444379093197286</c:v>
                </c:pt>
                <c:pt idx="29">
                  <c:v>16.331480206862913</c:v>
                </c:pt>
                <c:pt idx="30">
                  <c:v>11.674756469924011</c:v>
                </c:pt>
                <c:pt idx="31">
                  <c:v>6.3091894975312455</c:v>
                </c:pt>
                <c:pt idx="32">
                  <c:v>9.7688957777668222</c:v>
                </c:pt>
                <c:pt idx="33">
                  <c:v>9.8459541994458224</c:v>
                </c:pt>
                <c:pt idx="34">
                  <c:v>12.912661147967409</c:v>
                </c:pt>
                <c:pt idx="35">
                  <c:v>13.655784598711882</c:v>
                </c:pt>
                <c:pt idx="36">
                  <c:v>16.552044794136915</c:v>
                </c:pt>
                <c:pt idx="37">
                  <c:v>11.044128025648384</c:v>
                </c:pt>
                <c:pt idx="38">
                  <c:v>11.696574784232283</c:v>
                </c:pt>
                <c:pt idx="39">
                  <c:v>12.490124065586047</c:v>
                </c:pt>
                <c:pt idx="40">
                  <c:v>16.724463748255641</c:v>
                </c:pt>
                <c:pt idx="41">
                  <c:v>13.706978432163005</c:v>
                </c:pt>
                <c:pt idx="42">
                  <c:v>11.506520376444639</c:v>
                </c:pt>
                <c:pt idx="43">
                  <c:v>15.764736627470365</c:v>
                </c:pt>
                <c:pt idx="44">
                  <c:v>12.526160718124604</c:v>
                </c:pt>
                <c:pt idx="45">
                  <c:v>13.352216283654387</c:v>
                </c:pt>
                <c:pt idx="46">
                  <c:v>7.3017872516010875</c:v>
                </c:pt>
                <c:pt idx="47">
                  <c:v>13.587866952177826</c:v>
                </c:pt>
                <c:pt idx="48">
                  <c:v>9.9986376926468417</c:v>
                </c:pt>
                <c:pt idx="49">
                  <c:v>10.57360785955937</c:v>
                </c:pt>
                <c:pt idx="50">
                  <c:v>13.305415372457322</c:v>
                </c:pt>
                <c:pt idx="51">
                  <c:v>14.047852945938359</c:v>
                </c:pt>
                <c:pt idx="52">
                  <c:v>14.301300513135727</c:v>
                </c:pt>
                <c:pt idx="53">
                  <c:v>13.041779616482009</c:v>
                </c:pt>
                <c:pt idx="54">
                  <c:v>7.5155366753704058</c:v>
                </c:pt>
                <c:pt idx="55">
                  <c:v>8.2596208166284804</c:v>
                </c:pt>
                <c:pt idx="56">
                  <c:v>10.715606686769718</c:v>
                </c:pt>
                <c:pt idx="57">
                  <c:v>8.806416776115098</c:v>
                </c:pt>
                <c:pt idx="58">
                  <c:v>14.200164389583941</c:v>
                </c:pt>
                <c:pt idx="59">
                  <c:v>10.499605913709754</c:v>
                </c:pt>
                <c:pt idx="60">
                  <c:v>13.702182629894377</c:v>
                </c:pt>
                <c:pt idx="61">
                  <c:v>15.690295798650439</c:v>
                </c:pt>
                <c:pt idx="62">
                  <c:v>10.194082820384464</c:v>
                </c:pt>
                <c:pt idx="63">
                  <c:v>12.489879304026099</c:v>
                </c:pt>
                <c:pt idx="64">
                  <c:v>11.760441570256852</c:v>
                </c:pt>
                <c:pt idx="65">
                  <c:v>18.928048678101096</c:v>
                </c:pt>
                <c:pt idx="66">
                  <c:v>4.9973783700160812</c:v>
                </c:pt>
                <c:pt idx="67">
                  <c:v>11.847193588816559</c:v>
                </c:pt>
                <c:pt idx="68">
                  <c:v>9.4637186769615891</c:v>
                </c:pt>
                <c:pt idx="69">
                  <c:v>10.111057332487507</c:v>
                </c:pt>
                <c:pt idx="70">
                  <c:v>12.325794379387315</c:v>
                </c:pt>
                <c:pt idx="71">
                  <c:v>13.532174577268366</c:v>
                </c:pt>
                <c:pt idx="72">
                  <c:v>11.667383665740866</c:v>
                </c:pt>
                <c:pt idx="73">
                  <c:v>12.60666592268014</c:v>
                </c:pt>
                <c:pt idx="74">
                  <c:v>36.822785439690144</c:v>
                </c:pt>
                <c:pt idx="75">
                  <c:v>41.575767813015752</c:v>
                </c:pt>
                <c:pt idx="76">
                  <c:v>34.109760413043801</c:v>
                </c:pt>
                <c:pt idx="77">
                  <c:v>29.560290618491003</c:v>
                </c:pt>
                <c:pt idx="78">
                  <c:v>24.977325558323379</c:v>
                </c:pt>
                <c:pt idx="79">
                  <c:v>17.471903101861329</c:v>
                </c:pt>
                <c:pt idx="80">
                  <c:v>23.237583535286383</c:v>
                </c:pt>
                <c:pt idx="81">
                  <c:v>25.165047965570441</c:v>
                </c:pt>
                <c:pt idx="82">
                  <c:v>27.938958525291447</c:v>
                </c:pt>
                <c:pt idx="83">
                  <c:v>43.539555051420827</c:v>
                </c:pt>
                <c:pt idx="84">
                  <c:v>37.676387217171367</c:v>
                </c:pt>
                <c:pt idx="85">
                  <c:v>29.02674252086134</c:v>
                </c:pt>
                <c:pt idx="86">
                  <c:v>23.634466339689034</c:v>
                </c:pt>
                <c:pt idx="87">
                  <c:v>19.958120775420671</c:v>
                </c:pt>
                <c:pt idx="88">
                  <c:v>23.848209119595776</c:v>
                </c:pt>
                <c:pt idx="89">
                  <c:v>14.999767124446439</c:v>
                </c:pt>
                <c:pt idx="90">
                  <c:v>18.474073292647134</c:v>
                </c:pt>
                <c:pt idx="91">
                  <c:v>14.492639081801148</c:v>
                </c:pt>
                <c:pt idx="92">
                  <c:v>15.564031479115961</c:v>
                </c:pt>
                <c:pt idx="93">
                  <c:v>11.006558477905832</c:v>
                </c:pt>
                <c:pt idx="94">
                  <c:v>13.094573920461817</c:v>
                </c:pt>
                <c:pt idx="95">
                  <c:v>12.194879706571419</c:v>
                </c:pt>
                <c:pt idx="96">
                  <c:v>9.4011139527273802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29-478E-890C-3BA9DC21B160}"/>
            </c:ext>
          </c:extLst>
        </c:ser>
        <c:ser>
          <c:idx val="1"/>
          <c:order val="2"/>
          <c:tx>
            <c:strRef>
              <c:f>'storm time series'!$AR$1:$AS$1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 time series'!$AK$3:$AK$99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 time series'!$AS$3:$AS$99</c:f>
              <c:numCache>
                <c:formatCode>0.00</c:formatCode>
                <c:ptCount val="97"/>
                <c:pt idx="0">
                  <c:v>0</c:v>
                </c:pt>
                <c:pt idx="1">
                  <c:v>1.8380956071442722</c:v>
                </c:pt>
                <c:pt idx="2">
                  <c:v>0</c:v>
                </c:pt>
                <c:pt idx="3">
                  <c:v>0.94043647783388462</c:v>
                </c:pt>
                <c:pt idx="4">
                  <c:v>0.88788480912686074</c:v>
                </c:pt>
                <c:pt idx="5">
                  <c:v>0.4049457992806349</c:v>
                </c:pt>
                <c:pt idx="6">
                  <c:v>0.42437782182793382</c:v>
                </c:pt>
                <c:pt idx="7">
                  <c:v>0</c:v>
                </c:pt>
                <c:pt idx="8">
                  <c:v>0.42912284169364412</c:v>
                </c:pt>
                <c:pt idx="9">
                  <c:v>0</c:v>
                </c:pt>
                <c:pt idx="10">
                  <c:v>0.74671093025699675</c:v>
                </c:pt>
                <c:pt idx="11">
                  <c:v>0.44348230192118293</c:v>
                </c:pt>
                <c:pt idx="12">
                  <c:v>3.0455157692550858</c:v>
                </c:pt>
                <c:pt idx="13">
                  <c:v>0.40265783342995615</c:v>
                </c:pt>
                <c:pt idx="14">
                  <c:v>0.38388039693061526</c:v>
                </c:pt>
                <c:pt idx="15">
                  <c:v>0.4938973948142858</c:v>
                </c:pt>
                <c:pt idx="16">
                  <c:v>0.4346415049764597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1.1846429887567742</c:v>
                </c:pt>
                <c:pt idx="22">
                  <c:v>0</c:v>
                </c:pt>
                <c:pt idx="23">
                  <c:v>0.42348980065064146</c:v>
                </c:pt>
                <c:pt idx="24">
                  <c:v>0.49537163536079409</c:v>
                </c:pt>
                <c:pt idx="25">
                  <c:v>0.42351376812639902</c:v>
                </c:pt>
                <c:pt idx="26">
                  <c:v>1.5631075167384993</c:v>
                </c:pt>
                <c:pt idx="27">
                  <c:v>0.46702029820791413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0.41978747585602894</c:v>
                </c:pt>
                <c:pt idx="36">
                  <c:v>1.8719003608789548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0.84176570454798527</c:v>
                </c:pt>
                <c:pt idx="41">
                  <c:v>0</c:v>
                </c:pt>
                <c:pt idx="42">
                  <c:v>0</c:v>
                </c:pt>
                <c:pt idx="43">
                  <c:v>0.48982460542892048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0.42218729850986114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0.43963104430001587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0.78971458196349198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3.0132787105782115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1.2369434265841892</c:v>
                </c:pt>
                <c:pt idx="72">
                  <c:v>0</c:v>
                </c:pt>
                <c:pt idx="73">
                  <c:v>0.63451116772056382</c:v>
                </c:pt>
                <c:pt idx="74">
                  <c:v>0</c:v>
                </c:pt>
                <c:pt idx="75">
                  <c:v>41.575767813015752</c:v>
                </c:pt>
                <c:pt idx="76">
                  <c:v>34.109760413043801</c:v>
                </c:pt>
                <c:pt idx="77">
                  <c:v>16.872120811691968</c:v>
                </c:pt>
                <c:pt idx="78">
                  <c:v>12.328784534399025</c:v>
                </c:pt>
                <c:pt idx="79">
                  <c:v>6.7761376602755581</c:v>
                </c:pt>
                <c:pt idx="80">
                  <c:v>17.313573860119099</c:v>
                </c:pt>
                <c:pt idx="81">
                  <c:v>15.408713670094139</c:v>
                </c:pt>
                <c:pt idx="82">
                  <c:v>20.794019328451839</c:v>
                </c:pt>
                <c:pt idx="83">
                  <c:v>43.539555051420827</c:v>
                </c:pt>
                <c:pt idx="84">
                  <c:v>37.676387217171367</c:v>
                </c:pt>
                <c:pt idx="85">
                  <c:v>21.603620066023534</c:v>
                </c:pt>
                <c:pt idx="86">
                  <c:v>14.454577568255814</c:v>
                </c:pt>
                <c:pt idx="87">
                  <c:v>10.606843335983962</c:v>
                </c:pt>
                <c:pt idx="88">
                  <c:v>18.898250904586863</c:v>
                </c:pt>
                <c:pt idx="89">
                  <c:v>5.3226000968517297</c:v>
                </c:pt>
                <c:pt idx="90">
                  <c:v>9.8181388617467835</c:v>
                </c:pt>
                <c:pt idx="91">
                  <c:v>5.1426479851618838</c:v>
                </c:pt>
                <c:pt idx="92">
                  <c:v>5.5228267726325253</c:v>
                </c:pt>
                <c:pt idx="93">
                  <c:v>2.9106525048431577</c:v>
                </c:pt>
                <c:pt idx="94">
                  <c:v>4.2383506081176296</c:v>
                </c:pt>
                <c:pt idx="95">
                  <c:v>3.2249006113440992</c:v>
                </c:pt>
                <c:pt idx="96">
                  <c:v>1.2756533876080318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DB-4139-8A4C-F15DFB9E4D40}"/>
            </c:ext>
          </c:extLst>
        </c:ser>
        <c:ser>
          <c:idx val="2"/>
          <c:order val="3"/>
          <c:tx>
            <c:strRef>
              <c:f>'storm time series'!$AT$1:$AU$1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'storm time series'!$AK$3:$AK$99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 time series'!$AU$3:$AU$99</c:f>
              <c:numCache>
                <c:formatCode>0.00</c:formatCode>
                <c:ptCount val="97"/>
                <c:pt idx="0">
                  <c:v>0</c:v>
                </c:pt>
                <c:pt idx="1">
                  <c:v>0.82626267794973485</c:v>
                </c:pt>
                <c:pt idx="2">
                  <c:v>0</c:v>
                </c:pt>
                <c:pt idx="3">
                  <c:v>1.8514151371625771</c:v>
                </c:pt>
                <c:pt idx="4">
                  <c:v>1.3673756040315894</c:v>
                </c:pt>
                <c:pt idx="5">
                  <c:v>0</c:v>
                </c:pt>
                <c:pt idx="6">
                  <c:v>0.12855841947799879</c:v>
                </c:pt>
                <c:pt idx="7">
                  <c:v>0</c:v>
                </c:pt>
                <c:pt idx="8">
                  <c:v>0.16364254458422378</c:v>
                </c:pt>
                <c:pt idx="9">
                  <c:v>0</c:v>
                </c:pt>
                <c:pt idx="10">
                  <c:v>0.38481535966957764</c:v>
                </c:pt>
                <c:pt idx="11">
                  <c:v>0.23848267967542475</c:v>
                </c:pt>
                <c:pt idx="12">
                  <c:v>2.0532288899118583</c:v>
                </c:pt>
                <c:pt idx="13">
                  <c:v>0</c:v>
                </c:pt>
                <c:pt idx="14">
                  <c:v>0</c:v>
                </c:pt>
                <c:pt idx="15">
                  <c:v>0.7047658087839378</c:v>
                </c:pt>
                <c:pt idx="16">
                  <c:v>0.1704146932119624</c:v>
                </c:pt>
                <c:pt idx="17">
                  <c:v>0</c:v>
                </c:pt>
                <c:pt idx="18">
                  <c:v>0</c:v>
                </c:pt>
                <c:pt idx="19">
                  <c:v>5.4642939800140823E-3</c:v>
                </c:pt>
                <c:pt idx="20">
                  <c:v>0</c:v>
                </c:pt>
                <c:pt idx="21">
                  <c:v>1.0175272448188064</c:v>
                </c:pt>
                <c:pt idx="22">
                  <c:v>0</c:v>
                </c:pt>
                <c:pt idx="23">
                  <c:v>9.0073087462430854E-2</c:v>
                </c:pt>
                <c:pt idx="24">
                  <c:v>0.72049368003521908</c:v>
                </c:pt>
                <c:pt idx="25">
                  <c:v>9.0239263034444003E-2</c:v>
                </c:pt>
                <c:pt idx="26">
                  <c:v>1.1432329043373959</c:v>
                </c:pt>
                <c:pt idx="27">
                  <c:v>0.43923213825673918</c:v>
                </c:pt>
                <c:pt idx="28">
                  <c:v>0</c:v>
                </c:pt>
                <c:pt idx="29">
                  <c:v>0.85385365367173971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9.5688887865404332E-2</c:v>
                </c:pt>
                <c:pt idx="36">
                  <c:v>0.93338625109121354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0.99748931739448066</c:v>
                </c:pt>
                <c:pt idx="41">
                  <c:v>0.10683982121477066</c:v>
                </c:pt>
                <c:pt idx="42">
                  <c:v>0</c:v>
                </c:pt>
                <c:pt idx="43">
                  <c:v>0.66195433321180841</c:v>
                </c:pt>
                <c:pt idx="44">
                  <c:v>0</c:v>
                </c:pt>
                <c:pt idx="45">
                  <c:v>3.2064545706676155E-2</c:v>
                </c:pt>
                <c:pt idx="46">
                  <c:v>0</c:v>
                </c:pt>
                <c:pt idx="47">
                  <c:v>8.1084005007722365E-2</c:v>
                </c:pt>
                <c:pt idx="48">
                  <c:v>0</c:v>
                </c:pt>
                <c:pt idx="49">
                  <c:v>0</c:v>
                </c:pt>
                <c:pt idx="50">
                  <c:v>2.2632104830761283E-2</c:v>
                </c:pt>
                <c:pt idx="51">
                  <c:v>0.18424389963147769</c:v>
                </c:pt>
                <c:pt idx="52">
                  <c:v>0.24540979824925216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0.22062792532800679</c:v>
                </c:pt>
                <c:pt idx="59">
                  <c:v>0</c:v>
                </c:pt>
                <c:pt idx="60">
                  <c:v>0.1057900015255427</c:v>
                </c:pt>
                <c:pt idx="61">
                  <c:v>0.63805700598588366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1.9741246463839832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6.9267966597884228E-2</c:v>
                </c:pt>
                <c:pt idx="72">
                  <c:v>0</c:v>
                </c:pt>
                <c:pt idx="73">
                  <c:v>0</c:v>
                </c:pt>
                <c:pt idx="74">
                  <c:v>25.132491371139949</c:v>
                </c:pt>
                <c:pt idx="75">
                  <c:v>37.478753128333324</c:v>
                </c:pt>
                <c:pt idx="76">
                  <c:v>19.440387073878561</c:v>
                </c:pt>
                <c:pt idx="77">
                  <c:v>11.860462902816472</c:v>
                </c:pt>
                <c:pt idx="78">
                  <c:v>6.409186612086665</c:v>
                </c:pt>
                <c:pt idx="79">
                  <c:v>1.2954421677051648</c:v>
                </c:pt>
                <c:pt idx="80">
                  <c:v>4.8407460619542038</c:v>
                </c:pt>
                <c:pt idx="81">
                  <c:v>6.5939324607308993</c:v>
                </c:pt>
                <c:pt idx="82">
                  <c:v>9.6994932961778186</c:v>
                </c:pt>
                <c:pt idx="83">
                  <c:v>43.539555051420827</c:v>
                </c:pt>
                <c:pt idx="84">
                  <c:v>27.119739453068025</c:v>
                </c:pt>
                <c:pt idx="85">
                  <c:v>11.119796478409121</c:v>
                </c:pt>
                <c:pt idx="86">
                  <c:v>5.1762050249836697</c:v>
                </c:pt>
                <c:pt idx="87">
                  <c:v>2.5375905019495217</c:v>
                </c:pt>
                <c:pt idx="88">
                  <c:v>5.3622503173841283</c:v>
                </c:pt>
                <c:pt idx="89">
                  <c:v>0.43043953430756832</c:v>
                </c:pt>
                <c:pt idx="90">
                  <c:v>1.7481310031856034</c:v>
                </c:pt>
                <c:pt idx="91">
                  <c:v>0.29366841055615928</c:v>
                </c:pt>
                <c:pt idx="92">
                  <c:v>0.59820609208488906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B-4139-8A4C-F15DFB9E4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6 -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 time series'!$AW$3:$AW$99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 time series'!$AY$3:$AY$99</c:f>
              <c:numCache>
                <c:formatCode>0.0000</c:formatCode>
                <c:ptCount val="97"/>
                <c:pt idx="0">
                  <c:v>0.31440712500000001</c:v>
                </c:pt>
                <c:pt idx="1">
                  <c:v>0.50323377899999999</c:v>
                </c:pt>
                <c:pt idx="2">
                  <c:v>0.376777213</c:v>
                </c:pt>
                <c:pt idx="3">
                  <c:v>0.42386643899999998</c:v>
                </c:pt>
                <c:pt idx="4">
                  <c:v>0.42386643899999998</c:v>
                </c:pt>
                <c:pt idx="5">
                  <c:v>0.44894941300000002</c:v>
                </c:pt>
                <c:pt idx="6">
                  <c:v>0.376777213</c:v>
                </c:pt>
                <c:pt idx="7">
                  <c:v>0.44894941300000002</c:v>
                </c:pt>
                <c:pt idx="8">
                  <c:v>0.44894941300000002</c:v>
                </c:pt>
                <c:pt idx="9">
                  <c:v>0.35506608000000001</c:v>
                </c:pt>
                <c:pt idx="10">
                  <c:v>0.35506608000000001</c:v>
                </c:pt>
                <c:pt idx="11">
                  <c:v>0.35506608000000001</c:v>
                </c:pt>
                <c:pt idx="12">
                  <c:v>0.314737561</c:v>
                </c:pt>
                <c:pt idx="13">
                  <c:v>0.314737561</c:v>
                </c:pt>
                <c:pt idx="14">
                  <c:v>0.42386643899999998</c:v>
                </c:pt>
                <c:pt idx="15">
                  <c:v>0.377160934</c:v>
                </c:pt>
                <c:pt idx="16">
                  <c:v>0.26113539299999999</c:v>
                </c:pt>
                <c:pt idx="17">
                  <c:v>0.42386643899999998</c:v>
                </c:pt>
                <c:pt idx="18">
                  <c:v>0.35506608000000001</c:v>
                </c:pt>
                <c:pt idx="19">
                  <c:v>0.376777213</c:v>
                </c:pt>
                <c:pt idx="20">
                  <c:v>0.376777213</c:v>
                </c:pt>
                <c:pt idx="21">
                  <c:v>0.44894941300000002</c:v>
                </c:pt>
                <c:pt idx="22">
                  <c:v>0.44894941300000002</c:v>
                </c:pt>
                <c:pt idx="23">
                  <c:v>0.42386643899999998</c:v>
                </c:pt>
                <c:pt idx="24">
                  <c:v>0.33405227900000001</c:v>
                </c:pt>
                <c:pt idx="25">
                  <c:v>0.31440712500000001</c:v>
                </c:pt>
                <c:pt idx="26">
                  <c:v>0.376777213</c:v>
                </c:pt>
                <c:pt idx="27">
                  <c:v>0.376777213</c:v>
                </c:pt>
                <c:pt idx="28">
                  <c:v>0.31440712500000001</c:v>
                </c:pt>
                <c:pt idx="29">
                  <c:v>0.27800180299999999</c:v>
                </c:pt>
                <c:pt idx="30">
                  <c:v>0.33439968599999997</c:v>
                </c:pt>
                <c:pt idx="31">
                  <c:v>0.44939223900000003</c:v>
                </c:pt>
                <c:pt idx="32">
                  <c:v>0.377160934</c:v>
                </c:pt>
                <c:pt idx="33">
                  <c:v>0.44939223900000003</c:v>
                </c:pt>
                <c:pt idx="34">
                  <c:v>0.33439968599999997</c:v>
                </c:pt>
                <c:pt idx="35">
                  <c:v>0.377160934</c:v>
                </c:pt>
                <c:pt idx="36">
                  <c:v>0.33439968599999997</c:v>
                </c:pt>
                <c:pt idx="37">
                  <c:v>0.44939223900000003</c:v>
                </c:pt>
                <c:pt idx="38">
                  <c:v>0.377160934</c:v>
                </c:pt>
                <c:pt idx="39">
                  <c:v>0.314737561</c:v>
                </c:pt>
                <c:pt idx="40">
                  <c:v>0.377160934</c:v>
                </c:pt>
                <c:pt idx="41">
                  <c:v>0.377160934</c:v>
                </c:pt>
                <c:pt idx="42">
                  <c:v>0.44939223900000003</c:v>
                </c:pt>
                <c:pt idx="43">
                  <c:v>0.44939223900000003</c:v>
                </c:pt>
                <c:pt idx="44">
                  <c:v>0.44939223900000003</c:v>
                </c:pt>
                <c:pt idx="45">
                  <c:v>0.377160934</c:v>
                </c:pt>
                <c:pt idx="46">
                  <c:v>0.377160934</c:v>
                </c:pt>
                <c:pt idx="47">
                  <c:v>0.44939223900000003</c:v>
                </c:pt>
                <c:pt idx="48">
                  <c:v>0.33439968599999997</c:v>
                </c:pt>
                <c:pt idx="49">
                  <c:v>2.247064306</c:v>
                </c:pt>
                <c:pt idx="50">
                  <c:v>2.0619739560000001</c:v>
                </c:pt>
                <c:pt idx="51">
                  <c:v>1.8086265969999999</c:v>
                </c:pt>
                <c:pt idx="52">
                  <c:v>1.8086265969999999</c:v>
                </c:pt>
                <c:pt idx="53">
                  <c:v>1.5821856839999999</c:v>
                </c:pt>
                <c:pt idx="54">
                  <c:v>2.5487565000000001</c:v>
                </c:pt>
                <c:pt idx="55">
                  <c:v>1.729502407</c:v>
                </c:pt>
                <c:pt idx="56">
                  <c:v>1.9734137430000001</c:v>
                </c:pt>
                <c:pt idx="57">
                  <c:v>1.9734137430000001</c:v>
                </c:pt>
                <c:pt idx="58">
                  <c:v>2.1522282119999998</c:v>
                </c:pt>
                <c:pt idx="59">
                  <c:v>1.729502407</c:v>
                </c:pt>
                <c:pt idx="60">
                  <c:v>1.317101139</c:v>
                </c:pt>
                <c:pt idx="61">
                  <c:v>1.200201638</c:v>
                </c:pt>
                <c:pt idx="62">
                  <c:v>1.511415151</c:v>
                </c:pt>
                <c:pt idx="63">
                  <c:v>1.200201638</c:v>
                </c:pt>
                <c:pt idx="64">
                  <c:v>0.89859415399999998</c:v>
                </c:pt>
                <c:pt idx="65">
                  <c:v>0.77321039300000005</c:v>
                </c:pt>
                <c:pt idx="66">
                  <c:v>1.0404225359999999</c:v>
                </c:pt>
                <c:pt idx="67">
                  <c:v>0.89859415399999998</c:v>
                </c:pt>
                <c:pt idx="68">
                  <c:v>0.89859415399999998</c:v>
                </c:pt>
                <c:pt idx="69">
                  <c:v>0.81307424100000003</c:v>
                </c:pt>
                <c:pt idx="70">
                  <c:v>0.66228851600000005</c:v>
                </c:pt>
                <c:pt idx="71">
                  <c:v>0.69769667099999999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0.81307424100000003</c:v>
                </c:pt>
                <c:pt idx="75">
                  <c:v>0.69769667099999999</c:v>
                </c:pt>
                <c:pt idx="76">
                  <c:v>0.69769667099999999</c:v>
                </c:pt>
                <c:pt idx="77">
                  <c:v>0.77321039300000005</c:v>
                </c:pt>
                <c:pt idx="78">
                  <c:v>0.66228851600000005</c:v>
                </c:pt>
                <c:pt idx="79">
                  <c:v>0.50323377899999999</c:v>
                </c:pt>
                <c:pt idx="80">
                  <c:v>0.77321039300000005</c:v>
                </c:pt>
                <c:pt idx="81">
                  <c:v>0.59425534599999996</c:v>
                </c:pt>
                <c:pt idx="82">
                  <c:v>0.59425534599999996</c:v>
                </c:pt>
                <c:pt idx="83">
                  <c:v>0.59425534599999996</c:v>
                </c:pt>
                <c:pt idx="84">
                  <c:v>0.59425534599999996</c:v>
                </c:pt>
                <c:pt idx="85">
                  <c:v>0.53251963199999997</c:v>
                </c:pt>
                <c:pt idx="86">
                  <c:v>0.53251963199999997</c:v>
                </c:pt>
                <c:pt idx="87">
                  <c:v>0.44939223900000003</c:v>
                </c:pt>
                <c:pt idx="88">
                  <c:v>0.475692385</c:v>
                </c:pt>
                <c:pt idx="89">
                  <c:v>0.44894941300000002</c:v>
                </c:pt>
                <c:pt idx="90">
                  <c:v>0.399936554</c:v>
                </c:pt>
                <c:pt idx="91">
                  <c:v>0.562700329</c:v>
                </c:pt>
                <c:pt idx="92">
                  <c:v>0.562700329</c:v>
                </c:pt>
                <c:pt idx="93">
                  <c:v>0.475692385</c:v>
                </c:pt>
                <c:pt idx="94">
                  <c:v>0.475692385</c:v>
                </c:pt>
                <c:pt idx="95">
                  <c:v>0.53201108200000002</c:v>
                </c:pt>
                <c:pt idx="96">
                  <c:v>0.475692385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 time series'!$AW$3:$AW$99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 time series'!$BC$4:$BC$99</c:f>
              <c:numCache>
                <c:formatCode>0.000</c:formatCode>
                <c:ptCount val="96"/>
                <c:pt idx="0">
                  <c:v>39.645456583396225</c:v>
                </c:pt>
                <c:pt idx="1">
                  <c:v>28.742904854222196</c:v>
                </c:pt>
                <c:pt idx="2">
                  <c:v>39.369533421059508</c:v>
                </c:pt>
                <c:pt idx="3">
                  <c:v>35.640768428102852</c:v>
                </c:pt>
                <c:pt idx="4">
                  <c:v>38.355507714735971</c:v>
                </c:pt>
                <c:pt idx="5">
                  <c:v>29.345566839890022</c:v>
                </c:pt>
                <c:pt idx="6">
                  <c:v>36.463198159789307</c:v>
                </c:pt>
                <c:pt idx="7">
                  <c:v>35.455946879836603</c:v>
                </c:pt>
                <c:pt idx="8">
                  <c:v>25.443584699087346</c:v>
                </c:pt>
                <c:pt idx="9">
                  <c:v>24.456389878309288</c:v>
                </c:pt>
                <c:pt idx="10">
                  <c:v>26.032136115911982</c:v>
                </c:pt>
                <c:pt idx="11">
                  <c:v>18.296415493334056</c:v>
                </c:pt>
                <c:pt idx="12">
                  <c:v>21.249458974659046</c:v>
                </c:pt>
                <c:pt idx="13">
                  <c:v>35.187040386560966</c:v>
                </c:pt>
                <c:pt idx="14">
                  <c:v>29.810545471853466</c:v>
                </c:pt>
                <c:pt idx="15">
                  <c:v>9.5741599740202101</c:v>
                </c:pt>
                <c:pt idx="16">
                  <c:v>34.406977289796167</c:v>
                </c:pt>
                <c:pt idx="17">
                  <c:v>24.729441430649075</c:v>
                </c:pt>
                <c:pt idx="18">
                  <c:v>30.425202491694701</c:v>
                </c:pt>
                <c:pt idx="19">
                  <c:v>27.962656108126847</c:v>
                </c:pt>
                <c:pt idx="20">
                  <c:v>38.263805902213079</c:v>
                </c:pt>
                <c:pt idx="21">
                  <c:v>40.919234617726914</c:v>
                </c:pt>
                <c:pt idx="22">
                  <c:v>32.232064192136171</c:v>
                </c:pt>
                <c:pt idx="23">
                  <c:v>23.911198459324371</c:v>
                </c:pt>
                <c:pt idx="24">
                  <c:v>17.331068420902895</c:v>
                </c:pt>
                <c:pt idx="25">
                  <c:v>32.285996877975236</c:v>
                </c:pt>
                <c:pt idx="26">
                  <c:v>29.232837847728149</c:v>
                </c:pt>
                <c:pt idx="27">
                  <c:v>20.428758714092439</c:v>
                </c:pt>
                <c:pt idx="28">
                  <c:v>13.109266947612063</c:v>
                </c:pt>
                <c:pt idx="29">
                  <c:v>27.691201483776123</c:v>
                </c:pt>
                <c:pt idx="30">
                  <c:v>44.036775639007523</c:v>
                </c:pt>
                <c:pt idx="31">
                  <c:v>31.869579878084458</c:v>
                </c:pt>
                <c:pt idx="32">
                  <c:v>39.651546869503818</c:v>
                </c:pt>
                <c:pt idx="33">
                  <c:v>21.716020453446596</c:v>
                </c:pt>
                <c:pt idx="34">
                  <c:v>28.862487240276568</c:v>
                </c:pt>
                <c:pt idx="35">
                  <c:v>21.432266257899443</c:v>
                </c:pt>
                <c:pt idx="36">
                  <c:v>35.919798352605596</c:v>
                </c:pt>
                <c:pt idx="37">
                  <c:v>29.751265901467569</c:v>
                </c:pt>
                <c:pt idx="38">
                  <c:v>17.414848637296785</c:v>
                </c:pt>
                <c:pt idx="39">
                  <c:v>30.009830800478195</c:v>
                </c:pt>
                <c:pt idx="40">
                  <c:v>30.791908264570221</c:v>
                </c:pt>
                <c:pt idx="41">
                  <c:v>34.691563207225272</c:v>
                </c:pt>
                <c:pt idx="42">
                  <c:v>37.683186838441159</c:v>
                </c:pt>
                <c:pt idx="43">
                  <c:v>40.94006952406091</c:v>
                </c:pt>
                <c:pt idx="44">
                  <c:v>26.502178779401593</c:v>
                </c:pt>
                <c:pt idx="45">
                  <c:v>27.868981957172135</c:v>
                </c:pt>
                <c:pt idx="46">
                  <c:v>39.431641163362293</c:v>
                </c:pt>
                <c:pt idx="47">
                  <c:v>26.50900706392347</c:v>
                </c:pt>
                <c:pt idx="48">
                  <c:v>95.676352165121884</c:v>
                </c:pt>
                <c:pt idx="49">
                  <c:v>79.412228909168903</c:v>
                </c:pt>
                <c:pt idx="50">
                  <c:v>87.359013166733888</c:v>
                </c:pt>
                <c:pt idx="51">
                  <c:v>80.203388791059325</c:v>
                </c:pt>
                <c:pt idx="52">
                  <c:v>73.505784301683235</c:v>
                </c:pt>
                <c:pt idx="53">
                  <c:v>77.991984810012738</c:v>
                </c:pt>
                <c:pt idx="54">
                  <c:v>74.43223351140314</c:v>
                </c:pt>
                <c:pt idx="55">
                  <c:v>72.170223328675746</c:v>
                </c:pt>
                <c:pt idx="56">
                  <c:v>74.178212802820894</c:v>
                </c:pt>
                <c:pt idx="57">
                  <c:v>76.927800845856368</c:v>
                </c:pt>
                <c:pt idx="58">
                  <c:v>71.310016358111767</c:v>
                </c:pt>
                <c:pt idx="59">
                  <c:v>67.173524646610915</c:v>
                </c:pt>
                <c:pt idx="60">
                  <c:v>65.129236714115137</c:v>
                </c:pt>
                <c:pt idx="61">
                  <c:v>68.27913876301389</c:v>
                </c:pt>
                <c:pt idx="62">
                  <c:v>65.631610794766416</c:v>
                </c:pt>
                <c:pt idx="63">
                  <c:v>55.735939623692062</c:v>
                </c:pt>
                <c:pt idx="64">
                  <c:v>51.144889047467956</c:v>
                </c:pt>
                <c:pt idx="65">
                  <c:v>54.04557165756178</c:v>
                </c:pt>
                <c:pt idx="66">
                  <c:v>53.147300424444779</c:v>
                </c:pt>
                <c:pt idx="67">
                  <c:v>50.455102302710593</c:v>
                </c:pt>
                <c:pt idx="68">
                  <c:v>53.140791125360266</c:v>
                </c:pt>
                <c:pt idx="69">
                  <c:v>33.92002009615323</c:v>
                </c:pt>
                <c:pt idx="70">
                  <c:v>36.862092971941742</c:v>
                </c:pt>
                <c:pt idx="71">
                  <c:v>34.483850526131711</c:v>
                </c:pt>
                <c:pt idx="72">
                  <c:v>41.767563527184244</c:v>
                </c:pt>
                <c:pt idx="73">
                  <c:v>46.671742210542483</c:v>
                </c:pt>
                <c:pt idx="74">
                  <c:v>39.612466210306977</c:v>
                </c:pt>
                <c:pt idx="75">
                  <c:v>45.055678199723602</c:v>
                </c:pt>
                <c:pt idx="76">
                  <c:v>49.347151014865034</c:v>
                </c:pt>
                <c:pt idx="77">
                  <c:v>42.461458430102837</c:v>
                </c:pt>
                <c:pt idx="78">
                  <c:v>30.74138169190935</c:v>
                </c:pt>
                <c:pt idx="79">
                  <c:v>49.693531204440781</c:v>
                </c:pt>
                <c:pt idx="80">
                  <c:v>37.24385996388542</c:v>
                </c:pt>
                <c:pt idx="81">
                  <c:v>40.079843078936001</c:v>
                </c:pt>
                <c:pt idx="82">
                  <c:v>40.521872281664393</c:v>
                </c:pt>
                <c:pt idx="83">
                  <c:v>37.747875326223209</c:v>
                </c:pt>
                <c:pt idx="84">
                  <c:v>34.82937236324355</c:v>
                </c:pt>
                <c:pt idx="85">
                  <c:v>34.702384925613089</c:v>
                </c:pt>
                <c:pt idx="86">
                  <c:v>31.476237240272116</c:v>
                </c:pt>
                <c:pt idx="87">
                  <c:v>36.065416543332461</c:v>
                </c:pt>
                <c:pt idx="88">
                  <c:v>30.949052692459428</c:v>
                </c:pt>
                <c:pt idx="89">
                  <c:v>25.744450365142487</c:v>
                </c:pt>
                <c:pt idx="90">
                  <c:v>37.55779534446684</c:v>
                </c:pt>
                <c:pt idx="91">
                  <c:v>35.69955160850747</c:v>
                </c:pt>
                <c:pt idx="92">
                  <c:v>29.688577585078416</c:v>
                </c:pt>
                <c:pt idx="93">
                  <c:v>33.08081782499211</c:v>
                </c:pt>
                <c:pt idx="94">
                  <c:v>36.599771247132161</c:v>
                </c:pt>
                <c:pt idx="95">
                  <c:v>28.697024376637046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0E-4508-A782-37D3A9370D02}"/>
            </c:ext>
          </c:extLst>
        </c:ser>
        <c:ser>
          <c:idx val="1"/>
          <c:order val="2"/>
          <c:tx>
            <c:strRef>
              <c:f>'storm time series'!$BD$1:$BE$1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 time series'!$AW$3:$AW$99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 time series'!$BE$3:$BE$99</c:f>
              <c:numCache>
                <c:formatCode>0.000</c:formatCode>
                <c:ptCount val="97"/>
                <c:pt idx="0">
                  <c:v>0</c:v>
                </c:pt>
                <c:pt idx="1">
                  <c:v>2.6341264755571236</c:v>
                </c:pt>
                <c:pt idx="2">
                  <c:v>0</c:v>
                </c:pt>
                <c:pt idx="3">
                  <c:v>0.94301257077332923</c:v>
                </c:pt>
                <c:pt idx="4">
                  <c:v>0.85369801821790758</c:v>
                </c:pt>
                <c:pt idx="5">
                  <c:v>1.4337670818766601</c:v>
                </c:pt>
                <c:pt idx="6">
                  <c:v>0</c:v>
                </c:pt>
                <c:pt idx="7">
                  <c:v>1.3630306659026687</c:v>
                </c:pt>
                <c:pt idx="8">
                  <c:v>1.3253786097986251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0.84282993801207295</c:v>
                </c:pt>
                <c:pt idx="15">
                  <c:v>0</c:v>
                </c:pt>
                <c:pt idx="16">
                  <c:v>0</c:v>
                </c:pt>
                <c:pt idx="17">
                  <c:v>0.82414520282920467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1.4303391767861682</c:v>
                </c:pt>
                <c:pt idx="22">
                  <c:v>1.5296017470769803</c:v>
                </c:pt>
                <c:pt idx="23">
                  <c:v>0.77204983330837018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1.6565781779208493</c:v>
                </c:pt>
                <c:pt idx="32">
                  <c:v>0</c:v>
                </c:pt>
                <c:pt idx="33">
                  <c:v>1.4916143680292888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1.3512332191173289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1.305029392663918</c:v>
                </c:pt>
                <c:pt idx="43">
                  <c:v>1.4175684773746229</c:v>
                </c:pt>
                <c:pt idx="44">
                  <c:v>1.5400860937703797</c:v>
                </c:pt>
                <c:pt idx="45">
                  <c:v>0</c:v>
                </c:pt>
                <c:pt idx="46">
                  <c:v>0</c:v>
                </c:pt>
                <c:pt idx="47">
                  <c:v>1.4833419414333771</c:v>
                </c:pt>
                <c:pt idx="48">
                  <c:v>0</c:v>
                </c:pt>
                <c:pt idx="49">
                  <c:v>95.676352165121884</c:v>
                </c:pt>
                <c:pt idx="50">
                  <c:v>71.543435277667356</c:v>
                </c:pt>
                <c:pt idx="51">
                  <c:v>66.854351281285957</c:v>
                </c:pt>
                <c:pt idx="52">
                  <c:v>61.378274934873566</c:v>
                </c:pt>
                <c:pt idx="53">
                  <c:v>47.341980837672772</c:v>
                </c:pt>
                <c:pt idx="54">
                  <c:v>77.991984810012738</c:v>
                </c:pt>
                <c:pt idx="55">
                  <c:v>53.808829864236309</c:v>
                </c:pt>
                <c:pt idx="56">
                  <c:v>61.597389943534637</c:v>
                </c:pt>
                <c:pt idx="57">
                  <c:v>63.311211862557116</c:v>
                </c:pt>
                <c:pt idx="58">
                  <c:v>73.022145027587399</c:v>
                </c:pt>
                <c:pt idx="59">
                  <c:v>51.551704910772195</c:v>
                </c:pt>
                <c:pt idx="60">
                  <c:v>33.730859714203561</c:v>
                </c:pt>
                <c:pt idx="61">
                  <c:v>28.628410556955167</c:v>
                </c:pt>
                <c:pt idx="62">
                  <c:v>41.388831291969147</c:v>
                </c:pt>
                <c:pt idx="63">
                  <c:v>28.849235675744573</c:v>
                </c:pt>
                <c:pt idx="64">
                  <c:v>15.500045367994668</c:v>
                </c:pt>
                <c:pt idx="65">
                  <c:v>10.790230895143178</c:v>
                </c:pt>
                <c:pt idx="66">
                  <c:v>19.133512637955096</c:v>
                </c:pt>
                <c:pt idx="67">
                  <c:v>14.780150354102295</c:v>
                </c:pt>
                <c:pt idx="68">
                  <c:v>14.031455825791664</c:v>
                </c:pt>
                <c:pt idx="69">
                  <c:v>12.34539531183685</c:v>
                </c:pt>
                <c:pt idx="70">
                  <c:v>5.1419993036118861</c:v>
                </c:pt>
                <c:pt idx="71">
                  <c:v>6.2867411572476559</c:v>
                </c:pt>
                <c:pt idx="72">
                  <c:v>3.9715182202198571</c:v>
                </c:pt>
                <c:pt idx="73">
                  <c:v>7.1233573433872648</c:v>
                </c:pt>
                <c:pt idx="74">
                  <c:v>10.842539135747256</c:v>
                </c:pt>
                <c:pt idx="75">
                  <c:v>6.7558106875259432</c:v>
                </c:pt>
                <c:pt idx="76">
                  <c:v>7.6841373798691208</c:v>
                </c:pt>
                <c:pt idx="77">
                  <c:v>10.410955295527302</c:v>
                </c:pt>
                <c:pt idx="78">
                  <c:v>6.4368119198931364</c:v>
                </c:pt>
                <c:pt idx="79">
                  <c:v>2.042521246779613</c:v>
                </c:pt>
                <c:pt idx="80">
                  <c:v>10.484032435641085</c:v>
                </c:pt>
                <c:pt idx="81">
                  <c:v>4.2893895600724381</c:v>
                </c:pt>
                <c:pt idx="82">
                  <c:v>4.6160108173222358</c:v>
                </c:pt>
                <c:pt idx="83">
                  <c:v>4.6669194892286621</c:v>
                </c:pt>
                <c:pt idx="84">
                  <c:v>4.3474372016279643</c:v>
                </c:pt>
                <c:pt idx="85">
                  <c:v>2.8601960321171336</c:v>
                </c:pt>
                <c:pt idx="86">
                  <c:v>2.8497677946671049</c:v>
                </c:pt>
                <c:pt idx="87">
                  <c:v>1.184075059507911</c:v>
                </c:pt>
                <c:pt idx="88">
                  <c:v>1.8645033862283766</c:v>
                </c:pt>
                <c:pt idx="89">
                  <c:v>1.1569064160416891</c:v>
                </c:pt>
                <c:pt idx="90">
                  <c:v>0.28684495288039541</c:v>
                </c:pt>
                <c:pt idx="91">
                  <c:v>3.691083782971293</c:v>
                </c:pt>
                <c:pt idx="92">
                  <c:v>3.508460355379234</c:v>
                </c:pt>
                <c:pt idx="93">
                  <c:v>1.5348347182729589</c:v>
                </c:pt>
                <c:pt idx="94">
                  <c:v>1.7102061411045784</c:v>
                </c:pt>
                <c:pt idx="95">
                  <c:v>2.9956172426443435</c:v>
                </c:pt>
                <c:pt idx="96">
                  <c:v>1.4835735797098351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9C-43ED-82BB-9ED569CD1DCE}"/>
            </c:ext>
          </c:extLst>
        </c:ser>
        <c:ser>
          <c:idx val="2"/>
          <c:order val="3"/>
          <c:tx>
            <c:strRef>
              <c:f>'storm time series'!$BF$1:$BG$1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'storm time series'!$AW$3:$AW$99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 time series'!$BG$3:$BG$99</c:f>
              <c:numCache>
                <c:formatCode>0.000</c:formatCode>
                <c:ptCount val="97"/>
                <c:pt idx="0">
                  <c:v>0</c:v>
                </c:pt>
                <c:pt idx="1">
                  <c:v>3.1385506316281808</c:v>
                </c:pt>
                <c:pt idx="2">
                  <c:v>0</c:v>
                </c:pt>
                <c:pt idx="3">
                  <c:v>3.0149271137922824</c:v>
                </c:pt>
                <c:pt idx="4">
                  <c:v>1.5498860044185083</c:v>
                </c:pt>
                <c:pt idx="5">
                  <c:v>2.5790595170512183</c:v>
                </c:pt>
                <c:pt idx="6">
                  <c:v>0</c:v>
                </c:pt>
                <c:pt idx="7">
                  <c:v>1.841064735381863</c:v>
                </c:pt>
                <c:pt idx="8">
                  <c:v>1.4868483382684763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1.3966836724291056</c:v>
                </c:pt>
                <c:pt idx="15">
                  <c:v>0</c:v>
                </c:pt>
                <c:pt idx="16">
                  <c:v>0</c:v>
                </c:pt>
                <c:pt idx="17">
                  <c:v>1.1454109770033036</c:v>
                </c:pt>
                <c:pt idx="18">
                  <c:v>0</c:v>
                </c:pt>
                <c:pt idx="19">
                  <c:v>8.9217516185325224E-2</c:v>
                </c:pt>
                <c:pt idx="20">
                  <c:v>0</c:v>
                </c:pt>
                <c:pt idx="21">
                  <c:v>2.5410553810636283</c:v>
                </c:pt>
                <c:pt idx="22">
                  <c:v>3.7377299715546499</c:v>
                </c:pt>
                <c:pt idx="23">
                  <c:v>0.52301864000048681</c:v>
                </c:pt>
                <c:pt idx="24">
                  <c:v>0</c:v>
                </c:pt>
                <c:pt idx="25">
                  <c:v>0</c:v>
                </c:pt>
                <c:pt idx="26">
                  <c:v>0.53710214205840578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5.4097489040653528</c:v>
                </c:pt>
                <c:pt idx="32">
                  <c:v>0.43009696853567603</c:v>
                </c:pt>
                <c:pt idx="33">
                  <c:v>3.1413038073301673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1.6467139308441905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0.17138314331855395</c:v>
                </c:pt>
                <c:pt idx="42">
                  <c:v>1.2353227109459894</c:v>
                </c:pt>
                <c:pt idx="43">
                  <c:v>2.3057853430803728</c:v>
                </c:pt>
                <c:pt idx="44">
                  <c:v>3.7479251013103743</c:v>
                </c:pt>
                <c:pt idx="45">
                  <c:v>0</c:v>
                </c:pt>
                <c:pt idx="46">
                  <c:v>0</c:v>
                </c:pt>
                <c:pt idx="47">
                  <c:v>3.0425644956329525</c:v>
                </c:pt>
                <c:pt idx="48">
                  <c:v>0</c:v>
                </c:pt>
                <c:pt idx="49">
                  <c:v>95.676352165121884</c:v>
                </c:pt>
                <c:pt idx="50">
                  <c:v>51.68263473228803</c:v>
                </c:pt>
                <c:pt idx="51">
                  <c:v>71.021541069653153</c:v>
                </c:pt>
                <c:pt idx="52">
                  <c:v>53.43456912568881</c:v>
                </c:pt>
                <c:pt idx="53">
                  <c:v>39.744362475480649</c:v>
                </c:pt>
                <c:pt idx="54">
                  <c:v>48.630059567312784</c:v>
                </c:pt>
                <c:pt idx="55">
                  <c:v>41.48729911571948</c:v>
                </c:pt>
                <c:pt idx="56">
                  <c:v>37.313825012048376</c:v>
                </c:pt>
                <c:pt idx="57">
                  <c:v>41.004723776914147</c:v>
                </c:pt>
                <c:pt idx="58">
                  <c:v>46.419437559321715</c:v>
                </c:pt>
                <c:pt idx="59">
                  <c:v>35.798916522499191</c:v>
                </c:pt>
                <c:pt idx="60">
                  <c:v>29.050497081818317</c:v>
                </c:pt>
                <c:pt idx="61">
                  <c:v>26.031842230685346</c:v>
                </c:pt>
                <c:pt idx="62">
                  <c:v>30.768951980214819</c:v>
                </c:pt>
                <c:pt idx="63">
                  <c:v>26.75482458821207</c:v>
                </c:pt>
                <c:pt idx="64">
                  <c:v>14.638270627587673</c:v>
                </c:pt>
                <c:pt idx="65">
                  <c:v>10.418497169619833</c:v>
                </c:pt>
                <c:pt idx="66">
                  <c:v>12.988496194911496</c:v>
                </c:pt>
                <c:pt idx="67">
                  <c:v>12.157964803001388</c:v>
                </c:pt>
                <c:pt idx="68">
                  <c:v>9.8542325598227745</c:v>
                </c:pt>
                <c:pt idx="69">
                  <c:v>12.152061372639519</c:v>
                </c:pt>
                <c:pt idx="70">
                  <c:v>0.99618885275303914</c:v>
                </c:pt>
                <c:pt idx="71">
                  <c:v>1.9886528080807033</c:v>
                </c:pt>
                <c:pt idx="72">
                  <c:v>1.1695004662320032</c:v>
                </c:pt>
                <c:pt idx="73">
                  <c:v>4.1632957074646608</c:v>
                </c:pt>
                <c:pt idx="74">
                  <c:v>7.0639156916121975</c:v>
                </c:pt>
                <c:pt idx="75">
                  <c:v>3.1236554347743439</c:v>
                </c:pt>
                <c:pt idx="76">
                  <c:v>6.0223566804147604</c:v>
                </c:pt>
                <c:pt idx="77">
                  <c:v>8.984418761852325</c:v>
                </c:pt>
                <c:pt idx="78">
                  <c:v>4.5275296551944759</c:v>
                </c:pt>
                <c:pt idx="79">
                  <c:v>0.15988718093415155</c:v>
                </c:pt>
                <c:pt idx="80">
                  <c:v>9.2515613824164742</c:v>
                </c:pt>
                <c:pt idx="81">
                  <c:v>2.1338544534609003</c:v>
                </c:pt>
                <c:pt idx="82">
                  <c:v>3.3375907653545278</c:v>
                </c:pt>
                <c:pt idx="83">
                  <c:v>3.5457375544434417</c:v>
                </c:pt>
                <c:pt idx="84">
                  <c:v>2.3315420131098517</c:v>
                </c:pt>
                <c:pt idx="85">
                  <c:v>1.2795853734533111</c:v>
                </c:pt>
                <c:pt idx="86">
                  <c:v>1.2387813895195521</c:v>
                </c:pt>
                <c:pt idx="87">
                  <c:v>0.33265074871762224</c:v>
                </c:pt>
                <c:pt idx="88">
                  <c:v>1.6980428017212159</c:v>
                </c:pt>
                <c:pt idx="89">
                  <c:v>0.20749626161984847</c:v>
                </c:pt>
                <c:pt idx="90">
                  <c:v>0</c:v>
                </c:pt>
                <c:pt idx="91">
                  <c:v>2.2561820414389335</c:v>
                </c:pt>
                <c:pt idx="92">
                  <c:v>1.5701184494453413</c:v>
                </c:pt>
                <c:pt idx="93">
                  <c:v>0</c:v>
                </c:pt>
                <c:pt idx="94">
                  <c:v>0.75250695967247161</c:v>
                </c:pt>
                <c:pt idx="95">
                  <c:v>1.8911237151959388</c:v>
                </c:pt>
                <c:pt idx="9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9C-43ED-82BB-9ED569CD1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7 -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 time series'!$BI$3:$BI$99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 time series'!$BK$3:$BK$99</c:f>
              <c:numCache>
                <c:formatCode>General</c:formatCode>
                <c:ptCount val="97"/>
                <c:pt idx="0">
                  <c:v>0.44939223900000003</c:v>
                </c:pt>
                <c:pt idx="1">
                  <c:v>0.44939223900000003</c:v>
                </c:pt>
                <c:pt idx="2">
                  <c:v>0.44894941300000002</c:v>
                </c:pt>
                <c:pt idx="3">
                  <c:v>0.59425534599999996</c:v>
                </c:pt>
                <c:pt idx="4">
                  <c:v>0.399936554</c:v>
                </c:pt>
                <c:pt idx="5">
                  <c:v>0.50323377899999999</c:v>
                </c:pt>
                <c:pt idx="6">
                  <c:v>0.53251963199999997</c:v>
                </c:pt>
                <c:pt idx="7">
                  <c:v>0.50323377899999999</c:v>
                </c:pt>
                <c:pt idx="8">
                  <c:v>0.50323377899999999</c:v>
                </c:pt>
                <c:pt idx="9">
                  <c:v>0.50323377899999999</c:v>
                </c:pt>
                <c:pt idx="10">
                  <c:v>0.53201108200000002</c:v>
                </c:pt>
                <c:pt idx="11">
                  <c:v>0.50323377899999999</c:v>
                </c:pt>
                <c:pt idx="12">
                  <c:v>0.50323377899999999</c:v>
                </c:pt>
                <c:pt idx="13">
                  <c:v>0.44894941300000002</c:v>
                </c:pt>
                <c:pt idx="14">
                  <c:v>0.59425534599999996</c:v>
                </c:pt>
                <c:pt idx="15">
                  <c:v>0.44894941300000002</c:v>
                </c:pt>
                <c:pt idx="16">
                  <c:v>0.53201108200000002</c:v>
                </c:pt>
                <c:pt idx="17">
                  <c:v>0.53201108200000002</c:v>
                </c:pt>
                <c:pt idx="18">
                  <c:v>0.59425534599999996</c:v>
                </c:pt>
                <c:pt idx="19">
                  <c:v>0.50323377899999999</c:v>
                </c:pt>
                <c:pt idx="20">
                  <c:v>0.59425534599999996</c:v>
                </c:pt>
                <c:pt idx="21">
                  <c:v>0.44894941300000002</c:v>
                </c:pt>
                <c:pt idx="22">
                  <c:v>0.66228851600000005</c:v>
                </c:pt>
                <c:pt idx="23">
                  <c:v>0.44894941300000002</c:v>
                </c:pt>
                <c:pt idx="24">
                  <c:v>0.59425534599999996</c:v>
                </c:pt>
                <c:pt idx="25">
                  <c:v>0.44894941300000002</c:v>
                </c:pt>
                <c:pt idx="26">
                  <c:v>0.44939223900000003</c:v>
                </c:pt>
                <c:pt idx="27">
                  <c:v>0.44939223900000003</c:v>
                </c:pt>
                <c:pt idx="28">
                  <c:v>0.44939223900000003</c:v>
                </c:pt>
                <c:pt idx="29">
                  <c:v>0.44894941300000002</c:v>
                </c:pt>
                <c:pt idx="30">
                  <c:v>0.53201108200000002</c:v>
                </c:pt>
                <c:pt idx="31">
                  <c:v>0.44894941300000002</c:v>
                </c:pt>
                <c:pt idx="32">
                  <c:v>0.39953381599999999</c:v>
                </c:pt>
                <c:pt idx="33">
                  <c:v>0.47522856800000002</c:v>
                </c:pt>
                <c:pt idx="34">
                  <c:v>0.62723254799999995</c:v>
                </c:pt>
                <c:pt idx="35">
                  <c:v>0.39953381599999999</c:v>
                </c:pt>
                <c:pt idx="36">
                  <c:v>0.39953381599999999</c:v>
                </c:pt>
                <c:pt idx="37">
                  <c:v>0.44894941300000002</c:v>
                </c:pt>
                <c:pt idx="38">
                  <c:v>0.29572637699999998</c:v>
                </c:pt>
                <c:pt idx="39">
                  <c:v>0.376777213</c:v>
                </c:pt>
                <c:pt idx="40">
                  <c:v>0.376777213</c:v>
                </c:pt>
                <c:pt idx="41">
                  <c:v>0.33439968599999997</c:v>
                </c:pt>
                <c:pt idx="42">
                  <c:v>0.399936554</c:v>
                </c:pt>
                <c:pt idx="43">
                  <c:v>0.44894941300000002</c:v>
                </c:pt>
                <c:pt idx="44">
                  <c:v>0.376777213</c:v>
                </c:pt>
                <c:pt idx="45">
                  <c:v>0.44894941300000002</c:v>
                </c:pt>
                <c:pt idx="46">
                  <c:v>0.44894941300000002</c:v>
                </c:pt>
                <c:pt idx="47">
                  <c:v>0.44894941300000002</c:v>
                </c:pt>
                <c:pt idx="48">
                  <c:v>0.44894941300000002</c:v>
                </c:pt>
                <c:pt idx="49">
                  <c:v>0.44894941300000002</c:v>
                </c:pt>
                <c:pt idx="50">
                  <c:v>0.376777213</c:v>
                </c:pt>
                <c:pt idx="51">
                  <c:v>0.44894941300000002</c:v>
                </c:pt>
                <c:pt idx="52">
                  <c:v>0.47522856800000002</c:v>
                </c:pt>
                <c:pt idx="53">
                  <c:v>0.47522856800000002</c:v>
                </c:pt>
                <c:pt idx="54">
                  <c:v>0.47522856800000002</c:v>
                </c:pt>
                <c:pt idx="55">
                  <c:v>0.44894941300000002</c:v>
                </c:pt>
                <c:pt idx="56">
                  <c:v>0.44894941300000002</c:v>
                </c:pt>
                <c:pt idx="57">
                  <c:v>0.53201108200000002</c:v>
                </c:pt>
                <c:pt idx="58">
                  <c:v>0.81307424100000003</c:v>
                </c:pt>
                <c:pt idx="59">
                  <c:v>1.200201638</c:v>
                </c:pt>
                <c:pt idx="60">
                  <c:v>1.9748874890000001</c:v>
                </c:pt>
                <c:pt idx="61">
                  <c:v>1.5125919880000001</c:v>
                </c:pt>
                <c:pt idx="62">
                  <c:v>1.0404225359999999</c:v>
                </c:pt>
                <c:pt idx="63">
                  <c:v>1.8086265969999999</c:v>
                </c:pt>
                <c:pt idx="64">
                  <c:v>1.9734137430000001</c:v>
                </c:pt>
                <c:pt idx="65">
                  <c:v>2.8809824239999999</c:v>
                </c:pt>
                <c:pt idx="66">
                  <c:v>2.8809824239999999</c:v>
                </c:pt>
                <c:pt idx="67">
                  <c:v>2.5469425430000001</c:v>
                </c:pt>
                <c:pt idx="68">
                  <c:v>3.3680623299999999</c:v>
                </c:pt>
                <c:pt idx="69">
                  <c:v>2.8809824239999999</c:v>
                </c:pt>
                <c:pt idx="70">
                  <c:v>2.7664001109999998</c:v>
                </c:pt>
                <c:pt idx="71">
                  <c:v>3.8698277910000001</c:v>
                </c:pt>
                <c:pt idx="72">
                  <c:v>6.6940258559999997</c:v>
                </c:pt>
                <c:pt idx="73">
                  <c:v>2.6558198119999998</c:v>
                </c:pt>
                <c:pt idx="74">
                  <c:v>2.247064306</c:v>
                </c:pt>
                <c:pt idx="75">
                  <c:v>2.3436582540000002</c:v>
                </c:pt>
                <c:pt idx="76">
                  <c:v>2.247064306</c:v>
                </c:pt>
                <c:pt idx="77">
                  <c:v>2.247064306</c:v>
                </c:pt>
                <c:pt idx="78">
                  <c:v>2.0619739560000001</c:v>
                </c:pt>
                <c:pt idx="79">
                  <c:v>1.8086265969999999</c:v>
                </c:pt>
                <c:pt idx="80">
                  <c:v>2.0619739560000001</c:v>
                </c:pt>
                <c:pt idx="81">
                  <c:v>1.88950475</c:v>
                </c:pt>
                <c:pt idx="82">
                  <c:v>1.5821856839999999</c:v>
                </c:pt>
                <c:pt idx="83">
                  <c:v>1.5821856839999999</c:v>
                </c:pt>
                <c:pt idx="84">
                  <c:v>1.5821856839999999</c:v>
                </c:pt>
                <c:pt idx="85">
                  <c:v>1.5821856839999999</c:v>
                </c:pt>
                <c:pt idx="86">
                  <c:v>1.5821856839999999</c:v>
                </c:pt>
                <c:pt idx="87">
                  <c:v>1.3790541089999999</c:v>
                </c:pt>
                <c:pt idx="88">
                  <c:v>1.4444654269999999</c:v>
                </c:pt>
                <c:pt idx="89">
                  <c:v>1.3790541089999999</c:v>
                </c:pt>
                <c:pt idx="90">
                  <c:v>1.4444654269999999</c:v>
                </c:pt>
                <c:pt idx="91">
                  <c:v>2.060445487</c:v>
                </c:pt>
                <c:pt idx="92">
                  <c:v>1.3790541089999999</c:v>
                </c:pt>
                <c:pt idx="93">
                  <c:v>1.5809633519999999</c:v>
                </c:pt>
                <c:pt idx="94">
                  <c:v>1.4444654269999999</c:v>
                </c:pt>
                <c:pt idx="95">
                  <c:v>1.091323134</c:v>
                </c:pt>
                <c:pt idx="96">
                  <c:v>1.091323134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E4-4854-903F-A7F302F5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 time series'!$BI$3:$BI$99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 time series'!$BO$3:$BO$99</c:f>
              <c:numCache>
                <c:formatCode>0.0000</c:formatCode>
                <c:ptCount val="97"/>
                <c:pt idx="0">
                  <c:v>10.875164845487898</c:v>
                </c:pt>
                <c:pt idx="1">
                  <c:v>15.748320319549777</c:v>
                </c:pt>
                <c:pt idx="2">
                  <c:v>12.066221194363402</c:v>
                </c:pt>
                <c:pt idx="3">
                  <c:v>19.111877468079864</c:v>
                </c:pt>
                <c:pt idx="4">
                  <c:v>12.018145912051784</c:v>
                </c:pt>
                <c:pt idx="5">
                  <c:v>17.913948094183343</c:v>
                </c:pt>
                <c:pt idx="6">
                  <c:v>17.458877260440204</c:v>
                </c:pt>
                <c:pt idx="7">
                  <c:v>15.21431208453186</c:v>
                </c:pt>
                <c:pt idx="8">
                  <c:v>17.937153117662032</c:v>
                </c:pt>
                <c:pt idx="9">
                  <c:v>16.559248042606583</c:v>
                </c:pt>
                <c:pt idx="10">
                  <c:v>16.423068179312938</c:v>
                </c:pt>
                <c:pt idx="11">
                  <c:v>16.765922221792664</c:v>
                </c:pt>
                <c:pt idx="12">
                  <c:v>20.891773560215846</c:v>
                </c:pt>
                <c:pt idx="13">
                  <c:v>14.532252450264698</c:v>
                </c:pt>
                <c:pt idx="14">
                  <c:v>19.36533581285288</c:v>
                </c:pt>
                <c:pt idx="15">
                  <c:v>14.668705637021613</c:v>
                </c:pt>
                <c:pt idx="16">
                  <c:v>17.723391156156755</c:v>
                </c:pt>
                <c:pt idx="17">
                  <c:v>17.065717971301655</c:v>
                </c:pt>
                <c:pt idx="18">
                  <c:v>18.078436337261952</c:v>
                </c:pt>
                <c:pt idx="19">
                  <c:v>16.35730234789234</c:v>
                </c:pt>
                <c:pt idx="20">
                  <c:v>21.569598604395214</c:v>
                </c:pt>
                <c:pt idx="21">
                  <c:v>13.770258794495726</c:v>
                </c:pt>
                <c:pt idx="22">
                  <c:v>23.529760888500462</c:v>
                </c:pt>
                <c:pt idx="23">
                  <c:v>14.103573338744019</c:v>
                </c:pt>
                <c:pt idx="24">
                  <c:v>17.986219822151618</c:v>
                </c:pt>
                <c:pt idx="25">
                  <c:v>15.346395910764585</c:v>
                </c:pt>
                <c:pt idx="26">
                  <c:v>12.908616323576013</c:v>
                </c:pt>
                <c:pt idx="27">
                  <c:v>15.925659592037691</c:v>
                </c:pt>
                <c:pt idx="28">
                  <c:v>13.13836970151989</c:v>
                </c:pt>
                <c:pt idx="29">
                  <c:v>13.673606320140971</c:v>
                </c:pt>
                <c:pt idx="30">
                  <c:v>16.150601600219474</c:v>
                </c:pt>
                <c:pt idx="31">
                  <c:v>14.568523286898406</c:v>
                </c:pt>
                <c:pt idx="32">
                  <c:v>11.656744545137443</c:v>
                </c:pt>
                <c:pt idx="33">
                  <c:v>15.707436170187719</c:v>
                </c:pt>
                <c:pt idx="34">
                  <c:v>22.060976694544749</c:v>
                </c:pt>
                <c:pt idx="35">
                  <c:v>12.706893107070591</c:v>
                </c:pt>
                <c:pt idx="36">
                  <c:v>10.524156280775468</c:v>
                </c:pt>
                <c:pt idx="37">
                  <c:v>13.439060757187775</c:v>
                </c:pt>
                <c:pt idx="38">
                  <c:v>4.4346610980965808</c:v>
                </c:pt>
                <c:pt idx="39">
                  <c:v>10.364991684305219</c:v>
                </c:pt>
                <c:pt idx="40">
                  <c:v>10.398088933924949</c:v>
                </c:pt>
                <c:pt idx="41">
                  <c:v>6.4617752816755347</c:v>
                </c:pt>
                <c:pt idx="42">
                  <c:v>10.045533014601808</c:v>
                </c:pt>
                <c:pt idx="43">
                  <c:v>12.226564744054555</c:v>
                </c:pt>
                <c:pt idx="44">
                  <c:v>9.7866852259088297</c:v>
                </c:pt>
                <c:pt idx="45">
                  <c:v>12.835761755715284</c:v>
                </c:pt>
                <c:pt idx="46">
                  <c:v>12.340671763483735</c:v>
                </c:pt>
                <c:pt idx="47">
                  <c:v>11.642473616465129</c:v>
                </c:pt>
                <c:pt idx="48">
                  <c:v>12.230492954276334</c:v>
                </c:pt>
                <c:pt idx="49">
                  <c:v>15.058771778320695</c:v>
                </c:pt>
                <c:pt idx="50">
                  <c:v>14.698731953066492</c:v>
                </c:pt>
                <c:pt idx="51">
                  <c:v>12.483872311980331</c:v>
                </c:pt>
                <c:pt idx="52">
                  <c:v>14.042655042741387</c:v>
                </c:pt>
                <c:pt idx="53">
                  <c:v>13.446618973055477</c:v>
                </c:pt>
                <c:pt idx="54">
                  <c:v>15.173248420660251</c:v>
                </c:pt>
                <c:pt idx="55">
                  <c:v>11.648953119481169</c:v>
                </c:pt>
                <c:pt idx="56">
                  <c:v>25.573156472879504</c:v>
                </c:pt>
                <c:pt idx="57">
                  <c:v>67.633099751080081</c:v>
                </c:pt>
                <c:pt idx="58">
                  <c:v>54.018813623467587</c:v>
                </c:pt>
                <c:pt idx="59">
                  <c:v>106.83814356839687</c:v>
                </c:pt>
                <c:pt idx="60">
                  <c:v>99.673799545223744</c:v>
                </c:pt>
                <c:pt idx="61">
                  <c:v>97.062328103421052</c:v>
                </c:pt>
                <c:pt idx="62">
                  <c:v>89.15372486745953</c:v>
                </c:pt>
                <c:pt idx="63">
                  <c:v>102.1926083809247</c:v>
                </c:pt>
                <c:pt idx="64">
                  <c:v>99.684942648089418</c:v>
                </c:pt>
                <c:pt idx="65">
                  <c:v>90.763053303722728</c:v>
                </c:pt>
                <c:pt idx="66">
                  <c:v>100.38832478554443</c:v>
                </c:pt>
                <c:pt idx="67">
                  <c:v>93.632572938006859</c:v>
                </c:pt>
                <c:pt idx="68">
                  <c:v>102.77389380944318</c:v>
                </c:pt>
                <c:pt idx="69">
                  <c:v>89.997534827079306</c:v>
                </c:pt>
                <c:pt idx="70">
                  <c:v>94.455197655142982</c:v>
                </c:pt>
                <c:pt idx="71">
                  <c:v>105.54609071255388</c:v>
                </c:pt>
                <c:pt idx="72">
                  <c:v>111.38634211146521</c:v>
                </c:pt>
                <c:pt idx="73">
                  <c:v>94.772630546827756</c:v>
                </c:pt>
                <c:pt idx="74">
                  <c:v>92.806540268983241</c:v>
                </c:pt>
                <c:pt idx="75">
                  <c:v>91.412474790851846</c:v>
                </c:pt>
                <c:pt idx="76">
                  <c:v>87.888671447756025</c:v>
                </c:pt>
                <c:pt idx="77">
                  <c:v>89.177574662300941</c:v>
                </c:pt>
                <c:pt idx="78">
                  <c:v>89.611375120707919</c:v>
                </c:pt>
                <c:pt idx="79">
                  <c:v>98.111441353476664</c:v>
                </c:pt>
                <c:pt idx="80">
                  <c:v>93.357109770421886</c:v>
                </c:pt>
                <c:pt idx="81">
                  <c:v>91.908217180032523</c:v>
                </c:pt>
                <c:pt idx="82">
                  <c:v>97.11400082844311</c:v>
                </c:pt>
                <c:pt idx="83">
                  <c:v>106.90056919260005</c:v>
                </c:pt>
                <c:pt idx="84">
                  <c:v>95.122085563907291</c:v>
                </c:pt>
                <c:pt idx="85">
                  <c:v>103.52139276543167</c:v>
                </c:pt>
                <c:pt idx="86">
                  <c:v>102.71016099476968</c:v>
                </c:pt>
                <c:pt idx="87">
                  <c:v>99.414688875378118</c:v>
                </c:pt>
                <c:pt idx="88">
                  <c:v>101.39818079228969</c:v>
                </c:pt>
                <c:pt idx="89">
                  <c:v>108.53988152284299</c:v>
                </c:pt>
                <c:pt idx="90">
                  <c:v>124.59799853071195</c:v>
                </c:pt>
                <c:pt idx="91">
                  <c:v>111.26932127393435</c:v>
                </c:pt>
                <c:pt idx="92">
                  <c:v>112.54240468732938</c:v>
                </c:pt>
                <c:pt idx="93">
                  <c:v>106.14772263372836</c:v>
                </c:pt>
                <c:pt idx="94">
                  <c:v>112.86400971102771</c:v>
                </c:pt>
                <c:pt idx="95">
                  <c:v>102.22091020609001</c:v>
                </c:pt>
                <c:pt idx="96">
                  <c:v>96.961864078761835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E4-4854-903F-A7F302F5CC0A}"/>
            </c:ext>
          </c:extLst>
        </c:ser>
        <c:ser>
          <c:idx val="1"/>
          <c:order val="2"/>
          <c:tx>
            <c:strRef>
              <c:f>'storm time series'!$BP$1:$BQ$1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 time series'!$BI$3:$BI$99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 time series'!$BQ$3:$BQ$99</c:f>
              <c:numCache>
                <c:formatCode>0.0000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2.4313726584985909</c:v>
                </c:pt>
                <c:pt idx="4">
                  <c:v>0</c:v>
                </c:pt>
                <c:pt idx="5">
                  <c:v>0.60512974121363494</c:v>
                </c:pt>
                <c:pt idx="6">
                  <c:v>1.1146299848303067</c:v>
                </c:pt>
                <c:pt idx="7">
                  <c:v>0.51393655301734609</c:v>
                </c:pt>
                <c:pt idx="8">
                  <c:v>0.60591360246960646</c:v>
                </c:pt>
                <c:pt idx="9">
                  <c:v>0.55936823250975964</c:v>
                </c:pt>
                <c:pt idx="10">
                  <c:v>1.0399269692036037</c:v>
                </c:pt>
                <c:pt idx="11">
                  <c:v>0.56634964676355115</c:v>
                </c:pt>
                <c:pt idx="12">
                  <c:v>0.70572011605259743</c:v>
                </c:pt>
                <c:pt idx="13">
                  <c:v>0</c:v>
                </c:pt>
                <c:pt idx="14">
                  <c:v>2.463617093435905</c:v>
                </c:pt>
                <c:pt idx="15">
                  <c:v>0</c:v>
                </c:pt>
                <c:pt idx="16">
                  <c:v>1.1222648684031167</c:v>
                </c:pt>
                <c:pt idx="17">
                  <c:v>1.0806202698186482</c:v>
                </c:pt>
                <c:pt idx="18">
                  <c:v>2.2999004620157937</c:v>
                </c:pt>
                <c:pt idx="19">
                  <c:v>0.55254654555727156</c:v>
                </c:pt>
                <c:pt idx="20">
                  <c:v>2.7440387470621856</c:v>
                </c:pt>
                <c:pt idx="21">
                  <c:v>0</c:v>
                </c:pt>
                <c:pt idx="22">
                  <c:v>4.636710056894584</c:v>
                </c:pt>
                <c:pt idx="23">
                  <c:v>0</c:v>
                </c:pt>
                <c:pt idx="24">
                  <c:v>2.2881688718632427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1.022674081940866</c:v>
                </c:pt>
                <c:pt idx="31">
                  <c:v>0</c:v>
                </c:pt>
                <c:pt idx="32">
                  <c:v>0</c:v>
                </c:pt>
                <c:pt idx="33">
                  <c:v>7.9025585667509099E-2</c:v>
                </c:pt>
                <c:pt idx="34">
                  <c:v>3.553374591131861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7.064991555946433E-2</c:v>
                </c:pt>
                <c:pt idx="53">
                  <c:v>6.7651202149106013E-2</c:v>
                </c:pt>
                <c:pt idx="54">
                  <c:v>7.6338036960932859E-2</c:v>
                </c:pt>
                <c:pt idx="55">
                  <c:v>0</c:v>
                </c:pt>
                <c:pt idx="56">
                  <c:v>0</c:v>
                </c:pt>
                <c:pt idx="57">
                  <c:v>4.2826032062985764</c:v>
                </c:pt>
                <c:pt idx="58">
                  <c:v>19.006311826242779</c:v>
                </c:pt>
                <c:pt idx="59">
                  <c:v>80.048618777796804</c:v>
                </c:pt>
                <c:pt idx="60">
                  <c:v>99.673799545223744</c:v>
                </c:pt>
                <c:pt idx="61">
                  <c:v>97.062328103421052</c:v>
                </c:pt>
                <c:pt idx="62">
                  <c:v>52.175458201711351</c:v>
                </c:pt>
                <c:pt idx="63">
                  <c:v>102.1926083809247</c:v>
                </c:pt>
                <c:pt idx="64">
                  <c:v>99.684942648089418</c:v>
                </c:pt>
                <c:pt idx="65">
                  <c:v>90.763053303722728</c:v>
                </c:pt>
                <c:pt idx="66">
                  <c:v>100.38832478554443</c:v>
                </c:pt>
                <c:pt idx="67">
                  <c:v>93.632572938006859</c:v>
                </c:pt>
                <c:pt idx="68">
                  <c:v>102.77389380944318</c:v>
                </c:pt>
                <c:pt idx="69">
                  <c:v>89.997534827079306</c:v>
                </c:pt>
                <c:pt idx="70">
                  <c:v>94.455197655142982</c:v>
                </c:pt>
                <c:pt idx="71">
                  <c:v>105.54609071255388</c:v>
                </c:pt>
                <c:pt idx="72">
                  <c:v>111.38634211146521</c:v>
                </c:pt>
                <c:pt idx="73">
                  <c:v>94.772630546827756</c:v>
                </c:pt>
                <c:pt idx="74">
                  <c:v>92.806540268983241</c:v>
                </c:pt>
                <c:pt idx="75">
                  <c:v>91.412474790851846</c:v>
                </c:pt>
                <c:pt idx="76">
                  <c:v>87.888671447756025</c:v>
                </c:pt>
                <c:pt idx="77">
                  <c:v>89.177574662300941</c:v>
                </c:pt>
                <c:pt idx="78">
                  <c:v>89.611375120707919</c:v>
                </c:pt>
                <c:pt idx="79">
                  <c:v>98.111441353476664</c:v>
                </c:pt>
                <c:pt idx="80">
                  <c:v>93.357109770421886</c:v>
                </c:pt>
                <c:pt idx="81">
                  <c:v>91.908217180032523</c:v>
                </c:pt>
                <c:pt idx="82">
                  <c:v>97.11400082844311</c:v>
                </c:pt>
                <c:pt idx="83">
                  <c:v>106.90056919260005</c:v>
                </c:pt>
                <c:pt idx="84">
                  <c:v>95.122085563907291</c:v>
                </c:pt>
                <c:pt idx="85">
                  <c:v>103.52139276543167</c:v>
                </c:pt>
                <c:pt idx="86">
                  <c:v>102.71016099476968</c:v>
                </c:pt>
                <c:pt idx="87">
                  <c:v>92.739200484585211</c:v>
                </c:pt>
                <c:pt idx="88">
                  <c:v>101.39818079228969</c:v>
                </c:pt>
                <c:pt idx="89">
                  <c:v>101.25165553491027</c:v>
                </c:pt>
                <c:pt idx="90">
                  <c:v>124.59799853071195</c:v>
                </c:pt>
                <c:pt idx="91">
                  <c:v>111.26932127393435</c:v>
                </c:pt>
                <c:pt idx="92">
                  <c:v>104.98541764184407</c:v>
                </c:pt>
                <c:pt idx="93">
                  <c:v>106.14772263372836</c:v>
                </c:pt>
                <c:pt idx="94">
                  <c:v>112.86400971102771</c:v>
                </c:pt>
                <c:pt idx="95">
                  <c:v>65.164012076827049</c:v>
                </c:pt>
                <c:pt idx="96">
                  <c:v>61.811463712085661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EB-4121-873F-D6645B6FC30B}"/>
            </c:ext>
          </c:extLst>
        </c:ser>
        <c:ser>
          <c:idx val="2"/>
          <c:order val="3"/>
          <c:tx>
            <c:strRef>
              <c:f>'storm time series'!$BR$1:$BS$1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'storm time series'!$BI$3:$BI$99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 time series'!$BS$3:$BS$99</c:f>
              <c:numCache>
                <c:formatCode>0.0000</c:formatCode>
                <c:ptCount val="97"/>
                <c:pt idx="0">
                  <c:v>0</c:v>
                </c:pt>
                <c:pt idx="1">
                  <c:v>1.9220034848347695E-2</c:v>
                </c:pt>
                <c:pt idx="2">
                  <c:v>0</c:v>
                </c:pt>
                <c:pt idx="3">
                  <c:v>0.16086288654860084</c:v>
                </c:pt>
                <c:pt idx="4">
                  <c:v>0</c:v>
                </c:pt>
                <c:pt idx="5">
                  <c:v>0.10189316262406162</c:v>
                </c:pt>
                <c:pt idx="6">
                  <c:v>8.2046662544784335E-2</c:v>
                </c:pt>
                <c:pt idx="7">
                  <c:v>3.2068090085092169E-3</c:v>
                </c:pt>
                <c:pt idx="8">
                  <c:v>0.10294202697829542</c:v>
                </c:pt>
                <c:pt idx="9">
                  <c:v>4.6749690788670452E-2</c:v>
                </c:pt>
                <c:pt idx="10">
                  <c:v>4.1848780518970619E-2</c:v>
                </c:pt>
                <c:pt idx="11">
                  <c:v>5.4406499051739547E-2</c:v>
                </c:pt>
                <c:pt idx="12">
                  <c:v>0.26766693638989486</c:v>
                </c:pt>
                <c:pt idx="13">
                  <c:v>0</c:v>
                </c:pt>
                <c:pt idx="14">
                  <c:v>0.17463478638414506</c:v>
                </c:pt>
                <c:pt idx="15">
                  <c:v>0</c:v>
                </c:pt>
                <c:pt idx="16">
                  <c:v>9.3415956659879604E-2</c:v>
                </c:pt>
                <c:pt idx="17">
                  <c:v>6.5988654420514284E-2</c:v>
                </c:pt>
                <c:pt idx="18">
                  <c:v>0.10940610717239509</c:v>
                </c:pt>
                <c:pt idx="19">
                  <c:v>3.9522645971062247E-2</c:v>
                </c:pt>
                <c:pt idx="20">
                  <c:v>0.31476785189516326</c:v>
                </c:pt>
                <c:pt idx="21">
                  <c:v>0</c:v>
                </c:pt>
                <c:pt idx="22">
                  <c:v>0.47242070860678842</c:v>
                </c:pt>
                <c:pt idx="23">
                  <c:v>0</c:v>
                </c:pt>
                <c:pt idx="24">
                  <c:v>0.10517173170665636</c:v>
                </c:pt>
                <c:pt idx="25">
                  <c:v>7.0153751303236771E-3</c:v>
                </c:pt>
                <c:pt idx="26">
                  <c:v>0</c:v>
                </c:pt>
                <c:pt idx="27">
                  <c:v>2.490429180185923E-2</c:v>
                </c:pt>
                <c:pt idx="28">
                  <c:v>0</c:v>
                </c:pt>
                <c:pt idx="29">
                  <c:v>0</c:v>
                </c:pt>
                <c:pt idx="30">
                  <c:v>3.2382664637225729E-2</c:v>
                </c:pt>
                <c:pt idx="31">
                  <c:v>0</c:v>
                </c:pt>
                <c:pt idx="32">
                  <c:v>0</c:v>
                </c:pt>
                <c:pt idx="33">
                  <c:v>1.7935773117182086E-2</c:v>
                </c:pt>
                <c:pt idx="34">
                  <c:v>0.35124025321698771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2.0428824292794598E-3</c:v>
                </c:pt>
                <c:pt idx="55">
                  <c:v>0</c:v>
                </c:pt>
                <c:pt idx="56">
                  <c:v>0.67320736429236505</c:v>
                </c:pt>
                <c:pt idx="57">
                  <c:v>18.765190105082475</c:v>
                </c:pt>
                <c:pt idx="58">
                  <c:v>9.2003097931704492</c:v>
                </c:pt>
                <c:pt idx="59">
                  <c:v>77.653183502580859</c:v>
                </c:pt>
                <c:pt idx="60">
                  <c:v>62.69224884425352</c:v>
                </c:pt>
                <c:pt idx="61">
                  <c:v>57.758180886880318</c:v>
                </c:pt>
                <c:pt idx="62">
                  <c:v>44.405693102380802</c:v>
                </c:pt>
                <c:pt idx="63">
                  <c:v>67.70992211720521</c:v>
                </c:pt>
                <c:pt idx="64">
                  <c:v>62.713882327805969</c:v>
                </c:pt>
                <c:pt idx="65">
                  <c:v>46.935367242657946</c:v>
                </c:pt>
                <c:pt idx="66">
                  <c:v>64.089534614246134</c:v>
                </c:pt>
                <c:pt idx="67">
                  <c:v>51.680470800700711</c:v>
                </c:pt>
                <c:pt idx="68">
                  <c:v>68.904682502126832</c:v>
                </c:pt>
                <c:pt idx="69">
                  <c:v>45.720436940195277</c:v>
                </c:pt>
                <c:pt idx="70">
                  <c:v>53.097333058223846</c:v>
                </c:pt>
                <c:pt idx="71">
                  <c:v>74.796211943945977</c:v>
                </c:pt>
                <c:pt idx="72">
                  <c:v>88.287970029573415</c:v>
                </c:pt>
                <c:pt idx="73">
                  <c:v>53.650908340909908</c:v>
                </c:pt>
                <c:pt idx="74">
                  <c:v>50.283288883626717</c:v>
                </c:pt>
                <c:pt idx="75">
                  <c:v>47.982725942026676</c:v>
                </c:pt>
                <c:pt idx="76">
                  <c:v>42.482090319369981</c:v>
                </c:pt>
                <c:pt idx="77">
                  <c:v>44.442503759262237</c:v>
                </c:pt>
                <c:pt idx="78">
                  <c:v>45.115593343972066</c:v>
                </c:pt>
                <c:pt idx="79">
                  <c:v>59.708011830718576</c:v>
                </c:pt>
                <c:pt idx="80">
                  <c:v>51.211708517655161</c:v>
                </c:pt>
                <c:pt idx="81">
                  <c:v>48.792619665907367</c:v>
                </c:pt>
                <c:pt idx="82">
                  <c:v>57.853209428388254</c:v>
                </c:pt>
                <c:pt idx="83">
                  <c:v>77.793031189950611</c:v>
                </c:pt>
                <c:pt idx="84">
                  <c:v>54.264755771622013</c:v>
                </c:pt>
                <c:pt idx="85">
                  <c:v>70.461620712499112</c:v>
                </c:pt>
                <c:pt idx="86">
                  <c:v>68.773007123019553</c:v>
                </c:pt>
                <c:pt idx="87">
                  <c:v>62.190606291201085</c:v>
                </c:pt>
                <c:pt idx="88">
                  <c:v>66.099519805683229</c:v>
                </c:pt>
                <c:pt idx="89">
                  <c:v>81.525863488695393</c:v>
                </c:pt>
                <c:pt idx="90">
                  <c:v>124.59799853071195</c:v>
                </c:pt>
                <c:pt idx="91">
                  <c:v>88.002858439816848</c:v>
                </c:pt>
                <c:pt idx="92">
                  <c:v>91.137817213437387</c:v>
                </c:pt>
                <c:pt idx="93">
                  <c:v>76.117648960651763</c:v>
                </c:pt>
                <c:pt idx="94">
                  <c:v>91.941388226094645</c:v>
                </c:pt>
                <c:pt idx="95">
                  <c:v>67.767770702892122</c:v>
                </c:pt>
                <c:pt idx="96">
                  <c:v>57.573720538636998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EB-4121-873F-D6645B6FC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1 -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 time series'!$BU$3:$BU$87</c:f>
              <c:numCache>
                <c:formatCode>m/d/yyyy\ h:mm</c:formatCode>
                <c:ptCount val="85"/>
                <c:pt idx="0">
                  <c:v>45046.333333333336</c:v>
                </c:pt>
                <c:pt idx="1">
                  <c:v>45046.34375</c:v>
                </c:pt>
                <c:pt idx="2">
                  <c:v>45046.354166666664</c:v>
                </c:pt>
                <c:pt idx="3">
                  <c:v>45046.364583333336</c:v>
                </c:pt>
                <c:pt idx="4">
                  <c:v>45046.375</c:v>
                </c:pt>
                <c:pt idx="5">
                  <c:v>45046.385416666664</c:v>
                </c:pt>
                <c:pt idx="6">
                  <c:v>45046.395833333336</c:v>
                </c:pt>
                <c:pt idx="7">
                  <c:v>45046.40625</c:v>
                </c:pt>
                <c:pt idx="8">
                  <c:v>45046.416666666664</c:v>
                </c:pt>
                <c:pt idx="9">
                  <c:v>45046.427083333336</c:v>
                </c:pt>
                <c:pt idx="10">
                  <c:v>45046.4375</c:v>
                </c:pt>
                <c:pt idx="11">
                  <c:v>45046.447916666664</c:v>
                </c:pt>
                <c:pt idx="12">
                  <c:v>45046.458333333336</c:v>
                </c:pt>
                <c:pt idx="13">
                  <c:v>45046.46875</c:v>
                </c:pt>
                <c:pt idx="14">
                  <c:v>45046.479166666664</c:v>
                </c:pt>
                <c:pt idx="15">
                  <c:v>45046.489583333336</c:v>
                </c:pt>
                <c:pt idx="16">
                  <c:v>45046.5</c:v>
                </c:pt>
                <c:pt idx="17">
                  <c:v>45046.510416666664</c:v>
                </c:pt>
                <c:pt idx="18">
                  <c:v>45046.520833333336</c:v>
                </c:pt>
                <c:pt idx="19">
                  <c:v>45046.53125</c:v>
                </c:pt>
                <c:pt idx="20">
                  <c:v>45046.541666666664</c:v>
                </c:pt>
                <c:pt idx="21">
                  <c:v>45046.552083333336</c:v>
                </c:pt>
                <c:pt idx="22">
                  <c:v>45046.5625</c:v>
                </c:pt>
                <c:pt idx="23">
                  <c:v>45046.572916666664</c:v>
                </c:pt>
                <c:pt idx="24">
                  <c:v>45046.583333333336</c:v>
                </c:pt>
                <c:pt idx="25">
                  <c:v>45046.59375</c:v>
                </c:pt>
                <c:pt idx="26">
                  <c:v>45046.604166666664</c:v>
                </c:pt>
                <c:pt idx="27">
                  <c:v>45046.614583333336</c:v>
                </c:pt>
                <c:pt idx="28">
                  <c:v>45046.625</c:v>
                </c:pt>
                <c:pt idx="29">
                  <c:v>45046.635416666664</c:v>
                </c:pt>
                <c:pt idx="30">
                  <c:v>45046.645833333336</c:v>
                </c:pt>
                <c:pt idx="31">
                  <c:v>45046.65625</c:v>
                </c:pt>
                <c:pt idx="32">
                  <c:v>45046.666666666664</c:v>
                </c:pt>
                <c:pt idx="33">
                  <c:v>45046.677083333336</c:v>
                </c:pt>
                <c:pt idx="34">
                  <c:v>45046.6875</c:v>
                </c:pt>
                <c:pt idx="35">
                  <c:v>45046.697916666664</c:v>
                </c:pt>
                <c:pt idx="36">
                  <c:v>45046.708333333336</c:v>
                </c:pt>
                <c:pt idx="37">
                  <c:v>45046.71875</c:v>
                </c:pt>
                <c:pt idx="38">
                  <c:v>45046.729166666664</c:v>
                </c:pt>
                <c:pt idx="39">
                  <c:v>45046.739583333336</c:v>
                </c:pt>
                <c:pt idx="40">
                  <c:v>45046.75</c:v>
                </c:pt>
                <c:pt idx="41">
                  <c:v>45046.760416666664</c:v>
                </c:pt>
                <c:pt idx="42">
                  <c:v>45046.770833333336</c:v>
                </c:pt>
                <c:pt idx="43">
                  <c:v>45046.78125</c:v>
                </c:pt>
                <c:pt idx="44">
                  <c:v>45046.791666666664</c:v>
                </c:pt>
                <c:pt idx="45">
                  <c:v>45046.802083333336</c:v>
                </c:pt>
                <c:pt idx="46">
                  <c:v>45046.8125</c:v>
                </c:pt>
                <c:pt idx="47">
                  <c:v>45046.822916666664</c:v>
                </c:pt>
                <c:pt idx="48">
                  <c:v>45046.833333333336</c:v>
                </c:pt>
                <c:pt idx="49">
                  <c:v>45046.84375</c:v>
                </c:pt>
                <c:pt idx="50">
                  <c:v>45046.854166666664</c:v>
                </c:pt>
                <c:pt idx="51">
                  <c:v>45046.864583333336</c:v>
                </c:pt>
                <c:pt idx="52">
                  <c:v>45046.875</c:v>
                </c:pt>
                <c:pt idx="53">
                  <c:v>45046.885416666664</c:v>
                </c:pt>
                <c:pt idx="54">
                  <c:v>45046.895833333336</c:v>
                </c:pt>
                <c:pt idx="55">
                  <c:v>45046.90625</c:v>
                </c:pt>
                <c:pt idx="56">
                  <c:v>45046.916666666664</c:v>
                </c:pt>
                <c:pt idx="57">
                  <c:v>45046.927083333336</c:v>
                </c:pt>
                <c:pt idx="58">
                  <c:v>45046.9375</c:v>
                </c:pt>
                <c:pt idx="59">
                  <c:v>45046.947916666664</c:v>
                </c:pt>
                <c:pt idx="60">
                  <c:v>45046.958333333336</c:v>
                </c:pt>
                <c:pt idx="61">
                  <c:v>45046.96875</c:v>
                </c:pt>
                <c:pt idx="62">
                  <c:v>45046.979166666664</c:v>
                </c:pt>
                <c:pt idx="63">
                  <c:v>45046.989583333336</c:v>
                </c:pt>
                <c:pt idx="64">
                  <c:v>45047</c:v>
                </c:pt>
                <c:pt idx="65">
                  <c:v>45047.010416666664</c:v>
                </c:pt>
                <c:pt idx="66">
                  <c:v>45047.020833333336</c:v>
                </c:pt>
                <c:pt idx="67">
                  <c:v>45047.03125</c:v>
                </c:pt>
                <c:pt idx="68">
                  <c:v>45047.041666666664</c:v>
                </c:pt>
                <c:pt idx="69">
                  <c:v>45047.052083333336</c:v>
                </c:pt>
                <c:pt idx="70">
                  <c:v>45047.0625</c:v>
                </c:pt>
                <c:pt idx="71">
                  <c:v>45047.072916666664</c:v>
                </c:pt>
                <c:pt idx="72">
                  <c:v>45047.083333333336</c:v>
                </c:pt>
                <c:pt idx="73">
                  <c:v>45047.09375</c:v>
                </c:pt>
                <c:pt idx="74">
                  <c:v>45047.104166666664</c:v>
                </c:pt>
                <c:pt idx="75">
                  <c:v>45047.114583333336</c:v>
                </c:pt>
                <c:pt idx="76">
                  <c:v>45047.125</c:v>
                </c:pt>
                <c:pt idx="77">
                  <c:v>45047.135416666664</c:v>
                </c:pt>
                <c:pt idx="78">
                  <c:v>45047.145833333336</c:v>
                </c:pt>
                <c:pt idx="79">
                  <c:v>45047.15625</c:v>
                </c:pt>
                <c:pt idx="80">
                  <c:v>45047.166666666664</c:v>
                </c:pt>
                <c:pt idx="81">
                  <c:v>45047.177083333336</c:v>
                </c:pt>
                <c:pt idx="82">
                  <c:v>45047.1875</c:v>
                </c:pt>
                <c:pt idx="83">
                  <c:v>45047.197916666664</c:v>
                </c:pt>
                <c:pt idx="84">
                  <c:v>45047.208333333336</c:v>
                </c:pt>
              </c:numCache>
            </c:numRef>
          </c:xVal>
          <c:yVal>
            <c:numRef>
              <c:f>'storm time series'!$BW$3:$BW$87</c:f>
              <c:numCache>
                <c:formatCode>0.000</c:formatCode>
                <c:ptCount val="85"/>
                <c:pt idx="0">
                  <c:v>66.647934039999996</c:v>
                </c:pt>
                <c:pt idx="1">
                  <c:v>70.271667750000006</c:v>
                </c:pt>
                <c:pt idx="2">
                  <c:v>68.466857000000005</c:v>
                </c:pt>
                <c:pt idx="3">
                  <c:v>69.36581735</c:v>
                </c:pt>
                <c:pt idx="4">
                  <c:v>69.36581735</c:v>
                </c:pt>
                <c:pt idx="5">
                  <c:v>67.106545600000004</c:v>
                </c:pt>
                <c:pt idx="6">
                  <c:v>68.466857000000005</c:v>
                </c:pt>
                <c:pt idx="7">
                  <c:v>68.466857000000005</c:v>
                </c:pt>
                <c:pt idx="8">
                  <c:v>67.106545600000004</c:v>
                </c:pt>
                <c:pt idx="9">
                  <c:v>68.008627450000006</c:v>
                </c:pt>
                <c:pt idx="10">
                  <c:v>68.466857000000005</c:v>
                </c:pt>
                <c:pt idx="11">
                  <c:v>69.822823</c:v>
                </c:pt>
                <c:pt idx="12">
                  <c:v>68.466857000000005</c:v>
                </c:pt>
                <c:pt idx="13">
                  <c:v>68.466857000000005</c:v>
                </c:pt>
                <c:pt idx="14">
                  <c:v>68.008627450000006</c:v>
                </c:pt>
                <c:pt idx="15">
                  <c:v>69.822823</c:v>
                </c:pt>
                <c:pt idx="16">
                  <c:v>64.837941950000001</c:v>
                </c:pt>
                <c:pt idx="17">
                  <c:v>69.36581735</c:v>
                </c:pt>
                <c:pt idx="18">
                  <c:v>70.720093730000002</c:v>
                </c:pt>
                <c:pt idx="19">
                  <c:v>70.720093730000002</c:v>
                </c:pt>
                <c:pt idx="20">
                  <c:v>72.069636250000002</c:v>
                </c:pt>
                <c:pt idx="21">
                  <c:v>75.208694050000005</c:v>
                </c:pt>
                <c:pt idx="22">
                  <c:v>72.069636250000002</c:v>
                </c:pt>
                <c:pt idx="23">
                  <c:v>76.544179459999995</c:v>
                </c:pt>
                <c:pt idx="24">
                  <c:v>78.762941850000004</c:v>
                </c:pt>
                <c:pt idx="25">
                  <c:v>76.544179459999995</c:v>
                </c:pt>
                <c:pt idx="26">
                  <c:v>80.523852189999999</c:v>
                </c:pt>
                <c:pt idx="27">
                  <c:v>79.202259850000004</c:v>
                </c:pt>
                <c:pt idx="28">
                  <c:v>83.594462070000006</c:v>
                </c:pt>
                <c:pt idx="29">
                  <c:v>83.594462070000006</c:v>
                </c:pt>
                <c:pt idx="30">
                  <c:v>84.027783200000002</c:v>
                </c:pt>
                <c:pt idx="31">
                  <c:v>82.718647970000006</c:v>
                </c:pt>
                <c:pt idx="32">
                  <c:v>81.405228940000001</c:v>
                </c:pt>
                <c:pt idx="33">
                  <c:v>80.079324720000002</c:v>
                </c:pt>
                <c:pt idx="34">
                  <c:v>84.891986889999998</c:v>
                </c:pt>
                <c:pt idx="35">
                  <c:v>82.276892649999994</c:v>
                </c:pt>
                <c:pt idx="36">
                  <c:v>82.276892649999994</c:v>
                </c:pt>
                <c:pt idx="37">
                  <c:v>79.202259850000004</c:v>
                </c:pt>
                <c:pt idx="38">
                  <c:v>80.523852189999999</c:v>
                </c:pt>
                <c:pt idx="39">
                  <c:v>80.523852189999999</c:v>
                </c:pt>
                <c:pt idx="40">
                  <c:v>81.397704649999994</c:v>
                </c:pt>
                <c:pt idx="41">
                  <c:v>82.276892649999994</c:v>
                </c:pt>
                <c:pt idx="42">
                  <c:v>85.762083380000007</c:v>
                </c:pt>
                <c:pt idx="43">
                  <c:v>85.762083380000007</c:v>
                </c:pt>
                <c:pt idx="44">
                  <c:v>84.891986889999998</c:v>
                </c:pt>
                <c:pt idx="45">
                  <c:v>83.586986100000004</c:v>
                </c:pt>
                <c:pt idx="46">
                  <c:v>85.762083380000007</c:v>
                </c:pt>
                <c:pt idx="47">
                  <c:v>84.891986889999998</c:v>
                </c:pt>
                <c:pt idx="48">
                  <c:v>83.586986100000004</c:v>
                </c:pt>
                <c:pt idx="49">
                  <c:v>85.762083380000007</c:v>
                </c:pt>
                <c:pt idx="50">
                  <c:v>86.192545629999998</c:v>
                </c:pt>
                <c:pt idx="51">
                  <c:v>84.891986889999998</c:v>
                </c:pt>
                <c:pt idx="52">
                  <c:v>87.058386479999996</c:v>
                </c:pt>
                <c:pt idx="53">
                  <c:v>82.276892649999994</c:v>
                </c:pt>
                <c:pt idx="54">
                  <c:v>84.891986889999998</c:v>
                </c:pt>
                <c:pt idx="55">
                  <c:v>82.276892649999994</c:v>
                </c:pt>
                <c:pt idx="56">
                  <c:v>82.711152870000006</c:v>
                </c:pt>
                <c:pt idx="57">
                  <c:v>81.397704649999994</c:v>
                </c:pt>
                <c:pt idx="58">
                  <c:v>85.762083380000007</c:v>
                </c:pt>
                <c:pt idx="59">
                  <c:v>82.276892649999994</c:v>
                </c:pt>
                <c:pt idx="60">
                  <c:v>81.405228940000001</c:v>
                </c:pt>
                <c:pt idx="61">
                  <c:v>77.875916610000004</c:v>
                </c:pt>
                <c:pt idx="62">
                  <c:v>77.875916610000004</c:v>
                </c:pt>
                <c:pt idx="63">
                  <c:v>80.961047410000006</c:v>
                </c:pt>
                <c:pt idx="64">
                  <c:v>82.276892649999994</c:v>
                </c:pt>
                <c:pt idx="65">
                  <c:v>82.276892649999994</c:v>
                </c:pt>
                <c:pt idx="66">
                  <c:v>81.405228940000001</c:v>
                </c:pt>
                <c:pt idx="67">
                  <c:v>82.276892649999994</c:v>
                </c:pt>
                <c:pt idx="68">
                  <c:v>80.961047410000006</c:v>
                </c:pt>
                <c:pt idx="69">
                  <c:v>83.586986100000004</c:v>
                </c:pt>
                <c:pt idx="70">
                  <c:v>83.153095449999995</c:v>
                </c:pt>
                <c:pt idx="71">
                  <c:v>82.276892649999994</c:v>
                </c:pt>
                <c:pt idx="72">
                  <c:v>82.276892649999994</c:v>
                </c:pt>
                <c:pt idx="73">
                  <c:v>82.284398269999997</c:v>
                </c:pt>
                <c:pt idx="74">
                  <c:v>82.284398269999997</c:v>
                </c:pt>
                <c:pt idx="75">
                  <c:v>81.405228940000001</c:v>
                </c:pt>
                <c:pt idx="76">
                  <c:v>81.405228940000001</c:v>
                </c:pt>
                <c:pt idx="77">
                  <c:v>82.276892649999994</c:v>
                </c:pt>
                <c:pt idx="78">
                  <c:v>82.284398269999997</c:v>
                </c:pt>
                <c:pt idx="79">
                  <c:v>82.284398269999997</c:v>
                </c:pt>
                <c:pt idx="80">
                  <c:v>80.086877509999994</c:v>
                </c:pt>
                <c:pt idx="81">
                  <c:v>83.594462070000006</c:v>
                </c:pt>
                <c:pt idx="82">
                  <c:v>82.276892649999994</c:v>
                </c:pt>
                <c:pt idx="83">
                  <c:v>82.718647970000006</c:v>
                </c:pt>
                <c:pt idx="84">
                  <c:v>81.405228940000001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F4-43E1-9057-9BBC31330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 time series'!$BU$3:$BU$87</c:f>
              <c:numCache>
                <c:formatCode>m/d/yyyy\ h:mm</c:formatCode>
                <c:ptCount val="85"/>
                <c:pt idx="0">
                  <c:v>45046.333333333336</c:v>
                </c:pt>
                <c:pt idx="1">
                  <c:v>45046.34375</c:v>
                </c:pt>
                <c:pt idx="2">
                  <c:v>45046.354166666664</c:v>
                </c:pt>
                <c:pt idx="3">
                  <c:v>45046.364583333336</c:v>
                </c:pt>
                <c:pt idx="4">
                  <c:v>45046.375</c:v>
                </c:pt>
                <c:pt idx="5">
                  <c:v>45046.385416666664</c:v>
                </c:pt>
                <c:pt idx="6">
                  <c:v>45046.395833333336</c:v>
                </c:pt>
                <c:pt idx="7">
                  <c:v>45046.40625</c:v>
                </c:pt>
                <c:pt idx="8">
                  <c:v>45046.416666666664</c:v>
                </c:pt>
                <c:pt idx="9">
                  <c:v>45046.427083333336</c:v>
                </c:pt>
                <c:pt idx="10">
                  <c:v>45046.4375</c:v>
                </c:pt>
                <c:pt idx="11">
                  <c:v>45046.447916666664</c:v>
                </c:pt>
                <c:pt idx="12">
                  <c:v>45046.458333333336</c:v>
                </c:pt>
                <c:pt idx="13">
                  <c:v>45046.46875</c:v>
                </c:pt>
                <c:pt idx="14">
                  <c:v>45046.479166666664</c:v>
                </c:pt>
                <c:pt idx="15">
                  <c:v>45046.489583333336</c:v>
                </c:pt>
                <c:pt idx="16">
                  <c:v>45046.5</c:v>
                </c:pt>
                <c:pt idx="17">
                  <c:v>45046.510416666664</c:v>
                </c:pt>
                <c:pt idx="18">
                  <c:v>45046.520833333336</c:v>
                </c:pt>
                <c:pt idx="19">
                  <c:v>45046.53125</c:v>
                </c:pt>
                <c:pt idx="20">
                  <c:v>45046.541666666664</c:v>
                </c:pt>
                <c:pt idx="21">
                  <c:v>45046.552083333336</c:v>
                </c:pt>
                <c:pt idx="22">
                  <c:v>45046.5625</c:v>
                </c:pt>
                <c:pt idx="23">
                  <c:v>45046.572916666664</c:v>
                </c:pt>
                <c:pt idx="24">
                  <c:v>45046.583333333336</c:v>
                </c:pt>
                <c:pt idx="25">
                  <c:v>45046.59375</c:v>
                </c:pt>
                <c:pt idx="26">
                  <c:v>45046.604166666664</c:v>
                </c:pt>
                <c:pt idx="27">
                  <c:v>45046.614583333336</c:v>
                </c:pt>
                <c:pt idx="28">
                  <c:v>45046.625</c:v>
                </c:pt>
                <c:pt idx="29">
                  <c:v>45046.635416666664</c:v>
                </c:pt>
                <c:pt idx="30">
                  <c:v>45046.645833333336</c:v>
                </c:pt>
                <c:pt idx="31">
                  <c:v>45046.65625</c:v>
                </c:pt>
                <c:pt idx="32">
                  <c:v>45046.666666666664</c:v>
                </c:pt>
                <c:pt idx="33">
                  <c:v>45046.677083333336</c:v>
                </c:pt>
                <c:pt idx="34">
                  <c:v>45046.6875</c:v>
                </c:pt>
                <c:pt idx="35">
                  <c:v>45046.697916666664</c:v>
                </c:pt>
                <c:pt idx="36">
                  <c:v>45046.708333333336</c:v>
                </c:pt>
                <c:pt idx="37">
                  <c:v>45046.71875</c:v>
                </c:pt>
                <c:pt idx="38">
                  <c:v>45046.729166666664</c:v>
                </c:pt>
                <c:pt idx="39">
                  <c:v>45046.739583333336</c:v>
                </c:pt>
                <c:pt idx="40">
                  <c:v>45046.75</c:v>
                </c:pt>
                <c:pt idx="41">
                  <c:v>45046.760416666664</c:v>
                </c:pt>
                <c:pt idx="42">
                  <c:v>45046.770833333336</c:v>
                </c:pt>
                <c:pt idx="43">
                  <c:v>45046.78125</c:v>
                </c:pt>
                <c:pt idx="44">
                  <c:v>45046.791666666664</c:v>
                </c:pt>
                <c:pt idx="45">
                  <c:v>45046.802083333336</c:v>
                </c:pt>
                <c:pt idx="46">
                  <c:v>45046.8125</c:v>
                </c:pt>
                <c:pt idx="47">
                  <c:v>45046.822916666664</c:v>
                </c:pt>
                <c:pt idx="48">
                  <c:v>45046.833333333336</c:v>
                </c:pt>
                <c:pt idx="49">
                  <c:v>45046.84375</c:v>
                </c:pt>
                <c:pt idx="50">
                  <c:v>45046.854166666664</c:v>
                </c:pt>
                <c:pt idx="51">
                  <c:v>45046.864583333336</c:v>
                </c:pt>
                <c:pt idx="52">
                  <c:v>45046.875</c:v>
                </c:pt>
                <c:pt idx="53">
                  <c:v>45046.885416666664</c:v>
                </c:pt>
                <c:pt idx="54">
                  <c:v>45046.895833333336</c:v>
                </c:pt>
                <c:pt idx="55">
                  <c:v>45046.90625</c:v>
                </c:pt>
                <c:pt idx="56">
                  <c:v>45046.916666666664</c:v>
                </c:pt>
                <c:pt idx="57">
                  <c:v>45046.927083333336</c:v>
                </c:pt>
                <c:pt idx="58">
                  <c:v>45046.9375</c:v>
                </c:pt>
                <c:pt idx="59">
                  <c:v>45046.947916666664</c:v>
                </c:pt>
                <c:pt idx="60">
                  <c:v>45046.958333333336</c:v>
                </c:pt>
                <c:pt idx="61">
                  <c:v>45046.96875</c:v>
                </c:pt>
                <c:pt idx="62">
                  <c:v>45046.979166666664</c:v>
                </c:pt>
                <c:pt idx="63">
                  <c:v>45046.989583333336</c:v>
                </c:pt>
                <c:pt idx="64">
                  <c:v>45047</c:v>
                </c:pt>
                <c:pt idx="65">
                  <c:v>45047.010416666664</c:v>
                </c:pt>
                <c:pt idx="66">
                  <c:v>45047.020833333336</c:v>
                </c:pt>
                <c:pt idx="67">
                  <c:v>45047.03125</c:v>
                </c:pt>
                <c:pt idx="68">
                  <c:v>45047.041666666664</c:v>
                </c:pt>
                <c:pt idx="69">
                  <c:v>45047.052083333336</c:v>
                </c:pt>
                <c:pt idx="70">
                  <c:v>45047.0625</c:v>
                </c:pt>
                <c:pt idx="71">
                  <c:v>45047.072916666664</c:v>
                </c:pt>
                <c:pt idx="72">
                  <c:v>45047.083333333336</c:v>
                </c:pt>
                <c:pt idx="73">
                  <c:v>45047.09375</c:v>
                </c:pt>
                <c:pt idx="74">
                  <c:v>45047.104166666664</c:v>
                </c:pt>
                <c:pt idx="75">
                  <c:v>45047.114583333336</c:v>
                </c:pt>
                <c:pt idx="76">
                  <c:v>45047.125</c:v>
                </c:pt>
                <c:pt idx="77">
                  <c:v>45047.135416666664</c:v>
                </c:pt>
                <c:pt idx="78">
                  <c:v>45047.145833333336</c:v>
                </c:pt>
                <c:pt idx="79">
                  <c:v>45047.15625</c:v>
                </c:pt>
                <c:pt idx="80">
                  <c:v>45047.166666666664</c:v>
                </c:pt>
                <c:pt idx="81">
                  <c:v>45047.177083333336</c:v>
                </c:pt>
                <c:pt idx="82">
                  <c:v>45047.1875</c:v>
                </c:pt>
                <c:pt idx="83">
                  <c:v>45047.197916666664</c:v>
                </c:pt>
                <c:pt idx="84">
                  <c:v>45047.208333333336</c:v>
                </c:pt>
              </c:numCache>
            </c:numRef>
          </c:xVal>
          <c:yVal>
            <c:numRef>
              <c:f>'storm time series'!$CA$3:$CA$87</c:f>
              <c:numCache>
                <c:formatCode>0.000</c:formatCode>
                <c:ptCount val="85"/>
                <c:pt idx="0">
                  <c:v>81.363475963061646</c:v>
                </c:pt>
                <c:pt idx="1">
                  <c:v>82.020077037983313</c:v>
                </c:pt>
                <c:pt idx="2">
                  <c:v>78.371710774317449</c:v>
                </c:pt>
                <c:pt idx="3">
                  <c:v>76.898572358647399</c:v>
                </c:pt>
                <c:pt idx="4">
                  <c:v>79.07065870598538</c:v>
                </c:pt>
                <c:pt idx="5">
                  <c:v>86.410471155116355</c:v>
                </c:pt>
                <c:pt idx="6">
                  <c:v>78.560636745669044</c:v>
                </c:pt>
                <c:pt idx="7">
                  <c:v>82.347600517405539</c:v>
                </c:pt>
                <c:pt idx="8">
                  <c:v>78.892914151061035</c:v>
                </c:pt>
                <c:pt idx="9">
                  <c:v>81.00700208412924</c:v>
                </c:pt>
                <c:pt idx="10">
                  <c:v>82.315521091065975</c:v>
                </c:pt>
                <c:pt idx="11">
                  <c:v>78.363876316632769</c:v>
                </c:pt>
                <c:pt idx="12">
                  <c:v>81.122634952901862</c:v>
                </c:pt>
                <c:pt idx="13">
                  <c:v>81.642689647426877</c:v>
                </c:pt>
                <c:pt idx="14">
                  <c:v>82.123596798944703</c:v>
                </c:pt>
                <c:pt idx="15">
                  <c:v>81.715778246738054</c:v>
                </c:pt>
                <c:pt idx="16">
                  <c:v>82.895447836785578</c:v>
                </c:pt>
                <c:pt idx="17">
                  <c:v>80.435317409263035</c:v>
                </c:pt>
                <c:pt idx="18">
                  <c:v>81.875377684380638</c:v>
                </c:pt>
                <c:pt idx="19">
                  <c:v>84.293148078854855</c:v>
                </c:pt>
                <c:pt idx="20">
                  <c:v>81.333733145824112</c:v>
                </c:pt>
                <c:pt idx="21">
                  <c:v>84.572006122249178</c:v>
                </c:pt>
                <c:pt idx="22">
                  <c:v>85.189017822363695</c:v>
                </c:pt>
                <c:pt idx="23">
                  <c:v>80.394126319763103</c:v>
                </c:pt>
                <c:pt idx="24">
                  <c:v>82.446704472072298</c:v>
                </c:pt>
                <c:pt idx="25">
                  <c:v>81.948793212662608</c:v>
                </c:pt>
                <c:pt idx="26">
                  <c:v>81.835150788792077</c:v>
                </c:pt>
                <c:pt idx="27">
                  <c:v>82.06638324476603</c:v>
                </c:pt>
                <c:pt idx="28">
                  <c:v>78.958126944871054</c:v>
                </c:pt>
                <c:pt idx="29">
                  <c:v>81.943632835591899</c:v>
                </c:pt>
                <c:pt idx="30">
                  <c:v>82.982919276963401</c:v>
                </c:pt>
                <c:pt idx="31">
                  <c:v>81.63902510058081</c:v>
                </c:pt>
                <c:pt idx="32">
                  <c:v>83.399502274836181</c:v>
                </c:pt>
                <c:pt idx="33">
                  <c:v>82.826381405665046</c:v>
                </c:pt>
                <c:pt idx="34">
                  <c:v>80.938169278524285</c:v>
                </c:pt>
                <c:pt idx="35">
                  <c:v>82.401801223161442</c:v>
                </c:pt>
                <c:pt idx="36">
                  <c:v>82.206251840258588</c:v>
                </c:pt>
                <c:pt idx="37">
                  <c:v>80.508683044747798</c:v>
                </c:pt>
                <c:pt idx="38">
                  <c:v>80.446490152713736</c:v>
                </c:pt>
                <c:pt idx="39">
                  <c:v>80.854002467705754</c:v>
                </c:pt>
                <c:pt idx="40">
                  <c:v>80.453291799280009</c:v>
                </c:pt>
                <c:pt idx="41">
                  <c:v>82.262987454587801</c:v>
                </c:pt>
                <c:pt idx="42">
                  <c:v>77.039870709692963</c:v>
                </c:pt>
                <c:pt idx="43">
                  <c:v>88.490803262610711</c:v>
                </c:pt>
                <c:pt idx="44">
                  <c:v>84.132950554715677</c:v>
                </c:pt>
                <c:pt idx="45">
                  <c:v>80.252786642949317</c:v>
                </c:pt>
                <c:pt idx="46">
                  <c:v>80.900835828363043</c:v>
                </c:pt>
                <c:pt idx="47">
                  <c:v>80.400312456493324</c:v>
                </c:pt>
                <c:pt idx="48">
                  <c:v>80.788521161062619</c:v>
                </c:pt>
                <c:pt idx="49">
                  <c:v>83.326600419213051</c:v>
                </c:pt>
                <c:pt idx="50">
                  <c:v>81.554561769067547</c:v>
                </c:pt>
                <c:pt idx="51">
                  <c:v>81.638485754857172</c:v>
                </c:pt>
                <c:pt idx="52">
                  <c:v>82.351533429029573</c:v>
                </c:pt>
                <c:pt idx="53">
                  <c:v>82.75825190250282</c:v>
                </c:pt>
                <c:pt idx="54">
                  <c:v>85.402158111773815</c:v>
                </c:pt>
                <c:pt idx="55">
                  <c:v>80.518565324109005</c:v>
                </c:pt>
                <c:pt idx="56">
                  <c:v>79.655200179778632</c:v>
                </c:pt>
                <c:pt idx="57">
                  <c:v>80.256457217326698</c:v>
                </c:pt>
                <c:pt idx="58">
                  <c:v>88.461524281679715</c:v>
                </c:pt>
                <c:pt idx="59">
                  <c:v>77.199696987500261</c:v>
                </c:pt>
                <c:pt idx="60">
                  <c:v>78.852366764286216</c:v>
                </c:pt>
                <c:pt idx="61">
                  <c:v>78.844595636301676</c:v>
                </c:pt>
                <c:pt idx="62">
                  <c:v>81.927628458854997</c:v>
                </c:pt>
                <c:pt idx="63">
                  <c:v>79.883106696123889</c:v>
                </c:pt>
                <c:pt idx="64">
                  <c:v>80.160708793370546</c:v>
                </c:pt>
                <c:pt idx="65">
                  <c:v>78.972636880082561</c:v>
                </c:pt>
                <c:pt idx="66">
                  <c:v>78.215377379264879</c:v>
                </c:pt>
                <c:pt idx="67">
                  <c:v>77.651048775951509</c:v>
                </c:pt>
                <c:pt idx="68">
                  <c:v>75.779877972610294</c:v>
                </c:pt>
                <c:pt idx="69">
                  <c:v>77.743367210724045</c:v>
                </c:pt>
                <c:pt idx="70">
                  <c:v>80.651218650780677</c:v>
                </c:pt>
                <c:pt idx="71">
                  <c:v>76.780652273051416</c:v>
                </c:pt>
                <c:pt idx="72">
                  <c:v>77.863291611124211</c:v>
                </c:pt>
                <c:pt idx="73">
                  <c:v>81.418402938795751</c:v>
                </c:pt>
                <c:pt idx="74">
                  <c:v>80.077971725097882</c:v>
                </c:pt>
                <c:pt idx="75">
                  <c:v>81.460976931595383</c:v>
                </c:pt>
                <c:pt idx="76">
                  <c:v>75.769687982629208</c:v>
                </c:pt>
                <c:pt idx="77">
                  <c:v>77.54697255344071</c:v>
                </c:pt>
                <c:pt idx="78">
                  <c:v>76.772579244228879</c:v>
                </c:pt>
                <c:pt idx="79">
                  <c:v>78.259397672469291</c:v>
                </c:pt>
                <c:pt idx="80">
                  <c:v>77.484910539306355</c:v>
                </c:pt>
                <c:pt idx="81">
                  <c:v>78.184512833795509</c:v>
                </c:pt>
                <c:pt idx="82">
                  <c:v>76.602971225952132</c:v>
                </c:pt>
                <c:pt idx="83">
                  <c:v>75.753143760456325</c:v>
                </c:pt>
                <c:pt idx="84">
                  <c:v>77.362288230997081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F4-43E1-9057-9BBC31330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2 -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 time series'!$CC$3:$CC$155</c:f>
              <c:numCache>
                <c:formatCode>m/d/yyyy\ h:mm</c:formatCode>
                <c:ptCount val="153"/>
                <c:pt idx="0">
                  <c:v>45047.208333333336</c:v>
                </c:pt>
                <c:pt idx="1">
                  <c:v>45047.21875</c:v>
                </c:pt>
                <c:pt idx="2">
                  <c:v>45047.229166666664</c:v>
                </c:pt>
                <c:pt idx="3">
                  <c:v>45047.239583333336</c:v>
                </c:pt>
                <c:pt idx="4">
                  <c:v>45047.25</c:v>
                </c:pt>
                <c:pt idx="5">
                  <c:v>45047.260416666664</c:v>
                </c:pt>
                <c:pt idx="6">
                  <c:v>45047.270833333336</c:v>
                </c:pt>
                <c:pt idx="7">
                  <c:v>45047.28125</c:v>
                </c:pt>
                <c:pt idx="8">
                  <c:v>45047.291666666664</c:v>
                </c:pt>
                <c:pt idx="9">
                  <c:v>45047.302083333336</c:v>
                </c:pt>
                <c:pt idx="10">
                  <c:v>45047.3125</c:v>
                </c:pt>
                <c:pt idx="11">
                  <c:v>45047.322916666664</c:v>
                </c:pt>
                <c:pt idx="12">
                  <c:v>45047.333333333336</c:v>
                </c:pt>
                <c:pt idx="13">
                  <c:v>45047.34375</c:v>
                </c:pt>
                <c:pt idx="14">
                  <c:v>45047.354166666664</c:v>
                </c:pt>
                <c:pt idx="15">
                  <c:v>45047.364583333336</c:v>
                </c:pt>
                <c:pt idx="16">
                  <c:v>45047.375</c:v>
                </c:pt>
                <c:pt idx="17">
                  <c:v>45047.385416666664</c:v>
                </c:pt>
                <c:pt idx="18">
                  <c:v>45047.395833333336</c:v>
                </c:pt>
                <c:pt idx="19">
                  <c:v>45047.40625</c:v>
                </c:pt>
                <c:pt idx="20">
                  <c:v>45047.416666666664</c:v>
                </c:pt>
                <c:pt idx="21">
                  <c:v>45047.427083333336</c:v>
                </c:pt>
                <c:pt idx="22">
                  <c:v>45047.4375</c:v>
                </c:pt>
                <c:pt idx="23">
                  <c:v>45047.447916666664</c:v>
                </c:pt>
                <c:pt idx="24">
                  <c:v>45047.458333333336</c:v>
                </c:pt>
                <c:pt idx="25">
                  <c:v>45047.46875</c:v>
                </c:pt>
                <c:pt idx="26">
                  <c:v>45047.479166666664</c:v>
                </c:pt>
                <c:pt idx="27">
                  <c:v>45047.489583333336</c:v>
                </c:pt>
                <c:pt idx="28">
                  <c:v>45047.5</c:v>
                </c:pt>
                <c:pt idx="29">
                  <c:v>45047.510416666664</c:v>
                </c:pt>
                <c:pt idx="30">
                  <c:v>45047.520833333336</c:v>
                </c:pt>
                <c:pt idx="31">
                  <c:v>45047.53125</c:v>
                </c:pt>
                <c:pt idx="32">
                  <c:v>45047.541666666664</c:v>
                </c:pt>
                <c:pt idx="33">
                  <c:v>45047.552083333336</c:v>
                </c:pt>
                <c:pt idx="34">
                  <c:v>45047.5625</c:v>
                </c:pt>
                <c:pt idx="35">
                  <c:v>45047.572916666664</c:v>
                </c:pt>
                <c:pt idx="36">
                  <c:v>45047.583333333336</c:v>
                </c:pt>
                <c:pt idx="37">
                  <c:v>45047.59375</c:v>
                </c:pt>
                <c:pt idx="38">
                  <c:v>45047.604166666664</c:v>
                </c:pt>
                <c:pt idx="39">
                  <c:v>45047.614583333336</c:v>
                </c:pt>
                <c:pt idx="40">
                  <c:v>45047.625</c:v>
                </c:pt>
                <c:pt idx="41">
                  <c:v>45047.635416666664</c:v>
                </c:pt>
                <c:pt idx="42">
                  <c:v>45047.645833333336</c:v>
                </c:pt>
                <c:pt idx="43">
                  <c:v>45047.65625</c:v>
                </c:pt>
                <c:pt idx="44">
                  <c:v>45047.708333333336</c:v>
                </c:pt>
                <c:pt idx="45">
                  <c:v>45047.71875</c:v>
                </c:pt>
                <c:pt idx="46">
                  <c:v>45047.729166666664</c:v>
                </c:pt>
                <c:pt idx="47">
                  <c:v>45047.739583333336</c:v>
                </c:pt>
                <c:pt idx="48">
                  <c:v>45047.75</c:v>
                </c:pt>
                <c:pt idx="49">
                  <c:v>45047.760416666664</c:v>
                </c:pt>
                <c:pt idx="50">
                  <c:v>45047.770833333336</c:v>
                </c:pt>
                <c:pt idx="51">
                  <c:v>45047.78125</c:v>
                </c:pt>
                <c:pt idx="52">
                  <c:v>45047.791666666664</c:v>
                </c:pt>
                <c:pt idx="53">
                  <c:v>45047.802083333336</c:v>
                </c:pt>
                <c:pt idx="54">
                  <c:v>45047.8125</c:v>
                </c:pt>
                <c:pt idx="55">
                  <c:v>45047.822916666664</c:v>
                </c:pt>
                <c:pt idx="56">
                  <c:v>45047.833333333336</c:v>
                </c:pt>
                <c:pt idx="57">
                  <c:v>45047.84375</c:v>
                </c:pt>
                <c:pt idx="58">
                  <c:v>45047.854166666664</c:v>
                </c:pt>
                <c:pt idx="59">
                  <c:v>45047.864583333336</c:v>
                </c:pt>
                <c:pt idx="60">
                  <c:v>45047.875</c:v>
                </c:pt>
                <c:pt idx="61">
                  <c:v>45047.885416666664</c:v>
                </c:pt>
                <c:pt idx="62">
                  <c:v>45047.895833333336</c:v>
                </c:pt>
                <c:pt idx="63">
                  <c:v>45047.90625</c:v>
                </c:pt>
                <c:pt idx="64">
                  <c:v>45047.916666666664</c:v>
                </c:pt>
                <c:pt idx="65">
                  <c:v>45047.927083333336</c:v>
                </c:pt>
                <c:pt idx="66">
                  <c:v>45047.9375</c:v>
                </c:pt>
                <c:pt idx="67">
                  <c:v>45047.947916666664</c:v>
                </c:pt>
                <c:pt idx="68">
                  <c:v>45047.958333333336</c:v>
                </c:pt>
                <c:pt idx="69">
                  <c:v>45047.96875</c:v>
                </c:pt>
                <c:pt idx="70">
                  <c:v>45047.979166666664</c:v>
                </c:pt>
                <c:pt idx="71">
                  <c:v>45047.989583333336</c:v>
                </c:pt>
                <c:pt idx="72">
                  <c:v>45048</c:v>
                </c:pt>
                <c:pt idx="73">
                  <c:v>45048.010416666664</c:v>
                </c:pt>
                <c:pt idx="74">
                  <c:v>45048.020833333336</c:v>
                </c:pt>
                <c:pt idx="75">
                  <c:v>45048.03125</c:v>
                </c:pt>
                <c:pt idx="76">
                  <c:v>45048.041666666664</c:v>
                </c:pt>
                <c:pt idx="77">
                  <c:v>45048.052083333336</c:v>
                </c:pt>
                <c:pt idx="78">
                  <c:v>45048.0625</c:v>
                </c:pt>
                <c:pt idx="79">
                  <c:v>45048.072916666664</c:v>
                </c:pt>
                <c:pt idx="80">
                  <c:v>45048.083333333336</c:v>
                </c:pt>
                <c:pt idx="81">
                  <c:v>45048.09375</c:v>
                </c:pt>
                <c:pt idx="82">
                  <c:v>45048.104166666664</c:v>
                </c:pt>
                <c:pt idx="83">
                  <c:v>45048.114583333336</c:v>
                </c:pt>
                <c:pt idx="84">
                  <c:v>45048.125</c:v>
                </c:pt>
                <c:pt idx="85">
                  <c:v>45048.135416666664</c:v>
                </c:pt>
                <c:pt idx="86">
                  <c:v>45048.145833333336</c:v>
                </c:pt>
                <c:pt idx="87">
                  <c:v>45048.15625</c:v>
                </c:pt>
                <c:pt idx="88">
                  <c:v>45048.166666666664</c:v>
                </c:pt>
                <c:pt idx="89">
                  <c:v>45048.177083333336</c:v>
                </c:pt>
                <c:pt idx="90">
                  <c:v>45048.1875</c:v>
                </c:pt>
                <c:pt idx="91">
                  <c:v>45048.197916666664</c:v>
                </c:pt>
                <c:pt idx="92">
                  <c:v>45048.208333333336</c:v>
                </c:pt>
                <c:pt idx="93">
                  <c:v>45048.21875</c:v>
                </c:pt>
                <c:pt idx="94">
                  <c:v>45048.229166666664</c:v>
                </c:pt>
                <c:pt idx="95">
                  <c:v>45048.239583333336</c:v>
                </c:pt>
                <c:pt idx="96">
                  <c:v>45048.25</c:v>
                </c:pt>
                <c:pt idx="97">
                  <c:v>45048.260416666664</c:v>
                </c:pt>
                <c:pt idx="98">
                  <c:v>45048.270833333336</c:v>
                </c:pt>
                <c:pt idx="99">
                  <c:v>45048.28125</c:v>
                </c:pt>
                <c:pt idx="100">
                  <c:v>45048.291666666664</c:v>
                </c:pt>
                <c:pt idx="101">
                  <c:v>45048.302083333336</c:v>
                </c:pt>
                <c:pt idx="102">
                  <c:v>45048.3125</c:v>
                </c:pt>
                <c:pt idx="103">
                  <c:v>45048.322916666664</c:v>
                </c:pt>
                <c:pt idx="104">
                  <c:v>45048.333333333336</c:v>
                </c:pt>
                <c:pt idx="105">
                  <c:v>45048.34375</c:v>
                </c:pt>
                <c:pt idx="106">
                  <c:v>45048.354166666664</c:v>
                </c:pt>
                <c:pt idx="107">
                  <c:v>45048.364583333336</c:v>
                </c:pt>
                <c:pt idx="108">
                  <c:v>45048.375</c:v>
                </c:pt>
                <c:pt idx="109">
                  <c:v>45048.385416666664</c:v>
                </c:pt>
                <c:pt idx="110">
                  <c:v>45048.395833333336</c:v>
                </c:pt>
                <c:pt idx="111">
                  <c:v>45048.40625</c:v>
                </c:pt>
                <c:pt idx="112">
                  <c:v>45048.416666666664</c:v>
                </c:pt>
                <c:pt idx="113">
                  <c:v>45048.427083333336</c:v>
                </c:pt>
                <c:pt idx="114">
                  <c:v>45048.4375</c:v>
                </c:pt>
                <c:pt idx="115">
                  <c:v>45048.447916666664</c:v>
                </c:pt>
                <c:pt idx="116">
                  <c:v>45048.458333333336</c:v>
                </c:pt>
                <c:pt idx="117">
                  <c:v>45048.46875</c:v>
                </c:pt>
                <c:pt idx="118">
                  <c:v>45048.479166666664</c:v>
                </c:pt>
                <c:pt idx="119">
                  <c:v>45048.489583333336</c:v>
                </c:pt>
                <c:pt idx="120">
                  <c:v>45048.5</c:v>
                </c:pt>
                <c:pt idx="121">
                  <c:v>45048.510416666664</c:v>
                </c:pt>
                <c:pt idx="122">
                  <c:v>45048.520833333336</c:v>
                </c:pt>
                <c:pt idx="123">
                  <c:v>45048.53125</c:v>
                </c:pt>
                <c:pt idx="124">
                  <c:v>45048.541666666664</c:v>
                </c:pt>
                <c:pt idx="125">
                  <c:v>45048.552083333336</c:v>
                </c:pt>
                <c:pt idx="126">
                  <c:v>45048.5625</c:v>
                </c:pt>
                <c:pt idx="127">
                  <c:v>45048.572916666664</c:v>
                </c:pt>
                <c:pt idx="128">
                  <c:v>45048.583333333336</c:v>
                </c:pt>
                <c:pt idx="129">
                  <c:v>45048.59375</c:v>
                </c:pt>
                <c:pt idx="130">
                  <c:v>45048.604166666664</c:v>
                </c:pt>
                <c:pt idx="131">
                  <c:v>45048.614583333336</c:v>
                </c:pt>
                <c:pt idx="132">
                  <c:v>45048.625</c:v>
                </c:pt>
                <c:pt idx="133">
                  <c:v>45048.635416666664</c:v>
                </c:pt>
                <c:pt idx="134">
                  <c:v>45048.645833333336</c:v>
                </c:pt>
                <c:pt idx="135">
                  <c:v>45048.65625</c:v>
                </c:pt>
                <c:pt idx="136">
                  <c:v>45048.666666666664</c:v>
                </c:pt>
                <c:pt idx="137">
                  <c:v>45048.677083333336</c:v>
                </c:pt>
                <c:pt idx="138">
                  <c:v>45048.6875</c:v>
                </c:pt>
                <c:pt idx="139">
                  <c:v>45048.697916666664</c:v>
                </c:pt>
                <c:pt idx="140">
                  <c:v>45048.708333333336</c:v>
                </c:pt>
                <c:pt idx="141">
                  <c:v>45048.71875</c:v>
                </c:pt>
                <c:pt idx="142">
                  <c:v>45048.729166666664</c:v>
                </c:pt>
                <c:pt idx="143">
                  <c:v>45048.739583333336</c:v>
                </c:pt>
                <c:pt idx="144">
                  <c:v>45048.75</c:v>
                </c:pt>
                <c:pt idx="145">
                  <c:v>45048.760416666664</c:v>
                </c:pt>
                <c:pt idx="146">
                  <c:v>45048.770833333336</c:v>
                </c:pt>
                <c:pt idx="147">
                  <c:v>45048.78125</c:v>
                </c:pt>
                <c:pt idx="148">
                  <c:v>45048.791666666664</c:v>
                </c:pt>
                <c:pt idx="149">
                  <c:v>45048.802083333336</c:v>
                </c:pt>
                <c:pt idx="150">
                  <c:v>45048.8125</c:v>
                </c:pt>
                <c:pt idx="151">
                  <c:v>45048.822916666664</c:v>
                </c:pt>
                <c:pt idx="152">
                  <c:v>45048.833333333336</c:v>
                </c:pt>
              </c:numCache>
            </c:numRef>
          </c:xVal>
          <c:yVal>
            <c:numRef>
              <c:f>'storm time series'!$CE$3:$CE$155</c:f>
              <c:numCache>
                <c:formatCode>0.0000</c:formatCode>
                <c:ptCount val="153"/>
                <c:pt idx="0">
                  <c:v>81.405228940000001</c:v>
                </c:pt>
                <c:pt idx="1">
                  <c:v>78.755362430000005</c:v>
                </c:pt>
                <c:pt idx="2">
                  <c:v>80.079324720000002</c:v>
                </c:pt>
                <c:pt idx="3">
                  <c:v>81.397704649999994</c:v>
                </c:pt>
                <c:pt idx="4">
                  <c:v>80.961047410000006</c:v>
                </c:pt>
                <c:pt idx="5">
                  <c:v>82.276892649999994</c:v>
                </c:pt>
                <c:pt idx="6">
                  <c:v>82.718647970000006</c:v>
                </c:pt>
                <c:pt idx="7">
                  <c:v>84.460540300000005</c:v>
                </c:pt>
                <c:pt idx="8">
                  <c:v>82.284398269999997</c:v>
                </c:pt>
                <c:pt idx="9">
                  <c:v>82.284398269999997</c:v>
                </c:pt>
                <c:pt idx="10">
                  <c:v>81.405228940000001</c:v>
                </c:pt>
                <c:pt idx="11">
                  <c:v>82.284398269999997</c:v>
                </c:pt>
                <c:pt idx="12">
                  <c:v>78.762941850000004</c:v>
                </c:pt>
                <c:pt idx="13">
                  <c:v>80.968580889999998</c:v>
                </c:pt>
                <c:pt idx="14">
                  <c:v>78.762941850000004</c:v>
                </c:pt>
                <c:pt idx="15">
                  <c:v>78.762941850000004</c:v>
                </c:pt>
                <c:pt idx="16">
                  <c:v>80.086877509999994</c:v>
                </c:pt>
                <c:pt idx="17">
                  <c:v>75.208694050000005</c:v>
                </c:pt>
                <c:pt idx="18">
                  <c:v>76.544179459999995</c:v>
                </c:pt>
                <c:pt idx="19">
                  <c:v>76.986061320000005</c:v>
                </c:pt>
                <c:pt idx="20">
                  <c:v>77.875916610000004</c:v>
                </c:pt>
                <c:pt idx="21">
                  <c:v>75.652056590000001</c:v>
                </c:pt>
                <c:pt idx="22">
                  <c:v>76.986061320000005</c:v>
                </c:pt>
                <c:pt idx="23">
                  <c:v>80.523852189999999</c:v>
                </c:pt>
                <c:pt idx="24">
                  <c:v>75.652056590000001</c:v>
                </c:pt>
                <c:pt idx="25">
                  <c:v>76.986061320000005</c:v>
                </c:pt>
                <c:pt idx="26">
                  <c:v>76.986061320000005</c:v>
                </c:pt>
                <c:pt idx="27">
                  <c:v>72.970159429999995</c:v>
                </c:pt>
                <c:pt idx="28">
                  <c:v>77.875916610000004</c:v>
                </c:pt>
                <c:pt idx="29">
                  <c:v>79.202259850000004</c:v>
                </c:pt>
                <c:pt idx="30">
                  <c:v>76.544179459999995</c:v>
                </c:pt>
                <c:pt idx="31">
                  <c:v>78.323104580000006</c:v>
                </c:pt>
                <c:pt idx="32">
                  <c:v>77.875916610000004</c:v>
                </c:pt>
                <c:pt idx="33">
                  <c:v>75.659696060000002</c:v>
                </c:pt>
                <c:pt idx="34">
                  <c:v>78.323104580000006</c:v>
                </c:pt>
                <c:pt idx="35">
                  <c:v>76.101800600000004</c:v>
                </c:pt>
                <c:pt idx="36">
                  <c:v>79.202259850000004</c:v>
                </c:pt>
                <c:pt idx="37">
                  <c:v>80.523852189999999</c:v>
                </c:pt>
                <c:pt idx="38">
                  <c:v>80.523852189999999</c:v>
                </c:pt>
                <c:pt idx="39">
                  <c:v>82.718647970000006</c:v>
                </c:pt>
                <c:pt idx="40">
                  <c:v>81.405228940000001</c:v>
                </c:pt>
                <c:pt idx="41">
                  <c:v>84.027783200000002</c:v>
                </c:pt>
                <c:pt idx="42">
                  <c:v>82.718647970000006</c:v>
                </c:pt>
                <c:pt idx="43">
                  <c:v>87.494480339999996</c:v>
                </c:pt>
                <c:pt idx="44">
                  <c:v>85.323607859999996</c:v>
                </c:pt>
                <c:pt idx="45">
                  <c:v>84.020316870000002</c:v>
                </c:pt>
                <c:pt idx="46">
                  <c:v>85.323607859999996</c:v>
                </c:pt>
                <c:pt idx="47">
                  <c:v>85.323607859999996</c:v>
                </c:pt>
                <c:pt idx="48">
                  <c:v>86.192545629999998</c:v>
                </c:pt>
                <c:pt idx="49">
                  <c:v>82.711152870000006</c:v>
                </c:pt>
                <c:pt idx="50">
                  <c:v>90.484855949999996</c:v>
                </c:pt>
                <c:pt idx="51">
                  <c:v>87.058386479999996</c:v>
                </c:pt>
                <c:pt idx="52">
                  <c:v>86.192545629999998</c:v>
                </c:pt>
                <c:pt idx="53">
                  <c:v>87.487093729999998</c:v>
                </c:pt>
                <c:pt idx="54">
                  <c:v>89.635700749999998</c:v>
                </c:pt>
                <c:pt idx="55">
                  <c:v>84.891986889999998</c:v>
                </c:pt>
                <c:pt idx="56">
                  <c:v>87.494480339999996</c:v>
                </c:pt>
                <c:pt idx="57">
                  <c:v>84.891986889999998</c:v>
                </c:pt>
                <c:pt idx="58">
                  <c:v>84.027783200000002</c:v>
                </c:pt>
                <c:pt idx="59">
                  <c:v>84.027783200000002</c:v>
                </c:pt>
                <c:pt idx="60">
                  <c:v>84.899432570000002</c:v>
                </c:pt>
                <c:pt idx="61">
                  <c:v>82.718647970000006</c:v>
                </c:pt>
                <c:pt idx="62">
                  <c:v>86.199962600000006</c:v>
                </c:pt>
                <c:pt idx="63">
                  <c:v>86.199962600000006</c:v>
                </c:pt>
                <c:pt idx="64">
                  <c:v>87.494480339999996</c:v>
                </c:pt>
                <c:pt idx="65">
                  <c:v>86.199962600000006</c:v>
                </c:pt>
                <c:pt idx="66">
                  <c:v>82.718647970000006</c:v>
                </c:pt>
                <c:pt idx="67">
                  <c:v>88.350109630000006</c:v>
                </c:pt>
                <c:pt idx="68">
                  <c:v>89.209976960000006</c:v>
                </c:pt>
                <c:pt idx="69">
                  <c:v>82.718647970000006</c:v>
                </c:pt>
                <c:pt idx="70">
                  <c:v>84.891986889999998</c:v>
                </c:pt>
                <c:pt idx="71">
                  <c:v>88.350109630000006</c:v>
                </c:pt>
                <c:pt idx="72">
                  <c:v>89.635700749999998</c:v>
                </c:pt>
                <c:pt idx="73">
                  <c:v>89.635700749999998</c:v>
                </c:pt>
                <c:pt idx="74">
                  <c:v>88.350109630000006</c:v>
                </c:pt>
                <c:pt idx="75">
                  <c:v>87.058386479999996</c:v>
                </c:pt>
                <c:pt idx="76">
                  <c:v>89.635700749999998</c:v>
                </c:pt>
                <c:pt idx="77">
                  <c:v>93.038532979999999</c:v>
                </c:pt>
                <c:pt idx="78">
                  <c:v>87.058386479999996</c:v>
                </c:pt>
                <c:pt idx="79">
                  <c:v>89.635700749999998</c:v>
                </c:pt>
                <c:pt idx="80">
                  <c:v>84.891986889999998</c:v>
                </c:pt>
                <c:pt idx="81">
                  <c:v>86.192545629999998</c:v>
                </c:pt>
                <c:pt idx="82">
                  <c:v>89.635700749999998</c:v>
                </c:pt>
                <c:pt idx="83">
                  <c:v>93.038532979999999</c:v>
                </c:pt>
                <c:pt idx="84">
                  <c:v>89.635700749999998</c:v>
                </c:pt>
                <c:pt idx="85">
                  <c:v>85.762083380000007</c:v>
                </c:pt>
                <c:pt idx="86">
                  <c:v>87.058386479999996</c:v>
                </c:pt>
                <c:pt idx="87">
                  <c:v>87.922589900000006</c:v>
                </c:pt>
                <c:pt idx="88">
                  <c:v>84.899432570000002</c:v>
                </c:pt>
                <c:pt idx="89">
                  <c:v>92.610732819999996</c:v>
                </c:pt>
                <c:pt idx="90">
                  <c:v>84.891986889999998</c:v>
                </c:pt>
                <c:pt idx="91">
                  <c:v>84.891986889999998</c:v>
                </c:pt>
                <c:pt idx="92">
                  <c:v>85.762083380000007</c:v>
                </c:pt>
                <c:pt idx="93">
                  <c:v>87.915213519999995</c:v>
                </c:pt>
                <c:pt idx="94">
                  <c:v>87.058386479999996</c:v>
                </c:pt>
                <c:pt idx="95">
                  <c:v>86.199962600000006</c:v>
                </c:pt>
                <c:pt idx="96">
                  <c:v>87.915213519999995</c:v>
                </c:pt>
                <c:pt idx="97">
                  <c:v>84.460540300000005</c:v>
                </c:pt>
                <c:pt idx="98">
                  <c:v>88.350109630000006</c:v>
                </c:pt>
                <c:pt idx="99">
                  <c:v>84.891986889999998</c:v>
                </c:pt>
                <c:pt idx="100">
                  <c:v>84.891986889999998</c:v>
                </c:pt>
                <c:pt idx="101">
                  <c:v>83.586986100000004</c:v>
                </c:pt>
                <c:pt idx="102">
                  <c:v>84.891986889999998</c:v>
                </c:pt>
                <c:pt idx="103">
                  <c:v>84.460540300000005</c:v>
                </c:pt>
                <c:pt idx="104">
                  <c:v>82.711152870000006</c:v>
                </c:pt>
                <c:pt idx="105">
                  <c:v>89.635700749999998</c:v>
                </c:pt>
                <c:pt idx="106">
                  <c:v>85.762083380000007</c:v>
                </c:pt>
                <c:pt idx="107">
                  <c:v>85.762083380000007</c:v>
                </c:pt>
                <c:pt idx="108">
                  <c:v>84.891986889999998</c:v>
                </c:pt>
                <c:pt idx="109">
                  <c:v>85.762083380000007</c:v>
                </c:pt>
                <c:pt idx="110">
                  <c:v>80.079324720000002</c:v>
                </c:pt>
                <c:pt idx="111">
                  <c:v>85.762083380000007</c:v>
                </c:pt>
                <c:pt idx="112">
                  <c:v>84.899432570000002</c:v>
                </c:pt>
                <c:pt idx="113">
                  <c:v>83.594462070000006</c:v>
                </c:pt>
                <c:pt idx="114">
                  <c:v>80.086877509999994</c:v>
                </c:pt>
                <c:pt idx="115">
                  <c:v>85.762083380000007</c:v>
                </c:pt>
                <c:pt idx="116">
                  <c:v>80.086877509999994</c:v>
                </c:pt>
                <c:pt idx="117">
                  <c:v>81.405228940000001</c:v>
                </c:pt>
                <c:pt idx="118">
                  <c:v>79.202259850000004</c:v>
                </c:pt>
                <c:pt idx="119">
                  <c:v>81.405228940000001</c:v>
                </c:pt>
                <c:pt idx="120">
                  <c:v>83.594462070000006</c:v>
                </c:pt>
                <c:pt idx="121">
                  <c:v>83.586986100000004</c:v>
                </c:pt>
                <c:pt idx="122">
                  <c:v>84.020316870000002</c:v>
                </c:pt>
                <c:pt idx="123">
                  <c:v>80.079324720000002</c:v>
                </c:pt>
                <c:pt idx="124">
                  <c:v>81.397704649999994</c:v>
                </c:pt>
                <c:pt idx="125">
                  <c:v>85.762083380000007</c:v>
                </c:pt>
                <c:pt idx="126">
                  <c:v>81.405228940000001</c:v>
                </c:pt>
                <c:pt idx="127">
                  <c:v>81.405228940000001</c:v>
                </c:pt>
                <c:pt idx="128">
                  <c:v>86.192545629999998</c:v>
                </c:pt>
                <c:pt idx="129">
                  <c:v>83.586986100000004</c:v>
                </c:pt>
                <c:pt idx="130">
                  <c:v>84.891986889999998</c:v>
                </c:pt>
                <c:pt idx="131">
                  <c:v>80.523852189999999</c:v>
                </c:pt>
                <c:pt idx="132">
                  <c:v>84.027783200000002</c:v>
                </c:pt>
                <c:pt idx="133">
                  <c:v>93.884261949999996</c:v>
                </c:pt>
                <c:pt idx="134">
                  <c:v>89.635700749999998</c:v>
                </c:pt>
                <c:pt idx="135">
                  <c:v>86.199962600000006</c:v>
                </c:pt>
                <c:pt idx="136">
                  <c:v>90.915794009999999</c:v>
                </c:pt>
                <c:pt idx="137">
                  <c:v>88.350109630000006</c:v>
                </c:pt>
                <c:pt idx="138">
                  <c:v>91.767774239999994</c:v>
                </c:pt>
                <c:pt idx="139">
                  <c:v>96.393321510000007</c:v>
                </c:pt>
                <c:pt idx="140">
                  <c:v>102.9873886</c:v>
                </c:pt>
                <c:pt idx="141">
                  <c:v>99.297599469999994</c:v>
                </c:pt>
                <c:pt idx="142">
                  <c:v>110.9974619</c:v>
                </c:pt>
                <c:pt idx="143">
                  <c:v>122.1341827</c:v>
                </c:pt>
                <c:pt idx="144">
                  <c:v>113.3544048</c:v>
                </c:pt>
                <c:pt idx="145">
                  <c:v>118.36070239999999</c:v>
                </c:pt>
                <c:pt idx="146">
                  <c:v>114.9053189</c:v>
                </c:pt>
                <c:pt idx="147">
                  <c:v>119.12362779999999</c:v>
                </c:pt>
                <c:pt idx="148">
                  <c:v>116.4455014</c:v>
                </c:pt>
                <c:pt idx="149">
                  <c:v>112.18199679999999</c:v>
                </c:pt>
                <c:pt idx="150">
                  <c:v>129.48707379999999</c:v>
                </c:pt>
                <c:pt idx="151">
                  <c:v>125.108964</c:v>
                </c:pt>
                <c:pt idx="152">
                  <c:v>117.9749527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3F-4B34-BDA2-7D0D7A8CC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 time series'!$CC$3:$CC$155</c:f>
              <c:numCache>
                <c:formatCode>m/d/yyyy\ h:mm</c:formatCode>
                <c:ptCount val="153"/>
                <c:pt idx="0">
                  <c:v>45047.208333333336</c:v>
                </c:pt>
                <c:pt idx="1">
                  <c:v>45047.21875</c:v>
                </c:pt>
                <c:pt idx="2">
                  <c:v>45047.229166666664</c:v>
                </c:pt>
                <c:pt idx="3">
                  <c:v>45047.239583333336</c:v>
                </c:pt>
                <c:pt idx="4">
                  <c:v>45047.25</c:v>
                </c:pt>
                <c:pt idx="5">
                  <c:v>45047.260416666664</c:v>
                </c:pt>
                <c:pt idx="6">
                  <c:v>45047.270833333336</c:v>
                </c:pt>
                <c:pt idx="7">
                  <c:v>45047.28125</c:v>
                </c:pt>
                <c:pt idx="8">
                  <c:v>45047.291666666664</c:v>
                </c:pt>
                <c:pt idx="9">
                  <c:v>45047.302083333336</c:v>
                </c:pt>
                <c:pt idx="10">
                  <c:v>45047.3125</c:v>
                </c:pt>
                <c:pt idx="11">
                  <c:v>45047.322916666664</c:v>
                </c:pt>
                <c:pt idx="12">
                  <c:v>45047.333333333336</c:v>
                </c:pt>
                <c:pt idx="13">
                  <c:v>45047.34375</c:v>
                </c:pt>
                <c:pt idx="14">
                  <c:v>45047.354166666664</c:v>
                </c:pt>
                <c:pt idx="15">
                  <c:v>45047.364583333336</c:v>
                </c:pt>
                <c:pt idx="16">
                  <c:v>45047.375</c:v>
                </c:pt>
                <c:pt idx="17">
                  <c:v>45047.385416666664</c:v>
                </c:pt>
                <c:pt idx="18">
                  <c:v>45047.395833333336</c:v>
                </c:pt>
                <c:pt idx="19">
                  <c:v>45047.40625</c:v>
                </c:pt>
                <c:pt idx="20">
                  <c:v>45047.416666666664</c:v>
                </c:pt>
                <c:pt idx="21">
                  <c:v>45047.427083333336</c:v>
                </c:pt>
                <c:pt idx="22">
                  <c:v>45047.4375</c:v>
                </c:pt>
                <c:pt idx="23">
                  <c:v>45047.447916666664</c:v>
                </c:pt>
                <c:pt idx="24">
                  <c:v>45047.458333333336</c:v>
                </c:pt>
                <c:pt idx="25">
                  <c:v>45047.46875</c:v>
                </c:pt>
                <c:pt idx="26">
                  <c:v>45047.479166666664</c:v>
                </c:pt>
                <c:pt idx="27">
                  <c:v>45047.489583333336</c:v>
                </c:pt>
                <c:pt idx="28">
                  <c:v>45047.5</c:v>
                </c:pt>
                <c:pt idx="29">
                  <c:v>45047.510416666664</c:v>
                </c:pt>
                <c:pt idx="30">
                  <c:v>45047.520833333336</c:v>
                </c:pt>
                <c:pt idx="31">
                  <c:v>45047.53125</c:v>
                </c:pt>
                <c:pt idx="32">
                  <c:v>45047.541666666664</c:v>
                </c:pt>
                <c:pt idx="33">
                  <c:v>45047.552083333336</c:v>
                </c:pt>
                <c:pt idx="34">
                  <c:v>45047.5625</c:v>
                </c:pt>
                <c:pt idx="35">
                  <c:v>45047.572916666664</c:v>
                </c:pt>
                <c:pt idx="36">
                  <c:v>45047.583333333336</c:v>
                </c:pt>
                <c:pt idx="37">
                  <c:v>45047.59375</c:v>
                </c:pt>
                <c:pt idx="38">
                  <c:v>45047.604166666664</c:v>
                </c:pt>
                <c:pt idx="39">
                  <c:v>45047.614583333336</c:v>
                </c:pt>
                <c:pt idx="40">
                  <c:v>45047.625</c:v>
                </c:pt>
                <c:pt idx="41">
                  <c:v>45047.635416666664</c:v>
                </c:pt>
                <c:pt idx="42">
                  <c:v>45047.645833333336</c:v>
                </c:pt>
                <c:pt idx="43">
                  <c:v>45047.65625</c:v>
                </c:pt>
                <c:pt idx="44">
                  <c:v>45047.708333333336</c:v>
                </c:pt>
                <c:pt idx="45">
                  <c:v>45047.71875</c:v>
                </c:pt>
                <c:pt idx="46">
                  <c:v>45047.729166666664</c:v>
                </c:pt>
                <c:pt idx="47">
                  <c:v>45047.739583333336</c:v>
                </c:pt>
                <c:pt idx="48">
                  <c:v>45047.75</c:v>
                </c:pt>
                <c:pt idx="49">
                  <c:v>45047.760416666664</c:v>
                </c:pt>
                <c:pt idx="50">
                  <c:v>45047.770833333336</c:v>
                </c:pt>
                <c:pt idx="51">
                  <c:v>45047.78125</c:v>
                </c:pt>
                <c:pt idx="52">
                  <c:v>45047.791666666664</c:v>
                </c:pt>
                <c:pt idx="53">
                  <c:v>45047.802083333336</c:v>
                </c:pt>
                <c:pt idx="54">
                  <c:v>45047.8125</c:v>
                </c:pt>
                <c:pt idx="55">
                  <c:v>45047.822916666664</c:v>
                </c:pt>
                <c:pt idx="56">
                  <c:v>45047.833333333336</c:v>
                </c:pt>
                <c:pt idx="57">
                  <c:v>45047.84375</c:v>
                </c:pt>
                <c:pt idx="58">
                  <c:v>45047.854166666664</c:v>
                </c:pt>
                <c:pt idx="59">
                  <c:v>45047.864583333336</c:v>
                </c:pt>
                <c:pt idx="60">
                  <c:v>45047.875</c:v>
                </c:pt>
                <c:pt idx="61">
                  <c:v>45047.885416666664</c:v>
                </c:pt>
                <c:pt idx="62">
                  <c:v>45047.895833333336</c:v>
                </c:pt>
                <c:pt idx="63">
                  <c:v>45047.90625</c:v>
                </c:pt>
                <c:pt idx="64">
                  <c:v>45047.916666666664</c:v>
                </c:pt>
                <c:pt idx="65">
                  <c:v>45047.927083333336</c:v>
                </c:pt>
                <c:pt idx="66">
                  <c:v>45047.9375</c:v>
                </c:pt>
                <c:pt idx="67">
                  <c:v>45047.947916666664</c:v>
                </c:pt>
                <c:pt idx="68">
                  <c:v>45047.958333333336</c:v>
                </c:pt>
                <c:pt idx="69">
                  <c:v>45047.96875</c:v>
                </c:pt>
                <c:pt idx="70">
                  <c:v>45047.979166666664</c:v>
                </c:pt>
                <c:pt idx="71">
                  <c:v>45047.989583333336</c:v>
                </c:pt>
                <c:pt idx="72">
                  <c:v>45048</c:v>
                </c:pt>
                <c:pt idx="73">
                  <c:v>45048.010416666664</c:v>
                </c:pt>
                <c:pt idx="74">
                  <c:v>45048.020833333336</c:v>
                </c:pt>
                <c:pt idx="75">
                  <c:v>45048.03125</c:v>
                </c:pt>
                <c:pt idx="76">
                  <c:v>45048.041666666664</c:v>
                </c:pt>
                <c:pt idx="77">
                  <c:v>45048.052083333336</c:v>
                </c:pt>
                <c:pt idx="78">
                  <c:v>45048.0625</c:v>
                </c:pt>
                <c:pt idx="79">
                  <c:v>45048.072916666664</c:v>
                </c:pt>
                <c:pt idx="80">
                  <c:v>45048.083333333336</c:v>
                </c:pt>
                <c:pt idx="81">
                  <c:v>45048.09375</c:v>
                </c:pt>
                <c:pt idx="82">
                  <c:v>45048.104166666664</c:v>
                </c:pt>
                <c:pt idx="83">
                  <c:v>45048.114583333336</c:v>
                </c:pt>
                <c:pt idx="84">
                  <c:v>45048.125</c:v>
                </c:pt>
                <c:pt idx="85">
                  <c:v>45048.135416666664</c:v>
                </c:pt>
                <c:pt idx="86">
                  <c:v>45048.145833333336</c:v>
                </c:pt>
                <c:pt idx="87">
                  <c:v>45048.15625</c:v>
                </c:pt>
                <c:pt idx="88">
                  <c:v>45048.166666666664</c:v>
                </c:pt>
                <c:pt idx="89">
                  <c:v>45048.177083333336</c:v>
                </c:pt>
                <c:pt idx="90">
                  <c:v>45048.1875</c:v>
                </c:pt>
                <c:pt idx="91">
                  <c:v>45048.197916666664</c:v>
                </c:pt>
                <c:pt idx="92">
                  <c:v>45048.208333333336</c:v>
                </c:pt>
                <c:pt idx="93">
                  <c:v>45048.21875</c:v>
                </c:pt>
                <c:pt idx="94">
                  <c:v>45048.229166666664</c:v>
                </c:pt>
                <c:pt idx="95">
                  <c:v>45048.239583333336</c:v>
                </c:pt>
                <c:pt idx="96">
                  <c:v>45048.25</c:v>
                </c:pt>
                <c:pt idx="97">
                  <c:v>45048.260416666664</c:v>
                </c:pt>
                <c:pt idx="98">
                  <c:v>45048.270833333336</c:v>
                </c:pt>
                <c:pt idx="99">
                  <c:v>45048.28125</c:v>
                </c:pt>
                <c:pt idx="100">
                  <c:v>45048.291666666664</c:v>
                </c:pt>
                <c:pt idx="101">
                  <c:v>45048.302083333336</c:v>
                </c:pt>
                <c:pt idx="102">
                  <c:v>45048.3125</c:v>
                </c:pt>
                <c:pt idx="103">
                  <c:v>45048.322916666664</c:v>
                </c:pt>
                <c:pt idx="104">
                  <c:v>45048.333333333336</c:v>
                </c:pt>
                <c:pt idx="105">
                  <c:v>45048.34375</c:v>
                </c:pt>
                <c:pt idx="106">
                  <c:v>45048.354166666664</c:v>
                </c:pt>
                <c:pt idx="107">
                  <c:v>45048.364583333336</c:v>
                </c:pt>
                <c:pt idx="108">
                  <c:v>45048.375</c:v>
                </c:pt>
                <c:pt idx="109">
                  <c:v>45048.385416666664</c:v>
                </c:pt>
                <c:pt idx="110">
                  <c:v>45048.395833333336</c:v>
                </c:pt>
                <c:pt idx="111">
                  <c:v>45048.40625</c:v>
                </c:pt>
                <c:pt idx="112">
                  <c:v>45048.416666666664</c:v>
                </c:pt>
                <c:pt idx="113">
                  <c:v>45048.427083333336</c:v>
                </c:pt>
                <c:pt idx="114">
                  <c:v>45048.4375</c:v>
                </c:pt>
                <c:pt idx="115">
                  <c:v>45048.447916666664</c:v>
                </c:pt>
                <c:pt idx="116">
                  <c:v>45048.458333333336</c:v>
                </c:pt>
                <c:pt idx="117">
                  <c:v>45048.46875</c:v>
                </c:pt>
                <c:pt idx="118">
                  <c:v>45048.479166666664</c:v>
                </c:pt>
                <c:pt idx="119">
                  <c:v>45048.489583333336</c:v>
                </c:pt>
                <c:pt idx="120">
                  <c:v>45048.5</c:v>
                </c:pt>
                <c:pt idx="121">
                  <c:v>45048.510416666664</c:v>
                </c:pt>
                <c:pt idx="122">
                  <c:v>45048.520833333336</c:v>
                </c:pt>
                <c:pt idx="123">
                  <c:v>45048.53125</c:v>
                </c:pt>
                <c:pt idx="124">
                  <c:v>45048.541666666664</c:v>
                </c:pt>
                <c:pt idx="125">
                  <c:v>45048.552083333336</c:v>
                </c:pt>
                <c:pt idx="126">
                  <c:v>45048.5625</c:v>
                </c:pt>
                <c:pt idx="127">
                  <c:v>45048.572916666664</c:v>
                </c:pt>
                <c:pt idx="128">
                  <c:v>45048.583333333336</c:v>
                </c:pt>
                <c:pt idx="129">
                  <c:v>45048.59375</c:v>
                </c:pt>
                <c:pt idx="130">
                  <c:v>45048.604166666664</c:v>
                </c:pt>
                <c:pt idx="131">
                  <c:v>45048.614583333336</c:v>
                </c:pt>
                <c:pt idx="132">
                  <c:v>45048.625</c:v>
                </c:pt>
                <c:pt idx="133">
                  <c:v>45048.635416666664</c:v>
                </c:pt>
                <c:pt idx="134">
                  <c:v>45048.645833333336</c:v>
                </c:pt>
                <c:pt idx="135">
                  <c:v>45048.65625</c:v>
                </c:pt>
                <c:pt idx="136">
                  <c:v>45048.666666666664</c:v>
                </c:pt>
                <c:pt idx="137">
                  <c:v>45048.677083333336</c:v>
                </c:pt>
                <c:pt idx="138">
                  <c:v>45048.6875</c:v>
                </c:pt>
                <c:pt idx="139">
                  <c:v>45048.697916666664</c:v>
                </c:pt>
                <c:pt idx="140">
                  <c:v>45048.708333333336</c:v>
                </c:pt>
                <c:pt idx="141">
                  <c:v>45048.71875</c:v>
                </c:pt>
                <c:pt idx="142">
                  <c:v>45048.729166666664</c:v>
                </c:pt>
                <c:pt idx="143">
                  <c:v>45048.739583333336</c:v>
                </c:pt>
                <c:pt idx="144">
                  <c:v>45048.75</c:v>
                </c:pt>
                <c:pt idx="145">
                  <c:v>45048.760416666664</c:v>
                </c:pt>
                <c:pt idx="146">
                  <c:v>45048.770833333336</c:v>
                </c:pt>
                <c:pt idx="147">
                  <c:v>45048.78125</c:v>
                </c:pt>
                <c:pt idx="148">
                  <c:v>45048.791666666664</c:v>
                </c:pt>
                <c:pt idx="149">
                  <c:v>45048.802083333336</c:v>
                </c:pt>
                <c:pt idx="150">
                  <c:v>45048.8125</c:v>
                </c:pt>
                <c:pt idx="151">
                  <c:v>45048.822916666664</c:v>
                </c:pt>
                <c:pt idx="152">
                  <c:v>45048.833333333336</c:v>
                </c:pt>
              </c:numCache>
            </c:numRef>
          </c:xVal>
          <c:yVal>
            <c:numRef>
              <c:f>'storm time series'!$CI$3:$CI$155</c:f>
              <c:numCache>
                <c:formatCode>0.000</c:formatCode>
                <c:ptCount val="153"/>
                <c:pt idx="0">
                  <c:v>77.362288004399332</c:v>
                </c:pt>
                <c:pt idx="1">
                  <c:v>77.81666415726292</c:v>
                </c:pt>
                <c:pt idx="2">
                  <c:v>75.776610972721528</c:v>
                </c:pt>
                <c:pt idx="3">
                  <c:v>76.574542920371201</c:v>
                </c:pt>
                <c:pt idx="4">
                  <c:v>74.118849769232312</c:v>
                </c:pt>
                <c:pt idx="5">
                  <c:v>76.739091393463653</c:v>
                </c:pt>
                <c:pt idx="6">
                  <c:v>75.756498835522578</c:v>
                </c:pt>
                <c:pt idx="7">
                  <c:v>78.08124505381646</c:v>
                </c:pt>
                <c:pt idx="8">
                  <c:v>75.928936726700002</c:v>
                </c:pt>
                <c:pt idx="9">
                  <c:v>77.490905212998626</c:v>
                </c:pt>
                <c:pt idx="10">
                  <c:v>74.675623016160287</c:v>
                </c:pt>
                <c:pt idx="11">
                  <c:v>76.058886788717572</c:v>
                </c:pt>
                <c:pt idx="12">
                  <c:v>78.915723136234604</c:v>
                </c:pt>
                <c:pt idx="13">
                  <c:v>79.537808239607671</c:v>
                </c:pt>
                <c:pt idx="14">
                  <c:v>74.341449568317927</c:v>
                </c:pt>
                <c:pt idx="15">
                  <c:v>78.144134670978204</c:v>
                </c:pt>
                <c:pt idx="16">
                  <c:v>82.031152042436332</c:v>
                </c:pt>
                <c:pt idx="17">
                  <c:v>78.740945511937539</c:v>
                </c:pt>
                <c:pt idx="18">
                  <c:v>75.728106483527228</c:v>
                </c:pt>
                <c:pt idx="19">
                  <c:v>80.868951261887133</c:v>
                </c:pt>
                <c:pt idx="20">
                  <c:v>76.593865601946831</c:v>
                </c:pt>
                <c:pt idx="21">
                  <c:v>75.370341479567273</c:v>
                </c:pt>
                <c:pt idx="22">
                  <c:v>74.891640603794414</c:v>
                </c:pt>
                <c:pt idx="23">
                  <c:v>76.319996669366716</c:v>
                </c:pt>
                <c:pt idx="24">
                  <c:v>77.525901478841334</c:v>
                </c:pt>
                <c:pt idx="25">
                  <c:v>78.30667744433417</c:v>
                </c:pt>
                <c:pt idx="26">
                  <c:v>77.449019286407179</c:v>
                </c:pt>
                <c:pt idx="27">
                  <c:v>79.27159371671226</c:v>
                </c:pt>
                <c:pt idx="28">
                  <c:v>77.036911333946151</c:v>
                </c:pt>
                <c:pt idx="29">
                  <c:v>76.216103103536071</c:v>
                </c:pt>
                <c:pt idx="30">
                  <c:v>81.345636039838126</c:v>
                </c:pt>
                <c:pt idx="31">
                  <c:v>78.422827658869721</c:v>
                </c:pt>
                <c:pt idx="32">
                  <c:v>76.5997774199719</c:v>
                </c:pt>
                <c:pt idx="33">
                  <c:v>78.164397664858541</c:v>
                </c:pt>
                <c:pt idx="34">
                  <c:v>76.067618111558048</c:v>
                </c:pt>
                <c:pt idx="35">
                  <c:v>76.800840016251428</c:v>
                </c:pt>
                <c:pt idx="36">
                  <c:v>76.301465955937488</c:v>
                </c:pt>
                <c:pt idx="37">
                  <c:v>78.224228579029855</c:v>
                </c:pt>
                <c:pt idx="38">
                  <c:v>75.602655643266957</c:v>
                </c:pt>
                <c:pt idx="39">
                  <c:v>79.014510302123043</c:v>
                </c:pt>
                <c:pt idx="40">
                  <c:v>79.275196969160135</c:v>
                </c:pt>
                <c:pt idx="41">
                  <c:v>76.977547572329826</c:v>
                </c:pt>
                <c:pt idx="42">
                  <c:v>80.573075096478703</c:v>
                </c:pt>
                <c:pt idx="43">
                  <c:v>77.572378438807007</c:v>
                </c:pt>
                <c:pt idx="44">
                  <c:v>76.260126646499643</c:v>
                </c:pt>
                <c:pt idx="45">
                  <c:v>76.479765477308888</c:v>
                </c:pt>
                <c:pt idx="46">
                  <c:v>75.899748061847362</c:v>
                </c:pt>
                <c:pt idx="47">
                  <c:v>78.322629276989787</c:v>
                </c:pt>
                <c:pt idx="48">
                  <c:v>79.130770975385673</c:v>
                </c:pt>
                <c:pt idx="49">
                  <c:v>81.481192405152612</c:v>
                </c:pt>
                <c:pt idx="50">
                  <c:v>81.29201136279157</c:v>
                </c:pt>
                <c:pt idx="51">
                  <c:v>80.734776585821564</c:v>
                </c:pt>
                <c:pt idx="52">
                  <c:v>80.282695824136809</c:v>
                </c:pt>
                <c:pt idx="53">
                  <c:v>81.90455301712359</c:v>
                </c:pt>
                <c:pt idx="54">
                  <c:v>79.476386803231208</c:v>
                </c:pt>
                <c:pt idx="55">
                  <c:v>77.607108657677202</c:v>
                </c:pt>
                <c:pt idx="56">
                  <c:v>80.971530922935756</c:v>
                </c:pt>
                <c:pt idx="57">
                  <c:v>81.866259363796459</c:v>
                </c:pt>
                <c:pt idx="58">
                  <c:v>81.019158027383341</c:v>
                </c:pt>
                <c:pt idx="59">
                  <c:v>83.15943300506575</c:v>
                </c:pt>
                <c:pt idx="60">
                  <c:v>81.6768206745962</c:v>
                </c:pt>
                <c:pt idx="61">
                  <c:v>83.278131465126677</c:v>
                </c:pt>
                <c:pt idx="62">
                  <c:v>84.380016860651793</c:v>
                </c:pt>
                <c:pt idx="63">
                  <c:v>81.380013330349172</c:v>
                </c:pt>
                <c:pt idx="64">
                  <c:v>78.612875640169861</c:v>
                </c:pt>
                <c:pt idx="65">
                  <c:v>78.457764374320973</c:v>
                </c:pt>
                <c:pt idx="66">
                  <c:v>81.623016985582112</c:v>
                </c:pt>
                <c:pt idx="67">
                  <c:v>77.852238312480338</c:v>
                </c:pt>
                <c:pt idx="68">
                  <c:v>77.581012434678129</c:v>
                </c:pt>
                <c:pt idx="69">
                  <c:v>79.872538524599534</c:v>
                </c:pt>
                <c:pt idx="70">
                  <c:v>79.646819543558891</c:v>
                </c:pt>
                <c:pt idx="71">
                  <c:v>79.147958798796736</c:v>
                </c:pt>
                <c:pt idx="72">
                  <c:v>82.579047989145138</c:v>
                </c:pt>
                <c:pt idx="73">
                  <c:v>80.182234881948659</c:v>
                </c:pt>
                <c:pt idx="74">
                  <c:v>82.099600303622864</c:v>
                </c:pt>
                <c:pt idx="75">
                  <c:v>77.220822457558285</c:v>
                </c:pt>
                <c:pt idx="76">
                  <c:v>75.474654751181305</c:v>
                </c:pt>
                <c:pt idx="77">
                  <c:v>80.410840220652446</c:v>
                </c:pt>
                <c:pt idx="78">
                  <c:v>77.392452143555744</c:v>
                </c:pt>
                <c:pt idx="79">
                  <c:v>77.01692194125107</c:v>
                </c:pt>
                <c:pt idx="80">
                  <c:v>78.055203213157398</c:v>
                </c:pt>
                <c:pt idx="81">
                  <c:v>80.133876550003379</c:v>
                </c:pt>
                <c:pt idx="82">
                  <c:v>79.858763426916852</c:v>
                </c:pt>
                <c:pt idx="83">
                  <c:v>78.13325204597966</c:v>
                </c:pt>
                <c:pt idx="84">
                  <c:v>78.907733024783937</c:v>
                </c:pt>
                <c:pt idx="85">
                  <c:v>79.778116732782578</c:v>
                </c:pt>
                <c:pt idx="86">
                  <c:v>76.127223006168265</c:v>
                </c:pt>
                <c:pt idx="87">
                  <c:v>78.533950668749554</c:v>
                </c:pt>
                <c:pt idx="88">
                  <c:v>78.994227973071261</c:v>
                </c:pt>
                <c:pt idx="89">
                  <c:v>81.306713600455609</c:v>
                </c:pt>
                <c:pt idx="90">
                  <c:v>80.223053105084546</c:v>
                </c:pt>
                <c:pt idx="91">
                  <c:v>78.35201385928282</c:v>
                </c:pt>
                <c:pt idx="92">
                  <c:v>80.700216501286377</c:v>
                </c:pt>
                <c:pt idx="93">
                  <c:v>78.710509537231189</c:v>
                </c:pt>
                <c:pt idx="94">
                  <c:v>78.794981175166939</c:v>
                </c:pt>
                <c:pt idx="95">
                  <c:v>79.036559311057331</c:v>
                </c:pt>
                <c:pt idx="96">
                  <c:v>78.944891685831678</c:v>
                </c:pt>
                <c:pt idx="97">
                  <c:v>78.487303157563844</c:v>
                </c:pt>
                <c:pt idx="98">
                  <c:v>79.400281975333314</c:v>
                </c:pt>
                <c:pt idx="99">
                  <c:v>76.223214833757211</c:v>
                </c:pt>
                <c:pt idx="100">
                  <c:v>81.192234018365667</c:v>
                </c:pt>
                <c:pt idx="101">
                  <c:v>76.513228277851653</c:v>
                </c:pt>
                <c:pt idx="102">
                  <c:v>79.209584438192763</c:v>
                </c:pt>
                <c:pt idx="103">
                  <c:v>78.907111612121881</c:v>
                </c:pt>
                <c:pt idx="104">
                  <c:v>79.236092799347745</c:v>
                </c:pt>
                <c:pt idx="105">
                  <c:v>77.93298510424863</c:v>
                </c:pt>
                <c:pt idx="106">
                  <c:v>80.681103801374221</c:v>
                </c:pt>
                <c:pt idx="107">
                  <c:v>79.131884238344639</c:v>
                </c:pt>
                <c:pt idx="108">
                  <c:v>79.295600112456114</c:v>
                </c:pt>
                <c:pt idx="109">
                  <c:v>81.01951852367381</c:v>
                </c:pt>
                <c:pt idx="110">
                  <c:v>81.272440002759069</c:v>
                </c:pt>
                <c:pt idx="111">
                  <c:v>78.556225608728454</c:v>
                </c:pt>
                <c:pt idx="112">
                  <c:v>80.462302313523097</c:v>
                </c:pt>
                <c:pt idx="113">
                  <c:v>80.097522299310597</c:v>
                </c:pt>
                <c:pt idx="114">
                  <c:v>76.264584343618679</c:v>
                </c:pt>
                <c:pt idx="115">
                  <c:v>80.484380013445275</c:v>
                </c:pt>
                <c:pt idx="116">
                  <c:v>79.336542938701925</c:v>
                </c:pt>
                <c:pt idx="117">
                  <c:v>77.315252809523471</c:v>
                </c:pt>
                <c:pt idx="118">
                  <c:v>77.134020271730336</c:v>
                </c:pt>
                <c:pt idx="119">
                  <c:v>80.719568628470725</c:v>
                </c:pt>
                <c:pt idx="120">
                  <c:v>80.3854123564292</c:v>
                </c:pt>
                <c:pt idx="121">
                  <c:v>77.338359726276551</c:v>
                </c:pt>
                <c:pt idx="122">
                  <c:v>80.453615980148953</c:v>
                </c:pt>
                <c:pt idx="123">
                  <c:v>79.313299300559237</c:v>
                </c:pt>
                <c:pt idx="124">
                  <c:v>81.101788635018096</c:v>
                </c:pt>
                <c:pt idx="125">
                  <c:v>76.383342595868754</c:v>
                </c:pt>
                <c:pt idx="126">
                  <c:v>80.19146718886941</c:v>
                </c:pt>
                <c:pt idx="127">
                  <c:v>80.300852192324996</c:v>
                </c:pt>
                <c:pt idx="128">
                  <c:v>78.957829720424073</c:v>
                </c:pt>
                <c:pt idx="129">
                  <c:v>80.973547646278249</c:v>
                </c:pt>
                <c:pt idx="130">
                  <c:v>78.056494279066953</c:v>
                </c:pt>
                <c:pt idx="131">
                  <c:v>80.940741296693048</c:v>
                </c:pt>
                <c:pt idx="132">
                  <c:v>77.103596670484791</c:v>
                </c:pt>
                <c:pt idx="133">
                  <c:v>81.239698396323718</c:v>
                </c:pt>
                <c:pt idx="134">
                  <c:v>81.912457625915266</c:v>
                </c:pt>
                <c:pt idx="135">
                  <c:v>79.545017979875212</c:v>
                </c:pt>
                <c:pt idx="136">
                  <c:v>81.9668563640315</c:v>
                </c:pt>
                <c:pt idx="137">
                  <c:v>80.513282529111677</c:v>
                </c:pt>
                <c:pt idx="138">
                  <c:v>80.284065066797666</c:v>
                </c:pt>
                <c:pt idx="139">
                  <c:v>80.501031981386177</c:v>
                </c:pt>
                <c:pt idx="140">
                  <c:v>79.528071830499584</c:v>
                </c:pt>
                <c:pt idx="141">
                  <c:v>78.673564473892895</c:v>
                </c:pt>
                <c:pt idx="142">
                  <c:v>80.335824803024266</c:v>
                </c:pt>
                <c:pt idx="143">
                  <c:v>81.823036247756932</c:v>
                </c:pt>
                <c:pt idx="144">
                  <c:v>79.332706662424229</c:v>
                </c:pt>
                <c:pt idx="145">
                  <c:v>84.084828007221162</c:v>
                </c:pt>
                <c:pt idx="146">
                  <c:v>79.840845333413483</c:v>
                </c:pt>
                <c:pt idx="147">
                  <c:v>83.220175387400374</c:v>
                </c:pt>
                <c:pt idx="148">
                  <c:v>81.908426654665263</c:v>
                </c:pt>
                <c:pt idx="149">
                  <c:v>79.485122134372787</c:v>
                </c:pt>
                <c:pt idx="150">
                  <c:v>79.844454981822423</c:v>
                </c:pt>
                <c:pt idx="151">
                  <c:v>80.071897614404079</c:v>
                </c:pt>
                <c:pt idx="152">
                  <c:v>77.920324241039069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3F-4B34-BDA2-7D0D7A8CC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3 -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 time series'!$CK$3:$CK$123</c:f>
              <c:numCache>
                <c:formatCode>m/d/yyyy\ h:mm</c:formatCode>
                <c:ptCount val="121"/>
                <c:pt idx="0">
                  <c:v>45049.25</c:v>
                </c:pt>
                <c:pt idx="1">
                  <c:v>45049.260416666664</c:v>
                </c:pt>
                <c:pt idx="2">
                  <c:v>45049.270833333336</c:v>
                </c:pt>
                <c:pt idx="3">
                  <c:v>45049.28125</c:v>
                </c:pt>
                <c:pt idx="4">
                  <c:v>45049.291666666664</c:v>
                </c:pt>
                <c:pt idx="5">
                  <c:v>45049.302083333336</c:v>
                </c:pt>
                <c:pt idx="6">
                  <c:v>45049.3125</c:v>
                </c:pt>
                <c:pt idx="7">
                  <c:v>45049.322916666664</c:v>
                </c:pt>
                <c:pt idx="8">
                  <c:v>45049.333333333336</c:v>
                </c:pt>
                <c:pt idx="9">
                  <c:v>45049.34375</c:v>
                </c:pt>
                <c:pt idx="10">
                  <c:v>45049.354166666664</c:v>
                </c:pt>
                <c:pt idx="11">
                  <c:v>45049.364583333336</c:v>
                </c:pt>
                <c:pt idx="12">
                  <c:v>45049.375</c:v>
                </c:pt>
                <c:pt idx="13">
                  <c:v>45049.385416666664</c:v>
                </c:pt>
                <c:pt idx="14">
                  <c:v>45049.395833333336</c:v>
                </c:pt>
                <c:pt idx="15">
                  <c:v>45049.40625</c:v>
                </c:pt>
                <c:pt idx="16">
                  <c:v>45049.416666666664</c:v>
                </c:pt>
                <c:pt idx="17">
                  <c:v>45049.427083333336</c:v>
                </c:pt>
                <c:pt idx="18">
                  <c:v>45049.4375</c:v>
                </c:pt>
                <c:pt idx="19">
                  <c:v>45049.447916666664</c:v>
                </c:pt>
                <c:pt idx="20">
                  <c:v>45049.458333333336</c:v>
                </c:pt>
                <c:pt idx="21">
                  <c:v>45049.46875</c:v>
                </c:pt>
                <c:pt idx="22">
                  <c:v>45049.479166666664</c:v>
                </c:pt>
                <c:pt idx="23">
                  <c:v>45049.489583333336</c:v>
                </c:pt>
                <c:pt idx="24">
                  <c:v>45049.5</c:v>
                </c:pt>
                <c:pt idx="25">
                  <c:v>45049.510416666664</c:v>
                </c:pt>
                <c:pt idx="26">
                  <c:v>45049.520833333336</c:v>
                </c:pt>
                <c:pt idx="27">
                  <c:v>45049.53125</c:v>
                </c:pt>
                <c:pt idx="28">
                  <c:v>45049.541666666664</c:v>
                </c:pt>
                <c:pt idx="29">
                  <c:v>45049.552083333336</c:v>
                </c:pt>
                <c:pt idx="30">
                  <c:v>45049.5625</c:v>
                </c:pt>
                <c:pt idx="31">
                  <c:v>45049.572916666664</c:v>
                </c:pt>
                <c:pt idx="32">
                  <c:v>45049.583333333336</c:v>
                </c:pt>
                <c:pt idx="33">
                  <c:v>45049.59375</c:v>
                </c:pt>
                <c:pt idx="34">
                  <c:v>45049.604166666664</c:v>
                </c:pt>
                <c:pt idx="35">
                  <c:v>45049.614583333336</c:v>
                </c:pt>
                <c:pt idx="36">
                  <c:v>45049.625</c:v>
                </c:pt>
                <c:pt idx="37">
                  <c:v>45049.635416666664</c:v>
                </c:pt>
                <c:pt idx="38">
                  <c:v>45049.645833333336</c:v>
                </c:pt>
                <c:pt idx="39">
                  <c:v>45049.65625</c:v>
                </c:pt>
                <c:pt idx="40">
                  <c:v>45049.666666666664</c:v>
                </c:pt>
                <c:pt idx="41">
                  <c:v>45049.677083333336</c:v>
                </c:pt>
                <c:pt idx="42">
                  <c:v>45049.6875</c:v>
                </c:pt>
                <c:pt idx="43">
                  <c:v>45049.697916666664</c:v>
                </c:pt>
                <c:pt idx="44">
                  <c:v>45049.708333333336</c:v>
                </c:pt>
                <c:pt idx="45">
                  <c:v>45049.71875</c:v>
                </c:pt>
                <c:pt idx="46">
                  <c:v>45049.729166666664</c:v>
                </c:pt>
                <c:pt idx="47">
                  <c:v>45049.739583333336</c:v>
                </c:pt>
                <c:pt idx="48">
                  <c:v>45049.75</c:v>
                </c:pt>
                <c:pt idx="49">
                  <c:v>45049.760416666664</c:v>
                </c:pt>
                <c:pt idx="50">
                  <c:v>45049.770833333336</c:v>
                </c:pt>
                <c:pt idx="51">
                  <c:v>45049.78125</c:v>
                </c:pt>
                <c:pt idx="52">
                  <c:v>45049.791666666664</c:v>
                </c:pt>
                <c:pt idx="53">
                  <c:v>45049.802083333336</c:v>
                </c:pt>
                <c:pt idx="54">
                  <c:v>45049.8125</c:v>
                </c:pt>
                <c:pt idx="55">
                  <c:v>45049.822916666664</c:v>
                </c:pt>
                <c:pt idx="56">
                  <c:v>45049.833333333336</c:v>
                </c:pt>
                <c:pt idx="57">
                  <c:v>45049.84375</c:v>
                </c:pt>
                <c:pt idx="58">
                  <c:v>45049.854166666664</c:v>
                </c:pt>
                <c:pt idx="59">
                  <c:v>45049.864583333336</c:v>
                </c:pt>
                <c:pt idx="60">
                  <c:v>45049.875</c:v>
                </c:pt>
                <c:pt idx="61">
                  <c:v>45049.885416666664</c:v>
                </c:pt>
                <c:pt idx="62">
                  <c:v>45049.895833333336</c:v>
                </c:pt>
                <c:pt idx="63">
                  <c:v>45049.90625</c:v>
                </c:pt>
                <c:pt idx="64">
                  <c:v>45049.916666666664</c:v>
                </c:pt>
                <c:pt idx="65">
                  <c:v>45049.927083333336</c:v>
                </c:pt>
                <c:pt idx="66">
                  <c:v>45049.9375</c:v>
                </c:pt>
                <c:pt idx="67">
                  <c:v>45049.947916666664</c:v>
                </c:pt>
                <c:pt idx="68">
                  <c:v>45049.958333333336</c:v>
                </c:pt>
                <c:pt idx="69">
                  <c:v>45049.96875</c:v>
                </c:pt>
                <c:pt idx="70">
                  <c:v>45049.979166666664</c:v>
                </c:pt>
                <c:pt idx="71">
                  <c:v>45049.989583333336</c:v>
                </c:pt>
                <c:pt idx="72">
                  <c:v>45050</c:v>
                </c:pt>
                <c:pt idx="73">
                  <c:v>45050.010416666664</c:v>
                </c:pt>
                <c:pt idx="74">
                  <c:v>45050.020833333336</c:v>
                </c:pt>
                <c:pt idx="75">
                  <c:v>45050.03125</c:v>
                </c:pt>
                <c:pt idx="76">
                  <c:v>45050.041666666664</c:v>
                </c:pt>
                <c:pt idx="77">
                  <c:v>45050.052083333336</c:v>
                </c:pt>
                <c:pt idx="78">
                  <c:v>45050.0625</c:v>
                </c:pt>
                <c:pt idx="79">
                  <c:v>45050.072916666664</c:v>
                </c:pt>
                <c:pt idx="80">
                  <c:v>45050.083333333336</c:v>
                </c:pt>
                <c:pt idx="81">
                  <c:v>45050.09375</c:v>
                </c:pt>
                <c:pt idx="82">
                  <c:v>45050.104166666664</c:v>
                </c:pt>
                <c:pt idx="83">
                  <c:v>45050.114583333336</c:v>
                </c:pt>
                <c:pt idx="84">
                  <c:v>45050.125</c:v>
                </c:pt>
                <c:pt idx="85">
                  <c:v>45050.135416666664</c:v>
                </c:pt>
                <c:pt idx="86">
                  <c:v>45050.145833333336</c:v>
                </c:pt>
                <c:pt idx="87">
                  <c:v>45050.15625</c:v>
                </c:pt>
                <c:pt idx="88">
                  <c:v>45050.166666666664</c:v>
                </c:pt>
                <c:pt idx="89">
                  <c:v>45050.177083333336</c:v>
                </c:pt>
                <c:pt idx="90">
                  <c:v>45050.1875</c:v>
                </c:pt>
                <c:pt idx="91">
                  <c:v>45050.197916666664</c:v>
                </c:pt>
                <c:pt idx="92">
                  <c:v>45050.208333333336</c:v>
                </c:pt>
                <c:pt idx="93">
                  <c:v>45050.21875</c:v>
                </c:pt>
                <c:pt idx="94">
                  <c:v>45050.229166666664</c:v>
                </c:pt>
                <c:pt idx="95">
                  <c:v>45050.239583333336</c:v>
                </c:pt>
                <c:pt idx="96">
                  <c:v>45050.25</c:v>
                </c:pt>
                <c:pt idx="97">
                  <c:v>45050.260416666664</c:v>
                </c:pt>
                <c:pt idx="98">
                  <c:v>45050.270833333336</c:v>
                </c:pt>
                <c:pt idx="99">
                  <c:v>45050.28125</c:v>
                </c:pt>
                <c:pt idx="100">
                  <c:v>45050.291666666664</c:v>
                </c:pt>
                <c:pt idx="101">
                  <c:v>45050.302083333336</c:v>
                </c:pt>
                <c:pt idx="102">
                  <c:v>45050.3125</c:v>
                </c:pt>
                <c:pt idx="103">
                  <c:v>45050.322916666664</c:v>
                </c:pt>
                <c:pt idx="104">
                  <c:v>45050.333333333336</c:v>
                </c:pt>
                <c:pt idx="105">
                  <c:v>45050.34375</c:v>
                </c:pt>
                <c:pt idx="106">
                  <c:v>45050.354166666664</c:v>
                </c:pt>
                <c:pt idx="107">
                  <c:v>45050.364583333336</c:v>
                </c:pt>
                <c:pt idx="108">
                  <c:v>45050.375</c:v>
                </c:pt>
                <c:pt idx="109">
                  <c:v>45050.385416666664</c:v>
                </c:pt>
                <c:pt idx="110">
                  <c:v>45050.395833333336</c:v>
                </c:pt>
                <c:pt idx="111">
                  <c:v>45050.40625</c:v>
                </c:pt>
                <c:pt idx="112">
                  <c:v>45050.416666666664</c:v>
                </c:pt>
                <c:pt idx="113">
                  <c:v>45050.427083333336</c:v>
                </c:pt>
                <c:pt idx="114">
                  <c:v>45050.4375</c:v>
                </c:pt>
                <c:pt idx="115">
                  <c:v>45050.447916666664</c:v>
                </c:pt>
                <c:pt idx="116">
                  <c:v>45050.458333333336</c:v>
                </c:pt>
                <c:pt idx="117">
                  <c:v>45050.46875</c:v>
                </c:pt>
                <c:pt idx="118">
                  <c:v>45050.479166666664</c:v>
                </c:pt>
                <c:pt idx="119">
                  <c:v>45050.489583333336</c:v>
                </c:pt>
                <c:pt idx="120">
                  <c:v>45050.5</c:v>
                </c:pt>
              </c:numCache>
            </c:numRef>
          </c:xVal>
          <c:yVal>
            <c:numRef>
              <c:f>'storm time series'!$CM$3:$CM$123</c:f>
              <c:numCache>
                <c:formatCode>0.000</c:formatCode>
                <c:ptCount val="121"/>
                <c:pt idx="0">
                  <c:v>98.886564129999996</c:v>
                </c:pt>
                <c:pt idx="1">
                  <c:v>94.720978599999995</c:v>
                </c:pt>
                <c:pt idx="2">
                  <c:v>100.9486689</c:v>
                </c:pt>
                <c:pt idx="3">
                  <c:v>103.3988808</c:v>
                </c:pt>
                <c:pt idx="4">
                  <c:v>108.62303609999999</c:v>
                </c:pt>
                <c:pt idx="5">
                  <c:v>93.457733590000004</c:v>
                </c:pt>
                <c:pt idx="6">
                  <c:v>98.893656829999998</c:v>
                </c:pt>
                <c:pt idx="7">
                  <c:v>91.345373739999999</c:v>
                </c:pt>
                <c:pt idx="8">
                  <c:v>94.720978599999995</c:v>
                </c:pt>
                <c:pt idx="9">
                  <c:v>97.229596529999995</c:v>
                </c:pt>
                <c:pt idx="10">
                  <c:v>91.338086169999997</c:v>
                </c:pt>
                <c:pt idx="11">
                  <c:v>90.492164919999993</c:v>
                </c:pt>
                <c:pt idx="12">
                  <c:v>92.610732819999996</c:v>
                </c:pt>
                <c:pt idx="13">
                  <c:v>87.058386479999996</c:v>
                </c:pt>
                <c:pt idx="14">
                  <c:v>90.492164919999993</c:v>
                </c:pt>
                <c:pt idx="15">
                  <c:v>90.492164919999993</c:v>
                </c:pt>
                <c:pt idx="16">
                  <c:v>90.060609240000005</c:v>
                </c:pt>
                <c:pt idx="17">
                  <c:v>91.338086169999997</c:v>
                </c:pt>
                <c:pt idx="18">
                  <c:v>87.058386479999996</c:v>
                </c:pt>
                <c:pt idx="19">
                  <c:v>93.877037450000003</c:v>
                </c:pt>
                <c:pt idx="20">
                  <c:v>89.209976960000006</c:v>
                </c:pt>
                <c:pt idx="21">
                  <c:v>91.338086169999997</c:v>
                </c:pt>
                <c:pt idx="22">
                  <c:v>84.891986889999998</c:v>
                </c:pt>
                <c:pt idx="23">
                  <c:v>87.058386479999996</c:v>
                </c:pt>
                <c:pt idx="24">
                  <c:v>87.922589900000006</c:v>
                </c:pt>
                <c:pt idx="25">
                  <c:v>95.977802339999997</c:v>
                </c:pt>
                <c:pt idx="26">
                  <c:v>92.617989059999999</c:v>
                </c:pt>
                <c:pt idx="27">
                  <c:v>91.767774239999994</c:v>
                </c:pt>
                <c:pt idx="28">
                  <c:v>97.229596529999995</c:v>
                </c:pt>
                <c:pt idx="29">
                  <c:v>93.877037450000003</c:v>
                </c:pt>
                <c:pt idx="30">
                  <c:v>95.138397370000007</c:v>
                </c:pt>
                <c:pt idx="31">
                  <c:v>93.877037450000003</c:v>
                </c:pt>
                <c:pt idx="32">
                  <c:v>95.977802339999997</c:v>
                </c:pt>
                <c:pt idx="33">
                  <c:v>97.229596529999995</c:v>
                </c:pt>
                <c:pt idx="34">
                  <c:v>101.36348099999999</c:v>
                </c:pt>
                <c:pt idx="35">
                  <c:v>99.714355679999997</c:v>
                </c:pt>
                <c:pt idx="36">
                  <c:v>103.8090014</c:v>
                </c:pt>
                <c:pt idx="37">
                  <c:v>103.8090014</c:v>
                </c:pt>
                <c:pt idx="38">
                  <c:v>103.80204430000001</c:v>
                </c:pt>
                <c:pt idx="39">
                  <c:v>102.9873886</c:v>
                </c:pt>
                <c:pt idx="40">
                  <c:v>104.61473460000001</c:v>
                </c:pt>
                <c:pt idx="41">
                  <c:v>106.2245245</c:v>
                </c:pt>
                <c:pt idx="42">
                  <c:v>101.7699069</c:v>
                </c:pt>
                <c:pt idx="43">
                  <c:v>106.2245245</c:v>
                </c:pt>
                <c:pt idx="44">
                  <c:v>109.0251016</c:v>
                </c:pt>
                <c:pt idx="45">
                  <c:v>112.18199679999999</c:v>
                </c:pt>
                <c:pt idx="46">
                  <c:v>105.0166174</c:v>
                </c:pt>
                <c:pt idx="47">
                  <c:v>105.0166174</c:v>
                </c:pt>
                <c:pt idx="48">
                  <c:v>109.0251016</c:v>
                </c:pt>
                <c:pt idx="49">
                  <c:v>123.998997</c:v>
                </c:pt>
                <c:pt idx="50">
                  <c:v>126.9470365</c:v>
                </c:pt>
                <c:pt idx="51">
                  <c:v>130.92322350000001</c:v>
                </c:pt>
                <c:pt idx="52">
                  <c:v>129.12778700000001</c:v>
                </c:pt>
                <c:pt idx="53">
                  <c:v>133.7707528</c:v>
                </c:pt>
                <c:pt idx="54">
                  <c:v>131.64072830000001</c:v>
                </c:pt>
                <c:pt idx="55">
                  <c:v>126.9470365</c:v>
                </c:pt>
                <c:pt idx="56">
                  <c:v>126.9470365</c:v>
                </c:pt>
                <c:pt idx="57">
                  <c:v>119.87671349999999</c:v>
                </c:pt>
                <c:pt idx="58">
                  <c:v>132.70838019999999</c:v>
                </c:pt>
                <c:pt idx="59">
                  <c:v>133.7707528</c:v>
                </c:pt>
                <c:pt idx="60">
                  <c:v>135.52973059999999</c:v>
                </c:pt>
                <c:pt idx="61">
                  <c:v>129.12778700000001</c:v>
                </c:pt>
                <c:pt idx="62">
                  <c:v>119.87671349999999</c:v>
                </c:pt>
                <c:pt idx="63">
                  <c:v>130.567172</c:v>
                </c:pt>
                <c:pt idx="64">
                  <c:v>122.1341827</c:v>
                </c:pt>
                <c:pt idx="65">
                  <c:v>136.5531871</c:v>
                </c:pt>
                <c:pt idx="66">
                  <c:v>131.9954343</c:v>
                </c:pt>
                <c:pt idx="67">
                  <c:v>124.3675379</c:v>
                </c:pt>
                <c:pt idx="68">
                  <c:v>124.3675379</c:v>
                </c:pt>
                <c:pt idx="69">
                  <c:v>129.12158679999999</c:v>
                </c:pt>
                <c:pt idx="70">
                  <c:v>124.3675379</c:v>
                </c:pt>
                <c:pt idx="71">
                  <c:v>124.3675379</c:v>
                </c:pt>
                <c:pt idx="72">
                  <c:v>118.36070239999999</c:v>
                </c:pt>
                <c:pt idx="73">
                  <c:v>120.2525852</c:v>
                </c:pt>
                <c:pt idx="74">
                  <c:v>119.11711819999999</c:v>
                </c:pt>
                <c:pt idx="75">
                  <c:v>117.21518</c:v>
                </c:pt>
                <c:pt idx="76">
                  <c:v>114.1275401</c:v>
                </c:pt>
                <c:pt idx="77">
                  <c:v>126.9470365</c:v>
                </c:pt>
                <c:pt idx="78">
                  <c:v>109.0251016</c:v>
                </c:pt>
                <c:pt idx="79">
                  <c:v>121.00878899999999</c:v>
                </c:pt>
                <c:pt idx="80">
                  <c:v>121.00878899999999</c:v>
                </c:pt>
                <c:pt idx="81">
                  <c:v>115.2898797</c:v>
                </c:pt>
                <c:pt idx="82">
                  <c:v>116.4455014</c:v>
                </c:pt>
                <c:pt idx="83">
                  <c:v>121.00878899999999</c:v>
                </c:pt>
                <c:pt idx="84">
                  <c:v>107.0292163</c:v>
                </c:pt>
                <c:pt idx="85">
                  <c:v>126.9407683</c:v>
                </c:pt>
                <c:pt idx="86">
                  <c:v>110.21295859999999</c:v>
                </c:pt>
                <c:pt idx="87">
                  <c:v>112.1752807</c:v>
                </c:pt>
                <c:pt idx="88">
                  <c:v>112.1752807</c:v>
                </c:pt>
                <c:pt idx="89">
                  <c:v>110.9974619</c:v>
                </c:pt>
                <c:pt idx="90">
                  <c:v>119.87671349999999</c:v>
                </c:pt>
                <c:pt idx="91">
                  <c:v>114.8986831</c:v>
                </c:pt>
                <c:pt idx="92">
                  <c:v>110.9974619</c:v>
                </c:pt>
                <c:pt idx="93">
                  <c:v>109.01829240000001</c:v>
                </c:pt>
                <c:pt idx="94">
                  <c:v>107.8236938</c:v>
                </c:pt>
                <c:pt idx="95">
                  <c:v>113.3477233</c:v>
                </c:pt>
                <c:pt idx="96">
                  <c:v>116.4455014</c:v>
                </c:pt>
                <c:pt idx="97">
                  <c:v>111.7853645</c:v>
                </c:pt>
                <c:pt idx="98">
                  <c:v>109.0251016</c:v>
                </c:pt>
                <c:pt idx="99">
                  <c:v>103.3988808</c:v>
                </c:pt>
                <c:pt idx="100">
                  <c:v>107.0292163</c:v>
                </c:pt>
                <c:pt idx="101">
                  <c:v>110.60554279999999</c:v>
                </c:pt>
                <c:pt idx="102">
                  <c:v>104.61473460000001</c:v>
                </c:pt>
                <c:pt idx="103">
                  <c:v>107.8305381</c:v>
                </c:pt>
                <c:pt idx="104">
                  <c:v>99.304680700000006</c:v>
                </c:pt>
                <c:pt idx="105">
                  <c:v>104.61473460000001</c:v>
                </c:pt>
                <c:pt idx="106">
                  <c:v>104.61473460000001</c:v>
                </c:pt>
                <c:pt idx="107">
                  <c:v>102.5822131</c:v>
                </c:pt>
                <c:pt idx="108">
                  <c:v>110.9974619</c:v>
                </c:pt>
                <c:pt idx="109">
                  <c:v>105.0166174</c:v>
                </c:pt>
                <c:pt idx="110">
                  <c:v>98.474887140000007</c:v>
                </c:pt>
                <c:pt idx="111">
                  <c:v>102.5822131</c:v>
                </c:pt>
                <c:pt idx="112">
                  <c:v>98.062569339999996</c:v>
                </c:pt>
                <c:pt idx="113">
                  <c:v>98.474887140000007</c:v>
                </c:pt>
                <c:pt idx="114">
                  <c:v>98.474887140000007</c:v>
                </c:pt>
                <c:pt idx="115">
                  <c:v>93.038532979999999</c:v>
                </c:pt>
                <c:pt idx="116">
                  <c:v>91.767774239999994</c:v>
                </c:pt>
                <c:pt idx="117">
                  <c:v>96.393321510000007</c:v>
                </c:pt>
                <c:pt idx="118">
                  <c:v>105.0166174</c:v>
                </c:pt>
                <c:pt idx="119">
                  <c:v>108.2271172</c:v>
                </c:pt>
                <c:pt idx="120">
                  <c:v>97.229596529999995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AA-49E3-87E9-CE54213D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 time series'!$CK$3:$CK$123</c:f>
              <c:numCache>
                <c:formatCode>m/d/yyyy\ h:mm</c:formatCode>
                <c:ptCount val="121"/>
                <c:pt idx="0">
                  <c:v>45049.25</c:v>
                </c:pt>
                <c:pt idx="1">
                  <c:v>45049.260416666664</c:v>
                </c:pt>
                <c:pt idx="2">
                  <c:v>45049.270833333336</c:v>
                </c:pt>
                <c:pt idx="3">
                  <c:v>45049.28125</c:v>
                </c:pt>
                <c:pt idx="4">
                  <c:v>45049.291666666664</c:v>
                </c:pt>
                <c:pt idx="5">
                  <c:v>45049.302083333336</c:v>
                </c:pt>
                <c:pt idx="6">
                  <c:v>45049.3125</c:v>
                </c:pt>
                <c:pt idx="7">
                  <c:v>45049.322916666664</c:v>
                </c:pt>
                <c:pt idx="8">
                  <c:v>45049.333333333336</c:v>
                </c:pt>
                <c:pt idx="9">
                  <c:v>45049.34375</c:v>
                </c:pt>
                <c:pt idx="10">
                  <c:v>45049.354166666664</c:v>
                </c:pt>
                <c:pt idx="11">
                  <c:v>45049.364583333336</c:v>
                </c:pt>
                <c:pt idx="12">
                  <c:v>45049.375</c:v>
                </c:pt>
                <c:pt idx="13">
                  <c:v>45049.385416666664</c:v>
                </c:pt>
                <c:pt idx="14">
                  <c:v>45049.395833333336</c:v>
                </c:pt>
                <c:pt idx="15">
                  <c:v>45049.40625</c:v>
                </c:pt>
                <c:pt idx="16">
                  <c:v>45049.416666666664</c:v>
                </c:pt>
                <c:pt idx="17">
                  <c:v>45049.427083333336</c:v>
                </c:pt>
                <c:pt idx="18">
                  <c:v>45049.4375</c:v>
                </c:pt>
                <c:pt idx="19">
                  <c:v>45049.447916666664</c:v>
                </c:pt>
                <c:pt idx="20">
                  <c:v>45049.458333333336</c:v>
                </c:pt>
                <c:pt idx="21">
                  <c:v>45049.46875</c:v>
                </c:pt>
                <c:pt idx="22">
                  <c:v>45049.479166666664</c:v>
                </c:pt>
                <c:pt idx="23">
                  <c:v>45049.489583333336</c:v>
                </c:pt>
                <c:pt idx="24">
                  <c:v>45049.5</c:v>
                </c:pt>
                <c:pt idx="25">
                  <c:v>45049.510416666664</c:v>
                </c:pt>
                <c:pt idx="26">
                  <c:v>45049.520833333336</c:v>
                </c:pt>
                <c:pt idx="27">
                  <c:v>45049.53125</c:v>
                </c:pt>
                <c:pt idx="28">
                  <c:v>45049.541666666664</c:v>
                </c:pt>
                <c:pt idx="29">
                  <c:v>45049.552083333336</c:v>
                </c:pt>
                <c:pt idx="30">
                  <c:v>45049.5625</c:v>
                </c:pt>
                <c:pt idx="31">
                  <c:v>45049.572916666664</c:v>
                </c:pt>
                <c:pt idx="32">
                  <c:v>45049.583333333336</c:v>
                </c:pt>
                <c:pt idx="33">
                  <c:v>45049.59375</c:v>
                </c:pt>
                <c:pt idx="34">
                  <c:v>45049.604166666664</c:v>
                </c:pt>
                <c:pt idx="35">
                  <c:v>45049.614583333336</c:v>
                </c:pt>
                <c:pt idx="36">
                  <c:v>45049.625</c:v>
                </c:pt>
                <c:pt idx="37">
                  <c:v>45049.635416666664</c:v>
                </c:pt>
                <c:pt idx="38">
                  <c:v>45049.645833333336</c:v>
                </c:pt>
                <c:pt idx="39">
                  <c:v>45049.65625</c:v>
                </c:pt>
                <c:pt idx="40">
                  <c:v>45049.666666666664</c:v>
                </c:pt>
                <c:pt idx="41">
                  <c:v>45049.677083333336</c:v>
                </c:pt>
                <c:pt idx="42">
                  <c:v>45049.6875</c:v>
                </c:pt>
                <c:pt idx="43">
                  <c:v>45049.697916666664</c:v>
                </c:pt>
                <c:pt idx="44">
                  <c:v>45049.708333333336</c:v>
                </c:pt>
                <c:pt idx="45">
                  <c:v>45049.71875</c:v>
                </c:pt>
                <c:pt idx="46">
                  <c:v>45049.729166666664</c:v>
                </c:pt>
                <c:pt idx="47">
                  <c:v>45049.739583333336</c:v>
                </c:pt>
                <c:pt idx="48">
                  <c:v>45049.75</c:v>
                </c:pt>
                <c:pt idx="49">
                  <c:v>45049.760416666664</c:v>
                </c:pt>
                <c:pt idx="50">
                  <c:v>45049.770833333336</c:v>
                </c:pt>
                <c:pt idx="51">
                  <c:v>45049.78125</c:v>
                </c:pt>
                <c:pt idx="52">
                  <c:v>45049.791666666664</c:v>
                </c:pt>
                <c:pt idx="53">
                  <c:v>45049.802083333336</c:v>
                </c:pt>
                <c:pt idx="54">
                  <c:v>45049.8125</c:v>
                </c:pt>
                <c:pt idx="55">
                  <c:v>45049.822916666664</c:v>
                </c:pt>
                <c:pt idx="56">
                  <c:v>45049.833333333336</c:v>
                </c:pt>
                <c:pt idx="57">
                  <c:v>45049.84375</c:v>
                </c:pt>
                <c:pt idx="58">
                  <c:v>45049.854166666664</c:v>
                </c:pt>
                <c:pt idx="59">
                  <c:v>45049.864583333336</c:v>
                </c:pt>
                <c:pt idx="60">
                  <c:v>45049.875</c:v>
                </c:pt>
                <c:pt idx="61">
                  <c:v>45049.885416666664</c:v>
                </c:pt>
                <c:pt idx="62">
                  <c:v>45049.895833333336</c:v>
                </c:pt>
                <c:pt idx="63">
                  <c:v>45049.90625</c:v>
                </c:pt>
                <c:pt idx="64">
                  <c:v>45049.916666666664</c:v>
                </c:pt>
                <c:pt idx="65">
                  <c:v>45049.927083333336</c:v>
                </c:pt>
                <c:pt idx="66">
                  <c:v>45049.9375</c:v>
                </c:pt>
                <c:pt idx="67">
                  <c:v>45049.947916666664</c:v>
                </c:pt>
                <c:pt idx="68">
                  <c:v>45049.958333333336</c:v>
                </c:pt>
                <c:pt idx="69">
                  <c:v>45049.96875</c:v>
                </c:pt>
                <c:pt idx="70">
                  <c:v>45049.979166666664</c:v>
                </c:pt>
                <c:pt idx="71">
                  <c:v>45049.989583333336</c:v>
                </c:pt>
                <c:pt idx="72">
                  <c:v>45050</c:v>
                </c:pt>
                <c:pt idx="73">
                  <c:v>45050.010416666664</c:v>
                </c:pt>
                <c:pt idx="74">
                  <c:v>45050.020833333336</c:v>
                </c:pt>
                <c:pt idx="75">
                  <c:v>45050.03125</c:v>
                </c:pt>
                <c:pt idx="76">
                  <c:v>45050.041666666664</c:v>
                </c:pt>
                <c:pt idx="77">
                  <c:v>45050.052083333336</c:v>
                </c:pt>
                <c:pt idx="78">
                  <c:v>45050.0625</c:v>
                </c:pt>
                <c:pt idx="79">
                  <c:v>45050.072916666664</c:v>
                </c:pt>
                <c:pt idx="80">
                  <c:v>45050.083333333336</c:v>
                </c:pt>
                <c:pt idx="81">
                  <c:v>45050.09375</c:v>
                </c:pt>
                <c:pt idx="82">
                  <c:v>45050.104166666664</c:v>
                </c:pt>
                <c:pt idx="83">
                  <c:v>45050.114583333336</c:v>
                </c:pt>
                <c:pt idx="84">
                  <c:v>45050.125</c:v>
                </c:pt>
                <c:pt idx="85">
                  <c:v>45050.135416666664</c:v>
                </c:pt>
                <c:pt idx="86">
                  <c:v>45050.145833333336</c:v>
                </c:pt>
                <c:pt idx="87">
                  <c:v>45050.15625</c:v>
                </c:pt>
                <c:pt idx="88">
                  <c:v>45050.166666666664</c:v>
                </c:pt>
                <c:pt idx="89">
                  <c:v>45050.177083333336</c:v>
                </c:pt>
                <c:pt idx="90">
                  <c:v>45050.1875</c:v>
                </c:pt>
                <c:pt idx="91">
                  <c:v>45050.197916666664</c:v>
                </c:pt>
                <c:pt idx="92">
                  <c:v>45050.208333333336</c:v>
                </c:pt>
                <c:pt idx="93">
                  <c:v>45050.21875</c:v>
                </c:pt>
                <c:pt idx="94">
                  <c:v>45050.229166666664</c:v>
                </c:pt>
                <c:pt idx="95">
                  <c:v>45050.239583333336</c:v>
                </c:pt>
                <c:pt idx="96">
                  <c:v>45050.25</c:v>
                </c:pt>
                <c:pt idx="97">
                  <c:v>45050.260416666664</c:v>
                </c:pt>
                <c:pt idx="98">
                  <c:v>45050.270833333336</c:v>
                </c:pt>
                <c:pt idx="99">
                  <c:v>45050.28125</c:v>
                </c:pt>
                <c:pt idx="100">
                  <c:v>45050.291666666664</c:v>
                </c:pt>
                <c:pt idx="101">
                  <c:v>45050.302083333336</c:v>
                </c:pt>
                <c:pt idx="102">
                  <c:v>45050.3125</c:v>
                </c:pt>
                <c:pt idx="103">
                  <c:v>45050.322916666664</c:v>
                </c:pt>
                <c:pt idx="104">
                  <c:v>45050.333333333336</c:v>
                </c:pt>
                <c:pt idx="105">
                  <c:v>45050.34375</c:v>
                </c:pt>
                <c:pt idx="106">
                  <c:v>45050.354166666664</c:v>
                </c:pt>
                <c:pt idx="107">
                  <c:v>45050.364583333336</c:v>
                </c:pt>
                <c:pt idx="108">
                  <c:v>45050.375</c:v>
                </c:pt>
                <c:pt idx="109">
                  <c:v>45050.385416666664</c:v>
                </c:pt>
                <c:pt idx="110">
                  <c:v>45050.395833333336</c:v>
                </c:pt>
                <c:pt idx="111">
                  <c:v>45050.40625</c:v>
                </c:pt>
                <c:pt idx="112">
                  <c:v>45050.416666666664</c:v>
                </c:pt>
                <c:pt idx="113">
                  <c:v>45050.427083333336</c:v>
                </c:pt>
                <c:pt idx="114">
                  <c:v>45050.4375</c:v>
                </c:pt>
                <c:pt idx="115">
                  <c:v>45050.447916666664</c:v>
                </c:pt>
                <c:pt idx="116">
                  <c:v>45050.458333333336</c:v>
                </c:pt>
                <c:pt idx="117">
                  <c:v>45050.46875</c:v>
                </c:pt>
                <c:pt idx="118">
                  <c:v>45050.479166666664</c:v>
                </c:pt>
                <c:pt idx="119">
                  <c:v>45050.489583333336</c:v>
                </c:pt>
                <c:pt idx="120">
                  <c:v>45050.5</c:v>
                </c:pt>
              </c:numCache>
            </c:numRef>
          </c:xVal>
          <c:yVal>
            <c:numRef>
              <c:f>'storm time series'!$CQ$5:$CQ$123</c:f>
              <c:numCache>
                <c:formatCode>0.00</c:formatCode>
                <c:ptCount val="119"/>
                <c:pt idx="0">
                  <c:v>83.523005505687152</c:v>
                </c:pt>
                <c:pt idx="1">
                  <c:v>82.954527517052853</c:v>
                </c:pt>
                <c:pt idx="2">
                  <c:v>86.924342915009575</c:v>
                </c:pt>
                <c:pt idx="3">
                  <c:v>84.623799863901397</c:v>
                </c:pt>
                <c:pt idx="4">
                  <c:v>84.036829210087575</c:v>
                </c:pt>
                <c:pt idx="5">
                  <c:v>88.279772023546002</c:v>
                </c:pt>
                <c:pt idx="6">
                  <c:v>84.964427348275436</c:v>
                </c:pt>
                <c:pt idx="7">
                  <c:v>84.932677515374522</c:v>
                </c:pt>
                <c:pt idx="8">
                  <c:v>86.733453598336567</c:v>
                </c:pt>
                <c:pt idx="9">
                  <c:v>86.574117555919557</c:v>
                </c:pt>
                <c:pt idx="10">
                  <c:v>88.937734804526301</c:v>
                </c:pt>
                <c:pt idx="11">
                  <c:v>83.11655176203422</c:v>
                </c:pt>
                <c:pt idx="12">
                  <c:v>86.87387478800278</c:v>
                </c:pt>
                <c:pt idx="13">
                  <c:v>83.751907285775872</c:v>
                </c:pt>
                <c:pt idx="14">
                  <c:v>91.866079568496914</c:v>
                </c:pt>
                <c:pt idx="15">
                  <c:v>88.971741236145789</c:v>
                </c:pt>
                <c:pt idx="16">
                  <c:v>85.692227206089811</c:v>
                </c:pt>
                <c:pt idx="17">
                  <c:v>86.883313214061388</c:v>
                </c:pt>
                <c:pt idx="18">
                  <c:v>86.317909340186262</c:v>
                </c:pt>
                <c:pt idx="19">
                  <c:v>84.5992452289033</c:v>
                </c:pt>
                <c:pt idx="20">
                  <c:v>82.983317404170393</c:v>
                </c:pt>
                <c:pt idx="21">
                  <c:v>85.562727323064166</c:v>
                </c:pt>
                <c:pt idx="22">
                  <c:v>88.245923622620822</c:v>
                </c:pt>
                <c:pt idx="23">
                  <c:v>84.878020705486136</c:v>
                </c:pt>
                <c:pt idx="24">
                  <c:v>84.461416497852568</c:v>
                </c:pt>
                <c:pt idx="25">
                  <c:v>85.360661814628742</c:v>
                </c:pt>
                <c:pt idx="26">
                  <c:v>83.134167282996387</c:v>
                </c:pt>
                <c:pt idx="27">
                  <c:v>86.774959029769491</c:v>
                </c:pt>
                <c:pt idx="28">
                  <c:v>84.573887832164203</c:v>
                </c:pt>
                <c:pt idx="29">
                  <c:v>84.848765407419762</c:v>
                </c:pt>
                <c:pt idx="30">
                  <c:v>86.285521859634741</c:v>
                </c:pt>
                <c:pt idx="31">
                  <c:v>86.128698986913051</c:v>
                </c:pt>
                <c:pt idx="32">
                  <c:v>85.697232722978967</c:v>
                </c:pt>
                <c:pt idx="33">
                  <c:v>86.230439195638269</c:v>
                </c:pt>
                <c:pt idx="34">
                  <c:v>84.782077882760689</c:v>
                </c:pt>
                <c:pt idx="35">
                  <c:v>84.440930421910934</c:v>
                </c:pt>
                <c:pt idx="36">
                  <c:v>87.998057215811713</c:v>
                </c:pt>
                <c:pt idx="37">
                  <c:v>84.258224306674776</c:v>
                </c:pt>
                <c:pt idx="38">
                  <c:v>82.879583620842681</c:v>
                </c:pt>
                <c:pt idx="39">
                  <c:v>83.462807818498561</c:v>
                </c:pt>
                <c:pt idx="40">
                  <c:v>103.70112832820597</c:v>
                </c:pt>
                <c:pt idx="41">
                  <c:v>87.413343389784544</c:v>
                </c:pt>
                <c:pt idx="42">
                  <c:v>88.659819687119949</c:v>
                </c:pt>
                <c:pt idx="43">
                  <c:v>92.738042042116604</c:v>
                </c:pt>
                <c:pt idx="44">
                  <c:v>88.085287232976739</c:v>
                </c:pt>
                <c:pt idx="45">
                  <c:v>85.186496090273181</c:v>
                </c:pt>
                <c:pt idx="46">
                  <c:v>92.289265097919056</c:v>
                </c:pt>
                <c:pt idx="47">
                  <c:v>85.557095819920633</c:v>
                </c:pt>
                <c:pt idx="48">
                  <c:v>89.512327251925768</c:v>
                </c:pt>
                <c:pt idx="49">
                  <c:v>87.081786271634414</c:v>
                </c:pt>
                <c:pt idx="50">
                  <c:v>88.187648190619555</c:v>
                </c:pt>
                <c:pt idx="51">
                  <c:v>90.716046352012157</c:v>
                </c:pt>
                <c:pt idx="52">
                  <c:v>87.047536303459367</c:v>
                </c:pt>
                <c:pt idx="53">
                  <c:v>87.451273510574211</c:v>
                </c:pt>
                <c:pt idx="54">
                  <c:v>89.105049150463373</c:v>
                </c:pt>
                <c:pt idx="55">
                  <c:v>89.231906494615046</c:v>
                </c:pt>
                <c:pt idx="56">
                  <c:v>86.555065178774925</c:v>
                </c:pt>
                <c:pt idx="57">
                  <c:v>85.489516476400496</c:v>
                </c:pt>
                <c:pt idx="58">
                  <c:v>95.8079973303809</c:v>
                </c:pt>
                <c:pt idx="59">
                  <c:v>87.783796153347112</c:v>
                </c:pt>
                <c:pt idx="60">
                  <c:v>85.216566503490611</c:v>
                </c:pt>
                <c:pt idx="61">
                  <c:v>92.624998581066876</c:v>
                </c:pt>
                <c:pt idx="62">
                  <c:v>87.920299972711945</c:v>
                </c:pt>
                <c:pt idx="63">
                  <c:v>88.120223356293181</c:v>
                </c:pt>
                <c:pt idx="64">
                  <c:v>90.57936026552936</c:v>
                </c:pt>
                <c:pt idx="65">
                  <c:v>90.063124525809016</c:v>
                </c:pt>
                <c:pt idx="66">
                  <c:v>92.040017565469995</c:v>
                </c:pt>
                <c:pt idx="67">
                  <c:v>91.073940073060001</c:v>
                </c:pt>
                <c:pt idx="68">
                  <c:v>94.392825777035952</c:v>
                </c:pt>
                <c:pt idx="69">
                  <c:v>93.551180427614469</c:v>
                </c:pt>
                <c:pt idx="70">
                  <c:v>87.92030913959195</c:v>
                </c:pt>
                <c:pt idx="71">
                  <c:v>87.853163050649044</c:v>
                </c:pt>
                <c:pt idx="72">
                  <c:v>86.777725968269067</c:v>
                </c:pt>
                <c:pt idx="73">
                  <c:v>96.052853776553491</c:v>
                </c:pt>
                <c:pt idx="74">
                  <c:v>88.194344517051206</c:v>
                </c:pt>
                <c:pt idx="75">
                  <c:v>88.267561423481752</c:v>
                </c:pt>
                <c:pt idx="76">
                  <c:v>95.420102740724602</c:v>
                </c:pt>
                <c:pt idx="77">
                  <c:v>96.877885704632021</c:v>
                </c:pt>
                <c:pt idx="78">
                  <c:v>94.212988019585723</c:v>
                </c:pt>
                <c:pt idx="79">
                  <c:v>91.173411789432905</c:v>
                </c:pt>
                <c:pt idx="80">
                  <c:v>89.268768119002431</c:v>
                </c:pt>
                <c:pt idx="81">
                  <c:v>93.300735956107616</c:v>
                </c:pt>
                <c:pt idx="82">
                  <c:v>95.060410526419005</c:v>
                </c:pt>
                <c:pt idx="83">
                  <c:v>91.763460173469042</c:v>
                </c:pt>
                <c:pt idx="84">
                  <c:v>93.264473810135769</c:v>
                </c:pt>
                <c:pt idx="85">
                  <c:v>91.291577840830925</c:v>
                </c:pt>
                <c:pt idx="86">
                  <c:v>86.959201589168842</c:v>
                </c:pt>
                <c:pt idx="87">
                  <c:v>89.762699997201636</c:v>
                </c:pt>
                <c:pt idx="88">
                  <c:v>100.2984509805308</c:v>
                </c:pt>
                <c:pt idx="89">
                  <c:v>93.952978659316784</c:v>
                </c:pt>
                <c:pt idx="90">
                  <c:v>101.1268328041553</c:v>
                </c:pt>
                <c:pt idx="91">
                  <c:v>88.616836602522028</c:v>
                </c:pt>
                <c:pt idx="92">
                  <c:v>89.705357283736475</c:v>
                </c:pt>
                <c:pt idx="93">
                  <c:v>93.074359240155488</c:v>
                </c:pt>
                <c:pt idx="94">
                  <c:v>91.746897928617159</c:v>
                </c:pt>
                <c:pt idx="95">
                  <c:v>97.30775138187532</c:v>
                </c:pt>
                <c:pt idx="96">
                  <c:v>90.085040933887186</c:v>
                </c:pt>
                <c:pt idx="97">
                  <c:v>97.607096808186895</c:v>
                </c:pt>
                <c:pt idx="98">
                  <c:v>97.846410091869757</c:v>
                </c:pt>
                <c:pt idx="99">
                  <c:v>91.094451698623004</c:v>
                </c:pt>
                <c:pt idx="100">
                  <c:v>93.28518052938378</c:v>
                </c:pt>
                <c:pt idx="101">
                  <c:v>92.786252654080201</c:v>
                </c:pt>
                <c:pt idx="102">
                  <c:v>88.621318548832164</c:v>
                </c:pt>
                <c:pt idx="103">
                  <c:v>103.09708548977393</c:v>
                </c:pt>
                <c:pt idx="104">
                  <c:v>92.615651468621266</c:v>
                </c:pt>
                <c:pt idx="105">
                  <c:v>91.747886877796134</c:v>
                </c:pt>
                <c:pt idx="106">
                  <c:v>96.127745698223791</c:v>
                </c:pt>
                <c:pt idx="107">
                  <c:v>98.353244881638545</c:v>
                </c:pt>
                <c:pt idx="108">
                  <c:v>103.82288506491871</c:v>
                </c:pt>
                <c:pt idx="109">
                  <c:v>98.873955801959596</c:v>
                </c:pt>
                <c:pt idx="110">
                  <c:v>109.984122680624</c:v>
                </c:pt>
                <c:pt idx="111">
                  <c:v>102.02483127705305</c:v>
                </c:pt>
                <c:pt idx="112">
                  <c:v>95.183479650137087</c:v>
                </c:pt>
                <c:pt idx="113">
                  <c:v>105.90439703700785</c:v>
                </c:pt>
                <c:pt idx="114">
                  <c:v>100.72020683221007</c:v>
                </c:pt>
                <c:pt idx="115">
                  <c:v>99.501033529171536</c:v>
                </c:pt>
                <c:pt idx="116">
                  <c:v>95.033244496914804</c:v>
                </c:pt>
                <c:pt idx="117">
                  <c:v>94.158482374515629</c:v>
                </c:pt>
                <c:pt idx="118">
                  <c:v>104.23689686956476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AA-49E3-87E9-CE54213D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Event 4 -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 time series'!$CS$3:$CS$120</c:f>
              <c:numCache>
                <c:formatCode>m/d/yyyy\ h:mm</c:formatCode>
                <c:ptCount val="118"/>
                <c:pt idx="0">
                  <c:v>45050.510416666664</c:v>
                </c:pt>
                <c:pt idx="1">
                  <c:v>45050.520833333336</c:v>
                </c:pt>
                <c:pt idx="2">
                  <c:v>45050.53125</c:v>
                </c:pt>
                <c:pt idx="3">
                  <c:v>45050.541666666664</c:v>
                </c:pt>
                <c:pt idx="4">
                  <c:v>45050.552083333336</c:v>
                </c:pt>
                <c:pt idx="5">
                  <c:v>45050.5625</c:v>
                </c:pt>
                <c:pt idx="6">
                  <c:v>45050.572916666664</c:v>
                </c:pt>
                <c:pt idx="7">
                  <c:v>45050.583333333336</c:v>
                </c:pt>
                <c:pt idx="8">
                  <c:v>45050.59375</c:v>
                </c:pt>
                <c:pt idx="9">
                  <c:v>45050.604166666664</c:v>
                </c:pt>
                <c:pt idx="10">
                  <c:v>45050.614583333336</c:v>
                </c:pt>
                <c:pt idx="11">
                  <c:v>45050.625</c:v>
                </c:pt>
                <c:pt idx="12">
                  <c:v>45050.635416666664</c:v>
                </c:pt>
                <c:pt idx="13">
                  <c:v>45050.645833333336</c:v>
                </c:pt>
                <c:pt idx="14">
                  <c:v>45050.65625</c:v>
                </c:pt>
                <c:pt idx="15">
                  <c:v>45050.666666666664</c:v>
                </c:pt>
                <c:pt idx="16">
                  <c:v>45050.677083333336</c:v>
                </c:pt>
                <c:pt idx="17">
                  <c:v>45050.6875</c:v>
                </c:pt>
                <c:pt idx="18">
                  <c:v>45050.697916666664</c:v>
                </c:pt>
                <c:pt idx="19">
                  <c:v>45050.708333333336</c:v>
                </c:pt>
                <c:pt idx="20">
                  <c:v>45050.71875</c:v>
                </c:pt>
                <c:pt idx="21">
                  <c:v>45050.729166666664</c:v>
                </c:pt>
                <c:pt idx="22">
                  <c:v>45050.739583333336</c:v>
                </c:pt>
                <c:pt idx="23">
                  <c:v>45050.75</c:v>
                </c:pt>
                <c:pt idx="24">
                  <c:v>45050.760416666664</c:v>
                </c:pt>
                <c:pt idx="25">
                  <c:v>45050.770833333336</c:v>
                </c:pt>
                <c:pt idx="26">
                  <c:v>45050.78125</c:v>
                </c:pt>
                <c:pt idx="27">
                  <c:v>45050.791666666664</c:v>
                </c:pt>
                <c:pt idx="28">
                  <c:v>45050.802083333336</c:v>
                </c:pt>
                <c:pt idx="29">
                  <c:v>45050.8125</c:v>
                </c:pt>
                <c:pt idx="30">
                  <c:v>45050.822916666664</c:v>
                </c:pt>
                <c:pt idx="31">
                  <c:v>45050.833333333336</c:v>
                </c:pt>
                <c:pt idx="32">
                  <c:v>45050.84375</c:v>
                </c:pt>
                <c:pt idx="33">
                  <c:v>45050.854166666664</c:v>
                </c:pt>
                <c:pt idx="34">
                  <c:v>45050.864583333336</c:v>
                </c:pt>
                <c:pt idx="35">
                  <c:v>45050.875</c:v>
                </c:pt>
                <c:pt idx="36">
                  <c:v>45050.885416666664</c:v>
                </c:pt>
                <c:pt idx="37">
                  <c:v>45050.895833333336</c:v>
                </c:pt>
                <c:pt idx="38">
                  <c:v>45050.90625</c:v>
                </c:pt>
                <c:pt idx="39">
                  <c:v>45050.916666666664</c:v>
                </c:pt>
                <c:pt idx="40">
                  <c:v>45050.927083333336</c:v>
                </c:pt>
                <c:pt idx="41">
                  <c:v>45050.9375</c:v>
                </c:pt>
                <c:pt idx="42">
                  <c:v>45050.947916666664</c:v>
                </c:pt>
                <c:pt idx="43">
                  <c:v>45050.958333333336</c:v>
                </c:pt>
                <c:pt idx="44">
                  <c:v>45050.96875</c:v>
                </c:pt>
                <c:pt idx="45">
                  <c:v>45050.979166666664</c:v>
                </c:pt>
                <c:pt idx="46">
                  <c:v>45050.989583333336</c:v>
                </c:pt>
                <c:pt idx="47">
                  <c:v>45051</c:v>
                </c:pt>
                <c:pt idx="48">
                  <c:v>45051.010416666664</c:v>
                </c:pt>
                <c:pt idx="49">
                  <c:v>45051.020833333336</c:v>
                </c:pt>
                <c:pt idx="50">
                  <c:v>45051.03125</c:v>
                </c:pt>
                <c:pt idx="51">
                  <c:v>45051.041666666664</c:v>
                </c:pt>
                <c:pt idx="52">
                  <c:v>45051.052083333336</c:v>
                </c:pt>
                <c:pt idx="53">
                  <c:v>45051.0625</c:v>
                </c:pt>
                <c:pt idx="54">
                  <c:v>45051.072916666664</c:v>
                </c:pt>
                <c:pt idx="55">
                  <c:v>45051.083333333336</c:v>
                </c:pt>
                <c:pt idx="56">
                  <c:v>45051.09375</c:v>
                </c:pt>
                <c:pt idx="57">
                  <c:v>45051.104166666664</c:v>
                </c:pt>
                <c:pt idx="58">
                  <c:v>45051.114583333336</c:v>
                </c:pt>
                <c:pt idx="59">
                  <c:v>45051.125</c:v>
                </c:pt>
                <c:pt idx="60">
                  <c:v>45051.135416666664</c:v>
                </c:pt>
                <c:pt idx="61">
                  <c:v>45051.145833333336</c:v>
                </c:pt>
                <c:pt idx="62">
                  <c:v>45051.15625</c:v>
                </c:pt>
                <c:pt idx="63">
                  <c:v>45051.166666666664</c:v>
                </c:pt>
                <c:pt idx="64">
                  <c:v>45051.177083333336</c:v>
                </c:pt>
                <c:pt idx="65">
                  <c:v>45051.1875</c:v>
                </c:pt>
                <c:pt idx="66">
                  <c:v>45051.197916666664</c:v>
                </c:pt>
                <c:pt idx="67">
                  <c:v>45051.208333333336</c:v>
                </c:pt>
                <c:pt idx="68">
                  <c:v>45051.21875</c:v>
                </c:pt>
                <c:pt idx="69">
                  <c:v>45051.229166666664</c:v>
                </c:pt>
                <c:pt idx="70">
                  <c:v>45051.239583333336</c:v>
                </c:pt>
                <c:pt idx="71">
                  <c:v>45051.25</c:v>
                </c:pt>
                <c:pt idx="72">
                  <c:v>45051.260416666664</c:v>
                </c:pt>
                <c:pt idx="73">
                  <c:v>45051.270833333336</c:v>
                </c:pt>
                <c:pt idx="74">
                  <c:v>45051.28125</c:v>
                </c:pt>
                <c:pt idx="75">
                  <c:v>45051.291666666664</c:v>
                </c:pt>
                <c:pt idx="76">
                  <c:v>45051.302083333336</c:v>
                </c:pt>
                <c:pt idx="77">
                  <c:v>45051.3125</c:v>
                </c:pt>
                <c:pt idx="78">
                  <c:v>45051.322916666664</c:v>
                </c:pt>
                <c:pt idx="79">
                  <c:v>45051.333333333336</c:v>
                </c:pt>
                <c:pt idx="80">
                  <c:v>45051.34375</c:v>
                </c:pt>
                <c:pt idx="81">
                  <c:v>45051.354166666664</c:v>
                </c:pt>
                <c:pt idx="82">
                  <c:v>45051.364583333336</c:v>
                </c:pt>
                <c:pt idx="83">
                  <c:v>45051.375</c:v>
                </c:pt>
                <c:pt idx="84">
                  <c:v>45051.385416666664</c:v>
                </c:pt>
                <c:pt idx="85">
                  <c:v>45051.395833333336</c:v>
                </c:pt>
                <c:pt idx="86">
                  <c:v>45051.40625</c:v>
                </c:pt>
                <c:pt idx="87">
                  <c:v>45051.416666666664</c:v>
                </c:pt>
                <c:pt idx="88">
                  <c:v>45051.427083333336</c:v>
                </c:pt>
                <c:pt idx="89">
                  <c:v>45051.4375</c:v>
                </c:pt>
                <c:pt idx="90">
                  <c:v>45051.447916666664</c:v>
                </c:pt>
                <c:pt idx="91">
                  <c:v>45051.458333333336</c:v>
                </c:pt>
                <c:pt idx="92">
                  <c:v>45051.46875</c:v>
                </c:pt>
                <c:pt idx="93">
                  <c:v>45051.479166666664</c:v>
                </c:pt>
                <c:pt idx="94">
                  <c:v>45051.489583333336</c:v>
                </c:pt>
                <c:pt idx="95">
                  <c:v>45051.5</c:v>
                </c:pt>
                <c:pt idx="96">
                  <c:v>45051.510416666664</c:v>
                </c:pt>
                <c:pt idx="97">
                  <c:v>45051.520833333336</c:v>
                </c:pt>
                <c:pt idx="98">
                  <c:v>45051.53125</c:v>
                </c:pt>
                <c:pt idx="99">
                  <c:v>45051.541666666664</c:v>
                </c:pt>
                <c:pt idx="100">
                  <c:v>45051.552083333336</c:v>
                </c:pt>
                <c:pt idx="101">
                  <c:v>45051.5625</c:v>
                </c:pt>
                <c:pt idx="102">
                  <c:v>45051.572916666664</c:v>
                </c:pt>
                <c:pt idx="103">
                  <c:v>45051.583333333336</c:v>
                </c:pt>
                <c:pt idx="104">
                  <c:v>45051.59375</c:v>
                </c:pt>
                <c:pt idx="105">
                  <c:v>45051.604166666664</c:v>
                </c:pt>
                <c:pt idx="106">
                  <c:v>45051.614583333336</c:v>
                </c:pt>
                <c:pt idx="107">
                  <c:v>45051.625</c:v>
                </c:pt>
                <c:pt idx="108">
                  <c:v>45051.635416666664</c:v>
                </c:pt>
                <c:pt idx="109">
                  <c:v>45051.645833333336</c:v>
                </c:pt>
                <c:pt idx="110">
                  <c:v>45051.65625</c:v>
                </c:pt>
                <c:pt idx="111">
                  <c:v>45051.666666666664</c:v>
                </c:pt>
                <c:pt idx="112">
                  <c:v>45051.677083333336</c:v>
                </c:pt>
                <c:pt idx="113">
                  <c:v>45051.6875</c:v>
                </c:pt>
                <c:pt idx="114">
                  <c:v>45051.697916666664</c:v>
                </c:pt>
                <c:pt idx="115">
                  <c:v>45051.708333333336</c:v>
                </c:pt>
                <c:pt idx="116">
                  <c:v>45051.71875</c:v>
                </c:pt>
                <c:pt idx="117">
                  <c:v>45051.729166666664</c:v>
                </c:pt>
              </c:numCache>
            </c:numRef>
          </c:xVal>
          <c:yVal>
            <c:numRef>
              <c:f>'storm time series'!$CU$3:$CU$120</c:f>
              <c:numCache>
                <c:formatCode>0.000</c:formatCode>
                <c:ptCount val="118"/>
                <c:pt idx="0">
                  <c:v>100.5402337</c:v>
                </c:pt>
                <c:pt idx="1">
                  <c:v>96.393321510000007</c:v>
                </c:pt>
                <c:pt idx="2">
                  <c:v>96.400480259999995</c:v>
                </c:pt>
                <c:pt idx="3">
                  <c:v>100.9486689</c:v>
                </c:pt>
                <c:pt idx="4">
                  <c:v>97.649612750000003</c:v>
                </c:pt>
                <c:pt idx="5">
                  <c:v>96.400480259999995</c:v>
                </c:pt>
                <c:pt idx="6">
                  <c:v>97.229596529999995</c:v>
                </c:pt>
                <c:pt idx="7">
                  <c:v>105.42475589999999</c:v>
                </c:pt>
                <c:pt idx="8">
                  <c:v>99.714355679999997</c:v>
                </c:pt>
                <c:pt idx="9">
                  <c:v>97.642487979999999</c:v>
                </c:pt>
                <c:pt idx="10">
                  <c:v>102.9873886</c:v>
                </c:pt>
                <c:pt idx="11">
                  <c:v>103.80204430000001</c:v>
                </c:pt>
                <c:pt idx="12">
                  <c:v>102.9873886</c:v>
                </c:pt>
                <c:pt idx="13">
                  <c:v>104.2121959</c:v>
                </c:pt>
                <c:pt idx="14">
                  <c:v>106.2245245</c:v>
                </c:pt>
                <c:pt idx="15">
                  <c:v>109.4196846</c:v>
                </c:pt>
                <c:pt idx="16">
                  <c:v>102.17638460000001</c:v>
                </c:pt>
                <c:pt idx="17">
                  <c:v>105.0235411</c:v>
                </c:pt>
                <c:pt idx="18">
                  <c:v>109.0251016</c:v>
                </c:pt>
                <c:pt idx="19">
                  <c:v>110.21295859999999</c:v>
                </c:pt>
                <c:pt idx="20">
                  <c:v>118.36070239999999</c:v>
                </c:pt>
                <c:pt idx="21">
                  <c:v>114.1275401</c:v>
                </c:pt>
                <c:pt idx="22">
                  <c:v>108.2271172</c:v>
                </c:pt>
                <c:pt idx="23">
                  <c:v>122.51245830000001</c:v>
                </c:pt>
                <c:pt idx="24">
                  <c:v>123.6297958</c:v>
                </c:pt>
                <c:pt idx="25">
                  <c:v>130.92322350000001</c:v>
                </c:pt>
                <c:pt idx="26">
                  <c:v>126.21229889999999</c:v>
                </c:pt>
                <c:pt idx="27">
                  <c:v>129.12778700000001</c:v>
                </c:pt>
                <c:pt idx="28">
                  <c:v>115.673114</c:v>
                </c:pt>
                <c:pt idx="29">
                  <c:v>129.12778700000001</c:v>
                </c:pt>
                <c:pt idx="30">
                  <c:v>124.3675379</c:v>
                </c:pt>
                <c:pt idx="31">
                  <c:v>114.5134446</c:v>
                </c:pt>
                <c:pt idx="32">
                  <c:v>124.3675379</c:v>
                </c:pt>
                <c:pt idx="33">
                  <c:v>113.3477233</c:v>
                </c:pt>
                <c:pt idx="34">
                  <c:v>114.1275401</c:v>
                </c:pt>
                <c:pt idx="35">
                  <c:v>120.2525852</c:v>
                </c:pt>
                <c:pt idx="36">
                  <c:v>114.8986831</c:v>
                </c:pt>
                <c:pt idx="37">
                  <c:v>114.1275401</c:v>
                </c:pt>
                <c:pt idx="38">
                  <c:v>112.9598134</c:v>
                </c:pt>
                <c:pt idx="39">
                  <c:v>114.1275401</c:v>
                </c:pt>
                <c:pt idx="40">
                  <c:v>113.74097140000001</c:v>
                </c:pt>
                <c:pt idx="41">
                  <c:v>114.1275401</c:v>
                </c:pt>
                <c:pt idx="42">
                  <c:v>107.0292163</c:v>
                </c:pt>
                <c:pt idx="43">
                  <c:v>112.9598134</c:v>
                </c:pt>
                <c:pt idx="44">
                  <c:v>110.9974619</c:v>
                </c:pt>
                <c:pt idx="45">
                  <c:v>107.8305381</c:v>
                </c:pt>
                <c:pt idx="46">
                  <c:v>109.0251016</c:v>
                </c:pt>
                <c:pt idx="47">
                  <c:v>115.2898797</c:v>
                </c:pt>
                <c:pt idx="48">
                  <c:v>104.61473460000001</c:v>
                </c:pt>
                <c:pt idx="49">
                  <c:v>110.9974619</c:v>
                </c:pt>
                <c:pt idx="50">
                  <c:v>103.80204430000001</c:v>
                </c:pt>
                <c:pt idx="51">
                  <c:v>109.0251016</c:v>
                </c:pt>
                <c:pt idx="52">
                  <c:v>109.8129265</c:v>
                </c:pt>
                <c:pt idx="53">
                  <c:v>111.0042136</c:v>
                </c:pt>
                <c:pt idx="54">
                  <c:v>112.9598134</c:v>
                </c:pt>
                <c:pt idx="55">
                  <c:v>109.0251016</c:v>
                </c:pt>
                <c:pt idx="56">
                  <c:v>107.8305381</c:v>
                </c:pt>
                <c:pt idx="57">
                  <c:v>122.1341827</c:v>
                </c:pt>
                <c:pt idx="58">
                  <c:v>105.42475589999999</c:v>
                </c:pt>
                <c:pt idx="59">
                  <c:v>109.8197124</c:v>
                </c:pt>
                <c:pt idx="60">
                  <c:v>99.304680700000006</c:v>
                </c:pt>
                <c:pt idx="61">
                  <c:v>98.474887140000007</c:v>
                </c:pt>
                <c:pt idx="62">
                  <c:v>109.0251016</c:v>
                </c:pt>
                <c:pt idx="63">
                  <c:v>107.0292163</c:v>
                </c:pt>
                <c:pt idx="64">
                  <c:v>101.7699069</c:v>
                </c:pt>
                <c:pt idx="65">
                  <c:v>104.61473460000001</c:v>
                </c:pt>
                <c:pt idx="66">
                  <c:v>107.0292163</c:v>
                </c:pt>
                <c:pt idx="67">
                  <c:v>98.055454810000001</c:v>
                </c:pt>
                <c:pt idx="68">
                  <c:v>100.5402337</c:v>
                </c:pt>
                <c:pt idx="69">
                  <c:v>101.7699069</c:v>
                </c:pt>
                <c:pt idx="70">
                  <c:v>96.808208239999999</c:v>
                </c:pt>
                <c:pt idx="71">
                  <c:v>103.3988808</c:v>
                </c:pt>
                <c:pt idx="72">
                  <c:v>103.3988808</c:v>
                </c:pt>
                <c:pt idx="73">
                  <c:v>105.0235411</c:v>
                </c:pt>
                <c:pt idx="74">
                  <c:v>104.61473460000001</c:v>
                </c:pt>
                <c:pt idx="75">
                  <c:v>94.720978599999995</c:v>
                </c:pt>
                <c:pt idx="76">
                  <c:v>95.138397370000007</c:v>
                </c:pt>
                <c:pt idx="77">
                  <c:v>99.304680700000006</c:v>
                </c:pt>
                <c:pt idx="78">
                  <c:v>95.138397370000007</c:v>
                </c:pt>
                <c:pt idx="79">
                  <c:v>100.5402337</c:v>
                </c:pt>
                <c:pt idx="80">
                  <c:v>107.0292163</c:v>
                </c:pt>
                <c:pt idx="81">
                  <c:v>87.058386479999996</c:v>
                </c:pt>
                <c:pt idx="82">
                  <c:v>97.229596529999995</c:v>
                </c:pt>
                <c:pt idx="83">
                  <c:v>85.762083380000007</c:v>
                </c:pt>
                <c:pt idx="84">
                  <c:v>91.338086169999997</c:v>
                </c:pt>
                <c:pt idx="85">
                  <c:v>90.484855949999996</c:v>
                </c:pt>
                <c:pt idx="86">
                  <c:v>89.635700749999998</c:v>
                </c:pt>
                <c:pt idx="87">
                  <c:v>98.474887140000007</c:v>
                </c:pt>
                <c:pt idx="88">
                  <c:v>93.877037450000003</c:v>
                </c:pt>
                <c:pt idx="89">
                  <c:v>95.977802339999997</c:v>
                </c:pt>
                <c:pt idx="90">
                  <c:v>95.138397370000007</c:v>
                </c:pt>
                <c:pt idx="91">
                  <c:v>97.229596529999995</c:v>
                </c:pt>
                <c:pt idx="92">
                  <c:v>95.138397370000007</c:v>
                </c:pt>
                <c:pt idx="93">
                  <c:v>98.474887140000007</c:v>
                </c:pt>
                <c:pt idx="94">
                  <c:v>90.915794009999999</c:v>
                </c:pt>
                <c:pt idx="95">
                  <c:v>101.3564556</c:v>
                </c:pt>
                <c:pt idx="96">
                  <c:v>95.977802339999997</c:v>
                </c:pt>
                <c:pt idx="97">
                  <c:v>101.3564556</c:v>
                </c:pt>
                <c:pt idx="98">
                  <c:v>89.635700749999998</c:v>
                </c:pt>
                <c:pt idx="99">
                  <c:v>99.714355679999997</c:v>
                </c:pt>
                <c:pt idx="100">
                  <c:v>86.192545629999998</c:v>
                </c:pt>
                <c:pt idx="101">
                  <c:v>100.5402337</c:v>
                </c:pt>
                <c:pt idx="102">
                  <c:v>93.877037450000003</c:v>
                </c:pt>
                <c:pt idx="103">
                  <c:v>95.145588619999998</c:v>
                </c:pt>
                <c:pt idx="104">
                  <c:v>100.9486689</c:v>
                </c:pt>
                <c:pt idx="105">
                  <c:v>94.302932269999999</c:v>
                </c:pt>
                <c:pt idx="106">
                  <c:v>100.5402337</c:v>
                </c:pt>
                <c:pt idx="107">
                  <c:v>98.474887140000007</c:v>
                </c:pt>
                <c:pt idx="108">
                  <c:v>102.5822131</c:v>
                </c:pt>
                <c:pt idx="109">
                  <c:v>101.7628931</c:v>
                </c:pt>
                <c:pt idx="110">
                  <c:v>93.031286489999999</c:v>
                </c:pt>
                <c:pt idx="111">
                  <c:v>99.297599469999994</c:v>
                </c:pt>
                <c:pt idx="112">
                  <c:v>106.2245245</c:v>
                </c:pt>
                <c:pt idx="113">
                  <c:v>100.9486689</c:v>
                </c:pt>
                <c:pt idx="114">
                  <c:v>105.0166174</c:v>
                </c:pt>
                <c:pt idx="115">
                  <c:v>106.2245245</c:v>
                </c:pt>
                <c:pt idx="116">
                  <c:v>102.9873886</c:v>
                </c:pt>
                <c:pt idx="117">
                  <c:v>98.474887140000007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5A-4A15-8143-2109423A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lineMarker"/>
        <c:varyColors val="0"/>
        <c:ser>
          <c:idx val="0"/>
          <c:order val="1"/>
          <c:tx>
            <c:strRef>
              <c:f>'storm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 time series'!$CS$3:$CS$120</c:f>
              <c:numCache>
                <c:formatCode>m/d/yyyy\ h:mm</c:formatCode>
                <c:ptCount val="118"/>
                <c:pt idx="0">
                  <c:v>45050.510416666664</c:v>
                </c:pt>
                <c:pt idx="1">
                  <c:v>45050.520833333336</c:v>
                </c:pt>
                <c:pt idx="2">
                  <c:v>45050.53125</c:v>
                </c:pt>
                <c:pt idx="3">
                  <c:v>45050.541666666664</c:v>
                </c:pt>
                <c:pt idx="4">
                  <c:v>45050.552083333336</c:v>
                </c:pt>
                <c:pt idx="5">
                  <c:v>45050.5625</c:v>
                </c:pt>
                <c:pt idx="6">
                  <c:v>45050.572916666664</c:v>
                </c:pt>
                <c:pt idx="7">
                  <c:v>45050.583333333336</c:v>
                </c:pt>
                <c:pt idx="8">
                  <c:v>45050.59375</c:v>
                </c:pt>
                <c:pt idx="9">
                  <c:v>45050.604166666664</c:v>
                </c:pt>
                <c:pt idx="10">
                  <c:v>45050.614583333336</c:v>
                </c:pt>
                <c:pt idx="11">
                  <c:v>45050.625</c:v>
                </c:pt>
                <c:pt idx="12">
                  <c:v>45050.635416666664</c:v>
                </c:pt>
                <c:pt idx="13">
                  <c:v>45050.645833333336</c:v>
                </c:pt>
                <c:pt idx="14">
                  <c:v>45050.65625</c:v>
                </c:pt>
                <c:pt idx="15">
                  <c:v>45050.666666666664</c:v>
                </c:pt>
                <c:pt idx="16">
                  <c:v>45050.677083333336</c:v>
                </c:pt>
                <c:pt idx="17">
                  <c:v>45050.6875</c:v>
                </c:pt>
                <c:pt idx="18">
                  <c:v>45050.697916666664</c:v>
                </c:pt>
                <c:pt idx="19">
                  <c:v>45050.708333333336</c:v>
                </c:pt>
                <c:pt idx="20">
                  <c:v>45050.71875</c:v>
                </c:pt>
                <c:pt idx="21">
                  <c:v>45050.729166666664</c:v>
                </c:pt>
                <c:pt idx="22">
                  <c:v>45050.739583333336</c:v>
                </c:pt>
                <c:pt idx="23">
                  <c:v>45050.75</c:v>
                </c:pt>
                <c:pt idx="24">
                  <c:v>45050.760416666664</c:v>
                </c:pt>
                <c:pt idx="25">
                  <c:v>45050.770833333336</c:v>
                </c:pt>
                <c:pt idx="26">
                  <c:v>45050.78125</c:v>
                </c:pt>
                <c:pt idx="27">
                  <c:v>45050.791666666664</c:v>
                </c:pt>
                <c:pt idx="28">
                  <c:v>45050.802083333336</c:v>
                </c:pt>
                <c:pt idx="29">
                  <c:v>45050.8125</c:v>
                </c:pt>
                <c:pt idx="30">
                  <c:v>45050.822916666664</c:v>
                </c:pt>
                <c:pt idx="31">
                  <c:v>45050.833333333336</c:v>
                </c:pt>
                <c:pt idx="32">
                  <c:v>45050.84375</c:v>
                </c:pt>
                <c:pt idx="33">
                  <c:v>45050.854166666664</c:v>
                </c:pt>
                <c:pt idx="34">
                  <c:v>45050.864583333336</c:v>
                </c:pt>
                <c:pt idx="35">
                  <c:v>45050.875</c:v>
                </c:pt>
                <c:pt idx="36">
                  <c:v>45050.885416666664</c:v>
                </c:pt>
                <c:pt idx="37">
                  <c:v>45050.895833333336</c:v>
                </c:pt>
                <c:pt idx="38">
                  <c:v>45050.90625</c:v>
                </c:pt>
                <c:pt idx="39">
                  <c:v>45050.916666666664</c:v>
                </c:pt>
                <c:pt idx="40">
                  <c:v>45050.927083333336</c:v>
                </c:pt>
                <c:pt idx="41">
                  <c:v>45050.9375</c:v>
                </c:pt>
                <c:pt idx="42">
                  <c:v>45050.947916666664</c:v>
                </c:pt>
                <c:pt idx="43">
                  <c:v>45050.958333333336</c:v>
                </c:pt>
                <c:pt idx="44">
                  <c:v>45050.96875</c:v>
                </c:pt>
                <c:pt idx="45">
                  <c:v>45050.979166666664</c:v>
                </c:pt>
                <c:pt idx="46">
                  <c:v>45050.989583333336</c:v>
                </c:pt>
                <c:pt idx="47">
                  <c:v>45051</c:v>
                </c:pt>
                <c:pt idx="48">
                  <c:v>45051.010416666664</c:v>
                </c:pt>
                <c:pt idx="49">
                  <c:v>45051.020833333336</c:v>
                </c:pt>
                <c:pt idx="50">
                  <c:v>45051.03125</c:v>
                </c:pt>
                <c:pt idx="51">
                  <c:v>45051.041666666664</c:v>
                </c:pt>
                <c:pt idx="52">
                  <c:v>45051.052083333336</c:v>
                </c:pt>
                <c:pt idx="53">
                  <c:v>45051.0625</c:v>
                </c:pt>
                <c:pt idx="54">
                  <c:v>45051.072916666664</c:v>
                </c:pt>
                <c:pt idx="55">
                  <c:v>45051.083333333336</c:v>
                </c:pt>
                <c:pt idx="56">
                  <c:v>45051.09375</c:v>
                </c:pt>
                <c:pt idx="57">
                  <c:v>45051.104166666664</c:v>
                </c:pt>
                <c:pt idx="58">
                  <c:v>45051.114583333336</c:v>
                </c:pt>
                <c:pt idx="59">
                  <c:v>45051.125</c:v>
                </c:pt>
                <c:pt idx="60">
                  <c:v>45051.135416666664</c:v>
                </c:pt>
                <c:pt idx="61">
                  <c:v>45051.145833333336</c:v>
                </c:pt>
                <c:pt idx="62">
                  <c:v>45051.15625</c:v>
                </c:pt>
                <c:pt idx="63">
                  <c:v>45051.166666666664</c:v>
                </c:pt>
                <c:pt idx="64">
                  <c:v>45051.177083333336</c:v>
                </c:pt>
                <c:pt idx="65">
                  <c:v>45051.1875</c:v>
                </c:pt>
                <c:pt idx="66">
                  <c:v>45051.197916666664</c:v>
                </c:pt>
                <c:pt idx="67">
                  <c:v>45051.208333333336</c:v>
                </c:pt>
                <c:pt idx="68">
                  <c:v>45051.21875</c:v>
                </c:pt>
                <c:pt idx="69">
                  <c:v>45051.229166666664</c:v>
                </c:pt>
                <c:pt idx="70">
                  <c:v>45051.239583333336</c:v>
                </c:pt>
                <c:pt idx="71">
                  <c:v>45051.25</c:v>
                </c:pt>
                <c:pt idx="72">
                  <c:v>45051.260416666664</c:v>
                </c:pt>
                <c:pt idx="73">
                  <c:v>45051.270833333336</c:v>
                </c:pt>
                <c:pt idx="74">
                  <c:v>45051.28125</c:v>
                </c:pt>
                <c:pt idx="75">
                  <c:v>45051.291666666664</c:v>
                </c:pt>
                <c:pt idx="76">
                  <c:v>45051.302083333336</c:v>
                </c:pt>
                <c:pt idx="77">
                  <c:v>45051.3125</c:v>
                </c:pt>
                <c:pt idx="78">
                  <c:v>45051.322916666664</c:v>
                </c:pt>
                <c:pt idx="79">
                  <c:v>45051.333333333336</c:v>
                </c:pt>
                <c:pt idx="80">
                  <c:v>45051.34375</c:v>
                </c:pt>
                <c:pt idx="81">
                  <c:v>45051.354166666664</c:v>
                </c:pt>
                <c:pt idx="82">
                  <c:v>45051.364583333336</c:v>
                </c:pt>
                <c:pt idx="83">
                  <c:v>45051.375</c:v>
                </c:pt>
                <c:pt idx="84">
                  <c:v>45051.385416666664</c:v>
                </c:pt>
                <c:pt idx="85">
                  <c:v>45051.395833333336</c:v>
                </c:pt>
                <c:pt idx="86">
                  <c:v>45051.40625</c:v>
                </c:pt>
                <c:pt idx="87">
                  <c:v>45051.416666666664</c:v>
                </c:pt>
                <c:pt idx="88">
                  <c:v>45051.427083333336</c:v>
                </c:pt>
                <c:pt idx="89">
                  <c:v>45051.4375</c:v>
                </c:pt>
                <c:pt idx="90">
                  <c:v>45051.447916666664</c:v>
                </c:pt>
                <c:pt idx="91">
                  <c:v>45051.458333333336</c:v>
                </c:pt>
                <c:pt idx="92">
                  <c:v>45051.46875</c:v>
                </c:pt>
                <c:pt idx="93">
                  <c:v>45051.479166666664</c:v>
                </c:pt>
                <c:pt idx="94">
                  <c:v>45051.489583333336</c:v>
                </c:pt>
                <c:pt idx="95">
                  <c:v>45051.5</c:v>
                </c:pt>
                <c:pt idx="96">
                  <c:v>45051.510416666664</c:v>
                </c:pt>
                <c:pt idx="97">
                  <c:v>45051.520833333336</c:v>
                </c:pt>
                <c:pt idx="98">
                  <c:v>45051.53125</c:v>
                </c:pt>
                <c:pt idx="99">
                  <c:v>45051.541666666664</c:v>
                </c:pt>
                <c:pt idx="100">
                  <c:v>45051.552083333336</c:v>
                </c:pt>
                <c:pt idx="101">
                  <c:v>45051.5625</c:v>
                </c:pt>
                <c:pt idx="102">
                  <c:v>45051.572916666664</c:v>
                </c:pt>
                <c:pt idx="103">
                  <c:v>45051.583333333336</c:v>
                </c:pt>
                <c:pt idx="104">
                  <c:v>45051.59375</c:v>
                </c:pt>
                <c:pt idx="105">
                  <c:v>45051.604166666664</c:v>
                </c:pt>
                <c:pt idx="106">
                  <c:v>45051.614583333336</c:v>
                </c:pt>
                <c:pt idx="107">
                  <c:v>45051.625</c:v>
                </c:pt>
                <c:pt idx="108">
                  <c:v>45051.635416666664</c:v>
                </c:pt>
                <c:pt idx="109">
                  <c:v>45051.645833333336</c:v>
                </c:pt>
                <c:pt idx="110">
                  <c:v>45051.65625</c:v>
                </c:pt>
                <c:pt idx="111">
                  <c:v>45051.666666666664</c:v>
                </c:pt>
                <c:pt idx="112">
                  <c:v>45051.677083333336</c:v>
                </c:pt>
                <c:pt idx="113">
                  <c:v>45051.6875</c:v>
                </c:pt>
                <c:pt idx="114">
                  <c:v>45051.697916666664</c:v>
                </c:pt>
                <c:pt idx="115">
                  <c:v>45051.708333333336</c:v>
                </c:pt>
                <c:pt idx="116">
                  <c:v>45051.71875</c:v>
                </c:pt>
                <c:pt idx="117">
                  <c:v>45051.729166666664</c:v>
                </c:pt>
              </c:numCache>
            </c:numRef>
          </c:xVal>
          <c:yVal>
            <c:numRef>
              <c:f>'storm time series'!$CY$3:$CY$120</c:f>
              <c:numCache>
                <c:formatCode>0.000</c:formatCode>
                <c:ptCount val="118"/>
                <c:pt idx="0">
                  <c:v>90.571966624080133</c:v>
                </c:pt>
                <c:pt idx="1">
                  <c:v>97.880659249697544</c:v>
                </c:pt>
                <c:pt idx="2">
                  <c:v>91.64036085817429</c:v>
                </c:pt>
                <c:pt idx="3">
                  <c:v>92.540276268151132</c:v>
                </c:pt>
                <c:pt idx="4">
                  <c:v>93.998195275073385</c:v>
                </c:pt>
                <c:pt idx="5">
                  <c:v>90.999790681567461</c:v>
                </c:pt>
                <c:pt idx="6">
                  <c:v>92.151979388979882</c:v>
                </c:pt>
                <c:pt idx="7">
                  <c:v>91.698727955316642</c:v>
                </c:pt>
                <c:pt idx="8">
                  <c:v>89.529896267971509</c:v>
                </c:pt>
                <c:pt idx="9">
                  <c:v>92.456248594811271</c:v>
                </c:pt>
                <c:pt idx="10">
                  <c:v>91.243422981009516</c:v>
                </c:pt>
                <c:pt idx="11">
                  <c:v>89.45091732537901</c:v>
                </c:pt>
                <c:pt idx="12">
                  <c:v>90.830744619970289</c:v>
                </c:pt>
                <c:pt idx="13">
                  <c:v>91.379231172516413</c:v>
                </c:pt>
                <c:pt idx="14">
                  <c:v>89.462011409702811</c:v>
                </c:pt>
                <c:pt idx="15">
                  <c:v>91.587445031301101</c:v>
                </c:pt>
                <c:pt idx="16">
                  <c:v>88.144440596080628</c:v>
                </c:pt>
                <c:pt idx="17">
                  <c:v>90.528655761461692</c:v>
                </c:pt>
                <c:pt idx="18">
                  <c:v>88.854272881494097</c:v>
                </c:pt>
                <c:pt idx="19">
                  <c:v>95.723654903072273</c:v>
                </c:pt>
                <c:pt idx="20">
                  <c:v>91.450742086367043</c:v>
                </c:pt>
                <c:pt idx="21">
                  <c:v>90.477692281217742</c:v>
                </c:pt>
                <c:pt idx="22">
                  <c:v>91.403990769948379</c:v>
                </c:pt>
                <c:pt idx="23">
                  <c:v>92.398335523246857</c:v>
                </c:pt>
                <c:pt idx="24">
                  <c:v>88.889091060108953</c:v>
                </c:pt>
                <c:pt idx="25">
                  <c:v>86.376301085233735</c:v>
                </c:pt>
                <c:pt idx="26">
                  <c:v>92.01739074775621</c:v>
                </c:pt>
                <c:pt idx="27">
                  <c:v>88.427049316954836</c:v>
                </c:pt>
                <c:pt idx="28">
                  <c:v>90.571410772429346</c:v>
                </c:pt>
                <c:pt idx="29">
                  <c:v>91.51804292328832</c:v>
                </c:pt>
                <c:pt idx="30">
                  <c:v>95.642265602762691</c:v>
                </c:pt>
                <c:pt idx="31">
                  <c:v>94.138540866410821</c:v>
                </c:pt>
                <c:pt idx="32">
                  <c:v>92.241396612746883</c:v>
                </c:pt>
                <c:pt idx="33">
                  <c:v>95.186196533147893</c:v>
                </c:pt>
                <c:pt idx="34">
                  <c:v>90.859626091240912</c:v>
                </c:pt>
                <c:pt idx="35">
                  <c:v>87.935647120621866</c:v>
                </c:pt>
                <c:pt idx="36">
                  <c:v>90.304347094054023</c:v>
                </c:pt>
                <c:pt idx="37">
                  <c:v>93.042798337528467</c:v>
                </c:pt>
                <c:pt idx="38">
                  <c:v>92.491543564485895</c:v>
                </c:pt>
                <c:pt idx="39">
                  <c:v>88.467290071766357</c:v>
                </c:pt>
                <c:pt idx="40">
                  <c:v>93.013325496445361</c:v>
                </c:pt>
                <c:pt idx="41">
                  <c:v>89.709659716083408</c:v>
                </c:pt>
                <c:pt idx="42">
                  <c:v>90.998330165609516</c:v>
                </c:pt>
                <c:pt idx="43">
                  <c:v>92.09308581435441</c:v>
                </c:pt>
                <c:pt idx="44">
                  <c:v>92.144554997418936</c:v>
                </c:pt>
                <c:pt idx="45">
                  <c:v>89.872361534852587</c:v>
                </c:pt>
                <c:pt idx="46">
                  <c:v>94.300166620277253</c:v>
                </c:pt>
                <c:pt idx="47">
                  <c:v>92.865724924964567</c:v>
                </c:pt>
                <c:pt idx="48">
                  <c:v>95.672442518428866</c:v>
                </c:pt>
                <c:pt idx="49">
                  <c:v>88.310222285266121</c:v>
                </c:pt>
                <c:pt idx="50">
                  <c:v>89.189142578424537</c:v>
                </c:pt>
                <c:pt idx="51">
                  <c:v>91.685244261298976</c:v>
                </c:pt>
                <c:pt idx="52">
                  <c:v>89.937152426769686</c:v>
                </c:pt>
                <c:pt idx="53">
                  <c:v>91.983962136406006</c:v>
                </c:pt>
                <c:pt idx="54">
                  <c:v>93.365712669876572</c:v>
                </c:pt>
                <c:pt idx="55">
                  <c:v>90.864512726148405</c:v>
                </c:pt>
                <c:pt idx="56">
                  <c:v>91.898519219011916</c:v>
                </c:pt>
                <c:pt idx="57">
                  <c:v>94.717466433600109</c:v>
                </c:pt>
                <c:pt idx="58">
                  <c:v>92.086876467994969</c:v>
                </c:pt>
                <c:pt idx="59">
                  <c:v>92.737438741561135</c:v>
                </c:pt>
                <c:pt idx="60">
                  <c:v>94.067532064514893</c:v>
                </c:pt>
                <c:pt idx="61">
                  <c:v>89.938927080289218</c:v>
                </c:pt>
                <c:pt idx="62">
                  <c:v>90.504280063681136</c:v>
                </c:pt>
                <c:pt idx="63">
                  <c:v>96.570600212764106</c:v>
                </c:pt>
                <c:pt idx="64">
                  <c:v>89.103080911235722</c:v>
                </c:pt>
                <c:pt idx="65">
                  <c:v>94.667319827379231</c:v>
                </c:pt>
                <c:pt idx="66">
                  <c:v>88.94283680685696</c:v>
                </c:pt>
                <c:pt idx="67">
                  <c:v>88.37475898204616</c:v>
                </c:pt>
                <c:pt idx="68">
                  <c:v>92.331441083147766</c:v>
                </c:pt>
                <c:pt idx="69">
                  <c:v>94.968793118970709</c:v>
                </c:pt>
                <c:pt idx="70">
                  <c:v>91.752943890695192</c:v>
                </c:pt>
                <c:pt idx="71">
                  <c:v>92.068869006679719</c:v>
                </c:pt>
                <c:pt idx="72">
                  <c:v>90.648258877612705</c:v>
                </c:pt>
                <c:pt idx="73">
                  <c:v>91.596693336624867</c:v>
                </c:pt>
                <c:pt idx="74">
                  <c:v>92.132333702217664</c:v>
                </c:pt>
                <c:pt idx="75">
                  <c:v>90.369213034180092</c:v>
                </c:pt>
                <c:pt idx="76">
                  <c:v>93.105799087843891</c:v>
                </c:pt>
                <c:pt idx="77">
                  <c:v>94.763493912601461</c:v>
                </c:pt>
                <c:pt idx="78">
                  <c:v>93.292521306352398</c:v>
                </c:pt>
                <c:pt idx="79">
                  <c:v>98.244491373540129</c:v>
                </c:pt>
                <c:pt idx="80">
                  <c:v>100.48581784079515</c:v>
                </c:pt>
                <c:pt idx="81">
                  <c:v>98.101698114581566</c:v>
                </c:pt>
                <c:pt idx="82">
                  <c:v>94.412949730629705</c:v>
                </c:pt>
                <c:pt idx="83">
                  <c:v>95.909685276681742</c:v>
                </c:pt>
                <c:pt idx="84">
                  <c:v>98.59563437148374</c:v>
                </c:pt>
                <c:pt idx="85">
                  <c:v>100.7429093206339</c:v>
                </c:pt>
                <c:pt idx="86">
                  <c:v>92.302480389177589</c:v>
                </c:pt>
                <c:pt idx="87">
                  <c:v>93.844036952069828</c:v>
                </c:pt>
                <c:pt idx="88">
                  <c:v>98.802043522025343</c:v>
                </c:pt>
                <c:pt idx="89">
                  <c:v>91.969525388156953</c:v>
                </c:pt>
                <c:pt idx="90">
                  <c:v>93.839354383232575</c:v>
                </c:pt>
                <c:pt idx="91">
                  <c:v>95.26381323322326</c:v>
                </c:pt>
                <c:pt idx="92">
                  <c:v>89.504682601837686</c:v>
                </c:pt>
                <c:pt idx="93">
                  <c:v>93.853408017893173</c:v>
                </c:pt>
                <c:pt idx="94">
                  <c:v>98.067651810767472</c:v>
                </c:pt>
                <c:pt idx="95">
                  <c:v>95.688597969416961</c:v>
                </c:pt>
                <c:pt idx="96">
                  <c:v>103.02241841356445</c:v>
                </c:pt>
                <c:pt idx="97">
                  <c:v>96.891969528525919</c:v>
                </c:pt>
                <c:pt idx="98">
                  <c:v>94.430206681554665</c:v>
                </c:pt>
                <c:pt idx="99">
                  <c:v>90.027221368255411</c:v>
                </c:pt>
                <c:pt idx="100">
                  <c:v>90.701889658746708</c:v>
                </c:pt>
                <c:pt idx="101">
                  <c:v>94.323098662623849</c:v>
                </c:pt>
                <c:pt idx="102">
                  <c:v>91.652409747644924</c:v>
                </c:pt>
                <c:pt idx="103">
                  <c:v>90.848346252519647</c:v>
                </c:pt>
                <c:pt idx="104">
                  <c:v>89.267297574637794</c:v>
                </c:pt>
                <c:pt idx="105">
                  <c:v>94.465272140632621</c:v>
                </c:pt>
                <c:pt idx="106">
                  <c:v>93.603034769550433</c:v>
                </c:pt>
                <c:pt idx="107">
                  <c:v>96.057525729159664</c:v>
                </c:pt>
                <c:pt idx="108">
                  <c:v>92.399687369307429</c:v>
                </c:pt>
                <c:pt idx="109">
                  <c:v>93.74413787365657</c:v>
                </c:pt>
                <c:pt idx="110">
                  <c:v>89.265320502678847</c:v>
                </c:pt>
                <c:pt idx="111">
                  <c:v>91.422403775360976</c:v>
                </c:pt>
                <c:pt idx="112">
                  <c:v>93.45601585593019</c:v>
                </c:pt>
                <c:pt idx="113">
                  <c:v>90.431144002205158</c:v>
                </c:pt>
                <c:pt idx="114">
                  <c:v>94.928171638108026</c:v>
                </c:pt>
                <c:pt idx="115">
                  <c:v>91.738164541057742</c:v>
                </c:pt>
                <c:pt idx="116">
                  <c:v>94.976341408145316</c:v>
                </c:pt>
                <c:pt idx="117">
                  <c:v>91.724383317280882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A-4A15-8143-2109423A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Equation for Dmax - Original vs Corrected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'storm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0548613470245001"/>
                  <c:y val="0.258556118636266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 time series'!$F$3:$F$94</c:f>
              <c:numCache>
                <c:formatCode>0.00000</c:formatCode>
                <c:ptCount val="92"/>
                <c:pt idx="0">
                  <c:v>3.9133827116062158E-3</c:v>
                </c:pt>
                <c:pt idx="1">
                  <c:v>5.0656962847708551E-3</c:v>
                </c:pt>
                <c:pt idx="2">
                  <c:v>4.9684304237495982E-3</c:v>
                </c:pt>
                <c:pt idx="3">
                  <c:v>3.9373420131113366E-3</c:v>
                </c:pt>
                <c:pt idx="4">
                  <c:v>4.5408843627231174E-3</c:v>
                </c:pt>
                <c:pt idx="5">
                  <c:v>3.5046110161618266E-3</c:v>
                </c:pt>
                <c:pt idx="6">
                  <c:v>4.1107265238599358E-3</c:v>
                </c:pt>
                <c:pt idx="7">
                  <c:v>4.8571933445886572E-3</c:v>
                </c:pt>
                <c:pt idx="8">
                  <c:v>4.3776653554623342E-3</c:v>
                </c:pt>
                <c:pt idx="9">
                  <c:v>4.1033057295688799E-3</c:v>
                </c:pt>
                <c:pt idx="10">
                  <c:v>4.0475866213365973E-3</c:v>
                </c:pt>
                <c:pt idx="11">
                  <c:v>4.4304609322024218E-3</c:v>
                </c:pt>
                <c:pt idx="12">
                  <c:v>4.8721049608502348E-3</c:v>
                </c:pt>
                <c:pt idx="13">
                  <c:v>4.0209128479885559E-3</c:v>
                </c:pt>
                <c:pt idx="14">
                  <c:v>2.44826282844934E-3</c:v>
                </c:pt>
                <c:pt idx="15">
                  <c:v>2.3344448507229324E-3</c:v>
                </c:pt>
                <c:pt idx="16">
                  <c:v>3.5947759025068853E-3</c:v>
                </c:pt>
                <c:pt idx="17">
                  <c:v>3.2976888439928348E-3</c:v>
                </c:pt>
                <c:pt idx="18">
                  <c:v>3.0824915951735837E-3</c:v>
                </c:pt>
                <c:pt idx="19">
                  <c:v>2.7532480278757306E-3</c:v>
                </c:pt>
                <c:pt idx="20">
                  <c:v>3.1745311903218199E-3</c:v>
                </c:pt>
                <c:pt idx="21">
                  <c:v>2.9770921838997732E-3</c:v>
                </c:pt>
                <c:pt idx="22">
                  <c:v>5.1384183661048171E-3</c:v>
                </c:pt>
                <c:pt idx="23">
                  <c:v>3.4029800336726986E-3</c:v>
                </c:pt>
                <c:pt idx="24">
                  <c:v>2.5307795083471889E-3</c:v>
                </c:pt>
                <c:pt idx="25">
                  <c:v>3.6314291601306672E-3</c:v>
                </c:pt>
                <c:pt idx="26">
                  <c:v>3.0918184850090998E-3</c:v>
                </c:pt>
                <c:pt idx="27">
                  <c:v>2.8205971838716911E-3</c:v>
                </c:pt>
                <c:pt idx="28">
                  <c:v>2.7149444610931068E-3</c:v>
                </c:pt>
                <c:pt idx="29">
                  <c:v>2.8372857135455531E-3</c:v>
                </c:pt>
                <c:pt idx="30">
                  <c:v>2.2765050612910402E-3</c:v>
                </c:pt>
                <c:pt idx="31">
                  <c:v>2.7624306292193478E-3</c:v>
                </c:pt>
                <c:pt idx="32">
                  <c:v>4.2446643881877081E-3</c:v>
                </c:pt>
                <c:pt idx="33">
                  <c:v>5.097946263823986E-3</c:v>
                </c:pt>
                <c:pt idx="34">
                  <c:v>3.1520494315775784E-3</c:v>
                </c:pt>
                <c:pt idx="35">
                  <c:v>3.7411207462004674E-3</c:v>
                </c:pt>
                <c:pt idx="36">
                  <c:v>4.0463502081167502E-3</c:v>
                </c:pt>
                <c:pt idx="37">
                  <c:v>5.0562118545212894E-3</c:v>
                </c:pt>
                <c:pt idx="38">
                  <c:v>3.2183972715271844E-3</c:v>
                </c:pt>
                <c:pt idx="39">
                  <c:v>2.945165554367303E-3</c:v>
                </c:pt>
                <c:pt idx="40">
                  <c:v>4.0947866309655623E-3</c:v>
                </c:pt>
                <c:pt idx="41">
                  <c:v>3.2567797147781698E-3</c:v>
                </c:pt>
                <c:pt idx="42">
                  <c:v>2.5539119317508001E-3</c:v>
                </c:pt>
                <c:pt idx="43">
                  <c:v>3.7003921337866704E-3</c:v>
                </c:pt>
                <c:pt idx="44">
                  <c:v>2.1156699328010258E-3</c:v>
                </c:pt>
                <c:pt idx="45">
                  <c:v>2.3399449608516218E-3</c:v>
                </c:pt>
                <c:pt idx="46">
                  <c:v>3.9808640160950296E-3</c:v>
                </c:pt>
                <c:pt idx="47">
                  <c:v>2.7456831428888215E-3</c:v>
                </c:pt>
                <c:pt idx="48">
                  <c:v>3.0931361687444904E-3</c:v>
                </c:pt>
                <c:pt idx="49">
                  <c:v>3.5906083453237985E-3</c:v>
                </c:pt>
                <c:pt idx="50">
                  <c:v>3.646345246022776E-3</c:v>
                </c:pt>
                <c:pt idx="51">
                  <c:v>2.9504205064830712E-3</c:v>
                </c:pt>
                <c:pt idx="52">
                  <c:v>3.6994629292366782E-3</c:v>
                </c:pt>
                <c:pt idx="53">
                  <c:v>2.3828965445448079E-3</c:v>
                </c:pt>
                <c:pt idx="54">
                  <c:v>2.0135599758475645E-3</c:v>
                </c:pt>
                <c:pt idx="55">
                  <c:v>2.5120373171316109E-3</c:v>
                </c:pt>
                <c:pt idx="56">
                  <c:v>2.5255434904317168E-3</c:v>
                </c:pt>
                <c:pt idx="57">
                  <c:v>4.6247200438349892E-3</c:v>
                </c:pt>
                <c:pt idx="58">
                  <c:v>7.7571641382806079E-3</c:v>
                </c:pt>
                <c:pt idx="59">
                  <c:v>0.19240383089299312</c:v>
                </c:pt>
                <c:pt idx="60">
                  <c:v>4.8252724833329532</c:v>
                </c:pt>
                <c:pt idx="61">
                  <c:v>2.4621689492952754</c:v>
                </c:pt>
                <c:pt idx="62">
                  <c:v>1.6574388940185496</c:v>
                </c:pt>
                <c:pt idx="63">
                  <c:v>1.036768065100762</c:v>
                </c:pt>
                <c:pt idx="64">
                  <c:v>1.1779930094244508</c:v>
                </c:pt>
                <c:pt idx="65">
                  <c:v>1.3317654792033575</c:v>
                </c:pt>
                <c:pt idx="66">
                  <c:v>1.3885452595130416</c:v>
                </c:pt>
                <c:pt idx="67">
                  <c:v>1.1593722717000319</c:v>
                </c:pt>
                <c:pt idx="68">
                  <c:v>1.2900142723560228</c:v>
                </c:pt>
                <c:pt idx="69">
                  <c:v>1.0177966280449335</c:v>
                </c:pt>
                <c:pt idx="70">
                  <c:v>0.74518247860970277</c:v>
                </c:pt>
                <c:pt idx="71">
                  <c:v>0.65617966650023729</c:v>
                </c:pt>
                <c:pt idx="72">
                  <c:v>0.45579957213297989</c:v>
                </c:pt>
                <c:pt idx="73">
                  <c:v>0.40091021067984606</c:v>
                </c:pt>
                <c:pt idx="74">
                  <c:v>0.30577115356829154</c:v>
                </c:pt>
                <c:pt idx="75">
                  <c:v>0.20109340607214066</c:v>
                </c:pt>
                <c:pt idx="76">
                  <c:v>0.20240044900171872</c:v>
                </c:pt>
                <c:pt idx="77">
                  <c:v>0.18947121633143948</c:v>
                </c:pt>
                <c:pt idx="78">
                  <c:v>0.17247208778819584</c:v>
                </c:pt>
                <c:pt idx="79">
                  <c:v>0.19049439804106516</c:v>
                </c:pt>
                <c:pt idx="80">
                  <c:v>0.25766971673267414</c:v>
                </c:pt>
                <c:pt idx="81">
                  <c:v>0.27325253613960027</c:v>
                </c:pt>
                <c:pt idx="82">
                  <c:v>0.25839844296529829</c:v>
                </c:pt>
                <c:pt idx="83">
                  <c:v>0.2754934976492619</c:v>
                </c:pt>
                <c:pt idx="84">
                  <c:v>0.26522850591399999</c:v>
                </c:pt>
                <c:pt idx="85">
                  <c:v>0.41474684976191101</c:v>
                </c:pt>
                <c:pt idx="86">
                  <c:v>0.43395482648628775</c:v>
                </c:pt>
                <c:pt idx="87">
                  <c:v>0.49518033756245655</c:v>
                </c:pt>
                <c:pt idx="88">
                  <c:v>0.39588639524566882</c:v>
                </c:pt>
                <c:pt idx="89">
                  <c:v>0.35854399452912622</c:v>
                </c:pt>
                <c:pt idx="90">
                  <c:v>0.49920974771152804</c:v>
                </c:pt>
                <c:pt idx="91">
                  <c:v>0.37640719175591025</c:v>
                </c:pt>
              </c:numCache>
            </c:numRef>
          </c:xVal>
          <c:yVal>
            <c:numRef>
              <c:f>'storm time series'!$G$3:$G$94</c:f>
              <c:numCache>
                <c:formatCode>0.00</c:formatCode>
                <c:ptCount val="92"/>
                <c:pt idx="0">
                  <c:v>2.4599510474069515</c:v>
                </c:pt>
                <c:pt idx="1">
                  <c:v>2.791356996271706</c:v>
                </c:pt>
                <c:pt idx="2">
                  <c:v>2.7649809345134853</c:v>
                </c:pt>
                <c:pt idx="3">
                  <c:v>2.4673148397084299</c:v>
                </c:pt>
                <c:pt idx="4">
                  <c:v>2.6457893704180964</c:v>
                </c:pt>
                <c:pt idx="5">
                  <c:v>2.3305783803926121</c:v>
                </c:pt>
                <c:pt idx="6">
                  <c:v>2.519936075085202</c:v>
                </c:pt>
                <c:pt idx="7">
                  <c:v>2.7344911288796694</c:v>
                </c:pt>
                <c:pt idx="8">
                  <c:v>2.5987833405071061</c:v>
                </c:pt>
                <c:pt idx="9">
                  <c:v>2.5177073751060881</c:v>
                </c:pt>
                <c:pt idx="10">
                  <c:v>2.5009070349243157</c:v>
                </c:pt>
                <c:pt idx="11">
                  <c:v>2.6140845154105792</c:v>
                </c:pt>
                <c:pt idx="12">
                  <c:v>2.7385988992140011</c:v>
                </c:pt>
                <c:pt idx="13">
                  <c:v>2.4928226307659678</c:v>
                </c:pt>
                <c:pt idx="14">
                  <c:v>1.955137808952677</c:v>
                </c:pt>
                <c:pt idx="15">
                  <c:v>1.9100868324142395</c:v>
                </c:pt>
                <c:pt idx="16">
                  <c:v>2.3597504837832695</c:v>
                </c:pt>
                <c:pt idx="17">
                  <c:v>2.2621472474486231</c:v>
                </c:pt>
                <c:pt idx="18">
                  <c:v>2.1886123908823101</c:v>
                </c:pt>
                <c:pt idx="19">
                  <c:v>2.0708367050090577</c:v>
                </c:pt>
                <c:pt idx="20">
                  <c:v>2.2203737895454494</c:v>
                </c:pt>
                <c:pt idx="21">
                  <c:v>2.1516403171733334</c:v>
                </c:pt>
                <c:pt idx="22">
                  <c:v>2.8109089601537796</c:v>
                </c:pt>
                <c:pt idx="23">
                  <c:v>2.2972335025138353</c:v>
                </c:pt>
                <c:pt idx="24">
                  <c:v>1.987134337417199</c:v>
                </c:pt>
                <c:pt idx="25">
                  <c:v>2.3715024734635026</c:v>
                </c:pt>
                <c:pt idx="26">
                  <c:v>2.1918527936826915</c:v>
                </c:pt>
                <c:pt idx="27">
                  <c:v>2.0954901014104932</c:v>
                </c:pt>
                <c:pt idx="28">
                  <c:v>2.0566781292310021</c:v>
                </c:pt>
                <c:pt idx="29">
                  <c:v>2.1015524171423281</c:v>
                </c:pt>
                <c:pt idx="30">
                  <c:v>1.8867225320127219</c:v>
                </c:pt>
                <c:pt idx="31">
                  <c:v>2.0742160088414772</c:v>
                </c:pt>
                <c:pt idx="32">
                  <c:v>2.5598144420098592</c:v>
                </c:pt>
                <c:pt idx="33">
                  <c:v>2.8000452401310367</c:v>
                </c:pt>
                <c:pt idx="34">
                  <c:v>2.2126595392400104</c:v>
                </c:pt>
                <c:pt idx="35">
                  <c:v>2.4063153288996197</c:v>
                </c:pt>
                <c:pt idx="36">
                  <c:v>2.5005328993596638</c:v>
                </c:pt>
                <c:pt idx="37">
                  <c:v>2.7887964937903398</c:v>
                </c:pt>
                <c:pt idx="38">
                  <c:v>2.2353458694972441</c:v>
                </c:pt>
                <c:pt idx="39">
                  <c:v>2.1403096958246715</c:v>
                </c:pt>
                <c:pt idx="40">
                  <c:v>2.5151462820220147</c:v>
                </c:pt>
                <c:pt idx="41">
                  <c:v>2.2483611090648514</c:v>
                </c:pt>
                <c:pt idx="42">
                  <c:v>1.9960082421885208</c:v>
                </c:pt>
                <c:pt idx="43">
                  <c:v>2.393450860062051</c:v>
                </c:pt>
                <c:pt idx="44">
                  <c:v>1.8202265142136964</c:v>
                </c:pt>
                <c:pt idx="45">
                  <c:v>1.9122893030964594</c:v>
                </c:pt>
                <c:pt idx="46">
                  <c:v>2.4806328887058307</c:v>
                </c:pt>
                <c:pt idx="47">
                  <c:v>2.0680484163617989</c:v>
                </c:pt>
                <c:pt idx="48">
                  <c:v>2.1923101887379342</c:v>
                </c:pt>
                <c:pt idx="49">
                  <c:v>2.3584103922725554</c:v>
                </c:pt>
                <c:pt idx="50">
                  <c:v>2.3762676229922564</c:v>
                </c:pt>
                <c:pt idx="51">
                  <c:v>2.1421789492760746</c:v>
                </c:pt>
                <c:pt idx="52">
                  <c:v>2.3931565222710121</c:v>
                </c:pt>
                <c:pt idx="53">
                  <c:v>1.929398795245691</c:v>
                </c:pt>
                <c:pt idx="54">
                  <c:v>1.7766629370625679</c:v>
                </c:pt>
                <c:pt idx="55">
                  <c:v>1.9799141859576828</c:v>
                </c:pt>
                <c:pt idx="56">
                  <c:v>1.9851199936728641</c:v>
                </c:pt>
                <c:pt idx="57">
                  <c:v>2.6695984197047946</c:v>
                </c:pt>
                <c:pt idx="58">
                  <c:v>3.4390710041697061</c:v>
                </c:pt>
                <c:pt idx="59">
                  <c:v>16.570402163552938</c:v>
                </c:pt>
                <c:pt idx="60">
                  <c:v>80.273877098790663</c:v>
                </c:pt>
                <c:pt idx="61">
                  <c:v>57.74068660746331</c:v>
                </c:pt>
                <c:pt idx="62">
                  <c:v>47.567699592066525</c:v>
                </c:pt>
                <c:pt idx="63">
                  <c:v>37.803575502160662</c:v>
                </c:pt>
                <c:pt idx="64">
                  <c:v>40.243169637786821</c:v>
                </c:pt>
                <c:pt idx="65">
                  <c:v>42.735212073900847</c:v>
                </c:pt>
                <c:pt idx="66">
                  <c:v>43.617949398828969</c:v>
                </c:pt>
                <c:pt idx="67">
                  <c:v>39.930389944927285</c:v>
                </c:pt>
                <c:pt idx="68">
                  <c:v>42.07379889809004</c:v>
                </c:pt>
                <c:pt idx="69">
                  <c:v>37.463227375233117</c:v>
                </c:pt>
                <c:pt idx="70">
                  <c:v>32.15885703275017</c:v>
                </c:pt>
                <c:pt idx="71">
                  <c:v>30.216881568047896</c:v>
                </c:pt>
                <c:pt idx="72">
                  <c:v>25.2787257337237</c:v>
                </c:pt>
                <c:pt idx="73">
                  <c:v>23.739182874624156</c:v>
                </c:pt>
                <c:pt idx="74">
                  <c:v>20.789893494319333</c:v>
                </c:pt>
                <c:pt idx="75">
                  <c:v>16.932750535726619</c:v>
                </c:pt>
                <c:pt idx="76">
                  <c:v>16.986556591580069</c:v>
                </c:pt>
                <c:pt idx="77">
                  <c:v>16.446236032101172</c:v>
                </c:pt>
                <c:pt idx="78">
                  <c:v>15.7063329331754</c:v>
                </c:pt>
                <c:pt idx="79">
                  <c:v>16.489667945408691</c:v>
                </c:pt>
                <c:pt idx="80">
                  <c:v>19.118390583830159</c:v>
                </c:pt>
                <c:pt idx="81">
                  <c:v>19.676102765150922</c:v>
                </c:pt>
                <c:pt idx="82">
                  <c:v>19.144849338717748</c:v>
                </c:pt>
                <c:pt idx="83">
                  <c:v>19.754958522759882</c:v>
                </c:pt>
                <c:pt idx="84">
                  <c:v>19.39100882698407</c:v>
                </c:pt>
                <c:pt idx="85">
                  <c:v>24.136926880406467</c:v>
                </c:pt>
                <c:pt idx="86">
                  <c:v>24.678012257173279</c:v>
                </c:pt>
                <c:pt idx="87">
                  <c:v>26.325657424734072</c:v>
                </c:pt>
                <c:pt idx="88">
                  <c:v>23.593040021995446</c:v>
                </c:pt>
                <c:pt idx="89">
                  <c:v>22.475689915463917</c:v>
                </c:pt>
                <c:pt idx="90">
                  <c:v>26.430343391447533</c:v>
                </c:pt>
                <c:pt idx="91">
                  <c:v>23.017241398062826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52-4CB3-A0AE-836AE143757E}"/>
            </c:ext>
          </c:extLst>
        </c:ser>
        <c:ser>
          <c:idx val="4"/>
          <c:order val="1"/>
          <c:tx>
            <c:strRef>
              <c:f>'storm time series'!$K$2</c:f>
              <c:strCache>
                <c:ptCount val="1"/>
                <c:pt idx="0">
                  <c:v>Corrected Dmax (mm)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8016242842406606"/>
                  <c:y val="0.32926426411564708"/>
                </c:manualLayout>
              </c:layout>
              <c:numFmt formatCode="General" sourceLinked="0"/>
              <c:spPr>
                <a:solidFill>
                  <a:schemeClr val="accent5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 time series'!$F$62:$F$94</c:f>
              <c:numCache>
                <c:formatCode>0.00000</c:formatCode>
                <c:ptCount val="33"/>
                <c:pt idx="0">
                  <c:v>0.19240383089299312</c:v>
                </c:pt>
                <c:pt idx="1">
                  <c:v>4.8252724833329532</c:v>
                </c:pt>
                <c:pt idx="2">
                  <c:v>2.4621689492952754</c:v>
                </c:pt>
                <c:pt idx="3">
                  <c:v>1.6574388940185496</c:v>
                </c:pt>
                <c:pt idx="4">
                  <c:v>1.036768065100762</c:v>
                </c:pt>
                <c:pt idx="5">
                  <c:v>1.1779930094244508</c:v>
                </c:pt>
                <c:pt idx="6">
                  <c:v>1.3317654792033575</c:v>
                </c:pt>
                <c:pt idx="7">
                  <c:v>1.3885452595130416</c:v>
                </c:pt>
                <c:pt idx="8">
                  <c:v>1.1593722717000319</c:v>
                </c:pt>
                <c:pt idx="9">
                  <c:v>1.2900142723560228</c:v>
                </c:pt>
                <c:pt idx="10">
                  <c:v>1.0177966280449335</c:v>
                </c:pt>
                <c:pt idx="11">
                  <c:v>0.74518247860970277</c:v>
                </c:pt>
                <c:pt idx="12">
                  <c:v>0.65617966650023729</c:v>
                </c:pt>
                <c:pt idx="13">
                  <c:v>0.45579957213297989</c:v>
                </c:pt>
                <c:pt idx="14">
                  <c:v>0.40091021067984606</c:v>
                </c:pt>
                <c:pt idx="15">
                  <c:v>0.30577115356829154</c:v>
                </c:pt>
                <c:pt idx="16">
                  <c:v>0.20109340607214066</c:v>
                </c:pt>
                <c:pt idx="17">
                  <c:v>0.20240044900171872</c:v>
                </c:pt>
                <c:pt idx="18">
                  <c:v>0.18947121633143948</c:v>
                </c:pt>
                <c:pt idx="19">
                  <c:v>0.17247208778819584</c:v>
                </c:pt>
                <c:pt idx="20">
                  <c:v>0.19049439804106516</c:v>
                </c:pt>
                <c:pt idx="21">
                  <c:v>0.25766971673267414</c:v>
                </c:pt>
                <c:pt idx="22">
                  <c:v>0.27325253613960027</c:v>
                </c:pt>
                <c:pt idx="23">
                  <c:v>0.25839844296529829</c:v>
                </c:pt>
                <c:pt idx="24">
                  <c:v>0.2754934976492619</c:v>
                </c:pt>
                <c:pt idx="25">
                  <c:v>0.26522850591399999</c:v>
                </c:pt>
                <c:pt idx="26">
                  <c:v>0.41474684976191101</c:v>
                </c:pt>
                <c:pt idx="27">
                  <c:v>0.43395482648628775</c:v>
                </c:pt>
                <c:pt idx="28">
                  <c:v>0.49518033756245655</c:v>
                </c:pt>
                <c:pt idx="29">
                  <c:v>0.39588639524566882</c:v>
                </c:pt>
                <c:pt idx="30">
                  <c:v>0.35854399452912622</c:v>
                </c:pt>
                <c:pt idx="31">
                  <c:v>0.49920974771152804</c:v>
                </c:pt>
                <c:pt idx="32">
                  <c:v>0.37640719175591025</c:v>
                </c:pt>
              </c:numCache>
            </c:numRef>
          </c:xVal>
          <c:yVal>
            <c:numRef>
              <c:f>'storm time series'!$K$62:$K$94</c:f>
              <c:numCache>
                <c:formatCode>0.0</c:formatCode>
                <c:ptCount val="33"/>
                <c:pt idx="0">
                  <c:v>0.64918586310711357</c:v>
                </c:pt>
                <c:pt idx="1">
                  <c:v>80.273877098790663</c:v>
                </c:pt>
                <c:pt idx="2">
                  <c:v>29.442546033579191</c:v>
                </c:pt>
                <c:pt idx="3">
                  <c:v>16.31642645306794</c:v>
                </c:pt>
                <c:pt idx="4">
                  <c:v>8.1010154920267254</c:v>
                </c:pt>
                <c:pt idx="5">
                  <c:v>9.8024841500616429</c:v>
                </c:pt>
                <c:pt idx="6">
                  <c:v>11.772379250304057</c:v>
                </c:pt>
                <c:pt idx="7">
                  <c:v>12.5291812819928</c:v>
                </c:pt>
                <c:pt idx="8">
                  <c:v>9.5720935711056221</c:v>
                </c:pt>
                <c:pt idx="9">
                  <c:v>11.225865643469508</c:v>
                </c:pt>
                <c:pt idx="10">
                  <c:v>7.8806811190426371</c:v>
                </c:pt>
                <c:pt idx="11">
                  <c:v>4.9466632750487243</c:v>
                </c:pt>
                <c:pt idx="12">
                  <c:v>4.0901903528495991</c:v>
                </c:pt>
                <c:pt idx="13">
                  <c:v>2.3712394427249568</c:v>
                </c:pt>
                <c:pt idx="14">
                  <c:v>1.9565860828258177</c:v>
                </c:pt>
                <c:pt idx="15">
                  <c:v>1.3032971480398352</c:v>
                </c:pt>
                <c:pt idx="16">
                  <c:v>0.69389715674520147</c:v>
                </c:pt>
                <c:pt idx="17">
                  <c:v>0.7007066696823504</c:v>
                </c:pt>
                <c:pt idx="18">
                  <c:v>0.63431871081042923</c:v>
                </c:pt>
                <c:pt idx="19">
                  <c:v>0.55040864798435074</c:v>
                </c:pt>
                <c:pt idx="20">
                  <c:v>0.63949295872696432</c:v>
                </c:pt>
                <c:pt idx="21">
                  <c:v>1.0077895536687496</c:v>
                </c:pt>
                <c:pt idx="22">
                  <c:v>1.1007767520050482</c:v>
                </c:pt>
                <c:pt idx="23">
                  <c:v>1.0120776837806971</c:v>
                </c:pt>
                <c:pt idx="24">
                  <c:v>1.1143696165032715</c:v>
                </c:pt>
                <c:pt idx="25">
                  <c:v>1.0525581634831525</c:v>
                </c:pt>
                <c:pt idx="26">
                  <c:v>2.0586319048115302</c:v>
                </c:pt>
                <c:pt idx="27">
                  <c:v>2.2030880555184837</c:v>
                </c:pt>
                <c:pt idx="28">
                  <c:v>2.6844545415187167</c:v>
                </c:pt>
                <c:pt idx="29">
                  <c:v>1.9199593365540897</c:v>
                </c:pt>
                <c:pt idx="30">
                  <c:v>1.6549675813216762</c:v>
                </c:pt>
                <c:pt idx="31">
                  <c:v>2.7172165163989765</c:v>
                </c:pt>
                <c:pt idx="32">
                  <c:v>1.7801158529898038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52-4CB3-A0AE-836AE1437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6464"/>
        <c:axId val="1763847424"/>
      </c:scatterChart>
      <c:valAx>
        <c:axId val="176384646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7424"/>
        <c:crosses val="autoZero"/>
        <c:crossBetween val="midCat"/>
      </c:valAx>
      <c:valAx>
        <c:axId val="17638474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4865002994125168"/>
          <c:y val="0.91259594779845887"/>
          <c:w val="0.58520227162609517"/>
          <c:h val="6.6289350351128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Equation for Dmax - Original vs Corrected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'storm time series'!$S$2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6371261302064994"/>
                  <c:y val="6.214460341576637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 time series'!$R$3:$R$99</c:f>
              <c:numCache>
                <c:formatCode>0.0000</c:formatCode>
                <c:ptCount val="97"/>
                <c:pt idx="0">
                  <c:v>7.9571341198971121E-2</c:v>
                </c:pt>
                <c:pt idx="1">
                  <c:v>9.044007968940844E-2</c:v>
                </c:pt>
                <c:pt idx="2">
                  <c:v>9.1703485083036732E-2</c:v>
                </c:pt>
                <c:pt idx="3">
                  <c:v>6.3181562655174883E-2</c:v>
                </c:pt>
                <c:pt idx="4">
                  <c:v>8.4038683777248546E-2</c:v>
                </c:pt>
                <c:pt idx="5">
                  <c:v>6.8725286711227643E-2</c:v>
                </c:pt>
                <c:pt idx="6">
                  <c:v>9.4565720461089603E-2</c:v>
                </c:pt>
                <c:pt idx="7">
                  <c:v>0.11050731497042873</c:v>
                </c:pt>
                <c:pt idx="8">
                  <c:v>0.10582106730688164</c:v>
                </c:pt>
                <c:pt idx="9">
                  <c:v>9.9758704693576006E-2</c:v>
                </c:pt>
                <c:pt idx="10">
                  <c:v>7.5023421598459206E-2</c:v>
                </c:pt>
                <c:pt idx="11">
                  <c:v>7.6845773716184493E-2</c:v>
                </c:pt>
                <c:pt idx="12">
                  <c:v>6.869044939397298E-2</c:v>
                </c:pt>
                <c:pt idx="13">
                  <c:v>8.0594005992338541E-2</c:v>
                </c:pt>
                <c:pt idx="14">
                  <c:v>7.5767119173336867E-2</c:v>
                </c:pt>
                <c:pt idx="15">
                  <c:v>7.0466656007488693E-2</c:v>
                </c:pt>
                <c:pt idx="16">
                  <c:v>5.6974825166575364E-2</c:v>
                </c:pt>
                <c:pt idx="17">
                  <c:v>6.4763730761990268E-2</c:v>
                </c:pt>
                <c:pt idx="18">
                  <c:v>7.0639327901249452E-2</c:v>
                </c:pt>
                <c:pt idx="19">
                  <c:v>6.0318094663786778E-2</c:v>
                </c:pt>
                <c:pt idx="20">
                  <c:v>5.9029242659879667E-2</c:v>
                </c:pt>
                <c:pt idx="21">
                  <c:v>6.8907699815565576E-2</c:v>
                </c:pt>
                <c:pt idx="22">
                  <c:v>5.5904139684612157E-2</c:v>
                </c:pt>
                <c:pt idx="23">
                  <c:v>6.54443238271534E-2</c:v>
                </c:pt>
                <c:pt idx="24">
                  <c:v>6.1540698840747116E-2</c:v>
                </c:pt>
                <c:pt idx="25">
                  <c:v>4.7263719096074235E-2</c:v>
                </c:pt>
                <c:pt idx="26">
                  <c:v>5.1538595993292788E-2</c:v>
                </c:pt>
                <c:pt idx="27">
                  <c:v>4.5336300061017673E-2</c:v>
                </c:pt>
                <c:pt idx="28">
                  <c:v>4.8734861668615612E-2</c:v>
                </c:pt>
                <c:pt idx="29">
                  <c:v>4.6624242303552936E-2</c:v>
                </c:pt>
                <c:pt idx="30">
                  <c:v>4.9765209513819804E-2</c:v>
                </c:pt>
                <c:pt idx="31">
                  <c:v>5.3083983779389395E-2</c:v>
                </c:pt>
                <c:pt idx="32">
                  <c:v>5.7935985140056129E-2</c:v>
                </c:pt>
                <c:pt idx="33">
                  <c:v>6.5005292164718426E-2</c:v>
                </c:pt>
                <c:pt idx="34">
                  <c:v>5.5215430810571724E-2</c:v>
                </c:pt>
                <c:pt idx="35">
                  <c:v>4.4885853962679266E-2</c:v>
                </c:pt>
                <c:pt idx="36">
                  <c:v>4.6077718248991352E-2</c:v>
                </c:pt>
                <c:pt idx="37">
                  <c:v>5.3861550304055192E-2</c:v>
                </c:pt>
                <c:pt idx="38">
                  <c:v>3.799531780656755E-2</c:v>
                </c:pt>
                <c:pt idx="39">
                  <c:v>3.9171289701945618E-2</c:v>
                </c:pt>
                <c:pt idx="40">
                  <c:v>4.6544577112504731E-2</c:v>
                </c:pt>
                <c:pt idx="41">
                  <c:v>4.3969559975053286E-2</c:v>
                </c:pt>
                <c:pt idx="42">
                  <c:v>5.0454513225989192E-2</c:v>
                </c:pt>
                <c:pt idx="43">
                  <c:v>3.8248266356804506E-2</c:v>
                </c:pt>
                <c:pt idx="44">
                  <c:v>5.1345445693433633E-2</c:v>
                </c:pt>
                <c:pt idx="45">
                  <c:v>4.2043482956417327E-2</c:v>
                </c:pt>
                <c:pt idx="46">
                  <c:v>4.6835150381338342E-2</c:v>
                </c:pt>
                <c:pt idx="47">
                  <c:v>4.9978747631808519E-2</c:v>
                </c:pt>
                <c:pt idx="48">
                  <c:v>4.2323489876525795E-2</c:v>
                </c:pt>
                <c:pt idx="49">
                  <c:v>4.5481511312462315E-2</c:v>
                </c:pt>
                <c:pt idx="50">
                  <c:v>4.4239586177288848E-2</c:v>
                </c:pt>
                <c:pt idx="51">
                  <c:v>5.1085075744257087E-2</c:v>
                </c:pt>
                <c:pt idx="52">
                  <c:v>0.11215398462143412</c:v>
                </c:pt>
                <c:pt idx="53">
                  <c:v>0.16269100918349094</c:v>
                </c:pt>
                <c:pt idx="54">
                  <c:v>0.13439968673314051</c:v>
                </c:pt>
                <c:pt idx="55">
                  <c:v>9.4358083930646847E-2</c:v>
                </c:pt>
                <c:pt idx="56">
                  <c:v>0.17044945191703223</c:v>
                </c:pt>
                <c:pt idx="57">
                  <c:v>0.72028173191820244</c:v>
                </c:pt>
                <c:pt idx="58">
                  <c:v>1.1352028175565894</c:v>
                </c:pt>
                <c:pt idx="59">
                  <c:v>1.703177699347588</c:v>
                </c:pt>
                <c:pt idx="60">
                  <c:v>2.0186022872812361</c:v>
                </c:pt>
                <c:pt idx="61">
                  <c:v>1.4677252306592123</c:v>
                </c:pt>
                <c:pt idx="62">
                  <c:v>1.361900360273641</c:v>
                </c:pt>
                <c:pt idx="63">
                  <c:v>1.3688843007990039</c:v>
                </c:pt>
                <c:pt idx="64">
                  <c:v>1.0196520634742881</c:v>
                </c:pt>
                <c:pt idx="65">
                  <c:v>0.89337150933333931</c:v>
                </c:pt>
                <c:pt idx="66">
                  <c:v>0.736583258626618</c:v>
                </c:pt>
                <c:pt idx="67">
                  <c:v>0.65287352241103969</c:v>
                </c:pt>
                <c:pt idx="68">
                  <c:v>0.57027213816158506</c:v>
                </c:pt>
                <c:pt idx="69">
                  <c:v>0.55978118609752037</c:v>
                </c:pt>
                <c:pt idx="70">
                  <c:v>0.48939152708769829</c:v>
                </c:pt>
                <c:pt idx="71">
                  <c:v>0.52575379423584356</c:v>
                </c:pt>
                <c:pt idx="72">
                  <c:v>0.63462780121004658</c:v>
                </c:pt>
                <c:pt idx="73">
                  <c:v>0.57513238771496977</c:v>
                </c:pt>
                <c:pt idx="74">
                  <c:v>0.40293308010500539</c:v>
                </c:pt>
                <c:pt idx="75">
                  <c:v>0.30797672155282924</c:v>
                </c:pt>
                <c:pt idx="76">
                  <c:v>0.22986925993038157</c:v>
                </c:pt>
                <c:pt idx="77">
                  <c:v>0.29437641266984071</c:v>
                </c:pt>
                <c:pt idx="78">
                  <c:v>0.27822435124033901</c:v>
                </c:pt>
                <c:pt idx="79">
                  <c:v>0.22725581873595388</c:v>
                </c:pt>
                <c:pt idx="80">
                  <c:v>0.20459054398482074</c:v>
                </c:pt>
                <c:pt idx="81">
                  <c:v>0.17409080430944579</c:v>
                </c:pt>
                <c:pt idx="82">
                  <c:v>0.17814972541063109</c:v>
                </c:pt>
                <c:pt idx="83">
                  <c:v>0.1183921096775194</c:v>
                </c:pt>
                <c:pt idx="84">
                  <c:v>0.1568817627832951</c:v>
                </c:pt>
                <c:pt idx="85">
                  <c:v>0.17759299026040237</c:v>
                </c:pt>
                <c:pt idx="86">
                  <c:v>0.11347537676341997</c:v>
                </c:pt>
                <c:pt idx="87">
                  <c:v>0.13918037224152899</c:v>
                </c:pt>
                <c:pt idx="88">
                  <c:v>0.14255794683103706</c:v>
                </c:pt>
                <c:pt idx="89">
                  <c:v>0.12153774975457293</c:v>
                </c:pt>
                <c:pt idx="90">
                  <c:v>0.10676677501096316</c:v>
                </c:pt>
                <c:pt idx="91">
                  <c:v>9.9548294556850367E-2</c:v>
                </c:pt>
                <c:pt idx="92">
                  <c:v>7.637354012359289E-2</c:v>
                </c:pt>
                <c:pt idx="93">
                  <c:v>9.3352147304565286E-2</c:v>
                </c:pt>
                <c:pt idx="94">
                  <c:v>8.6650153241568467E-2</c:v>
                </c:pt>
                <c:pt idx="95">
                  <c:v>9.1052782233583429E-2</c:v>
                </c:pt>
                <c:pt idx="96">
                  <c:v>0.11008326898793698</c:v>
                </c:pt>
              </c:numCache>
            </c:numRef>
          </c:xVal>
          <c:yVal>
            <c:numRef>
              <c:f>'storm time series'!$S$3:$S$99</c:f>
              <c:numCache>
                <c:formatCode>0.00</c:formatCode>
                <c:ptCount val="97"/>
                <c:pt idx="0">
                  <c:v>10.753606437639453</c:v>
                </c:pt>
                <c:pt idx="1">
                  <c:v>11.449421484108383</c:v>
                </c:pt>
                <c:pt idx="2">
                  <c:v>11.527468362180842</c:v>
                </c:pt>
                <c:pt idx="3">
                  <c:v>9.6051177537464021</c:v>
                </c:pt>
                <c:pt idx="4">
                  <c:v>11.045136245479773</c:v>
                </c:pt>
                <c:pt idx="5">
                  <c:v>10.008974257758966</c:v>
                </c:pt>
                <c:pt idx="6">
                  <c:v>11.70227778463963</c:v>
                </c:pt>
                <c:pt idx="7">
                  <c:v>12.629965915920756</c:v>
                </c:pt>
                <c:pt idx="8">
                  <c:v>12.364784977486735</c:v>
                </c:pt>
                <c:pt idx="9">
                  <c:v>12.012677009828534</c:v>
                </c:pt>
                <c:pt idx="10">
                  <c:v>10.448104279992853</c:v>
                </c:pt>
                <c:pt idx="11">
                  <c:v>10.571623815098866</c:v>
                </c:pt>
                <c:pt idx="12">
                  <c:v>10.006489385883089</c:v>
                </c:pt>
                <c:pt idx="13">
                  <c:v>10.821066004280896</c:v>
                </c:pt>
                <c:pt idx="14">
                  <c:v>10.498695217004803</c:v>
                </c:pt>
                <c:pt idx="15">
                  <c:v>10.132373543120504</c:v>
                </c:pt>
                <c:pt idx="16">
                  <c:v>9.1308573594191778</c:v>
                </c:pt>
                <c:pt idx="17">
                  <c:v>9.7221608905720132</c:v>
                </c:pt>
                <c:pt idx="18">
                  <c:v>10.144524430776944</c:v>
                </c:pt>
                <c:pt idx="19">
                  <c:v>9.3894205084169062</c:v>
                </c:pt>
                <c:pt idx="20">
                  <c:v>9.2906308866960661</c:v>
                </c:pt>
                <c:pt idx="21">
                  <c:v>10.021974915550905</c:v>
                </c:pt>
                <c:pt idx="22">
                  <c:v>9.0464232720722055</c:v>
                </c:pt>
                <c:pt idx="23">
                  <c:v>9.7720595240525299</c:v>
                </c:pt>
                <c:pt idx="24">
                  <c:v>9.4821414923295126</c:v>
                </c:pt>
                <c:pt idx="25">
                  <c:v>8.3323959976455857</c:v>
                </c:pt>
                <c:pt idx="26">
                  <c:v>8.6933050378684342</c:v>
                </c:pt>
                <c:pt idx="27">
                  <c:v>8.1642300776925687</c:v>
                </c:pt>
                <c:pt idx="28">
                  <c:v>8.4584096024010673</c:v>
                </c:pt>
                <c:pt idx="29">
                  <c:v>8.2769967530698683</c:v>
                </c:pt>
                <c:pt idx="30">
                  <c:v>8.5455137041248861</c:v>
                </c:pt>
                <c:pt idx="31">
                  <c:v>8.8199926345190907</c:v>
                </c:pt>
                <c:pt idx="32">
                  <c:v>9.2059671796596909</c:v>
                </c:pt>
                <c:pt idx="33">
                  <c:v>9.7399017992620589</c:v>
                </c:pt>
                <c:pt idx="34">
                  <c:v>8.9916750266202623</c:v>
                </c:pt>
                <c:pt idx="35">
                  <c:v>8.1244058647089226</c:v>
                </c:pt>
                <c:pt idx="36">
                  <c:v>8.2293421289185194</c:v>
                </c:pt>
                <c:pt idx="37">
                  <c:v>8.8830242017558998</c:v>
                </c:pt>
                <c:pt idx="38">
                  <c:v>7.4876823764861795</c:v>
                </c:pt>
                <c:pt idx="39">
                  <c:v>7.6002864174498352</c:v>
                </c:pt>
                <c:pt idx="40">
                  <c:v>8.2700680944641576</c:v>
                </c:pt>
                <c:pt idx="41">
                  <c:v>8.0427614120993436</c:v>
                </c:pt>
                <c:pt idx="42">
                  <c:v>8.6032735656642547</c:v>
                </c:pt>
                <c:pt idx="43">
                  <c:v>7.5120517164204665</c:v>
                </c:pt>
                <c:pt idx="44">
                  <c:v>8.6773354505305136</c:v>
                </c:pt>
                <c:pt idx="45">
                  <c:v>7.8682624843202937</c:v>
                </c:pt>
                <c:pt idx="46">
                  <c:v>8.2953107824859842</c:v>
                </c:pt>
                <c:pt idx="47">
                  <c:v>8.5634504287651811</c:v>
                </c:pt>
                <c:pt idx="48">
                  <c:v>7.8938803457987481</c:v>
                </c:pt>
                <c:pt idx="49">
                  <c:v>8.1770252175386684</c:v>
                </c:pt>
                <c:pt idx="50">
                  <c:v>8.066911022859431</c:v>
                </c:pt>
                <c:pt idx="51">
                  <c:v>8.6557595760042485</c:v>
                </c:pt>
                <c:pt idx="52">
                  <c:v>12.721779242976282</c:v>
                </c:pt>
                <c:pt idx="53">
                  <c:v>15.263647387955624</c:v>
                </c:pt>
                <c:pt idx="54">
                  <c:v>13.900493495878012</c:v>
                </c:pt>
                <c:pt idx="55">
                  <c:v>11.689688123522197</c:v>
                </c:pt>
                <c:pt idx="56">
                  <c:v>15.615862001903615</c:v>
                </c:pt>
                <c:pt idx="57">
                  <c:v>31.628057381454148</c:v>
                </c:pt>
                <c:pt idx="58">
                  <c:v>39.520557851236589</c:v>
                </c:pt>
                <c:pt idx="59">
                  <c:v>48.206055461172006</c:v>
                </c:pt>
                <c:pt idx="60">
                  <c:v>52.388619007464662</c:v>
                </c:pt>
                <c:pt idx="61">
                  <c:v>44.818728513329802</c:v>
                </c:pt>
                <c:pt idx="62">
                  <c:v>43.206049923903961</c:v>
                </c:pt>
                <c:pt idx="63">
                  <c:v>43.31440835604613</c:v>
                </c:pt>
                <c:pt idx="64">
                  <c:v>37.496655980859039</c:v>
                </c:pt>
                <c:pt idx="65">
                  <c:v>35.145846764055413</c:v>
                </c:pt>
                <c:pt idx="66">
                  <c:v>31.976588608982734</c:v>
                </c:pt>
                <c:pt idx="67">
                  <c:v>30.14223013829745</c:v>
                </c:pt>
                <c:pt idx="68">
                  <c:v>28.210255746906032</c:v>
                </c:pt>
                <c:pt idx="69">
                  <c:v>27.954913528904317</c:v>
                </c:pt>
                <c:pt idx="70">
                  <c:v>26.174497591542213</c:v>
                </c:pt>
                <c:pt idx="71">
                  <c:v>27.109452181307351</c:v>
                </c:pt>
                <c:pt idx="72">
                  <c:v>29.726733706097683</c:v>
                </c:pt>
                <c:pt idx="73">
                  <c:v>28.327737969171352</c:v>
                </c:pt>
                <c:pt idx="74">
                  <c:v>23.797764112710826</c:v>
                </c:pt>
                <c:pt idx="75">
                  <c:v>20.863194372065465</c:v>
                </c:pt>
                <c:pt idx="76">
                  <c:v>18.078849450748503</c:v>
                </c:pt>
                <c:pt idx="77">
                  <c:v>20.406822924107267</c:v>
                </c:pt>
                <c:pt idx="78">
                  <c:v>19.850611599526427</c:v>
                </c:pt>
                <c:pt idx="79">
                  <c:v>17.977901391426752</c:v>
                </c:pt>
                <c:pt idx="80">
                  <c:v>17.07631863833031</c:v>
                </c:pt>
                <c:pt idx="81">
                  <c:v>15.778347530235623</c:v>
                </c:pt>
                <c:pt idx="82">
                  <c:v>15.957435005051694</c:v>
                </c:pt>
                <c:pt idx="83">
                  <c:v>13.063505968143513</c:v>
                </c:pt>
                <c:pt idx="84">
                  <c:v>14.994273444610025</c:v>
                </c:pt>
                <c:pt idx="85">
                  <c:v>15.932994882849687</c:v>
                </c:pt>
                <c:pt idx="86">
                  <c:v>12.794959706299212</c:v>
                </c:pt>
                <c:pt idx="87">
                  <c:v>14.140466465617099</c:v>
                </c:pt>
                <c:pt idx="88">
                  <c:v>14.307481627007895</c:v>
                </c:pt>
                <c:pt idx="89">
                  <c:v>13.232340354745734</c:v>
                </c:pt>
                <c:pt idx="90">
                  <c:v>12.418775120350533</c:v>
                </c:pt>
                <c:pt idx="91">
                  <c:v>12.000262783276698</c:v>
                </c:pt>
                <c:pt idx="92">
                  <c:v>10.539760480415518</c:v>
                </c:pt>
                <c:pt idx="93">
                  <c:v>11.628493871820435</c:v>
                </c:pt>
                <c:pt idx="94">
                  <c:v>11.211900529191803</c:v>
                </c:pt>
                <c:pt idx="95">
                  <c:v>11.487340197684183</c:v>
                </c:pt>
                <c:pt idx="96">
                  <c:v>12.606209548605374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69-4407-909E-257E464199D2}"/>
            </c:ext>
          </c:extLst>
        </c:ser>
        <c:ser>
          <c:idx val="4"/>
          <c:order val="1"/>
          <c:tx>
            <c:strRef>
              <c:f>'storm time series'!$K$2</c:f>
              <c:strCache>
                <c:ptCount val="1"/>
                <c:pt idx="0">
                  <c:v>Corrected 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5058769858164929E-2"/>
                  <c:y val="0.30569488228918701"/>
                </c:manualLayout>
              </c:layout>
              <c:numFmt formatCode="General" sourceLinked="0"/>
              <c:spPr>
                <a:solidFill>
                  <a:schemeClr val="accent5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 time series'!$R$54:$R$99</c:f>
              <c:numCache>
                <c:formatCode>0.0000</c:formatCode>
                <c:ptCount val="46"/>
                <c:pt idx="0">
                  <c:v>5.1085075744257087E-2</c:v>
                </c:pt>
                <c:pt idx="1">
                  <c:v>0.11215398462143412</c:v>
                </c:pt>
                <c:pt idx="2">
                  <c:v>0.16269100918349094</c:v>
                </c:pt>
                <c:pt idx="3">
                  <c:v>0.13439968673314051</c:v>
                </c:pt>
                <c:pt idx="4">
                  <c:v>9.4358083930646847E-2</c:v>
                </c:pt>
                <c:pt idx="5">
                  <c:v>0.17044945191703223</c:v>
                </c:pt>
                <c:pt idx="6">
                  <c:v>0.72028173191820244</c:v>
                </c:pt>
                <c:pt idx="7">
                  <c:v>1.1352028175565894</c:v>
                </c:pt>
                <c:pt idx="8">
                  <c:v>1.703177699347588</c:v>
                </c:pt>
                <c:pt idx="9">
                  <c:v>2.0186022872812361</c:v>
                </c:pt>
                <c:pt idx="10">
                  <c:v>1.4677252306592123</c:v>
                </c:pt>
                <c:pt idx="11">
                  <c:v>1.361900360273641</c:v>
                </c:pt>
                <c:pt idx="12">
                  <c:v>1.3688843007990039</c:v>
                </c:pt>
                <c:pt idx="13">
                  <c:v>1.0196520634742881</c:v>
                </c:pt>
                <c:pt idx="14">
                  <c:v>0.89337150933333931</c:v>
                </c:pt>
                <c:pt idx="15">
                  <c:v>0.736583258626618</c:v>
                </c:pt>
                <c:pt idx="16">
                  <c:v>0.65287352241103969</c:v>
                </c:pt>
                <c:pt idx="17">
                  <c:v>0.57027213816158506</c:v>
                </c:pt>
                <c:pt idx="18">
                  <c:v>0.55978118609752037</c:v>
                </c:pt>
                <c:pt idx="19">
                  <c:v>0.48939152708769829</c:v>
                </c:pt>
                <c:pt idx="20">
                  <c:v>0.52575379423584356</c:v>
                </c:pt>
                <c:pt idx="21">
                  <c:v>0.63462780121004658</c:v>
                </c:pt>
                <c:pt idx="22">
                  <c:v>0.57513238771496977</c:v>
                </c:pt>
                <c:pt idx="23">
                  <c:v>0.40293308010500539</c:v>
                </c:pt>
                <c:pt idx="24">
                  <c:v>0.30797672155282924</c:v>
                </c:pt>
                <c:pt idx="25">
                  <c:v>0.22986925993038157</c:v>
                </c:pt>
                <c:pt idx="26">
                  <c:v>0.29437641266984071</c:v>
                </c:pt>
                <c:pt idx="27">
                  <c:v>0.27822435124033901</c:v>
                </c:pt>
                <c:pt idx="28">
                  <c:v>0.22725581873595388</c:v>
                </c:pt>
                <c:pt idx="29">
                  <c:v>0.20459054398482074</c:v>
                </c:pt>
                <c:pt idx="30">
                  <c:v>0.17409080430944579</c:v>
                </c:pt>
                <c:pt idx="31">
                  <c:v>0.17814972541063109</c:v>
                </c:pt>
                <c:pt idx="32">
                  <c:v>0.1183921096775194</c:v>
                </c:pt>
                <c:pt idx="33">
                  <c:v>0.1568817627832951</c:v>
                </c:pt>
                <c:pt idx="34">
                  <c:v>0.17759299026040237</c:v>
                </c:pt>
                <c:pt idx="35">
                  <c:v>0.11347537676341997</c:v>
                </c:pt>
                <c:pt idx="36">
                  <c:v>0.13918037224152899</c:v>
                </c:pt>
                <c:pt idx="37">
                  <c:v>0.14255794683103706</c:v>
                </c:pt>
                <c:pt idx="38">
                  <c:v>0.12153774975457293</c:v>
                </c:pt>
                <c:pt idx="39">
                  <c:v>0.10676677501096316</c:v>
                </c:pt>
                <c:pt idx="40">
                  <c:v>9.9548294556850367E-2</c:v>
                </c:pt>
                <c:pt idx="41">
                  <c:v>7.637354012359289E-2</c:v>
                </c:pt>
                <c:pt idx="42">
                  <c:v>9.3352147304565286E-2</c:v>
                </c:pt>
                <c:pt idx="43">
                  <c:v>8.6650153241568467E-2</c:v>
                </c:pt>
                <c:pt idx="44">
                  <c:v>9.1052782233583429E-2</c:v>
                </c:pt>
                <c:pt idx="45">
                  <c:v>0.11008326898793698</c:v>
                </c:pt>
              </c:numCache>
            </c:numRef>
          </c:xVal>
          <c:yVal>
            <c:numRef>
              <c:f>'storm time series'!$W$54:$W$99</c:f>
              <c:numCache>
                <c:formatCode>0.0</c:formatCode>
                <c:ptCount val="46"/>
                <c:pt idx="0">
                  <c:v>2.301682004262575E-2</c:v>
                </c:pt>
                <c:pt idx="1">
                  <c:v>0.42764466742697926</c:v>
                </c:pt>
                <c:pt idx="2">
                  <c:v>0.90410466118547261</c:v>
                </c:pt>
                <c:pt idx="3">
                  <c:v>0.62401512213386201</c:v>
                </c:pt>
                <c:pt idx="4">
                  <c:v>0.28750042030984252</c:v>
                </c:pt>
                <c:pt idx="5">
                  <c:v>0.9863809757657177</c:v>
                </c:pt>
                <c:pt idx="6">
                  <c:v>10.812908300608651</c:v>
                </c:pt>
                <c:pt idx="7">
                  <c:v>21.823328669542274</c:v>
                </c:pt>
                <c:pt idx="8">
                  <c:v>40.498401383901985</c:v>
                </c:pt>
                <c:pt idx="9">
                  <c:v>52.388619007464662</c:v>
                </c:pt>
                <c:pt idx="10">
                  <c:v>32.303485376374532</c:v>
                </c:pt>
                <c:pt idx="11">
                  <c:v>28.823432499359861</c:v>
                </c:pt>
                <c:pt idx="12">
                  <c:v>29.049061001236321</c:v>
                </c:pt>
                <c:pt idx="13">
                  <c:v>18.509432528055576</c:v>
                </c:pt>
                <c:pt idx="14">
                  <c:v>15.099248436022899</c:v>
                </c:pt>
                <c:pt idx="15">
                  <c:v>11.196295187210989</c:v>
                </c:pt>
                <c:pt idx="16">
                  <c:v>9.2749948666787478</c:v>
                </c:pt>
                <c:pt idx="17">
                  <c:v>7.4993224824178188</c:v>
                </c:pt>
                <c:pt idx="18">
                  <c:v>7.282781769147272</c:v>
                </c:pt>
                <c:pt idx="19">
                  <c:v>5.8850242445094674</c:v>
                </c:pt>
                <c:pt idx="20">
                  <c:v>6.594923181443936</c:v>
                </c:pt>
                <c:pt idx="21">
                  <c:v>8.8722063639566624</c:v>
                </c:pt>
                <c:pt idx="22">
                  <c:v>7.6003439499819434</c:v>
                </c:pt>
                <c:pt idx="23">
                  <c:v>4.3076815904663652</c:v>
                </c:pt>
                <c:pt idx="24">
                  <c:v>2.7722667044327545</c:v>
                </c:pt>
                <c:pt idx="25">
                  <c:v>1.6864930147137396</c:v>
                </c:pt>
                <c:pt idx="26">
                  <c:v>2.570939353532562</c:v>
                </c:pt>
                <c:pt idx="27">
                  <c:v>2.3383379318443756</c:v>
                </c:pt>
                <c:pt idx="28">
                  <c:v>1.653259595296525</c:v>
                </c:pt>
                <c:pt idx="29">
                  <c:v>1.3741578979255835</c:v>
                </c:pt>
                <c:pt idx="30">
                  <c:v>1.0257683113662293</c:v>
                </c:pt>
                <c:pt idx="31">
                  <c:v>1.070243099753162</c:v>
                </c:pt>
                <c:pt idx="32">
                  <c:v>0.48044031658571151</c:v>
                </c:pt>
                <c:pt idx="33">
                  <c:v>0.84399493234906009</c:v>
                </c:pt>
                <c:pt idx="34">
                  <c:v>1.0641074704228883</c:v>
                </c:pt>
                <c:pt idx="35">
                  <c:v>0.43867493447335582</c:v>
                </c:pt>
                <c:pt idx="36">
                  <c:v>0.66905511693843145</c:v>
                </c:pt>
                <c:pt idx="37">
                  <c:v>0.70145331668485433</c:v>
                </c:pt>
                <c:pt idx="38">
                  <c:v>0.50774901952196794</c:v>
                </c:pt>
                <c:pt idx="39">
                  <c:v>0.38354601757574636</c:v>
                </c:pt>
                <c:pt idx="40">
                  <c:v>0.32671071279536706</c:v>
                </c:pt>
                <c:pt idx="41">
                  <c:v>0.16313376162635718</c:v>
                </c:pt>
                <c:pt idx="42">
                  <c:v>0.28006587184589576</c:v>
                </c:pt>
                <c:pt idx="43">
                  <c:v>0.23194268064360765</c:v>
                </c:pt>
                <c:pt idx="44">
                  <c:v>0.26327712934970576</c:v>
                </c:pt>
                <c:pt idx="45">
                  <c:v>0.41052763431359102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69-4407-909E-257E46419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6464"/>
        <c:axId val="1763847424"/>
      </c:scatterChart>
      <c:valAx>
        <c:axId val="176384646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7424"/>
        <c:crosses val="autoZero"/>
        <c:crossBetween val="midCat"/>
      </c:valAx>
      <c:valAx>
        <c:axId val="17638474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865002994125168"/>
          <c:y val="0.91259594779845887"/>
          <c:w val="0.58520227162609517"/>
          <c:h val="6.6289350351128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Equation for Dmax - Original vs Corrected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'storm time series'!$S$2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4459207472864363E-2"/>
                  <c:y val="9.34628061545161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 time series'!$AD$3:$AD$100</c:f>
              <c:numCache>
                <c:formatCode>0.00</c:formatCode>
                <c:ptCount val="98"/>
                <c:pt idx="0">
                  <c:v>0.26357357913703783</c:v>
                </c:pt>
                <c:pt idx="1">
                  <c:v>0.43959719635473021</c:v>
                </c:pt>
                <c:pt idx="2">
                  <c:v>0.64314196750147545</c:v>
                </c:pt>
                <c:pt idx="3">
                  <c:v>0.21745258578566307</c:v>
                </c:pt>
                <c:pt idx="4">
                  <c:v>0.71045910724634176</c:v>
                </c:pt>
                <c:pt idx="5">
                  <c:v>0.72465277625882862</c:v>
                </c:pt>
                <c:pt idx="6">
                  <c:v>0.75169088534627493</c:v>
                </c:pt>
                <c:pt idx="7">
                  <c:v>0.36131808173894253</c:v>
                </c:pt>
                <c:pt idx="8">
                  <c:v>0.59259149159073499</c:v>
                </c:pt>
                <c:pt idx="9">
                  <c:v>0.30601292734437047</c:v>
                </c:pt>
                <c:pt idx="10">
                  <c:v>0.35657956317155703</c:v>
                </c:pt>
                <c:pt idx="11">
                  <c:v>0.44560120268442194</c:v>
                </c:pt>
                <c:pt idx="12">
                  <c:v>0.30592076541500562</c:v>
                </c:pt>
                <c:pt idx="13">
                  <c:v>0.47713193379371149</c:v>
                </c:pt>
                <c:pt idx="14">
                  <c:v>0.42204766709286834</c:v>
                </c:pt>
                <c:pt idx="15">
                  <c:v>0.13433200471241286</c:v>
                </c:pt>
                <c:pt idx="16">
                  <c:v>0.44716097879015804</c:v>
                </c:pt>
                <c:pt idx="17">
                  <c:v>0.83862275871784964</c:v>
                </c:pt>
                <c:pt idx="18">
                  <c:v>0.38589347435030963</c:v>
                </c:pt>
                <c:pt idx="19">
                  <c:v>0.27519371860891456</c:v>
                </c:pt>
                <c:pt idx="20">
                  <c:v>0.42692974294925801</c:v>
                </c:pt>
                <c:pt idx="21">
                  <c:v>0.49441457969157515</c:v>
                </c:pt>
                <c:pt idx="22">
                  <c:v>0.23289828171508362</c:v>
                </c:pt>
                <c:pt idx="23">
                  <c:v>0.35241888607021099</c:v>
                </c:pt>
                <c:pt idx="24">
                  <c:v>0.56283206483109793</c:v>
                </c:pt>
                <c:pt idx="25">
                  <c:v>0.30981817163503717</c:v>
                </c:pt>
                <c:pt idx="26">
                  <c:v>0.39673423306978151</c:v>
                </c:pt>
                <c:pt idx="27">
                  <c:v>0.15741570881703457</c:v>
                </c:pt>
                <c:pt idx="28">
                  <c:v>0.34963326088813296</c:v>
                </c:pt>
                <c:pt idx="29">
                  <c:v>0.83855121529307908</c:v>
                </c:pt>
                <c:pt idx="30">
                  <c:v>0.9422812523110039</c:v>
                </c:pt>
                <c:pt idx="31">
                  <c:v>0.79345891536948909</c:v>
                </c:pt>
                <c:pt idx="32">
                  <c:v>0.7930606870580551</c:v>
                </c:pt>
                <c:pt idx="33">
                  <c:v>0.8001572167765505</c:v>
                </c:pt>
                <c:pt idx="34">
                  <c:v>0.6686865003117477</c:v>
                </c:pt>
                <c:pt idx="35">
                  <c:v>0.6761037567515682</c:v>
                </c:pt>
                <c:pt idx="36">
                  <c:v>0.4985710259944689</c:v>
                </c:pt>
                <c:pt idx="37">
                  <c:v>0.72123084865711362</c:v>
                </c:pt>
                <c:pt idx="38">
                  <c:v>0.53567111224264141</c:v>
                </c:pt>
                <c:pt idx="39">
                  <c:v>0.68154229142414147</c:v>
                </c:pt>
                <c:pt idx="40">
                  <c:v>0.44443281912352056</c:v>
                </c:pt>
                <c:pt idx="41">
                  <c:v>0.73850715891062668</c:v>
                </c:pt>
                <c:pt idx="42">
                  <c:v>0.47547292128991725</c:v>
                </c:pt>
                <c:pt idx="43">
                  <c:v>0.29290478020195349</c:v>
                </c:pt>
                <c:pt idx="44">
                  <c:v>7.8584672613327688E-2</c:v>
                </c:pt>
                <c:pt idx="45">
                  <c:v>0.376809495454628</c:v>
                </c:pt>
                <c:pt idx="46">
                  <c:v>0.19089106833699857</c:v>
                </c:pt>
                <c:pt idx="47">
                  <c:v>0.38806254516650579</c:v>
                </c:pt>
                <c:pt idx="48">
                  <c:v>0.58009745809405333</c:v>
                </c:pt>
                <c:pt idx="49">
                  <c:v>0.30702365776266333</c:v>
                </c:pt>
                <c:pt idx="50">
                  <c:v>0.35834773347294702</c:v>
                </c:pt>
                <c:pt idx="51">
                  <c:v>0.5466548256178474</c:v>
                </c:pt>
                <c:pt idx="52">
                  <c:v>0.13665110545914122</c:v>
                </c:pt>
                <c:pt idx="53">
                  <c:v>0.38671688796039866</c:v>
                </c:pt>
                <c:pt idx="54">
                  <c:v>0.66767795668468632</c:v>
                </c:pt>
                <c:pt idx="55">
                  <c:v>1.1621360009538626</c:v>
                </c:pt>
                <c:pt idx="56">
                  <c:v>1.437061520214763</c:v>
                </c:pt>
                <c:pt idx="57">
                  <c:v>0.91285685611144418</c:v>
                </c:pt>
                <c:pt idx="58">
                  <c:v>1.50236828380645</c:v>
                </c:pt>
                <c:pt idx="59">
                  <c:v>2.1858613108627916</c:v>
                </c:pt>
                <c:pt idx="60">
                  <c:v>3.2828785450845364</c:v>
                </c:pt>
                <c:pt idx="61">
                  <c:v>3.427657426269394</c:v>
                </c:pt>
                <c:pt idx="62">
                  <c:v>4.1282215592645262</c:v>
                </c:pt>
                <c:pt idx="63">
                  <c:v>4.2532124658988861</c:v>
                </c:pt>
                <c:pt idx="64">
                  <c:v>3.9620029077075767</c:v>
                </c:pt>
                <c:pt idx="65">
                  <c:v>2.934927407082097</c:v>
                </c:pt>
                <c:pt idx="66">
                  <c:v>3.4445000708364795</c:v>
                </c:pt>
                <c:pt idx="67">
                  <c:v>3.6980872732573005</c:v>
                </c:pt>
                <c:pt idx="68">
                  <c:v>3.0993899385242476</c:v>
                </c:pt>
                <c:pt idx="69">
                  <c:v>3.3238984715736919</c:v>
                </c:pt>
                <c:pt idx="70">
                  <c:v>2.260366945122934</c:v>
                </c:pt>
                <c:pt idx="71">
                  <c:v>2.1551729284937196</c:v>
                </c:pt>
                <c:pt idx="72">
                  <c:v>1.8823525044008163</c:v>
                </c:pt>
                <c:pt idx="73">
                  <c:v>1.8781706086114267</c:v>
                </c:pt>
                <c:pt idx="74">
                  <c:v>1.4214848291287361</c:v>
                </c:pt>
                <c:pt idx="75">
                  <c:v>1.6559816475897358</c:v>
                </c:pt>
                <c:pt idx="76">
                  <c:v>1.3214398084675674</c:v>
                </c:pt>
                <c:pt idx="77">
                  <c:v>1.1676899755608887</c:v>
                </c:pt>
                <c:pt idx="78">
                  <c:v>1.3167189351284487</c:v>
                </c:pt>
                <c:pt idx="79">
                  <c:v>0.83176915890580772</c:v>
                </c:pt>
                <c:pt idx="80">
                  <c:v>0.9843565671128478</c:v>
                </c:pt>
                <c:pt idx="81">
                  <c:v>1.0518376231192159</c:v>
                </c:pt>
                <c:pt idx="82">
                  <c:v>1.6223738543299999</c:v>
                </c:pt>
                <c:pt idx="83">
                  <c:v>1.4851531385854422</c:v>
                </c:pt>
                <c:pt idx="84">
                  <c:v>1.2473334414503794</c:v>
                </c:pt>
                <c:pt idx="85">
                  <c:v>1.3007794467744922</c:v>
                </c:pt>
                <c:pt idx="86">
                  <c:v>0.91876639331709964</c:v>
                </c:pt>
                <c:pt idx="87">
                  <c:v>0.77841399978784198</c:v>
                </c:pt>
                <c:pt idx="88">
                  <c:v>0.6008071614328907</c:v>
                </c:pt>
                <c:pt idx="89">
                  <c:v>0.88274864813720355</c:v>
                </c:pt>
                <c:pt idx="90">
                  <c:v>0.53415236333401706</c:v>
                </c:pt>
                <c:pt idx="91">
                  <c:v>0.70903019825104274</c:v>
                </c:pt>
                <c:pt idx="92">
                  <c:v>0.50425043430827321</c:v>
                </c:pt>
                <c:pt idx="93">
                  <c:v>0.58818157620459977</c:v>
                </c:pt>
                <c:pt idx="94">
                  <c:v>0.47980029560391346</c:v>
                </c:pt>
                <c:pt idx="95">
                  <c:v>0.52239621109898449</c:v>
                </c:pt>
                <c:pt idx="96">
                  <c:v>0.58070952248011654</c:v>
                </c:pt>
                <c:pt idx="97">
                  <c:v>0.4761785172331322</c:v>
                </c:pt>
              </c:numCache>
            </c:numRef>
          </c:xVal>
          <c:yVal>
            <c:numRef>
              <c:f>'storm time series'!$AE$3:$AE$100</c:f>
              <c:numCache>
                <c:formatCode>0.000</c:formatCode>
                <c:ptCount val="98"/>
                <c:pt idx="0">
                  <c:v>19.331664100320655</c:v>
                </c:pt>
                <c:pt idx="1">
                  <c:v>24.834623711052632</c:v>
                </c:pt>
                <c:pt idx="2">
                  <c:v>29.921368797033395</c:v>
                </c:pt>
                <c:pt idx="3">
                  <c:v>17.593855701595938</c:v>
                </c:pt>
                <c:pt idx="4">
                  <c:v>31.416100892084852</c:v>
                </c:pt>
                <c:pt idx="5">
                  <c:v>31.72190310962235</c:v>
                </c:pt>
                <c:pt idx="6">
                  <c:v>32.296096210611431</c:v>
                </c:pt>
                <c:pt idx="7">
                  <c:v>22.560679543175702</c:v>
                </c:pt>
                <c:pt idx="8">
                  <c:v>28.745635725673324</c:v>
                </c:pt>
                <c:pt idx="9">
                  <c:v>20.797941855513933</c:v>
                </c:pt>
                <c:pt idx="10">
                  <c:v>22.415302573371232</c:v>
                </c:pt>
                <c:pt idx="11">
                  <c:v>25.000150459147054</c:v>
                </c:pt>
                <c:pt idx="12">
                  <c:v>20.794874277441039</c:v>
                </c:pt>
                <c:pt idx="13">
                  <c:v>25.851328026017967</c:v>
                </c:pt>
                <c:pt idx="14">
                  <c:v>24.344066247837816</c:v>
                </c:pt>
                <c:pt idx="15">
                  <c:v>13.897065098168484</c:v>
                </c:pt>
                <c:pt idx="16">
                  <c:v>25.042965983382995</c:v>
                </c:pt>
                <c:pt idx="17">
                  <c:v>34.074083109995165</c:v>
                </c:pt>
                <c:pt idx="18">
                  <c:v>23.299505046324192</c:v>
                </c:pt>
                <c:pt idx="19">
                  <c:v>19.74442880413374</c:v>
                </c:pt>
                <c:pt idx="20">
                  <c:v>24.481562219331547</c:v>
                </c:pt>
                <c:pt idx="21">
                  <c:v>26.305713580823937</c:v>
                </c:pt>
                <c:pt idx="22">
                  <c:v>18.195119915262755</c:v>
                </c:pt>
                <c:pt idx="23">
                  <c:v>22.286838718986882</c:v>
                </c:pt>
                <c:pt idx="24">
                  <c:v>28.029419693648578</c:v>
                </c:pt>
                <c:pt idx="25">
                  <c:v>20.924189043504651</c:v>
                </c:pt>
                <c:pt idx="26">
                  <c:v>23.617769736132988</c:v>
                </c:pt>
                <c:pt idx="27">
                  <c:v>15.019242595540955</c:v>
                </c:pt>
                <c:pt idx="28">
                  <c:v>22.200397561997416</c:v>
                </c:pt>
                <c:pt idx="29">
                  <c:v>34.072659579360547</c:v>
                </c:pt>
                <c:pt idx="30">
                  <c:v>36.075288113137567</c:v>
                </c:pt>
                <c:pt idx="31">
                  <c:v>33.162763445790141</c:v>
                </c:pt>
                <c:pt idx="32">
                  <c:v>33.154611821964082</c:v>
                </c:pt>
                <c:pt idx="33">
                  <c:v>33.299564222719859</c:v>
                </c:pt>
                <c:pt idx="34">
                  <c:v>30.497558859900899</c:v>
                </c:pt>
                <c:pt idx="35">
                  <c:v>30.662751949554721</c:v>
                </c:pt>
                <c:pt idx="36">
                  <c:v>26.413777935966973</c:v>
                </c:pt>
                <c:pt idx="37">
                  <c:v>31.648459436364803</c:v>
                </c:pt>
                <c:pt idx="38">
                  <c:v>27.358674605746323</c:v>
                </c:pt>
                <c:pt idx="39">
                  <c:v>30.783289155104974</c:v>
                </c:pt>
                <c:pt idx="40">
                  <c:v>24.968028454143379</c:v>
                </c:pt>
                <c:pt idx="41">
                  <c:v>32.017461353840112</c:v>
                </c:pt>
                <c:pt idx="42">
                  <c:v>25.807271531844108</c:v>
                </c:pt>
                <c:pt idx="43">
                  <c:v>20.356801407695279</c:v>
                </c:pt>
                <c:pt idx="44">
                  <c:v>10.688100700571788</c:v>
                </c:pt>
                <c:pt idx="45">
                  <c:v>23.029285130619289</c:v>
                </c:pt>
                <c:pt idx="46">
                  <c:v>16.506473735075257</c:v>
                </c:pt>
                <c:pt idx="47">
                  <c:v>23.363546554934821</c:v>
                </c:pt>
                <c:pt idx="48">
                  <c:v>28.447231957877804</c:v>
                </c:pt>
                <c:pt idx="49">
                  <c:v>20.83155278206107</c:v>
                </c:pt>
                <c:pt idx="50">
                  <c:v>22.46966438227409</c:v>
                </c:pt>
                <c:pt idx="51">
                  <c:v>27.631963081806077</c:v>
                </c:pt>
                <c:pt idx="52">
                  <c:v>14.01403997288701</c:v>
                </c:pt>
                <c:pt idx="53">
                  <c:v>23.323837793864588</c:v>
                </c:pt>
                <c:pt idx="54">
                  <c:v>30.475025054476774</c:v>
                </c:pt>
                <c:pt idx="55">
                  <c:v>39.976974540218343</c:v>
                </c:pt>
                <c:pt idx="56">
                  <c:v>44.357726288728202</c:v>
                </c:pt>
                <c:pt idx="57">
                  <c:v>35.519168131343648</c:v>
                </c:pt>
                <c:pt idx="58">
                  <c:v>45.33368254123814</c:v>
                </c:pt>
                <c:pt idx="59">
                  <c:v>54.471179758949042</c:v>
                </c:pt>
                <c:pt idx="60">
                  <c:v>66.475800518584137</c:v>
                </c:pt>
                <c:pt idx="61">
                  <c:v>67.895630319562855</c:v>
                </c:pt>
                <c:pt idx="62">
                  <c:v>74.369135417746435</c:v>
                </c:pt>
                <c:pt idx="63">
                  <c:v>75.463396074733694</c:v>
                </c:pt>
                <c:pt idx="64">
                  <c:v>72.887401129850275</c:v>
                </c:pt>
                <c:pt idx="65">
                  <c:v>62.926854263426122</c:v>
                </c:pt>
                <c:pt idx="66">
                  <c:v>68.058800694432833</c:v>
                </c:pt>
                <c:pt idx="67">
                  <c:v>70.468009795221292</c:v>
                </c:pt>
                <c:pt idx="68">
                  <c:v>64.629613249745333</c:v>
                </c:pt>
                <c:pt idx="69">
                  <c:v>66.88126761185822</c:v>
                </c:pt>
                <c:pt idx="70">
                  <c:v>55.372613673813277</c:v>
                </c:pt>
                <c:pt idx="71">
                  <c:v>54.095331733934266</c:v>
                </c:pt>
                <c:pt idx="72">
                  <c:v>50.626120782656123</c:v>
                </c:pt>
                <c:pt idx="73">
                  <c:v>50.571011673526229</c:v>
                </c:pt>
                <c:pt idx="74">
                  <c:v>44.121621251906596</c:v>
                </c:pt>
                <c:pt idx="75">
                  <c:v>47.547214629001694</c:v>
                </c:pt>
                <c:pt idx="76">
                  <c:v>42.572631686625165</c:v>
                </c:pt>
                <c:pt idx="77">
                  <c:v>40.070420028323532</c:v>
                </c:pt>
                <c:pt idx="78">
                  <c:v>42.498084377982146</c:v>
                </c:pt>
                <c:pt idx="79">
                  <c:v>33.937431496062899</c:v>
                </c:pt>
                <c:pt idx="80">
                  <c:v>36.855333381216369</c:v>
                </c:pt>
                <c:pt idx="81">
                  <c:v>38.071665105915713</c:v>
                </c:pt>
                <c:pt idx="82">
                  <c:v>47.072201205244433</c:v>
                </c:pt>
                <c:pt idx="83">
                  <c:v>45.078553070083458</c:v>
                </c:pt>
                <c:pt idx="84">
                  <c:v>41.386267006171423</c:v>
                </c:pt>
                <c:pt idx="85">
                  <c:v>42.245370956387312</c:v>
                </c:pt>
                <c:pt idx="86">
                  <c:v>35.631584116137674</c:v>
                </c:pt>
                <c:pt idx="87">
                  <c:v>32.853333490527433</c:v>
                </c:pt>
                <c:pt idx="88">
                  <c:v>28.940109598441055</c:v>
                </c:pt>
                <c:pt idx="89">
                  <c:v>34.940571287453785</c:v>
                </c:pt>
                <c:pt idx="90">
                  <c:v>27.320662019534588</c:v>
                </c:pt>
                <c:pt idx="91">
                  <c:v>31.385143033866363</c:v>
                </c:pt>
                <c:pt idx="92">
                  <c:v>26.560697547969596</c:v>
                </c:pt>
                <c:pt idx="93">
                  <c:v>28.640680563368452</c:v>
                </c:pt>
                <c:pt idx="94">
                  <c:v>25.922024993699843</c:v>
                </c:pt>
                <c:pt idx="95">
                  <c:v>27.024533240405859</c:v>
                </c:pt>
                <c:pt idx="96">
                  <c:v>28.461926274567773</c:v>
                </c:pt>
                <c:pt idx="97">
                  <c:v>25.826018806095679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D5-4E65-859A-BAFD0890B272}"/>
            </c:ext>
          </c:extLst>
        </c:ser>
        <c:ser>
          <c:idx val="4"/>
          <c:order val="1"/>
          <c:tx>
            <c:strRef>
              <c:f>'storm time series'!$K$2</c:f>
              <c:strCache>
                <c:ptCount val="1"/>
                <c:pt idx="0">
                  <c:v>Corrected 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3508668115746736"/>
                  <c:y val="0.25464149794865959"/>
                </c:manualLayout>
              </c:layout>
              <c:numFmt formatCode="General" sourceLinked="0"/>
              <c:spPr>
                <a:solidFill>
                  <a:schemeClr val="accent5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 time series'!$AD$57:$AD$96</c:f>
              <c:numCache>
                <c:formatCode>0.00</c:formatCode>
                <c:ptCount val="40"/>
                <c:pt idx="0">
                  <c:v>0.66767795668468632</c:v>
                </c:pt>
                <c:pt idx="1">
                  <c:v>1.1621360009538626</c:v>
                </c:pt>
                <c:pt idx="2">
                  <c:v>1.437061520214763</c:v>
                </c:pt>
                <c:pt idx="3">
                  <c:v>0.91285685611144418</c:v>
                </c:pt>
                <c:pt idx="4">
                  <c:v>1.50236828380645</c:v>
                </c:pt>
                <c:pt idx="5">
                  <c:v>2.1858613108627916</c:v>
                </c:pt>
                <c:pt idx="6">
                  <c:v>3.2828785450845364</c:v>
                </c:pt>
                <c:pt idx="7">
                  <c:v>3.427657426269394</c:v>
                </c:pt>
                <c:pt idx="8">
                  <c:v>4.1282215592645262</c:v>
                </c:pt>
                <c:pt idx="9">
                  <c:v>4.2532124658988861</c:v>
                </c:pt>
                <c:pt idx="10">
                  <c:v>3.9620029077075767</c:v>
                </c:pt>
                <c:pt idx="11">
                  <c:v>2.934927407082097</c:v>
                </c:pt>
                <c:pt idx="12">
                  <c:v>3.4445000708364795</c:v>
                </c:pt>
                <c:pt idx="13">
                  <c:v>3.6980872732573005</c:v>
                </c:pt>
                <c:pt idx="14">
                  <c:v>3.0993899385242476</c:v>
                </c:pt>
                <c:pt idx="15">
                  <c:v>3.3238984715736919</c:v>
                </c:pt>
                <c:pt idx="16">
                  <c:v>2.260366945122934</c:v>
                </c:pt>
                <c:pt idx="17">
                  <c:v>2.1551729284937196</c:v>
                </c:pt>
                <c:pt idx="18">
                  <c:v>1.8823525044008163</c:v>
                </c:pt>
                <c:pt idx="19">
                  <c:v>1.8781706086114267</c:v>
                </c:pt>
                <c:pt idx="20">
                  <c:v>1.4214848291287361</c:v>
                </c:pt>
                <c:pt idx="21">
                  <c:v>1.6559816475897358</c:v>
                </c:pt>
                <c:pt idx="22">
                  <c:v>1.3214398084675674</c:v>
                </c:pt>
                <c:pt idx="23">
                  <c:v>1.1676899755608887</c:v>
                </c:pt>
                <c:pt idx="24">
                  <c:v>1.3167189351284487</c:v>
                </c:pt>
                <c:pt idx="25">
                  <c:v>0.83176915890580772</c:v>
                </c:pt>
                <c:pt idx="26">
                  <c:v>0.9843565671128478</c:v>
                </c:pt>
                <c:pt idx="27">
                  <c:v>1.0518376231192159</c:v>
                </c:pt>
                <c:pt idx="28">
                  <c:v>1.6223738543299999</c:v>
                </c:pt>
                <c:pt idx="29">
                  <c:v>1.4851531385854422</c:v>
                </c:pt>
                <c:pt idx="30">
                  <c:v>1.2473334414503794</c:v>
                </c:pt>
                <c:pt idx="31">
                  <c:v>1.3007794467744922</c:v>
                </c:pt>
                <c:pt idx="32">
                  <c:v>0.91876639331709964</c:v>
                </c:pt>
                <c:pt idx="33">
                  <c:v>0.77841399978784198</c:v>
                </c:pt>
                <c:pt idx="34">
                  <c:v>0.6008071614328907</c:v>
                </c:pt>
                <c:pt idx="35">
                  <c:v>0.88274864813720355</c:v>
                </c:pt>
                <c:pt idx="36">
                  <c:v>0.53415236333401706</c:v>
                </c:pt>
                <c:pt idx="37">
                  <c:v>0.70903019825104274</c:v>
                </c:pt>
                <c:pt idx="38">
                  <c:v>0.50425043430827321</c:v>
                </c:pt>
                <c:pt idx="39">
                  <c:v>0.58818157620459977</c:v>
                </c:pt>
              </c:numCache>
            </c:numRef>
          </c:xVal>
          <c:yVal>
            <c:numRef>
              <c:f>'storm time series'!$AI$57:$AI$96</c:f>
              <c:numCache>
                <c:formatCode>0.000</c:formatCode>
                <c:ptCount val="40"/>
                <c:pt idx="0">
                  <c:v>1.5033910669225594</c:v>
                </c:pt>
                <c:pt idx="1">
                  <c:v>7.2131430291960283</c:v>
                </c:pt>
                <c:pt idx="2">
                  <c:v>11.236972072285161</c:v>
                </c:pt>
                <c:pt idx="3">
                  <c:v>4.0612120747554936</c:v>
                </c:pt>
                <c:pt idx="4">
                  <c:v>12.269179326256188</c:v>
                </c:pt>
                <c:pt idx="5">
                  <c:v>24.613500775913497</c:v>
                </c:pt>
                <c:pt idx="6">
                  <c:v>49.373292551783905</c:v>
                </c:pt>
                <c:pt idx="7">
                  <c:v>53.034122673910822</c:v>
                </c:pt>
                <c:pt idx="8">
                  <c:v>71.904537014948758</c:v>
                </c:pt>
                <c:pt idx="9">
                  <c:v>75.463396074733694</c:v>
                </c:pt>
                <c:pt idx="10">
                  <c:v>67.259673081945579</c:v>
                </c:pt>
                <c:pt idx="11">
                  <c:v>40.932036729940684</c:v>
                </c:pt>
                <c:pt idx="12">
                  <c:v>53.465504299338306</c:v>
                </c:pt>
                <c:pt idx="13">
                  <c:v>60.096118539580473</c:v>
                </c:pt>
                <c:pt idx="14">
                  <c:v>44.857841745807249</c:v>
                </c:pt>
                <c:pt idx="15">
                  <c:v>50.401845248959297</c:v>
                </c:pt>
                <c:pt idx="16">
                  <c:v>26.114678721144234</c:v>
                </c:pt>
                <c:pt idx="17">
                  <c:v>24.003510828343988</c:v>
                </c:pt>
                <c:pt idx="18">
                  <c:v>18.802062202385333</c:v>
                </c:pt>
                <c:pt idx="19">
                  <c:v>18.725522708448835</c:v>
                </c:pt>
                <c:pt idx="20">
                  <c:v>10.994938126081466</c:v>
                </c:pt>
                <c:pt idx="21">
                  <c:v>14.804804822462378</c:v>
                </c:pt>
                <c:pt idx="22">
                  <c:v>9.4796575785690216</c:v>
                </c:pt>
                <c:pt idx="23">
                  <c:v>7.2890105262002676</c:v>
                </c:pt>
                <c:pt idx="24">
                  <c:v>9.4098636144043137</c:v>
                </c:pt>
                <c:pt idx="25">
                  <c:v>3.1507179885471293</c:v>
                </c:pt>
                <c:pt idx="26">
                  <c:v>4.9126694839933398</c:v>
                </c:pt>
                <c:pt idx="27">
                  <c:v>5.7559767528714643</c:v>
                </c:pt>
                <c:pt idx="28">
                  <c:v>14.237450266178659</c:v>
                </c:pt>
                <c:pt idx="29">
                  <c:v>11.99437318598979</c:v>
                </c:pt>
                <c:pt idx="30">
                  <c:v>8.4023092955406735</c:v>
                </c:pt>
                <c:pt idx="31">
                  <c:v>9.1753710620374971</c:v>
                </c:pt>
                <c:pt idx="32">
                  <c:v>4.1298950454300813</c:v>
                </c:pt>
                <c:pt idx="33">
                  <c:v>2.585309108874037</c:v>
                </c:pt>
                <c:pt idx="34">
                  <c:v>0.91455935307769887</c:v>
                </c:pt>
                <c:pt idx="35">
                  <c:v>3.7161295276776114</c:v>
                </c:pt>
                <c:pt idx="36">
                  <c:v>0.38054812454506753</c:v>
                </c:pt>
                <c:pt idx="37">
                  <c:v>1.8923996239087555</c:v>
                </c:pt>
                <c:pt idx="38">
                  <c:v>0.15938427926016815</c:v>
                </c:pt>
                <c:pt idx="39">
                  <c:v>0.80922086828832873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D5-4E65-859A-BAFD0890B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6464"/>
        <c:axId val="1763847424"/>
      </c:scatterChart>
      <c:valAx>
        <c:axId val="176384646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7424"/>
        <c:crosses val="autoZero"/>
        <c:crossBetween val="midCat"/>
      </c:valAx>
      <c:valAx>
        <c:axId val="17638474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865002994125168"/>
          <c:y val="0.91259594779845887"/>
          <c:w val="0.58520227162609517"/>
          <c:h val="6.6289350351128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Equation for Dmax - Original vs Corrected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'storm time series'!$S$2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9364046003685133E-2"/>
                  <c:y val="0.1728801784591934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 time series'!$AP$3:$AP$99</c:f>
              <c:numCache>
                <c:formatCode>0.000000</c:formatCode>
                <c:ptCount val="97"/>
                <c:pt idx="0">
                  <c:v>4.3897770971917459E-2</c:v>
                </c:pt>
                <c:pt idx="1">
                  <c:v>0.18495601908400139</c:v>
                </c:pt>
                <c:pt idx="2">
                  <c:v>7.6311053664435441E-2</c:v>
                </c:pt>
                <c:pt idx="3">
                  <c:v>0.24587964648561264</c:v>
                </c:pt>
                <c:pt idx="4">
                  <c:v>0.2186383680548033</c:v>
                </c:pt>
                <c:pt idx="5">
                  <c:v>0.12042700439733914</c:v>
                </c:pt>
                <c:pt idx="6">
                  <c:v>0.13252314805604898</c:v>
                </c:pt>
                <c:pt idx="7">
                  <c:v>0.10173811041204919</c:v>
                </c:pt>
                <c:pt idx="8">
                  <c:v>0.13556662581685189</c:v>
                </c:pt>
                <c:pt idx="9">
                  <c:v>8.3005080591624911E-2</c:v>
                </c:pt>
                <c:pt idx="10">
                  <c:v>0.1535163243028061</c:v>
                </c:pt>
                <c:pt idx="11">
                  <c:v>0.14186200277861316</c:v>
                </c:pt>
                <c:pt idx="12">
                  <c:v>0.25663826157074232</c:v>
                </c:pt>
                <c:pt idx="13">
                  <c:v>0.11647199853029763</c:v>
                </c:pt>
                <c:pt idx="14">
                  <c:v>0.10564978638456524</c:v>
                </c:pt>
                <c:pt idx="15">
                  <c:v>0.17674780247692887</c:v>
                </c:pt>
                <c:pt idx="16">
                  <c:v>0.13614698115794296</c:v>
                </c:pt>
                <c:pt idx="17">
                  <c:v>7.6138784420404379E-2</c:v>
                </c:pt>
                <c:pt idx="18">
                  <c:v>0.11338178857984446</c:v>
                </c:pt>
                <c:pt idx="19">
                  <c:v>0.1212864624299367</c:v>
                </c:pt>
                <c:pt idx="20">
                  <c:v>8.7453656597959867E-2</c:v>
                </c:pt>
                <c:pt idx="21">
                  <c:v>0.19734478574102218</c:v>
                </c:pt>
                <c:pt idx="22">
                  <c:v>6.4400565155262407E-2</c:v>
                </c:pt>
                <c:pt idx="23">
                  <c:v>0.12910904753600994</c:v>
                </c:pt>
                <c:pt idx="24">
                  <c:v>0.17782682490097981</c:v>
                </c:pt>
                <c:pt idx="25">
                  <c:v>0.12912396925033021</c:v>
                </c:pt>
                <c:pt idx="26">
                  <c:v>0.205180474500054</c:v>
                </c:pt>
                <c:pt idx="27">
                  <c:v>0.15766300758109059</c:v>
                </c:pt>
                <c:pt idx="28">
                  <c:v>0.10721676298505711</c:v>
                </c:pt>
                <c:pt idx="29">
                  <c:v>0.18678129408537913</c:v>
                </c:pt>
                <c:pt idx="30">
                  <c:v>9.4112123716766652E-2</c:v>
                </c:pt>
                <c:pt idx="31">
                  <c:v>2.6782662288688537E-2</c:v>
                </c:pt>
                <c:pt idx="32">
                  <c:v>6.5401064061752556E-2</c:v>
                </c:pt>
                <c:pt idx="33">
                  <c:v>6.6458881750492221E-2</c:v>
                </c:pt>
                <c:pt idx="34">
                  <c:v>0.11561723765412825</c:v>
                </c:pt>
                <c:pt idx="35">
                  <c:v>0.12961242946878099</c:v>
                </c:pt>
                <c:pt idx="36">
                  <c:v>0.19196880985856454</c:v>
                </c:pt>
                <c:pt idx="37">
                  <c:v>8.4023019417805142E-2</c:v>
                </c:pt>
                <c:pt idx="38">
                  <c:v>9.447163417159371E-2</c:v>
                </c:pt>
                <c:pt idx="39">
                  <c:v>0.10802313189235567</c:v>
                </c:pt>
                <c:pt idx="40">
                  <c:v>0.19607448910714628</c:v>
                </c:pt>
                <c:pt idx="41">
                  <c:v>0.13060660955588441</c:v>
                </c:pt>
                <c:pt idx="42">
                  <c:v>9.1363505624141944E-2</c:v>
                </c:pt>
                <c:pt idx="43">
                  <c:v>0.17378427225056214</c:v>
                </c:pt>
                <c:pt idx="44">
                  <c:v>0.10866053878855153</c:v>
                </c:pt>
                <c:pt idx="45">
                  <c:v>0.12379677874343308</c:v>
                </c:pt>
                <c:pt idx="46">
                  <c:v>3.6093941607830742E-2</c:v>
                </c:pt>
                <c:pt idx="47">
                  <c:v>0.12829945671784387</c:v>
                </c:pt>
                <c:pt idx="48">
                  <c:v>6.8580429746416149E-2</c:v>
                </c:pt>
                <c:pt idx="49">
                  <c:v>7.6875227564697349E-2</c:v>
                </c:pt>
                <c:pt idx="50">
                  <c:v>0.12291230211252457</c:v>
                </c:pt>
                <c:pt idx="51">
                  <c:v>0.13732524328888326</c:v>
                </c:pt>
                <c:pt idx="52">
                  <c:v>0.14243220866928247</c:v>
                </c:pt>
                <c:pt idx="53">
                  <c:v>0.11799037139285204</c:v>
                </c:pt>
                <c:pt idx="54">
                  <c:v>3.8284509488109228E-2</c:v>
                </c:pt>
                <c:pt idx="55">
                  <c:v>4.6424586546739768E-2</c:v>
                </c:pt>
                <c:pt idx="56">
                  <c:v>7.8998211542320673E-2</c:v>
                </c:pt>
                <c:pt idx="57">
                  <c:v>5.2917265180248564E-2</c:v>
                </c:pt>
                <c:pt idx="58">
                  <c:v>0.14038290717466523</c:v>
                </c:pt>
                <c:pt idx="59">
                  <c:v>7.5780540910691876E-2</c:v>
                </c:pt>
                <c:pt idx="60">
                  <c:v>0.13051331089451731</c:v>
                </c:pt>
                <c:pt idx="61">
                  <c:v>0.17211266171038553</c:v>
                </c:pt>
                <c:pt idx="62">
                  <c:v>7.1345817966111183E-2</c:v>
                </c:pt>
                <c:pt idx="63">
                  <c:v>0.10801880915662027</c:v>
                </c:pt>
                <c:pt idx="64">
                  <c:v>9.5528017625064118E-2</c:v>
                </c:pt>
                <c:pt idx="65">
                  <c:v>0.25245827412087241</c:v>
                </c:pt>
                <c:pt idx="66">
                  <c:v>1.6639206512325366E-2</c:v>
                </c:pt>
                <c:pt idx="67">
                  <c:v>9.6972535045769803E-2</c:v>
                </c:pt>
                <c:pt idx="68">
                  <c:v>6.1296781860400468E-2</c:v>
                </c:pt>
                <c:pt idx="69">
                  <c:v>7.0164259983481761E-2</c:v>
                </c:pt>
                <c:pt idx="70">
                  <c:v>0.10514076607225155</c:v>
                </c:pt>
                <c:pt idx="71">
                  <c:v>0.12722791084123955</c:v>
                </c:pt>
                <c:pt idx="72">
                  <c:v>9.3990796728811998E-2</c:v>
                </c:pt>
                <c:pt idx="73">
                  <c:v>0.11009140732830064</c:v>
                </c:pt>
                <c:pt idx="74">
                  <c:v>0.98258219116076384</c:v>
                </c:pt>
                <c:pt idx="75">
                  <c:v>1.2590241870353591</c:v>
                </c:pt>
                <c:pt idx="76">
                  <c:v>0.84041683641241394</c:v>
                </c:pt>
                <c:pt idx="77">
                  <c:v>0.62739279626082212</c:v>
                </c:pt>
                <c:pt idx="78">
                  <c:v>0.44477082458333461</c:v>
                </c:pt>
                <c:pt idx="79">
                  <c:v>0.21438573009800721</c:v>
                </c:pt>
                <c:pt idx="80">
                  <c:v>0.38380210657225572</c:v>
                </c:pt>
                <c:pt idx="81">
                  <c:v>0.45162371668816215</c:v>
                </c:pt>
                <c:pt idx="82">
                  <c:v>0.55912896058725181</c:v>
                </c:pt>
                <c:pt idx="83">
                  <c:v>1.3834537968274923</c:v>
                </c:pt>
                <c:pt idx="84">
                  <c:v>1.0296575052791119</c:v>
                </c:pt>
                <c:pt idx="85">
                  <c:v>0.60448560985588007</c:v>
                </c:pt>
                <c:pt idx="86">
                  <c:v>0.39730718576369378</c:v>
                </c:pt>
                <c:pt idx="87">
                  <c:v>0.28131010001283718</c:v>
                </c:pt>
                <c:pt idx="88">
                  <c:v>0.40467916058628961</c:v>
                </c:pt>
                <c:pt idx="89">
                  <c:v>0.1569991614526732</c:v>
                </c:pt>
                <c:pt idx="90">
                  <c:v>0.24024797158522995</c:v>
                </c:pt>
                <c:pt idx="91">
                  <c:v>0.14635073347674116</c:v>
                </c:pt>
                <c:pt idx="92">
                  <c:v>0.16929617535524172</c:v>
                </c:pt>
                <c:pt idx="93">
                  <c:v>8.344037671654049E-2</c:v>
                </c:pt>
                <c:pt idx="94">
                  <c:v>0.11896779263307206</c:v>
                </c:pt>
                <c:pt idx="95">
                  <c:v>0.10287296612355928</c:v>
                </c:pt>
                <c:pt idx="96">
                  <c:v>6.0471592724952936E-2</c:v>
                </c:pt>
              </c:numCache>
            </c:numRef>
          </c:xVal>
          <c:yVal>
            <c:numRef>
              <c:f>'storm time series'!$AQ$3:$AQ$99</c:f>
              <c:numCache>
                <c:formatCode>0.00</c:formatCode>
                <c:ptCount val="97"/>
                <c:pt idx="0">
                  <c:v>8.0363282851212663</c:v>
                </c:pt>
                <c:pt idx="1">
                  <c:v>16.253130487710635</c:v>
                </c:pt>
                <c:pt idx="2">
                  <c:v>10.535536766165974</c:v>
                </c:pt>
                <c:pt idx="3">
                  <c:v>18.684885468832288</c:v>
                </c:pt>
                <c:pt idx="4">
                  <c:v>17.640772512635152</c:v>
                </c:pt>
                <c:pt idx="5">
                  <c:v>13.172981394580948</c:v>
                </c:pt>
                <c:pt idx="6">
                  <c:v>13.805109624900602</c:v>
                </c:pt>
                <c:pt idx="7">
                  <c:v>12.128814236870042</c:v>
                </c:pt>
                <c:pt idx="8">
                  <c:v>13.959466228967017</c:v>
                </c:pt>
                <c:pt idx="9">
                  <c:v>10.978402578063717</c:v>
                </c:pt>
                <c:pt idx="10">
                  <c:v>14.83588582432855</c:v>
                </c:pt>
                <c:pt idx="11">
                  <c:v>14.273234972770835</c:v>
                </c:pt>
                <c:pt idx="12">
                  <c:v>19.080874918651901</c:v>
                </c:pt>
                <c:pt idx="13">
                  <c:v>12.959321815719266</c:v>
                </c:pt>
                <c:pt idx="14">
                  <c:v>12.354980307207368</c:v>
                </c:pt>
                <c:pt idx="15">
                  <c:v>15.895817122994304</c:v>
                </c:pt>
                <c:pt idx="16">
                  <c:v>13.988698765594263</c:v>
                </c:pt>
                <c:pt idx="17">
                  <c:v>10.523883237973774</c:v>
                </c:pt>
                <c:pt idx="18">
                  <c:v>12.789791024101083</c:v>
                </c:pt>
                <c:pt idx="19">
                  <c:v>13.218935705818058</c:v>
                </c:pt>
                <c:pt idx="20">
                  <c:v>11.262693512806807</c:v>
                </c:pt>
                <c:pt idx="21">
                  <c:v>16.777436215677767</c:v>
                </c:pt>
                <c:pt idx="22">
                  <c:v>9.695425382061428</c:v>
                </c:pt>
                <c:pt idx="23">
                  <c:v>13.629787270141717</c:v>
                </c:pt>
                <c:pt idx="24">
                  <c:v>15.943264747477949</c:v>
                </c:pt>
                <c:pt idx="25">
                  <c:v>13.630558650220944</c:v>
                </c:pt>
                <c:pt idx="26">
                  <c:v>17.100413280789716</c:v>
                </c:pt>
                <c:pt idx="27">
                  <c:v>15.030792490474056</c:v>
                </c:pt>
                <c:pt idx="28">
                  <c:v>12.444379093197286</c:v>
                </c:pt>
                <c:pt idx="29">
                  <c:v>16.331480206862913</c:v>
                </c:pt>
                <c:pt idx="30">
                  <c:v>11.674756469924011</c:v>
                </c:pt>
                <c:pt idx="31">
                  <c:v>6.3091894975312455</c:v>
                </c:pt>
                <c:pt idx="32">
                  <c:v>9.7688957777668222</c:v>
                </c:pt>
                <c:pt idx="33">
                  <c:v>9.8459541994458224</c:v>
                </c:pt>
                <c:pt idx="34">
                  <c:v>12.912661147967409</c:v>
                </c:pt>
                <c:pt idx="35">
                  <c:v>13.655784598711882</c:v>
                </c:pt>
                <c:pt idx="36">
                  <c:v>16.552044794136915</c:v>
                </c:pt>
                <c:pt idx="37">
                  <c:v>11.044128025648384</c:v>
                </c:pt>
                <c:pt idx="38">
                  <c:v>11.696574784232283</c:v>
                </c:pt>
                <c:pt idx="39">
                  <c:v>12.490124065586047</c:v>
                </c:pt>
                <c:pt idx="40">
                  <c:v>16.724463748255641</c:v>
                </c:pt>
                <c:pt idx="41">
                  <c:v>13.706978432163005</c:v>
                </c:pt>
                <c:pt idx="42">
                  <c:v>11.506520376444639</c:v>
                </c:pt>
                <c:pt idx="43">
                  <c:v>15.764736627470365</c:v>
                </c:pt>
                <c:pt idx="44">
                  <c:v>12.526160718124604</c:v>
                </c:pt>
                <c:pt idx="45">
                  <c:v>13.352216283654387</c:v>
                </c:pt>
                <c:pt idx="46">
                  <c:v>7.3017872516010875</c:v>
                </c:pt>
                <c:pt idx="47">
                  <c:v>13.587866952177826</c:v>
                </c:pt>
                <c:pt idx="48">
                  <c:v>9.9986376926468417</c:v>
                </c:pt>
                <c:pt idx="49">
                  <c:v>10.57360785955937</c:v>
                </c:pt>
                <c:pt idx="50">
                  <c:v>13.305415372457322</c:v>
                </c:pt>
                <c:pt idx="51">
                  <c:v>14.047852945938359</c:v>
                </c:pt>
                <c:pt idx="52">
                  <c:v>14.301300513135727</c:v>
                </c:pt>
                <c:pt idx="53">
                  <c:v>13.041779616482009</c:v>
                </c:pt>
                <c:pt idx="54">
                  <c:v>7.5155366753704058</c:v>
                </c:pt>
                <c:pt idx="55">
                  <c:v>8.2596208166284804</c:v>
                </c:pt>
                <c:pt idx="56">
                  <c:v>10.715606686769718</c:v>
                </c:pt>
                <c:pt idx="57">
                  <c:v>8.806416776115098</c:v>
                </c:pt>
                <c:pt idx="58">
                  <c:v>14.200164389583941</c:v>
                </c:pt>
                <c:pt idx="59">
                  <c:v>10.499605913709754</c:v>
                </c:pt>
                <c:pt idx="60">
                  <c:v>13.702182629894377</c:v>
                </c:pt>
                <c:pt idx="61">
                  <c:v>15.690295798650439</c:v>
                </c:pt>
                <c:pt idx="62">
                  <c:v>10.194082820384464</c:v>
                </c:pt>
                <c:pt idx="63">
                  <c:v>12.489879304026099</c:v>
                </c:pt>
                <c:pt idx="64">
                  <c:v>11.760441570256852</c:v>
                </c:pt>
                <c:pt idx="65">
                  <c:v>18.928048678101096</c:v>
                </c:pt>
                <c:pt idx="66">
                  <c:v>4.9973783700160812</c:v>
                </c:pt>
                <c:pt idx="67">
                  <c:v>11.847193588816559</c:v>
                </c:pt>
                <c:pt idx="68">
                  <c:v>9.4637186769615891</c:v>
                </c:pt>
                <c:pt idx="69">
                  <c:v>10.111057332487507</c:v>
                </c:pt>
                <c:pt idx="70">
                  <c:v>12.325794379387315</c:v>
                </c:pt>
                <c:pt idx="71">
                  <c:v>13.532174577268366</c:v>
                </c:pt>
                <c:pt idx="72">
                  <c:v>11.667383665740866</c:v>
                </c:pt>
                <c:pt idx="73">
                  <c:v>12.60666592268014</c:v>
                </c:pt>
                <c:pt idx="74">
                  <c:v>36.822785439690144</c:v>
                </c:pt>
                <c:pt idx="75">
                  <c:v>41.575767813015752</c:v>
                </c:pt>
                <c:pt idx="76">
                  <c:v>34.109760413043801</c:v>
                </c:pt>
                <c:pt idx="77">
                  <c:v>29.560290618491003</c:v>
                </c:pt>
                <c:pt idx="78">
                  <c:v>24.977325558323379</c:v>
                </c:pt>
                <c:pt idx="79">
                  <c:v>17.471903101861329</c:v>
                </c:pt>
                <c:pt idx="80">
                  <c:v>23.237583535286383</c:v>
                </c:pt>
                <c:pt idx="81">
                  <c:v>25.165047965570441</c:v>
                </c:pt>
                <c:pt idx="82">
                  <c:v>27.938958525291447</c:v>
                </c:pt>
                <c:pt idx="83">
                  <c:v>43.539555051420827</c:v>
                </c:pt>
                <c:pt idx="84">
                  <c:v>37.676387217171367</c:v>
                </c:pt>
                <c:pt idx="85">
                  <c:v>29.02674252086134</c:v>
                </c:pt>
                <c:pt idx="86">
                  <c:v>23.634466339689034</c:v>
                </c:pt>
                <c:pt idx="87">
                  <c:v>19.958120775420671</c:v>
                </c:pt>
                <c:pt idx="88">
                  <c:v>23.848209119595776</c:v>
                </c:pt>
                <c:pt idx="89">
                  <c:v>14.999767124446439</c:v>
                </c:pt>
                <c:pt idx="90">
                  <c:v>18.474073292647134</c:v>
                </c:pt>
                <c:pt idx="91">
                  <c:v>14.492639081801148</c:v>
                </c:pt>
                <c:pt idx="92">
                  <c:v>15.564031479115961</c:v>
                </c:pt>
                <c:pt idx="93">
                  <c:v>11.006558477905832</c:v>
                </c:pt>
                <c:pt idx="94">
                  <c:v>13.094573920461817</c:v>
                </c:pt>
                <c:pt idx="95">
                  <c:v>12.194879706571419</c:v>
                </c:pt>
                <c:pt idx="96">
                  <c:v>9.4011139527273802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65-4B67-BDCE-AEDECCF49F9F}"/>
            </c:ext>
          </c:extLst>
        </c:ser>
        <c:ser>
          <c:idx val="4"/>
          <c:order val="1"/>
          <c:tx>
            <c:strRef>
              <c:f>'storm time series'!$K$2</c:f>
              <c:strCache>
                <c:ptCount val="1"/>
                <c:pt idx="0">
                  <c:v>Corrected 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6.4895186344745601E-2"/>
                  <c:y val="0.30569488228918701"/>
                </c:manualLayout>
              </c:layout>
              <c:numFmt formatCode="General" sourceLinked="0"/>
              <c:spPr>
                <a:solidFill>
                  <a:schemeClr val="accent5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 time series'!$AP$77:$AP$95</c:f>
              <c:numCache>
                <c:formatCode>0.000000</c:formatCode>
                <c:ptCount val="19"/>
                <c:pt idx="0">
                  <c:v>0.98258219116076384</c:v>
                </c:pt>
                <c:pt idx="1">
                  <c:v>1.2590241870353591</c:v>
                </c:pt>
                <c:pt idx="2">
                  <c:v>0.84041683641241394</c:v>
                </c:pt>
                <c:pt idx="3">
                  <c:v>0.62739279626082212</c:v>
                </c:pt>
                <c:pt idx="4">
                  <c:v>0.44477082458333461</c:v>
                </c:pt>
                <c:pt idx="5">
                  <c:v>0.21438573009800721</c:v>
                </c:pt>
                <c:pt idx="6">
                  <c:v>0.38380210657225572</c:v>
                </c:pt>
                <c:pt idx="7">
                  <c:v>0.45162371668816215</c:v>
                </c:pt>
                <c:pt idx="8">
                  <c:v>0.55912896058725181</c:v>
                </c:pt>
                <c:pt idx="9">
                  <c:v>1.3834537968274923</c:v>
                </c:pt>
                <c:pt idx="10">
                  <c:v>1.0296575052791119</c:v>
                </c:pt>
                <c:pt idx="11">
                  <c:v>0.60448560985588007</c:v>
                </c:pt>
                <c:pt idx="12">
                  <c:v>0.39730718576369378</c:v>
                </c:pt>
                <c:pt idx="13">
                  <c:v>0.28131010001283718</c:v>
                </c:pt>
                <c:pt idx="14">
                  <c:v>0.40467916058628961</c:v>
                </c:pt>
                <c:pt idx="15">
                  <c:v>0.1569991614526732</c:v>
                </c:pt>
                <c:pt idx="16">
                  <c:v>0.24024797158522995</c:v>
                </c:pt>
                <c:pt idx="17">
                  <c:v>0.14635073347674116</c:v>
                </c:pt>
                <c:pt idx="18">
                  <c:v>0.16929617535524172</c:v>
                </c:pt>
              </c:numCache>
            </c:numRef>
          </c:xVal>
          <c:yVal>
            <c:numRef>
              <c:f>'storm time series'!$AU$77:$AU$95</c:f>
              <c:numCache>
                <c:formatCode>0.00</c:formatCode>
                <c:ptCount val="19"/>
                <c:pt idx="0">
                  <c:v>25.132491371139949</c:v>
                </c:pt>
                <c:pt idx="1">
                  <c:v>37.478753128333324</c:v>
                </c:pt>
                <c:pt idx="2">
                  <c:v>19.440387073878561</c:v>
                </c:pt>
                <c:pt idx="3">
                  <c:v>11.860462902816472</c:v>
                </c:pt>
                <c:pt idx="4">
                  <c:v>6.409186612086665</c:v>
                </c:pt>
                <c:pt idx="5">
                  <c:v>1.2954421677051648</c:v>
                </c:pt>
                <c:pt idx="6">
                  <c:v>4.8407460619542038</c:v>
                </c:pt>
                <c:pt idx="7">
                  <c:v>6.5939324607308993</c:v>
                </c:pt>
                <c:pt idx="8">
                  <c:v>9.6994932961778186</c:v>
                </c:pt>
                <c:pt idx="9">
                  <c:v>43.539555051420827</c:v>
                </c:pt>
                <c:pt idx="10">
                  <c:v>27.119739453068025</c:v>
                </c:pt>
                <c:pt idx="11">
                  <c:v>11.119796478409121</c:v>
                </c:pt>
                <c:pt idx="12">
                  <c:v>5.1762050249836697</c:v>
                </c:pt>
                <c:pt idx="13">
                  <c:v>2.5375905019495217</c:v>
                </c:pt>
                <c:pt idx="14">
                  <c:v>5.3622503173841283</c:v>
                </c:pt>
                <c:pt idx="15">
                  <c:v>0.43043953430756832</c:v>
                </c:pt>
                <c:pt idx="16">
                  <c:v>1.7481310031856034</c:v>
                </c:pt>
                <c:pt idx="17">
                  <c:v>0.29366841055615928</c:v>
                </c:pt>
                <c:pt idx="18">
                  <c:v>0.59820609208488906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65-4B67-BDCE-AEDECCF49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6464"/>
        <c:axId val="1763847424"/>
      </c:scatterChart>
      <c:valAx>
        <c:axId val="176384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7424"/>
        <c:crosses val="autoZero"/>
        <c:crossBetween val="midCat"/>
      </c:valAx>
      <c:valAx>
        <c:axId val="17638474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14865002994125168"/>
          <c:y val="0.91259594779845887"/>
          <c:w val="0.58520227162609517"/>
          <c:h val="6.6289350351128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Equation for Dmax - Original vs Corrected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'storm time series'!$BC$2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4.7730644248844663E-2"/>
                  <c:y val="0.3410489550288770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 time series'!$BB$3:$BB$99</c:f>
              <c:numCache>
                <c:formatCode>0.00000</c:formatCode>
                <c:ptCount val="97"/>
                <c:pt idx="0">
                  <c:v>0.19838801871065831</c:v>
                </c:pt>
                <c:pt idx="1">
                  <c:v>1.1425410741434612</c:v>
                </c:pt>
                <c:pt idx="2">
                  <c:v>0.59247653519213905</c:v>
                </c:pt>
                <c:pt idx="3">
                  <c:v>1.1263618058928713</c:v>
                </c:pt>
                <c:pt idx="4">
                  <c:v>0.91925005848913266</c:v>
                </c:pt>
                <c:pt idx="5">
                  <c:v>1.0679136329394707</c:v>
                </c:pt>
                <c:pt idx="6">
                  <c:v>0.6181216331801338</c:v>
                </c:pt>
                <c:pt idx="7">
                  <c:v>0.96308772214064187</c:v>
                </c:pt>
                <c:pt idx="8">
                  <c:v>0.90954195986243025</c:v>
                </c:pt>
                <c:pt idx="9">
                  <c:v>0.46189037529747701</c:v>
                </c:pt>
                <c:pt idx="10">
                  <c:v>0.42603380473409458</c:v>
                </c:pt>
                <c:pt idx="11">
                  <c:v>0.48397141731146243</c:v>
                </c:pt>
                <c:pt idx="12">
                  <c:v>0.23555368062501381</c:v>
                </c:pt>
                <c:pt idx="13">
                  <c:v>0.31973279550015182</c:v>
                </c:pt>
                <c:pt idx="14">
                  <c:v>0.89551106263800007</c:v>
                </c:pt>
                <c:pt idx="15">
                  <c:v>0.63828698585585841</c:v>
                </c:pt>
                <c:pt idx="16">
                  <c:v>6.2766419890358111E-2</c:v>
                </c:pt>
                <c:pt idx="17">
                  <c:v>0.85543880783302928</c:v>
                </c:pt>
                <c:pt idx="18">
                  <c:v>0.43580360599668472</c:v>
                </c:pt>
                <c:pt idx="19">
                  <c:v>0.66545080992355288</c:v>
                </c:pt>
                <c:pt idx="20">
                  <c:v>0.56009783527685952</c:v>
                </c:pt>
                <c:pt idx="21">
                  <c:v>1.0627063054888839</c:v>
                </c:pt>
                <c:pt idx="22">
                  <c:v>1.2187586841735567</c:v>
                </c:pt>
                <c:pt idx="23">
                  <c:v>0.74865064803917691</c:v>
                </c:pt>
                <c:pt idx="24">
                  <c:v>0.40686485429322244</c:v>
                </c:pt>
                <c:pt idx="25">
                  <c:v>0.21087168312464102</c:v>
                </c:pt>
                <c:pt idx="26">
                  <c:v>0.75121095185173714</c:v>
                </c:pt>
                <c:pt idx="27">
                  <c:v>0.61328250762514769</c:v>
                </c:pt>
                <c:pt idx="28">
                  <c:v>0.29502295052707628</c:v>
                </c:pt>
                <c:pt idx="29">
                  <c:v>0.11924054783552518</c:v>
                </c:pt>
                <c:pt idx="30">
                  <c:v>0.54905067510780237</c:v>
                </c:pt>
                <c:pt idx="31">
                  <c:v>1.4159084189802036</c:v>
                </c:pt>
                <c:pt idx="32">
                  <c:v>0.7315584334949391</c:v>
                </c:pt>
                <c:pt idx="33">
                  <c:v>1.142899517676268</c:v>
                </c:pt>
                <c:pt idx="34">
                  <c:v>0.33423251887800309</c:v>
                </c:pt>
                <c:pt idx="35">
                  <c:v>0.59752103454415595</c:v>
                </c:pt>
                <c:pt idx="36">
                  <c:v>0.32537495378053732</c:v>
                </c:pt>
                <c:pt idx="37">
                  <c:v>0.93400628880196002</c:v>
                </c:pt>
                <c:pt idx="38">
                  <c:v>0.63569775473544621</c:v>
                </c:pt>
                <c:pt idx="39">
                  <c:v>0.21295856021078574</c:v>
                </c:pt>
                <c:pt idx="40">
                  <c:v>0.64703081194116685</c:v>
                </c:pt>
                <c:pt idx="41">
                  <c:v>0.6819320300357361</c:v>
                </c:pt>
                <c:pt idx="42">
                  <c:v>0.8699496807675785</c:v>
                </c:pt>
                <c:pt idx="43">
                  <c:v>1.0300370115825552</c:v>
                </c:pt>
                <c:pt idx="44">
                  <c:v>1.2200262393455614</c:v>
                </c:pt>
                <c:pt idx="45">
                  <c:v>0.50198436566250659</c:v>
                </c:pt>
                <c:pt idx="46">
                  <c:v>0.55627296712533991</c:v>
                </c:pt>
                <c:pt idx="47">
                  <c:v>1.1299933399388442</c:v>
                </c:pt>
                <c:pt idx="48">
                  <c:v>0.50224851432423823</c:v>
                </c:pt>
                <c:pt idx="49">
                  <c:v>6.9054078198322166</c:v>
                </c:pt>
                <c:pt idx="50">
                  <c:v>4.7200975721794922</c:v>
                </c:pt>
                <c:pt idx="51">
                  <c:v>5.7350083570921395</c:v>
                </c:pt>
                <c:pt idx="52">
                  <c:v>4.8166240818336963</c:v>
                </c:pt>
                <c:pt idx="53">
                  <c:v>4.0309483679147737</c:v>
                </c:pt>
                <c:pt idx="54">
                  <c:v>4.5493196959834972</c:v>
                </c:pt>
                <c:pt idx="55">
                  <c:v>4.1353771970193192</c:v>
                </c:pt>
                <c:pt idx="56">
                  <c:v>3.8828025516388798</c:v>
                </c:pt>
                <c:pt idx="57">
                  <c:v>4.1066084997409478</c:v>
                </c:pt>
                <c:pt idx="58">
                  <c:v>4.4234604596793368</c:v>
                </c:pt>
                <c:pt idx="59">
                  <c:v>3.788883203311133</c:v>
                </c:pt>
                <c:pt idx="60">
                  <c:v>3.353626483336952</c:v>
                </c:pt>
                <c:pt idx="61">
                  <c:v>3.1485150270629259</c:v>
                </c:pt>
                <c:pt idx="62">
                  <c:v>3.4673104936961572</c:v>
                </c:pt>
                <c:pt idx="63">
                  <c:v>3.1983081099844544</c:v>
                </c:pt>
                <c:pt idx="64">
                  <c:v>2.2907570769709316</c:v>
                </c:pt>
                <c:pt idx="65">
                  <c:v>1.9219513463810098</c:v>
                </c:pt>
                <c:pt idx="66">
                  <c:v>2.1511265633178467</c:v>
                </c:pt>
                <c:pt idx="67">
                  <c:v>2.0787485266992447</c:v>
                </c:pt>
                <c:pt idx="68">
                  <c:v>1.8693904389382905</c:v>
                </c:pt>
                <c:pt idx="69">
                  <c:v>2.078228653831387</c:v>
                </c:pt>
                <c:pt idx="70">
                  <c:v>0.83089797203415505</c:v>
                </c:pt>
                <c:pt idx="71">
                  <c:v>0.98472527624692474</c:v>
                </c:pt>
                <c:pt idx="72">
                  <c:v>0.8593462519651065</c:v>
                </c:pt>
                <c:pt idx="73">
                  <c:v>1.2709131857130596</c:v>
                </c:pt>
                <c:pt idx="74">
                  <c:v>1.5943140087743315</c:v>
                </c:pt>
                <c:pt idx="75">
                  <c:v>1.140600424283382</c:v>
                </c:pt>
                <c:pt idx="76">
                  <c:v>1.4836145767079916</c:v>
                </c:pt>
                <c:pt idx="77">
                  <c:v>1.7865219458529225</c:v>
                </c:pt>
                <c:pt idx="78">
                  <c:v>1.3144026744284725</c:v>
                </c:pt>
                <c:pt idx="79">
                  <c:v>0.67964894144308741</c:v>
                </c:pt>
                <c:pt idx="80">
                  <c:v>1.8122232286789091</c:v>
                </c:pt>
                <c:pt idx="81">
                  <c:v>1.0056635523429234</c:v>
                </c:pt>
                <c:pt idx="82">
                  <c:v>1.1682507888377089</c:v>
                </c:pt>
                <c:pt idx="83">
                  <c:v>1.1947126122439504</c:v>
                </c:pt>
                <c:pt idx="84">
                  <c:v>1.0336510301686039</c:v>
                </c:pt>
                <c:pt idx="85">
                  <c:v>0.87702125717197854</c:v>
                </c:pt>
                <c:pt idx="86">
                  <c:v>0.8705039323844399</c:v>
                </c:pt>
                <c:pt idx="87">
                  <c:v>0.71323899136570501</c:v>
                </c:pt>
                <c:pt idx="88">
                  <c:v>0.94175479284903607</c:v>
                </c:pt>
                <c:pt idx="89">
                  <c:v>0.68905771686628614</c:v>
                </c:pt>
                <c:pt idx="90">
                  <c:v>0.47311239721001547</c:v>
                </c:pt>
                <c:pt idx="91">
                  <c:v>1.0230500299113292</c:v>
                </c:pt>
                <c:pt idx="92">
                  <c:v>0.92234878068596127</c:v>
                </c:pt>
                <c:pt idx="93">
                  <c:v>0.63296547797471125</c:v>
                </c:pt>
                <c:pt idx="94">
                  <c:v>0.78946029760972813</c:v>
                </c:pt>
                <c:pt idx="95">
                  <c:v>0.97046834255495151</c:v>
                </c:pt>
                <c:pt idx="96">
                  <c:v>0.59054689213141953</c:v>
                </c:pt>
              </c:numCache>
            </c:numRef>
          </c:xVal>
          <c:yVal>
            <c:numRef>
              <c:f>'storm time series'!$BC$3:$BC$99</c:f>
              <c:numCache>
                <c:formatCode>0.000</c:formatCode>
                <c:ptCount val="97"/>
                <c:pt idx="0">
                  <c:v>16.820809941256019</c:v>
                </c:pt>
                <c:pt idx="1">
                  <c:v>39.645456583396225</c:v>
                </c:pt>
                <c:pt idx="2">
                  <c:v>28.742904854222196</c:v>
                </c:pt>
                <c:pt idx="3">
                  <c:v>39.369533421059508</c:v>
                </c:pt>
                <c:pt idx="4">
                  <c:v>35.640768428102852</c:v>
                </c:pt>
                <c:pt idx="5">
                  <c:v>38.355507714735971</c:v>
                </c:pt>
                <c:pt idx="6">
                  <c:v>29.345566839890022</c:v>
                </c:pt>
                <c:pt idx="7">
                  <c:v>36.463198159789307</c:v>
                </c:pt>
                <c:pt idx="8">
                  <c:v>35.455946879836603</c:v>
                </c:pt>
                <c:pt idx="9">
                  <c:v>25.443584699087346</c:v>
                </c:pt>
                <c:pt idx="10">
                  <c:v>24.456389878309288</c:v>
                </c:pt>
                <c:pt idx="11">
                  <c:v>26.032136115911982</c:v>
                </c:pt>
                <c:pt idx="12">
                  <c:v>18.296415493334056</c:v>
                </c:pt>
                <c:pt idx="13">
                  <c:v>21.249458974659046</c:v>
                </c:pt>
                <c:pt idx="14">
                  <c:v>35.187040386560966</c:v>
                </c:pt>
                <c:pt idx="15">
                  <c:v>29.810545471853466</c:v>
                </c:pt>
                <c:pt idx="16">
                  <c:v>9.5741599740202101</c:v>
                </c:pt>
                <c:pt idx="17">
                  <c:v>34.406977289796167</c:v>
                </c:pt>
                <c:pt idx="18">
                  <c:v>24.729441430649075</c:v>
                </c:pt>
                <c:pt idx="19">
                  <c:v>30.425202491694701</c:v>
                </c:pt>
                <c:pt idx="20">
                  <c:v>27.962656108126847</c:v>
                </c:pt>
                <c:pt idx="21">
                  <c:v>38.263805902213079</c:v>
                </c:pt>
                <c:pt idx="22">
                  <c:v>40.919234617726914</c:v>
                </c:pt>
                <c:pt idx="23">
                  <c:v>32.232064192136171</c:v>
                </c:pt>
                <c:pt idx="24">
                  <c:v>23.911198459324371</c:v>
                </c:pt>
                <c:pt idx="25">
                  <c:v>17.331068420902895</c:v>
                </c:pt>
                <c:pt idx="26">
                  <c:v>32.285996877975236</c:v>
                </c:pt>
                <c:pt idx="27">
                  <c:v>29.232837847728149</c:v>
                </c:pt>
                <c:pt idx="28">
                  <c:v>20.428758714092439</c:v>
                </c:pt>
                <c:pt idx="29">
                  <c:v>13.109266947612063</c:v>
                </c:pt>
                <c:pt idx="30">
                  <c:v>27.691201483776123</c:v>
                </c:pt>
                <c:pt idx="31">
                  <c:v>44.036775639007523</c:v>
                </c:pt>
                <c:pt idx="32">
                  <c:v>31.869579878084458</c:v>
                </c:pt>
                <c:pt idx="33">
                  <c:v>39.651546869503818</c:v>
                </c:pt>
                <c:pt idx="34">
                  <c:v>21.716020453446596</c:v>
                </c:pt>
                <c:pt idx="35">
                  <c:v>28.862487240276568</c:v>
                </c:pt>
                <c:pt idx="36">
                  <c:v>21.432266257899443</c:v>
                </c:pt>
                <c:pt idx="37">
                  <c:v>35.919798352605596</c:v>
                </c:pt>
                <c:pt idx="38">
                  <c:v>29.751265901467569</c:v>
                </c:pt>
                <c:pt idx="39">
                  <c:v>17.414848637296785</c:v>
                </c:pt>
                <c:pt idx="40">
                  <c:v>30.009830800478195</c:v>
                </c:pt>
                <c:pt idx="41">
                  <c:v>30.791908264570221</c:v>
                </c:pt>
                <c:pt idx="42">
                  <c:v>34.691563207225272</c:v>
                </c:pt>
                <c:pt idx="43">
                  <c:v>37.683186838441159</c:v>
                </c:pt>
                <c:pt idx="44">
                  <c:v>40.94006952406091</c:v>
                </c:pt>
                <c:pt idx="45">
                  <c:v>26.502178779401593</c:v>
                </c:pt>
                <c:pt idx="46">
                  <c:v>27.868981957172135</c:v>
                </c:pt>
                <c:pt idx="47">
                  <c:v>39.431641163362293</c:v>
                </c:pt>
                <c:pt idx="48">
                  <c:v>26.50900706392347</c:v>
                </c:pt>
                <c:pt idx="49">
                  <c:v>95.676352165121884</c:v>
                </c:pt>
                <c:pt idx="50">
                  <c:v>79.412228909168903</c:v>
                </c:pt>
                <c:pt idx="51">
                  <c:v>87.359013166733888</c:v>
                </c:pt>
                <c:pt idx="52">
                  <c:v>80.203388791059325</c:v>
                </c:pt>
                <c:pt idx="53">
                  <c:v>73.505784301683235</c:v>
                </c:pt>
                <c:pt idx="54">
                  <c:v>77.991984810012738</c:v>
                </c:pt>
                <c:pt idx="55">
                  <c:v>74.43223351140314</c:v>
                </c:pt>
                <c:pt idx="56">
                  <c:v>72.170223328675746</c:v>
                </c:pt>
                <c:pt idx="57">
                  <c:v>74.178212802820894</c:v>
                </c:pt>
                <c:pt idx="58">
                  <c:v>76.927800845856368</c:v>
                </c:pt>
                <c:pt idx="59">
                  <c:v>71.310016358111767</c:v>
                </c:pt>
                <c:pt idx="60">
                  <c:v>67.173524646610915</c:v>
                </c:pt>
                <c:pt idx="61">
                  <c:v>65.129236714115137</c:v>
                </c:pt>
                <c:pt idx="62">
                  <c:v>68.27913876301389</c:v>
                </c:pt>
                <c:pt idx="63">
                  <c:v>65.631610794766416</c:v>
                </c:pt>
                <c:pt idx="64">
                  <c:v>55.735939623692062</c:v>
                </c:pt>
                <c:pt idx="65">
                  <c:v>51.144889047467956</c:v>
                </c:pt>
                <c:pt idx="66">
                  <c:v>54.04557165756178</c:v>
                </c:pt>
                <c:pt idx="67">
                  <c:v>53.147300424444779</c:v>
                </c:pt>
                <c:pt idx="68">
                  <c:v>50.455102302710593</c:v>
                </c:pt>
                <c:pt idx="69">
                  <c:v>53.140791125360266</c:v>
                </c:pt>
                <c:pt idx="70">
                  <c:v>33.92002009615323</c:v>
                </c:pt>
                <c:pt idx="71">
                  <c:v>36.862092971941742</c:v>
                </c:pt>
                <c:pt idx="72">
                  <c:v>34.483850526131711</c:v>
                </c:pt>
                <c:pt idx="73">
                  <c:v>41.767563527184244</c:v>
                </c:pt>
                <c:pt idx="74">
                  <c:v>46.671742210542483</c:v>
                </c:pt>
                <c:pt idx="75">
                  <c:v>39.612466210306977</c:v>
                </c:pt>
                <c:pt idx="76">
                  <c:v>45.055678199723602</c:v>
                </c:pt>
                <c:pt idx="77">
                  <c:v>49.347151014865034</c:v>
                </c:pt>
                <c:pt idx="78">
                  <c:v>42.461458430102837</c:v>
                </c:pt>
                <c:pt idx="79">
                  <c:v>30.74138169190935</c:v>
                </c:pt>
                <c:pt idx="80">
                  <c:v>49.693531204440781</c:v>
                </c:pt>
                <c:pt idx="81">
                  <c:v>37.24385996388542</c:v>
                </c:pt>
                <c:pt idx="82">
                  <c:v>40.079843078936001</c:v>
                </c:pt>
                <c:pt idx="83">
                  <c:v>40.521872281664393</c:v>
                </c:pt>
                <c:pt idx="84">
                  <c:v>37.747875326223209</c:v>
                </c:pt>
                <c:pt idx="85">
                  <c:v>34.82937236324355</c:v>
                </c:pt>
                <c:pt idx="86">
                  <c:v>34.702384925613089</c:v>
                </c:pt>
                <c:pt idx="87">
                  <c:v>31.476237240272116</c:v>
                </c:pt>
                <c:pt idx="88">
                  <c:v>36.065416543332461</c:v>
                </c:pt>
                <c:pt idx="89">
                  <c:v>30.949052692459428</c:v>
                </c:pt>
                <c:pt idx="90">
                  <c:v>25.744450365142487</c:v>
                </c:pt>
                <c:pt idx="91">
                  <c:v>37.55779534446684</c:v>
                </c:pt>
                <c:pt idx="92">
                  <c:v>35.69955160850747</c:v>
                </c:pt>
                <c:pt idx="93">
                  <c:v>29.688577585078416</c:v>
                </c:pt>
                <c:pt idx="94">
                  <c:v>33.08081782499211</c:v>
                </c:pt>
                <c:pt idx="95">
                  <c:v>36.599771247132161</c:v>
                </c:pt>
                <c:pt idx="96">
                  <c:v>28.697024376637046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4-4F34-8636-C93D460C6DAF}"/>
            </c:ext>
          </c:extLst>
        </c:ser>
        <c:ser>
          <c:idx val="1"/>
          <c:order val="1"/>
          <c:tx>
            <c:strRef>
              <c:f>'storm time series'!$BG$2</c:f>
              <c:strCache>
                <c:ptCount val="1"/>
                <c:pt idx="0">
                  <c:v>Corrected 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3010267831148375E-2"/>
                  <c:y val="0.183864685766320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'storm time series'!$BB$52:$BB$92</c:f>
              <c:numCache>
                <c:formatCode>0.00000</c:formatCode>
                <c:ptCount val="41"/>
                <c:pt idx="0">
                  <c:v>6.9054078198322166</c:v>
                </c:pt>
                <c:pt idx="1">
                  <c:v>4.7200975721794922</c:v>
                </c:pt>
                <c:pt idx="2">
                  <c:v>5.7350083570921395</c:v>
                </c:pt>
                <c:pt idx="3">
                  <c:v>4.8166240818336963</c:v>
                </c:pt>
                <c:pt idx="4">
                  <c:v>4.0309483679147737</c:v>
                </c:pt>
                <c:pt idx="5">
                  <c:v>4.5493196959834972</c:v>
                </c:pt>
                <c:pt idx="6">
                  <c:v>4.1353771970193192</c:v>
                </c:pt>
                <c:pt idx="7">
                  <c:v>3.8828025516388798</c:v>
                </c:pt>
                <c:pt idx="8">
                  <c:v>4.1066084997409478</c:v>
                </c:pt>
                <c:pt idx="9">
                  <c:v>4.4234604596793368</c:v>
                </c:pt>
                <c:pt idx="10">
                  <c:v>3.788883203311133</c:v>
                </c:pt>
                <c:pt idx="11">
                  <c:v>3.353626483336952</c:v>
                </c:pt>
                <c:pt idx="12">
                  <c:v>3.1485150270629259</c:v>
                </c:pt>
                <c:pt idx="13">
                  <c:v>3.4673104936961572</c:v>
                </c:pt>
                <c:pt idx="14">
                  <c:v>3.1983081099844544</c:v>
                </c:pt>
                <c:pt idx="15">
                  <c:v>2.2907570769709316</c:v>
                </c:pt>
                <c:pt idx="16">
                  <c:v>1.9219513463810098</c:v>
                </c:pt>
                <c:pt idx="17">
                  <c:v>2.1511265633178467</c:v>
                </c:pt>
                <c:pt idx="18">
                  <c:v>2.0787485266992447</c:v>
                </c:pt>
                <c:pt idx="19">
                  <c:v>1.8693904389382905</c:v>
                </c:pt>
                <c:pt idx="20">
                  <c:v>2.078228653831387</c:v>
                </c:pt>
                <c:pt idx="21">
                  <c:v>0.83089797203415505</c:v>
                </c:pt>
                <c:pt idx="22">
                  <c:v>0.98472527624692474</c:v>
                </c:pt>
                <c:pt idx="23">
                  <c:v>0.8593462519651065</c:v>
                </c:pt>
                <c:pt idx="24">
                  <c:v>1.2709131857130596</c:v>
                </c:pt>
                <c:pt idx="25">
                  <c:v>1.5943140087743315</c:v>
                </c:pt>
                <c:pt idx="26">
                  <c:v>1.140600424283382</c:v>
                </c:pt>
                <c:pt idx="27">
                  <c:v>1.4836145767079916</c:v>
                </c:pt>
                <c:pt idx="28">
                  <c:v>1.7865219458529225</c:v>
                </c:pt>
                <c:pt idx="29">
                  <c:v>1.3144026744284725</c:v>
                </c:pt>
                <c:pt idx="30">
                  <c:v>0.67964894144308741</c:v>
                </c:pt>
                <c:pt idx="31">
                  <c:v>1.8122232286789091</c:v>
                </c:pt>
                <c:pt idx="32">
                  <c:v>1.0056635523429234</c:v>
                </c:pt>
                <c:pt idx="33">
                  <c:v>1.1682507888377089</c:v>
                </c:pt>
                <c:pt idx="34">
                  <c:v>1.1947126122439504</c:v>
                </c:pt>
                <c:pt idx="35">
                  <c:v>1.0336510301686039</c:v>
                </c:pt>
                <c:pt idx="36">
                  <c:v>0.87702125717197854</c:v>
                </c:pt>
                <c:pt idx="37">
                  <c:v>0.8705039323844399</c:v>
                </c:pt>
                <c:pt idx="38">
                  <c:v>0.71323899136570501</c:v>
                </c:pt>
                <c:pt idx="39">
                  <c:v>0.94175479284903607</c:v>
                </c:pt>
                <c:pt idx="40">
                  <c:v>0.68905771686628614</c:v>
                </c:pt>
              </c:numCache>
            </c:numRef>
          </c:xVal>
          <c:yVal>
            <c:numRef>
              <c:f>'storm time series'!$BG$52:$BG$92</c:f>
              <c:numCache>
                <c:formatCode>0.000</c:formatCode>
                <c:ptCount val="41"/>
                <c:pt idx="0">
                  <c:v>95.676352165121884</c:v>
                </c:pt>
                <c:pt idx="1">
                  <c:v>51.68263473228803</c:v>
                </c:pt>
                <c:pt idx="2">
                  <c:v>71.021541069653153</c:v>
                </c:pt>
                <c:pt idx="3">
                  <c:v>53.43456912568881</c:v>
                </c:pt>
                <c:pt idx="4">
                  <c:v>39.744362475480649</c:v>
                </c:pt>
                <c:pt idx="5">
                  <c:v>48.630059567312784</c:v>
                </c:pt>
                <c:pt idx="6">
                  <c:v>41.48729911571948</c:v>
                </c:pt>
                <c:pt idx="7">
                  <c:v>37.313825012048376</c:v>
                </c:pt>
                <c:pt idx="8">
                  <c:v>41.004723776914147</c:v>
                </c:pt>
                <c:pt idx="9">
                  <c:v>46.419437559321715</c:v>
                </c:pt>
                <c:pt idx="10">
                  <c:v>35.798916522499191</c:v>
                </c:pt>
                <c:pt idx="11">
                  <c:v>29.050497081818317</c:v>
                </c:pt>
                <c:pt idx="12">
                  <c:v>26.031842230685346</c:v>
                </c:pt>
                <c:pt idx="13">
                  <c:v>30.768951980214819</c:v>
                </c:pt>
                <c:pt idx="14">
                  <c:v>26.75482458821207</c:v>
                </c:pt>
                <c:pt idx="15">
                  <c:v>14.638270627587673</c:v>
                </c:pt>
                <c:pt idx="16">
                  <c:v>10.418497169619833</c:v>
                </c:pt>
                <c:pt idx="17">
                  <c:v>12.988496194911496</c:v>
                </c:pt>
                <c:pt idx="18">
                  <c:v>12.157964803001388</c:v>
                </c:pt>
                <c:pt idx="19">
                  <c:v>9.8542325598227745</c:v>
                </c:pt>
                <c:pt idx="20">
                  <c:v>12.152061372639519</c:v>
                </c:pt>
                <c:pt idx="21">
                  <c:v>0.99618885275303914</c:v>
                </c:pt>
                <c:pt idx="22">
                  <c:v>1.9886528080807033</c:v>
                </c:pt>
                <c:pt idx="23">
                  <c:v>1.1695004662320032</c:v>
                </c:pt>
                <c:pt idx="24">
                  <c:v>4.1632957074646608</c:v>
                </c:pt>
                <c:pt idx="25">
                  <c:v>7.0639156916121975</c:v>
                </c:pt>
                <c:pt idx="26">
                  <c:v>3.1236554347743439</c:v>
                </c:pt>
                <c:pt idx="27">
                  <c:v>6.0223566804147604</c:v>
                </c:pt>
                <c:pt idx="28">
                  <c:v>8.984418761852325</c:v>
                </c:pt>
                <c:pt idx="29">
                  <c:v>4.5275296551944759</c:v>
                </c:pt>
                <c:pt idx="30">
                  <c:v>0.15988718093415155</c:v>
                </c:pt>
                <c:pt idx="31">
                  <c:v>9.2515613824164742</c:v>
                </c:pt>
                <c:pt idx="32">
                  <c:v>2.1338544534609003</c:v>
                </c:pt>
                <c:pt idx="33">
                  <c:v>3.3375907653545278</c:v>
                </c:pt>
                <c:pt idx="34">
                  <c:v>3.5457375544434417</c:v>
                </c:pt>
                <c:pt idx="35">
                  <c:v>2.3315420131098517</c:v>
                </c:pt>
                <c:pt idx="36">
                  <c:v>1.2795853734533111</c:v>
                </c:pt>
                <c:pt idx="37">
                  <c:v>1.2387813895195521</c:v>
                </c:pt>
                <c:pt idx="38">
                  <c:v>0.33265074871762224</c:v>
                </c:pt>
                <c:pt idx="39">
                  <c:v>1.6980428017212159</c:v>
                </c:pt>
                <c:pt idx="40">
                  <c:v>0.20749626161984847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44-4F34-8636-C93D460C6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846464"/>
        <c:axId val="1763847424"/>
      </c:scatterChart>
      <c:valAx>
        <c:axId val="176384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7424"/>
        <c:crosses val="autoZero"/>
        <c:crossBetween val="midCat"/>
      </c:valAx>
      <c:valAx>
        <c:axId val="17638474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4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4865002994125168"/>
          <c:y val="0.91259594779845887"/>
          <c:w val="0.58258664862054887"/>
          <c:h val="6.6289350351128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March - Calculated Grain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'spring time series'!$C$2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'spring time series'!$A$3:$A$98</c:f>
              <c:numCache>
                <c:formatCode>m/d/yyyy\ h:mm</c:formatCode>
                <c:ptCount val="96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'spring time series'!$C$3:$C$98</c:f>
              <c:numCache>
                <c:formatCode>0.00</c:formatCode>
                <c:ptCount val="96"/>
                <c:pt idx="0">
                  <c:v>30.192112359999999</c:v>
                </c:pt>
                <c:pt idx="1">
                  <c:v>29.54055151</c:v>
                </c:pt>
                <c:pt idx="2">
                  <c:v>31.45854044</c:v>
                </c:pt>
                <c:pt idx="3">
                  <c:v>34.564746730000003</c:v>
                </c:pt>
                <c:pt idx="4">
                  <c:v>32.71821362</c:v>
                </c:pt>
                <c:pt idx="5">
                  <c:v>34.564746730000003</c:v>
                </c:pt>
                <c:pt idx="6">
                  <c:v>32.71821362</c:v>
                </c:pt>
                <c:pt idx="7">
                  <c:v>36.602484089999997</c:v>
                </c:pt>
                <c:pt idx="8">
                  <c:v>36.602484089999997</c:v>
                </c:pt>
                <c:pt idx="9">
                  <c:v>38.836464319999997</c:v>
                </c:pt>
                <c:pt idx="10">
                  <c:v>38.096996799999999</c:v>
                </c:pt>
                <c:pt idx="11">
                  <c:v>36.602484089999997</c:v>
                </c:pt>
                <c:pt idx="12">
                  <c:v>34.564746730000003</c:v>
                </c:pt>
                <c:pt idx="13">
                  <c:v>34.564746730000003</c:v>
                </c:pt>
                <c:pt idx="14">
                  <c:v>32.71821362</c:v>
                </c:pt>
                <c:pt idx="15">
                  <c:v>38.836464319999997</c:v>
                </c:pt>
                <c:pt idx="16">
                  <c:v>40.323477179999998</c:v>
                </c:pt>
                <c:pt idx="17">
                  <c:v>38.836464319999997</c:v>
                </c:pt>
                <c:pt idx="18">
                  <c:v>42.550901439999997</c:v>
                </c:pt>
                <c:pt idx="19">
                  <c:v>38.096996799999999</c:v>
                </c:pt>
                <c:pt idx="20">
                  <c:v>40.323477179999998</c:v>
                </c:pt>
                <c:pt idx="21">
                  <c:v>38.096996799999999</c:v>
                </c:pt>
                <c:pt idx="22">
                  <c:v>42.550901439999997</c:v>
                </c:pt>
                <c:pt idx="23">
                  <c:v>44.046560829999997</c:v>
                </c:pt>
                <c:pt idx="24">
                  <c:v>46.186478979999997</c:v>
                </c:pt>
                <c:pt idx="25">
                  <c:v>40.323477179999998</c:v>
                </c:pt>
                <c:pt idx="26">
                  <c:v>40.323477179999998</c:v>
                </c:pt>
                <c:pt idx="27">
                  <c:v>40.323477179999998</c:v>
                </c:pt>
                <c:pt idx="28">
                  <c:v>41.056841919999997</c:v>
                </c:pt>
                <c:pt idx="29">
                  <c:v>38.836464319999997</c:v>
                </c:pt>
                <c:pt idx="30">
                  <c:v>40.323477179999998</c:v>
                </c:pt>
                <c:pt idx="31">
                  <c:v>40.323477179999998</c:v>
                </c:pt>
                <c:pt idx="32">
                  <c:v>36.602484089999997</c:v>
                </c:pt>
                <c:pt idx="33">
                  <c:v>38.836464319999997</c:v>
                </c:pt>
                <c:pt idx="34">
                  <c:v>41.056841919999997</c:v>
                </c:pt>
                <c:pt idx="35">
                  <c:v>42.550901439999997</c:v>
                </c:pt>
                <c:pt idx="36">
                  <c:v>44.757542890000003</c:v>
                </c:pt>
                <c:pt idx="37">
                  <c:v>44.034259820000003</c:v>
                </c:pt>
                <c:pt idx="38">
                  <c:v>46.174310370000001</c:v>
                </c:pt>
                <c:pt idx="39">
                  <c:v>46.174310370000001</c:v>
                </c:pt>
                <c:pt idx="40">
                  <c:v>42.537916889999998</c:v>
                </c:pt>
                <c:pt idx="41">
                  <c:v>44.745284959999999</c:v>
                </c:pt>
                <c:pt idx="42">
                  <c:v>42.537916889999998</c:v>
                </c:pt>
                <c:pt idx="43">
                  <c:v>42.537916889999998</c:v>
                </c:pt>
                <c:pt idx="44">
                  <c:v>42.537916889999998</c:v>
                </c:pt>
                <c:pt idx="45">
                  <c:v>46.878741779999999</c:v>
                </c:pt>
                <c:pt idx="46">
                  <c:v>42.537916889999998</c:v>
                </c:pt>
                <c:pt idx="47">
                  <c:v>44.745284959999999</c:v>
                </c:pt>
                <c:pt idx="48">
                  <c:v>44.034259820000003</c:v>
                </c:pt>
                <c:pt idx="49">
                  <c:v>44.034259820000003</c:v>
                </c:pt>
                <c:pt idx="50">
                  <c:v>46.174310370000001</c:v>
                </c:pt>
                <c:pt idx="51">
                  <c:v>46.174310370000001</c:v>
                </c:pt>
                <c:pt idx="52">
                  <c:v>46.890862630000001</c:v>
                </c:pt>
                <c:pt idx="53">
                  <c:v>41.056841919999997</c:v>
                </c:pt>
                <c:pt idx="54">
                  <c:v>48.30225712</c:v>
                </c:pt>
                <c:pt idx="55">
                  <c:v>46.186478979999997</c:v>
                </c:pt>
                <c:pt idx="56">
                  <c:v>46.186478979999997</c:v>
                </c:pt>
                <c:pt idx="57">
                  <c:v>48.30225712</c:v>
                </c:pt>
                <c:pt idx="58">
                  <c:v>46.186478979999997</c:v>
                </c:pt>
                <c:pt idx="59">
                  <c:v>46.174310370000001</c:v>
                </c:pt>
                <c:pt idx="60">
                  <c:v>46.174310370000001</c:v>
                </c:pt>
                <c:pt idx="61">
                  <c:v>46.174310370000001</c:v>
                </c:pt>
                <c:pt idx="62">
                  <c:v>49.691464410000002</c:v>
                </c:pt>
                <c:pt idx="63">
                  <c:v>48.290232170000003</c:v>
                </c:pt>
                <c:pt idx="64">
                  <c:v>44.034259820000003</c:v>
                </c:pt>
                <c:pt idx="65">
                  <c:v>48.290232170000003</c:v>
                </c:pt>
                <c:pt idx="66">
                  <c:v>48.290232170000003</c:v>
                </c:pt>
                <c:pt idx="67">
                  <c:v>48.290232170000003</c:v>
                </c:pt>
                <c:pt idx="68">
                  <c:v>49.691464410000002</c:v>
                </c:pt>
                <c:pt idx="69">
                  <c:v>47.592533240000002</c:v>
                </c:pt>
                <c:pt idx="70">
                  <c:v>51.763919430000001</c:v>
                </c:pt>
                <c:pt idx="71">
                  <c:v>47.592533240000002</c:v>
                </c:pt>
                <c:pt idx="72">
                  <c:v>47.592533240000002</c:v>
                </c:pt>
                <c:pt idx="73">
                  <c:v>42.537916889999998</c:v>
                </c:pt>
                <c:pt idx="74">
                  <c:v>42.537916889999998</c:v>
                </c:pt>
                <c:pt idx="75">
                  <c:v>40.310795710000001</c:v>
                </c:pt>
                <c:pt idx="76">
                  <c:v>44.034259820000003</c:v>
                </c:pt>
                <c:pt idx="77">
                  <c:v>40.323477179999998</c:v>
                </c:pt>
                <c:pt idx="78">
                  <c:v>36.602484089999997</c:v>
                </c:pt>
                <c:pt idx="79">
                  <c:v>34.564746730000003</c:v>
                </c:pt>
                <c:pt idx="80">
                  <c:v>34.564746730000003</c:v>
                </c:pt>
                <c:pt idx="81">
                  <c:v>34.564746730000003</c:v>
                </c:pt>
                <c:pt idx="82">
                  <c:v>29.54055151</c:v>
                </c:pt>
                <c:pt idx="83">
                  <c:v>22.886721250000001</c:v>
                </c:pt>
                <c:pt idx="84">
                  <c:v>28.246536679999998</c:v>
                </c:pt>
                <c:pt idx="85">
                  <c:v>28.246536679999998</c:v>
                </c:pt>
                <c:pt idx="86">
                  <c:v>31.45854044</c:v>
                </c:pt>
                <c:pt idx="87">
                  <c:v>31.45854044</c:v>
                </c:pt>
                <c:pt idx="88">
                  <c:v>33.335473370000003</c:v>
                </c:pt>
                <c:pt idx="89">
                  <c:v>33.335473370000003</c:v>
                </c:pt>
                <c:pt idx="90">
                  <c:v>33.335473370000003</c:v>
                </c:pt>
                <c:pt idx="91">
                  <c:v>29.54055151</c:v>
                </c:pt>
                <c:pt idx="92">
                  <c:v>26.264895790000001</c:v>
                </c:pt>
                <c:pt idx="93">
                  <c:v>26.253465819999999</c:v>
                </c:pt>
                <c:pt idx="94">
                  <c:v>25.588736650000001</c:v>
                </c:pt>
                <c:pt idx="95">
                  <c:v>26.264895790000001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63-48CF-92BD-D87EA53C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26495"/>
        <c:axId val="997128415"/>
      </c:scatterChart>
      <c:scatterChart>
        <c:scatterStyle val="lineMarker"/>
        <c:varyColors val="0"/>
        <c:ser>
          <c:idx val="0"/>
          <c:order val="1"/>
          <c:tx>
            <c:strRef>
              <c:f>'spring time series'!$H$1:$I$1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'spring time series'!$A$3:$A$98</c:f>
              <c:numCache>
                <c:formatCode>m/d/yyyy\ h:mm</c:formatCode>
                <c:ptCount val="96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'spring time series'!$I$3:$I$98</c:f>
              <c:numCache>
                <c:formatCode>0.000</c:formatCode>
                <c:ptCount val="96"/>
                <c:pt idx="0">
                  <c:v>1.9361389932481989</c:v>
                </c:pt>
                <c:pt idx="1">
                  <c:v>1.7732247160239738</c:v>
                </c:pt>
                <c:pt idx="2">
                  <c:v>4.0458915166801308</c:v>
                </c:pt>
                <c:pt idx="3">
                  <c:v>7.6622494728612436</c:v>
                </c:pt>
                <c:pt idx="4">
                  <c:v>5.1178436635699489</c:v>
                </c:pt>
                <c:pt idx="5">
                  <c:v>7.7670545703837339</c:v>
                </c:pt>
                <c:pt idx="6">
                  <c:v>5.3048176265661828</c:v>
                </c:pt>
                <c:pt idx="7">
                  <c:v>9.7234269022710134</c:v>
                </c:pt>
                <c:pt idx="8">
                  <c:v>9.8774442089601138</c:v>
                </c:pt>
                <c:pt idx="9">
                  <c:v>12.990133352419438</c:v>
                </c:pt>
                <c:pt idx="10">
                  <c:v>11.929973351990567</c:v>
                </c:pt>
                <c:pt idx="11">
                  <c:v>10.95750924881118</c:v>
                </c:pt>
                <c:pt idx="12">
                  <c:v>7.6252977103744541</c:v>
                </c:pt>
                <c:pt idx="13">
                  <c:v>7.3275961229970425</c:v>
                </c:pt>
                <c:pt idx="14">
                  <c:v>5.6039615738978101</c:v>
                </c:pt>
                <c:pt idx="15">
                  <c:v>12.22258653777072</c:v>
                </c:pt>
                <c:pt idx="16">
                  <c:v>25.745408813620507</c:v>
                </c:pt>
                <c:pt idx="17">
                  <c:v>22.761499924017425</c:v>
                </c:pt>
                <c:pt idx="18">
                  <c:v>36.505378279591355</c:v>
                </c:pt>
                <c:pt idx="19">
                  <c:v>12.370501884213395</c:v>
                </c:pt>
                <c:pt idx="20">
                  <c:v>12.962804741739912</c:v>
                </c:pt>
                <c:pt idx="21">
                  <c:v>9.8900342760233055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11.318102421497217</c:v>
                </c:pt>
                <c:pt idx="26">
                  <c:v>11.680125382407205</c:v>
                </c:pt>
                <c:pt idx="27">
                  <c:v>10.56048754460268</c:v>
                </c:pt>
                <c:pt idx="28">
                  <c:v>11.840319305532123</c:v>
                </c:pt>
                <c:pt idx="29">
                  <c:v>9.8427691032390268</c:v>
                </c:pt>
                <c:pt idx="30">
                  <c:v>11.779104998953574</c:v>
                </c:pt>
                <c:pt idx="31">
                  <c:v>11.055736882651066</c:v>
                </c:pt>
                <c:pt idx="32">
                  <c:v>7.696666802934585</c:v>
                </c:pt>
                <c:pt idx="33">
                  <c:v>9.4878748834276454</c:v>
                </c:pt>
                <c:pt idx="34">
                  <c:v>11.662382260834404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14.027169443453229</c:v>
                </c:pt>
                <c:pt idx="41">
                  <c:v>13.620135802385237</c:v>
                </c:pt>
                <c:pt idx="42">
                  <c:v>13.360332825520111</c:v>
                </c:pt>
                <c:pt idx="43">
                  <c:v>13.65048335368486</c:v>
                </c:pt>
                <c:pt idx="44">
                  <c:v>12.557296206244962</c:v>
                </c:pt>
                <c:pt idx="45">
                  <c:v>13.788052551806128</c:v>
                </c:pt>
                <c:pt idx="46">
                  <c:v>13.803430709590552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10.870125732484155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11.545052503486938</c:v>
                </c:pt>
                <c:pt idx="74">
                  <c:v>11.800579094735125</c:v>
                </c:pt>
                <c:pt idx="75">
                  <c:v>10.496776304513237</c:v>
                </c:pt>
                <c:pt idx="76">
                  <c:v>10.925741498047156</c:v>
                </c:pt>
                <c:pt idx="77">
                  <c:v>9.4881883696642699</c:v>
                </c:pt>
                <c:pt idx="78">
                  <c:v>6.4365043192167164</c:v>
                </c:pt>
                <c:pt idx="79">
                  <c:v>5.1991721904767099</c:v>
                </c:pt>
                <c:pt idx="80">
                  <c:v>4.8422571897351272</c:v>
                </c:pt>
                <c:pt idx="81">
                  <c:v>5.1033641039825586</c:v>
                </c:pt>
                <c:pt idx="82">
                  <c:v>1.223493495511788</c:v>
                </c:pt>
                <c:pt idx="83">
                  <c:v>0</c:v>
                </c:pt>
                <c:pt idx="84">
                  <c:v>0.34363543965343896</c:v>
                </c:pt>
                <c:pt idx="85">
                  <c:v>0.33697390181598474</c:v>
                </c:pt>
                <c:pt idx="86">
                  <c:v>2.6386500949728116</c:v>
                </c:pt>
                <c:pt idx="87">
                  <c:v>2.7771928061578577</c:v>
                </c:pt>
                <c:pt idx="88">
                  <c:v>3.980711436422272</c:v>
                </c:pt>
                <c:pt idx="89">
                  <c:v>4.2823626306707414</c:v>
                </c:pt>
                <c:pt idx="90">
                  <c:v>4.1668395719156903</c:v>
                </c:pt>
                <c:pt idx="91">
                  <c:v>1.3236676375716447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63-48CF-92BD-D87EA53CE7D3}"/>
            </c:ext>
          </c:extLst>
        </c:ser>
        <c:ser>
          <c:idx val="2"/>
          <c:order val="2"/>
          <c:tx>
            <c:strRef>
              <c:f>'spring time series'!$J$1:$K$1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'spring time series'!$A$3:$A$98</c:f>
              <c:numCache>
                <c:formatCode>m/d/yyyy\ h:mm</c:formatCode>
                <c:ptCount val="96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'spring time series'!$K$3:$K$98</c:f>
              <c:numCache>
                <c:formatCode>0.0000</c:formatCode>
                <c:ptCount val="96"/>
                <c:pt idx="0">
                  <c:v>0.22571482515079241</c:v>
                </c:pt>
                <c:pt idx="1">
                  <c:v>1.1873581981412622</c:v>
                </c:pt>
                <c:pt idx="2">
                  <c:v>1.9018639399105015</c:v>
                </c:pt>
                <c:pt idx="3">
                  <c:v>2.1763053904564642</c:v>
                </c:pt>
                <c:pt idx="4">
                  <c:v>1.4481703713550063</c:v>
                </c:pt>
                <c:pt idx="5">
                  <c:v>2.3099122549227329</c:v>
                </c:pt>
                <c:pt idx="6">
                  <c:v>1.7209866341179116</c:v>
                </c:pt>
                <c:pt idx="7">
                  <c:v>1.9598551271233107</c:v>
                </c:pt>
                <c:pt idx="8">
                  <c:v>2.1032458456290333</c:v>
                </c:pt>
                <c:pt idx="9">
                  <c:v>2.6007453666064282</c:v>
                </c:pt>
                <c:pt idx="10">
                  <c:v>2.427842676216442</c:v>
                </c:pt>
                <c:pt idx="11">
                  <c:v>3.2646581600634423</c:v>
                </c:pt>
                <c:pt idx="12">
                  <c:v>2.1302110701737096</c:v>
                </c:pt>
                <c:pt idx="13">
                  <c:v>1.7777227820605299</c:v>
                </c:pt>
                <c:pt idx="14">
                  <c:v>2.2077962069745314</c:v>
                </c:pt>
                <c:pt idx="15">
                  <c:v>1.9928897431691295</c:v>
                </c:pt>
                <c:pt idx="16">
                  <c:v>19.881841016442959</c:v>
                </c:pt>
                <c:pt idx="17">
                  <c:v>20.060000097642849</c:v>
                </c:pt>
                <c:pt idx="18">
                  <c:v>36.505378279591355</c:v>
                </c:pt>
                <c:pt idx="19">
                  <c:v>2.8307166308649139</c:v>
                </c:pt>
                <c:pt idx="20">
                  <c:v>1.4530678310162839</c:v>
                </c:pt>
                <c:pt idx="21">
                  <c:v>0.97610910095034764</c:v>
                </c:pt>
                <c:pt idx="22">
                  <c:v>0.93438236825561483</c:v>
                </c:pt>
                <c:pt idx="23">
                  <c:v>1.2186985078819759</c:v>
                </c:pt>
                <c:pt idx="24">
                  <c:v>0.98070493202292053</c:v>
                </c:pt>
                <c:pt idx="25">
                  <c:v>0.67783344789938438</c:v>
                </c:pt>
                <c:pt idx="26">
                  <c:v>0.82634991814323622</c:v>
                </c:pt>
                <c:pt idx="27">
                  <c:v>0.4046336716576816</c:v>
                </c:pt>
                <c:pt idx="28">
                  <c:v>0.62724767478410726</c:v>
                </c:pt>
                <c:pt idx="29">
                  <c:v>0.61786475357375692</c:v>
                </c:pt>
                <c:pt idx="30">
                  <c:v>0.86905479618798043</c:v>
                </c:pt>
                <c:pt idx="31">
                  <c:v>0.5775744763733901</c:v>
                </c:pt>
                <c:pt idx="32">
                  <c:v>0.53247913187649154</c:v>
                </c:pt>
                <c:pt idx="33">
                  <c:v>0.47199074546352765</c:v>
                </c:pt>
                <c:pt idx="34">
                  <c:v>0.56423824698962866</c:v>
                </c:pt>
                <c:pt idx="35">
                  <c:v>0.87336574718714755</c:v>
                </c:pt>
                <c:pt idx="36">
                  <c:v>1.7600703835762903</c:v>
                </c:pt>
                <c:pt idx="37">
                  <c:v>0.61017789603964301</c:v>
                </c:pt>
                <c:pt idx="38">
                  <c:v>1.5322433586239506</c:v>
                </c:pt>
                <c:pt idx="39">
                  <c:v>1.2263363227191477</c:v>
                </c:pt>
                <c:pt idx="40">
                  <c:v>0.9343449121772508</c:v>
                </c:pt>
                <c:pt idx="41">
                  <c:v>0.78000864592586738</c:v>
                </c:pt>
                <c:pt idx="42">
                  <c:v>0.69421995306893081</c:v>
                </c:pt>
                <c:pt idx="43">
                  <c:v>0.79505406899838749</c:v>
                </c:pt>
                <c:pt idx="44">
                  <c:v>0.4433528132697071</c:v>
                </c:pt>
                <c:pt idx="45">
                  <c:v>0.84038804319819616</c:v>
                </c:pt>
                <c:pt idx="46">
                  <c:v>0.85045590773738411</c:v>
                </c:pt>
                <c:pt idx="47">
                  <c:v>1.1188391167778449</c:v>
                </c:pt>
                <c:pt idx="48">
                  <c:v>0.95101907998306801</c:v>
                </c:pt>
                <c:pt idx="49">
                  <c:v>0.59781254219543944</c:v>
                </c:pt>
                <c:pt idx="50">
                  <c:v>0.78816044131099039</c:v>
                </c:pt>
                <c:pt idx="51">
                  <c:v>1.2061450899287378</c:v>
                </c:pt>
                <c:pt idx="52">
                  <c:v>0.69792180043420959</c:v>
                </c:pt>
                <c:pt idx="53">
                  <c:v>0.31309414364529503</c:v>
                </c:pt>
                <c:pt idx="54">
                  <c:v>0.90354095544219237</c:v>
                </c:pt>
                <c:pt idx="55">
                  <c:v>0.49980756832968321</c:v>
                </c:pt>
                <c:pt idx="56">
                  <c:v>0.67863766248650081</c:v>
                </c:pt>
                <c:pt idx="57">
                  <c:v>1.0267517974573817</c:v>
                </c:pt>
                <c:pt idx="58">
                  <c:v>0.68173788490164289</c:v>
                </c:pt>
                <c:pt idx="59">
                  <c:v>0.53203203289127299</c:v>
                </c:pt>
                <c:pt idx="60">
                  <c:v>0.55224479918150393</c:v>
                </c:pt>
                <c:pt idx="61">
                  <c:v>0.5388506136001332</c:v>
                </c:pt>
                <c:pt idx="62">
                  <c:v>0.92539901348503995</c:v>
                </c:pt>
                <c:pt idx="63">
                  <c:v>0.71516873989986829</c:v>
                </c:pt>
                <c:pt idx="64">
                  <c:v>0.20921253666759079</c:v>
                </c:pt>
                <c:pt idx="65">
                  <c:v>0.62486469479494111</c:v>
                </c:pt>
                <c:pt idx="66">
                  <c:v>0.50397674121859048</c:v>
                </c:pt>
                <c:pt idx="67">
                  <c:v>0.39748236133844672</c:v>
                </c:pt>
                <c:pt idx="68">
                  <c:v>0.30076044650920714</c:v>
                </c:pt>
                <c:pt idx="69">
                  <c:v>0.1159607065651751</c:v>
                </c:pt>
                <c:pt idx="70">
                  <c:v>0.51804779951255964</c:v>
                </c:pt>
                <c:pt idx="71">
                  <c:v>0.26388022584771498</c:v>
                </c:pt>
                <c:pt idx="72">
                  <c:v>0.22975129476420833</c:v>
                </c:pt>
                <c:pt idx="73">
                  <c:v>0.1829015850919731</c:v>
                </c:pt>
                <c:pt idx="74">
                  <c:v>0.24303439720477241</c:v>
                </c:pt>
                <c:pt idx="75">
                  <c:v>0.38732042002177841</c:v>
                </c:pt>
                <c:pt idx="76">
                  <c:v>5.0285481103025151E-2</c:v>
                </c:pt>
                <c:pt idx="77">
                  <c:v>9.9034425684750044E-2</c:v>
                </c:pt>
                <c:pt idx="78">
                  <c:v>1.9269147191840592E-2</c:v>
                </c:pt>
                <c:pt idx="79">
                  <c:v>0.12505679339478651</c:v>
                </c:pt>
                <c:pt idx="80">
                  <c:v>0</c:v>
                </c:pt>
                <c:pt idx="81">
                  <c:v>8.1807353053629614E-2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8.2098130054862231E-2</c:v>
                </c:pt>
                <c:pt idx="88">
                  <c:v>0</c:v>
                </c:pt>
                <c:pt idx="89">
                  <c:v>0.1371332410253743</c:v>
                </c:pt>
                <c:pt idx="90">
                  <c:v>7.338329039587245E-2</c:v>
                </c:pt>
                <c:pt idx="91">
                  <c:v>5.4541751142915616E-2</c:v>
                </c:pt>
                <c:pt idx="92">
                  <c:v>0</c:v>
                </c:pt>
                <c:pt idx="93">
                  <c:v>0</c:v>
                </c:pt>
                <c:pt idx="94">
                  <c:v>19.200809747039095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63-48CF-92BD-D87EA53CE7D3}"/>
            </c:ext>
          </c:extLst>
        </c:ser>
        <c:ser>
          <c:idx val="3"/>
          <c:order val="3"/>
          <c:tx>
            <c:strRef>
              <c:f>'spring time series'!$G$2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'spring time series'!$A$3:$A$98</c:f>
              <c:numCache>
                <c:formatCode>m/d/yyyy\ h:mm</c:formatCode>
                <c:ptCount val="96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'spring time series'!$G$3:$G$98</c:f>
              <c:numCache>
                <c:formatCode>0.000</c:formatCode>
                <c:ptCount val="96"/>
                <c:pt idx="0">
                  <c:v>11.738872152260383</c:v>
                </c:pt>
                <c:pt idx="1">
                  <c:v>14.665787066017543</c:v>
                </c:pt>
                <c:pt idx="2">
                  <c:v>16.150957064172847</c:v>
                </c:pt>
                <c:pt idx="3">
                  <c:v>16.643071307599872</c:v>
                </c:pt>
                <c:pt idx="4">
                  <c:v>15.248964259835184</c:v>
                </c:pt>
                <c:pt idx="5">
                  <c:v>16.870717081552389</c:v>
                </c:pt>
                <c:pt idx="6">
                  <c:v>15.806065935203771</c:v>
                </c:pt>
                <c:pt idx="7">
                  <c:v>16.257904853377081</c:v>
                </c:pt>
                <c:pt idx="8">
                  <c:v>16.515427097652911</c:v>
                </c:pt>
                <c:pt idx="9">
                  <c:v>17.342822834370427</c:v>
                </c:pt>
                <c:pt idx="10">
                  <c:v>17.065835479436043</c:v>
                </c:pt>
                <c:pt idx="11">
                  <c:v>18.321333063712707</c:v>
                </c:pt>
                <c:pt idx="12">
                  <c:v>16.562808870284648</c:v>
                </c:pt>
                <c:pt idx="13">
                  <c:v>15.916175167655052</c:v>
                </c:pt>
                <c:pt idx="14">
                  <c:v>16.697385729490733</c:v>
                </c:pt>
                <c:pt idx="15">
                  <c:v>16.318089056632974</c:v>
                </c:pt>
                <c:pt idx="16">
                  <c:v>30.306683744683912</c:v>
                </c:pt>
                <c:pt idx="17">
                  <c:v>30.388345517118761</c:v>
                </c:pt>
                <c:pt idx="18">
                  <c:v>36.505378279591355</c:v>
                </c:pt>
                <c:pt idx="19">
                  <c:v>17.696011862324426</c:v>
                </c:pt>
                <c:pt idx="20">
                  <c:v>15.259405146604614</c:v>
                </c:pt>
                <c:pt idx="21">
                  <c:v>14.147701160827415</c:v>
                </c:pt>
                <c:pt idx="22">
                  <c:v>14.039584949357186</c:v>
                </c:pt>
                <c:pt idx="23">
                  <c:v>14.738894891902275</c:v>
                </c:pt>
                <c:pt idx="24">
                  <c:v>14.15948331620805</c:v>
                </c:pt>
                <c:pt idx="25">
                  <c:v>13.323313417217406</c:v>
                </c:pt>
                <c:pt idx="26">
                  <c:v>13.749475435620024</c:v>
                </c:pt>
                <c:pt idx="27">
                  <c:v>12.43147306461197</c:v>
                </c:pt>
                <c:pt idx="28">
                  <c:v>13.169833815903765</c:v>
                </c:pt>
                <c:pt idx="29">
                  <c:v>13.140850530629546</c:v>
                </c:pt>
                <c:pt idx="30">
                  <c:v>13.865991120321596</c:v>
                </c:pt>
                <c:pt idx="31">
                  <c:v>13.014464974806687</c:v>
                </c:pt>
                <c:pt idx="32">
                  <c:v>12.869092124406322</c:v>
                </c:pt>
                <c:pt idx="33">
                  <c:v>12.667039568713243</c:v>
                </c:pt>
                <c:pt idx="34">
                  <c:v>12.971916745604224</c:v>
                </c:pt>
                <c:pt idx="35">
                  <c:v>13.877616235635008</c:v>
                </c:pt>
                <c:pt idx="36">
                  <c:v>15.882112054963178</c:v>
                </c:pt>
                <c:pt idx="37">
                  <c:v>13.116981875912041</c:v>
                </c:pt>
                <c:pt idx="38">
                  <c:v>15.425849657255984</c:v>
                </c:pt>
                <c:pt idx="39">
                  <c:v>14.756577136380368</c:v>
                </c:pt>
                <c:pt idx="40">
                  <c:v>14.039486956427286</c:v>
                </c:pt>
                <c:pt idx="41">
                  <c:v>13.620135802385237</c:v>
                </c:pt>
                <c:pt idx="42">
                  <c:v>13.37206477711444</c:v>
                </c:pt>
                <c:pt idx="43">
                  <c:v>13.662470091742668</c:v>
                </c:pt>
                <c:pt idx="44">
                  <c:v>12.56832299675769</c:v>
                </c:pt>
                <c:pt idx="45">
                  <c:v>13.788052551806128</c:v>
                </c:pt>
                <c:pt idx="46">
                  <c:v>13.815551753507307</c:v>
                </c:pt>
                <c:pt idx="47">
                  <c:v>14.502744168795786</c:v>
                </c:pt>
                <c:pt idx="48">
                  <c:v>14.082941309075711</c:v>
                </c:pt>
                <c:pt idx="49">
                  <c:v>13.078347088076146</c:v>
                </c:pt>
                <c:pt idx="50">
                  <c:v>13.643114579801695</c:v>
                </c:pt>
                <c:pt idx="51">
                  <c:v>14.709718732412691</c:v>
                </c:pt>
                <c:pt idx="52">
                  <c:v>13.383014949528821</c:v>
                </c:pt>
                <c:pt idx="53">
                  <c:v>12.090700069879725</c:v>
                </c:pt>
                <c:pt idx="54">
                  <c:v>13.958308196863848</c:v>
                </c:pt>
                <c:pt idx="55">
                  <c:v>12.761008383678195</c:v>
                </c:pt>
                <c:pt idx="56">
                  <c:v>13.32571677602372</c:v>
                </c:pt>
                <c:pt idx="57">
                  <c:v>14.27620173068331</c:v>
                </c:pt>
                <c:pt idx="58">
                  <c:v>13.334971205071263</c:v>
                </c:pt>
                <c:pt idx="59">
                  <c:v>12.86762910666523</c:v>
                </c:pt>
                <c:pt idx="60">
                  <c:v>12.933338040160587</c:v>
                </c:pt>
                <c:pt idx="61">
                  <c:v>12.889893816616153</c:v>
                </c:pt>
                <c:pt idx="62">
                  <c:v>14.016033220058507</c:v>
                </c:pt>
                <c:pt idx="63">
                  <c:v>13.433730601019509</c:v>
                </c:pt>
                <c:pt idx="64">
                  <c:v>11.669033208123569</c:v>
                </c:pt>
                <c:pt idx="65">
                  <c:v>13.162488625585084</c:v>
                </c:pt>
                <c:pt idx="66">
                  <c:v>12.774935561192176</c:v>
                </c:pt>
                <c:pt idx="67">
                  <c:v>12.40575059980481</c:v>
                </c:pt>
                <c:pt idx="68">
                  <c:v>12.042736966758747</c:v>
                </c:pt>
                <c:pt idx="69">
                  <c:v>11.250207418747348</c:v>
                </c:pt>
                <c:pt idx="70">
                  <c:v>12.821646569842457</c:v>
                </c:pt>
                <c:pt idx="71">
                  <c:v>11.896092127646789</c:v>
                </c:pt>
                <c:pt idx="72">
                  <c:v>11.755778918853204</c:v>
                </c:pt>
                <c:pt idx="73">
                  <c:v>11.555190424367634</c:v>
                </c:pt>
                <c:pt idx="74">
                  <c:v>11.810941398169666</c:v>
                </c:pt>
                <c:pt idx="75">
                  <c:v>12.368950505405337</c:v>
                </c:pt>
                <c:pt idx="76">
                  <c:v>10.925741498047156</c:v>
                </c:pt>
                <c:pt idx="77">
                  <c:v>11.169196275386893</c:v>
                </c:pt>
                <c:pt idx="78">
                  <c:v>10.762057025978693</c:v>
                </c:pt>
                <c:pt idx="79">
                  <c:v>11.293053536441684</c:v>
                </c:pt>
                <c:pt idx="80">
                  <c:v>10.51780315740697</c:v>
                </c:pt>
                <c:pt idx="81">
                  <c:v>11.084950051816898</c:v>
                </c:pt>
                <c:pt idx="82">
                  <c:v>10.1191320646981</c:v>
                </c:pt>
                <c:pt idx="83">
                  <c:v>9.3678705631924863</c:v>
                </c:pt>
                <c:pt idx="84">
                  <c:v>10.265688820911175</c:v>
                </c:pt>
                <c:pt idx="85">
                  <c:v>10.066683518731056</c:v>
                </c:pt>
                <c:pt idx="86">
                  <c:v>10.533333436050894</c:v>
                </c:pt>
                <c:pt idx="87">
                  <c:v>11.08638765677796</c:v>
                </c:pt>
                <c:pt idx="88">
                  <c:v>10.549780386573349</c:v>
                </c:pt>
                <c:pt idx="89">
                  <c:v>11.349223878897707</c:v>
                </c:pt>
                <c:pt idx="90">
                  <c:v>11.043061797341158</c:v>
                </c:pt>
                <c:pt idx="91">
                  <c:v>10.947641065105573</c:v>
                </c:pt>
                <c:pt idx="92">
                  <c:v>9.4921720750947145</c:v>
                </c:pt>
                <c:pt idx="93">
                  <c:v>10.215738651340915</c:v>
                </c:pt>
                <c:pt idx="94">
                  <c:v>29.990129031846763</c:v>
                </c:pt>
                <c:pt idx="95">
                  <c:v>9.7954224606134517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63-48CF-92BD-D87EA53C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648911"/>
        <c:axId val="1141650831"/>
      </c:scatterChart>
      <c:valAx>
        <c:axId val="99712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28415"/>
        <c:crosses val="autoZero"/>
        <c:crossBetween val="midCat"/>
      </c:valAx>
      <c:valAx>
        <c:axId val="99712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26495"/>
        <c:crosses val="autoZero"/>
        <c:crossBetween val="midCat"/>
      </c:valAx>
      <c:valAx>
        <c:axId val="1141650831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48911"/>
        <c:crosses val="max"/>
        <c:crossBetween val="midCat"/>
      </c:valAx>
      <c:valAx>
        <c:axId val="1141648911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41650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April (1) - Calculated Grain Sizes</a:t>
            </a:r>
          </a:p>
        </c:rich>
      </c:tx>
      <c:layout>
        <c:manualLayout>
          <c:xMode val="edge"/>
          <c:yMode val="edge"/>
          <c:x val="0.40339373040234217"/>
          <c:y val="2.1874999401930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'spring time series'!$O$2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'spring time series'!$M$3:$M$776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'spring time series'!$O$3:$O$776</c:f>
              <c:numCache>
                <c:formatCode>0.0000</c:formatCode>
                <c:ptCount val="774"/>
                <c:pt idx="0">
                  <c:v>53.134964160000003</c:v>
                </c:pt>
                <c:pt idx="1">
                  <c:v>62.315280379999997</c:v>
                </c:pt>
                <c:pt idx="2">
                  <c:v>55.160894489999997</c:v>
                </c:pt>
                <c:pt idx="3">
                  <c:v>60.419666749999998</c:v>
                </c:pt>
                <c:pt idx="4">
                  <c:v>60.419666749999998</c:v>
                </c:pt>
                <c:pt idx="5">
                  <c:v>59.125991390000003</c:v>
                </c:pt>
                <c:pt idx="6">
                  <c:v>62.315280379999997</c:v>
                </c:pt>
                <c:pt idx="7">
                  <c:v>62.3045732</c:v>
                </c:pt>
                <c:pt idx="8">
                  <c:v>57.147661589999998</c:v>
                </c:pt>
                <c:pt idx="9">
                  <c:v>58.466044660000001</c:v>
                </c:pt>
                <c:pt idx="10">
                  <c:v>62.3045732</c:v>
                </c:pt>
                <c:pt idx="11">
                  <c:v>64.455596909999997</c:v>
                </c:pt>
                <c:pt idx="12">
                  <c:v>62.3045732</c:v>
                </c:pt>
                <c:pt idx="13">
                  <c:v>55.149392650000003</c:v>
                </c:pt>
                <c:pt idx="14">
                  <c:v>57.158996520000002</c:v>
                </c:pt>
                <c:pt idx="15">
                  <c:v>61.053401999999998</c:v>
                </c:pt>
                <c:pt idx="16">
                  <c:v>55.160894489999997</c:v>
                </c:pt>
                <c:pt idx="17">
                  <c:v>59.125991390000003</c:v>
                </c:pt>
                <c:pt idx="18">
                  <c:v>55.826367980000001</c:v>
                </c:pt>
                <c:pt idx="19">
                  <c:v>59.125991390000003</c:v>
                </c:pt>
                <c:pt idx="20">
                  <c:v>59.769842060000002</c:v>
                </c:pt>
                <c:pt idx="21">
                  <c:v>59.769842060000002</c:v>
                </c:pt>
                <c:pt idx="22">
                  <c:v>55.826367980000001</c:v>
                </c:pt>
                <c:pt idx="23">
                  <c:v>59.114847349999998</c:v>
                </c:pt>
                <c:pt idx="24">
                  <c:v>61.042518610000002</c:v>
                </c:pt>
                <c:pt idx="25">
                  <c:v>57.814717760000001</c:v>
                </c:pt>
                <c:pt idx="26">
                  <c:v>62.923032710000001</c:v>
                </c:pt>
                <c:pt idx="27">
                  <c:v>57.814717760000001</c:v>
                </c:pt>
                <c:pt idx="28">
                  <c:v>61.042518610000002</c:v>
                </c:pt>
                <c:pt idx="29">
                  <c:v>57.147661589999998</c:v>
                </c:pt>
                <c:pt idx="30">
                  <c:v>61.042518610000002</c:v>
                </c:pt>
                <c:pt idx="31">
                  <c:v>59.114847349999998</c:v>
                </c:pt>
                <c:pt idx="32">
                  <c:v>59.769842060000002</c:v>
                </c:pt>
                <c:pt idx="33">
                  <c:v>59.769842060000002</c:v>
                </c:pt>
                <c:pt idx="34">
                  <c:v>61.042518610000002</c:v>
                </c:pt>
                <c:pt idx="35">
                  <c:v>65.243074859999993</c:v>
                </c:pt>
                <c:pt idx="36">
                  <c:v>61.053401999999998</c:v>
                </c:pt>
                <c:pt idx="37">
                  <c:v>57.814717760000001</c:v>
                </c:pt>
                <c:pt idx="38">
                  <c:v>62.93364991</c:v>
                </c:pt>
                <c:pt idx="39">
                  <c:v>59.125991390000003</c:v>
                </c:pt>
                <c:pt idx="40">
                  <c:v>59.769842060000002</c:v>
                </c:pt>
                <c:pt idx="41">
                  <c:v>59.769842060000002</c:v>
                </c:pt>
                <c:pt idx="42">
                  <c:v>57.814717760000001</c:v>
                </c:pt>
                <c:pt idx="43">
                  <c:v>62.93364991</c:v>
                </c:pt>
                <c:pt idx="44">
                  <c:v>58.466044660000001</c:v>
                </c:pt>
                <c:pt idx="45">
                  <c:v>59.769842060000002</c:v>
                </c:pt>
                <c:pt idx="46">
                  <c:v>59.769842060000002</c:v>
                </c:pt>
                <c:pt idx="47">
                  <c:v>62.923032710000001</c:v>
                </c:pt>
                <c:pt idx="48">
                  <c:v>62.923032710000001</c:v>
                </c:pt>
                <c:pt idx="49">
                  <c:v>57.814717760000001</c:v>
                </c:pt>
                <c:pt idx="50">
                  <c:v>59.769842060000002</c:v>
                </c:pt>
                <c:pt idx="51">
                  <c:v>58.466044660000001</c:v>
                </c:pt>
                <c:pt idx="52">
                  <c:v>59.769842060000002</c:v>
                </c:pt>
                <c:pt idx="53">
                  <c:v>56.488631689999998</c:v>
                </c:pt>
                <c:pt idx="54">
                  <c:v>51.069020549999998</c:v>
                </c:pt>
                <c:pt idx="55">
                  <c:v>52.445143710000004</c:v>
                </c:pt>
                <c:pt idx="56">
                  <c:v>53.134964160000003</c:v>
                </c:pt>
                <c:pt idx="57">
                  <c:v>51.763919430000001</c:v>
                </c:pt>
                <c:pt idx="58">
                  <c:v>55.160894489999997</c:v>
                </c:pt>
                <c:pt idx="59">
                  <c:v>58.466044660000001</c:v>
                </c:pt>
                <c:pt idx="60">
                  <c:v>55.149392650000003</c:v>
                </c:pt>
                <c:pt idx="61">
                  <c:v>51.763919430000001</c:v>
                </c:pt>
                <c:pt idx="62">
                  <c:v>55.149392650000003</c:v>
                </c:pt>
                <c:pt idx="63">
                  <c:v>57.158996520000002</c:v>
                </c:pt>
                <c:pt idx="64">
                  <c:v>57.158996520000002</c:v>
                </c:pt>
                <c:pt idx="65">
                  <c:v>62.315280379999997</c:v>
                </c:pt>
                <c:pt idx="66">
                  <c:v>49.691464410000002</c:v>
                </c:pt>
                <c:pt idx="67">
                  <c:v>51.763919430000001</c:v>
                </c:pt>
                <c:pt idx="68">
                  <c:v>48.290232170000003</c:v>
                </c:pt>
                <c:pt idx="69">
                  <c:v>51.763919430000001</c:v>
                </c:pt>
                <c:pt idx="70">
                  <c:v>48.30225712</c:v>
                </c:pt>
                <c:pt idx="71">
                  <c:v>50.393595470000001</c:v>
                </c:pt>
                <c:pt idx="72">
                  <c:v>51.0808441</c:v>
                </c:pt>
                <c:pt idx="73">
                  <c:v>48.998295149999997</c:v>
                </c:pt>
                <c:pt idx="74">
                  <c:v>48.998295149999997</c:v>
                </c:pt>
                <c:pt idx="75">
                  <c:v>48.998295149999997</c:v>
                </c:pt>
                <c:pt idx="76">
                  <c:v>48.998295149999997</c:v>
                </c:pt>
                <c:pt idx="77">
                  <c:v>48.998295149999997</c:v>
                </c:pt>
                <c:pt idx="78">
                  <c:v>51.0808441</c:v>
                </c:pt>
                <c:pt idx="79">
                  <c:v>48.998295149999997</c:v>
                </c:pt>
                <c:pt idx="80">
                  <c:v>52.445143710000004</c:v>
                </c:pt>
                <c:pt idx="81">
                  <c:v>50.381720729999998</c:v>
                </c:pt>
                <c:pt idx="82">
                  <c:v>50.381720729999998</c:v>
                </c:pt>
                <c:pt idx="83">
                  <c:v>46.878741779999999</c:v>
                </c:pt>
                <c:pt idx="84">
                  <c:v>46.878741779999999</c:v>
                </c:pt>
                <c:pt idx="85">
                  <c:v>48.986318830000002</c:v>
                </c:pt>
                <c:pt idx="86">
                  <c:v>45.467224760000001</c:v>
                </c:pt>
                <c:pt idx="87">
                  <c:v>50.381720729999998</c:v>
                </c:pt>
                <c:pt idx="88">
                  <c:v>54.493389659999998</c:v>
                </c:pt>
                <c:pt idx="89">
                  <c:v>54.493389659999998</c:v>
                </c:pt>
                <c:pt idx="90">
                  <c:v>53.134964160000003</c:v>
                </c:pt>
                <c:pt idx="91">
                  <c:v>52.456862080000001</c:v>
                </c:pt>
                <c:pt idx="92">
                  <c:v>54.493389659999998</c:v>
                </c:pt>
                <c:pt idx="93">
                  <c:v>54.493389659999998</c:v>
                </c:pt>
                <c:pt idx="94">
                  <c:v>51.0808441</c:v>
                </c:pt>
                <c:pt idx="95">
                  <c:v>51.0808441</c:v>
                </c:pt>
                <c:pt idx="96">
                  <c:v>48.998295149999997</c:v>
                </c:pt>
                <c:pt idx="97">
                  <c:v>48.998295149999997</c:v>
                </c:pt>
                <c:pt idx="98">
                  <c:v>53.134964160000003</c:v>
                </c:pt>
                <c:pt idx="99">
                  <c:v>53.134964160000003</c:v>
                </c:pt>
                <c:pt idx="100">
                  <c:v>54.48183384</c:v>
                </c:pt>
                <c:pt idx="101">
                  <c:v>54.48183384</c:v>
                </c:pt>
                <c:pt idx="102">
                  <c:v>54.48183384</c:v>
                </c:pt>
                <c:pt idx="103">
                  <c:v>54.48183384</c:v>
                </c:pt>
                <c:pt idx="104">
                  <c:v>56.488631689999998</c:v>
                </c:pt>
                <c:pt idx="105">
                  <c:v>58.466044660000001</c:v>
                </c:pt>
                <c:pt idx="106">
                  <c:v>57.814717760000001</c:v>
                </c:pt>
                <c:pt idx="107">
                  <c:v>56.488631689999998</c:v>
                </c:pt>
                <c:pt idx="108">
                  <c:v>56.488631689999998</c:v>
                </c:pt>
                <c:pt idx="109">
                  <c:v>62.315280379999997</c:v>
                </c:pt>
                <c:pt idx="110">
                  <c:v>62.315280379999997</c:v>
                </c:pt>
                <c:pt idx="111">
                  <c:v>55.160894489999997</c:v>
                </c:pt>
                <c:pt idx="112">
                  <c:v>58.477264509999998</c:v>
                </c:pt>
                <c:pt idx="113">
                  <c:v>55.160894489999997</c:v>
                </c:pt>
                <c:pt idx="114">
                  <c:v>53.134964160000003</c:v>
                </c:pt>
                <c:pt idx="115">
                  <c:v>59.114847349999998</c:v>
                </c:pt>
                <c:pt idx="116">
                  <c:v>57.147661589999998</c:v>
                </c:pt>
                <c:pt idx="117">
                  <c:v>55.149392650000003</c:v>
                </c:pt>
                <c:pt idx="118">
                  <c:v>59.125991390000003</c:v>
                </c:pt>
                <c:pt idx="119">
                  <c:v>59.114847349999998</c:v>
                </c:pt>
                <c:pt idx="120">
                  <c:v>57.147661589999998</c:v>
                </c:pt>
                <c:pt idx="121">
                  <c:v>51.069020549999998</c:v>
                </c:pt>
                <c:pt idx="122">
                  <c:v>55.149392650000003</c:v>
                </c:pt>
                <c:pt idx="123">
                  <c:v>59.114847349999998</c:v>
                </c:pt>
                <c:pt idx="124">
                  <c:v>62.3045732</c:v>
                </c:pt>
                <c:pt idx="125">
                  <c:v>59.114847349999998</c:v>
                </c:pt>
                <c:pt idx="126">
                  <c:v>57.147661589999998</c:v>
                </c:pt>
                <c:pt idx="127">
                  <c:v>58.466044660000001</c:v>
                </c:pt>
                <c:pt idx="128">
                  <c:v>59.114847349999998</c:v>
                </c:pt>
                <c:pt idx="129">
                  <c:v>57.147661589999998</c:v>
                </c:pt>
                <c:pt idx="130">
                  <c:v>60.40869618</c:v>
                </c:pt>
                <c:pt idx="131">
                  <c:v>53.134964160000003</c:v>
                </c:pt>
                <c:pt idx="132">
                  <c:v>60.40869618</c:v>
                </c:pt>
                <c:pt idx="133">
                  <c:v>61.680991169999999</c:v>
                </c:pt>
                <c:pt idx="134">
                  <c:v>58.477264509999998</c:v>
                </c:pt>
                <c:pt idx="135">
                  <c:v>61.680991169999999</c:v>
                </c:pt>
                <c:pt idx="136">
                  <c:v>60.419666749999998</c:v>
                </c:pt>
                <c:pt idx="137">
                  <c:v>62.315280379999997</c:v>
                </c:pt>
                <c:pt idx="138">
                  <c:v>57.158996520000002</c:v>
                </c:pt>
                <c:pt idx="139">
                  <c:v>60.419666749999998</c:v>
                </c:pt>
                <c:pt idx="140">
                  <c:v>57.158996520000002</c:v>
                </c:pt>
                <c:pt idx="141">
                  <c:v>56.500021050000001</c:v>
                </c:pt>
                <c:pt idx="142">
                  <c:v>54.493389659999998</c:v>
                </c:pt>
                <c:pt idx="143">
                  <c:v>55.160894489999997</c:v>
                </c:pt>
                <c:pt idx="144">
                  <c:v>55.160894489999997</c:v>
                </c:pt>
                <c:pt idx="145">
                  <c:v>55.160894489999997</c:v>
                </c:pt>
                <c:pt idx="146">
                  <c:v>56.500021050000001</c:v>
                </c:pt>
                <c:pt idx="147">
                  <c:v>60.419666749999998</c:v>
                </c:pt>
                <c:pt idx="148">
                  <c:v>55.160894489999997</c:v>
                </c:pt>
                <c:pt idx="149">
                  <c:v>58.477264509999998</c:v>
                </c:pt>
                <c:pt idx="150">
                  <c:v>53.134964160000003</c:v>
                </c:pt>
                <c:pt idx="151">
                  <c:v>57.158996520000002</c:v>
                </c:pt>
                <c:pt idx="152">
                  <c:v>51.0808441</c:v>
                </c:pt>
                <c:pt idx="153">
                  <c:v>53.809964399999998</c:v>
                </c:pt>
                <c:pt idx="154">
                  <c:v>53.123299129999999</c:v>
                </c:pt>
                <c:pt idx="155">
                  <c:v>57.147661589999998</c:v>
                </c:pt>
                <c:pt idx="156">
                  <c:v>53.809964399999998</c:v>
                </c:pt>
                <c:pt idx="157">
                  <c:v>49.691464410000002</c:v>
                </c:pt>
                <c:pt idx="158">
                  <c:v>50.393595470000001</c:v>
                </c:pt>
                <c:pt idx="159">
                  <c:v>51.763919430000001</c:v>
                </c:pt>
                <c:pt idx="160">
                  <c:v>48.290232170000003</c:v>
                </c:pt>
                <c:pt idx="161">
                  <c:v>53.809964399999998</c:v>
                </c:pt>
                <c:pt idx="162">
                  <c:v>52.445143710000004</c:v>
                </c:pt>
                <c:pt idx="163">
                  <c:v>46.174310370000001</c:v>
                </c:pt>
                <c:pt idx="164">
                  <c:v>44.034259820000003</c:v>
                </c:pt>
                <c:pt idx="165">
                  <c:v>44.034259820000003</c:v>
                </c:pt>
                <c:pt idx="166">
                  <c:v>46.174310370000001</c:v>
                </c:pt>
                <c:pt idx="167">
                  <c:v>48.290232170000003</c:v>
                </c:pt>
                <c:pt idx="168">
                  <c:v>42.550901439999997</c:v>
                </c:pt>
                <c:pt idx="169">
                  <c:v>44.034259820000003</c:v>
                </c:pt>
                <c:pt idx="170">
                  <c:v>42.550901439999997</c:v>
                </c:pt>
                <c:pt idx="171">
                  <c:v>44.757542890000003</c:v>
                </c:pt>
                <c:pt idx="172">
                  <c:v>46.186478979999997</c:v>
                </c:pt>
                <c:pt idx="173">
                  <c:v>47.592533240000002</c:v>
                </c:pt>
                <c:pt idx="174">
                  <c:v>48.30225712</c:v>
                </c:pt>
                <c:pt idx="175">
                  <c:v>48.30225712</c:v>
                </c:pt>
                <c:pt idx="176">
                  <c:v>51.763919430000001</c:v>
                </c:pt>
                <c:pt idx="177">
                  <c:v>47.592533240000002</c:v>
                </c:pt>
                <c:pt idx="178">
                  <c:v>47.592533240000002</c:v>
                </c:pt>
                <c:pt idx="179">
                  <c:v>47.592533240000002</c:v>
                </c:pt>
                <c:pt idx="180">
                  <c:v>53.134964160000003</c:v>
                </c:pt>
                <c:pt idx="181">
                  <c:v>51.0808441</c:v>
                </c:pt>
                <c:pt idx="182">
                  <c:v>49.691464410000002</c:v>
                </c:pt>
                <c:pt idx="183">
                  <c:v>53.134964160000003</c:v>
                </c:pt>
                <c:pt idx="184">
                  <c:v>55.160894489999997</c:v>
                </c:pt>
                <c:pt idx="185">
                  <c:v>58.477264509999998</c:v>
                </c:pt>
                <c:pt idx="186">
                  <c:v>55.160894489999997</c:v>
                </c:pt>
                <c:pt idx="187">
                  <c:v>57.158996520000002</c:v>
                </c:pt>
                <c:pt idx="188">
                  <c:v>58.466044660000001</c:v>
                </c:pt>
                <c:pt idx="189">
                  <c:v>62.3045732</c:v>
                </c:pt>
                <c:pt idx="190">
                  <c:v>60.40869618</c:v>
                </c:pt>
                <c:pt idx="191">
                  <c:v>61.680991169999999</c:v>
                </c:pt>
                <c:pt idx="192">
                  <c:v>54.48183384</c:v>
                </c:pt>
                <c:pt idx="193">
                  <c:v>57.814717760000001</c:v>
                </c:pt>
                <c:pt idx="194">
                  <c:v>54.48183384</c:v>
                </c:pt>
                <c:pt idx="195">
                  <c:v>60.40869618</c:v>
                </c:pt>
                <c:pt idx="196">
                  <c:v>56.488631689999998</c:v>
                </c:pt>
                <c:pt idx="197">
                  <c:v>60.40869618</c:v>
                </c:pt>
                <c:pt idx="198">
                  <c:v>56.500021050000001</c:v>
                </c:pt>
                <c:pt idx="199">
                  <c:v>56.500021050000001</c:v>
                </c:pt>
                <c:pt idx="200">
                  <c:v>56.500021050000001</c:v>
                </c:pt>
                <c:pt idx="201">
                  <c:v>56.500021050000001</c:v>
                </c:pt>
                <c:pt idx="202">
                  <c:v>61.680991169999999</c:v>
                </c:pt>
                <c:pt idx="203">
                  <c:v>61.042518610000002</c:v>
                </c:pt>
                <c:pt idx="204">
                  <c:v>57.814717760000001</c:v>
                </c:pt>
                <c:pt idx="205">
                  <c:v>65.22973614</c:v>
                </c:pt>
                <c:pt idx="206">
                  <c:v>59.769842060000002</c:v>
                </c:pt>
                <c:pt idx="207">
                  <c:v>61.680991169999999</c:v>
                </c:pt>
                <c:pt idx="208">
                  <c:v>61.680991169999999</c:v>
                </c:pt>
                <c:pt idx="209">
                  <c:v>61.680991169999999</c:v>
                </c:pt>
                <c:pt idx="210">
                  <c:v>57.814717760000001</c:v>
                </c:pt>
                <c:pt idx="211">
                  <c:v>63.680503559999998</c:v>
                </c:pt>
                <c:pt idx="212">
                  <c:v>59.769842060000002</c:v>
                </c:pt>
                <c:pt idx="213">
                  <c:v>61.042518610000002</c:v>
                </c:pt>
                <c:pt idx="214">
                  <c:v>55.826367980000001</c:v>
                </c:pt>
                <c:pt idx="215">
                  <c:v>62.923032710000001</c:v>
                </c:pt>
                <c:pt idx="216">
                  <c:v>59.769842060000002</c:v>
                </c:pt>
                <c:pt idx="217">
                  <c:v>57.814717760000001</c:v>
                </c:pt>
                <c:pt idx="218">
                  <c:v>55.826367980000001</c:v>
                </c:pt>
                <c:pt idx="219">
                  <c:v>53.809964399999998</c:v>
                </c:pt>
                <c:pt idx="220">
                  <c:v>54.48183384</c:v>
                </c:pt>
                <c:pt idx="221">
                  <c:v>49.691464410000002</c:v>
                </c:pt>
                <c:pt idx="222">
                  <c:v>51.763919430000001</c:v>
                </c:pt>
                <c:pt idx="223">
                  <c:v>50.393595470000001</c:v>
                </c:pt>
                <c:pt idx="224">
                  <c:v>48.30225712</c:v>
                </c:pt>
                <c:pt idx="225">
                  <c:v>57.814717760000001</c:v>
                </c:pt>
                <c:pt idx="226">
                  <c:v>55.826367980000001</c:v>
                </c:pt>
                <c:pt idx="227">
                  <c:v>50.381720729999998</c:v>
                </c:pt>
                <c:pt idx="228">
                  <c:v>48.290232170000003</c:v>
                </c:pt>
                <c:pt idx="229">
                  <c:v>53.809964399999998</c:v>
                </c:pt>
                <c:pt idx="230">
                  <c:v>53.809964399999998</c:v>
                </c:pt>
                <c:pt idx="231">
                  <c:v>51.763919430000001</c:v>
                </c:pt>
                <c:pt idx="232">
                  <c:v>50.381720729999998</c:v>
                </c:pt>
                <c:pt idx="233">
                  <c:v>51.763919430000001</c:v>
                </c:pt>
                <c:pt idx="234">
                  <c:v>51.763919430000001</c:v>
                </c:pt>
                <c:pt idx="235">
                  <c:v>50.381720729999998</c:v>
                </c:pt>
                <c:pt idx="236">
                  <c:v>51.763919430000001</c:v>
                </c:pt>
                <c:pt idx="237">
                  <c:v>49.691464410000002</c:v>
                </c:pt>
                <c:pt idx="238">
                  <c:v>49.691464410000002</c:v>
                </c:pt>
                <c:pt idx="239">
                  <c:v>53.809964399999998</c:v>
                </c:pt>
                <c:pt idx="240">
                  <c:v>53.809964399999998</c:v>
                </c:pt>
                <c:pt idx="241">
                  <c:v>53.123299129999999</c:v>
                </c:pt>
                <c:pt idx="242">
                  <c:v>53.809964399999998</c:v>
                </c:pt>
                <c:pt idx="243">
                  <c:v>53.123299129999999</c:v>
                </c:pt>
                <c:pt idx="244">
                  <c:v>51.069020549999998</c:v>
                </c:pt>
                <c:pt idx="245">
                  <c:v>57.147661589999998</c:v>
                </c:pt>
                <c:pt idx="246">
                  <c:v>55.149392650000003</c:v>
                </c:pt>
                <c:pt idx="247">
                  <c:v>46.186478979999997</c:v>
                </c:pt>
                <c:pt idx="248">
                  <c:v>47.592533240000002</c:v>
                </c:pt>
                <c:pt idx="249">
                  <c:v>49.691464410000002</c:v>
                </c:pt>
                <c:pt idx="250">
                  <c:v>42.550901439999997</c:v>
                </c:pt>
                <c:pt idx="251">
                  <c:v>49.691464410000002</c:v>
                </c:pt>
                <c:pt idx="252">
                  <c:v>44.034259820000003</c:v>
                </c:pt>
                <c:pt idx="253">
                  <c:v>44.034259820000003</c:v>
                </c:pt>
                <c:pt idx="254">
                  <c:v>48.290232170000003</c:v>
                </c:pt>
                <c:pt idx="255">
                  <c:v>50.381720729999998</c:v>
                </c:pt>
                <c:pt idx="256">
                  <c:v>40.310795710000001</c:v>
                </c:pt>
                <c:pt idx="257">
                  <c:v>44.745284959999999</c:v>
                </c:pt>
                <c:pt idx="258">
                  <c:v>36.602484089999997</c:v>
                </c:pt>
                <c:pt idx="259">
                  <c:v>40.323477179999998</c:v>
                </c:pt>
                <c:pt idx="260">
                  <c:v>38.096996799999999</c:v>
                </c:pt>
                <c:pt idx="261">
                  <c:v>40.310795710000001</c:v>
                </c:pt>
                <c:pt idx="262">
                  <c:v>40.323477179999998</c:v>
                </c:pt>
                <c:pt idx="263">
                  <c:v>40.323477179999998</c:v>
                </c:pt>
                <c:pt idx="264">
                  <c:v>38.096996799999999</c:v>
                </c:pt>
                <c:pt idx="265">
                  <c:v>42.550901439999997</c:v>
                </c:pt>
                <c:pt idx="266">
                  <c:v>46.186478979999997</c:v>
                </c:pt>
                <c:pt idx="267">
                  <c:v>41.802294430000003</c:v>
                </c:pt>
                <c:pt idx="268">
                  <c:v>42.550901439999997</c:v>
                </c:pt>
                <c:pt idx="269">
                  <c:v>47.592533240000002</c:v>
                </c:pt>
                <c:pt idx="270">
                  <c:v>39.574432420000001</c:v>
                </c:pt>
                <c:pt idx="271">
                  <c:v>43.30328583</c:v>
                </c:pt>
                <c:pt idx="272">
                  <c:v>43.30328583</c:v>
                </c:pt>
                <c:pt idx="273">
                  <c:v>47.592533240000002</c:v>
                </c:pt>
                <c:pt idx="274">
                  <c:v>44.034259820000003</c:v>
                </c:pt>
                <c:pt idx="275">
                  <c:v>47.592533240000002</c:v>
                </c:pt>
                <c:pt idx="276">
                  <c:v>51.0808441</c:v>
                </c:pt>
                <c:pt idx="277">
                  <c:v>55.160894489999997</c:v>
                </c:pt>
                <c:pt idx="278">
                  <c:v>79.63837719</c:v>
                </c:pt>
                <c:pt idx="279">
                  <c:v>77.485665560000001</c:v>
                </c:pt>
                <c:pt idx="280">
                  <c:v>77.485665560000001</c:v>
                </c:pt>
                <c:pt idx="281">
                  <c:v>78.205266870000003</c:v>
                </c:pt>
                <c:pt idx="282">
                  <c:v>83.455571449999994</c:v>
                </c:pt>
                <c:pt idx="283">
                  <c:v>92.617989059999999</c:v>
                </c:pt>
                <c:pt idx="284">
                  <c:v>90.492164919999993</c:v>
                </c:pt>
                <c:pt idx="285">
                  <c:v>94.720978599999995</c:v>
                </c:pt>
                <c:pt idx="286">
                  <c:v>91.345373739999999</c:v>
                </c:pt>
                <c:pt idx="287">
                  <c:v>91.338086169999997</c:v>
                </c:pt>
                <c:pt idx="288">
                  <c:v>91.338086169999997</c:v>
                </c:pt>
                <c:pt idx="289">
                  <c:v>96.815355729999993</c:v>
                </c:pt>
                <c:pt idx="290">
                  <c:v>93.457733590000004</c:v>
                </c:pt>
                <c:pt idx="291">
                  <c:v>92.610732819999996</c:v>
                </c:pt>
                <c:pt idx="292">
                  <c:v>93.457733590000004</c:v>
                </c:pt>
                <c:pt idx="293">
                  <c:v>93.457733590000004</c:v>
                </c:pt>
                <c:pt idx="294">
                  <c:v>88.777035049999995</c:v>
                </c:pt>
                <c:pt idx="295">
                  <c:v>85.762083380000007</c:v>
                </c:pt>
                <c:pt idx="296">
                  <c:v>84.460540300000005</c:v>
                </c:pt>
                <c:pt idx="297">
                  <c:v>86.622428940000006</c:v>
                </c:pt>
                <c:pt idx="298">
                  <c:v>84.460540300000005</c:v>
                </c:pt>
                <c:pt idx="299">
                  <c:v>81.841333250000005</c:v>
                </c:pt>
                <c:pt idx="300">
                  <c:v>81.841333250000005</c:v>
                </c:pt>
                <c:pt idx="301">
                  <c:v>86.629835869999994</c:v>
                </c:pt>
                <c:pt idx="302">
                  <c:v>86.629835869999994</c:v>
                </c:pt>
                <c:pt idx="303">
                  <c:v>81.841333250000005</c:v>
                </c:pt>
                <c:pt idx="304">
                  <c:v>84.020316870000002</c:v>
                </c:pt>
                <c:pt idx="305">
                  <c:v>86.629835869999994</c:v>
                </c:pt>
                <c:pt idx="306">
                  <c:v>87.494480339999996</c:v>
                </c:pt>
                <c:pt idx="307">
                  <c:v>83.153095449999995</c:v>
                </c:pt>
                <c:pt idx="308">
                  <c:v>82.718647970000006</c:v>
                </c:pt>
                <c:pt idx="309">
                  <c:v>85.331044809999995</c:v>
                </c:pt>
                <c:pt idx="310">
                  <c:v>85.331044809999995</c:v>
                </c:pt>
                <c:pt idx="311">
                  <c:v>85.323607859999996</c:v>
                </c:pt>
                <c:pt idx="312">
                  <c:v>86.192545629999998</c:v>
                </c:pt>
                <c:pt idx="313">
                  <c:v>90.915794009999999</c:v>
                </c:pt>
                <c:pt idx="314">
                  <c:v>84.020316870000002</c:v>
                </c:pt>
                <c:pt idx="315">
                  <c:v>82.711152870000006</c:v>
                </c:pt>
                <c:pt idx="316">
                  <c:v>84.891986889999998</c:v>
                </c:pt>
                <c:pt idx="317">
                  <c:v>81.397704649999994</c:v>
                </c:pt>
                <c:pt idx="318">
                  <c:v>84.027783200000002</c:v>
                </c:pt>
                <c:pt idx="319">
                  <c:v>81.841333250000005</c:v>
                </c:pt>
                <c:pt idx="320">
                  <c:v>81.841333250000005</c:v>
                </c:pt>
                <c:pt idx="321">
                  <c:v>84.027783200000002</c:v>
                </c:pt>
                <c:pt idx="322">
                  <c:v>86.199962600000006</c:v>
                </c:pt>
                <c:pt idx="323">
                  <c:v>81.841333250000005</c:v>
                </c:pt>
                <c:pt idx="324">
                  <c:v>84.891986889999998</c:v>
                </c:pt>
                <c:pt idx="325">
                  <c:v>82.718647970000006</c:v>
                </c:pt>
                <c:pt idx="326">
                  <c:v>82.711152870000006</c:v>
                </c:pt>
                <c:pt idx="327">
                  <c:v>84.027783200000002</c:v>
                </c:pt>
                <c:pt idx="328">
                  <c:v>81.841333250000005</c:v>
                </c:pt>
                <c:pt idx="329">
                  <c:v>84.027783200000002</c:v>
                </c:pt>
                <c:pt idx="330">
                  <c:v>84.891986889999998</c:v>
                </c:pt>
                <c:pt idx="331">
                  <c:v>85.331044809999995</c:v>
                </c:pt>
                <c:pt idx="332">
                  <c:v>83.594462070000006</c:v>
                </c:pt>
                <c:pt idx="333">
                  <c:v>87.058386479999996</c:v>
                </c:pt>
                <c:pt idx="334">
                  <c:v>84.027783200000002</c:v>
                </c:pt>
                <c:pt idx="335">
                  <c:v>84.899432570000002</c:v>
                </c:pt>
                <c:pt idx="336">
                  <c:v>84.891986889999998</c:v>
                </c:pt>
                <c:pt idx="337">
                  <c:v>85.331044809999995</c:v>
                </c:pt>
                <c:pt idx="338">
                  <c:v>86.199962600000006</c:v>
                </c:pt>
                <c:pt idx="339">
                  <c:v>84.899432570000002</c:v>
                </c:pt>
                <c:pt idx="340">
                  <c:v>82.718647970000006</c:v>
                </c:pt>
                <c:pt idx="341">
                  <c:v>84.891986889999998</c:v>
                </c:pt>
                <c:pt idx="342">
                  <c:v>84.020316870000002</c:v>
                </c:pt>
                <c:pt idx="343">
                  <c:v>80.079324720000002</c:v>
                </c:pt>
                <c:pt idx="344">
                  <c:v>76.986061320000005</c:v>
                </c:pt>
                <c:pt idx="345">
                  <c:v>80.086877509999994</c:v>
                </c:pt>
                <c:pt idx="346">
                  <c:v>77.875916610000004</c:v>
                </c:pt>
                <c:pt idx="347">
                  <c:v>79.202259850000004</c:v>
                </c:pt>
                <c:pt idx="348">
                  <c:v>76.986061320000005</c:v>
                </c:pt>
                <c:pt idx="349">
                  <c:v>77.875916610000004</c:v>
                </c:pt>
                <c:pt idx="350">
                  <c:v>81.397704649999994</c:v>
                </c:pt>
                <c:pt idx="351">
                  <c:v>74.312865549999998</c:v>
                </c:pt>
                <c:pt idx="352">
                  <c:v>81.397704649999994</c:v>
                </c:pt>
                <c:pt idx="353">
                  <c:v>77.875916610000004</c:v>
                </c:pt>
                <c:pt idx="354">
                  <c:v>75.659696060000002</c:v>
                </c:pt>
                <c:pt idx="355">
                  <c:v>80.086877509999994</c:v>
                </c:pt>
                <c:pt idx="356">
                  <c:v>72.077340390000003</c:v>
                </c:pt>
                <c:pt idx="357">
                  <c:v>77.875916610000004</c:v>
                </c:pt>
                <c:pt idx="358">
                  <c:v>75.652056590000001</c:v>
                </c:pt>
                <c:pt idx="359">
                  <c:v>75.652056590000001</c:v>
                </c:pt>
                <c:pt idx="360">
                  <c:v>73.423571839999994</c:v>
                </c:pt>
                <c:pt idx="361">
                  <c:v>76.544179459999995</c:v>
                </c:pt>
                <c:pt idx="362">
                  <c:v>70.727821939999998</c:v>
                </c:pt>
                <c:pt idx="363">
                  <c:v>73.423571839999994</c:v>
                </c:pt>
                <c:pt idx="364">
                  <c:v>71.17580074</c:v>
                </c:pt>
                <c:pt idx="365">
                  <c:v>74.764849499999997</c:v>
                </c:pt>
                <c:pt idx="366">
                  <c:v>79.202259850000004</c:v>
                </c:pt>
                <c:pt idx="367">
                  <c:v>75.652056590000001</c:v>
                </c:pt>
                <c:pt idx="368">
                  <c:v>77.875916610000004</c:v>
                </c:pt>
                <c:pt idx="369">
                  <c:v>72.077340390000003</c:v>
                </c:pt>
                <c:pt idx="370">
                  <c:v>81.405228940000001</c:v>
                </c:pt>
                <c:pt idx="371">
                  <c:v>79.202259850000004</c:v>
                </c:pt>
                <c:pt idx="372">
                  <c:v>74.764849499999997</c:v>
                </c:pt>
                <c:pt idx="373">
                  <c:v>78.315517589999999</c:v>
                </c:pt>
                <c:pt idx="374">
                  <c:v>72.077340390000003</c:v>
                </c:pt>
                <c:pt idx="375">
                  <c:v>80.086877509999994</c:v>
                </c:pt>
                <c:pt idx="376">
                  <c:v>75.208694050000005</c:v>
                </c:pt>
                <c:pt idx="377">
                  <c:v>77.875916610000004</c:v>
                </c:pt>
                <c:pt idx="378">
                  <c:v>78.755362430000005</c:v>
                </c:pt>
                <c:pt idx="379">
                  <c:v>75.659696060000002</c:v>
                </c:pt>
                <c:pt idx="380">
                  <c:v>79.202259850000004</c:v>
                </c:pt>
                <c:pt idx="381">
                  <c:v>70.720093730000002</c:v>
                </c:pt>
                <c:pt idx="382">
                  <c:v>85.762083380000007</c:v>
                </c:pt>
                <c:pt idx="383">
                  <c:v>75.652056590000001</c:v>
                </c:pt>
                <c:pt idx="384">
                  <c:v>81.397704649999994</c:v>
                </c:pt>
                <c:pt idx="385">
                  <c:v>81.397704649999994</c:v>
                </c:pt>
                <c:pt idx="386">
                  <c:v>80.079324720000002</c:v>
                </c:pt>
                <c:pt idx="387">
                  <c:v>80.523852189999999</c:v>
                </c:pt>
                <c:pt idx="388">
                  <c:v>79.202259850000004</c:v>
                </c:pt>
                <c:pt idx="389">
                  <c:v>79.202259850000004</c:v>
                </c:pt>
                <c:pt idx="390">
                  <c:v>81.397704649999994</c:v>
                </c:pt>
                <c:pt idx="391">
                  <c:v>74.757192930000002</c:v>
                </c:pt>
                <c:pt idx="392">
                  <c:v>80.079324720000002</c:v>
                </c:pt>
                <c:pt idx="393">
                  <c:v>81.397704649999994</c:v>
                </c:pt>
                <c:pt idx="394">
                  <c:v>78.762941850000004</c:v>
                </c:pt>
                <c:pt idx="395">
                  <c:v>73.415890989999994</c:v>
                </c:pt>
                <c:pt idx="396">
                  <c:v>82.711152870000006</c:v>
                </c:pt>
                <c:pt idx="397">
                  <c:v>80.961047410000006</c:v>
                </c:pt>
                <c:pt idx="398">
                  <c:v>78.755362430000005</c:v>
                </c:pt>
                <c:pt idx="399">
                  <c:v>78.762941850000004</c:v>
                </c:pt>
                <c:pt idx="400">
                  <c:v>76.544179459999995</c:v>
                </c:pt>
                <c:pt idx="401">
                  <c:v>75.208694050000005</c:v>
                </c:pt>
                <c:pt idx="402">
                  <c:v>82.276892649999994</c:v>
                </c:pt>
                <c:pt idx="403">
                  <c:v>77.875916610000004</c:v>
                </c:pt>
                <c:pt idx="404">
                  <c:v>77.875916610000004</c:v>
                </c:pt>
                <c:pt idx="405">
                  <c:v>77.427442880000001</c:v>
                </c:pt>
                <c:pt idx="406">
                  <c:v>75.208694050000005</c:v>
                </c:pt>
                <c:pt idx="407">
                  <c:v>73.868067069999995</c:v>
                </c:pt>
                <c:pt idx="408">
                  <c:v>78.755362430000005</c:v>
                </c:pt>
                <c:pt idx="409">
                  <c:v>78.755362430000005</c:v>
                </c:pt>
                <c:pt idx="410">
                  <c:v>80.961047410000006</c:v>
                </c:pt>
                <c:pt idx="411">
                  <c:v>78.755362430000005</c:v>
                </c:pt>
                <c:pt idx="412">
                  <c:v>73.868067069999995</c:v>
                </c:pt>
                <c:pt idx="413">
                  <c:v>75.208694050000005</c:v>
                </c:pt>
                <c:pt idx="414">
                  <c:v>74.312865549999998</c:v>
                </c:pt>
                <c:pt idx="415">
                  <c:v>73.868067069999995</c:v>
                </c:pt>
                <c:pt idx="416">
                  <c:v>77.435049230000004</c:v>
                </c:pt>
                <c:pt idx="417">
                  <c:v>79.648616399999995</c:v>
                </c:pt>
                <c:pt idx="418">
                  <c:v>82.284398269999997</c:v>
                </c:pt>
                <c:pt idx="419">
                  <c:v>73.868067069999995</c:v>
                </c:pt>
                <c:pt idx="420">
                  <c:v>75.208694050000005</c:v>
                </c:pt>
                <c:pt idx="421">
                  <c:v>77.435049230000004</c:v>
                </c:pt>
                <c:pt idx="422">
                  <c:v>76.544179459999995</c:v>
                </c:pt>
                <c:pt idx="423">
                  <c:v>76.544179459999995</c:v>
                </c:pt>
                <c:pt idx="424">
                  <c:v>72.977848870000003</c:v>
                </c:pt>
                <c:pt idx="425">
                  <c:v>77.427442880000001</c:v>
                </c:pt>
                <c:pt idx="426">
                  <c:v>76.544179459999995</c:v>
                </c:pt>
                <c:pt idx="427">
                  <c:v>77.427442880000001</c:v>
                </c:pt>
                <c:pt idx="428">
                  <c:v>77.427442880000001</c:v>
                </c:pt>
                <c:pt idx="429">
                  <c:v>76.544179459999995</c:v>
                </c:pt>
                <c:pt idx="430">
                  <c:v>81.397704649999994</c:v>
                </c:pt>
                <c:pt idx="431">
                  <c:v>78.755362430000005</c:v>
                </c:pt>
                <c:pt idx="432">
                  <c:v>78.755362430000005</c:v>
                </c:pt>
                <c:pt idx="433">
                  <c:v>78.755362430000005</c:v>
                </c:pt>
                <c:pt idx="434">
                  <c:v>77.875916610000004</c:v>
                </c:pt>
                <c:pt idx="435">
                  <c:v>75.652056590000001</c:v>
                </c:pt>
                <c:pt idx="436">
                  <c:v>71.622551369999996</c:v>
                </c:pt>
                <c:pt idx="437">
                  <c:v>76.544179459999995</c:v>
                </c:pt>
                <c:pt idx="438">
                  <c:v>76.544179459999995</c:v>
                </c:pt>
                <c:pt idx="439">
                  <c:v>76.094169239999999</c:v>
                </c:pt>
                <c:pt idx="440">
                  <c:v>72.077340390000003</c:v>
                </c:pt>
                <c:pt idx="441">
                  <c:v>73.868067069999995</c:v>
                </c:pt>
                <c:pt idx="442">
                  <c:v>73.868067069999995</c:v>
                </c:pt>
                <c:pt idx="443">
                  <c:v>77.435049230000004</c:v>
                </c:pt>
                <c:pt idx="444">
                  <c:v>73.868067069999995</c:v>
                </c:pt>
                <c:pt idx="445">
                  <c:v>73.868067069999995</c:v>
                </c:pt>
                <c:pt idx="446">
                  <c:v>72.523974480000007</c:v>
                </c:pt>
                <c:pt idx="447">
                  <c:v>66.655723199999997</c:v>
                </c:pt>
                <c:pt idx="448">
                  <c:v>71.622551369999996</c:v>
                </c:pt>
                <c:pt idx="449">
                  <c:v>76.101800600000004</c:v>
                </c:pt>
                <c:pt idx="450">
                  <c:v>70.720093730000002</c:v>
                </c:pt>
                <c:pt idx="451">
                  <c:v>70.720093730000002</c:v>
                </c:pt>
                <c:pt idx="452">
                  <c:v>68.466857000000005</c:v>
                </c:pt>
                <c:pt idx="453">
                  <c:v>70.271667750000006</c:v>
                </c:pt>
                <c:pt idx="454">
                  <c:v>70.727821939999998</c:v>
                </c:pt>
                <c:pt idx="455">
                  <c:v>68.008627450000006</c:v>
                </c:pt>
                <c:pt idx="456">
                  <c:v>68.008627450000006</c:v>
                </c:pt>
                <c:pt idx="457">
                  <c:v>71.622551369999996</c:v>
                </c:pt>
                <c:pt idx="458">
                  <c:v>66.647934039999996</c:v>
                </c:pt>
                <c:pt idx="459">
                  <c:v>68.008627450000006</c:v>
                </c:pt>
                <c:pt idx="460">
                  <c:v>67.106545600000004</c:v>
                </c:pt>
                <c:pt idx="461">
                  <c:v>65.743635260000005</c:v>
                </c:pt>
                <c:pt idx="462">
                  <c:v>63.462041390000003</c:v>
                </c:pt>
                <c:pt idx="463">
                  <c:v>67.106545600000004</c:v>
                </c:pt>
                <c:pt idx="464">
                  <c:v>69.822823</c:v>
                </c:pt>
                <c:pt idx="465">
                  <c:v>67.106545600000004</c:v>
                </c:pt>
                <c:pt idx="466">
                  <c:v>70.727821939999998</c:v>
                </c:pt>
                <c:pt idx="467">
                  <c:v>64.83012798</c:v>
                </c:pt>
                <c:pt idx="468">
                  <c:v>67.106545600000004</c:v>
                </c:pt>
                <c:pt idx="469">
                  <c:v>70.727821939999998</c:v>
                </c:pt>
                <c:pt idx="470">
                  <c:v>74.764849499999997</c:v>
                </c:pt>
                <c:pt idx="471">
                  <c:v>74.312865549999998</c:v>
                </c:pt>
                <c:pt idx="472">
                  <c:v>72.970159429999995</c:v>
                </c:pt>
                <c:pt idx="473">
                  <c:v>72.077340390000003</c:v>
                </c:pt>
                <c:pt idx="474">
                  <c:v>74.320531029999998</c:v>
                </c:pt>
                <c:pt idx="475">
                  <c:v>73.423571839999994</c:v>
                </c:pt>
                <c:pt idx="476">
                  <c:v>76.993676070000006</c:v>
                </c:pt>
                <c:pt idx="477">
                  <c:v>72.069636250000002</c:v>
                </c:pt>
                <c:pt idx="478">
                  <c:v>73.415890989999994</c:v>
                </c:pt>
                <c:pt idx="479">
                  <c:v>70.720093730000002</c:v>
                </c:pt>
                <c:pt idx="480">
                  <c:v>73.415890989999994</c:v>
                </c:pt>
                <c:pt idx="481">
                  <c:v>71.17580074</c:v>
                </c:pt>
                <c:pt idx="482">
                  <c:v>74.757192930000002</c:v>
                </c:pt>
                <c:pt idx="483">
                  <c:v>75.652056590000001</c:v>
                </c:pt>
                <c:pt idx="484">
                  <c:v>72.069636250000002</c:v>
                </c:pt>
                <c:pt idx="485">
                  <c:v>70.727821939999998</c:v>
                </c:pt>
                <c:pt idx="486">
                  <c:v>75.652056590000001</c:v>
                </c:pt>
                <c:pt idx="487">
                  <c:v>74.312865549999998</c:v>
                </c:pt>
                <c:pt idx="488">
                  <c:v>72.077340390000003</c:v>
                </c:pt>
                <c:pt idx="489">
                  <c:v>69.822823</c:v>
                </c:pt>
                <c:pt idx="490">
                  <c:v>73.415890989999994</c:v>
                </c:pt>
                <c:pt idx="491">
                  <c:v>71.17580074</c:v>
                </c:pt>
                <c:pt idx="492">
                  <c:v>76.544179459999995</c:v>
                </c:pt>
                <c:pt idx="493">
                  <c:v>67.565551839999998</c:v>
                </c:pt>
                <c:pt idx="494">
                  <c:v>68.466857000000005</c:v>
                </c:pt>
                <c:pt idx="495">
                  <c:v>71.17580074</c:v>
                </c:pt>
                <c:pt idx="496">
                  <c:v>77.875916610000004</c:v>
                </c:pt>
                <c:pt idx="497">
                  <c:v>70.727821939999998</c:v>
                </c:pt>
                <c:pt idx="498">
                  <c:v>68.016396760000006</c:v>
                </c:pt>
                <c:pt idx="499">
                  <c:v>68.466857000000005</c:v>
                </c:pt>
                <c:pt idx="500">
                  <c:v>72.077340390000003</c:v>
                </c:pt>
                <c:pt idx="501">
                  <c:v>75.208694050000005</c:v>
                </c:pt>
                <c:pt idx="502">
                  <c:v>72.970159429999995</c:v>
                </c:pt>
                <c:pt idx="503">
                  <c:v>74.312865549999998</c:v>
                </c:pt>
                <c:pt idx="504">
                  <c:v>67.565551839999998</c:v>
                </c:pt>
                <c:pt idx="505">
                  <c:v>68.466857000000005</c:v>
                </c:pt>
                <c:pt idx="506">
                  <c:v>72.069636250000002</c:v>
                </c:pt>
                <c:pt idx="507">
                  <c:v>71.17580074</c:v>
                </c:pt>
                <c:pt idx="508">
                  <c:v>67.557775419999999</c:v>
                </c:pt>
                <c:pt idx="509">
                  <c:v>66.195962919999999</c:v>
                </c:pt>
                <c:pt idx="510">
                  <c:v>66.195962919999999</c:v>
                </c:pt>
                <c:pt idx="511">
                  <c:v>74.312865549999998</c:v>
                </c:pt>
                <c:pt idx="512">
                  <c:v>68.466857000000005</c:v>
                </c:pt>
                <c:pt idx="513">
                  <c:v>69.822823</c:v>
                </c:pt>
                <c:pt idx="514">
                  <c:v>72.077340390000003</c:v>
                </c:pt>
                <c:pt idx="515">
                  <c:v>72.523974480000007</c:v>
                </c:pt>
                <c:pt idx="516">
                  <c:v>66.203758769999993</c:v>
                </c:pt>
                <c:pt idx="517">
                  <c:v>71.17580074</c:v>
                </c:pt>
                <c:pt idx="518">
                  <c:v>70.720093730000002</c:v>
                </c:pt>
                <c:pt idx="519">
                  <c:v>74.312865549999998</c:v>
                </c:pt>
                <c:pt idx="520">
                  <c:v>66.195962919999999</c:v>
                </c:pt>
                <c:pt idx="521">
                  <c:v>72.069636250000002</c:v>
                </c:pt>
                <c:pt idx="522">
                  <c:v>74.312865549999998</c:v>
                </c:pt>
                <c:pt idx="523">
                  <c:v>73.415890989999994</c:v>
                </c:pt>
                <c:pt idx="524">
                  <c:v>73.415890989999994</c:v>
                </c:pt>
                <c:pt idx="525">
                  <c:v>65.290959470000004</c:v>
                </c:pt>
                <c:pt idx="526">
                  <c:v>72.069636250000002</c:v>
                </c:pt>
                <c:pt idx="527">
                  <c:v>75.652056590000001</c:v>
                </c:pt>
                <c:pt idx="528">
                  <c:v>71.17580074</c:v>
                </c:pt>
                <c:pt idx="529">
                  <c:v>67.565551839999998</c:v>
                </c:pt>
                <c:pt idx="530">
                  <c:v>69.822823</c:v>
                </c:pt>
                <c:pt idx="531">
                  <c:v>70.720093730000002</c:v>
                </c:pt>
                <c:pt idx="532">
                  <c:v>68.466857000000005</c:v>
                </c:pt>
                <c:pt idx="533">
                  <c:v>67.557775419999999</c:v>
                </c:pt>
                <c:pt idx="534">
                  <c:v>68.466857000000005</c:v>
                </c:pt>
                <c:pt idx="535">
                  <c:v>71.17580074</c:v>
                </c:pt>
                <c:pt idx="536">
                  <c:v>65.290959470000004</c:v>
                </c:pt>
                <c:pt idx="537">
                  <c:v>68.924680609999996</c:v>
                </c:pt>
                <c:pt idx="538">
                  <c:v>68.466857000000005</c:v>
                </c:pt>
                <c:pt idx="539">
                  <c:v>72.069636250000002</c:v>
                </c:pt>
                <c:pt idx="540">
                  <c:v>69.822823</c:v>
                </c:pt>
                <c:pt idx="541">
                  <c:v>64.837941950000001</c:v>
                </c:pt>
                <c:pt idx="542">
                  <c:v>69.822823</c:v>
                </c:pt>
                <c:pt idx="543">
                  <c:v>68.466857000000005</c:v>
                </c:pt>
                <c:pt idx="544">
                  <c:v>68.924680609999996</c:v>
                </c:pt>
                <c:pt idx="545">
                  <c:v>63.92387093</c:v>
                </c:pt>
                <c:pt idx="546">
                  <c:v>65.290959470000004</c:v>
                </c:pt>
                <c:pt idx="547">
                  <c:v>66.203758769999993</c:v>
                </c:pt>
                <c:pt idx="548">
                  <c:v>66.203758769999993</c:v>
                </c:pt>
                <c:pt idx="549">
                  <c:v>66.655723199999997</c:v>
                </c:pt>
                <c:pt idx="550">
                  <c:v>74.764849499999997</c:v>
                </c:pt>
                <c:pt idx="551">
                  <c:v>71.17580074</c:v>
                </c:pt>
                <c:pt idx="552">
                  <c:v>66.203758769999993</c:v>
                </c:pt>
                <c:pt idx="553">
                  <c:v>63.92387093</c:v>
                </c:pt>
                <c:pt idx="554">
                  <c:v>66.655723199999997</c:v>
                </c:pt>
                <c:pt idx="555">
                  <c:v>64.377553680000005</c:v>
                </c:pt>
                <c:pt idx="556">
                  <c:v>67.557775419999999</c:v>
                </c:pt>
                <c:pt idx="557">
                  <c:v>65.283151739999994</c:v>
                </c:pt>
                <c:pt idx="558">
                  <c:v>72.523974480000007</c:v>
                </c:pt>
                <c:pt idx="559">
                  <c:v>67.557775419999999</c:v>
                </c:pt>
                <c:pt idx="560">
                  <c:v>68.916923760000003</c:v>
                </c:pt>
                <c:pt idx="561">
                  <c:v>65.290959470000004</c:v>
                </c:pt>
                <c:pt idx="562">
                  <c:v>64.377553680000005</c:v>
                </c:pt>
                <c:pt idx="563">
                  <c:v>71.622551369999996</c:v>
                </c:pt>
                <c:pt idx="564">
                  <c:v>68.916923760000003</c:v>
                </c:pt>
                <c:pt idx="565">
                  <c:v>68.016396760000006</c:v>
                </c:pt>
                <c:pt idx="566">
                  <c:v>69.822823</c:v>
                </c:pt>
                <c:pt idx="567">
                  <c:v>70.271667750000006</c:v>
                </c:pt>
                <c:pt idx="568">
                  <c:v>65.290959470000004</c:v>
                </c:pt>
                <c:pt idx="569">
                  <c:v>66.655723199999997</c:v>
                </c:pt>
                <c:pt idx="570">
                  <c:v>68.008627450000006</c:v>
                </c:pt>
                <c:pt idx="571">
                  <c:v>71.17580074</c:v>
                </c:pt>
                <c:pt idx="572">
                  <c:v>64.377553680000005</c:v>
                </c:pt>
                <c:pt idx="573">
                  <c:v>65.283151739999994</c:v>
                </c:pt>
                <c:pt idx="574">
                  <c:v>63.015482910000003</c:v>
                </c:pt>
                <c:pt idx="575">
                  <c:v>71.17580074</c:v>
                </c:pt>
                <c:pt idx="576">
                  <c:v>70.279402750000003</c:v>
                </c:pt>
                <c:pt idx="577">
                  <c:v>66.647934039999996</c:v>
                </c:pt>
                <c:pt idx="578">
                  <c:v>73.415890989999994</c:v>
                </c:pt>
                <c:pt idx="579">
                  <c:v>71.630262669999993</c:v>
                </c:pt>
                <c:pt idx="580">
                  <c:v>68.016396760000006</c:v>
                </c:pt>
                <c:pt idx="581">
                  <c:v>70.279402750000003</c:v>
                </c:pt>
                <c:pt idx="582">
                  <c:v>69.373566690000004</c:v>
                </c:pt>
                <c:pt idx="583">
                  <c:v>74.757192930000002</c:v>
                </c:pt>
                <c:pt idx="584">
                  <c:v>72.069636250000002</c:v>
                </c:pt>
                <c:pt idx="585">
                  <c:v>74.757192930000002</c:v>
                </c:pt>
                <c:pt idx="586">
                  <c:v>71.17580074</c:v>
                </c:pt>
                <c:pt idx="587">
                  <c:v>68.924680609999996</c:v>
                </c:pt>
                <c:pt idx="588">
                  <c:v>68.924680609999996</c:v>
                </c:pt>
                <c:pt idx="589">
                  <c:v>67.565551839999998</c:v>
                </c:pt>
                <c:pt idx="590">
                  <c:v>68.466857000000005</c:v>
                </c:pt>
                <c:pt idx="591">
                  <c:v>71.17580074</c:v>
                </c:pt>
                <c:pt idx="592">
                  <c:v>72.077340390000003</c:v>
                </c:pt>
                <c:pt idx="593">
                  <c:v>73.415890989999994</c:v>
                </c:pt>
                <c:pt idx="594">
                  <c:v>71.17580074</c:v>
                </c:pt>
                <c:pt idx="595">
                  <c:v>72.523974480000007</c:v>
                </c:pt>
                <c:pt idx="596">
                  <c:v>69.822823</c:v>
                </c:pt>
                <c:pt idx="597">
                  <c:v>69.822823</c:v>
                </c:pt>
                <c:pt idx="598">
                  <c:v>74.764849499999997</c:v>
                </c:pt>
                <c:pt idx="599">
                  <c:v>73.423571839999994</c:v>
                </c:pt>
                <c:pt idx="600">
                  <c:v>70.727821939999998</c:v>
                </c:pt>
                <c:pt idx="601">
                  <c:v>71.17580074</c:v>
                </c:pt>
                <c:pt idx="602">
                  <c:v>72.523974480000007</c:v>
                </c:pt>
                <c:pt idx="603">
                  <c:v>69.822823</c:v>
                </c:pt>
                <c:pt idx="604">
                  <c:v>67.557775419999999</c:v>
                </c:pt>
                <c:pt idx="605">
                  <c:v>72.069636250000002</c:v>
                </c:pt>
                <c:pt idx="606">
                  <c:v>71.17580074</c:v>
                </c:pt>
                <c:pt idx="607">
                  <c:v>68.916923760000003</c:v>
                </c:pt>
                <c:pt idx="608">
                  <c:v>72.523974480000007</c:v>
                </c:pt>
                <c:pt idx="609">
                  <c:v>75.652056590000001</c:v>
                </c:pt>
                <c:pt idx="610">
                  <c:v>69.822823</c:v>
                </c:pt>
                <c:pt idx="611">
                  <c:v>71.17580074</c:v>
                </c:pt>
                <c:pt idx="612">
                  <c:v>71.17580074</c:v>
                </c:pt>
                <c:pt idx="613">
                  <c:v>72.077340390000003</c:v>
                </c:pt>
                <c:pt idx="614">
                  <c:v>68.466857000000005</c:v>
                </c:pt>
                <c:pt idx="615">
                  <c:v>72.077340390000003</c:v>
                </c:pt>
                <c:pt idx="616">
                  <c:v>71.17580074</c:v>
                </c:pt>
                <c:pt idx="617">
                  <c:v>73.423571839999994</c:v>
                </c:pt>
                <c:pt idx="618">
                  <c:v>72.523974480000007</c:v>
                </c:pt>
                <c:pt idx="619">
                  <c:v>66.203758769999993</c:v>
                </c:pt>
                <c:pt idx="620">
                  <c:v>68.924680609999996</c:v>
                </c:pt>
                <c:pt idx="621">
                  <c:v>68.924680609999996</c:v>
                </c:pt>
                <c:pt idx="622">
                  <c:v>65.290959470000004</c:v>
                </c:pt>
                <c:pt idx="623">
                  <c:v>69.822823</c:v>
                </c:pt>
                <c:pt idx="624">
                  <c:v>69.822823</c:v>
                </c:pt>
                <c:pt idx="625">
                  <c:v>67.557775419999999</c:v>
                </c:pt>
                <c:pt idx="626">
                  <c:v>71.17580074</c:v>
                </c:pt>
                <c:pt idx="627">
                  <c:v>71.17580074</c:v>
                </c:pt>
                <c:pt idx="628">
                  <c:v>71.17580074</c:v>
                </c:pt>
                <c:pt idx="629">
                  <c:v>74.764849499999997</c:v>
                </c:pt>
                <c:pt idx="630">
                  <c:v>73.423571839999994</c:v>
                </c:pt>
                <c:pt idx="631">
                  <c:v>70.727821939999998</c:v>
                </c:pt>
                <c:pt idx="632">
                  <c:v>73.423571839999994</c:v>
                </c:pt>
                <c:pt idx="633">
                  <c:v>67.557775419999999</c:v>
                </c:pt>
                <c:pt idx="634">
                  <c:v>68.466857000000005</c:v>
                </c:pt>
                <c:pt idx="635">
                  <c:v>69.822823</c:v>
                </c:pt>
                <c:pt idx="636">
                  <c:v>70.720093730000002</c:v>
                </c:pt>
                <c:pt idx="637">
                  <c:v>65.283151739999994</c:v>
                </c:pt>
                <c:pt idx="638">
                  <c:v>65.283151739999994</c:v>
                </c:pt>
                <c:pt idx="639">
                  <c:v>67.557775419999999</c:v>
                </c:pt>
                <c:pt idx="640">
                  <c:v>67.557775419999999</c:v>
                </c:pt>
                <c:pt idx="641">
                  <c:v>69.822823</c:v>
                </c:pt>
                <c:pt idx="642">
                  <c:v>63.92387093</c:v>
                </c:pt>
                <c:pt idx="643">
                  <c:v>63.92387093</c:v>
                </c:pt>
                <c:pt idx="644">
                  <c:v>63.92387093</c:v>
                </c:pt>
                <c:pt idx="645">
                  <c:v>59.685691249999998</c:v>
                </c:pt>
                <c:pt idx="646">
                  <c:v>63.92387093</c:v>
                </c:pt>
                <c:pt idx="647">
                  <c:v>63.015482910000003</c:v>
                </c:pt>
                <c:pt idx="648">
                  <c:v>61.92162476</c:v>
                </c:pt>
                <c:pt idx="649">
                  <c:v>63.92387093</c:v>
                </c:pt>
                <c:pt idx="650">
                  <c:v>62.292408569999999</c:v>
                </c:pt>
                <c:pt idx="651">
                  <c:v>61.180993239999999</c:v>
                </c:pt>
                <c:pt idx="652">
                  <c:v>66.195962919999999</c:v>
                </c:pt>
                <c:pt idx="653">
                  <c:v>63.015482910000003</c:v>
                </c:pt>
                <c:pt idx="654">
                  <c:v>66.647934039999996</c:v>
                </c:pt>
                <c:pt idx="655">
                  <c:v>65.290959470000004</c:v>
                </c:pt>
                <c:pt idx="656">
                  <c:v>65.743635260000005</c:v>
                </c:pt>
                <c:pt idx="657">
                  <c:v>67.557775419999999</c:v>
                </c:pt>
                <c:pt idx="658">
                  <c:v>66.647934039999996</c:v>
                </c:pt>
                <c:pt idx="659">
                  <c:v>65.290959470000004</c:v>
                </c:pt>
                <c:pt idx="660">
                  <c:v>70.271667750000006</c:v>
                </c:pt>
                <c:pt idx="661">
                  <c:v>66.655723199999997</c:v>
                </c:pt>
                <c:pt idx="662">
                  <c:v>69.373566690000004</c:v>
                </c:pt>
                <c:pt idx="663">
                  <c:v>74.764849499999997</c:v>
                </c:pt>
                <c:pt idx="664">
                  <c:v>69.822823</c:v>
                </c:pt>
                <c:pt idx="665">
                  <c:v>68.016396760000006</c:v>
                </c:pt>
                <c:pt idx="666">
                  <c:v>72.523974480000007</c:v>
                </c:pt>
                <c:pt idx="667">
                  <c:v>71.630262669999993</c:v>
                </c:pt>
                <c:pt idx="668">
                  <c:v>71.17580074</c:v>
                </c:pt>
                <c:pt idx="669">
                  <c:v>73.868067069999995</c:v>
                </c:pt>
                <c:pt idx="670">
                  <c:v>70.279402750000003</c:v>
                </c:pt>
                <c:pt idx="671">
                  <c:v>66.655723199999997</c:v>
                </c:pt>
                <c:pt idx="672">
                  <c:v>68.924680609999996</c:v>
                </c:pt>
                <c:pt idx="673">
                  <c:v>71.17580074</c:v>
                </c:pt>
                <c:pt idx="674">
                  <c:v>78.323104580000006</c:v>
                </c:pt>
                <c:pt idx="675">
                  <c:v>74.764849499999997</c:v>
                </c:pt>
                <c:pt idx="676">
                  <c:v>77.435049230000004</c:v>
                </c:pt>
                <c:pt idx="677">
                  <c:v>74.764849499999997</c:v>
                </c:pt>
                <c:pt idx="678">
                  <c:v>79.202259850000004</c:v>
                </c:pt>
                <c:pt idx="679">
                  <c:v>74.764849499999997</c:v>
                </c:pt>
                <c:pt idx="680">
                  <c:v>70.279402750000003</c:v>
                </c:pt>
                <c:pt idx="681">
                  <c:v>76.993676070000006</c:v>
                </c:pt>
                <c:pt idx="682">
                  <c:v>76.993676070000006</c:v>
                </c:pt>
                <c:pt idx="683">
                  <c:v>77.435049230000004</c:v>
                </c:pt>
                <c:pt idx="684">
                  <c:v>74.764849499999997</c:v>
                </c:pt>
                <c:pt idx="685">
                  <c:v>77.875916610000004</c:v>
                </c:pt>
                <c:pt idx="686">
                  <c:v>76.101800600000004</c:v>
                </c:pt>
                <c:pt idx="687">
                  <c:v>76.101800600000004</c:v>
                </c:pt>
                <c:pt idx="688">
                  <c:v>73.415890989999994</c:v>
                </c:pt>
                <c:pt idx="689">
                  <c:v>74.312865549999998</c:v>
                </c:pt>
                <c:pt idx="690">
                  <c:v>79.641055789999996</c:v>
                </c:pt>
                <c:pt idx="691">
                  <c:v>77.875916610000004</c:v>
                </c:pt>
                <c:pt idx="692">
                  <c:v>77.875916610000004</c:v>
                </c:pt>
                <c:pt idx="693">
                  <c:v>72.077340390000003</c:v>
                </c:pt>
                <c:pt idx="694">
                  <c:v>74.764849499999997</c:v>
                </c:pt>
                <c:pt idx="695">
                  <c:v>69.822823</c:v>
                </c:pt>
                <c:pt idx="696">
                  <c:v>74.764849499999997</c:v>
                </c:pt>
                <c:pt idx="697">
                  <c:v>74.764849499999997</c:v>
                </c:pt>
                <c:pt idx="698">
                  <c:v>69.822823</c:v>
                </c:pt>
                <c:pt idx="699">
                  <c:v>75.659696060000002</c:v>
                </c:pt>
                <c:pt idx="700">
                  <c:v>75.659696060000002</c:v>
                </c:pt>
                <c:pt idx="701">
                  <c:v>76.993676070000006</c:v>
                </c:pt>
                <c:pt idx="702">
                  <c:v>72.077340390000003</c:v>
                </c:pt>
                <c:pt idx="703">
                  <c:v>72.523974480000007</c:v>
                </c:pt>
                <c:pt idx="704">
                  <c:v>78.323104580000006</c:v>
                </c:pt>
                <c:pt idx="705">
                  <c:v>73.868067069999995</c:v>
                </c:pt>
                <c:pt idx="706">
                  <c:v>76.101800600000004</c:v>
                </c:pt>
                <c:pt idx="707">
                  <c:v>74.764849499999997</c:v>
                </c:pt>
                <c:pt idx="708">
                  <c:v>79.202259850000004</c:v>
                </c:pt>
                <c:pt idx="709">
                  <c:v>73.415890989999994</c:v>
                </c:pt>
                <c:pt idx="710">
                  <c:v>73.868067069999995</c:v>
                </c:pt>
                <c:pt idx="711">
                  <c:v>68.008627450000006</c:v>
                </c:pt>
                <c:pt idx="712">
                  <c:v>71.17580074</c:v>
                </c:pt>
                <c:pt idx="713">
                  <c:v>76.993676070000006</c:v>
                </c:pt>
                <c:pt idx="714">
                  <c:v>74.764849499999997</c:v>
                </c:pt>
                <c:pt idx="715">
                  <c:v>68.916923760000003</c:v>
                </c:pt>
                <c:pt idx="716">
                  <c:v>74.764849499999997</c:v>
                </c:pt>
                <c:pt idx="717">
                  <c:v>69.822823</c:v>
                </c:pt>
                <c:pt idx="718">
                  <c:v>67.557775419999999</c:v>
                </c:pt>
                <c:pt idx="719">
                  <c:v>72.523974480000007</c:v>
                </c:pt>
                <c:pt idx="720">
                  <c:v>73.868067069999995</c:v>
                </c:pt>
                <c:pt idx="721">
                  <c:v>72.523974480000007</c:v>
                </c:pt>
                <c:pt idx="722">
                  <c:v>68.916923760000003</c:v>
                </c:pt>
                <c:pt idx="723">
                  <c:v>71.17580074</c:v>
                </c:pt>
                <c:pt idx="724">
                  <c:v>71.17580074</c:v>
                </c:pt>
                <c:pt idx="725">
                  <c:v>68.916923760000003</c:v>
                </c:pt>
                <c:pt idx="726">
                  <c:v>68.008627450000006</c:v>
                </c:pt>
                <c:pt idx="727">
                  <c:v>71.17580074</c:v>
                </c:pt>
                <c:pt idx="728">
                  <c:v>68.916923760000003</c:v>
                </c:pt>
                <c:pt idx="729">
                  <c:v>67.557775419999999</c:v>
                </c:pt>
                <c:pt idx="730">
                  <c:v>68.008627450000006</c:v>
                </c:pt>
                <c:pt idx="731">
                  <c:v>61.92162476</c:v>
                </c:pt>
                <c:pt idx="732">
                  <c:v>66.647934039999996</c:v>
                </c:pt>
                <c:pt idx="733">
                  <c:v>66.655723199999997</c:v>
                </c:pt>
                <c:pt idx="734">
                  <c:v>69.822823</c:v>
                </c:pt>
                <c:pt idx="735">
                  <c:v>63.015482910000003</c:v>
                </c:pt>
                <c:pt idx="736">
                  <c:v>71.17580074</c:v>
                </c:pt>
                <c:pt idx="737">
                  <c:v>68.016396760000006</c:v>
                </c:pt>
                <c:pt idx="738">
                  <c:v>68.016396760000006</c:v>
                </c:pt>
                <c:pt idx="739">
                  <c:v>66.655723199999997</c:v>
                </c:pt>
                <c:pt idx="740">
                  <c:v>63.92387093</c:v>
                </c:pt>
                <c:pt idx="741">
                  <c:v>69.373566690000004</c:v>
                </c:pt>
                <c:pt idx="742">
                  <c:v>66.655723199999997</c:v>
                </c:pt>
                <c:pt idx="743">
                  <c:v>65.290959470000004</c:v>
                </c:pt>
                <c:pt idx="744">
                  <c:v>63.92387093</c:v>
                </c:pt>
                <c:pt idx="745">
                  <c:v>66.655723199999997</c:v>
                </c:pt>
                <c:pt idx="746">
                  <c:v>71.17580074</c:v>
                </c:pt>
                <c:pt idx="747">
                  <c:v>65.290959470000004</c:v>
                </c:pt>
                <c:pt idx="748">
                  <c:v>71.17580074</c:v>
                </c:pt>
                <c:pt idx="749">
                  <c:v>70.279402750000003</c:v>
                </c:pt>
                <c:pt idx="750">
                  <c:v>71.630262669999993</c:v>
                </c:pt>
                <c:pt idx="751">
                  <c:v>77.435049230000004</c:v>
                </c:pt>
                <c:pt idx="752">
                  <c:v>64.377553680000005</c:v>
                </c:pt>
                <c:pt idx="753">
                  <c:v>72.970159429999995</c:v>
                </c:pt>
                <c:pt idx="754">
                  <c:v>75.208694050000005</c:v>
                </c:pt>
                <c:pt idx="755">
                  <c:v>71.620816880000007</c:v>
                </c:pt>
                <c:pt idx="756">
                  <c:v>77.435049230000004</c:v>
                </c:pt>
                <c:pt idx="757">
                  <c:v>80.961047410000006</c:v>
                </c:pt>
                <c:pt idx="758">
                  <c:v>83.153095449999995</c:v>
                </c:pt>
                <c:pt idx="759">
                  <c:v>84.460540300000005</c:v>
                </c:pt>
                <c:pt idx="760">
                  <c:v>80.961047410000006</c:v>
                </c:pt>
                <c:pt idx="761">
                  <c:v>85.331044809999995</c:v>
                </c:pt>
                <c:pt idx="762">
                  <c:v>76.101800600000004</c:v>
                </c:pt>
                <c:pt idx="763">
                  <c:v>79.648616399999995</c:v>
                </c:pt>
                <c:pt idx="764">
                  <c:v>80.086877509999994</c:v>
                </c:pt>
                <c:pt idx="765">
                  <c:v>89.209976960000006</c:v>
                </c:pt>
                <c:pt idx="766">
                  <c:v>83.153095449999995</c:v>
                </c:pt>
                <c:pt idx="767">
                  <c:v>85.323607859999996</c:v>
                </c:pt>
                <c:pt idx="768">
                  <c:v>80.968580889999998</c:v>
                </c:pt>
                <c:pt idx="769">
                  <c:v>83.153095449999995</c:v>
                </c:pt>
                <c:pt idx="770">
                  <c:v>85.331044809999995</c:v>
                </c:pt>
                <c:pt idx="771">
                  <c:v>89.635700749999998</c:v>
                </c:pt>
                <c:pt idx="772">
                  <c:v>83.153095449999995</c:v>
                </c:pt>
                <c:pt idx="773">
                  <c:v>78.323104580000006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C6-4C5C-ACB3-B93EE3A07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988400"/>
        <c:axId val="725988880"/>
      </c:scatterChart>
      <c:scatterChart>
        <c:scatterStyle val="lineMarker"/>
        <c:varyColors val="0"/>
        <c:ser>
          <c:idx val="5"/>
          <c:order val="1"/>
          <c:tx>
            <c:strRef>
              <c:f>'spring time series'!$S$2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'spring time series'!$M$3:$M$776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'spring time series'!$S$3:$S$776</c:f>
              <c:numCache>
                <c:formatCode>0.000</c:formatCode>
                <c:ptCount val="774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142.01881184966098</c:v>
                </c:pt>
                <c:pt idx="67">
                  <c:v>145.38785758818173</c:v>
                </c:pt>
                <c:pt idx="68">
                  <c:v>142.69156352201242</c:v>
                </c:pt>
                <c:pt idx="69">
                  <c:v>151.34523276186351</c:v>
                </c:pt>
                <c:pt idx="70">
                  <c:v>144.06944534636659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141.45666688672671</c:v>
                </c:pt>
                <c:pt idx="74">
                  <c:v>138.84985455142453</c:v>
                </c:pt>
                <c:pt idx="75">
                  <c:v>139.94338236806948</c:v>
                </c:pt>
                <c:pt idx="76">
                  <c:v>145.55378558420549</c:v>
                </c:pt>
                <c:pt idx="77">
                  <c:v>146.29752643259761</c:v>
                </c:pt>
                <c:pt idx="78">
                  <c:v>139.47040196460691</c:v>
                </c:pt>
                <c:pt idx="79">
                  <c:v>143.26921232024179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140.06300612510921</c:v>
                </c:pt>
                <c:pt idx="84">
                  <c:v>180.96874532261265</c:v>
                </c:pt>
                <c:pt idx="85">
                  <c:v>152.44168086757588</c:v>
                </c:pt>
                <c:pt idx="86">
                  <c:v>147.74729666142326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141.27335297205235</c:v>
                </c:pt>
                <c:pt idx="97">
                  <c:v>140.72709900489664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140.53803666842256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135.42923390842381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135.0097277942005</c:v>
                </c:pt>
                <c:pt idx="164">
                  <c:v>141.93146582928333</c:v>
                </c:pt>
                <c:pt idx="165">
                  <c:v>135.87974091319353</c:v>
                </c:pt>
                <c:pt idx="166">
                  <c:v>138.66989406093427</c:v>
                </c:pt>
                <c:pt idx="167">
                  <c:v>137.93266870320815</c:v>
                </c:pt>
                <c:pt idx="168">
                  <c:v>138.88583422277094</c:v>
                </c:pt>
                <c:pt idx="169">
                  <c:v>138.27066876501937</c:v>
                </c:pt>
                <c:pt idx="170">
                  <c:v>142.96677330720198</c:v>
                </c:pt>
                <c:pt idx="171">
                  <c:v>141.56805246435667</c:v>
                </c:pt>
                <c:pt idx="172">
                  <c:v>147.15609950062395</c:v>
                </c:pt>
                <c:pt idx="173">
                  <c:v>135.87142267313658</c:v>
                </c:pt>
                <c:pt idx="174">
                  <c:v>150.08608461519074</c:v>
                </c:pt>
                <c:pt idx="175">
                  <c:v>145.19784650414783</c:v>
                </c:pt>
                <c:pt idx="176">
                  <c:v>156.00898448073622</c:v>
                </c:pt>
                <c:pt idx="177">
                  <c:v>136.25732089246875</c:v>
                </c:pt>
                <c:pt idx="178">
                  <c:v>140.05759967501024</c:v>
                </c:pt>
                <c:pt idx="179">
                  <c:v>138.97739001168253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151.18036839586793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152.46364934542399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161.01122712541482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148.9408911961836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155.56428684689638</c:v>
                </c:pt>
                <c:pt idx="238">
                  <c:v>151.89313495976671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149.08362154497107</c:v>
                </c:pt>
                <c:pt idx="248">
                  <c:v>149.18856533911088</c:v>
                </c:pt>
                <c:pt idx="249">
                  <c:v>155.047781672127</c:v>
                </c:pt>
                <c:pt idx="250">
                  <c:v>159.05044187872767</c:v>
                </c:pt>
                <c:pt idx="251">
                  <c:v>151.03851456010119</c:v>
                </c:pt>
                <c:pt idx="252">
                  <c:v>144.9625039992213</c:v>
                </c:pt>
                <c:pt idx="253">
                  <c:v>153.05218113856498</c:v>
                </c:pt>
                <c:pt idx="254">
                  <c:v>149.56456877080382</c:v>
                </c:pt>
                <c:pt idx="255">
                  <c:v>152.83308842369095</c:v>
                </c:pt>
                <c:pt idx="256">
                  <c:v>145.92507455627063</c:v>
                </c:pt>
                <c:pt idx="257">
                  <c:v>152.21576209505662</c:v>
                </c:pt>
                <c:pt idx="258">
                  <c:v>144.71949073552858</c:v>
                </c:pt>
                <c:pt idx="259">
                  <c:v>173.34066746071912</c:v>
                </c:pt>
                <c:pt idx="260">
                  <c:v>149.60733872885947</c:v>
                </c:pt>
                <c:pt idx="261">
                  <c:v>153.52417381594145</c:v>
                </c:pt>
                <c:pt idx="262">
                  <c:v>147.7070767270618</c:v>
                </c:pt>
                <c:pt idx="263">
                  <c:v>156.35195851469601</c:v>
                </c:pt>
                <c:pt idx="264">
                  <c:v>153.4803426229474</c:v>
                </c:pt>
                <c:pt idx="265">
                  <c:v>150.31877230812907</c:v>
                </c:pt>
                <c:pt idx="266">
                  <c:v>149.93634711268672</c:v>
                </c:pt>
                <c:pt idx="267">
                  <c:v>147.32922069372083</c:v>
                </c:pt>
                <c:pt idx="268">
                  <c:v>158.3303384129776</c:v>
                </c:pt>
                <c:pt idx="269">
                  <c:v>155.20520903481176</c:v>
                </c:pt>
                <c:pt idx="270">
                  <c:v>148.63419924955866</c:v>
                </c:pt>
                <c:pt idx="271">
                  <c:v>150.49182097112845</c:v>
                </c:pt>
                <c:pt idx="272">
                  <c:v>152.50465608211272</c:v>
                </c:pt>
                <c:pt idx="273">
                  <c:v>157.41214117351532</c:v>
                </c:pt>
                <c:pt idx="274">
                  <c:v>153.90634532732835</c:v>
                </c:pt>
                <c:pt idx="275">
                  <c:v>149.86080181278493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C6-4C5C-ACB3-B93EE3A07F28}"/>
            </c:ext>
          </c:extLst>
        </c:ser>
        <c:ser>
          <c:idx val="7"/>
          <c:order val="2"/>
          <c:tx>
            <c:strRef>
              <c:f>'spring time series'!$T$1:$U$1</c:f>
              <c:strCache>
                <c:ptCount val="1"/>
                <c:pt idx="0">
                  <c:v>Tau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'spring time series'!$M$3:$M$776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'spring time series'!$U$3:$U$776</c:f>
              <c:numCache>
                <c:formatCode>0.000</c:formatCode>
                <c:ptCount val="774"/>
                <c:pt idx="0">
                  <c:v>154.09654232025309</c:v>
                </c:pt>
                <c:pt idx="1">
                  <c:v>142.28918811590063</c:v>
                </c:pt>
                <c:pt idx="2">
                  <c:v>144.79933373399157</c:v>
                </c:pt>
                <c:pt idx="3">
                  <c:v>147.42619974740472</c:v>
                </c:pt>
                <c:pt idx="4">
                  <c:v>149.79425285357459</c:v>
                </c:pt>
                <c:pt idx="5">
                  <c:v>149.62265244186753</c:v>
                </c:pt>
                <c:pt idx="6">
                  <c:v>147.25894168167457</c:v>
                </c:pt>
                <c:pt idx="7">
                  <c:v>151.04158743822563</c:v>
                </c:pt>
                <c:pt idx="8">
                  <c:v>150.90607892678455</c:v>
                </c:pt>
                <c:pt idx="9">
                  <c:v>148.2373165885771</c:v>
                </c:pt>
                <c:pt idx="10">
                  <c:v>149.6067007035771</c:v>
                </c:pt>
                <c:pt idx="11">
                  <c:v>152.99542969694221</c:v>
                </c:pt>
                <c:pt idx="12">
                  <c:v>142.27696345234244</c:v>
                </c:pt>
                <c:pt idx="13">
                  <c:v>144.87092528421593</c:v>
                </c:pt>
                <c:pt idx="14">
                  <c:v>145.52968215096445</c:v>
                </c:pt>
                <c:pt idx="15">
                  <c:v>146.57341953573834</c:v>
                </c:pt>
                <c:pt idx="16">
                  <c:v>161.52899804575961</c:v>
                </c:pt>
                <c:pt idx="17">
                  <c:v>143.75950869309409</c:v>
                </c:pt>
                <c:pt idx="18">
                  <c:v>145.42220671488329</c:v>
                </c:pt>
                <c:pt idx="19">
                  <c:v>145.24480202277019</c:v>
                </c:pt>
                <c:pt idx="20">
                  <c:v>144.66063627520552</c:v>
                </c:pt>
                <c:pt idx="21">
                  <c:v>145.29960306129425</c:v>
                </c:pt>
                <c:pt idx="22">
                  <c:v>149.28916663721046</c:v>
                </c:pt>
                <c:pt idx="23">
                  <c:v>149.81560170742358</c:v>
                </c:pt>
                <c:pt idx="24">
                  <c:v>148.40869667426762</c:v>
                </c:pt>
                <c:pt idx="25">
                  <c:v>148.37911962903473</c:v>
                </c:pt>
                <c:pt idx="26">
                  <c:v>145.44518432545286</c:v>
                </c:pt>
                <c:pt idx="27">
                  <c:v>144.98305389299176</c:v>
                </c:pt>
                <c:pt idx="28">
                  <c:v>148.67494397032303</c:v>
                </c:pt>
                <c:pt idx="29">
                  <c:v>148.07502851714619</c:v>
                </c:pt>
                <c:pt idx="30">
                  <c:v>154.0482759375908</c:v>
                </c:pt>
                <c:pt idx="31">
                  <c:v>144.94791980030888</c:v>
                </c:pt>
                <c:pt idx="32">
                  <c:v>145.92089255394461</c:v>
                </c:pt>
                <c:pt idx="33">
                  <c:v>149.70743964566802</c:v>
                </c:pt>
                <c:pt idx="34">
                  <c:v>148.51516800334389</c:v>
                </c:pt>
                <c:pt idx="35">
                  <c:v>142.27879433675275</c:v>
                </c:pt>
                <c:pt idx="36">
                  <c:v>149.91900869174569</c:v>
                </c:pt>
                <c:pt idx="37">
                  <c:v>141.52067093453738</c:v>
                </c:pt>
                <c:pt idx="38">
                  <c:v>147.00584240081989</c:v>
                </c:pt>
                <c:pt idx="39">
                  <c:v>139.09489086199329</c:v>
                </c:pt>
                <c:pt idx="40">
                  <c:v>145.50038485179044</c:v>
                </c:pt>
                <c:pt idx="41">
                  <c:v>145.07549032629595</c:v>
                </c:pt>
                <c:pt idx="42">
                  <c:v>145.12026994776599</c:v>
                </c:pt>
                <c:pt idx="43">
                  <c:v>145.11818076396156</c:v>
                </c:pt>
                <c:pt idx="44">
                  <c:v>143.12180366423661</c:v>
                </c:pt>
                <c:pt idx="45">
                  <c:v>146.62036567509179</c:v>
                </c:pt>
                <c:pt idx="46">
                  <c:v>140.02126159956836</c:v>
                </c:pt>
                <c:pt idx="47">
                  <c:v>145.66256447595254</c:v>
                </c:pt>
                <c:pt idx="48">
                  <c:v>148.98768314208178</c:v>
                </c:pt>
                <c:pt idx="49">
                  <c:v>146.89163154951436</c:v>
                </c:pt>
                <c:pt idx="50">
                  <c:v>152.30163962757581</c:v>
                </c:pt>
                <c:pt idx="51">
                  <c:v>157.75189093712638</c:v>
                </c:pt>
                <c:pt idx="52">
                  <c:v>147.42095930571878</c:v>
                </c:pt>
                <c:pt idx="53">
                  <c:v>141.66858862710845</c:v>
                </c:pt>
                <c:pt idx="54">
                  <c:v>141.0287666570654</c:v>
                </c:pt>
                <c:pt idx="55">
                  <c:v>147.11557892664581</c:v>
                </c:pt>
                <c:pt idx="56">
                  <c:v>144.90989470893146</c:v>
                </c:pt>
                <c:pt idx="57">
                  <c:v>141.46634729617355</c:v>
                </c:pt>
                <c:pt idx="58">
                  <c:v>140.1063728424686</c:v>
                </c:pt>
                <c:pt idx="59">
                  <c:v>146.78692218304667</c:v>
                </c:pt>
                <c:pt idx="60">
                  <c:v>147.19555371789323</c:v>
                </c:pt>
                <c:pt idx="61">
                  <c:v>148.33166852276665</c:v>
                </c:pt>
                <c:pt idx="62">
                  <c:v>144.27844629490187</c:v>
                </c:pt>
                <c:pt idx="63">
                  <c:v>144.0869950580778</c:v>
                </c:pt>
                <c:pt idx="64">
                  <c:v>145.81849485341687</c:v>
                </c:pt>
                <c:pt idx="65">
                  <c:v>148.99574784585872</c:v>
                </c:pt>
                <c:pt idx="66">
                  <c:v>106.87259712240399</c:v>
                </c:pt>
                <c:pt idx="67">
                  <c:v>145.38785758818173</c:v>
                </c:pt>
                <c:pt idx="68">
                  <c:v>35.693459671058335</c:v>
                </c:pt>
                <c:pt idx="69">
                  <c:v>151.34523276186351</c:v>
                </c:pt>
                <c:pt idx="70">
                  <c:v>36.659251522984263</c:v>
                </c:pt>
                <c:pt idx="71">
                  <c:v>140.07341486947786</c:v>
                </c:pt>
                <c:pt idx="72">
                  <c:v>140.17023774790081</c:v>
                </c:pt>
                <c:pt idx="73">
                  <c:v>71.294739037037019</c:v>
                </c:pt>
                <c:pt idx="74">
                  <c:v>69.980894951394021</c:v>
                </c:pt>
                <c:pt idx="75">
                  <c:v>70.532037446359439</c:v>
                </c:pt>
                <c:pt idx="76">
                  <c:v>73.359703628450873</c:v>
                </c:pt>
                <c:pt idx="77">
                  <c:v>73.734552059877302</c:v>
                </c:pt>
                <c:pt idx="78">
                  <c:v>139.47040196460691</c:v>
                </c:pt>
                <c:pt idx="79">
                  <c:v>72.208269353559388</c:v>
                </c:pt>
                <c:pt idx="80">
                  <c:v>143.13237925245491</c:v>
                </c:pt>
                <c:pt idx="81">
                  <c:v>150.0943636966075</c:v>
                </c:pt>
                <c:pt idx="82">
                  <c:v>239.98579754352036</c:v>
                </c:pt>
                <c:pt idx="83">
                  <c:v>0</c:v>
                </c:pt>
                <c:pt idx="84">
                  <c:v>0</c:v>
                </c:pt>
                <c:pt idx="85">
                  <c:v>76.176671116722346</c:v>
                </c:pt>
                <c:pt idx="86">
                  <c:v>0</c:v>
                </c:pt>
                <c:pt idx="87">
                  <c:v>143.36672091781185</c:v>
                </c:pt>
                <c:pt idx="88">
                  <c:v>147.01565424489038</c:v>
                </c:pt>
                <c:pt idx="89">
                  <c:v>148.40288492459135</c:v>
                </c:pt>
                <c:pt idx="90">
                  <c:v>149.56142219489908</c:v>
                </c:pt>
                <c:pt idx="91">
                  <c:v>143.54591087527217</c:v>
                </c:pt>
                <c:pt idx="92">
                  <c:v>140.34945322684547</c:v>
                </c:pt>
                <c:pt idx="93">
                  <c:v>142.67968110699334</c:v>
                </c:pt>
                <c:pt idx="94">
                  <c:v>144.85409948070773</c:v>
                </c:pt>
                <c:pt idx="95">
                  <c:v>146.45337641557882</c:v>
                </c:pt>
                <c:pt idx="96">
                  <c:v>71.202348073809873</c:v>
                </c:pt>
                <c:pt idx="97">
                  <c:v>70.927033838762213</c:v>
                </c:pt>
                <c:pt idx="98">
                  <c:v>138.63838822643635</c:v>
                </c:pt>
                <c:pt idx="99">
                  <c:v>148.49730875894022</c:v>
                </c:pt>
                <c:pt idx="100">
                  <c:v>151.66797659745433</c:v>
                </c:pt>
                <c:pt idx="101">
                  <c:v>147.6823582037581</c:v>
                </c:pt>
                <c:pt idx="102">
                  <c:v>147.99309497131469</c:v>
                </c:pt>
                <c:pt idx="103">
                  <c:v>141.16625186533523</c:v>
                </c:pt>
                <c:pt idx="104">
                  <c:v>144.45052808603464</c:v>
                </c:pt>
                <c:pt idx="105">
                  <c:v>139.74591169112992</c:v>
                </c:pt>
                <c:pt idx="106">
                  <c:v>138.78770784200404</c:v>
                </c:pt>
                <c:pt idx="107">
                  <c:v>145.39093631771536</c:v>
                </c:pt>
                <c:pt idx="108">
                  <c:v>148.57288605320321</c:v>
                </c:pt>
                <c:pt idx="109">
                  <c:v>142.61396618483059</c:v>
                </c:pt>
                <c:pt idx="110">
                  <c:v>143.99333494255001</c:v>
                </c:pt>
                <c:pt idx="111">
                  <c:v>142.73220731740571</c:v>
                </c:pt>
                <c:pt idx="112">
                  <c:v>153.45378455183717</c:v>
                </c:pt>
                <c:pt idx="113">
                  <c:v>149.84461458987363</c:v>
                </c:pt>
                <c:pt idx="114">
                  <c:v>145.58454545638173</c:v>
                </c:pt>
                <c:pt idx="115">
                  <c:v>148.50041620853816</c:v>
                </c:pt>
                <c:pt idx="116">
                  <c:v>147.32718847441882</c:v>
                </c:pt>
                <c:pt idx="117">
                  <c:v>144.05437894570593</c:v>
                </c:pt>
                <c:pt idx="118">
                  <c:v>140.45386951041425</c:v>
                </c:pt>
                <c:pt idx="119">
                  <c:v>144.45658052528674</c:v>
                </c:pt>
                <c:pt idx="120">
                  <c:v>151.47763978054894</c:v>
                </c:pt>
                <c:pt idx="121">
                  <c:v>146.0037925120856</c:v>
                </c:pt>
                <c:pt idx="122">
                  <c:v>143.19801898629868</c:v>
                </c:pt>
                <c:pt idx="123">
                  <c:v>147.42942564353021</c:v>
                </c:pt>
                <c:pt idx="124">
                  <c:v>146.36765397603983</c:v>
                </c:pt>
                <c:pt idx="125">
                  <c:v>142.69184747969058</c:v>
                </c:pt>
                <c:pt idx="126">
                  <c:v>153.31422057877131</c:v>
                </c:pt>
                <c:pt idx="127">
                  <c:v>145.08599563851342</c:v>
                </c:pt>
                <c:pt idx="128">
                  <c:v>141.66358596078061</c:v>
                </c:pt>
                <c:pt idx="129">
                  <c:v>144.40130887952319</c:v>
                </c:pt>
                <c:pt idx="130">
                  <c:v>146.57375837875347</c:v>
                </c:pt>
                <c:pt idx="131">
                  <c:v>142.51999440789976</c:v>
                </c:pt>
                <c:pt idx="132">
                  <c:v>152.02245721531077</c:v>
                </c:pt>
                <c:pt idx="133">
                  <c:v>147.94091235257326</c:v>
                </c:pt>
                <c:pt idx="134">
                  <c:v>145.48936117074641</c:v>
                </c:pt>
                <c:pt idx="135">
                  <c:v>142.43723157393057</c:v>
                </c:pt>
                <c:pt idx="136">
                  <c:v>140.32223589198512</c:v>
                </c:pt>
                <c:pt idx="137">
                  <c:v>145.24920960185057</c:v>
                </c:pt>
                <c:pt idx="138">
                  <c:v>150.96235975653298</c:v>
                </c:pt>
                <c:pt idx="139">
                  <c:v>142.61992267526313</c:v>
                </c:pt>
                <c:pt idx="140">
                  <c:v>147.09281598846175</c:v>
                </c:pt>
                <c:pt idx="141">
                  <c:v>140.57165521991476</c:v>
                </c:pt>
                <c:pt idx="142">
                  <c:v>144.89956357893894</c:v>
                </c:pt>
                <c:pt idx="143">
                  <c:v>141.21349144996458</c:v>
                </c:pt>
                <c:pt idx="144">
                  <c:v>144.75459665116344</c:v>
                </c:pt>
                <c:pt idx="145">
                  <c:v>139.56478757329498</c:v>
                </c:pt>
                <c:pt idx="146">
                  <c:v>143.94722294343725</c:v>
                </c:pt>
                <c:pt idx="147">
                  <c:v>142.95579503585688</c:v>
                </c:pt>
                <c:pt idx="148">
                  <c:v>140.39489312794748</c:v>
                </c:pt>
                <c:pt idx="149">
                  <c:v>138.81487086041668</c:v>
                </c:pt>
                <c:pt idx="150">
                  <c:v>141.43728588087959</c:v>
                </c:pt>
                <c:pt idx="151">
                  <c:v>148.71306539031957</c:v>
                </c:pt>
                <c:pt idx="152">
                  <c:v>138.6841633449213</c:v>
                </c:pt>
                <c:pt idx="153">
                  <c:v>142.43420047627026</c:v>
                </c:pt>
                <c:pt idx="154">
                  <c:v>136.56861751913053</c:v>
                </c:pt>
                <c:pt idx="155">
                  <c:v>149.06167536021232</c:v>
                </c:pt>
                <c:pt idx="156">
                  <c:v>139.96165698574359</c:v>
                </c:pt>
                <c:pt idx="157">
                  <c:v>105.75827791840393</c:v>
                </c:pt>
                <c:pt idx="158">
                  <c:v>137.97487441750067</c:v>
                </c:pt>
                <c:pt idx="159">
                  <c:v>135.77312910670634</c:v>
                </c:pt>
                <c:pt idx="160">
                  <c:v>33.876830412941267</c:v>
                </c:pt>
                <c:pt idx="161">
                  <c:v>159.52380608277446</c:v>
                </c:pt>
                <c:pt idx="162">
                  <c:v>131.78022099637857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34.503049978283507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38.190218007575169</c:v>
                </c:pt>
                <c:pt idx="175">
                  <c:v>36.946379315851637</c:v>
                </c:pt>
                <c:pt idx="176">
                  <c:v>156.00898448073622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147.27856119874676</c:v>
                </c:pt>
                <c:pt idx="181">
                  <c:v>147.19128659520101</c:v>
                </c:pt>
                <c:pt idx="182">
                  <c:v>113.76689041372782</c:v>
                </c:pt>
                <c:pt idx="183">
                  <c:v>153.52333805083899</c:v>
                </c:pt>
                <c:pt idx="184">
                  <c:v>148.30110621623277</c:v>
                </c:pt>
                <c:pt idx="185">
                  <c:v>153.77614688991233</c:v>
                </c:pt>
                <c:pt idx="186">
                  <c:v>155.94780487541462</c:v>
                </c:pt>
                <c:pt idx="187">
                  <c:v>150.31882438979557</c:v>
                </c:pt>
                <c:pt idx="188">
                  <c:v>151.60528371119918</c:v>
                </c:pt>
                <c:pt idx="189">
                  <c:v>148.7534452055697</c:v>
                </c:pt>
                <c:pt idx="190">
                  <c:v>150.69711055047134</c:v>
                </c:pt>
                <c:pt idx="191">
                  <c:v>150.25375237747693</c:v>
                </c:pt>
                <c:pt idx="192">
                  <c:v>146.34037236081548</c:v>
                </c:pt>
                <c:pt idx="193">
                  <c:v>151.23732106821566</c:v>
                </c:pt>
                <c:pt idx="194">
                  <c:v>148.87297042133457</c:v>
                </c:pt>
                <c:pt idx="195">
                  <c:v>153.45415553916456</c:v>
                </c:pt>
                <c:pt idx="196">
                  <c:v>155.47550734959668</c:v>
                </c:pt>
                <c:pt idx="197">
                  <c:v>149.65943697748801</c:v>
                </c:pt>
                <c:pt idx="198">
                  <c:v>153.5768240139783</c:v>
                </c:pt>
                <c:pt idx="199">
                  <c:v>152.2850809923753</c:v>
                </c:pt>
                <c:pt idx="200">
                  <c:v>149.3323026092929</c:v>
                </c:pt>
                <c:pt idx="201">
                  <c:v>163.6542654847311</c:v>
                </c:pt>
                <c:pt idx="202">
                  <c:v>152.50645087589714</c:v>
                </c:pt>
                <c:pt idx="203">
                  <c:v>147.05962523664127</c:v>
                </c:pt>
                <c:pt idx="204">
                  <c:v>156.42567148305025</c:v>
                </c:pt>
                <c:pt idx="205">
                  <c:v>162.02725761773482</c:v>
                </c:pt>
                <c:pt idx="206">
                  <c:v>152.89866043870359</c:v>
                </c:pt>
                <c:pt idx="207">
                  <c:v>156.47101918050674</c:v>
                </c:pt>
                <c:pt idx="208">
                  <c:v>152.33335436496066</c:v>
                </c:pt>
                <c:pt idx="209">
                  <c:v>157.00526471763243</c:v>
                </c:pt>
                <c:pt idx="210">
                  <c:v>148.7148360363347</c:v>
                </c:pt>
                <c:pt idx="211">
                  <c:v>154.78806665712963</c:v>
                </c:pt>
                <c:pt idx="212">
                  <c:v>158.20391326680428</c:v>
                </c:pt>
                <c:pt idx="213">
                  <c:v>157.22296417690896</c:v>
                </c:pt>
                <c:pt idx="214">
                  <c:v>151.27411413028102</c:v>
                </c:pt>
                <c:pt idx="215">
                  <c:v>151.74722859440919</c:v>
                </c:pt>
                <c:pt idx="216">
                  <c:v>148.46015063025868</c:v>
                </c:pt>
                <c:pt idx="217">
                  <c:v>149.98165596539695</c:v>
                </c:pt>
                <c:pt idx="218">
                  <c:v>159.93740853115801</c:v>
                </c:pt>
                <c:pt idx="219">
                  <c:v>148.70994260069185</c:v>
                </c:pt>
                <c:pt idx="220">
                  <c:v>152.0668356881427</c:v>
                </c:pt>
                <c:pt idx="221">
                  <c:v>114.7325904229769</c:v>
                </c:pt>
                <c:pt idx="222">
                  <c:v>151.23261165076292</c:v>
                </c:pt>
                <c:pt idx="223">
                  <c:v>154.32493802772314</c:v>
                </c:pt>
                <c:pt idx="224">
                  <c:v>40.970179756187903</c:v>
                </c:pt>
                <c:pt idx="225">
                  <c:v>158.79995293549428</c:v>
                </c:pt>
                <c:pt idx="226">
                  <c:v>159.17523099952157</c:v>
                </c:pt>
                <c:pt idx="227">
                  <c:v>153.73424994800527</c:v>
                </c:pt>
                <c:pt idx="228">
                  <c:v>37.256692421499444</c:v>
                </c:pt>
                <c:pt idx="229">
                  <c:v>152.52326823921746</c:v>
                </c:pt>
                <c:pt idx="230">
                  <c:v>150.08666796851656</c:v>
                </c:pt>
                <c:pt idx="231">
                  <c:v>150.26570900791145</c:v>
                </c:pt>
                <c:pt idx="232">
                  <c:v>153.03920815645134</c:v>
                </c:pt>
                <c:pt idx="233">
                  <c:v>153.43702365827383</c:v>
                </c:pt>
                <c:pt idx="234">
                  <c:v>151.39379377844247</c:v>
                </c:pt>
                <c:pt idx="235">
                  <c:v>149.68704772695801</c:v>
                </c:pt>
                <c:pt idx="236">
                  <c:v>155.17558537597549</c:v>
                </c:pt>
                <c:pt idx="237">
                  <c:v>117.06589527324041</c:v>
                </c:pt>
                <c:pt idx="238">
                  <c:v>114.3032645238458</c:v>
                </c:pt>
                <c:pt idx="239">
                  <c:v>153.84602242343186</c:v>
                </c:pt>
                <c:pt idx="240">
                  <c:v>154.74760808910864</c:v>
                </c:pt>
                <c:pt idx="241">
                  <c:v>156.20692424406965</c:v>
                </c:pt>
                <c:pt idx="242">
                  <c:v>149.90337799264239</c:v>
                </c:pt>
                <c:pt idx="243">
                  <c:v>152.78218244395308</c:v>
                </c:pt>
                <c:pt idx="244">
                  <c:v>154.17382058142161</c:v>
                </c:pt>
                <c:pt idx="245">
                  <c:v>164.6065334331953</c:v>
                </c:pt>
                <c:pt idx="246">
                  <c:v>150.3748870682189</c:v>
                </c:pt>
                <c:pt idx="247">
                  <c:v>0</c:v>
                </c:pt>
                <c:pt idx="248">
                  <c:v>0</c:v>
                </c:pt>
                <c:pt idx="249">
                  <c:v>116.67721261397976</c:v>
                </c:pt>
                <c:pt idx="250">
                  <c:v>0</c:v>
                </c:pt>
                <c:pt idx="251">
                  <c:v>113.66014196510528</c:v>
                </c:pt>
                <c:pt idx="252">
                  <c:v>0</c:v>
                </c:pt>
                <c:pt idx="253">
                  <c:v>0</c:v>
                </c:pt>
                <c:pt idx="254">
                  <c:v>37.41270171741003</c:v>
                </c:pt>
                <c:pt idx="255">
                  <c:v>152.83308842369095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160.60165133758281</c:v>
                </c:pt>
                <c:pt idx="277">
                  <c:v>153.12818746943321</c:v>
                </c:pt>
                <c:pt idx="278">
                  <c:v>139.27164463111922</c:v>
                </c:pt>
                <c:pt idx="279">
                  <c:v>139.6792647522438</c:v>
                </c:pt>
                <c:pt idx="280">
                  <c:v>141.90598112888699</c:v>
                </c:pt>
                <c:pt idx="281">
                  <c:v>141.56579358045613</c:v>
                </c:pt>
                <c:pt idx="282">
                  <c:v>143.90846925832912</c:v>
                </c:pt>
                <c:pt idx="283">
                  <c:v>170.3878610552573</c:v>
                </c:pt>
                <c:pt idx="284">
                  <c:v>140.27519400832807</c:v>
                </c:pt>
                <c:pt idx="285">
                  <c:v>139.77736376146521</c:v>
                </c:pt>
                <c:pt idx="286">
                  <c:v>141.85040842436953</c:v>
                </c:pt>
                <c:pt idx="287">
                  <c:v>139.25522061741438</c:v>
                </c:pt>
                <c:pt idx="288">
                  <c:v>141.84165295764834</c:v>
                </c:pt>
                <c:pt idx="289">
                  <c:v>141.34055919386535</c:v>
                </c:pt>
                <c:pt idx="290">
                  <c:v>136.10481500462865</c:v>
                </c:pt>
                <c:pt idx="291">
                  <c:v>141.83836889018806</c:v>
                </c:pt>
                <c:pt idx="292">
                  <c:v>140.66022789119694</c:v>
                </c:pt>
                <c:pt idx="293">
                  <c:v>144.22729992122535</c:v>
                </c:pt>
                <c:pt idx="294">
                  <c:v>135.85042653896056</c:v>
                </c:pt>
                <c:pt idx="295">
                  <c:v>134.91051054418185</c:v>
                </c:pt>
                <c:pt idx="296">
                  <c:v>137.67733155835379</c:v>
                </c:pt>
                <c:pt idx="297">
                  <c:v>138.74058680940757</c:v>
                </c:pt>
                <c:pt idx="298">
                  <c:v>138.29303689947977</c:v>
                </c:pt>
                <c:pt idx="299">
                  <c:v>139.2797408797295</c:v>
                </c:pt>
                <c:pt idx="300">
                  <c:v>138.65431117195658</c:v>
                </c:pt>
                <c:pt idx="301">
                  <c:v>138.77297748746841</c:v>
                </c:pt>
                <c:pt idx="302">
                  <c:v>138.15789186936172</c:v>
                </c:pt>
                <c:pt idx="303">
                  <c:v>140.44333100864347</c:v>
                </c:pt>
                <c:pt idx="304">
                  <c:v>139.97847649337223</c:v>
                </c:pt>
                <c:pt idx="305">
                  <c:v>137.00551976521567</c:v>
                </c:pt>
                <c:pt idx="306">
                  <c:v>138.49511392307735</c:v>
                </c:pt>
                <c:pt idx="307">
                  <c:v>139.74621697356042</c:v>
                </c:pt>
                <c:pt idx="308">
                  <c:v>136.76758987567555</c:v>
                </c:pt>
                <c:pt idx="309">
                  <c:v>142.71885682422507</c:v>
                </c:pt>
                <c:pt idx="310">
                  <c:v>140.03086446025083</c:v>
                </c:pt>
                <c:pt idx="311">
                  <c:v>139.30778203213984</c:v>
                </c:pt>
                <c:pt idx="312">
                  <c:v>135.58135840727533</c:v>
                </c:pt>
                <c:pt idx="313">
                  <c:v>141.75482907133627</c:v>
                </c:pt>
                <c:pt idx="314">
                  <c:v>139.02374475896053</c:v>
                </c:pt>
                <c:pt idx="315">
                  <c:v>139.31194750982698</c:v>
                </c:pt>
                <c:pt idx="316">
                  <c:v>140.06741293538255</c:v>
                </c:pt>
                <c:pt idx="317">
                  <c:v>140.55882881453741</c:v>
                </c:pt>
                <c:pt idx="318">
                  <c:v>143.1268861224581</c:v>
                </c:pt>
                <c:pt idx="319">
                  <c:v>140.91391997391543</c:v>
                </c:pt>
                <c:pt idx="320">
                  <c:v>140.44556484591237</c:v>
                </c:pt>
                <c:pt idx="321">
                  <c:v>139.66209836843606</c:v>
                </c:pt>
                <c:pt idx="322">
                  <c:v>139.87615354390559</c:v>
                </c:pt>
                <c:pt idx="323">
                  <c:v>142.39081520528038</c:v>
                </c:pt>
                <c:pt idx="324">
                  <c:v>140.89797817947908</c:v>
                </c:pt>
                <c:pt idx="325">
                  <c:v>137.80726707413115</c:v>
                </c:pt>
                <c:pt idx="326">
                  <c:v>144.40460338274909</c:v>
                </c:pt>
                <c:pt idx="327">
                  <c:v>139.73711436057275</c:v>
                </c:pt>
                <c:pt idx="328">
                  <c:v>138.50706868834342</c:v>
                </c:pt>
                <c:pt idx="329">
                  <c:v>138.2239580364421</c:v>
                </c:pt>
                <c:pt idx="330">
                  <c:v>142.22584811622704</c:v>
                </c:pt>
                <c:pt idx="331">
                  <c:v>136.39290251853649</c:v>
                </c:pt>
                <c:pt idx="332">
                  <c:v>141.73913544468641</c:v>
                </c:pt>
                <c:pt idx="333">
                  <c:v>142.92506125106519</c:v>
                </c:pt>
                <c:pt idx="334">
                  <c:v>138.23784295542134</c:v>
                </c:pt>
                <c:pt idx="335">
                  <c:v>141.19641066139292</c:v>
                </c:pt>
                <c:pt idx="336">
                  <c:v>141.19412378310182</c:v>
                </c:pt>
                <c:pt idx="337">
                  <c:v>143.51228635962414</c:v>
                </c:pt>
                <c:pt idx="338">
                  <c:v>140.24068426032269</c:v>
                </c:pt>
                <c:pt idx="339">
                  <c:v>138.72905771840033</c:v>
                </c:pt>
                <c:pt idx="340">
                  <c:v>142.73429241796299</c:v>
                </c:pt>
                <c:pt idx="341">
                  <c:v>139.70525933736982</c:v>
                </c:pt>
                <c:pt idx="342">
                  <c:v>143.68855132730033</c:v>
                </c:pt>
                <c:pt idx="343">
                  <c:v>147.19463842111264</c:v>
                </c:pt>
                <c:pt idx="344">
                  <c:v>137.12685086664709</c:v>
                </c:pt>
                <c:pt idx="345">
                  <c:v>142.11279979625607</c:v>
                </c:pt>
                <c:pt idx="346">
                  <c:v>137.88980899387252</c:v>
                </c:pt>
                <c:pt idx="347">
                  <c:v>137.76910761308065</c:v>
                </c:pt>
                <c:pt idx="348">
                  <c:v>139.62660979234698</c:v>
                </c:pt>
                <c:pt idx="349">
                  <c:v>140.60693848688928</c:v>
                </c:pt>
                <c:pt idx="350">
                  <c:v>139.72265525703205</c:v>
                </c:pt>
                <c:pt idx="351">
                  <c:v>139.91581520616799</c:v>
                </c:pt>
                <c:pt idx="352">
                  <c:v>140.28812304806516</c:v>
                </c:pt>
                <c:pt idx="353">
                  <c:v>136.85068597188769</c:v>
                </c:pt>
                <c:pt idx="354">
                  <c:v>141.53713275300927</c:v>
                </c:pt>
                <c:pt idx="355">
                  <c:v>137.00971520416363</c:v>
                </c:pt>
                <c:pt idx="356">
                  <c:v>140.36062680544774</c:v>
                </c:pt>
                <c:pt idx="357">
                  <c:v>138.18248348724742</c:v>
                </c:pt>
                <c:pt idx="358">
                  <c:v>140.95612746288478</c:v>
                </c:pt>
                <c:pt idx="359">
                  <c:v>141.22694746247956</c:v>
                </c:pt>
                <c:pt idx="360">
                  <c:v>141.13104119459828</c:v>
                </c:pt>
                <c:pt idx="361">
                  <c:v>140.43361271379237</c:v>
                </c:pt>
                <c:pt idx="362">
                  <c:v>142.59784182698968</c:v>
                </c:pt>
                <c:pt idx="363">
                  <c:v>140.95737234322519</c:v>
                </c:pt>
                <c:pt idx="364">
                  <c:v>138.22872708939911</c:v>
                </c:pt>
                <c:pt idx="365">
                  <c:v>139.34215592270613</c:v>
                </c:pt>
                <c:pt idx="366">
                  <c:v>141.07823919603624</c:v>
                </c:pt>
                <c:pt idx="367">
                  <c:v>135.24842029328153</c:v>
                </c:pt>
                <c:pt idx="368">
                  <c:v>141.44394815537922</c:v>
                </c:pt>
                <c:pt idx="369">
                  <c:v>139.68354386720014</c:v>
                </c:pt>
                <c:pt idx="370">
                  <c:v>139.51868680129462</c:v>
                </c:pt>
                <c:pt idx="371">
                  <c:v>139.15243958826446</c:v>
                </c:pt>
                <c:pt idx="372">
                  <c:v>140.66671843881386</c:v>
                </c:pt>
                <c:pt idx="373">
                  <c:v>139.00007055131766</c:v>
                </c:pt>
                <c:pt idx="374">
                  <c:v>141.46451977580384</c:v>
                </c:pt>
                <c:pt idx="375">
                  <c:v>136.54390995031903</c:v>
                </c:pt>
                <c:pt idx="376">
                  <c:v>138.27796911925634</c:v>
                </c:pt>
                <c:pt idx="377">
                  <c:v>137.07531091062725</c:v>
                </c:pt>
                <c:pt idx="378">
                  <c:v>137.5729749180777</c:v>
                </c:pt>
                <c:pt idx="379">
                  <c:v>137.74141938048356</c:v>
                </c:pt>
                <c:pt idx="380">
                  <c:v>142.70509799936463</c:v>
                </c:pt>
                <c:pt idx="381">
                  <c:v>142.93955661712943</c:v>
                </c:pt>
                <c:pt idx="382">
                  <c:v>137.22844388989301</c:v>
                </c:pt>
                <c:pt idx="383">
                  <c:v>142.0368550952625</c:v>
                </c:pt>
                <c:pt idx="384">
                  <c:v>141.00090142988932</c:v>
                </c:pt>
                <c:pt idx="385">
                  <c:v>140.20905721887729</c:v>
                </c:pt>
                <c:pt idx="386">
                  <c:v>139.48816249070609</c:v>
                </c:pt>
                <c:pt idx="387">
                  <c:v>141.08656956137273</c:v>
                </c:pt>
                <c:pt idx="388">
                  <c:v>140.44792484122979</c:v>
                </c:pt>
                <c:pt idx="389">
                  <c:v>144.49490626549394</c:v>
                </c:pt>
                <c:pt idx="390">
                  <c:v>143.16803029822563</c:v>
                </c:pt>
                <c:pt idx="391">
                  <c:v>140.8187073100903</c:v>
                </c:pt>
                <c:pt idx="392">
                  <c:v>140.02140624051381</c:v>
                </c:pt>
                <c:pt idx="393">
                  <c:v>142.05319248604056</c:v>
                </c:pt>
                <c:pt idx="394">
                  <c:v>139.86414569833616</c:v>
                </c:pt>
                <c:pt idx="395">
                  <c:v>142.1760528917462</c:v>
                </c:pt>
                <c:pt idx="396">
                  <c:v>143.79073409660558</c:v>
                </c:pt>
                <c:pt idx="397">
                  <c:v>144.8497227489953</c:v>
                </c:pt>
                <c:pt idx="398">
                  <c:v>139.35410962300531</c:v>
                </c:pt>
                <c:pt idx="399">
                  <c:v>144.02862797108932</c:v>
                </c:pt>
                <c:pt idx="400">
                  <c:v>145.97067931537455</c:v>
                </c:pt>
                <c:pt idx="401">
                  <c:v>142.65532204277196</c:v>
                </c:pt>
                <c:pt idx="402">
                  <c:v>144.6624898545796</c:v>
                </c:pt>
                <c:pt idx="403">
                  <c:v>142.38541887357201</c:v>
                </c:pt>
                <c:pt idx="404">
                  <c:v>143.474272737928</c:v>
                </c:pt>
                <c:pt idx="405">
                  <c:v>137.45740082430271</c:v>
                </c:pt>
                <c:pt idx="406">
                  <c:v>141.36350731750818</c:v>
                </c:pt>
                <c:pt idx="407">
                  <c:v>141.46879262276897</c:v>
                </c:pt>
                <c:pt idx="408">
                  <c:v>139.20402624638575</c:v>
                </c:pt>
                <c:pt idx="409">
                  <c:v>138.96855682300247</c:v>
                </c:pt>
                <c:pt idx="410">
                  <c:v>150.27940787843164</c:v>
                </c:pt>
                <c:pt idx="411">
                  <c:v>141.92937608654663</c:v>
                </c:pt>
                <c:pt idx="412">
                  <c:v>138.90278007603979</c:v>
                </c:pt>
                <c:pt idx="413">
                  <c:v>139.40916864765245</c:v>
                </c:pt>
                <c:pt idx="414">
                  <c:v>137.10822967857183</c:v>
                </c:pt>
                <c:pt idx="415">
                  <c:v>143.96410080284656</c:v>
                </c:pt>
                <c:pt idx="416">
                  <c:v>145.02056934836287</c:v>
                </c:pt>
                <c:pt idx="417">
                  <c:v>139.6701778738298</c:v>
                </c:pt>
                <c:pt idx="418">
                  <c:v>141.59234808587343</c:v>
                </c:pt>
                <c:pt idx="419">
                  <c:v>140.26496695210392</c:v>
                </c:pt>
                <c:pt idx="420">
                  <c:v>145.12567309911358</c:v>
                </c:pt>
                <c:pt idx="421">
                  <c:v>140.96772310986699</c:v>
                </c:pt>
                <c:pt idx="422">
                  <c:v>140.01994262239899</c:v>
                </c:pt>
                <c:pt idx="423">
                  <c:v>142.17318595164591</c:v>
                </c:pt>
                <c:pt idx="424">
                  <c:v>139.05334013072573</c:v>
                </c:pt>
                <c:pt idx="425">
                  <c:v>139.41576398380997</c:v>
                </c:pt>
                <c:pt idx="426">
                  <c:v>140.97967815734177</c:v>
                </c:pt>
                <c:pt idx="427">
                  <c:v>140.41726211611433</c:v>
                </c:pt>
                <c:pt idx="428">
                  <c:v>138.32206853121272</c:v>
                </c:pt>
                <c:pt idx="429">
                  <c:v>141.75068102113329</c:v>
                </c:pt>
                <c:pt idx="430">
                  <c:v>139.63386201158556</c:v>
                </c:pt>
                <c:pt idx="431">
                  <c:v>141.28719467761667</c:v>
                </c:pt>
                <c:pt idx="432">
                  <c:v>144.78049835885804</c:v>
                </c:pt>
                <c:pt idx="433">
                  <c:v>141.93905650810899</c:v>
                </c:pt>
                <c:pt idx="434">
                  <c:v>141.8787157570145</c:v>
                </c:pt>
                <c:pt idx="435">
                  <c:v>138.02446086223858</c:v>
                </c:pt>
                <c:pt idx="436">
                  <c:v>141.07718650819479</c:v>
                </c:pt>
                <c:pt idx="437">
                  <c:v>143.77610244207943</c:v>
                </c:pt>
                <c:pt idx="438">
                  <c:v>139.42491612434625</c:v>
                </c:pt>
                <c:pt idx="439">
                  <c:v>136.68201664313281</c:v>
                </c:pt>
                <c:pt idx="440">
                  <c:v>146.60208174495725</c:v>
                </c:pt>
                <c:pt idx="441">
                  <c:v>138.08322548411917</c:v>
                </c:pt>
                <c:pt idx="442">
                  <c:v>144.66875508755766</c:v>
                </c:pt>
                <c:pt idx="443">
                  <c:v>137.87625468803219</c:v>
                </c:pt>
                <c:pt idx="444">
                  <c:v>139.58396339915703</c:v>
                </c:pt>
                <c:pt idx="445">
                  <c:v>140.72777546201516</c:v>
                </c:pt>
                <c:pt idx="446">
                  <c:v>138.03095965170797</c:v>
                </c:pt>
                <c:pt idx="447">
                  <c:v>140.37076724124154</c:v>
                </c:pt>
                <c:pt idx="448">
                  <c:v>138.30537033348514</c:v>
                </c:pt>
                <c:pt idx="449">
                  <c:v>145.20826590958146</c:v>
                </c:pt>
                <c:pt idx="450">
                  <c:v>145.08159335119677</c:v>
                </c:pt>
                <c:pt idx="451">
                  <c:v>142.29782311007108</c:v>
                </c:pt>
                <c:pt idx="452">
                  <c:v>144.60200330003232</c:v>
                </c:pt>
                <c:pt idx="453">
                  <c:v>143.75391288075176</c:v>
                </c:pt>
                <c:pt idx="454">
                  <c:v>143.41374459405691</c:v>
                </c:pt>
                <c:pt idx="455">
                  <c:v>141.62913015907046</c:v>
                </c:pt>
                <c:pt idx="456">
                  <c:v>139.91238155165175</c:v>
                </c:pt>
                <c:pt idx="457">
                  <c:v>143.74500882047636</c:v>
                </c:pt>
                <c:pt idx="458">
                  <c:v>141.08546871450534</c:v>
                </c:pt>
                <c:pt idx="459">
                  <c:v>140.16598139514488</c:v>
                </c:pt>
                <c:pt idx="460">
                  <c:v>140.8352902328725</c:v>
                </c:pt>
                <c:pt idx="461">
                  <c:v>142.43734842296357</c:v>
                </c:pt>
                <c:pt idx="462">
                  <c:v>138.61480396146032</c:v>
                </c:pt>
                <c:pt idx="463">
                  <c:v>140.96254045444314</c:v>
                </c:pt>
                <c:pt idx="464">
                  <c:v>148.03943499686184</c:v>
                </c:pt>
                <c:pt idx="465">
                  <c:v>141.89525918400656</c:v>
                </c:pt>
                <c:pt idx="466">
                  <c:v>138.91855814224354</c:v>
                </c:pt>
                <c:pt idx="467">
                  <c:v>140.4668596536803</c:v>
                </c:pt>
                <c:pt idx="468">
                  <c:v>142.51181044540067</c:v>
                </c:pt>
                <c:pt idx="469">
                  <c:v>141.50720995119951</c:v>
                </c:pt>
                <c:pt idx="470">
                  <c:v>139.37988313192906</c:v>
                </c:pt>
                <c:pt idx="471">
                  <c:v>140.37362401116073</c:v>
                </c:pt>
                <c:pt idx="472">
                  <c:v>140.06958529055279</c:v>
                </c:pt>
                <c:pt idx="473">
                  <c:v>143.34145822479096</c:v>
                </c:pt>
                <c:pt idx="474">
                  <c:v>143.67893305430331</c:v>
                </c:pt>
                <c:pt idx="475">
                  <c:v>143.15804440403576</c:v>
                </c:pt>
                <c:pt idx="476">
                  <c:v>143.81917043490191</c:v>
                </c:pt>
                <c:pt idx="477">
                  <c:v>141.34919011025016</c:v>
                </c:pt>
                <c:pt idx="478">
                  <c:v>140.34939448073845</c:v>
                </c:pt>
                <c:pt idx="479">
                  <c:v>147.81325679264444</c:v>
                </c:pt>
                <c:pt idx="480">
                  <c:v>146.31174935994574</c:v>
                </c:pt>
                <c:pt idx="481">
                  <c:v>139.72475437194717</c:v>
                </c:pt>
                <c:pt idx="482">
                  <c:v>144.48259645824794</c:v>
                </c:pt>
                <c:pt idx="483">
                  <c:v>139.01987220807712</c:v>
                </c:pt>
                <c:pt idx="484">
                  <c:v>140.01656397886674</c:v>
                </c:pt>
                <c:pt idx="485">
                  <c:v>137.66721036200468</c:v>
                </c:pt>
                <c:pt idx="486">
                  <c:v>137.47339099447436</c:v>
                </c:pt>
                <c:pt idx="487">
                  <c:v>140.88259806523789</c:v>
                </c:pt>
                <c:pt idx="488">
                  <c:v>142.13619264382922</c:v>
                </c:pt>
                <c:pt idx="489">
                  <c:v>143.46396996577158</c:v>
                </c:pt>
                <c:pt idx="490">
                  <c:v>140.05113925523696</c:v>
                </c:pt>
                <c:pt idx="491">
                  <c:v>138.52441074055292</c:v>
                </c:pt>
                <c:pt idx="492">
                  <c:v>136.38767793242269</c:v>
                </c:pt>
                <c:pt idx="493">
                  <c:v>138.48056451113993</c:v>
                </c:pt>
                <c:pt idx="494">
                  <c:v>139.87197974111311</c:v>
                </c:pt>
                <c:pt idx="495">
                  <c:v>138.94487470215853</c:v>
                </c:pt>
                <c:pt idx="496">
                  <c:v>138.31803554575754</c:v>
                </c:pt>
                <c:pt idx="497">
                  <c:v>138.06672995955836</c:v>
                </c:pt>
                <c:pt idx="498">
                  <c:v>140.23948917333561</c:v>
                </c:pt>
                <c:pt idx="499">
                  <c:v>138.95895827026101</c:v>
                </c:pt>
                <c:pt idx="500">
                  <c:v>143.46440915006875</c:v>
                </c:pt>
                <c:pt idx="501">
                  <c:v>143.25122500203548</c:v>
                </c:pt>
                <c:pt idx="502">
                  <c:v>148.47799410130415</c:v>
                </c:pt>
                <c:pt idx="503">
                  <c:v>138.24677837742948</c:v>
                </c:pt>
                <c:pt idx="504">
                  <c:v>139.58163608262348</c:v>
                </c:pt>
                <c:pt idx="505">
                  <c:v>139.55434098910359</c:v>
                </c:pt>
                <c:pt idx="506">
                  <c:v>134.67770716266537</c:v>
                </c:pt>
                <c:pt idx="507">
                  <c:v>140.3383364876214</c:v>
                </c:pt>
                <c:pt idx="508">
                  <c:v>139.26009728431822</c:v>
                </c:pt>
                <c:pt idx="509">
                  <c:v>135.93223566686351</c:v>
                </c:pt>
                <c:pt idx="510">
                  <c:v>138.51123652380545</c:v>
                </c:pt>
                <c:pt idx="511">
                  <c:v>138.22451118704527</c:v>
                </c:pt>
                <c:pt idx="512">
                  <c:v>137.83829700710399</c:v>
                </c:pt>
                <c:pt idx="513">
                  <c:v>137.51696823895426</c:v>
                </c:pt>
                <c:pt idx="514">
                  <c:v>140.25541140767675</c:v>
                </c:pt>
                <c:pt idx="515">
                  <c:v>139.51610403349889</c:v>
                </c:pt>
                <c:pt idx="516">
                  <c:v>140.48613797524325</c:v>
                </c:pt>
                <c:pt idx="517">
                  <c:v>137.29434952351801</c:v>
                </c:pt>
                <c:pt idx="518">
                  <c:v>141.84293494775054</c:v>
                </c:pt>
                <c:pt idx="519">
                  <c:v>135.1972056158468</c:v>
                </c:pt>
                <c:pt idx="520">
                  <c:v>139.48776855073612</c:v>
                </c:pt>
                <c:pt idx="521">
                  <c:v>140.3518103483176</c:v>
                </c:pt>
                <c:pt idx="522">
                  <c:v>142.83386834388327</c:v>
                </c:pt>
                <c:pt idx="523">
                  <c:v>142.46384691791707</c:v>
                </c:pt>
                <c:pt idx="524">
                  <c:v>136.2551936646025</c:v>
                </c:pt>
                <c:pt idx="525">
                  <c:v>144.07603637226254</c:v>
                </c:pt>
                <c:pt idx="526">
                  <c:v>139.38356513718549</c:v>
                </c:pt>
                <c:pt idx="527">
                  <c:v>137.36718421853314</c:v>
                </c:pt>
                <c:pt idx="528">
                  <c:v>138.64021426646158</c:v>
                </c:pt>
                <c:pt idx="529">
                  <c:v>145.5370453336663</c:v>
                </c:pt>
                <c:pt idx="530">
                  <c:v>139.18046920793378</c:v>
                </c:pt>
                <c:pt idx="531">
                  <c:v>139.02514764369607</c:v>
                </c:pt>
                <c:pt idx="532">
                  <c:v>136.58443701158137</c:v>
                </c:pt>
                <c:pt idx="533">
                  <c:v>141.633307423704</c:v>
                </c:pt>
                <c:pt idx="534">
                  <c:v>144.64962452783257</c:v>
                </c:pt>
                <c:pt idx="535">
                  <c:v>143.05351383829387</c:v>
                </c:pt>
                <c:pt idx="536">
                  <c:v>139.32862971813256</c:v>
                </c:pt>
                <c:pt idx="537">
                  <c:v>138.82949442187103</c:v>
                </c:pt>
                <c:pt idx="538">
                  <c:v>139.93826980533439</c:v>
                </c:pt>
                <c:pt idx="539">
                  <c:v>146.56176036237977</c:v>
                </c:pt>
                <c:pt idx="540">
                  <c:v>143.20300556928089</c:v>
                </c:pt>
                <c:pt idx="541">
                  <c:v>139.30406109536182</c:v>
                </c:pt>
                <c:pt idx="542">
                  <c:v>143.92229937900993</c:v>
                </c:pt>
                <c:pt idx="543">
                  <c:v>136.02860764482517</c:v>
                </c:pt>
                <c:pt idx="544">
                  <c:v>145.10006301242768</c:v>
                </c:pt>
                <c:pt idx="545">
                  <c:v>137.47230442760559</c:v>
                </c:pt>
                <c:pt idx="546">
                  <c:v>141.96565747499127</c:v>
                </c:pt>
                <c:pt idx="547">
                  <c:v>142.07590172668714</c:v>
                </c:pt>
                <c:pt idx="548">
                  <c:v>145.07324462719549</c:v>
                </c:pt>
                <c:pt idx="549">
                  <c:v>138.38988012177325</c:v>
                </c:pt>
                <c:pt idx="550">
                  <c:v>140.00386578035474</c:v>
                </c:pt>
                <c:pt idx="551">
                  <c:v>140.58672744737009</c:v>
                </c:pt>
                <c:pt idx="552">
                  <c:v>142.06186825780313</c:v>
                </c:pt>
                <c:pt idx="553">
                  <c:v>142.55045190037137</c:v>
                </c:pt>
                <c:pt idx="554">
                  <c:v>137.72416327389428</c:v>
                </c:pt>
                <c:pt idx="555">
                  <c:v>136.64641018193262</c:v>
                </c:pt>
                <c:pt idx="556">
                  <c:v>138.97338892410744</c:v>
                </c:pt>
                <c:pt idx="557">
                  <c:v>145.68194505003672</c:v>
                </c:pt>
                <c:pt idx="558">
                  <c:v>142.00914303493255</c:v>
                </c:pt>
                <c:pt idx="559">
                  <c:v>147.70846632318396</c:v>
                </c:pt>
                <c:pt idx="560">
                  <c:v>141.4013184270045</c:v>
                </c:pt>
                <c:pt idx="561">
                  <c:v>139.95993780611909</c:v>
                </c:pt>
                <c:pt idx="562">
                  <c:v>138.75067484230007</c:v>
                </c:pt>
                <c:pt idx="563">
                  <c:v>138.27200968375371</c:v>
                </c:pt>
                <c:pt idx="564">
                  <c:v>138.4073555236447</c:v>
                </c:pt>
                <c:pt idx="565">
                  <c:v>139.69061247759802</c:v>
                </c:pt>
                <c:pt idx="566">
                  <c:v>145.81472583851607</c:v>
                </c:pt>
                <c:pt idx="567">
                  <c:v>141.41035479613561</c:v>
                </c:pt>
                <c:pt idx="568">
                  <c:v>141.44038444953395</c:v>
                </c:pt>
                <c:pt idx="569">
                  <c:v>142.93929325941835</c:v>
                </c:pt>
                <c:pt idx="570">
                  <c:v>141.44071912365561</c:v>
                </c:pt>
                <c:pt idx="571">
                  <c:v>140.12271630220951</c:v>
                </c:pt>
                <c:pt idx="572">
                  <c:v>139.77244053181221</c:v>
                </c:pt>
                <c:pt idx="573">
                  <c:v>145.72484787143208</c:v>
                </c:pt>
                <c:pt idx="574">
                  <c:v>143.87942809740656</c:v>
                </c:pt>
                <c:pt idx="575">
                  <c:v>139.6030032226854</c:v>
                </c:pt>
                <c:pt idx="576">
                  <c:v>142.42541984803222</c:v>
                </c:pt>
                <c:pt idx="577">
                  <c:v>136.59901469094703</c:v>
                </c:pt>
                <c:pt idx="578">
                  <c:v>148.02717540159728</c:v>
                </c:pt>
                <c:pt idx="579">
                  <c:v>142.45890758845132</c:v>
                </c:pt>
                <c:pt idx="580">
                  <c:v>145.20364120808964</c:v>
                </c:pt>
                <c:pt idx="581">
                  <c:v>140.46573884306179</c:v>
                </c:pt>
                <c:pt idx="582">
                  <c:v>137.67862466479551</c:v>
                </c:pt>
                <c:pt idx="583">
                  <c:v>143.14842562218902</c:v>
                </c:pt>
                <c:pt idx="584">
                  <c:v>140.53777874994134</c:v>
                </c:pt>
                <c:pt idx="585">
                  <c:v>143.17117350984944</c:v>
                </c:pt>
                <c:pt idx="586">
                  <c:v>142.65608742785662</c:v>
                </c:pt>
                <c:pt idx="587">
                  <c:v>139.34073405436385</c:v>
                </c:pt>
                <c:pt idx="588">
                  <c:v>140.15625811227972</c:v>
                </c:pt>
                <c:pt idx="589">
                  <c:v>142.72769742573354</c:v>
                </c:pt>
                <c:pt idx="590">
                  <c:v>143.71611835999929</c:v>
                </c:pt>
                <c:pt idx="591">
                  <c:v>142.24828573441195</c:v>
                </c:pt>
                <c:pt idx="592">
                  <c:v>141.44291215044419</c:v>
                </c:pt>
                <c:pt idx="593">
                  <c:v>140.70177355555217</c:v>
                </c:pt>
                <c:pt idx="594">
                  <c:v>142.80382238782104</c:v>
                </c:pt>
                <c:pt idx="595">
                  <c:v>143.83879002827649</c:v>
                </c:pt>
                <c:pt idx="596">
                  <c:v>140.70537388016936</c:v>
                </c:pt>
                <c:pt idx="597">
                  <c:v>138.6384528130987</c:v>
                </c:pt>
                <c:pt idx="598">
                  <c:v>141.93755213304084</c:v>
                </c:pt>
                <c:pt idx="599">
                  <c:v>140.2498057991173</c:v>
                </c:pt>
                <c:pt idx="600">
                  <c:v>139.44444507899945</c:v>
                </c:pt>
                <c:pt idx="601">
                  <c:v>136.89755214158714</c:v>
                </c:pt>
                <c:pt idx="602">
                  <c:v>137.32800903654393</c:v>
                </c:pt>
                <c:pt idx="603">
                  <c:v>143.1173046281807</c:v>
                </c:pt>
                <c:pt idx="604">
                  <c:v>138.8372351411374</c:v>
                </c:pt>
                <c:pt idx="605">
                  <c:v>137.88682086997744</c:v>
                </c:pt>
                <c:pt idx="606">
                  <c:v>142.36242777654184</c:v>
                </c:pt>
                <c:pt idx="607">
                  <c:v>136.63082593829455</c:v>
                </c:pt>
                <c:pt idx="608">
                  <c:v>141.11262243978598</c:v>
                </c:pt>
                <c:pt idx="609">
                  <c:v>140.34897424178374</c:v>
                </c:pt>
                <c:pt idx="610">
                  <c:v>140.34792747088068</c:v>
                </c:pt>
                <c:pt idx="611">
                  <c:v>144.54768580106762</c:v>
                </c:pt>
                <c:pt idx="612">
                  <c:v>143.79036636719982</c:v>
                </c:pt>
                <c:pt idx="613">
                  <c:v>140.90362588809651</c:v>
                </c:pt>
                <c:pt idx="614">
                  <c:v>143.66657844964467</c:v>
                </c:pt>
                <c:pt idx="615">
                  <c:v>140.26328519472179</c:v>
                </c:pt>
                <c:pt idx="616">
                  <c:v>138.3672936547604</c:v>
                </c:pt>
                <c:pt idx="617">
                  <c:v>136.44671838591975</c:v>
                </c:pt>
                <c:pt idx="618">
                  <c:v>138.71711127747994</c:v>
                </c:pt>
                <c:pt idx="619">
                  <c:v>139.12554494970098</c:v>
                </c:pt>
                <c:pt idx="620">
                  <c:v>141.77261028802562</c:v>
                </c:pt>
                <c:pt idx="621">
                  <c:v>140.0359032908548</c:v>
                </c:pt>
                <c:pt idx="622">
                  <c:v>145.72687029047637</c:v>
                </c:pt>
                <c:pt idx="623">
                  <c:v>146.24570775538908</c:v>
                </c:pt>
                <c:pt idx="624">
                  <c:v>139.74989969309712</c:v>
                </c:pt>
                <c:pt idx="625">
                  <c:v>140.25462076476936</c:v>
                </c:pt>
                <c:pt idx="626">
                  <c:v>142.03836049350883</c:v>
                </c:pt>
                <c:pt idx="627">
                  <c:v>137.37314028324664</c:v>
                </c:pt>
                <c:pt idx="628">
                  <c:v>139.22184887849929</c:v>
                </c:pt>
                <c:pt idx="629">
                  <c:v>141.98331811345841</c:v>
                </c:pt>
                <c:pt idx="630">
                  <c:v>138.71133521956065</c:v>
                </c:pt>
                <c:pt idx="631">
                  <c:v>142.02203284034081</c:v>
                </c:pt>
                <c:pt idx="632">
                  <c:v>147.68762858481637</c:v>
                </c:pt>
                <c:pt idx="633">
                  <c:v>139.84800670780621</c:v>
                </c:pt>
                <c:pt idx="634">
                  <c:v>138.80094110707537</c:v>
                </c:pt>
                <c:pt idx="635">
                  <c:v>141.30780502070328</c:v>
                </c:pt>
                <c:pt idx="636">
                  <c:v>141.20845579498013</c:v>
                </c:pt>
                <c:pt idx="637">
                  <c:v>140.06047597043565</c:v>
                </c:pt>
                <c:pt idx="638">
                  <c:v>142.25792652475596</c:v>
                </c:pt>
                <c:pt idx="639">
                  <c:v>140.82920411069856</c:v>
                </c:pt>
                <c:pt idx="640">
                  <c:v>135.80322319555148</c:v>
                </c:pt>
                <c:pt idx="641">
                  <c:v>141.78796282605157</c:v>
                </c:pt>
                <c:pt idx="642">
                  <c:v>147.35304927197041</c:v>
                </c:pt>
                <c:pt idx="643">
                  <c:v>142.87468082213198</c:v>
                </c:pt>
                <c:pt idx="644">
                  <c:v>141.15042233425888</c:v>
                </c:pt>
                <c:pt idx="645">
                  <c:v>141.3502291720186</c:v>
                </c:pt>
                <c:pt idx="646">
                  <c:v>139.75786000275738</c:v>
                </c:pt>
                <c:pt idx="647">
                  <c:v>139.88304301496822</c:v>
                </c:pt>
                <c:pt idx="648">
                  <c:v>139.77016889519663</c:v>
                </c:pt>
                <c:pt idx="649">
                  <c:v>141.46892927578344</c:v>
                </c:pt>
                <c:pt idx="650">
                  <c:v>139.93282114637762</c:v>
                </c:pt>
                <c:pt idx="651">
                  <c:v>141.91690756910791</c:v>
                </c:pt>
                <c:pt idx="652">
                  <c:v>143.63626171389311</c:v>
                </c:pt>
                <c:pt idx="653">
                  <c:v>145.04314208583475</c:v>
                </c:pt>
                <c:pt idx="654">
                  <c:v>148.59909031210788</c:v>
                </c:pt>
                <c:pt idx="655">
                  <c:v>143.29123683740394</c:v>
                </c:pt>
                <c:pt idx="656">
                  <c:v>140.787303132761</c:v>
                </c:pt>
                <c:pt idx="657">
                  <c:v>142.22353315424593</c:v>
                </c:pt>
                <c:pt idx="658">
                  <c:v>144.83179105707407</c:v>
                </c:pt>
                <c:pt idx="659">
                  <c:v>140.84546299676941</c:v>
                </c:pt>
                <c:pt idx="660">
                  <c:v>140.59817423822173</c:v>
                </c:pt>
                <c:pt idx="661">
                  <c:v>138.50111038456168</c:v>
                </c:pt>
                <c:pt idx="662">
                  <c:v>140.26881249321093</c:v>
                </c:pt>
                <c:pt idx="663">
                  <c:v>139.49205717064203</c:v>
                </c:pt>
                <c:pt idx="664">
                  <c:v>139.37471523869712</c:v>
                </c:pt>
                <c:pt idx="665">
                  <c:v>144.29893963547391</c:v>
                </c:pt>
                <c:pt idx="666">
                  <c:v>137.17474629540351</c:v>
                </c:pt>
                <c:pt idx="667">
                  <c:v>142.120997067372</c:v>
                </c:pt>
                <c:pt idx="668">
                  <c:v>140.10316514170552</c:v>
                </c:pt>
                <c:pt idx="669">
                  <c:v>147.47546462394925</c:v>
                </c:pt>
                <c:pt idx="670">
                  <c:v>138.30083004071807</c:v>
                </c:pt>
                <c:pt idx="671">
                  <c:v>142.05301819869297</c:v>
                </c:pt>
                <c:pt idx="672">
                  <c:v>146.76324377125931</c:v>
                </c:pt>
                <c:pt idx="673">
                  <c:v>136.41569498148232</c:v>
                </c:pt>
                <c:pt idx="674">
                  <c:v>138.71327736718172</c:v>
                </c:pt>
                <c:pt idx="675">
                  <c:v>136.67448457351927</c:v>
                </c:pt>
                <c:pt idx="676">
                  <c:v>139.91790100449074</c:v>
                </c:pt>
                <c:pt idx="677">
                  <c:v>138.89940252152607</c:v>
                </c:pt>
                <c:pt idx="678">
                  <c:v>141.50284695569505</c:v>
                </c:pt>
                <c:pt idx="679">
                  <c:v>150.28534800561133</c:v>
                </c:pt>
                <c:pt idx="680">
                  <c:v>140.9686205669546</c:v>
                </c:pt>
                <c:pt idx="681">
                  <c:v>140.29754180353174</c:v>
                </c:pt>
                <c:pt idx="682">
                  <c:v>142.50894369050724</c:v>
                </c:pt>
                <c:pt idx="683">
                  <c:v>138.57346350173418</c:v>
                </c:pt>
                <c:pt idx="684">
                  <c:v>142.90313091267711</c:v>
                </c:pt>
                <c:pt idx="685">
                  <c:v>143.40549663521531</c:v>
                </c:pt>
                <c:pt idx="686">
                  <c:v>139.00128116130131</c:v>
                </c:pt>
                <c:pt idx="687">
                  <c:v>142.74312530358131</c:v>
                </c:pt>
                <c:pt idx="688">
                  <c:v>145.78330582131306</c:v>
                </c:pt>
                <c:pt idx="689">
                  <c:v>143.92404975903619</c:v>
                </c:pt>
                <c:pt idx="690">
                  <c:v>138.50022629474645</c:v>
                </c:pt>
                <c:pt idx="691">
                  <c:v>138.33539568641334</c:v>
                </c:pt>
                <c:pt idx="692">
                  <c:v>143.39237080405533</c:v>
                </c:pt>
                <c:pt idx="693">
                  <c:v>144.26362841376942</c:v>
                </c:pt>
                <c:pt idx="694">
                  <c:v>140.85349067815875</c:v>
                </c:pt>
                <c:pt idx="695">
                  <c:v>139.74188191638135</c:v>
                </c:pt>
                <c:pt idx="696">
                  <c:v>139.67515196306647</c:v>
                </c:pt>
                <c:pt idx="697">
                  <c:v>140.29638940935703</c:v>
                </c:pt>
                <c:pt idx="698">
                  <c:v>145.38230582478187</c:v>
                </c:pt>
                <c:pt idx="699">
                  <c:v>140.15004121393883</c:v>
                </c:pt>
                <c:pt idx="700">
                  <c:v>139.41645416223901</c:v>
                </c:pt>
                <c:pt idx="701">
                  <c:v>139.7648097390279</c:v>
                </c:pt>
                <c:pt idx="702">
                  <c:v>140.13569361839495</c:v>
                </c:pt>
                <c:pt idx="703">
                  <c:v>140.91161107262477</c:v>
                </c:pt>
                <c:pt idx="704">
                  <c:v>140.97202721908928</c:v>
                </c:pt>
                <c:pt idx="705">
                  <c:v>139.48310295334161</c:v>
                </c:pt>
                <c:pt idx="706">
                  <c:v>140.89758451518486</c:v>
                </c:pt>
                <c:pt idx="707">
                  <c:v>140.78786768315325</c:v>
                </c:pt>
                <c:pt idx="708">
                  <c:v>146.10640144748939</c:v>
                </c:pt>
                <c:pt idx="709">
                  <c:v>141.52156995158691</c:v>
                </c:pt>
                <c:pt idx="710">
                  <c:v>155.12960630112019</c:v>
                </c:pt>
                <c:pt idx="711">
                  <c:v>142.53187505395047</c:v>
                </c:pt>
                <c:pt idx="712">
                  <c:v>149.17978932572018</c:v>
                </c:pt>
                <c:pt idx="713">
                  <c:v>148.25419783048048</c:v>
                </c:pt>
                <c:pt idx="714">
                  <c:v>145.40569406427096</c:v>
                </c:pt>
                <c:pt idx="715">
                  <c:v>140.13472414018185</c:v>
                </c:pt>
                <c:pt idx="716">
                  <c:v>146.51357478186986</c:v>
                </c:pt>
                <c:pt idx="717">
                  <c:v>144.22328863696475</c:v>
                </c:pt>
                <c:pt idx="718">
                  <c:v>146.73694634839174</c:v>
                </c:pt>
                <c:pt idx="719">
                  <c:v>152.22304866863473</c:v>
                </c:pt>
                <c:pt idx="720">
                  <c:v>145.56940214369138</c:v>
                </c:pt>
                <c:pt idx="721">
                  <c:v>155.32848368204506</c:v>
                </c:pt>
                <c:pt idx="722">
                  <c:v>162.45140565159011</c:v>
                </c:pt>
                <c:pt idx="723">
                  <c:v>149.15786810031372</c:v>
                </c:pt>
                <c:pt idx="724">
                  <c:v>151.24193041412877</c:v>
                </c:pt>
                <c:pt idx="725">
                  <c:v>147.43013516964933</c:v>
                </c:pt>
                <c:pt idx="726">
                  <c:v>153.61006230891684</c:v>
                </c:pt>
                <c:pt idx="727">
                  <c:v>152.06464228507917</c:v>
                </c:pt>
                <c:pt idx="728">
                  <c:v>142.60400660176515</c:v>
                </c:pt>
                <c:pt idx="729">
                  <c:v>147.68907120970491</c:v>
                </c:pt>
                <c:pt idx="730">
                  <c:v>139.72362119258386</c:v>
                </c:pt>
                <c:pt idx="731">
                  <c:v>140.38382557610157</c:v>
                </c:pt>
                <c:pt idx="732">
                  <c:v>148.75025172256926</c:v>
                </c:pt>
                <c:pt idx="733">
                  <c:v>146.89257212765716</c:v>
                </c:pt>
                <c:pt idx="734">
                  <c:v>150.23423320303968</c:v>
                </c:pt>
                <c:pt idx="735">
                  <c:v>146.46006117736718</c:v>
                </c:pt>
                <c:pt idx="736">
                  <c:v>143.84818771740703</c:v>
                </c:pt>
                <c:pt idx="737">
                  <c:v>148.09168828222525</c:v>
                </c:pt>
                <c:pt idx="738">
                  <c:v>157.60357871606917</c:v>
                </c:pt>
                <c:pt idx="739">
                  <c:v>147.28662934889115</c:v>
                </c:pt>
                <c:pt idx="740">
                  <c:v>153.13302625371429</c:v>
                </c:pt>
                <c:pt idx="741">
                  <c:v>149.06586715908236</c:v>
                </c:pt>
                <c:pt idx="742">
                  <c:v>156.13704637687178</c:v>
                </c:pt>
                <c:pt idx="743">
                  <c:v>141.03957855949309</c:v>
                </c:pt>
                <c:pt idx="744">
                  <c:v>143.22193355557624</c:v>
                </c:pt>
                <c:pt idx="745">
                  <c:v>139.37892475442337</c:v>
                </c:pt>
                <c:pt idx="746">
                  <c:v>140.11025350044395</c:v>
                </c:pt>
                <c:pt idx="747">
                  <c:v>141.01043517408647</c:v>
                </c:pt>
                <c:pt idx="748">
                  <c:v>142.37640328279022</c:v>
                </c:pt>
                <c:pt idx="749">
                  <c:v>140.17130038631697</c:v>
                </c:pt>
                <c:pt idx="750">
                  <c:v>142.94835457997146</c:v>
                </c:pt>
                <c:pt idx="751">
                  <c:v>139.30409095973312</c:v>
                </c:pt>
                <c:pt idx="752">
                  <c:v>140.29874633589037</c:v>
                </c:pt>
                <c:pt idx="753">
                  <c:v>138.97480251000232</c:v>
                </c:pt>
                <c:pt idx="754">
                  <c:v>146.55636571843874</c:v>
                </c:pt>
                <c:pt idx="755">
                  <c:v>144.43763428356698</c:v>
                </c:pt>
                <c:pt idx="756">
                  <c:v>143.18867040782771</c:v>
                </c:pt>
                <c:pt idx="757">
                  <c:v>140.23472769962927</c:v>
                </c:pt>
                <c:pt idx="758">
                  <c:v>139.55604281035954</c:v>
                </c:pt>
                <c:pt idx="759">
                  <c:v>138.42232754325809</c:v>
                </c:pt>
                <c:pt idx="760">
                  <c:v>140.19353186128214</c:v>
                </c:pt>
                <c:pt idx="761">
                  <c:v>140.0980257616346</c:v>
                </c:pt>
                <c:pt idx="762">
                  <c:v>141.78877468978541</c:v>
                </c:pt>
                <c:pt idx="763">
                  <c:v>141.13747832918966</c:v>
                </c:pt>
                <c:pt idx="764">
                  <c:v>143.44789035757933</c:v>
                </c:pt>
                <c:pt idx="765">
                  <c:v>144.71256128475397</c:v>
                </c:pt>
                <c:pt idx="766">
                  <c:v>139.60014865166733</c:v>
                </c:pt>
                <c:pt idx="767">
                  <c:v>139.67411508919082</c:v>
                </c:pt>
                <c:pt idx="768">
                  <c:v>138.47952710528514</c:v>
                </c:pt>
                <c:pt idx="769">
                  <c:v>143.41307748911316</c:v>
                </c:pt>
                <c:pt idx="770">
                  <c:v>139.71287605192236</c:v>
                </c:pt>
                <c:pt idx="771">
                  <c:v>141.79878549913482</c:v>
                </c:pt>
                <c:pt idx="772">
                  <c:v>143.74975407167878</c:v>
                </c:pt>
                <c:pt idx="773">
                  <c:v>142.62370876912755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FC6-4C5C-ACB3-B93EE3A07F28}"/>
            </c:ext>
          </c:extLst>
        </c:ser>
        <c:ser>
          <c:idx val="9"/>
          <c:order val="3"/>
          <c:tx>
            <c:strRef>
              <c:f>'spring time series'!$V$1:$W$1</c:f>
              <c:strCache>
                <c:ptCount val="1"/>
                <c:pt idx="0">
                  <c:v>Imp/s*Amax Correction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'spring time series'!$M$3:$M$776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'spring time series'!$W$3:$W$776</c:f>
              <c:numCache>
                <c:formatCode>0.000</c:formatCode>
                <c:ptCount val="774"/>
                <c:pt idx="0">
                  <c:v>95.407316060755804</c:v>
                </c:pt>
                <c:pt idx="1">
                  <c:v>16.586564149320441</c:v>
                </c:pt>
                <c:pt idx="2">
                  <c:v>31.844330147686186</c:v>
                </c:pt>
                <c:pt idx="3">
                  <c:v>48.664604643496226</c:v>
                </c:pt>
                <c:pt idx="4">
                  <c:v>64.588833466333384</c:v>
                </c:pt>
                <c:pt idx="5">
                  <c:v>63.410356828663318</c:v>
                </c:pt>
                <c:pt idx="6">
                  <c:v>47.567306762915862</c:v>
                </c:pt>
                <c:pt idx="7">
                  <c:v>73.271145849608089</c:v>
                </c:pt>
                <c:pt idx="8">
                  <c:v>72.317994980428324</c:v>
                </c:pt>
                <c:pt idx="9">
                  <c:v>54.037120529847236</c:v>
                </c:pt>
                <c:pt idx="10">
                  <c:v>63.301002969920887</c:v>
                </c:pt>
                <c:pt idx="11">
                  <c:v>87.2849542665993</c:v>
                </c:pt>
                <c:pt idx="12">
                  <c:v>16.514182440990634</c:v>
                </c:pt>
                <c:pt idx="13">
                  <c:v>32.291107347036501</c:v>
                </c:pt>
                <c:pt idx="14">
                  <c:v>36.432636589046794</c:v>
                </c:pt>
                <c:pt idx="15">
                  <c:v>43.107486206026685</c:v>
                </c:pt>
                <c:pt idx="16">
                  <c:v>154.57073939265308</c:v>
                </c:pt>
                <c:pt idx="17">
                  <c:v>25.428020262319976</c:v>
                </c:pt>
                <c:pt idx="18">
                  <c:v>35.75319363651252</c:v>
                </c:pt>
                <c:pt idx="19">
                  <c:v>34.63487651151457</c:v>
                </c:pt>
                <c:pt idx="20">
                  <c:v>30.980611962407817</c:v>
                </c:pt>
                <c:pt idx="21">
                  <c:v>34.979903063620583</c:v>
                </c:pt>
                <c:pt idx="22">
                  <c:v>61.131132458767972</c:v>
                </c:pt>
                <c:pt idx="23">
                  <c:v>64.735717658074975</c:v>
                </c:pt>
                <c:pt idx="24">
                  <c:v>55.183162312407994</c:v>
                </c:pt>
                <c:pt idx="25">
                  <c:v>54.985104801176362</c:v>
                </c:pt>
                <c:pt idx="26">
                  <c:v>35.898331220091038</c:v>
                </c:pt>
                <c:pt idx="27">
                  <c:v>32.992164462875699</c:v>
                </c:pt>
                <c:pt idx="28">
                  <c:v>56.971150482575084</c:v>
                </c:pt>
                <c:pt idx="29">
                  <c:v>52.955385183188127</c:v>
                </c:pt>
                <c:pt idx="30">
                  <c:v>95.04786113897103</c:v>
                </c:pt>
                <c:pt idx="31">
                  <c:v>32.772325890807629</c:v>
                </c:pt>
                <c:pt idx="32">
                  <c:v>38.91821007898519</c:v>
                </c:pt>
                <c:pt idx="33">
                  <c:v>63.992156679198708</c:v>
                </c:pt>
                <c:pt idx="34">
                  <c:v>55.897068327947771</c:v>
                </c:pt>
                <c:pt idx="35">
                  <c:v>16.525021848176927</c:v>
                </c:pt>
                <c:pt idx="36">
                  <c:v>65.448022349136394</c:v>
                </c:pt>
                <c:pt idx="37">
                  <c:v>12.072206266763908</c:v>
                </c:pt>
                <c:pt idx="38">
                  <c:v>45.913688201604181</c:v>
                </c:pt>
                <c:pt idx="39">
                  <c:v>0</c:v>
                </c:pt>
                <c:pt idx="40">
                  <c:v>36.247278171306412</c:v>
                </c:pt>
                <c:pt idx="41">
                  <c:v>33.571297521046354</c:v>
                </c:pt>
                <c:pt idx="42">
                  <c:v>33.852239996842322</c:v>
                </c:pt>
                <c:pt idx="43">
                  <c:v>33.839127036050257</c:v>
                </c:pt>
                <c:pt idx="44">
                  <c:v>21.56018399911806</c:v>
                </c:pt>
                <c:pt idx="45">
                  <c:v>43.410982937121751</c:v>
                </c:pt>
                <c:pt idx="46">
                  <c:v>3.4739629896616107</c:v>
                </c:pt>
                <c:pt idx="47">
                  <c:v>37.274727122812259</c:v>
                </c:pt>
                <c:pt idx="48">
                  <c:v>59.083119371385735</c:v>
                </c:pt>
                <c:pt idx="49">
                  <c:v>45.170188273826923</c:v>
                </c:pt>
                <c:pt idx="50">
                  <c:v>82.250631313341117</c:v>
                </c:pt>
                <c:pt idx="51">
                  <c:v>123.55014685756676</c:v>
                </c:pt>
                <c:pt idx="52">
                  <c:v>48.63017003455802</c:v>
                </c:pt>
                <c:pt idx="53">
                  <c:v>12.935414493798186</c:v>
                </c:pt>
                <c:pt idx="54">
                  <c:v>9.2209884959180037</c:v>
                </c:pt>
                <c:pt idx="55">
                  <c:v>46.629638492669208</c:v>
                </c:pt>
                <c:pt idx="56">
                  <c:v>32.534573957767812</c:v>
                </c:pt>
                <c:pt idx="57">
                  <c:v>11.755866083313943</c:v>
                </c:pt>
                <c:pt idx="58">
                  <c:v>3.9546519933511419</c:v>
                </c:pt>
                <c:pt idx="59">
                  <c:v>44.49001246425825</c:v>
                </c:pt>
                <c:pt idx="60">
                  <c:v>47.152390056107222</c:v>
                </c:pt>
                <c:pt idx="61">
                  <c:v>54.667593698123298</c:v>
                </c:pt>
                <c:pt idx="62">
                  <c:v>28.61314078729767</c:v>
                </c:pt>
                <c:pt idx="63">
                  <c:v>27.434116124175468</c:v>
                </c:pt>
                <c:pt idx="64">
                  <c:v>38.265739689699828</c:v>
                </c:pt>
                <c:pt idx="65">
                  <c:v>59.137749693275865</c:v>
                </c:pt>
                <c:pt idx="66">
                  <c:v>14.990006242502892</c:v>
                </c:pt>
                <c:pt idx="67">
                  <c:v>35.536353112055764</c:v>
                </c:pt>
                <c:pt idx="68">
                  <c:v>18.979373915775</c:v>
                </c:pt>
                <c:pt idx="69">
                  <c:v>75.415760603533428</c:v>
                </c:pt>
                <c:pt idx="70">
                  <c:v>27.326269478932787</c:v>
                </c:pt>
                <c:pt idx="71">
                  <c:v>3.768407904350104</c:v>
                </c:pt>
                <c:pt idx="72">
                  <c:v>4.3159274511697188</c:v>
                </c:pt>
                <c:pt idx="73">
                  <c:v>11.699532850137233</c:v>
                </c:pt>
                <c:pt idx="74">
                  <c:v>0</c:v>
                </c:pt>
                <c:pt idx="75">
                  <c:v>3.0348933872544488</c:v>
                </c:pt>
                <c:pt idx="76">
                  <c:v>36.58521617835067</c:v>
                </c:pt>
                <c:pt idx="77">
                  <c:v>41.329594076440145</c:v>
                </c:pt>
                <c:pt idx="78">
                  <c:v>0.38418692750579597</c:v>
                </c:pt>
                <c:pt idx="79">
                  <c:v>22.449732445705187</c:v>
                </c:pt>
                <c:pt idx="80">
                  <c:v>21.623912786951184</c:v>
                </c:pt>
                <c:pt idx="81">
                  <c:v>66.659134651911003</c:v>
                </c:pt>
                <c:pt idx="82">
                  <c:v>239.98579754352036</c:v>
                </c:pt>
                <c:pt idx="83">
                  <c:v>3.7096160957814086</c:v>
                </c:pt>
                <c:pt idx="84">
                  <c:v>180.96874532261265</c:v>
                </c:pt>
                <c:pt idx="85">
                  <c:v>83.261631870043502</c:v>
                </c:pt>
                <c:pt idx="86">
                  <c:v>50.781264415735656</c:v>
                </c:pt>
                <c:pt idx="87">
                  <c:v>23.039647733141354</c:v>
                </c:pt>
                <c:pt idx="88">
                  <c:v>45.977640319994428</c:v>
                </c:pt>
                <c:pt idx="89">
                  <c:v>55.144235992311451</c:v>
                </c:pt>
                <c:pt idx="90">
                  <c:v>62.990786733461498</c:v>
                </c:pt>
                <c:pt idx="91">
                  <c:v>24.126827130620736</c:v>
                </c:pt>
                <c:pt idx="92">
                  <c:v>5.3323882819260477</c:v>
                </c:pt>
                <c:pt idx="93">
                  <c:v>18.908424147410575</c:v>
                </c:pt>
                <c:pt idx="94">
                  <c:v>32.186045287434723</c:v>
                </c:pt>
                <c:pt idx="95">
                  <c:v>42.332715948361432</c:v>
                </c:pt>
                <c:pt idx="96">
                  <c:v>10.63495480246619</c:v>
                </c:pt>
                <c:pt idx="97">
                  <c:v>7.4871621291811783</c:v>
                </c:pt>
                <c:pt idx="98">
                  <c:v>0</c:v>
                </c:pt>
                <c:pt idx="99">
                  <c:v>55.777216794091153</c:v>
                </c:pt>
                <c:pt idx="100">
                  <c:v>77.708645175247028</c:v>
                </c:pt>
                <c:pt idx="101">
                  <c:v>50.352119759773814</c:v>
                </c:pt>
                <c:pt idx="102">
                  <c:v>52.410549640074471</c:v>
                </c:pt>
                <c:pt idx="103">
                  <c:v>10.014891516824505</c:v>
                </c:pt>
                <c:pt idx="104">
                  <c:v>29.676819946805765</c:v>
                </c:pt>
                <c:pt idx="105">
                  <c:v>1.9249031964185923</c:v>
                </c:pt>
                <c:pt idx="106">
                  <c:v>0</c:v>
                </c:pt>
                <c:pt idx="107">
                  <c:v>35.555782527066306</c:v>
                </c:pt>
                <c:pt idx="108">
                  <c:v>56.284691241535953</c:v>
                </c:pt>
                <c:pt idx="109">
                  <c:v>18.516358378614385</c:v>
                </c:pt>
                <c:pt idx="110">
                  <c:v>26.859003213839657</c:v>
                </c:pt>
                <c:pt idx="111">
                  <c:v>19.222190447258136</c:v>
                </c:pt>
                <c:pt idx="112">
                  <c:v>90.64622300104827</c:v>
                </c:pt>
                <c:pt idx="113">
                  <c:v>64.935427506964785</c:v>
                </c:pt>
                <c:pt idx="114">
                  <c:v>36.780039598164969</c:v>
                </c:pt>
                <c:pt idx="115">
                  <c:v>55.798067591272932</c:v>
                </c:pt>
                <c:pt idx="116">
                  <c:v>48.014605558073896</c:v>
                </c:pt>
                <c:pt idx="117">
                  <c:v>27.233714191335356</c:v>
                </c:pt>
                <c:pt idx="118">
                  <c:v>5.9264200651914232</c:v>
                </c:pt>
                <c:pt idx="119">
                  <c:v>29.714299474377277</c:v>
                </c:pt>
                <c:pt idx="120">
                  <c:v>76.354756643049967</c:v>
                </c:pt>
                <c:pt idx="121">
                  <c:v>39.447420897015299</c:v>
                </c:pt>
                <c:pt idx="122">
                  <c:v>22.019772050298091</c:v>
                </c:pt>
                <c:pt idx="123">
                  <c:v>48.685803560346109</c:v>
                </c:pt>
                <c:pt idx="124">
                  <c:v>41.780582855383713</c:v>
                </c:pt>
                <c:pt idx="125">
                  <c:v>18.981069638934507</c:v>
                </c:pt>
                <c:pt idx="126">
                  <c:v>89.61977090251284</c:v>
                </c:pt>
                <c:pt idx="127">
                  <c:v>33.637183904579217</c:v>
                </c:pt>
                <c:pt idx="128">
                  <c:v>12.9061761178029</c:v>
                </c:pt>
                <c:pt idx="129">
                  <c:v>29.372203129746687</c:v>
                </c:pt>
                <c:pt idx="130">
                  <c:v>43.109675742614684</c:v>
                </c:pt>
                <c:pt idx="131">
                  <c:v>17.956641038436395</c:v>
                </c:pt>
                <c:pt idx="132">
                  <c:v>80.242921895496153</c:v>
                </c:pt>
                <c:pt idx="133">
                  <c:v>52.064002064568221</c:v>
                </c:pt>
                <c:pt idx="134">
                  <c:v>36.177561679215934</c:v>
                </c:pt>
                <c:pt idx="135">
                  <c:v>17.464595967435102</c:v>
                </c:pt>
                <c:pt idx="136">
                  <c:v>5.177766108488246</c:v>
                </c:pt>
                <c:pt idx="137">
                  <c:v>34.662612482345679</c:v>
                </c:pt>
                <c:pt idx="138">
                  <c:v>72.713573372598375</c:v>
                </c:pt>
                <c:pt idx="139">
                  <c:v>18.551873611103254</c:v>
                </c:pt>
                <c:pt idx="140">
                  <c:v>46.480999866035965</c:v>
                </c:pt>
                <c:pt idx="141">
                  <c:v>6.5981138366707963</c:v>
                </c:pt>
                <c:pt idx="142">
                  <c:v>32.470010152774137</c:v>
                </c:pt>
                <c:pt idx="143">
                  <c:v>10.288211616342751</c:v>
                </c:pt>
                <c:pt idx="144">
                  <c:v>31.565470961498583</c:v>
                </c:pt>
                <c:pt idx="145">
                  <c:v>0.91097388432269033</c:v>
                </c:pt>
                <c:pt idx="146">
                  <c:v>26.576260941368009</c:v>
                </c:pt>
                <c:pt idx="147">
                  <c:v>20.561640929997754</c:v>
                </c:pt>
                <c:pt idx="148">
                  <c:v>5.5907351629023045</c:v>
                </c:pt>
                <c:pt idx="149">
                  <c:v>0</c:v>
                </c:pt>
                <c:pt idx="150">
                  <c:v>11.586783647966843</c:v>
                </c:pt>
                <c:pt idx="151">
                  <c:v>57.2279088465543</c:v>
                </c:pt>
                <c:pt idx="152">
                  <c:v>0</c:v>
                </c:pt>
                <c:pt idx="153">
                  <c:v>17.446591516668942</c:v>
                </c:pt>
                <c:pt idx="154">
                  <c:v>0</c:v>
                </c:pt>
                <c:pt idx="155">
                  <c:v>59.584660466427984</c:v>
                </c:pt>
                <c:pt idx="156">
                  <c:v>3.1378560637414377</c:v>
                </c:pt>
                <c:pt idx="157">
                  <c:v>6.4062248027845188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137.85400729038781</c:v>
                </c:pt>
                <c:pt idx="162">
                  <c:v>0</c:v>
                </c:pt>
                <c:pt idx="163">
                  <c:v>0</c:v>
                </c:pt>
                <c:pt idx="164">
                  <c:v>14.476168485475606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20.627569131929274</c:v>
                </c:pt>
                <c:pt idx="171">
                  <c:v>12.348418163387262</c:v>
                </c:pt>
                <c:pt idx="172">
                  <c:v>46.8943966234065</c:v>
                </c:pt>
                <c:pt idx="173">
                  <c:v>0</c:v>
                </c:pt>
                <c:pt idx="174">
                  <c:v>66.601863381100912</c:v>
                </c:pt>
                <c:pt idx="175">
                  <c:v>34.339548169556586</c:v>
                </c:pt>
                <c:pt idx="176">
                  <c:v>109.90378407195217</c:v>
                </c:pt>
                <c:pt idx="177">
                  <c:v>0</c:v>
                </c:pt>
                <c:pt idx="178">
                  <c:v>3.6790840124938127</c:v>
                </c:pt>
                <c:pt idx="179">
                  <c:v>0</c:v>
                </c:pt>
                <c:pt idx="180">
                  <c:v>47.695834383122452</c:v>
                </c:pt>
                <c:pt idx="181">
                  <c:v>47.124477439899771</c:v>
                </c:pt>
                <c:pt idx="182">
                  <c:v>74.24982855802223</c:v>
                </c:pt>
                <c:pt idx="183">
                  <c:v>91.158744942991632</c:v>
                </c:pt>
                <c:pt idx="184">
                  <c:v>54.463245676511065</c:v>
                </c:pt>
                <c:pt idx="185">
                  <c:v>93.027104909946416</c:v>
                </c:pt>
                <c:pt idx="186">
                  <c:v>109.43233569080303</c:v>
                </c:pt>
                <c:pt idx="187">
                  <c:v>68.215290225107864</c:v>
                </c:pt>
                <c:pt idx="188">
                  <c:v>77.262172742526943</c:v>
                </c:pt>
                <c:pt idx="189">
                  <c:v>57.500084102006646</c:v>
                </c:pt>
                <c:pt idx="190">
                  <c:v>70.852884592921754</c:v>
                </c:pt>
                <c:pt idx="191">
                  <c:v>67.763473720351527</c:v>
                </c:pt>
                <c:pt idx="192">
                  <c:v>41.605060665471896</c:v>
                </c:pt>
                <c:pt idx="193">
                  <c:v>74.652195285808844</c:v>
                </c:pt>
                <c:pt idx="194">
                  <c:v>58.306971824626565</c:v>
                </c:pt>
                <c:pt idx="195">
                  <c:v>90.648954988348152</c:v>
                </c:pt>
                <c:pt idx="196">
                  <c:v>105.81001057207487</c:v>
                </c:pt>
                <c:pt idx="197">
                  <c:v>63.662652500212758</c:v>
                </c:pt>
                <c:pt idx="198">
                  <c:v>91.553311340614314</c:v>
                </c:pt>
                <c:pt idx="199">
                  <c:v>82.131262239680339</c:v>
                </c:pt>
                <c:pt idx="200">
                  <c:v>61.425129467256568</c:v>
                </c:pt>
                <c:pt idx="201">
                  <c:v>163.6542654847311</c:v>
                </c:pt>
                <c:pt idx="202">
                  <c:v>83.730110726331148</c:v>
                </c:pt>
                <c:pt idx="203">
                  <c:v>46.264388455678912</c:v>
                </c:pt>
                <c:pt idx="204">
                  <c:v>113.12837412570163</c:v>
                </c:pt>
                <c:pt idx="205">
                  <c:v>158.81264836505213</c:v>
                </c:pt>
                <c:pt idx="206">
                  <c:v>86.578911369127241</c:v>
                </c:pt>
                <c:pt idx="207">
                  <c:v>113.48073745806104</c:v>
                </c:pt>
                <c:pt idx="208">
                  <c:v>82.479360765930807</c:v>
                </c:pt>
                <c:pt idx="209">
                  <c:v>117.65320136586483</c:v>
                </c:pt>
                <c:pt idx="210">
                  <c:v>57.239839229112405</c:v>
                </c:pt>
                <c:pt idx="211">
                  <c:v>100.59186156011597</c:v>
                </c:pt>
                <c:pt idx="212">
                  <c:v>127.15768895353567</c:v>
                </c:pt>
                <c:pt idx="213">
                  <c:v>119.36468428564589</c:v>
                </c:pt>
                <c:pt idx="214">
                  <c:v>74.912363823762192</c:v>
                </c:pt>
                <c:pt idx="215">
                  <c:v>78.273790777011911</c:v>
                </c:pt>
                <c:pt idx="216">
                  <c:v>55.527985082487824</c:v>
                </c:pt>
                <c:pt idx="217">
                  <c:v>65.880241018921808</c:v>
                </c:pt>
                <c:pt idx="218">
                  <c:v>141.25583544144209</c:v>
                </c:pt>
                <c:pt idx="219">
                  <c:v>57.206868889126994</c:v>
                </c:pt>
                <c:pt idx="220">
                  <c:v>80.561371467626316</c:v>
                </c:pt>
                <c:pt idx="221">
                  <c:v>83.420466276743454</c:v>
                </c:pt>
                <c:pt idx="222">
                  <c:v>74.618907306826827</c:v>
                </c:pt>
                <c:pt idx="223">
                  <c:v>97.112513246357793</c:v>
                </c:pt>
                <c:pt idx="224">
                  <c:v>150.1999779647285</c:v>
                </c:pt>
                <c:pt idx="225">
                  <c:v>131.95792546430192</c:v>
                </c:pt>
                <c:pt idx="226">
                  <c:v>135.00559636485497</c:v>
                </c:pt>
                <c:pt idx="227">
                  <c:v>92.716875329630852</c:v>
                </c:pt>
                <c:pt idx="228">
                  <c:v>58.766317716192439</c:v>
                </c:pt>
                <c:pt idx="229">
                  <c:v>83.8518415524441</c:v>
                </c:pt>
                <c:pt idx="230">
                  <c:v>66.605898484305143</c:v>
                </c:pt>
                <c:pt idx="231">
                  <c:v>67.846450841140921</c:v>
                </c:pt>
                <c:pt idx="232">
                  <c:v>87.604780176723892</c:v>
                </c:pt>
                <c:pt idx="233">
                  <c:v>90.522813403892854</c:v>
                </c:pt>
                <c:pt idx="234">
                  <c:v>75.759873107026777</c:v>
                </c:pt>
                <c:pt idx="235">
                  <c:v>63.852143825514858</c:v>
                </c:pt>
                <c:pt idx="236">
                  <c:v>103.52550312267896</c:v>
                </c:pt>
                <c:pt idx="237">
                  <c:v>106.48859206970781</c:v>
                </c:pt>
                <c:pt idx="238">
                  <c:v>79.316428737878198</c:v>
                </c:pt>
                <c:pt idx="239">
                  <c:v>93.545029961799756</c:v>
                </c:pt>
                <c:pt idx="240">
                  <c:v>100.28675112364326</c:v>
                </c:pt>
                <c:pt idx="241">
                  <c:v>111.4326068521959</c:v>
                </c:pt>
                <c:pt idx="242">
                  <c:v>65.340262564697383</c:v>
                </c:pt>
                <c:pt idx="243">
                  <c:v>85.730731843566076</c:v>
                </c:pt>
                <c:pt idx="244">
                  <c:v>95.983485806524115</c:v>
                </c:pt>
                <c:pt idx="245">
                  <c:v>164.6065334331953</c:v>
                </c:pt>
                <c:pt idx="246">
                  <c:v>68.604998173625802</c:v>
                </c:pt>
                <c:pt idx="247">
                  <c:v>59.733555311482576</c:v>
                </c:pt>
                <c:pt idx="248">
                  <c:v>60.446418724760477</c:v>
                </c:pt>
                <c:pt idx="249">
                  <c:v>102.55573597692141</c:v>
                </c:pt>
                <c:pt idx="250">
                  <c:v>133.98999353705688</c:v>
                </c:pt>
                <c:pt idx="251">
                  <c:v>73.249504721470203</c:v>
                </c:pt>
                <c:pt idx="252">
                  <c:v>32.863562151047503</c:v>
                </c:pt>
                <c:pt idx="253">
                  <c:v>87.69960428757534</c:v>
                </c:pt>
                <c:pt idx="254">
                  <c:v>63.012336174101605</c:v>
                </c:pt>
                <c:pt idx="255">
                  <c:v>86.101200236275915</c:v>
                </c:pt>
                <c:pt idx="256">
                  <c:v>38.944885869495764</c:v>
                </c:pt>
                <c:pt idx="257">
                  <c:v>81.631947661825265</c:v>
                </c:pt>
                <c:pt idx="258">
                  <c:v>31.346822712991102</c:v>
                </c:pt>
                <c:pt idx="259">
                  <c:v>173.34066746071912</c:v>
                </c:pt>
                <c:pt idx="260">
                  <c:v>63.305376182061899</c:v>
                </c:pt>
                <c:pt idx="261">
                  <c:v>91.164907433118515</c:v>
                </c:pt>
                <c:pt idx="262">
                  <c:v>50.51540754018248</c:v>
                </c:pt>
                <c:pt idx="263">
                  <c:v>112.55620638438937</c:v>
                </c:pt>
                <c:pt idx="264">
                  <c:v>90.841845953896353</c:v>
                </c:pt>
                <c:pt idx="265">
                  <c:v>68.214928382391093</c:v>
                </c:pt>
                <c:pt idx="266">
                  <c:v>65.567592815957866</c:v>
                </c:pt>
                <c:pt idx="267">
                  <c:v>48.027934189492825</c:v>
                </c:pt>
                <c:pt idx="268">
                  <c:v>128.17173923336267</c:v>
                </c:pt>
                <c:pt idx="269">
                  <c:v>103.75060243342277</c:v>
                </c:pt>
                <c:pt idx="270">
                  <c:v>56.696932199191565</c:v>
                </c:pt>
                <c:pt idx="271">
                  <c:v>69.419169610268028</c:v>
                </c:pt>
                <c:pt idx="272">
                  <c:v>83.717121516879189</c:v>
                </c:pt>
                <c:pt idx="273">
                  <c:v>120.85723250069549</c:v>
                </c:pt>
                <c:pt idx="274">
                  <c:v>93.99267857250635</c:v>
                </c:pt>
                <c:pt idx="275">
                  <c:v>65.046899990583597</c:v>
                </c:pt>
                <c:pt idx="276">
                  <c:v>146.76936176409561</c:v>
                </c:pt>
                <c:pt idx="277">
                  <c:v>88.25561429757235</c:v>
                </c:pt>
                <c:pt idx="278">
                  <c:v>0</c:v>
                </c:pt>
                <c:pt idx="279">
                  <c:v>1.551350566145087</c:v>
                </c:pt>
                <c:pt idx="280">
                  <c:v>14.326425499161259</c:v>
                </c:pt>
                <c:pt idx="281">
                  <c:v>12.335243648264488</c:v>
                </c:pt>
                <c:pt idx="282">
                  <c:v>26.338843790513124</c:v>
                </c:pt>
                <c:pt idx="283">
                  <c:v>170.3878610552573</c:v>
                </c:pt>
                <c:pt idx="284">
                  <c:v>4.9107339590869881</c:v>
                </c:pt>
                <c:pt idx="285">
                  <c:v>2.101378302400013</c:v>
                </c:pt>
                <c:pt idx="286">
                  <c:v>14.00017016618961</c:v>
                </c:pt>
                <c:pt idx="287">
                  <c:v>0</c:v>
                </c:pt>
                <c:pt idx="288">
                  <c:v>13.948803556828539</c:v>
                </c:pt>
                <c:pt idx="289">
                  <c:v>11.02476759272084</c:v>
                </c:pt>
                <c:pt idx="290">
                  <c:v>0</c:v>
                </c:pt>
                <c:pt idx="291">
                  <c:v>13.929539021479446</c:v>
                </c:pt>
                <c:pt idx="292">
                  <c:v>7.1043349958041135</c:v>
                </c:pt>
                <c:pt idx="293">
                  <c:v>28.297711725326302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5.8664052158030113</c:v>
                </c:pt>
                <c:pt idx="304">
                  <c:v>3.2326563780279738</c:v>
                </c:pt>
                <c:pt idx="305">
                  <c:v>0</c:v>
                </c:pt>
                <c:pt idx="306">
                  <c:v>0</c:v>
                </c:pt>
                <c:pt idx="307">
                  <c:v>1.9266155331342625</c:v>
                </c:pt>
                <c:pt idx="308">
                  <c:v>0</c:v>
                </c:pt>
                <c:pt idx="309">
                  <c:v>19.142408470629395</c:v>
                </c:pt>
                <c:pt idx="310">
                  <c:v>3.5281535101741492</c:v>
                </c:pt>
                <c:pt idx="311">
                  <c:v>0</c:v>
                </c:pt>
                <c:pt idx="312">
                  <c:v>0</c:v>
                </c:pt>
                <c:pt idx="313">
                  <c:v>13.439937997456655</c:v>
                </c:pt>
                <c:pt idx="314">
                  <c:v>0</c:v>
                </c:pt>
                <c:pt idx="315">
                  <c:v>0</c:v>
                </c:pt>
                <c:pt idx="316">
                  <c:v>3.734505508996421</c:v>
                </c:pt>
                <c:pt idx="317">
                  <c:v>6.524886533985133</c:v>
                </c:pt>
                <c:pt idx="318">
                  <c:v>21.590809290148773</c:v>
                </c:pt>
                <c:pt idx="319">
                  <c:v>8.5595926005970373</c:v>
                </c:pt>
                <c:pt idx="320">
                  <c:v>5.8791253767658151</c:v>
                </c:pt>
                <c:pt idx="321">
                  <c:v>1.4552214651708961</c:v>
                </c:pt>
                <c:pt idx="322">
                  <c:v>2.6564639322232635</c:v>
                </c:pt>
                <c:pt idx="323">
                  <c:v>17.189011948962133</c:v>
                </c:pt>
                <c:pt idx="324">
                  <c:v>8.4679127746744047</c:v>
                </c:pt>
                <c:pt idx="325">
                  <c:v>0</c:v>
                </c:pt>
                <c:pt idx="326">
                  <c:v>29.392583217765793</c:v>
                </c:pt>
                <c:pt idx="327">
                  <c:v>1.875563628076129</c:v>
                </c:pt>
                <c:pt idx="328">
                  <c:v>0</c:v>
                </c:pt>
                <c:pt idx="329">
                  <c:v>0</c:v>
                </c:pt>
                <c:pt idx="330">
                  <c:v>16.211731605872902</c:v>
                </c:pt>
                <c:pt idx="331">
                  <c:v>0</c:v>
                </c:pt>
                <c:pt idx="332">
                  <c:v>13.348058787420594</c:v>
                </c:pt>
                <c:pt idx="333">
                  <c:v>20.377154180885984</c:v>
                </c:pt>
                <c:pt idx="334">
                  <c:v>0</c:v>
                </c:pt>
                <c:pt idx="335">
                  <c:v>10.189353405690172</c:v>
                </c:pt>
                <c:pt idx="336">
                  <c:v>10.176120402904123</c:v>
                </c:pt>
                <c:pt idx="337">
                  <c:v>23.922514455365228</c:v>
                </c:pt>
                <c:pt idx="338">
                  <c:v>4.7150122582936911</c:v>
                </c:pt>
                <c:pt idx="339">
                  <c:v>0</c:v>
                </c:pt>
                <c:pt idx="340">
                  <c:v>19.234652922734238</c:v>
                </c:pt>
                <c:pt idx="341">
                  <c:v>1.6969845269796429</c:v>
                </c:pt>
                <c:pt idx="342">
                  <c:v>24.995128448248416</c:v>
                </c:pt>
                <c:pt idx="343">
                  <c:v>47.146402609489115</c:v>
                </c:pt>
                <c:pt idx="344">
                  <c:v>0</c:v>
                </c:pt>
                <c:pt idx="345">
                  <c:v>15.543972562771499</c:v>
                </c:pt>
                <c:pt idx="346">
                  <c:v>0</c:v>
                </c:pt>
                <c:pt idx="347">
                  <c:v>0</c:v>
                </c:pt>
                <c:pt idx="348">
                  <c:v>1.2566046386408591</c:v>
                </c:pt>
                <c:pt idx="349">
                  <c:v>6.7996537516991795</c:v>
                </c:pt>
                <c:pt idx="350">
                  <c:v>1.7944906504015301</c:v>
                </c:pt>
                <c:pt idx="351">
                  <c:v>2.879651819412941</c:v>
                </c:pt>
                <c:pt idx="352">
                  <c:v>4.9840983801877377</c:v>
                </c:pt>
                <c:pt idx="353">
                  <c:v>0</c:v>
                </c:pt>
                <c:pt idx="354">
                  <c:v>12.168139465211764</c:v>
                </c:pt>
                <c:pt idx="355">
                  <c:v>0</c:v>
                </c:pt>
                <c:pt idx="356">
                  <c:v>5.3958918252729147</c:v>
                </c:pt>
                <c:pt idx="357">
                  <c:v>0</c:v>
                </c:pt>
                <c:pt idx="358">
                  <c:v>8.8024748542910061</c:v>
                </c:pt>
                <c:pt idx="359">
                  <c:v>10.366116065512157</c:v>
                </c:pt>
                <c:pt idx="360">
                  <c:v>9.811347320017008</c:v>
                </c:pt>
                <c:pt idx="361">
                  <c:v>5.8110733467874187</c:v>
                </c:pt>
                <c:pt idx="362">
                  <c:v>18.420239966218951</c:v>
                </c:pt>
                <c:pt idx="363">
                  <c:v>8.8096418200030673</c:v>
                </c:pt>
                <c:pt idx="364">
                  <c:v>0</c:v>
                </c:pt>
                <c:pt idx="365">
                  <c:v>0</c:v>
                </c:pt>
                <c:pt idx="366">
                  <c:v>9.506397927866832</c:v>
                </c:pt>
                <c:pt idx="367">
                  <c:v>0</c:v>
                </c:pt>
                <c:pt idx="368">
                  <c:v>11.625536273000987</c:v>
                </c:pt>
                <c:pt idx="369">
                  <c:v>1.5753185354437496</c:v>
                </c:pt>
                <c:pt idx="370">
                  <c:v>0.65353994877225252</c:v>
                </c:pt>
                <c:pt idx="371">
                  <c:v>0</c:v>
                </c:pt>
                <c:pt idx="372">
                  <c:v>7.141468377018005</c:v>
                </c:pt>
                <c:pt idx="373">
                  <c:v>0</c:v>
                </c:pt>
                <c:pt idx="374">
                  <c:v>11.745230303840831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19.060209540362237</c:v>
                </c:pt>
                <c:pt idx="381">
                  <c:v>20.464151337928637</c:v>
                </c:pt>
                <c:pt idx="382">
                  <c:v>0</c:v>
                </c:pt>
                <c:pt idx="383">
                  <c:v>15.096268504957886</c:v>
                </c:pt>
                <c:pt idx="384">
                  <c:v>9.0603651785845205</c:v>
                </c:pt>
                <c:pt idx="385">
                  <c:v>4.5357676560171996</c:v>
                </c:pt>
                <c:pt idx="386">
                  <c:v>0.48322961982624074</c:v>
                </c:pt>
                <c:pt idx="387">
                  <c:v>9.5544858149240444</c:v>
                </c:pt>
                <c:pt idx="388">
                  <c:v>5.8925645844012609</c:v>
                </c:pt>
                <c:pt idx="389">
                  <c:v>29.951737568102125</c:v>
                </c:pt>
                <c:pt idx="390">
                  <c:v>21.838849884256089</c:v>
                </c:pt>
                <c:pt idx="391">
                  <c:v>8.0124966605712622</c:v>
                </c:pt>
                <c:pt idx="392">
                  <c:v>3.4747791387930658</c:v>
                </c:pt>
                <c:pt idx="393">
                  <c:v>15.192519251316767</c:v>
                </c:pt>
                <c:pt idx="394">
                  <c:v>2.5889300629113876</c:v>
                </c:pt>
                <c:pt idx="395">
                  <c:v>15.917403583827241</c:v>
                </c:pt>
                <c:pt idx="396">
                  <c:v>25.61871816874088</c:v>
                </c:pt>
                <c:pt idx="397">
                  <c:v>32.158722388361717</c:v>
                </c:pt>
                <c:pt idx="398">
                  <c:v>0</c:v>
                </c:pt>
                <c:pt idx="399">
                  <c:v>27.075587939618853</c:v>
                </c:pt>
                <c:pt idx="400">
                  <c:v>39.235930182221828</c:v>
                </c:pt>
                <c:pt idx="401">
                  <c:v>18.76303138305682</c:v>
                </c:pt>
                <c:pt idx="402">
                  <c:v>30.992138838177677</c:v>
                </c:pt>
                <c:pt idx="403">
                  <c:v>17.156990125888214</c:v>
                </c:pt>
                <c:pt idx="404">
                  <c:v>23.69170275417531</c:v>
                </c:pt>
                <c:pt idx="405">
                  <c:v>0</c:v>
                </c:pt>
                <c:pt idx="406">
                  <c:v>11.157999892667691</c:v>
                </c:pt>
                <c:pt idx="407">
                  <c:v>11.770098007971361</c:v>
                </c:pt>
                <c:pt idx="408">
                  <c:v>0</c:v>
                </c:pt>
                <c:pt idx="409">
                  <c:v>0</c:v>
                </c:pt>
                <c:pt idx="410">
                  <c:v>67.941541917165168</c:v>
                </c:pt>
                <c:pt idx="411">
                  <c:v>14.46388655073287</c:v>
                </c:pt>
                <c:pt idx="412">
                  <c:v>0</c:v>
                </c:pt>
                <c:pt idx="413">
                  <c:v>4.3009419066993848E-2</c:v>
                </c:pt>
                <c:pt idx="414">
                  <c:v>0</c:v>
                </c:pt>
                <c:pt idx="415">
                  <c:v>26.679718938364982</c:v>
                </c:pt>
                <c:pt idx="416">
                  <c:v>33.227075999971397</c:v>
                </c:pt>
                <c:pt idx="417">
                  <c:v>1.5004609802926523</c:v>
                </c:pt>
                <c:pt idx="418">
                  <c:v>12.490157628642804</c:v>
                </c:pt>
                <c:pt idx="419">
                  <c:v>4.852716127033907</c:v>
                </c:pt>
                <c:pt idx="420">
                  <c:v>33.886155954287759</c:v>
                </c:pt>
                <c:pt idx="421">
                  <c:v>8.8692401356237536</c:v>
                </c:pt>
                <c:pt idx="422">
                  <c:v>3.4665206639209396</c:v>
                </c:pt>
                <c:pt idx="423">
                  <c:v>15.900467128271528</c:v>
                </c:pt>
                <c:pt idx="424">
                  <c:v>0</c:v>
                </c:pt>
                <c:pt idx="425">
                  <c:v>7.9735172456675024E-2</c:v>
                </c:pt>
                <c:pt idx="426">
                  <c:v>8.9380920715859826</c:v>
                </c:pt>
                <c:pt idx="427">
                  <c:v>5.7180060356786697</c:v>
                </c:pt>
                <c:pt idx="428">
                  <c:v>0</c:v>
                </c:pt>
                <c:pt idx="429">
                  <c:v>13.415650046682289</c:v>
                </c:pt>
                <c:pt idx="430">
                  <c:v>1.297180246396906</c:v>
                </c:pt>
                <c:pt idx="431">
                  <c:v>10.7151946292818</c:v>
                </c:pt>
                <c:pt idx="432">
                  <c:v>31.726892975725637</c:v>
                </c:pt>
                <c:pt idx="433">
                  <c:v>14.520785329704823</c:v>
                </c:pt>
                <c:pt idx="434">
                  <c:v>14.166308644954766</c:v>
                </c:pt>
                <c:pt idx="435">
                  <c:v>0</c:v>
                </c:pt>
                <c:pt idx="436">
                  <c:v>9.5003217870154106</c:v>
                </c:pt>
                <c:pt idx="437">
                  <c:v>25.529345377444528</c:v>
                </c:pt>
                <c:pt idx="438">
                  <c:v>0.1307071008197975</c:v>
                </c:pt>
                <c:pt idx="439">
                  <c:v>0</c:v>
                </c:pt>
                <c:pt idx="440">
                  <c:v>43.292747699098577</c:v>
                </c:pt>
                <c:pt idx="441">
                  <c:v>0</c:v>
                </c:pt>
                <c:pt idx="442">
                  <c:v>31.031103727346434</c:v>
                </c:pt>
                <c:pt idx="443">
                  <c:v>0</c:v>
                </c:pt>
                <c:pt idx="444">
                  <c:v>1.0181308236169149</c:v>
                </c:pt>
                <c:pt idx="445">
                  <c:v>7.4910375477149032</c:v>
                </c:pt>
                <c:pt idx="446">
                  <c:v>0</c:v>
                </c:pt>
                <c:pt idx="447">
                  <c:v>5.4535368621395808</c:v>
                </c:pt>
                <c:pt idx="448">
                  <c:v>0</c:v>
                </c:pt>
                <c:pt idx="449">
                  <c:v>34.40505724644656</c:v>
                </c:pt>
                <c:pt idx="450">
                  <c:v>33.609572286959384</c:v>
                </c:pt>
                <c:pt idx="451">
                  <c:v>16.637702756767933</c:v>
                </c:pt>
                <c:pt idx="452">
                  <c:v>30.616214265902627</c:v>
                </c:pt>
                <c:pt idx="453">
                  <c:v>25.393858778421439</c:v>
                </c:pt>
                <c:pt idx="454">
                  <c:v>23.324560351548744</c:v>
                </c:pt>
                <c:pt idx="455">
                  <c:v>12.704881145494733</c:v>
                </c:pt>
                <c:pt idx="456">
                  <c:v>2.8603220469413317</c:v>
                </c:pt>
                <c:pt idx="457">
                  <c:v>25.339509100536212</c:v>
                </c:pt>
                <c:pt idx="458">
                  <c:v>9.5481305741254303</c:v>
                </c:pt>
                <c:pt idx="459">
                  <c:v>4.2918343200705085</c:v>
                </c:pt>
                <c:pt idx="460">
                  <c:v>8.1077027612975012</c:v>
                </c:pt>
                <c:pt idx="461">
                  <c:v>17.465290063159042</c:v>
                </c:pt>
                <c:pt idx="462">
                  <c:v>0</c:v>
                </c:pt>
                <c:pt idx="463">
                  <c:v>8.8393974600460723</c:v>
                </c:pt>
                <c:pt idx="464">
                  <c:v>52.718591397776599</c:v>
                </c:pt>
                <c:pt idx="465">
                  <c:v>14.263449525823187</c:v>
                </c:pt>
                <c:pt idx="466">
                  <c:v>0</c:v>
                </c:pt>
                <c:pt idx="467">
                  <c:v>6.0004152785618601</c:v>
                </c:pt>
                <c:pt idx="468">
                  <c:v>17.907947470203382</c:v>
                </c:pt>
                <c:pt idx="469">
                  <c:v>11.993785645620102</c:v>
                </c:pt>
                <c:pt idx="470">
                  <c:v>0</c:v>
                </c:pt>
                <c:pt idx="471">
                  <c:v>5.4697789297253419</c:v>
                </c:pt>
                <c:pt idx="472">
                  <c:v>3.7467757196465623</c:v>
                </c:pt>
                <c:pt idx="473">
                  <c:v>22.886697359843737</c:v>
                </c:pt>
                <c:pt idx="474">
                  <c:v>24.936498543326067</c:v>
                </c:pt>
                <c:pt idx="475">
                  <c:v>21.778629779869359</c:v>
                </c:pt>
                <c:pt idx="476">
                  <c:v>25.792489301994991</c:v>
                </c:pt>
                <c:pt idx="477">
                  <c:v>11.074869382992409</c:v>
                </c:pt>
                <c:pt idx="478">
                  <c:v>5.3320544466311759</c:v>
                </c:pt>
                <c:pt idx="479">
                  <c:v>51.217718011309358</c:v>
                </c:pt>
                <c:pt idx="480">
                  <c:v>41.421010626074526</c:v>
                </c:pt>
                <c:pt idx="481">
                  <c:v>1.8062589217209815</c:v>
                </c:pt>
                <c:pt idx="482">
                  <c:v>29.87545486555431</c:v>
                </c:pt>
                <c:pt idx="483">
                  <c:v>0</c:v>
                </c:pt>
                <c:pt idx="484">
                  <c:v>3.4474576438655822</c:v>
                </c:pt>
                <c:pt idx="485">
                  <c:v>0</c:v>
                </c:pt>
                <c:pt idx="486">
                  <c:v>0</c:v>
                </c:pt>
                <c:pt idx="487">
                  <c:v>8.3794927108129631</c:v>
                </c:pt>
                <c:pt idx="488">
                  <c:v>15.682020492425734</c:v>
                </c:pt>
                <c:pt idx="489">
                  <c:v>23.629177382482922</c:v>
                </c:pt>
                <c:pt idx="490">
                  <c:v>3.642604479676959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2.6329878653374412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4.7082369424805153</c:v>
                </c:pt>
                <c:pt idx="499">
                  <c:v>0</c:v>
                </c:pt>
                <c:pt idx="500">
                  <c:v>23.63184242908472</c:v>
                </c:pt>
                <c:pt idx="501">
                  <c:v>22.341041202275271</c:v>
                </c:pt>
                <c:pt idx="502">
                  <c:v>55.647644716561473</c:v>
                </c:pt>
                <c:pt idx="503">
                  <c:v>0</c:v>
                </c:pt>
                <c:pt idx="504">
                  <c:v>1.0051230995969276</c:v>
                </c:pt>
                <c:pt idx="505">
                  <c:v>0.85261587177332487</c:v>
                </c:pt>
                <c:pt idx="506">
                  <c:v>0</c:v>
                </c:pt>
                <c:pt idx="507">
                  <c:v>5.2692229362962921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4.7985193212041075</c:v>
                </c:pt>
                <c:pt idx="515">
                  <c:v>0.63912501396379218</c:v>
                </c:pt>
                <c:pt idx="516">
                  <c:v>6.1102676698060066</c:v>
                </c:pt>
                <c:pt idx="517">
                  <c:v>0</c:v>
                </c:pt>
                <c:pt idx="518">
                  <c:v>13.956324149192762</c:v>
                </c:pt>
                <c:pt idx="519">
                  <c:v>0</c:v>
                </c:pt>
                <c:pt idx="520">
                  <c:v>0.48103237295235568</c:v>
                </c:pt>
                <c:pt idx="521">
                  <c:v>5.3457833960243093</c:v>
                </c:pt>
                <c:pt idx="522">
                  <c:v>19.830440471184662</c:v>
                </c:pt>
                <c:pt idx="523">
                  <c:v>17.622737766523805</c:v>
                </c:pt>
                <c:pt idx="524">
                  <c:v>0</c:v>
                </c:pt>
                <c:pt idx="525">
                  <c:v>27.36676816924949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36.479239187992718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12.729277420425113</c:v>
                </c:pt>
                <c:pt idx="534">
                  <c:v>30.912142023928141</c:v>
                </c:pt>
                <c:pt idx="535">
                  <c:v>21.149003818015998</c:v>
                </c:pt>
                <c:pt idx="536">
                  <c:v>0</c:v>
                </c:pt>
                <c:pt idx="537">
                  <c:v>0</c:v>
                </c:pt>
                <c:pt idx="538">
                  <c:v>3.0060955277715027</c:v>
                </c:pt>
                <c:pt idx="539">
                  <c:v>43.032155885373605</c:v>
                </c:pt>
                <c:pt idx="540">
                  <c:v>22.049867068051537</c:v>
                </c:pt>
                <c:pt idx="541">
                  <c:v>0</c:v>
                </c:pt>
                <c:pt idx="542">
                  <c:v>26.423549772617456</c:v>
                </c:pt>
                <c:pt idx="543">
                  <c:v>0</c:v>
                </c:pt>
                <c:pt idx="544">
                  <c:v>33.725432434645306</c:v>
                </c:pt>
                <c:pt idx="545">
                  <c:v>0</c:v>
                </c:pt>
                <c:pt idx="546">
                  <c:v>14.677198026452293</c:v>
                </c:pt>
                <c:pt idx="547">
                  <c:v>15.326364296041085</c:v>
                </c:pt>
                <c:pt idx="548">
                  <c:v>33.557214936896798</c:v>
                </c:pt>
                <c:pt idx="549">
                  <c:v>0</c:v>
                </c:pt>
                <c:pt idx="550">
                  <c:v>3.3758241845802979</c:v>
                </c:pt>
                <c:pt idx="551">
                  <c:v>6.6841885407289983</c:v>
                </c:pt>
                <c:pt idx="552">
                  <c:v>15.243645477214967</c:v>
                </c:pt>
                <c:pt idx="553">
                  <c:v>18.137932526744862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37.39773164114699</c:v>
                </c:pt>
                <c:pt idx="558">
                  <c:v>14.933080192266772</c:v>
                </c:pt>
                <c:pt idx="559">
                  <c:v>50.524589396256424</c:v>
                </c:pt>
                <c:pt idx="560">
                  <c:v>11.377665373506456</c:v>
                </c:pt>
                <c:pt idx="561">
                  <c:v>3.1281681422829095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1.6149157728250625</c:v>
                </c:pt>
                <c:pt idx="566">
                  <c:v>38.2417492915691</c:v>
                </c:pt>
                <c:pt idx="567">
                  <c:v>11.430188697128393</c:v>
                </c:pt>
                <c:pt idx="568">
                  <c:v>11.604806491715294</c:v>
                </c:pt>
                <c:pt idx="569">
                  <c:v>20.462570504476773</c:v>
                </c:pt>
                <c:pt idx="570">
                  <c:v>11.606753196673692</c:v>
                </c:pt>
                <c:pt idx="571">
                  <c:v>4.047057382449279</c:v>
                </c:pt>
                <c:pt idx="572">
                  <c:v>2.0737464908335017</c:v>
                </c:pt>
                <c:pt idx="573">
                  <c:v>37.670196978310486</c:v>
                </c:pt>
                <c:pt idx="574">
                  <c:v>26.161052218769484</c:v>
                </c:pt>
                <c:pt idx="575">
                  <c:v>1.1245720232012719</c:v>
                </c:pt>
                <c:pt idx="576">
                  <c:v>17.394441807947683</c:v>
                </c:pt>
                <c:pt idx="577">
                  <c:v>0</c:v>
                </c:pt>
                <c:pt idx="578">
                  <c:v>52.637069664036943</c:v>
                </c:pt>
                <c:pt idx="579">
                  <c:v>17.593382839064574</c:v>
                </c:pt>
                <c:pt idx="580">
                  <c:v>34.375979039913311</c:v>
                </c:pt>
                <c:pt idx="581">
                  <c:v>5.9940300371053361</c:v>
                </c:pt>
                <c:pt idx="582">
                  <c:v>0</c:v>
                </c:pt>
                <c:pt idx="583">
                  <c:v>21.720635329170001</c:v>
                </c:pt>
                <c:pt idx="584">
                  <c:v>6.4047531827952149</c:v>
                </c:pt>
                <c:pt idx="585">
                  <c:v>21.857807652617261</c:v>
                </c:pt>
                <c:pt idx="586">
                  <c:v>18.767598639018736</c:v>
                </c:pt>
                <c:pt idx="587">
                  <c:v>0</c:v>
                </c:pt>
                <c:pt idx="588">
                  <c:v>4.2368038754277348</c:v>
                </c:pt>
                <c:pt idx="589">
                  <c:v>19.195237045303678</c:v>
                </c:pt>
                <c:pt idx="590">
                  <c:v>25.163232498314414</c:v>
                </c:pt>
                <c:pt idx="591">
                  <c:v>16.344455684576214</c:v>
                </c:pt>
                <c:pt idx="592">
                  <c:v>11.619509756734811</c:v>
                </c:pt>
                <c:pt idx="593">
                  <c:v>7.342113185100521</c:v>
                </c:pt>
                <c:pt idx="594">
                  <c:v>19.650537922002798</c:v>
                </c:pt>
                <c:pt idx="595">
                  <c:v>25.91244150223233</c:v>
                </c:pt>
                <c:pt idx="596">
                  <c:v>7.3627288816590353</c:v>
                </c:pt>
                <c:pt idx="597">
                  <c:v>0</c:v>
                </c:pt>
                <c:pt idx="598">
                  <c:v>14.511942277406686</c:v>
                </c:pt>
                <c:pt idx="599">
                  <c:v>4.7667308202422554</c:v>
                </c:pt>
                <c:pt idx="600">
                  <c:v>0.23950568424156468</c:v>
                </c:pt>
                <c:pt idx="601">
                  <c:v>0</c:v>
                </c:pt>
                <c:pt idx="602">
                  <c:v>0</c:v>
                </c:pt>
                <c:pt idx="603">
                  <c:v>21.533076917509796</c:v>
                </c:pt>
                <c:pt idx="604">
                  <c:v>0</c:v>
                </c:pt>
                <c:pt idx="605">
                  <c:v>0</c:v>
                </c:pt>
                <c:pt idx="606">
                  <c:v>17.020601523466777</c:v>
                </c:pt>
                <c:pt idx="607">
                  <c:v>0</c:v>
                </c:pt>
                <c:pt idx="608">
                  <c:v>9.7049338248548089</c:v>
                </c:pt>
                <c:pt idx="609">
                  <c:v>5.3296663756746447</c:v>
                </c:pt>
                <c:pt idx="610">
                  <c:v>5.3237180367914796</c:v>
                </c:pt>
                <c:pt idx="611">
                  <c:v>30.279023971214652</c:v>
                </c:pt>
                <c:pt idx="612">
                  <c:v>25.616471681978219</c:v>
                </c:pt>
                <c:pt idx="613">
                  <c:v>8.500388667732194</c:v>
                </c:pt>
                <c:pt idx="614">
                  <c:v>24.861205856240332</c:v>
                </c:pt>
                <c:pt idx="615">
                  <c:v>4.8431767842532443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13.544075911995094</c:v>
                </c:pt>
                <c:pt idx="621">
                  <c:v>3.5565929616364538</c:v>
                </c:pt>
                <c:pt idx="622">
                  <c:v>37.683046647153979</c:v>
                </c:pt>
                <c:pt idx="623">
                  <c:v>40.99675290661262</c:v>
                </c:pt>
                <c:pt idx="624">
                  <c:v>1.9472728926794953</c:v>
                </c:pt>
                <c:pt idx="625">
                  <c:v>4.7940354802284677</c:v>
                </c:pt>
                <c:pt idx="626">
                  <c:v>15.105136084295781</c:v>
                </c:pt>
                <c:pt idx="627">
                  <c:v>0</c:v>
                </c:pt>
                <c:pt idx="628">
                  <c:v>0</c:v>
                </c:pt>
                <c:pt idx="629">
                  <c:v>14.781090316382507</c:v>
                </c:pt>
                <c:pt idx="630">
                  <c:v>0</c:v>
                </c:pt>
                <c:pt idx="631">
                  <c:v>15.008972697395457</c:v>
                </c:pt>
                <c:pt idx="632">
                  <c:v>50.386928690815438</c:v>
                </c:pt>
                <c:pt idx="633">
                  <c:v>2.4981897223706273</c:v>
                </c:pt>
                <c:pt idx="634">
                  <c:v>0</c:v>
                </c:pt>
                <c:pt idx="635">
                  <c:v>10.83471572464339</c:v>
                </c:pt>
                <c:pt idx="636">
                  <c:v>10.259063101269884</c:v>
                </c:pt>
                <c:pt idx="637">
                  <c:v>3.6953269978410801</c:v>
                </c:pt>
                <c:pt idx="638">
                  <c:v>16.40150253649659</c:v>
                </c:pt>
                <c:pt idx="639">
                  <c:v>8.0727571123182393</c:v>
                </c:pt>
                <c:pt idx="640">
                  <c:v>0</c:v>
                </c:pt>
                <c:pt idx="641">
                  <c:v>13.634021414072684</c:v>
                </c:pt>
                <c:pt idx="642">
                  <c:v>48.184257340036972</c:v>
                </c:pt>
                <c:pt idx="643">
                  <c:v>20.07498860672878</c:v>
                </c:pt>
                <c:pt idx="644">
                  <c:v>9.9233660253785274</c:v>
                </c:pt>
                <c:pt idx="645">
                  <c:v>11.080901673985135</c:v>
                </c:pt>
                <c:pt idx="646">
                  <c:v>1.9919300446809349</c:v>
                </c:pt>
                <c:pt idx="647">
                  <c:v>2.6952192554760876</c:v>
                </c:pt>
                <c:pt idx="648">
                  <c:v>2.0609978404645117</c:v>
                </c:pt>
                <c:pt idx="649">
                  <c:v>11.770893357201754</c:v>
                </c:pt>
                <c:pt idx="650">
                  <c:v>2.9754080270669778</c:v>
                </c:pt>
                <c:pt idx="651">
                  <c:v>14.39061722529841</c:v>
                </c:pt>
                <c:pt idx="652">
                  <c:v>24.676527609527223</c:v>
                </c:pt>
                <c:pt idx="653">
                  <c:v>33.368506168539398</c:v>
                </c:pt>
                <c:pt idx="654">
                  <c:v>56.4608165619548</c:v>
                </c:pt>
                <c:pt idx="655">
                  <c:v>22.582874187627311</c:v>
                </c:pt>
                <c:pt idx="656">
                  <c:v>7.8322910796568959</c:v>
                </c:pt>
                <c:pt idx="657">
                  <c:v>16.198041585757259</c:v>
                </c:pt>
                <c:pt idx="658">
                  <c:v>32.046804373136098</c:v>
                </c:pt>
                <c:pt idx="659">
                  <c:v>8.1661234812122512</c:v>
                </c:pt>
                <c:pt idx="660">
                  <c:v>6.7495776491422665</c:v>
                </c:pt>
                <c:pt idx="661">
                  <c:v>0</c:v>
                </c:pt>
                <c:pt idx="662">
                  <c:v>4.8745302844091691</c:v>
                </c:pt>
                <c:pt idx="663">
                  <c:v>0.50495367403758895</c:v>
                </c:pt>
                <c:pt idx="664">
                  <c:v>0</c:v>
                </c:pt>
                <c:pt idx="665">
                  <c:v>28.739619401947312</c:v>
                </c:pt>
                <c:pt idx="666">
                  <c:v>0</c:v>
                </c:pt>
                <c:pt idx="667">
                  <c:v>15.592339299705873</c:v>
                </c:pt>
                <c:pt idx="668">
                  <c:v>3.9365195873997401</c:v>
                </c:pt>
                <c:pt idx="669">
                  <c:v>48.988493935901943</c:v>
                </c:pt>
                <c:pt idx="670">
                  <c:v>0</c:v>
                </c:pt>
                <c:pt idx="671">
                  <c:v>15.191492273481952</c:v>
                </c:pt>
                <c:pt idx="672">
                  <c:v>44.336396077825817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2.8913945317974905</c:v>
                </c:pt>
                <c:pt idx="677">
                  <c:v>0</c:v>
                </c:pt>
                <c:pt idx="678">
                  <c:v>11.968372626420166</c:v>
                </c:pt>
                <c:pt idx="679">
                  <c:v>67.982783132071489</c:v>
                </c:pt>
                <c:pt idx="680">
                  <c:v>8.8744081926219849</c:v>
                </c:pt>
                <c:pt idx="681">
                  <c:v>5.0375569478206561</c:v>
                </c:pt>
                <c:pt idx="682">
                  <c:v>17.890892601030842</c:v>
                </c:pt>
                <c:pt idx="683">
                  <c:v>0</c:v>
                </c:pt>
                <c:pt idx="684">
                  <c:v>20.245584188673185</c:v>
                </c:pt>
                <c:pt idx="685">
                  <c:v>23.274566634346165</c:v>
                </c:pt>
                <c:pt idx="686">
                  <c:v>0</c:v>
                </c:pt>
                <c:pt idx="687">
                  <c:v>19.287452361642121</c:v>
                </c:pt>
                <c:pt idx="688">
                  <c:v>38.041826106564024</c:v>
                </c:pt>
                <c:pt idx="689">
                  <c:v>26.434272118973745</c:v>
                </c:pt>
                <c:pt idx="690">
                  <c:v>0</c:v>
                </c:pt>
                <c:pt idx="691">
                  <c:v>0</c:v>
                </c:pt>
                <c:pt idx="692">
                  <c:v>23.195024005953258</c:v>
                </c:pt>
                <c:pt idx="693">
                  <c:v>28.52172231155059</c:v>
                </c:pt>
                <c:pt idx="694">
                  <c:v>8.2122342716806713</c:v>
                </c:pt>
                <c:pt idx="695">
                  <c:v>1.9023011538935806</c:v>
                </c:pt>
                <c:pt idx="696">
                  <c:v>1.5283163135297761</c:v>
                </c:pt>
                <c:pt idx="697">
                  <c:v>5.0310156559608217</c:v>
                </c:pt>
                <c:pt idx="698">
                  <c:v>35.501319780277704</c:v>
                </c:pt>
                <c:pt idx="699">
                  <c:v>4.2016244176619635</c:v>
                </c:pt>
                <c:pt idx="700">
                  <c:v>8.3578697156858978E-2</c:v>
                </c:pt>
                <c:pt idx="701">
                  <c:v>2.0309242145403634</c:v>
                </c:pt>
                <c:pt idx="702">
                  <c:v>4.1204539432084264</c:v>
                </c:pt>
                <c:pt idx="703">
                  <c:v>8.5463123833846133</c:v>
                </c:pt>
                <c:pt idx="704">
                  <c:v>8.894026491199865</c:v>
                </c:pt>
                <c:pt idx="705">
                  <c:v>0.45501088530917877</c:v>
                </c:pt>
                <c:pt idx="706">
                  <c:v>8.4656492417355498</c:v>
                </c:pt>
                <c:pt idx="707">
                  <c:v>7.8355295523973769</c:v>
                </c:pt>
                <c:pt idx="708">
                  <c:v>40.103661899208902</c:v>
                </c:pt>
                <c:pt idx="709">
                  <c:v>12.077444531802547</c:v>
                </c:pt>
                <c:pt idx="710">
                  <c:v>103.1763611091686</c:v>
                </c:pt>
                <c:pt idx="711">
                  <c:v>18.027344236153084</c:v>
                </c:pt>
                <c:pt idx="712">
                  <c:v>60.386749912617638</c:v>
                </c:pt>
                <c:pt idx="713">
                  <c:v>54.149838694852711</c:v>
                </c:pt>
                <c:pt idx="714">
                  <c:v>35.648933228851661</c:v>
                </c:pt>
                <c:pt idx="715">
                  <c:v>4.114970097985637</c:v>
                </c:pt>
                <c:pt idx="716">
                  <c:v>42.721011723357293</c:v>
                </c:pt>
                <c:pt idx="717">
                  <c:v>28.272987326470645</c:v>
                </c:pt>
                <c:pt idx="718">
                  <c:v>44.165872788460007</c:v>
                </c:pt>
                <c:pt idx="719">
                  <c:v>81.684403864815948</c:v>
                </c:pt>
                <c:pt idx="720">
                  <c:v>36.684111558959131</c:v>
                </c:pt>
                <c:pt idx="721">
                  <c:v>104.6886019965691</c:v>
                </c:pt>
                <c:pt idx="722">
                  <c:v>162.45140565159011</c:v>
                </c:pt>
                <c:pt idx="723">
                  <c:v>60.237749626313985</c:v>
                </c:pt>
                <c:pt idx="724">
                  <c:v>74.684778760946671</c:v>
                </c:pt>
                <c:pt idx="725">
                  <c:v>48.690466377946187</c:v>
                </c:pt>
                <c:pt idx="726">
                  <c:v>91.798704201878266</c:v>
                </c:pt>
                <c:pt idx="727">
                  <c:v>80.545625965724682</c:v>
                </c:pt>
                <c:pt idx="728">
                  <c:v>18.456984796129063</c:v>
                </c:pt>
                <c:pt idx="729">
                  <c:v>50.396457323057717</c:v>
                </c:pt>
                <c:pt idx="730">
                  <c:v>1.799905909787834</c:v>
                </c:pt>
                <c:pt idx="731">
                  <c:v>5.5277877289414237</c:v>
                </c:pt>
                <c:pt idx="732">
                  <c:v>57.478551098765983</c:v>
                </c:pt>
                <c:pt idx="733">
                  <c:v>45.176304496612993</c:v>
                </c:pt>
                <c:pt idx="734">
                  <c:v>67.62805409385237</c:v>
                </c:pt>
                <c:pt idx="735">
                  <c:v>42.375811593451473</c:v>
                </c:pt>
                <c:pt idx="736">
                  <c:v>25.969915132529216</c:v>
                </c:pt>
                <c:pt idx="737">
                  <c:v>53.066274273591056</c:v>
                </c:pt>
                <c:pt idx="738">
                  <c:v>122.3726392251679</c:v>
                </c:pt>
                <c:pt idx="739">
                  <c:v>47.748703271079691</c:v>
                </c:pt>
                <c:pt idx="740">
                  <c:v>88.291037714772173</c:v>
                </c:pt>
                <c:pt idx="741">
                  <c:v>59.613095060258324</c:v>
                </c:pt>
                <c:pt idx="742">
                  <c:v>110.89228111690912</c:v>
                </c:pt>
                <c:pt idx="743">
                  <c:v>9.2833371723144058</c:v>
                </c:pt>
                <c:pt idx="744">
                  <c:v>22.164129499764101</c:v>
                </c:pt>
                <c:pt idx="745">
                  <c:v>0</c:v>
                </c:pt>
                <c:pt idx="746">
                  <c:v>3.9765901537300032</c:v>
                </c:pt>
                <c:pt idx="747">
                  <c:v>9.1153097238640264</c:v>
                </c:pt>
                <c:pt idx="748">
                  <c:v>17.103499694299803</c:v>
                </c:pt>
                <c:pt idx="749">
                  <c:v>4.3219428727929978</c:v>
                </c:pt>
                <c:pt idx="750">
                  <c:v>20.516967042517592</c:v>
                </c:pt>
                <c:pt idx="751">
                  <c:v>0</c:v>
                </c:pt>
                <c:pt idx="752">
                  <c:v>5.0443943633059734</c:v>
                </c:pt>
                <c:pt idx="753">
                  <c:v>0</c:v>
                </c:pt>
                <c:pt idx="754">
                  <c:v>42.997306792955577</c:v>
                </c:pt>
                <c:pt idx="755">
                  <c:v>29.596990905664278</c:v>
                </c:pt>
                <c:pt idx="756">
                  <c:v>21.963359895779639</c:v>
                </c:pt>
                <c:pt idx="757">
                  <c:v>4.6812444167030236</c:v>
                </c:pt>
                <c:pt idx="758">
                  <c:v>0.86212189304539977</c:v>
                </c:pt>
                <c:pt idx="759">
                  <c:v>0</c:v>
                </c:pt>
                <c:pt idx="760">
                  <c:v>4.4478232424544979</c:v>
                </c:pt>
                <c:pt idx="761">
                  <c:v>3.9074704552853499</c:v>
                </c:pt>
                <c:pt idx="762">
                  <c:v>13.638778669672813</c:v>
                </c:pt>
                <c:pt idx="763">
                  <c:v>9.8485474087175948</c:v>
                </c:pt>
                <c:pt idx="764">
                  <c:v>23.531620151046436</c:v>
                </c:pt>
                <c:pt idx="765">
                  <c:v>31.303682793584329</c:v>
                </c:pt>
                <c:pt idx="766">
                  <c:v>1.1086108733836866</c:v>
                </c:pt>
                <c:pt idx="767">
                  <c:v>1.5225094809750852</c:v>
                </c:pt>
                <c:pt idx="768">
                  <c:v>0</c:v>
                </c:pt>
                <c:pt idx="769">
                  <c:v>23.320516482483349</c:v>
                </c:pt>
                <c:pt idx="770">
                  <c:v>1.7396725499115642</c:v>
                </c:pt>
                <c:pt idx="771">
                  <c:v>13.697445432815925</c:v>
                </c:pt>
                <c:pt idx="772">
                  <c:v>25.368472499867579</c:v>
                </c:pt>
                <c:pt idx="773">
                  <c:v>18.574450273098105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FC6-4C5C-ACB3-B93EE3A07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697519"/>
        <c:axId val="1207701839"/>
      </c:scatterChart>
      <c:valAx>
        <c:axId val="72598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988880"/>
        <c:crosses val="autoZero"/>
        <c:crossBetween val="midCat"/>
      </c:valAx>
      <c:valAx>
        <c:axId val="725988880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988400"/>
        <c:crosses val="autoZero"/>
        <c:crossBetween val="midCat"/>
      </c:valAx>
      <c:valAx>
        <c:axId val="1207701839"/>
        <c:scaling>
          <c:orientation val="minMax"/>
          <c:max val="200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97519"/>
        <c:crosses val="max"/>
        <c:crossBetween val="midCat"/>
      </c:valAx>
      <c:valAx>
        <c:axId val="1207697519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207701839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68254</xdr:colOff>
      <xdr:row>97</xdr:row>
      <xdr:rowOff>139411</xdr:rowOff>
    </xdr:from>
    <xdr:to>
      <xdr:col>10</xdr:col>
      <xdr:colOff>969818</xdr:colOff>
      <xdr:row>116</xdr:row>
      <xdr:rowOff>34636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B6AD8-C40F-46E9-A393-AB7FB675E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554182</xdr:colOff>
      <xdr:row>102</xdr:row>
      <xdr:rowOff>116031</xdr:rowOff>
    </xdr:from>
    <xdr:to>
      <xdr:col>23</xdr:col>
      <xdr:colOff>83534</xdr:colOff>
      <xdr:row>122</xdr:row>
      <xdr:rowOff>86591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D604F9-27EF-45F7-9D66-A99F60FAF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555419</xdr:colOff>
      <xdr:row>103</xdr:row>
      <xdr:rowOff>166997</xdr:rowOff>
    </xdr:from>
    <xdr:to>
      <xdr:col>35</xdr:col>
      <xdr:colOff>34635</xdr:colOff>
      <xdr:row>123</xdr:row>
      <xdr:rowOff>86591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300C00-C0B6-4E9A-9818-119E5CA99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407612</xdr:colOff>
      <xdr:row>103</xdr:row>
      <xdr:rowOff>162425</xdr:rowOff>
    </xdr:from>
    <xdr:to>
      <xdr:col>47</xdr:col>
      <xdr:colOff>358588</xdr:colOff>
      <xdr:row>123</xdr:row>
      <xdr:rowOff>56029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08B9EE-B402-42C0-8AC0-3DDB4E78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12880</xdr:colOff>
      <xdr:row>104</xdr:row>
      <xdr:rowOff>11497</xdr:rowOff>
    </xdr:from>
    <xdr:to>
      <xdr:col>58</xdr:col>
      <xdr:colOff>1277470</xdr:colOff>
      <xdr:row>123</xdr:row>
      <xdr:rowOff>89647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8ABBAE-A576-44A4-98CF-3758E71AB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60</xdr:col>
      <xdr:colOff>30416</xdr:colOff>
      <xdr:row>104</xdr:row>
      <xdr:rowOff>95249</xdr:rowOff>
    </xdr:from>
    <xdr:to>
      <xdr:col>71</xdr:col>
      <xdr:colOff>231321</xdr:colOff>
      <xdr:row>123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1D75F-C5D1-43F5-9C7B-701EA2A4C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72</xdr:col>
      <xdr:colOff>217714</xdr:colOff>
      <xdr:row>88</xdr:row>
      <xdr:rowOff>108857</xdr:rowOff>
    </xdr:from>
    <xdr:to>
      <xdr:col>78</xdr:col>
      <xdr:colOff>907676</xdr:colOff>
      <xdr:row>102</xdr:row>
      <xdr:rowOff>185057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C90D53-CAD7-472F-8E19-3ECDBB5A5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79</xdr:col>
      <xdr:colOff>281608</xdr:colOff>
      <xdr:row>156</xdr:row>
      <xdr:rowOff>120863</xdr:rowOff>
    </xdr:from>
    <xdr:to>
      <xdr:col>88</xdr:col>
      <xdr:colOff>289891</xdr:colOff>
      <xdr:row>172</xdr:row>
      <xdr:rowOff>66260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4A3041-E1CB-4DCA-BDB0-1ED076B5E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88</xdr:col>
      <xdr:colOff>332102</xdr:colOff>
      <xdr:row>124</xdr:row>
      <xdr:rowOff>116135</xdr:rowOff>
    </xdr:from>
    <xdr:to>
      <xdr:col>94</xdr:col>
      <xdr:colOff>791543</xdr:colOff>
      <xdr:row>139</xdr:row>
      <xdr:rowOff>1835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1BDEE8-330E-49E9-B720-A98405922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96</xdr:col>
      <xdr:colOff>358588</xdr:colOff>
      <xdr:row>124</xdr:row>
      <xdr:rowOff>179294</xdr:rowOff>
    </xdr:from>
    <xdr:to>
      <xdr:col>102</xdr:col>
      <xdr:colOff>840441</xdr:colOff>
      <xdr:row>139</xdr:row>
      <xdr:rowOff>64994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1F0FA62-F408-4F77-A6F8-613484A61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269327</xdr:colOff>
      <xdr:row>116</xdr:row>
      <xdr:rowOff>163148</xdr:rowOff>
    </xdr:from>
    <xdr:to>
      <xdr:col>10</xdr:col>
      <xdr:colOff>886812</xdr:colOff>
      <xdr:row>133</xdr:row>
      <xdr:rowOff>157656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D9C2413-1077-EDA9-57ED-CDDB30AD0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605117</xdr:colOff>
      <xdr:row>123</xdr:row>
      <xdr:rowOff>67236</xdr:rowOff>
    </xdr:from>
    <xdr:to>
      <xdr:col>15</xdr:col>
      <xdr:colOff>583866</xdr:colOff>
      <xdr:row>140</xdr:row>
      <xdr:rowOff>61744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E2D853F-4B9E-44DC-8973-67ABF0DBB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394607</xdr:colOff>
      <xdr:row>124</xdr:row>
      <xdr:rowOff>27214</xdr:rowOff>
    </xdr:from>
    <xdr:to>
      <xdr:col>27</xdr:col>
      <xdr:colOff>604677</xdr:colOff>
      <xdr:row>141</xdr:row>
      <xdr:rowOff>21722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C7BDF94-7918-464D-BAA8-729F46C11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35</xdr:col>
      <xdr:colOff>515471</xdr:colOff>
      <xdr:row>125</xdr:row>
      <xdr:rowOff>67235</xdr:rowOff>
    </xdr:from>
    <xdr:to>
      <xdr:col>39</xdr:col>
      <xdr:colOff>938453</xdr:colOff>
      <xdr:row>142</xdr:row>
      <xdr:rowOff>61743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DCACF10-F1F5-4EE3-80C8-556D9F757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48</xdr:col>
      <xdr:colOff>739589</xdr:colOff>
      <xdr:row>124</xdr:row>
      <xdr:rowOff>168088</xdr:rowOff>
    </xdr:from>
    <xdr:to>
      <xdr:col>52</xdr:col>
      <xdr:colOff>214074</xdr:colOff>
      <xdr:row>141</xdr:row>
      <xdr:rowOff>162596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C5F7682-0368-4AB4-980B-670340BFA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101</xdr:row>
      <xdr:rowOff>34290</xdr:rowOff>
    </xdr:from>
    <xdr:to>
      <xdr:col>10</xdr:col>
      <xdr:colOff>845820</xdr:colOff>
      <xdr:row>117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BCAD23-12F3-243E-E53B-EAAC6A110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620487</xdr:colOff>
      <xdr:row>117</xdr:row>
      <xdr:rowOff>65315</xdr:rowOff>
    </xdr:from>
    <xdr:to>
      <xdr:col>10</xdr:col>
      <xdr:colOff>870858</xdr:colOff>
      <xdr:row>138</xdr:row>
      <xdr:rowOff>141515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A98E9-C74F-E0CE-6A8F-41A8518E1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1"/>
  <sheetViews>
    <sheetView workbookViewId="0">
      <selection activeCell="A32" sqref="A32"/>
    </sheetView>
  </sheetViews>
  <sheetFormatPr defaultRowHeight="14.4" x14ac:dyDescent="0.3"/>
  <cols>
    <col min="1" max="1" width="17.44140625" customWidth="1"/>
    <col min="3" max="3" width="14.44140625" customWidth="1"/>
    <col min="5" max="5" width="15.109375" customWidth="1"/>
    <col min="7" max="7" width="13" customWidth="1"/>
    <col min="9" max="9" width="13.44140625" customWidth="1"/>
    <col min="11" max="11" width="12.88671875" customWidth="1"/>
    <col min="12" max="12" width="9.5546875" bestFit="1" customWidth="1"/>
    <col min="13" max="13" width="11.88671875" customWidth="1"/>
    <col min="14" max="14" width="11.5546875" bestFit="1" customWidth="1"/>
    <col min="15" max="15" width="12.5546875" customWidth="1"/>
    <col min="16" max="16" width="11.5546875" bestFit="1" customWidth="1"/>
    <col min="17" max="17" width="12.5546875" customWidth="1"/>
    <col min="18" max="18" width="11.5546875" bestFit="1" customWidth="1"/>
    <col min="19" max="19" width="14.44140625" customWidth="1"/>
    <col min="20" max="20" width="11.5546875" bestFit="1" customWidth="1"/>
    <col min="21" max="21" width="15.109375" customWidth="1"/>
  </cols>
  <sheetData>
    <row r="2" spans="1:21" x14ac:dyDescent="0.3">
      <c r="B2" s="123" t="s">
        <v>29</v>
      </c>
      <c r="C2" s="123"/>
      <c r="D2" s="124" t="s">
        <v>36</v>
      </c>
      <c r="E2" s="124"/>
      <c r="F2" s="125" t="s">
        <v>37</v>
      </c>
      <c r="G2" s="125"/>
      <c r="H2" s="126" t="s">
        <v>38</v>
      </c>
      <c r="I2" s="126"/>
      <c r="J2" s="127" t="s">
        <v>39</v>
      </c>
      <c r="K2" s="127"/>
      <c r="L2" s="131" t="s">
        <v>40</v>
      </c>
      <c r="M2" s="131"/>
      <c r="N2" s="128" t="s">
        <v>44</v>
      </c>
      <c r="O2" s="128"/>
      <c r="P2" s="129" t="s">
        <v>45</v>
      </c>
      <c r="Q2" s="129"/>
      <c r="R2" s="130" t="s">
        <v>46</v>
      </c>
      <c r="S2" s="130"/>
      <c r="T2" s="123" t="s">
        <v>47</v>
      </c>
      <c r="U2" s="123"/>
    </row>
    <row r="3" spans="1:21" x14ac:dyDescent="0.3">
      <c r="A3" s="2" t="s">
        <v>0</v>
      </c>
      <c r="B3" s="21">
        <v>2.7100659833378001E-2</v>
      </c>
      <c r="C3" s="20">
        <v>44776.625694444447</v>
      </c>
      <c r="D3" s="58">
        <v>1.03130225848837E-2</v>
      </c>
      <c r="E3" s="108">
        <v>44781.625694444447</v>
      </c>
      <c r="F3" s="57">
        <v>3.3894640450781402E-2</v>
      </c>
      <c r="G3" s="34">
        <v>45136.65625</v>
      </c>
      <c r="H3" s="41">
        <v>1.4897205278113701E-2</v>
      </c>
      <c r="I3" s="42">
        <v>0.77083333333333337</v>
      </c>
      <c r="J3" s="60">
        <v>5.6741231058604902E-2</v>
      </c>
      <c r="K3" s="61">
        <v>45166.510416666664</v>
      </c>
      <c r="L3" s="63">
        <v>0.12148791730821901</v>
      </c>
      <c r="M3" s="64">
        <v>45183.75</v>
      </c>
      <c r="N3" s="97">
        <v>5.38596691217735E-2</v>
      </c>
      <c r="O3" s="98">
        <v>45046.78125</v>
      </c>
      <c r="P3" s="100">
        <v>6.4025860322733205E-2</v>
      </c>
      <c r="Q3" s="101">
        <v>45048</v>
      </c>
      <c r="R3" s="103">
        <v>0.12891581735454399</v>
      </c>
      <c r="S3" s="104">
        <v>45050.416666666664</v>
      </c>
      <c r="T3" s="106">
        <v>0.292537961978307</v>
      </c>
      <c r="U3" s="20">
        <v>45051.739583333336</v>
      </c>
    </row>
    <row r="4" spans="1:21" x14ac:dyDescent="0.3">
      <c r="A4" s="2" t="s">
        <v>1</v>
      </c>
      <c r="B4" s="21">
        <v>1.73415591077304E-2</v>
      </c>
      <c r="C4" s="20">
        <v>44776.625694444447</v>
      </c>
      <c r="D4" s="58">
        <v>7.7748894996124401E-3</v>
      </c>
      <c r="E4" s="108">
        <v>44781.625694444447</v>
      </c>
      <c r="F4" s="57">
        <v>2.45471667611072E-2</v>
      </c>
      <c r="G4" s="34">
        <v>45136.65625</v>
      </c>
      <c r="H4" s="41">
        <v>8.0441004530797805E-3</v>
      </c>
      <c r="I4" s="42">
        <v>0.77083333333333337</v>
      </c>
      <c r="J4" s="60">
        <v>3.5270738108725101E-2</v>
      </c>
      <c r="K4" s="61">
        <v>45166.510416666664</v>
      </c>
      <c r="L4" s="63">
        <v>6.33040571897725E-2</v>
      </c>
      <c r="M4" s="64">
        <v>45183.75</v>
      </c>
      <c r="N4" s="97">
        <v>3.8845723186713102E-2</v>
      </c>
      <c r="O4" s="98">
        <v>45046.989583333336</v>
      </c>
      <c r="P4" s="100">
        <v>5.04171385185469E-2</v>
      </c>
      <c r="Q4" s="101">
        <v>45047.9375</v>
      </c>
      <c r="R4" s="103">
        <v>8.2414030105865899E-2</v>
      </c>
      <c r="S4" s="104">
        <v>45049.697916666664</v>
      </c>
      <c r="T4" s="106">
        <v>9.2214903469473294E-2</v>
      </c>
      <c r="U4" s="20">
        <v>45051.739583333336</v>
      </c>
    </row>
    <row r="5" spans="1:21" x14ac:dyDescent="0.3">
      <c r="A5" s="2" t="s">
        <v>2</v>
      </c>
      <c r="B5" s="21">
        <v>1.75334302078048E-2</v>
      </c>
      <c r="C5" s="20">
        <v>44776.625694444447</v>
      </c>
      <c r="D5" s="58">
        <v>7.6956360133416798E-3</v>
      </c>
      <c r="E5" s="108">
        <v>44781.625694444447</v>
      </c>
      <c r="F5" s="57">
        <v>2.45122321428459E-2</v>
      </c>
      <c r="G5" s="34">
        <v>45136.65625</v>
      </c>
      <c r="H5" s="41">
        <v>8.0763578503031796E-3</v>
      </c>
      <c r="I5" s="42">
        <v>0.77083333333333337</v>
      </c>
      <c r="J5" s="60">
        <v>3.4439974703429702E-2</v>
      </c>
      <c r="K5" s="61">
        <v>45166.510416666664</v>
      </c>
      <c r="L5" s="63">
        <v>5.8734947455230002E-2</v>
      </c>
      <c r="M5" s="64">
        <v>45183.75</v>
      </c>
      <c r="N5" s="97">
        <v>3.8631953422046103E-2</v>
      </c>
      <c r="O5" s="98">
        <v>45047.010416666664</v>
      </c>
      <c r="P5" s="100">
        <v>5.0081186486448499E-2</v>
      </c>
      <c r="Q5" s="101">
        <v>45047.958333333336</v>
      </c>
      <c r="R5" s="103">
        <v>8.1453207701218902E-2</v>
      </c>
      <c r="S5" s="104">
        <v>45049.802083333336</v>
      </c>
      <c r="T5" s="106">
        <v>8.4068406777156698E-2</v>
      </c>
      <c r="U5" s="20">
        <v>45051.520833333336</v>
      </c>
    </row>
    <row r="6" spans="1:21" x14ac:dyDescent="0.3">
      <c r="A6" s="2" t="s">
        <v>3</v>
      </c>
      <c r="B6" s="9">
        <v>0</v>
      </c>
      <c r="C6" s="20">
        <v>44776.000694444447</v>
      </c>
      <c r="D6" s="59">
        <v>0</v>
      </c>
      <c r="E6" s="108">
        <v>44781.000694444447</v>
      </c>
      <c r="F6" s="33">
        <v>0</v>
      </c>
      <c r="G6" s="34">
        <v>45136</v>
      </c>
      <c r="H6" s="43">
        <v>0</v>
      </c>
      <c r="I6" s="44">
        <v>0</v>
      </c>
      <c r="J6" s="62">
        <v>1</v>
      </c>
      <c r="K6" s="61">
        <v>45166.510416666664</v>
      </c>
      <c r="L6" s="65">
        <v>2</v>
      </c>
      <c r="M6" s="64">
        <v>45183.75</v>
      </c>
      <c r="N6" s="99">
        <v>0</v>
      </c>
      <c r="O6" s="98">
        <v>45046</v>
      </c>
      <c r="P6" s="102">
        <v>0</v>
      </c>
      <c r="Q6" s="101">
        <v>45047.208333333336</v>
      </c>
      <c r="R6" s="105">
        <v>9</v>
      </c>
      <c r="S6" s="104">
        <v>45049.6875</v>
      </c>
      <c r="T6" s="107">
        <v>31</v>
      </c>
      <c r="U6" s="20">
        <v>45051.739583333336</v>
      </c>
    </row>
    <row r="7" spans="1:21" x14ac:dyDescent="0.3">
      <c r="A7" s="2" t="s">
        <v>4</v>
      </c>
      <c r="B7" s="9">
        <v>11</v>
      </c>
      <c r="C7" s="20">
        <v>44776.625694444447</v>
      </c>
      <c r="D7" s="59">
        <v>0</v>
      </c>
      <c r="E7" s="108">
        <v>44781.000694444447</v>
      </c>
      <c r="F7" s="33">
        <v>2</v>
      </c>
      <c r="G7" s="34">
        <v>45136.666666666664</v>
      </c>
      <c r="H7" s="43">
        <v>0</v>
      </c>
      <c r="I7" s="44">
        <v>0</v>
      </c>
      <c r="J7" s="62">
        <v>28</v>
      </c>
      <c r="K7" s="61">
        <v>45166.510416666664</v>
      </c>
      <c r="L7" s="65">
        <v>126</v>
      </c>
      <c r="M7" s="64">
        <v>45183.75</v>
      </c>
      <c r="N7" s="99">
        <v>4</v>
      </c>
      <c r="O7" s="98">
        <v>45046.78125</v>
      </c>
      <c r="P7" s="102">
        <v>3</v>
      </c>
      <c r="Q7" s="101">
        <v>45047.958333333336</v>
      </c>
      <c r="R7" s="105">
        <v>89</v>
      </c>
      <c r="S7" s="104">
        <v>45049.6875</v>
      </c>
      <c r="T7" s="107">
        <v>212</v>
      </c>
      <c r="U7" s="20">
        <v>45051.739583333336</v>
      </c>
    </row>
    <row r="8" spans="1:21" x14ac:dyDescent="0.3">
      <c r="A8" s="2" t="s">
        <v>5</v>
      </c>
      <c r="B8" s="9">
        <v>199</v>
      </c>
      <c r="C8" s="20">
        <v>44776.625694444447</v>
      </c>
      <c r="D8" s="59">
        <v>3</v>
      </c>
      <c r="E8" s="108">
        <v>44781.698611111111</v>
      </c>
      <c r="F8" s="33">
        <v>117</v>
      </c>
      <c r="G8" s="34">
        <v>45136.65625</v>
      </c>
      <c r="H8" s="43">
        <v>36</v>
      </c>
      <c r="I8" s="44">
        <v>0.28125</v>
      </c>
      <c r="J8" s="62">
        <v>646</v>
      </c>
      <c r="K8" s="61">
        <v>45166.510416666664</v>
      </c>
      <c r="L8" s="65">
        <v>2055</v>
      </c>
      <c r="M8" s="64">
        <v>45183.75</v>
      </c>
      <c r="N8" s="99">
        <v>372</v>
      </c>
      <c r="O8" s="98">
        <v>45046.989583333336</v>
      </c>
      <c r="P8" s="102">
        <v>1279</v>
      </c>
      <c r="Q8" s="101">
        <v>45047.9375</v>
      </c>
      <c r="R8" s="105">
        <v>5469</v>
      </c>
      <c r="S8" s="104">
        <v>45049.697916666664</v>
      </c>
      <c r="T8" s="107">
        <v>6269</v>
      </c>
      <c r="U8" s="20">
        <v>45051.739583333336</v>
      </c>
    </row>
    <row r="9" spans="1:21" x14ac:dyDescent="0.3">
      <c r="A9" s="2" t="s">
        <v>6</v>
      </c>
      <c r="B9" s="9">
        <v>2627</v>
      </c>
      <c r="C9" s="20">
        <v>44776.625694444447</v>
      </c>
      <c r="D9" s="59">
        <v>336</v>
      </c>
      <c r="E9" s="108">
        <v>44781.625694444447</v>
      </c>
      <c r="F9" s="33">
        <v>4935</v>
      </c>
      <c r="G9" s="34">
        <v>45136.65625</v>
      </c>
      <c r="H9" s="43">
        <v>461</v>
      </c>
      <c r="I9" s="42">
        <v>0.77083333333333337</v>
      </c>
      <c r="J9" s="62">
        <v>7213</v>
      </c>
      <c r="K9" s="61">
        <v>45166.510416666664</v>
      </c>
      <c r="L9" s="65">
        <v>9680</v>
      </c>
      <c r="M9" s="64">
        <v>45183.75</v>
      </c>
      <c r="N9" s="99">
        <v>13877</v>
      </c>
      <c r="O9" s="98">
        <v>45046.9375</v>
      </c>
      <c r="P9" s="102">
        <v>14146</v>
      </c>
      <c r="Q9" s="101">
        <v>45047.90625</v>
      </c>
      <c r="R9" s="105">
        <v>14285</v>
      </c>
      <c r="S9" s="104">
        <v>45049.65625</v>
      </c>
      <c r="T9" s="107">
        <v>13485</v>
      </c>
      <c r="U9" s="20">
        <v>45051.552083333336</v>
      </c>
    </row>
    <row r="10" spans="1:21" x14ac:dyDescent="0.3">
      <c r="A10" s="2" t="s">
        <v>7</v>
      </c>
      <c r="B10" s="9">
        <v>11852</v>
      </c>
      <c r="C10" s="20">
        <v>44776.636111111111</v>
      </c>
      <c r="D10" s="59">
        <v>11744</v>
      </c>
      <c r="E10" s="108">
        <v>44781.625694444447</v>
      </c>
      <c r="F10" s="33">
        <v>10289</v>
      </c>
      <c r="G10" s="34">
        <v>45136.625</v>
      </c>
      <c r="H10" s="43">
        <v>6670</v>
      </c>
      <c r="I10" s="42">
        <v>0.77083333333333337</v>
      </c>
      <c r="J10" s="62">
        <v>10382</v>
      </c>
      <c r="K10" s="61">
        <v>45166.520833333336</v>
      </c>
      <c r="L10" s="65">
        <v>9147</v>
      </c>
      <c r="M10" s="64">
        <v>45183.614583333336</v>
      </c>
      <c r="N10" s="99">
        <v>8663</v>
      </c>
      <c r="O10" s="98">
        <v>45046.635416666664</v>
      </c>
      <c r="P10" s="102">
        <v>8779</v>
      </c>
      <c r="Q10" s="101">
        <v>45047.458333333336</v>
      </c>
      <c r="R10" s="105">
        <v>11303</v>
      </c>
      <c r="S10" s="104">
        <v>45049.479166666664</v>
      </c>
      <c r="T10" s="107">
        <v>4862</v>
      </c>
      <c r="U10" s="20">
        <v>45050.947916666664</v>
      </c>
    </row>
    <row r="11" spans="1:21" x14ac:dyDescent="0.3">
      <c r="A11" s="2" t="s">
        <v>8</v>
      </c>
      <c r="B11" s="9">
        <v>15119</v>
      </c>
      <c r="C11" s="20">
        <v>44776.802777777775</v>
      </c>
      <c r="D11" s="59">
        <v>15383</v>
      </c>
      <c r="E11" s="108">
        <v>44781.584027777775</v>
      </c>
      <c r="F11" s="33">
        <v>10588</v>
      </c>
      <c r="G11" s="34">
        <v>45136.229166666664</v>
      </c>
      <c r="H11" s="43">
        <v>10150</v>
      </c>
      <c r="I11" s="42">
        <v>0.77083333333333337</v>
      </c>
      <c r="J11" s="62">
        <v>8381</v>
      </c>
      <c r="K11" s="61">
        <v>45166.5</v>
      </c>
      <c r="L11" s="65">
        <v>9270</v>
      </c>
      <c r="M11" s="64">
        <v>45183.229166666664</v>
      </c>
      <c r="N11" s="99">
        <v>2368</v>
      </c>
      <c r="O11" s="98">
        <v>45046.333333333336</v>
      </c>
      <c r="P11" s="102">
        <v>2518</v>
      </c>
      <c r="Q11" s="101">
        <v>45047.489583333336</v>
      </c>
      <c r="R11" s="105">
        <v>3150</v>
      </c>
      <c r="S11" s="104">
        <v>45049.416666666664</v>
      </c>
      <c r="T11" s="107">
        <v>1228</v>
      </c>
      <c r="U11" s="20">
        <v>45050.947916666664</v>
      </c>
    </row>
    <row r="12" spans="1:21" x14ac:dyDescent="0.3">
      <c r="A12" s="2" t="s">
        <v>9</v>
      </c>
      <c r="B12" s="9">
        <v>0</v>
      </c>
      <c r="C12" s="20">
        <v>44776.000694444447</v>
      </c>
      <c r="D12" s="59">
        <v>0</v>
      </c>
      <c r="E12" s="108">
        <v>44781.000694444447</v>
      </c>
      <c r="F12" s="33">
        <v>0</v>
      </c>
      <c r="G12" s="34">
        <v>45136</v>
      </c>
      <c r="H12" s="43">
        <v>0</v>
      </c>
      <c r="I12" s="44">
        <v>0</v>
      </c>
      <c r="J12" s="60">
        <v>4.4300089970899799E-2</v>
      </c>
      <c r="K12" s="61">
        <v>45166.510416666664</v>
      </c>
      <c r="L12" s="63">
        <v>7.8997664635741496E-2</v>
      </c>
      <c r="M12" s="64">
        <v>45183.739583333336</v>
      </c>
      <c r="N12" s="97">
        <v>0</v>
      </c>
      <c r="O12" s="98">
        <v>45046</v>
      </c>
      <c r="P12" s="100">
        <v>0</v>
      </c>
      <c r="Q12" s="101">
        <v>45047.208333333336</v>
      </c>
      <c r="R12" s="103">
        <v>9.0958011128018296E-2</v>
      </c>
      <c r="S12" s="104">
        <v>45049.791666666664</v>
      </c>
      <c r="T12" s="106">
        <v>0.292537961978307</v>
      </c>
      <c r="U12" s="20">
        <v>45051.739583333336</v>
      </c>
    </row>
    <row r="13" spans="1:21" x14ac:dyDescent="0.3">
      <c r="A13" s="2" t="s">
        <v>10</v>
      </c>
      <c r="B13" s="9">
        <v>0</v>
      </c>
      <c r="C13" s="20">
        <v>44776.000694444447</v>
      </c>
      <c r="D13" s="59">
        <v>0</v>
      </c>
      <c r="E13" s="108">
        <v>44781.000694444447</v>
      </c>
      <c r="F13" s="33">
        <v>0</v>
      </c>
      <c r="G13" s="34">
        <v>45136</v>
      </c>
      <c r="H13" s="43">
        <v>0</v>
      </c>
      <c r="I13" s="44">
        <v>0</v>
      </c>
      <c r="J13" s="60">
        <v>4.4300089970899799E-2</v>
      </c>
      <c r="K13" s="61">
        <v>45166.510416666664</v>
      </c>
      <c r="L13" s="63">
        <v>7.8997664635741496E-2</v>
      </c>
      <c r="M13" s="64">
        <v>45183.739583333336</v>
      </c>
      <c r="N13" s="97">
        <v>0</v>
      </c>
      <c r="O13" s="98">
        <v>45046</v>
      </c>
      <c r="P13" s="100">
        <v>0</v>
      </c>
      <c r="Q13" s="101">
        <v>45047.208333333336</v>
      </c>
      <c r="R13" s="103">
        <v>9.0958011128018296E-2</v>
      </c>
      <c r="S13" s="104">
        <v>45049.791666666664</v>
      </c>
      <c r="T13" s="106">
        <v>0.16867590942760999</v>
      </c>
      <c r="U13" s="20">
        <v>45051.739583333336</v>
      </c>
    </row>
    <row r="14" spans="1:21" x14ac:dyDescent="0.3">
      <c r="A14" s="2" t="s">
        <v>11</v>
      </c>
      <c r="B14" s="9">
        <v>0</v>
      </c>
      <c r="C14" s="20">
        <v>44776.000694444447</v>
      </c>
      <c r="D14" s="59">
        <v>0</v>
      </c>
      <c r="E14" s="108">
        <v>44781.000694444447</v>
      </c>
      <c r="F14" s="33">
        <v>0</v>
      </c>
      <c r="G14" s="34">
        <v>45136</v>
      </c>
      <c r="H14" s="43">
        <v>0</v>
      </c>
      <c r="I14" s="44">
        <v>0</v>
      </c>
      <c r="J14" s="60">
        <v>4.4300089970899799E-2</v>
      </c>
      <c r="K14" s="61">
        <v>45166.510416666664</v>
      </c>
      <c r="L14" s="63">
        <v>7.8997664635741496E-2</v>
      </c>
      <c r="M14" s="64">
        <v>45183.739583333336</v>
      </c>
      <c r="N14" s="97">
        <v>0</v>
      </c>
      <c r="O14" s="98">
        <v>45046</v>
      </c>
      <c r="P14" s="100">
        <v>0</v>
      </c>
      <c r="Q14" s="101">
        <v>45047.208333333336</v>
      </c>
      <c r="R14" s="103">
        <v>9.0958011128018296E-2</v>
      </c>
      <c r="S14" s="104">
        <v>45049.791666666664</v>
      </c>
      <c r="T14" s="106">
        <v>0.14774167024357299</v>
      </c>
      <c r="U14" s="20">
        <v>45051.739583333336</v>
      </c>
    </row>
    <row r="15" spans="1:21" x14ac:dyDescent="0.3">
      <c r="A15" s="2" t="s">
        <v>12</v>
      </c>
      <c r="B15" s="21">
        <v>0.108402639333512</v>
      </c>
      <c r="C15" s="20">
        <v>44776.625694444447</v>
      </c>
      <c r="D15" s="59">
        <v>0</v>
      </c>
      <c r="E15" s="108">
        <v>44781.000694444447</v>
      </c>
      <c r="F15" s="57">
        <v>0.114178758147192</v>
      </c>
      <c r="G15" s="34">
        <v>45136.666666666664</v>
      </c>
      <c r="H15" s="43">
        <v>0</v>
      </c>
      <c r="I15" s="44">
        <v>0</v>
      </c>
      <c r="J15" s="60">
        <v>0.22561108157867499</v>
      </c>
      <c r="K15" s="61">
        <v>45166.510416666664</v>
      </c>
      <c r="L15" s="63">
        <v>0.48595166923287902</v>
      </c>
      <c r="M15" s="64">
        <v>45183.75</v>
      </c>
      <c r="N15" s="97">
        <v>0.215438676487094</v>
      </c>
      <c r="O15" s="98">
        <v>45046.78125</v>
      </c>
      <c r="P15" s="100">
        <v>0.25229707652631</v>
      </c>
      <c r="Q15" s="101">
        <v>45047.9375</v>
      </c>
      <c r="R15" s="103">
        <v>0.51566326941817897</v>
      </c>
      <c r="S15" s="104">
        <v>45050.416666666664</v>
      </c>
      <c r="T15" s="106">
        <v>1.17015184791323</v>
      </c>
      <c r="U15" s="20">
        <v>45051.739583333336</v>
      </c>
    </row>
    <row r="16" spans="1:21" x14ac:dyDescent="0.3">
      <c r="A16" s="2" t="s">
        <v>13</v>
      </c>
      <c r="B16" s="21">
        <v>8.5195492688122099E-2</v>
      </c>
      <c r="C16" s="20">
        <v>44776.625694444447</v>
      </c>
      <c r="D16" s="59">
        <v>0</v>
      </c>
      <c r="E16" s="108">
        <v>44781.000694444447</v>
      </c>
      <c r="F16" s="57">
        <v>0.10729609555229699</v>
      </c>
      <c r="G16" s="34">
        <v>45136.666666666664</v>
      </c>
      <c r="H16" s="43">
        <v>0</v>
      </c>
      <c r="I16" s="44">
        <v>0</v>
      </c>
      <c r="J16" s="60">
        <v>0.15225238482678499</v>
      </c>
      <c r="K16" s="61">
        <v>45166.510416666664</v>
      </c>
      <c r="L16" s="63">
        <v>0.26878015500851199</v>
      </c>
      <c r="M16" s="64">
        <v>45183.75</v>
      </c>
      <c r="N16" s="97">
        <v>0.215438676487094</v>
      </c>
      <c r="O16" s="98">
        <v>45046.78125</v>
      </c>
      <c r="P16" s="100">
        <v>0.24653813245345399</v>
      </c>
      <c r="Q16" s="101">
        <v>45047.9375</v>
      </c>
      <c r="R16" s="103">
        <v>0.34700199477121402</v>
      </c>
      <c r="S16" s="104">
        <v>45049.697916666664</v>
      </c>
      <c r="T16" s="106">
        <v>0.41141605444788698</v>
      </c>
      <c r="U16" s="20">
        <v>45051.739583333336</v>
      </c>
    </row>
    <row r="17" spans="1:21" x14ac:dyDescent="0.3">
      <c r="A17" s="2" t="s">
        <v>14</v>
      </c>
      <c r="B17" s="21">
        <v>8.1549751061042799E-2</v>
      </c>
      <c r="C17" s="20">
        <v>44776.625694444447</v>
      </c>
      <c r="D17" s="59">
        <v>0</v>
      </c>
      <c r="E17" s="108">
        <v>44781.000694444447</v>
      </c>
      <c r="F17" s="57">
        <v>0.10729609555229699</v>
      </c>
      <c r="G17" s="34">
        <v>45136.666666666664</v>
      </c>
      <c r="H17" s="43">
        <v>0</v>
      </c>
      <c r="I17" s="44">
        <v>0</v>
      </c>
      <c r="J17" s="60">
        <v>0.14915841719692599</v>
      </c>
      <c r="K17" s="61">
        <v>45166.510416666664</v>
      </c>
      <c r="L17" s="63">
        <v>0.25332701569766197</v>
      </c>
      <c r="M17" s="64">
        <v>45183.75</v>
      </c>
      <c r="N17" s="97">
        <v>0.215438676487094</v>
      </c>
      <c r="O17" s="98">
        <v>45046.78125</v>
      </c>
      <c r="P17" s="100">
        <v>0.24653813245345399</v>
      </c>
      <c r="Q17" s="101">
        <v>45047.9375</v>
      </c>
      <c r="R17" s="103">
        <v>0.34479698448377699</v>
      </c>
      <c r="S17" s="104">
        <v>45049.802083333336</v>
      </c>
      <c r="T17" s="106">
        <v>0.34973677227357902</v>
      </c>
      <c r="U17" s="20">
        <v>45051.520833333336</v>
      </c>
    </row>
    <row r="18" spans="1:21" x14ac:dyDescent="0.3">
      <c r="A18" s="2" t="s">
        <v>15</v>
      </c>
      <c r="B18" s="21">
        <v>0.43361055733404802</v>
      </c>
      <c r="C18" s="20">
        <v>44776.625694444447</v>
      </c>
      <c r="D18" s="58">
        <v>0.15462933529162801</v>
      </c>
      <c r="E18" s="108">
        <v>44781.615277777775</v>
      </c>
      <c r="F18" s="57">
        <v>0.54231424721250299</v>
      </c>
      <c r="G18" s="34">
        <v>45136.65625</v>
      </c>
      <c r="H18" s="41">
        <v>0.23835528444981899</v>
      </c>
      <c r="I18" s="42">
        <v>0.77083333333333337</v>
      </c>
      <c r="J18" s="60">
        <v>0.90785969693767898</v>
      </c>
      <c r="K18" s="61">
        <v>45166.510416666664</v>
      </c>
      <c r="L18" s="63">
        <v>1.9438066769315101</v>
      </c>
      <c r="M18" s="64">
        <v>45183.75</v>
      </c>
      <c r="N18" s="97">
        <v>0.861754705948377</v>
      </c>
      <c r="O18" s="98">
        <v>45046.78125</v>
      </c>
      <c r="P18" s="100">
        <v>1.02441376516373</v>
      </c>
      <c r="Q18" s="101">
        <v>45048</v>
      </c>
      <c r="R18" s="103">
        <v>2.0626530776727101</v>
      </c>
      <c r="S18" s="104">
        <v>45050.416666666664</v>
      </c>
      <c r="T18" s="106">
        <v>4.6806073916529201</v>
      </c>
      <c r="U18" s="20">
        <v>45051.739583333336</v>
      </c>
    </row>
    <row r="19" spans="1:21" x14ac:dyDescent="0.3">
      <c r="A19" s="2" t="s">
        <v>16</v>
      </c>
      <c r="B19" s="21">
        <v>0.283546008743847</v>
      </c>
      <c r="C19" s="20">
        <v>44776.625694444447</v>
      </c>
      <c r="D19" s="58">
        <v>0.15462933529162801</v>
      </c>
      <c r="E19" s="108">
        <v>44781.615277777775</v>
      </c>
      <c r="F19" s="57">
        <v>0.40212515642043301</v>
      </c>
      <c r="G19" s="34">
        <v>45136.65625</v>
      </c>
      <c r="H19" s="41">
        <v>0.17646182124931101</v>
      </c>
      <c r="I19" s="42">
        <v>0.77083333333333337</v>
      </c>
      <c r="J19" s="60">
        <v>0.56433180973960195</v>
      </c>
      <c r="K19" s="61">
        <v>45166.510416666664</v>
      </c>
      <c r="L19" s="63">
        <v>1.01286491503636</v>
      </c>
      <c r="M19" s="64">
        <v>45183.75</v>
      </c>
      <c r="N19" s="97">
        <v>0.62742814817229897</v>
      </c>
      <c r="O19" s="98">
        <v>45046.802083333336</v>
      </c>
      <c r="P19" s="100">
        <v>0.80667421629674996</v>
      </c>
      <c r="Q19" s="101">
        <v>45047.9375</v>
      </c>
      <c r="R19" s="103">
        <v>1.3186244816938499</v>
      </c>
      <c r="S19" s="104">
        <v>45049.697916666664</v>
      </c>
      <c r="T19" s="106">
        <v>1.47543845551157</v>
      </c>
      <c r="U19" s="20">
        <v>45051.739583333336</v>
      </c>
    </row>
    <row r="20" spans="1:21" x14ac:dyDescent="0.3">
      <c r="A20" s="2" t="s">
        <v>17</v>
      </c>
      <c r="B20" s="21">
        <v>0.28905210154241401</v>
      </c>
      <c r="C20" s="20">
        <v>44776.625694444447</v>
      </c>
      <c r="D20" s="58">
        <v>0.15462933529162801</v>
      </c>
      <c r="E20" s="108">
        <v>44781.615277777775</v>
      </c>
      <c r="F20" s="57">
        <v>0.39659577629574799</v>
      </c>
      <c r="G20" s="34">
        <v>45136.65625</v>
      </c>
      <c r="H20" s="41">
        <v>0.17646182124931101</v>
      </c>
      <c r="I20" s="42">
        <v>0.77083333333333337</v>
      </c>
      <c r="J20" s="60">
        <v>0.551039595254876</v>
      </c>
      <c r="K20" s="61">
        <v>45166.510416666664</v>
      </c>
      <c r="L20" s="63">
        <v>0.93975915928368003</v>
      </c>
      <c r="M20" s="64">
        <v>45183.75</v>
      </c>
      <c r="N20" s="97">
        <v>0.63123391525783501</v>
      </c>
      <c r="O20" s="98">
        <v>45046.802083333336</v>
      </c>
      <c r="P20" s="100">
        <v>0.80129898378317599</v>
      </c>
      <c r="Q20" s="101">
        <v>45047.958333333336</v>
      </c>
      <c r="R20" s="103">
        <v>1.3032513232195</v>
      </c>
      <c r="S20" s="104">
        <v>45049.802083333336</v>
      </c>
      <c r="T20" s="106">
        <v>1.3450945084345001</v>
      </c>
      <c r="U20" s="20">
        <v>45051.520833333336</v>
      </c>
    </row>
    <row r="21" spans="1:21" x14ac:dyDescent="0.3">
      <c r="A21" s="2" t="s">
        <v>18</v>
      </c>
      <c r="B21" s="21">
        <v>1.7344422293361901</v>
      </c>
      <c r="C21" s="20">
        <v>44776.625694444447</v>
      </c>
      <c r="D21" s="58">
        <v>0.66003344543256104</v>
      </c>
      <c r="E21" s="108">
        <v>44781.625694444447</v>
      </c>
      <c r="F21" s="57">
        <v>2.1692569888500102</v>
      </c>
      <c r="G21" s="34">
        <v>45136.65625</v>
      </c>
      <c r="H21" s="41">
        <v>0.95342113779927895</v>
      </c>
      <c r="I21" s="42">
        <v>0.77083333333333337</v>
      </c>
      <c r="J21" s="60">
        <v>3.6314387877507102</v>
      </c>
      <c r="K21" s="61">
        <v>45166.510416666664</v>
      </c>
      <c r="L21" s="63">
        <v>7.7752267077260697</v>
      </c>
      <c r="M21" s="64">
        <v>45183.75</v>
      </c>
      <c r="N21" s="97">
        <v>3.4470188237935</v>
      </c>
      <c r="O21" s="98">
        <v>45046.78125</v>
      </c>
      <c r="P21" s="100">
        <v>4.0976550606549198</v>
      </c>
      <c r="Q21" s="101">
        <v>45048</v>
      </c>
      <c r="R21" s="103">
        <v>8.2506123106908706</v>
      </c>
      <c r="S21" s="104">
        <v>45050.416666666664</v>
      </c>
      <c r="T21" s="106">
        <v>18.722429566611702</v>
      </c>
      <c r="U21" s="20">
        <v>45051.739583333336</v>
      </c>
    </row>
    <row r="22" spans="1:21" x14ac:dyDescent="0.3">
      <c r="A22" s="2" t="s">
        <v>19</v>
      </c>
      <c r="B22" s="21">
        <v>1.1098597828947401</v>
      </c>
      <c r="C22" s="20">
        <v>44776.625694444447</v>
      </c>
      <c r="D22" s="58">
        <v>0.50349909973876406</v>
      </c>
      <c r="E22" s="108">
        <v>44781.625694444447</v>
      </c>
      <c r="F22" s="57">
        <v>1.5710186727108599</v>
      </c>
      <c r="G22" s="34">
        <v>45136.65625</v>
      </c>
      <c r="H22" s="41">
        <v>0.51482242899710595</v>
      </c>
      <c r="I22" s="42">
        <v>0.77083333333333337</v>
      </c>
      <c r="J22" s="60">
        <v>2.25732723895841</v>
      </c>
      <c r="K22" s="61">
        <v>45166.510416666664</v>
      </c>
      <c r="L22" s="63">
        <v>4.05145966014544</v>
      </c>
      <c r="M22" s="64">
        <v>45183.75</v>
      </c>
      <c r="N22" s="97">
        <v>2.4861262839496399</v>
      </c>
      <c r="O22" s="98">
        <v>45046.989583333336</v>
      </c>
      <c r="P22" s="100">
        <v>3.2266968651869998</v>
      </c>
      <c r="Q22" s="101">
        <v>45047.9375</v>
      </c>
      <c r="R22" s="103">
        <v>5.2744979267754202</v>
      </c>
      <c r="S22" s="104">
        <v>45049.697916666664</v>
      </c>
      <c r="T22" s="106">
        <v>5.90175382204629</v>
      </c>
      <c r="U22" s="20">
        <v>45051.739583333336</v>
      </c>
    </row>
    <row r="23" spans="1:21" x14ac:dyDescent="0.3">
      <c r="A23" s="2" t="s">
        <v>20</v>
      </c>
      <c r="B23" s="21">
        <v>1.1221395332995101</v>
      </c>
      <c r="C23" s="20">
        <v>44776.625694444447</v>
      </c>
      <c r="D23" s="58">
        <v>0.49734210593101602</v>
      </c>
      <c r="E23" s="108">
        <v>44781.625694444447</v>
      </c>
      <c r="F23" s="57">
        <v>1.5687828571421401</v>
      </c>
      <c r="G23" s="34">
        <v>45136.65625</v>
      </c>
      <c r="H23" s="41">
        <v>0.51688690241940405</v>
      </c>
      <c r="I23" s="42">
        <v>0.77083333333333337</v>
      </c>
      <c r="J23" s="60">
        <v>2.2041583810195</v>
      </c>
      <c r="K23" s="61">
        <v>45166.510416666664</v>
      </c>
      <c r="L23" s="63">
        <v>3.7590366371347201</v>
      </c>
      <c r="M23" s="64">
        <v>45183.75</v>
      </c>
      <c r="N23" s="97">
        <v>2.4724450190109502</v>
      </c>
      <c r="O23" s="98">
        <v>45047.010416666664</v>
      </c>
      <c r="P23" s="100">
        <v>3.2051959351327</v>
      </c>
      <c r="Q23" s="101">
        <v>45047.958333333336</v>
      </c>
      <c r="R23" s="103">
        <v>5.2130052928780097</v>
      </c>
      <c r="S23" s="104">
        <v>45049.802083333336</v>
      </c>
      <c r="T23" s="106">
        <v>5.3803780337380296</v>
      </c>
      <c r="U23" s="20">
        <v>45051.520833333336</v>
      </c>
    </row>
    <row r="24" spans="1:21" x14ac:dyDescent="0.3">
      <c r="A24" s="2" t="s">
        <v>21</v>
      </c>
      <c r="B24" s="21">
        <v>6.9377689173447701</v>
      </c>
      <c r="C24" s="20">
        <v>44776.625694444447</v>
      </c>
      <c r="D24" s="58">
        <v>2.6401337817302402</v>
      </c>
      <c r="E24" s="108">
        <v>44781.625694444447</v>
      </c>
      <c r="F24" s="57">
        <v>8.6770279554000496</v>
      </c>
      <c r="G24" s="34">
        <v>45136.65625</v>
      </c>
      <c r="H24" s="41">
        <v>3.81368455119711</v>
      </c>
      <c r="I24" s="42">
        <v>0.77083333333333337</v>
      </c>
      <c r="J24" s="60">
        <v>14.5257551510028</v>
      </c>
      <c r="K24" s="61">
        <v>45166.510416666664</v>
      </c>
      <c r="L24" s="63">
        <v>31.100906830904201</v>
      </c>
      <c r="M24" s="64">
        <v>45183.75</v>
      </c>
      <c r="N24" s="97">
        <v>13.788075295174</v>
      </c>
      <c r="O24" s="98">
        <v>45046.78125</v>
      </c>
      <c r="P24" s="100">
        <v>16.390620242619701</v>
      </c>
      <c r="Q24" s="101">
        <v>45048</v>
      </c>
      <c r="R24" s="103">
        <v>33.002449242763397</v>
      </c>
      <c r="S24" s="104">
        <v>45050.416666666664</v>
      </c>
      <c r="T24" s="106">
        <v>74.889718266446806</v>
      </c>
      <c r="U24" s="20">
        <v>45051.739583333336</v>
      </c>
    </row>
    <row r="25" spans="1:21" x14ac:dyDescent="0.3">
      <c r="A25" s="2" t="s">
        <v>22</v>
      </c>
      <c r="B25" s="21">
        <v>4.4394391315789896</v>
      </c>
      <c r="C25" s="20">
        <v>44776.625694444447</v>
      </c>
      <c r="D25" s="58">
        <v>1.99037171190078</v>
      </c>
      <c r="E25" s="108">
        <v>44781.625694444447</v>
      </c>
      <c r="F25" s="57">
        <v>6.2840746908434504</v>
      </c>
      <c r="G25" s="34">
        <v>45136.65625</v>
      </c>
      <c r="H25" s="41">
        <v>2.0592897159884198</v>
      </c>
      <c r="I25" s="42">
        <v>0.77083333333333337</v>
      </c>
      <c r="J25" s="60">
        <v>9.0293089558336401</v>
      </c>
      <c r="K25" s="61">
        <v>45166.510416666664</v>
      </c>
      <c r="L25" s="63">
        <v>16.2058386405817</v>
      </c>
      <c r="M25" s="64">
        <v>45183.75</v>
      </c>
      <c r="N25" s="97">
        <v>9.9445051357985701</v>
      </c>
      <c r="O25" s="98">
        <v>45046.989583333336</v>
      </c>
      <c r="P25" s="100">
        <v>12.906787460747999</v>
      </c>
      <c r="Q25" s="101">
        <v>45047.9375</v>
      </c>
      <c r="R25" s="103">
        <v>21.097991707101599</v>
      </c>
      <c r="S25" s="104">
        <v>45049.697916666664</v>
      </c>
      <c r="T25" s="106">
        <v>23.607015288185099</v>
      </c>
      <c r="U25" s="20">
        <v>45051.739583333336</v>
      </c>
    </row>
    <row r="26" spans="1:21" x14ac:dyDescent="0.3">
      <c r="A26" s="2" t="s">
        <v>23</v>
      </c>
      <c r="B26" s="21">
        <v>4.4885581331980502</v>
      </c>
      <c r="C26" s="20">
        <v>44776.625694444447</v>
      </c>
      <c r="D26" s="58">
        <v>1.97008281941547</v>
      </c>
      <c r="E26" s="108">
        <v>44781.625694444447</v>
      </c>
      <c r="F26" s="57">
        <v>6.2751314285685602</v>
      </c>
      <c r="G26" s="34">
        <v>45136.65625</v>
      </c>
      <c r="H26" s="41">
        <v>2.06754760967761</v>
      </c>
      <c r="I26" s="42">
        <v>0.77083333333333337</v>
      </c>
      <c r="J26" s="60">
        <v>8.8166335240780196</v>
      </c>
      <c r="K26" s="61">
        <v>45166.510416666664</v>
      </c>
      <c r="L26" s="63">
        <v>15.036146548538801</v>
      </c>
      <c r="M26" s="64">
        <v>45183.75</v>
      </c>
      <c r="N26" s="97">
        <v>9.8897800760438095</v>
      </c>
      <c r="O26" s="98">
        <v>45047.010416666664</v>
      </c>
      <c r="P26" s="100">
        <v>12.8207837405308</v>
      </c>
      <c r="Q26" s="101">
        <v>45047.958333333336</v>
      </c>
      <c r="R26" s="103">
        <v>20.852021171512</v>
      </c>
      <c r="S26" s="104">
        <v>45049.802083333336</v>
      </c>
      <c r="T26" s="106">
        <v>21.521512134952101</v>
      </c>
      <c r="U26" s="20">
        <v>45051.520833333336</v>
      </c>
    </row>
    <row r="27" spans="1:21" x14ac:dyDescent="0.3">
      <c r="A27" s="2" t="s">
        <v>24</v>
      </c>
      <c r="B27" s="21">
        <v>27.751075669378999</v>
      </c>
      <c r="C27" s="20">
        <v>44776.625694444447</v>
      </c>
      <c r="D27" s="58">
        <v>10.5605351269209</v>
      </c>
      <c r="E27" s="108">
        <v>44781.625694444447</v>
      </c>
      <c r="F27" s="57">
        <v>34.708111821600198</v>
      </c>
      <c r="G27" s="34">
        <v>45136.65625</v>
      </c>
      <c r="H27" s="41">
        <v>15.254738204788399</v>
      </c>
      <c r="I27" s="42">
        <v>0.77083333333333337</v>
      </c>
      <c r="J27" s="60">
        <v>58.103020604011398</v>
      </c>
      <c r="K27" s="61">
        <v>45166.510416666664</v>
      </c>
      <c r="L27" s="63">
        <v>124.403627323617</v>
      </c>
      <c r="M27" s="64">
        <v>45183.75</v>
      </c>
      <c r="N27" s="97">
        <v>55.152301180696099</v>
      </c>
      <c r="O27" s="98">
        <v>45046.78125</v>
      </c>
      <c r="P27" s="100">
        <v>65.562480970478802</v>
      </c>
      <c r="Q27" s="101">
        <v>45048</v>
      </c>
      <c r="R27" s="103">
        <v>132.00979697105299</v>
      </c>
      <c r="S27" s="104">
        <v>45050.416666666664</v>
      </c>
      <c r="T27" s="106">
        <v>299.558873065787</v>
      </c>
      <c r="U27" s="20">
        <v>45051.739583333336</v>
      </c>
    </row>
    <row r="28" spans="1:21" x14ac:dyDescent="0.3">
      <c r="A28" s="2" t="s">
        <v>25</v>
      </c>
      <c r="B28" s="21">
        <v>17.757756526315902</v>
      </c>
      <c r="C28" s="20">
        <v>44776.625694444447</v>
      </c>
      <c r="D28" s="58">
        <v>7.9614868476031404</v>
      </c>
      <c r="E28" s="108">
        <v>44781.625694444447</v>
      </c>
      <c r="F28" s="57">
        <v>25.136298763373802</v>
      </c>
      <c r="G28" s="34">
        <v>45136.65625</v>
      </c>
      <c r="H28" s="41">
        <v>8.2371588639537006</v>
      </c>
      <c r="I28" s="42">
        <v>0.77083333333333337</v>
      </c>
      <c r="J28" s="60">
        <v>36.117235823334497</v>
      </c>
      <c r="K28" s="61">
        <v>45166.510416666664</v>
      </c>
      <c r="L28" s="63">
        <v>64.823354562326998</v>
      </c>
      <c r="M28" s="64">
        <v>45183.75</v>
      </c>
      <c r="N28" s="97">
        <v>39.778020543194202</v>
      </c>
      <c r="O28" s="98">
        <v>45046.989583333336</v>
      </c>
      <c r="P28" s="100">
        <v>51.627149842991997</v>
      </c>
      <c r="Q28" s="101">
        <v>45047.9375</v>
      </c>
      <c r="R28" s="103">
        <v>84.391966828406694</v>
      </c>
      <c r="S28" s="104">
        <v>45049.697916666664</v>
      </c>
      <c r="T28" s="106">
        <v>94.428061152740696</v>
      </c>
      <c r="U28" s="20">
        <v>45051.739583333336</v>
      </c>
    </row>
    <row r="29" spans="1:21" x14ac:dyDescent="0.3">
      <c r="A29" s="2" t="s">
        <v>26</v>
      </c>
      <c r="B29" s="21">
        <v>17.954232532792201</v>
      </c>
      <c r="C29" s="20">
        <v>44776.625694444447</v>
      </c>
      <c r="D29" s="58">
        <v>7.8803312776618801</v>
      </c>
      <c r="E29" s="108">
        <v>44781.625694444447</v>
      </c>
      <c r="F29" s="57">
        <v>25.100525714274202</v>
      </c>
      <c r="G29" s="34">
        <v>45136.65625</v>
      </c>
      <c r="H29" s="41">
        <v>8.2701904387104594</v>
      </c>
      <c r="I29" s="42">
        <v>0.77083333333333337</v>
      </c>
      <c r="J29" s="60">
        <v>35.2665340963121</v>
      </c>
      <c r="K29" s="61">
        <v>45166.510416666664</v>
      </c>
      <c r="L29" s="63">
        <v>60.144586194155501</v>
      </c>
      <c r="M29" s="64">
        <v>45183.75</v>
      </c>
      <c r="N29" s="97">
        <v>39.559120304175202</v>
      </c>
      <c r="O29" s="98">
        <v>45047.010416666664</v>
      </c>
      <c r="P29" s="100">
        <v>51.283134962123199</v>
      </c>
      <c r="Q29" s="101">
        <v>45047.958333333336</v>
      </c>
      <c r="R29" s="103">
        <v>83.408084686048198</v>
      </c>
      <c r="S29" s="104">
        <v>45049.802083333336</v>
      </c>
      <c r="T29" s="106">
        <v>86.086048539808402</v>
      </c>
      <c r="U29" s="20">
        <v>45051.520833333336</v>
      </c>
    </row>
    <row r="30" spans="1:21" x14ac:dyDescent="0.3">
      <c r="A30" s="2" t="s">
        <v>30</v>
      </c>
      <c r="B30" s="21">
        <v>22.620213794999898</v>
      </c>
      <c r="C30" s="22">
        <v>0.63611111111111107</v>
      </c>
      <c r="D30" s="58">
        <v>32.007500319999998</v>
      </c>
      <c r="E30" s="108">
        <v>44781.625694444447</v>
      </c>
      <c r="F30" s="57">
        <v>20.131538750000001</v>
      </c>
      <c r="G30" s="34">
        <v>45136.65625</v>
      </c>
      <c r="H30" s="41">
        <v>2.7664001109999998</v>
      </c>
      <c r="I30" s="42">
        <v>0.8125</v>
      </c>
      <c r="J30" s="60">
        <v>2.5487565000000001</v>
      </c>
      <c r="K30" s="61">
        <v>45166.5625</v>
      </c>
      <c r="L30" s="63">
        <v>6.6940258559999997</v>
      </c>
      <c r="M30" s="64">
        <v>45183.75</v>
      </c>
      <c r="N30" s="97">
        <v>87.058386479999996</v>
      </c>
      <c r="O30" s="98">
        <v>45046.875</v>
      </c>
      <c r="P30" s="100">
        <v>93.038532979999999</v>
      </c>
      <c r="Q30" s="101">
        <v>45048.052083333336</v>
      </c>
      <c r="R30" s="103">
        <v>136.5531871</v>
      </c>
      <c r="S30" s="104">
        <v>45049.927083333336</v>
      </c>
      <c r="T30" s="106">
        <v>130.92322350000001</v>
      </c>
      <c r="U30" s="20">
        <v>45050.770833333336</v>
      </c>
    </row>
    <row r="31" spans="1:21" x14ac:dyDescent="0.3">
      <c r="A31" s="2" t="s">
        <v>31</v>
      </c>
      <c r="B31" s="21">
        <v>22.364671984258202</v>
      </c>
      <c r="C31" s="22">
        <v>0.63611111111111107</v>
      </c>
      <c r="D31" s="58">
        <v>23.970478424313601</v>
      </c>
      <c r="E31" s="108">
        <v>44781.625694444447</v>
      </c>
      <c r="F31" s="57">
        <v>11.742687795237201</v>
      </c>
      <c r="G31" s="34">
        <v>45136.65625</v>
      </c>
      <c r="H31" s="41">
        <v>6.6345603949445398</v>
      </c>
      <c r="I31" s="42">
        <v>0.85416666666666696</v>
      </c>
      <c r="J31" s="60">
        <v>6.4236681151493897</v>
      </c>
      <c r="K31" s="61">
        <v>45166.5625</v>
      </c>
      <c r="L31" s="63">
        <v>8.9088582431588499</v>
      </c>
      <c r="M31" s="64">
        <v>45183.75</v>
      </c>
      <c r="N31" s="97">
        <v>15.5113343788042</v>
      </c>
      <c r="O31" s="98">
        <v>45046.875</v>
      </c>
      <c r="P31" s="100">
        <v>15.68231746382</v>
      </c>
      <c r="Q31" s="101">
        <v>45048.052083333336</v>
      </c>
      <c r="R31" s="103">
        <v>16.669847305181399</v>
      </c>
      <c r="S31" s="104">
        <v>45049.927083333336</v>
      </c>
      <c r="T31" s="106">
        <v>16.561486514041</v>
      </c>
      <c r="U31" s="20">
        <v>45050.770833333336</v>
      </c>
    </row>
  </sheetData>
  <mergeCells count="10">
    <mergeCell ref="N2:O2"/>
    <mergeCell ref="P2:Q2"/>
    <mergeCell ref="R2:S2"/>
    <mergeCell ref="T2:U2"/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6FF8-4929-445B-87C0-954C7636D31D}">
  <dimension ref="A1:CY155"/>
  <sheetViews>
    <sheetView topLeftCell="V2" zoomScale="70" zoomScaleNormal="70" workbookViewId="0">
      <selection activeCell="AH3" sqref="AH3"/>
    </sheetView>
  </sheetViews>
  <sheetFormatPr defaultRowHeight="14.4" x14ac:dyDescent="0.3"/>
  <cols>
    <col min="1" max="1" width="16.88671875" style="2" customWidth="1"/>
    <col min="2" max="2" width="11.88671875" customWidth="1"/>
    <col min="3" max="3" width="15.109375" customWidth="1"/>
    <col min="4" max="4" width="14.44140625" customWidth="1"/>
    <col min="5" max="5" width="12.88671875" style="2" customWidth="1"/>
    <col min="6" max="6" width="22.6640625" customWidth="1"/>
    <col min="7" max="7" width="12.6640625" customWidth="1"/>
    <col min="8" max="8" width="9.6640625" customWidth="1"/>
    <col min="9" max="9" width="20.109375" customWidth="1"/>
    <col min="10" max="10" width="17" customWidth="1"/>
    <col min="11" max="11" width="20.109375" customWidth="1"/>
    <col min="13" max="13" width="19.5546875" style="2" customWidth="1"/>
    <col min="14" max="14" width="11.33203125" style="2" customWidth="1"/>
    <col min="15" max="15" width="16.5546875" customWidth="1"/>
    <col min="16" max="16" width="14.44140625" customWidth="1"/>
    <col min="17" max="17" width="15.88671875" customWidth="1"/>
    <col min="18" max="18" width="22.6640625" customWidth="1"/>
    <col min="19" max="19" width="14" customWidth="1"/>
    <col min="20" max="20" width="10.5546875" customWidth="1"/>
    <col min="21" max="21" width="21.6640625" customWidth="1"/>
    <col min="22" max="22" width="18.33203125" customWidth="1"/>
    <col min="23" max="23" width="21.6640625" customWidth="1"/>
    <col min="25" max="25" width="22.44140625" customWidth="1"/>
    <col min="26" max="26" width="14.88671875" customWidth="1"/>
    <col min="27" max="27" width="15.6640625" customWidth="1"/>
    <col min="28" max="28" width="15" customWidth="1"/>
    <col min="29" max="29" width="13.5546875" customWidth="1"/>
    <col min="30" max="30" width="18.44140625" customWidth="1"/>
    <col min="31" max="31" width="16.33203125" customWidth="1"/>
    <col min="32" max="32" width="10" customWidth="1"/>
    <col min="33" max="33" width="22.109375" customWidth="1"/>
    <col min="34" max="34" width="12.33203125" customWidth="1"/>
    <col min="35" max="35" width="22.109375" customWidth="1"/>
    <col min="37" max="37" width="17.5546875" customWidth="1"/>
    <col min="38" max="38" width="11.44140625" customWidth="1"/>
    <col min="39" max="39" width="17.109375" customWidth="1"/>
    <col min="40" max="40" width="16.109375" customWidth="1"/>
    <col min="41" max="41" width="15.6640625" customWidth="1"/>
    <col min="42" max="42" width="17.33203125" customWidth="1"/>
    <col min="43" max="43" width="11.44140625" customWidth="1"/>
    <col min="44" max="44" width="10" customWidth="1"/>
    <col min="45" max="45" width="21.6640625" customWidth="1"/>
    <col min="46" max="46" width="15.109375" customWidth="1"/>
    <col min="47" max="47" width="20.6640625" customWidth="1"/>
    <col min="49" max="49" width="19.33203125" customWidth="1"/>
    <col min="50" max="50" width="15" customWidth="1"/>
    <col min="51" max="51" width="14.33203125" customWidth="1"/>
    <col min="52" max="52" width="15.44140625" customWidth="1"/>
    <col min="53" max="53" width="19" customWidth="1"/>
    <col min="54" max="54" width="16.33203125" customWidth="1"/>
    <col min="55" max="55" width="17.6640625" customWidth="1"/>
    <col min="56" max="56" width="9.44140625" customWidth="1"/>
    <col min="57" max="57" width="19" customWidth="1"/>
    <col min="58" max="58" width="19.109375" customWidth="1"/>
    <col min="59" max="59" width="19.88671875" customWidth="1"/>
    <col min="61" max="61" width="22" customWidth="1"/>
    <col min="62" max="62" width="17.88671875" customWidth="1"/>
    <col min="63" max="63" width="21" customWidth="1"/>
    <col min="64" max="64" width="14.88671875" customWidth="1"/>
    <col min="65" max="65" width="16.109375" customWidth="1"/>
    <col min="66" max="66" width="15.5546875" customWidth="1"/>
    <col min="67" max="68" width="14.44140625" customWidth="1"/>
    <col min="69" max="69" width="22.44140625" customWidth="1"/>
    <col min="70" max="70" width="14.44140625" customWidth="1"/>
    <col min="71" max="71" width="24.88671875" customWidth="1"/>
    <col min="73" max="73" width="17.33203125" customWidth="1"/>
    <col min="74" max="74" width="15" customWidth="1"/>
    <col min="75" max="75" width="12.109375" customWidth="1"/>
    <col min="76" max="76" width="15.6640625" customWidth="1"/>
    <col min="77" max="77" width="19" customWidth="1"/>
    <col min="78" max="78" width="15.6640625" customWidth="1"/>
    <col min="79" max="79" width="14.44140625" customWidth="1"/>
    <col min="81" max="81" width="24.44140625" customWidth="1"/>
    <col min="82" max="82" width="15.88671875" customWidth="1"/>
    <col min="83" max="83" width="15.33203125" customWidth="1"/>
    <col min="84" max="84" width="18.109375" customWidth="1"/>
    <col min="85" max="85" width="13.5546875" customWidth="1"/>
    <col min="86" max="86" width="18.109375" customWidth="1"/>
    <col min="87" max="87" width="15.44140625" customWidth="1"/>
    <col min="89" max="89" width="17.33203125" customWidth="1"/>
    <col min="90" max="90" width="15.6640625" customWidth="1"/>
    <col min="91" max="91" width="17.33203125" customWidth="1"/>
    <col min="92" max="92" width="17.6640625" customWidth="1"/>
    <col min="93" max="93" width="23.44140625" customWidth="1"/>
    <col min="94" max="94" width="20.6640625" customWidth="1"/>
    <col min="95" max="95" width="14.88671875" customWidth="1"/>
    <col min="97" max="97" width="23.44140625" customWidth="1"/>
    <col min="98" max="98" width="14.33203125" customWidth="1"/>
    <col min="99" max="99" width="17.109375" customWidth="1"/>
    <col min="100" max="100" width="16.33203125" customWidth="1"/>
    <col min="101" max="101" width="22" customWidth="1"/>
    <col min="102" max="102" width="18.5546875" customWidth="1"/>
    <col min="103" max="103" width="16.6640625" customWidth="1"/>
  </cols>
  <sheetData>
    <row r="1" spans="1:103" x14ac:dyDescent="0.3">
      <c r="A1" s="15" t="s">
        <v>29</v>
      </c>
      <c r="B1" s="16">
        <f>MAX(B3:B94)</f>
        <v>2.7100659833378001E-2</v>
      </c>
      <c r="C1" s="113" t="s">
        <v>49</v>
      </c>
      <c r="D1" s="114">
        <f>INDEX(C3:C94, MATCH(MAX(G3:G94), G3:G94, 0))</f>
        <v>12.6789259225</v>
      </c>
      <c r="E1" s="2" t="s">
        <v>50</v>
      </c>
      <c r="F1" s="115">
        <f>AVERAGE(C3:C61)</f>
        <v>0.72434460278813562</v>
      </c>
      <c r="G1" s="18">
        <f>MAX(G3:G94)</f>
        <v>80.273877098790663</v>
      </c>
      <c r="H1" s="133" t="s">
        <v>52</v>
      </c>
      <c r="I1" s="133"/>
      <c r="J1" s="133" t="s">
        <v>53</v>
      </c>
      <c r="K1" s="133"/>
      <c r="M1" s="28" t="s">
        <v>36</v>
      </c>
      <c r="N1" s="5">
        <f>MAX(N3:N99)</f>
        <v>1.03130225848837E-2</v>
      </c>
      <c r="O1" s="113" t="s">
        <v>49</v>
      </c>
      <c r="P1" s="114">
        <f>INDEX(O3:O99, MATCH(MAX(S3:S99), S3:S99, 0))</f>
        <v>32.007500319999998</v>
      </c>
      <c r="Q1" s="2" t="s">
        <v>50</v>
      </c>
      <c r="R1" s="115">
        <f>AVERAGE(O3:O54)</f>
        <v>1.2926608501057688</v>
      </c>
      <c r="S1" s="18">
        <f>MAX(S3:S99)</f>
        <v>52.388619007464662</v>
      </c>
      <c r="T1" s="133" t="s">
        <v>52</v>
      </c>
      <c r="U1" s="133"/>
      <c r="V1" s="133" t="s">
        <v>53</v>
      </c>
      <c r="W1" s="133"/>
      <c r="Y1" s="2" t="s">
        <v>37</v>
      </c>
      <c r="Z1" s="32">
        <f>MAX(Z3:Z100)</f>
        <v>3.3894640450781402E-2</v>
      </c>
      <c r="AA1" s="113" t="s">
        <v>49</v>
      </c>
      <c r="AB1" s="114">
        <f>INDEX(AA3:AA100, MATCH(MAX(AE3:AE100), AE3:AE100, 0))</f>
        <v>20.131538750000001</v>
      </c>
      <c r="AC1" s="2" t="s">
        <v>50</v>
      </c>
      <c r="AD1" s="115">
        <f>AVERAGE(AA3:AA55)</f>
        <v>0.97169415937735837</v>
      </c>
      <c r="AE1" s="18">
        <f>MAX(AE3:AE100)</f>
        <v>75.463396074733694</v>
      </c>
      <c r="AF1" s="133" t="s">
        <v>52</v>
      </c>
      <c r="AG1" s="133"/>
      <c r="AH1" s="133" t="s">
        <v>53</v>
      </c>
      <c r="AI1" s="133"/>
      <c r="AK1" s="4" t="s">
        <v>38</v>
      </c>
      <c r="AL1" s="32">
        <f>MAX(AL3:AL100)</f>
        <v>1.4897205278113701E-2</v>
      </c>
      <c r="AM1" s="113" t="s">
        <v>49</v>
      </c>
      <c r="AN1" s="114">
        <f>INDEX(AM3:AM99, MATCH(MAX(AQ3:AQ99), AQ3:AQ99, 0))</f>
        <v>2.44355038</v>
      </c>
      <c r="AO1" s="2" t="s">
        <v>50</v>
      </c>
      <c r="AP1" s="115">
        <f>AVERAGE(AM3:AM69)</f>
        <v>0.60516832516417907</v>
      </c>
      <c r="AQ1" s="18">
        <f>MAX(AQ3:AQ99)</f>
        <v>43.539555051420827</v>
      </c>
      <c r="AR1" s="133" t="s">
        <v>52</v>
      </c>
      <c r="AS1" s="133"/>
      <c r="AT1" s="133" t="s">
        <v>53</v>
      </c>
      <c r="AU1" s="133"/>
      <c r="AW1" s="52" t="s">
        <v>39</v>
      </c>
      <c r="AX1" s="79">
        <f>MAX(AX3:AX99)</f>
        <v>5.6741231058604902E-2</v>
      </c>
      <c r="AY1" s="113" t="s">
        <v>49</v>
      </c>
      <c r="AZ1" s="114">
        <f>INDEX(AY3:AY99, MATCH(MAX(BC3:BC99), BC3:BC99, 0))</f>
        <v>2.247064306</v>
      </c>
      <c r="BA1" s="2" t="s">
        <v>50</v>
      </c>
      <c r="BB1" s="115">
        <f>AVERAGE(AY3:AY44)</f>
        <v>0.37912394164285723</v>
      </c>
      <c r="BC1" s="32">
        <f>MAX(BC3:BC99)</f>
        <v>95.676352165121884</v>
      </c>
      <c r="BD1" s="132" t="s">
        <v>52</v>
      </c>
      <c r="BE1" s="132"/>
      <c r="BF1" s="132" t="s">
        <v>53</v>
      </c>
      <c r="BG1" s="132"/>
      <c r="BI1" s="67" t="s">
        <v>40</v>
      </c>
      <c r="BJ1">
        <f>MAX(BJ3:BJ99)</f>
        <v>0.12148791730821901</v>
      </c>
      <c r="BK1" s="113" t="s">
        <v>49</v>
      </c>
      <c r="BL1" s="114">
        <f>INDEX(BK3:BK99, MATCH(MAX(BO3:BO99), BO3:BO99, 0))</f>
        <v>1.4444654269999999</v>
      </c>
      <c r="BM1" s="2" t="s">
        <v>50</v>
      </c>
      <c r="BN1" s="115">
        <f>AVERAGE(BK3:BK59)</f>
        <v>0.4703275891052634</v>
      </c>
      <c r="BO1" s="18">
        <f>MAX(BO3:BO99)</f>
        <v>124.59799853071195</v>
      </c>
      <c r="BP1" s="132" t="s">
        <v>52</v>
      </c>
      <c r="BQ1" s="132"/>
      <c r="BR1" s="132" t="s">
        <v>53</v>
      </c>
      <c r="BS1" s="132"/>
      <c r="BU1" s="81" t="s">
        <v>44</v>
      </c>
      <c r="BV1" s="5">
        <f>MAX(BV3:BV87)</f>
        <v>5.3859668999999999E-2</v>
      </c>
      <c r="CA1" s="6">
        <f>MAX(CA3:CA87)</f>
        <v>88.490803262610711</v>
      </c>
      <c r="CC1" s="89" t="s">
        <v>45</v>
      </c>
      <c r="CD1" s="79">
        <f>MAX(CD3:CD155)</f>
        <v>6.7690018744910693E-2</v>
      </c>
      <c r="CI1" s="6">
        <f>MAX(CI3:CI155)</f>
        <v>84.380016860651793</v>
      </c>
      <c r="CK1" s="92" t="s">
        <v>46</v>
      </c>
      <c r="CL1" s="5">
        <f>MAX(CL3:CL155)</f>
        <v>0.12891581735454399</v>
      </c>
      <c r="CQ1" s="7">
        <f>MAX(CQ3:CQ123)</f>
        <v>109.984122680624</v>
      </c>
      <c r="CS1" s="9" t="s">
        <v>47</v>
      </c>
      <c r="CT1" s="80">
        <f>MAX(CT3:CT121)</f>
        <v>0.13438043402341099</v>
      </c>
      <c r="CY1" s="6">
        <f>MAX(CY3:CY120)</f>
        <v>103.02241841356445</v>
      </c>
    </row>
    <row r="2" spans="1:103" x14ac:dyDescent="0.3">
      <c r="A2" s="14" t="s">
        <v>27</v>
      </c>
      <c r="B2" s="17" t="s">
        <v>28</v>
      </c>
      <c r="C2" s="14" t="s">
        <v>34</v>
      </c>
      <c r="D2" s="14" t="s">
        <v>32</v>
      </c>
      <c r="E2" s="14" t="s">
        <v>42</v>
      </c>
      <c r="F2" s="14" t="s">
        <v>41</v>
      </c>
      <c r="G2" s="19" t="s">
        <v>35</v>
      </c>
      <c r="H2" s="19" t="s">
        <v>48</v>
      </c>
      <c r="I2" s="19" t="s">
        <v>51</v>
      </c>
      <c r="J2" s="19" t="s">
        <v>48</v>
      </c>
      <c r="K2" s="19" t="s">
        <v>51</v>
      </c>
      <c r="M2" s="23" t="s">
        <v>27</v>
      </c>
      <c r="N2" s="24" t="s">
        <v>28</v>
      </c>
      <c r="O2" s="23" t="s">
        <v>34</v>
      </c>
      <c r="P2" s="23" t="s">
        <v>32</v>
      </c>
      <c r="Q2" s="23" t="s">
        <v>33</v>
      </c>
      <c r="R2" s="23" t="s">
        <v>43</v>
      </c>
      <c r="S2" s="24" t="s">
        <v>35</v>
      </c>
      <c r="T2" s="24" t="s">
        <v>48</v>
      </c>
      <c r="U2" s="24" t="s">
        <v>51</v>
      </c>
      <c r="V2" s="24" t="s">
        <v>48</v>
      </c>
      <c r="W2" s="24" t="s">
        <v>51</v>
      </c>
      <c r="Y2" s="30" t="s">
        <v>27</v>
      </c>
      <c r="Z2" s="31" t="s">
        <v>28</v>
      </c>
      <c r="AA2" s="30" t="s">
        <v>34</v>
      </c>
      <c r="AB2" s="30" t="s">
        <v>32</v>
      </c>
      <c r="AC2" s="30" t="s">
        <v>33</v>
      </c>
      <c r="AD2" s="30" t="s">
        <v>43</v>
      </c>
      <c r="AE2" s="31" t="s">
        <v>35</v>
      </c>
      <c r="AF2" s="31" t="s">
        <v>48</v>
      </c>
      <c r="AG2" s="31" t="s">
        <v>51</v>
      </c>
      <c r="AH2" s="31" t="s">
        <v>48</v>
      </c>
      <c r="AI2" s="31" t="s">
        <v>51</v>
      </c>
      <c r="AK2" s="39" t="s">
        <v>27</v>
      </c>
      <c r="AL2" s="40" t="s">
        <v>28</v>
      </c>
      <c r="AM2" s="39" t="s">
        <v>34</v>
      </c>
      <c r="AN2" s="39" t="s">
        <v>32</v>
      </c>
      <c r="AO2" s="39" t="s">
        <v>33</v>
      </c>
      <c r="AP2" s="39" t="s">
        <v>43</v>
      </c>
      <c r="AQ2" s="40" t="s">
        <v>35</v>
      </c>
      <c r="AR2" s="40" t="s">
        <v>48</v>
      </c>
      <c r="AS2" s="40" t="s">
        <v>51</v>
      </c>
      <c r="AT2" s="40" t="s">
        <v>48</v>
      </c>
      <c r="AU2" s="40" t="s">
        <v>51</v>
      </c>
      <c r="AW2" s="48" t="s">
        <v>27</v>
      </c>
      <c r="AX2" s="49" t="s">
        <v>28</v>
      </c>
      <c r="AY2" s="48" t="s">
        <v>34</v>
      </c>
      <c r="AZ2" s="48" t="s">
        <v>32</v>
      </c>
      <c r="BA2" s="48" t="s">
        <v>33</v>
      </c>
      <c r="BB2" s="48" t="s">
        <v>43</v>
      </c>
      <c r="BC2" s="49" t="s">
        <v>35</v>
      </c>
      <c r="BD2" s="49" t="s">
        <v>48</v>
      </c>
      <c r="BE2" s="49" t="s">
        <v>51</v>
      </c>
      <c r="BF2" s="49" t="s">
        <v>48</v>
      </c>
      <c r="BG2" s="49" t="s">
        <v>51</v>
      </c>
      <c r="BI2" s="55" t="s">
        <v>27</v>
      </c>
      <c r="BJ2" s="56" t="s">
        <v>28</v>
      </c>
      <c r="BK2" s="55" t="s">
        <v>34</v>
      </c>
      <c r="BL2" s="55" t="s">
        <v>32</v>
      </c>
      <c r="BM2" s="55" t="s">
        <v>33</v>
      </c>
      <c r="BN2" s="55" t="s">
        <v>43</v>
      </c>
      <c r="BO2" s="56" t="s">
        <v>35</v>
      </c>
      <c r="BP2" s="56" t="s">
        <v>48</v>
      </c>
      <c r="BQ2" s="56" t="s">
        <v>51</v>
      </c>
      <c r="BR2" s="56" t="s">
        <v>48</v>
      </c>
      <c r="BS2" s="56" t="s">
        <v>51</v>
      </c>
      <c r="BU2" s="74" t="s">
        <v>27</v>
      </c>
      <c r="BV2" s="77" t="s">
        <v>28</v>
      </c>
      <c r="BW2" s="74" t="s">
        <v>34</v>
      </c>
      <c r="BX2" s="74" t="s">
        <v>32</v>
      </c>
      <c r="BY2" s="74" t="s">
        <v>33</v>
      </c>
      <c r="BZ2" s="74" t="s">
        <v>43</v>
      </c>
      <c r="CA2" s="77" t="s">
        <v>35</v>
      </c>
      <c r="CC2" s="75" t="s">
        <v>27</v>
      </c>
      <c r="CD2" s="85" t="s">
        <v>28</v>
      </c>
      <c r="CE2" s="75" t="s">
        <v>34</v>
      </c>
      <c r="CF2" s="75" t="s">
        <v>32</v>
      </c>
      <c r="CG2" s="75" t="s">
        <v>33</v>
      </c>
      <c r="CH2" s="75" t="s">
        <v>43</v>
      </c>
      <c r="CI2" s="85" t="s">
        <v>35</v>
      </c>
      <c r="CK2" s="76" t="s">
        <v>27</v>
      </c>
      <c r="CL2" s="86" t="s">
        <v>28</v>
      </c>
      <c r="CM2" s="76" t="s">
        <v>34</v>
      </c>
      <c r="CN2" s="76" t="s">
        <v>32</v>
      </c>
      <c r="CO2" s="76" t="s">
        <v>33</v>
      </c>
      <c r="CP2" s="76" t="s">
        <v>43</v>
      </c>
      <c r="CQ2" s="86" t="s">
        <v>35</v>
      </c>
      <c r="CS2" s="14" t="s">
        <v>27</v>
      </c>
      <c r="CT2" s="19" t="s">
        <v>28</v>
      </c>
      <c r="CU2" s="14" t="s">
        <v>34</v>
      </c>
      <c r="CV2" s="14" t="s">
        <v>32</v>
      </c>
      <c r="CW2" s="14" t="s">
        <v>33</v>
      </c>
      <c r="CX2" s="14" t="s">
        <v>43</v>
      </c>
      <c r="CY2" s="19" t="s">
        <v>35</v>
      </c>
    </row>
    <row r="3" spans="1:103" x14ac:dyDescent="0.3">
      <c r="A3" s="10">
        <v>44776.000694444447</v>
      </c>
      <c r="B3" s="11">
        <v>1.4955602719514201E-3</v>
      </c>
      <c r="C3" s="12">
        <v>0.76957219099999996</v>
      </c>
      <c r="D3" s="9">
        <v>157</v>
      </c>
      <c r="E3" s="13">
        <f>D3/60</f>
        <v>2.6166666666666667</v>
      </c>
      <c r="F3" s="12">
        <f>E3*B3</f>
        <v>3.9133827116062158E-3</v>
      </c>
      <c r="G3" s="13">
        <f>37.141*F3^0.4897</f>
        <v>2.4599510474069515</v>
      </c>
      <c r="H3" s="11">
        <f>IF((C3-$F$1)/($D$1-$F$1)&lt;0, 0, IF((C3-$F$1)/($D$1-$F$1)&gt;1, 1, (C3-$F$1)/($D$1-$F$1)))</f>
        <v>3.7832850019840301E-3</v>
      </c>
      <c r="I3" s="116">
        <f>G3*H3</f>
        <v>9.306695903269626E-3</v>
      </c>
      <c r="J3" s="21">
        <f t="shared" ref="J3:J34" si="0">IF((F3-$K$96)/($I$96-$K$96)&lt;0, 0, IF((F3-$K$96)/($I$96-$K$96)&gt;1, 1, (F3-$K$96)/($I$96-$K$96)))</f>
        <v>8.5915955270933462E-5</v>
      </c>
      <c r="K3" s="116">
        <f>G3*J3</f>
        <v>2.1134904415770156E-4</v>
      </c>
      <c r="M3" s="25">
        <v>44781.000694444447</v>
      </c>
      <c r="N3" s="26">
        <v>3.8910191295340401E-3</v>
      </c>
      <c r="O3" s="27">
        <v>1.4441644075</v>
      </c>
      <c r="P3" s="28">
        <v>1227</v>
      </c>
      <c r="Q3" s="29">
        <f>P3/60</f>
        <v>20.45</v>
      </c>
      <c r="R3" s="26">
        <f t="shared" ref="R3:R34" si="1">Q3*N3</f>
        <v>7.9571341198971121E-2</v>
      </c>
      <c r="S3" s="29">
        <f>37.141*R3^0.4897</f>
        <v>10.753606437639453</v>
      </c>
      <c r="T3" s="29">
        <f>IF((O3-$R$1)/($P$1-$R$1)&lt;0, 0, IF((O3-$R$1)/($P$1-$R$1)&gt;1, 1, (O3-$R$1)/($P$1-$R$1)))</f>
        <v>4.9325850308522831E-3</v>
      </c>
      <c r="U3" s="117">
        <f>S3*T3</f>
        <v>5.3043078141977111E-2</v>
      </c>
      <c r="V3" s="118">
        <f t="shared" ref="V3:V34" si="2">IF((R3-$W$102)/($U$101-$W$102)&lt;0, 0, IF((R3-$W$102)/($U$101-$W$102)&gt;1, 1, (R3-$W$102)/($U$101-$W$102)))</f>
        <v>1.7098913979403711E-2</v>
      </c>
      <c r="W3" s="117">
        <f>S3*V3</f>
        <v>0.18387499144555899</v>
      </c>
      <c r="Y3" s="35">
        <v>45136</v>
      </c>
      <c r="Z3" s="71">
        <v>5.2961871226464398E-3</v>
      </c>
      <c r="AA3" s="70">
        <v>0.85462156099999997</v>
      </c>
      <c r="AB3" s="36">
        <v>2986</v>
      </c>
      <c r="AC3" s="37">
        <f>AB3/60</f>
        <v>49.766666666666666</v>
      </c>
      <c r="AD3" s="37">
        <f t="shared" ref="AD3:AD34" si="3">Z3*AC3</f>
        <v>0.26357357913703783</v>
      </c>
      <c r="AE3" s="38">
        <f>37.141*AD3^0.4897</f>
        <v>19.331664100320655</v>
      </c>
      <c r="AF3" s="38">
        <f>IF((AA3-$AD$1)/($AB$1-$AD$1)&lt;0, 0, IF((AA3-$AD$1)/($AB$1-$AD$1)&gt;1, 1, (AA3-$AD$1)/($AB$1-$AD$1)))</f>
        <v>0</v>
      </c>
      <c r="AG3" s="38">
        <f>AE3*AF3</f>
        <v>0</v>
      </c>
      <c r="AH3" s="38">
        <f t="shared" ref="AH3:AH66" si="4">IF((AD3-$AI$102)/($AG$102-$AI$102)&lt;0, 0, IF((AD3-$AI$102)/($AG$102-$AI$102)&gt;1, 1, (AD3-$AI$102)/($AG$102-$AI$102)))</f>
        <v>0</v>
      </c>
      <c r="AI3" s="38">
        <f>AE3*AH3</f>
        <v>0</v>
      </c>
      <c r="AK3" s="45">
        <v>45151</v>
      </c>
      <c r="AL3" s="4">
        <v>4.0646084233256904E-3</v>
      </c>
      <c r="AM3" s="3">
        <v>0.42386643899999998</v>
      </c>
      <c r="AN3" s="4">
        <v>648</v>
      </c>
      <c r="AO3" s="46">
        <f>AN3/60</f>
        <v>10.8</v>
      </c>
      <c r="AP3" s="47">
        <f t="shared" ref="AP3:AP34" si="5">AO3*AL3</f>
        <v>4.3897770971917459E-2</v>
      </c>
      <c r="AQ3" s="50">
        <f>37.141*AP3^0.4897</f>
        <v>8.0363282851212663</v>
      </c>
      <c r="AR3" s="50">
        <f>IF((AM3-$AP$1)/($AN$1-$AP$1)&lt;0, 0, IF((AM3-$AP$1)/($AN$1-$AP$1)&gt;1, 1, (AM3-$AP$1)/($AN$1-$AP$1)))</f>
        <v>0</v>
      </c>
      <c r="AS3" s="50">
        <f>AQ3*AR3</f>
        <v>0</v>
      </c>
      <c r="AT3" s="50">
        <f t="shared" ref="AT3:AT66" si="6">IF((AP3-$AU$101)/($AS$101-$AU$101)&lt;0, 0, IF((AP3-$AU$101)/($AS$101-$AU$101)&gt;1, 1, (AP3-$AU$101)/($AS$101-$AU$101)))</f>
        <v>0</v>
      </c>
      <c r="AU3" s="50">
        <f>AQ3*AT3</f>
        <v>0</v>
      </c>
      <c r="AW3" s="51">
        <v>45166</v>
      </c>
      <c r="AX3" s="72">
        <v>6.2353489379986899E-3</v>
      </c>
      <c r="AY3" s="73">
        <v>0.31440712500000001</v>
      </c>
      <c r="AZ3" s="52">
        <v>1909</v>
      </c>
      <c r="BA3" s="53">
        <f>AZ3/60</f>
        <v>31.816666666666666</v>
      </c>
      <c r="BB3" s="72">
        <f t="shared" ref="BB3:BB34" si="7">BA3*AX3</f>
        <v>0.19838801871065831</v>
      </c>
      <c r="BC3" s="54">
        <f>37.141*BB3^0.4897</f>
        <v>16.820809941256019</v>
      </c>
      <c r="BD3" s="54">
        <f>IF((AY3-$BB$1)/($AZ$1-$BB$1)&lt;0, 0, IF((AY3-$BB$1)/($AZ$1-$BB$1)&gt;1, 1, (AY3-$BB$1)/($AZ$1-$BB$1)))</f>
        <v>0</v>
      </c>
      <c r="BE3" s="54">
        <f>BD3*BC3</f>
        <v>0</v>
      </c>
      <c r="BF3" s="54">
        <f t="shared" ref="BF3:BF66" si="8">IF((BB3-$BG$101)/($BE$101-$BG$101)&lt;0, 0, IF((BB3-$BG$101)/($BE$101-$BG$101)&gt;1, 1, (BB3-$BG$101)/($BE$101-$BG$101)))</f>
        <v>0</v>
      </c>
      <c r="BG3" s="54">
        <f>BF3*BC3</f>
        <v>0</v>
      </c>
      <c r="BI3" s="66">
        <v>45183</v>
      </c>
      <c r="BJ3" s="67">
        <v>4.27396022763828E-3</v>
      </c>
      <c r="BK3" s="68">
        <v>0.44939223900000003</v>
      </c>
      <c r="BL3" s="68">
        <v>1143</v>
      </c>
      <c r="BM3" s="68">
        <f>BL3/60</f>
        <v>19.05</v>
      </c>
      <c r="BN3" s="68">
        <f t="shared" ref="BN3:BN34" si="9">BM3*BJ3</f>
        <v>8.1418942336509231E-2</v>
      </c>
      <c r="BO3" s="69">
        <f>37.141*BN3^0.4897</f>
        <v>10.875164845487898</v>
      </c>
      <c r="BP3" s="69">
        <f>IF((BK3-$BN$1)/($BL$1-$BN$1)&lt;0, 0, IF((BK3-$BN$1)/($BL$1-$BN$1)&gt;1, 1, (BK3-$BN$1)/($BL$1-$BN$1)))</f>
        <v>0</v>
      </c>
      <c r="BQ3" s="69">
        <f>BO3*BP3</f>
        <v>0</v>
      </c>
      <c r="BR3" s="69">
        <f t="shared" ref="BR3:BR66" si="10">IF((BN3-$BS$101)/($BQ$101-$BS$101)&lt;0, 0, IF((BN3-$BS$101)/($BQ$101-$BS$101)&gt;1, 1, (BN3-$BS$101)/($BQ$101-$BS$101)))</f>
        <v>0</v>
      </c>
      <c r="BS3" s="69">
        <f>BO3*BR3</f>
        <v>0</v>
      </c>
      <c r="BU3" s="82">
        <v>45046.333333333336</v>
      </c>
      <c r="BV3" s="112">
        <v>3.5411462999999997E-2</v>
      </c>
      <c r="BW3" s="83">
        <v>66.647934039999996</v>
      </c>
      <c r="BX3" s="112">
        <v>8404</v>
      </c>
      <c r="BY3" s="83">
        <f t="shared" ref="BY3:BY35" si="11">BX3/60</f>
        <v>140.06666666666666</v>
      </c>
      <c r="BZ3" s="84">
        <f t="shared" ref="BZ3:BZ35" si="12">BY3*BV3</f>
        <v>4.9599655841999999</v>
      </c>
      <c r="CA3" s="83">
        <f t="shared" ref="CA3:CA35" si="13">IF(37.141*BZ3^0.4897&gt;22.6, 37.141*BZ3^0.4897, 0)</f>
        <v>81.363475963061646</v>
      </c>
      <c r="CC3" s="87">
        <v>45047.208333333336</v>
      </c>
      <c r="CD3" s="109">
        <v>4.1196521753590898E-2</v>
      </c>
      <c r="CE3" s="88">
        <v>81.405228940000001</v>
      </c>
      <c r="CF3" s="89">
        <v>6517</v>
      </c>
      <c r="CG3" s="90">
        <f>CF3/60</f>
        <v>108.61666666666666</v>
      </c>
      <c r="CH3" s="91">
        <f>CG3*CD3</f>
        <v>4.4746288711358648</v>
      </c>
      <c r="CI3" s="91">
        <f>IF(37.141*CH3^0.4897&gt;22.6, 37.141*CH3^0.4897, 0)</f>
        <v>77.362288004399332</v>
      </c>
      <c r="CK3" s="93">
        <v>45049.25</v>
      </c>
      <c r="CL3">
        <v>2.9960694842799201E-2</v>
      </c>
      <c r="CM3" s="95">
        <v>98.886564129999996</v>
      </c>
      <c r="CN3" s="4">
        <v>10583</v>
      </c>
      <c r="CO3" s="95">
        <f>CN3/60</f>
        <v>176.38333333333333</v>
      </c>
      <c r="CP3" s="94">
        <f>CO3*CL3</f>
        <v>5.2845672253557323</v>
      </c>
      <c r="CQ3" s="96">
        <f>IF(37.141*CP3^0.4897&gt;22.6, 37.141*CP3^0.4897, 0)</f>
        <v>83.928857084319972</v>
      </c>
      <c r="CS3" s="10">
        <v>45050.510416666664</v>
      </c>
      <c r="CT3" s="110">
        <v>9.0417263281074398E-2</v>
      </c>
      <c r="CU3" s="21">
        <v>100.5402337</v>
      </c>
      <c r="CV3" s="111">
        <v>4097</v>
      </c>
      <c r="CW3" s="21">
        <f>CV3/60</f>
        <v>68.283333333333331</v>
      </c>
      <c r="CX3" s="21">
        <f>CW3*CT3</f>
        <v>6.1739921277093632</v>
      </c>
      <c r="CY3" s="21">
        <f>IF(37.141*CX3^0.4897&gt;22.6, 37.141*CX3^0.4897, 0)</f>
        <v>90.571966624080133</v>
      </c>
    </row>
    <row r="4" spans="1:103" x14ac:dyDescent="0.3">
      <c r="A4" s="10">
        <v>44776.011111111111</v>
      </c>
      <c r="B4" s="11">
        <v>1.8309745607605499E-3</v>
      </c>
      <c r="C4" s="12">
        <v>0.771817164</v>
      </c>
      <c r="D4" s="9">
        <v>166</v>
      </c>
      <c r="E4" s="13">
        <f t="shared" ref="E4:E67" si="14">D4/60</f>
        <v>2.7666666666666666</v>
      </c>
      <c r="F4" s="12">
        <f t="shared" ref="F4:F34" si="15">E4*B4</f>
        <v>5.0656962847708551E-3</v>
      </c>
      <c r="G4" s="13">
        <f t="shared" ref="G4:G67" si="16">37.141*F4^0.4897</f>
        <v>2.791356996271706</v>
      </c>
      <c r="H4" s="11">
        <f t="shared" ref="H4:H67" si="17">IF((C4-$F$1)/($D$1-$F$1)&lt;0, 0, IF((C4-$F$1)/($D$1-$F$1)&gt;1, 1, (C4-$F$1)/($D$1-$F$1)))</f>
        <v>3.9710768568353844E-3</v>
      </c>
      <c r="I4" s="116">
        <f t="shared" ref="I4:I67" si="18">G4*H4</f>
        <v>1.1084693167060107E-2</v>
      </c>
      <c r="J4" s="21">
        <f t="shared" si="0"/>
        <v>3.2489723565196522E-4</v>
      </c>
      <c r="K4" s="116">
        <f t="shared" ref="K4:K67" si="19">G4*J4</f>
        <v>9.0690417180645029E-4</v>
      </c>
      <c r="M4" s="25">
        <v>44781.011111111111</v>
      </c>
      <c r="N4" s="26">
        <v>4.1140294020959103E-3</v>
      </c>
      <c r="O4" s="27">
        <v>1.5123822984999999</v>
      </c>
      <c r="P4" s="28">
        <v>1319</v>
      </c>
      <c r="Q4" s="29">
        <f t="shared" ref="Q4:Q67" si="20">P4/60</f>
        <v>21.983333333333334</v>
      </c>
      <c r="R4" s="26">
        <f t="shared" si="1"/>
        <v>9.044007968940844E-2</v>
      </c>
      <c r="S4" s="29">
        <f t="shared" ref="S4:S67" si="21">37.141*R4^0.4897</f>
        <v>11.449421484108383</v>
      </c>
      <c r="T4" s="29">
        <f t="shared" ref="T4:T67" si="22">IF((O4-$R$1)/($P$1-$R$1)&lt;0, 0, IF((O4-$R$1)/($P$1-$R$1)&gt;1, 1, (O4-$R$1)/($P$1-$R$1)))</f>
        <v>7.1535926016997597E-3</v>
      </c>
      <c r="U4" s="117">
        <f t="shared" ref="U4:U67" si="23">S4*T4</f>
        <v>8.190449682246001E-2</v>
      </c>
      <c r="V4" s="118">
        <f t="shared" si="2"/>
        <v>2.2608312830159065E-2</v>
      </c>
      <c r="W4" s="117">
        <f t="shared" ref="W4:W67" si="24">S4*V4</f>
        <v>0.25885210263706637</v>
      </c>
      <c r="Y4" s="35">
        <v>45136.010416666664</v>
      </c>
      <c r="Z4" s="71">
        <v>6.5578895527806597E-3</v>
      </c>
      <c r="AA4" s="70">
        <v>0.99067576999999996</v>
      </c>
      <c r="AB4" s="36">
        <v>4022</v>
      </c>
      <c r="AC4" s="37">
        <f t="shared" ref="AC4:AC67" si="25">AB4/60</f>
        <v>67.033333333333331</v>
      </c>
      <c r="AD4" s="37">
        <f t="shared" si="3"/>
        <v>0.43959719635473021</v>
      </c>
      <c r="AE4" s="38">
        <f t="shared" ref="AE4:AE67" si="26">37.141*AD4^0.4897</f>
        <v>24.834623711052632</v>
      </c>
      <c r="AF4" s="38">
        <f t="shared" ref="AF4:AF67" si="27">IF((AA4-$AD$1)/($AB$1-$AD$1)&lt;0, 0, IF((AA4-$AD$1)/($AB$1-$AD$1)&gt;1, 1, (AA4-$AD$1)/($AB$1-$AD$1)))</f>
        <v>9.9069752538241945E-4</v>
      </c>
      <c r="AG4" s="38">
        <f t="shared" ref="AG4:AG67" si="28">AE4*AF4</f>
        <v>2.46036002543434E-2</v>
      </c>
      <c r="AH4" s="38">
        <f t="shared" si="4"/>
        <v>0</v>
      </c>
      <c r="AI4" s="38">
        <f t="shared" ref="AI4:AI67" si="29">AE4*AH4</f>
        <v>0</v>
      </c>
      <c r="AK4" s="45">
        <v>45151.010416666664</v>
      </c>
      <c r="AL4" s="4">
        <v>5.7380357523475096E-3</v>
      </c>
      <c r="AM4" s="3">
        <v>0.81307424100000003</v>
      </c>
      <c r="AN4" s="4">
        <v>1934</v>
      </c>
      <c r="AO4" s="46">
        <f t="shared" ref="AO4:AO67" si="30">AN4/60</f>
        <v>32.233333333333334</v>
      </c>
      <c r="AP4" s="47">
        <f t="shared" si="5"/>
        <v>0.18495601908400139</v>
      </c>
      <c r="AQ4" s="50">
        <f t="shared" ref="AQ4:AQ67" si="31">37.141*AP4^0.4897</f>
        <v>16.253130487710635</v>
      </c>
      <c r="AR4" s="50">
        <f t="shared" ref="AR4:AR67" si="32">IF((AM4-$AP$1)/($AN$1-$AP$1)&lt;0, 0, IF((AM4-$AP$1)/($AN$1-$AP$1)&gt;1, 1, (AM4-$AP$1)/($AN$1-$AP$1)))</f>
        <v>0.11309178921156748</v>
      </c>
      <c r="AS4" s="50">
        <f t="shared" ref="AS4:AS67" si="33">AQ4*AR4</f>
        <v>1.8380956071442722</v>
      </c>
      <c r="AT4" s="50">
        <f t="shared" si="6"/>
        <v>5.0837140486535259E-2</v>
      </c>
      <c r="AU4" s="50">
        <f t="shared" ref="AU4:AU67" si="34">AQ4*AT4</f>
        <v>0.82626267794973485</v>
      </c>
      <c r="AW4" s="51">
        <v>45166.010416666664</v>
      </c>
      <c r="AX4" s="72">
        <v>1.2652725073571E-2</v>
      </c>
      <c r="AY4" s="73">
        <v>0.50323377899999999</v>
      </c>
      <c r="AZ4" s="52">
        <v>5418</v>
      </c>
      <c r="BA4" s="53">
        <f t="shared" ref="BA4:BA67" si="35">AZ4/60</f>
        <v>90.3</v>
      </c>
      <c r="BB4" s="72">
        <f t="shared" si="7"/>
        <v>1.1425410741434612</v>
      </c>
      <c r="BC4" s="54">
        <f t="shared" ref="BC4:BC67" si="36">37.141*BB4^0.4897</f>
        <v>39.645456583396225</v>
      </c>
      <c r="BD4" s="54">
        <f t="shared" ref="BD4:BD67" si="37">IF((AY4-$BB$1)/($AZ$1-$BB$1)&lt;0, 0, IF((AY4-$BB$1)/($AZ$1-$BB$1)&gt;1, 1, (AY4-$BB$1)/($AZ$1-$BB$1)))</f>
        <v>6.6442076912800976E-2</v>
      </c>
      <c r="BE4" s="54">
        <f t="shared" ref="BE4:BE67" si="38">BD4*BC4</f>
        <v>2.6341264755571236</v>
      </c>
      <c r="BF4" s="54">
        <f t="shared" si="8"/>
        <v>7.9165455568056847E-2</v>
      </c>
      <c r="BG4" s="54">
        <f t="shared" ref="BG4:BG67" si="39">BF4*BC4</f>
        <v>3.1385506316281808</v>
      </c>
      <c r="BI4" s="66">
        <v>45183.010416666664</v>
      </c>
      <c r="BJ4" s="67">
        <v>7.1462194869225202E-3</v>
      </c>
      <c r="BK4" s="68">
        <v>0.44939223900000003</v>
      </c>
      <c r="BL4" s="68">
        <v>1456</v>
      </c>
      <c r="BM4" s="68">
        <f t="shared" ref="BM4:BM67" si="40">BL4/60</f>
        <v>24.266666666666666</v>
      </c>
      <c r="BN4" s="68">
        <f t="shared" si="9"/>
        <v>0.17341492621598648</v>
      </c>
      <c r="BO4" s="69">
        <f t="shared" ref="BO4:BO67" si="41">37.141*BN4^0.4897</f>
        <v>15.748320319549777</v>
      </c>
      <c r="BP4" s="69">
        <f t="shared" ref="BP4:BP67" si="42">IF((BK4-$BN$1)/($BL$1-$BN$1)&lt;0, 0, IF((BK4-$BN$1)/($BL$1-$BN$1)&gt;1, 1, (BK4-$BN$1)/($BL$1-$BN$1)))</f>
        <v>0</v>
      </c>
      <c r="BQ4" s="69">
        <f t="shared" ref="BQ4:BQ67" si="43">BO4*BP4</f>
        <v>0</v>
      </c>
      <c r="BR4" s="69">
        <f t="shared" si="10"/>
        <v>1.2204498294645539E-3</v>
      </c>
      <c r="BS4" s="69">
        <f t="shared" ref="BS4:BS67" si="44">BO4*BR4</f>
        <v>1.9220034848347695E-2</v>
      </c>
      <c r="BU4" s="82">
        <v>45046.34375</v>
      </c>
      <c r="BV4" s="112">
        <v>3.6160985E-2</v>
      </c>
      <c r="BW4" s="83">
        <v>70.271667750000006</v>
      </c>
      <c r="BX4" s="112">
        <v>8366</v>
      </c>
      <c r="BY4" s="83">
        <f t="shared" si="11"/>
        <v>139.43333333333334</v>
      </c>
      <c r="BZ4" s="84">
        <f t="shared" si="12"/>
        <v>5.0420466751666666</v>
      </c>
      <c r="CA4" s="83">
        <f t="shared" si="13"/>
        <v>82.020077037983313</v>
      </c>
      <c r="CC4" s="87">
        <v>45047.21875</v>
      </c>
      <c r="CD4" s="109">
        <v>3.6583768725802698E-2</v>
      </c>
      <c r="CE4" s="88">
        <v>78.755362430000005</v>
      </c>
      <c r="CF4" s="89">
        <v>7427</v>
      </c>
      <c r="CG4" s="90">
        <f t="shared" ref="CG4:CG67" si="45">CF4/60</f>
        <v>123.78333333333333</v>
      </c>
      <c r="CH4" s="91">
        <f t="shared" ref="CH4:CH67" si="46">CG4*CD4</f>
        <v>4.5284608387756107</v>
      </c>
      <c r="CI4" s="91">
        <f t="shared" ref="CI4:CI67" si="47">IF(37.141*CH4^0.4897&gt;22.6, 37.141*CH4^0.4897, 0)</f>
        <v>77.81666415726292</v>
      </c>
      <c r="CK4" s="93">
        <v>45049.260416666664</v>
      </c>
      <c r="CL4">
        <v>3.5885456546612703E-2</v>
      </c>
      <c r="CM4" s="95">
        <v>94.720978599999995</v>
      </c>
      <c r="CN4" s="4">
        <v>10343</v>
      </c>
      <c r="CO4" s="95">
        <f t="shared" ref="CO4:CO67" si="48">CN4/60</f>
        <v>172.38333333333333</v>
      </c>
      <c r="CP4" s="94">
        <f t="shared" ref="CP4:CP67" si="49">CO4*CL4</f>
        <v>6.1860546176935864</v>
      </c>
      <c r="CQ4" s="96">
        <f t="shared" ref="CQ4:CQ67" si="50">IF(37.141*CP4^0.4897&gt;22.6, 37.141*CP4^0.4897, 0)</f>
        <v>90.658578702129986</v>
      </c>
      <c r="CS4" s="10">
        <v>45050.520833333336</v>
      </c>
      <c r="CT4" s="110">
        <v>0.107946160049172</v>
      </c>
      <c r="CU4" s="21">
        <v>96.393321510000007</v>
      </c>
      <c r="CV4" s="111">
        <v>4021</v>
      </c>
      <c r="CW4" s="21">
        <f t="shared" ref="CW4:CW67" si="51">CV4/60</f>
        <v>67.016666666666666</v>
      </c>
      <c r="CX4" s="21">
        <f t="shared" ref="CX4:CX67" si="52">CW4*CT4</f>
        <v>7.2341918259620099</v>
      </c>
      <c r="CY4" s="21">
        <f t="shared" ref="CY4:CY67" si="53">IF(37.141*CX4^0.4897&gt;22.6, 37.141*CX4^0.4897, 0)</f>
        <v>97.880659249697544</v>
      </c>
    </row>
    <row r="5" spans="1:103" x14ac:dyDescent="0.3">
      <c r="A5" s="10">
        <v>44776.021527777775</v>
      </c>
      <c r="B5" s="11">
        <v>1.9109347783652299E-3</v>
      </c>
      <c r="C5" s="12">
        <v>0.78552173950000004</v>
      </c>
      <c r="D5" s="9">
        <v>156</v>
      </c>
      <c r="E5" s="13">
        <f t="shared" si="14"/>
        <v>2.6</v>
      </c>
      <c r="F5" s="12">
        <f t="shared" si="15"/>
        <v>4.9684304237495982E-3</v>
      </c>
      <c r="G5" s="13">
        <f t="shared" si="16"/>
        <v>2.7649809345134853</v>
      </c>
      <c r="H5" s="11">
        <f t="shared" si="17"/>
        <v>5.1174637635355473E-3</v>
      </c>
      <c r="I5" s="116">
        <f t="shared" si="18"/>
        <v>1.4149689739239414E-2</v>
      </c>
      <c r="J5" s="21">
        <f t="shared" si="0"/>
        <v>3.0472501817093209E-4</v>
      </c>
      <c r="K5" s="116">
        <f t="shared" si="19"/>
        <v>8.4255886551190258E-4</v>
      </c>
      <c r="M5" s="25">
        <v>44781.021527777775</v>
      </c>
      <c r="N5" s="26">
        <v>4.8180465017357297E-3</v>
      </c>
      <c r="O5" s="27">
        <v>1.3533179835</v>
      </c>
      <c r="P5" s="28">
        <v>1142</v>
      </c>
      <c r="Q5" s="29">
        <f t="shared" si="20"/>
        <v>19.033333333333335</v>
      </c>
      <c r="R5" s="26">
        <f t="shared" si="1"/>
        <v>9.1703485083036732E-2</v>
      </c>
      <c r="S5" s="29">
        <f t="shared" si="21"/>
        <v>11.527468362180842</v>
      </c>
      <c r="T5" s="29">
        <f t="shared" si="22"/>
        <v>1.9748478078059138E-3</v>
      </c>
      <c r="U5" s="117">
        <f t="shared" si="23"/>
        <v>2.2764995624604864E-2</v>
      </c>
      <c r="V5" s="118">
        <f t="shared" si="2"/>
        <v>2.324873712869362E-2</v>
      </c>
      <c r="W5" s="117">
        <f t="shared" si="24"/>
        <v>0.2679990817116748</v>
      </c>
      <c r="Y5" s="35">
        <v>45136.020833333336</v>
      </c>
      <c r="Z5" s="71">
        <v>8.2701496035337604E-3</v>
      </c>
      <c r="AA5" s="70">
        <v>1.1441742989999999</v>
      </c>
      <c r="AB5" s="36">
        <v>4666</v>
      </c>
      <c r="AC5" s="37">
        <f t="shared" si="25"/>
        <v>77.766666666666666</v>
      </c>
      <c r="AD5" s="37">
        <f t="shared" si="3"/>
        <v>0.64314196750147545</v>
      </c>
      <c r="AE5" s="38">
        <f t="shared" si="26"/>
        <v>29.921368797033395</v>
      </c>
      <c r="AF5" s="38">
        <f t="shared" si="27"/>
        <v>9.0021679876807585E-3</v>
      </c>
      <c r="AG5" s="38">
        <f t="shared" si="28"/>
        <v>0.26935718833224398</v>
      </c>
      <c r="AH5" s="38">
        <f t="shared" si="4"/>
        <v>4.2826437280071745E-2</v>
      </c>
      <c r="AI5" s="38">
        <f t="shared" si="29"/>
        <v>1.2814256241200466</v>
      </c>
      <c r="AK5" s="45">
        <v>45151.020833333336</v>
      </c>
      <c r="AL5" s="4">
        <v>5.5164617106820803E-3</v>
      </c>
      <c r="AM5" s="3">
        <v>0.50323377899999999</v>
      </c>
      <c r="AN5" s="4">
        <v>830</v>
      </c>
      <c r="AO5" s="46">
        <f t="shared" si="30"/>
        <v>13.833333333333334</v>
      </c>
      <c r="AP5" s="47">
        <f t="shared" si="5"/>
        <v>7.6311053664435441E-2</v>
      </c>
      <c r="AQ5" s="50">
        <f t="shared" si="31"/>
        <v>10.535536766165974</v>
      </c>
      <c r="AR5" s="50">
        <f t="shared" si="32"/>
        <v>0</v>
      </c>
      <c r="AS5" s="50">
        <f t="shared" si="33"/>
        <v>0</v>
      </c>
      <c r="AT5" s="50">
        <f t="shared" si="6"/>
        <v>0</v>
      </c>
      <c r="AU5" s="50">
        <f t="shared" si="34"/>
        <v>0</v>
      </c>
      <c r="AW5" s="51">
        <v>45166.020833333336</v>
      </c>
      <c r="AX5" s="72">
        <v>9.1951867851858098E-3</v>
      </c>
      <c r="AY5" s="73">
        <v>0.376777213</v>
      </c>
      <c r="AZ5" s="52">
        <v>3866</v>
      </c>
      <c r="BA5" s="53">
        <f t="shared" si="35"/>
        <v>64.433333333333337</v>
      </c>
      <c r="BB5" s="72">
        <f t="shared" si="7"/>
        <v>0.59247653519213905</v>
      </c>
      <c r="BC5" s="54">
        <f t="shared" si="36"/>
        <v>28.742904854222196</v>
      </c>
      <c r="BD5" s="54">
        <f t="shared" si="37"/>
        <v>0</v>
      </c>
      <c r="BE5" s="54">
        <f t="shared" si="38"/>
        <v>0</v>
      </c>
      <c r="BF5" s="54">
        <f t="shared" si="8"/>
        <v>0</v>
      </c>
      <c r="BG5" s="54">
        <f t="shared" si="39"/>
        <v>0</v>
      </c>
      <c r="BI5" s="66">
        <v>45183.020833333336</v>
      </c>
      <c r="BJ5" s="67">
        <v>4.5827994986773497E-3</v>
      </c>
      <c r="BK5" s="68">
        <v>0.44894941300000002</v>
      </c>
      <c r="BL5" s="68">
        <v>1318</v>
      </c>
      <c r="BM5" s="68">
        <f t="shared" si="40"/>
        <v>21.966666666666665</v>
      </c>
      <c r="BN5" s="68">
        <f t="shared" si="9"/>
        <v>0.10066882898761244</v>
      </c>
      <c r="BO5" s="69">
        <f t="shared" si="41"/>
        <v>12.066221194363402</v>
      </c>
      <c r="BP5" s="69">
        <f t="shared" si="42"/>
        <v>0</v>
      </c>
      <c r="BQ5" s="69">
        <f t="shared" si="43"/>
        <v>0</v>
      </c>
      <c r="BR5" s="69">
        <f t="shared" si="10"/>
        <v>0</v>
      </c>
      <c r="BS5" s="69">
        <f t="shared" si="44"/>
        <v>0</v>
      </c>
      <c r="BU5" s="82">
        <v>45046.354166666664</v>
      </c>
      <c r="BV5" s="112">
        <v>3.3322849000000002E-2</v>
      </c>
      <c r="BW5" s="83">
        <v>68.466857000000005</v>
      </c>
      <c r="BX5" s="112">
        <v>8273</v>
      </c>
      <c r="BY5" s="83">
        <f t="shared" si="11"/>
        <v>137.88333333333333</v>
      </c>
      <c r="BZ5" s="84">
        <f t="shared" si="12"/>
        <v>4.5946654962833335</v>
      </c>
      <c r="CA5" s="83">
        <f t="shared" si="13"/>
        <v>78.371710774317449</v>
      </c>
      <c r="CC5" s="87">
        <v>45047.229166666664</v>
      </c>
      <c r="CD5" s="109">
        <v>3.1500656650923303E-2</v>
      </c>
      <c r="CE5" s="88">
        <v>80.079324720000002</v>
      </c>
      <c r="CF5" s="89">
        <v>8170</v>
      </c>
      <c r="CG5" s="90">
        <f t="shared" si="45"/>
        <v>136.16666666666666</v>
      </c>
      <c r="CH5" s="91">
        <f t="shared" si="46"/>
        <v>4.2893394139673893</v>
      </c>
      <c r="CI5" s="91">
        <f t="shared" si="47"/>
        <v>75.776610972721528</v>
      </c>
      <c r="CK5" s="93">
        <v>45049.270833333336</v>
      </c>
      <c r="CL5">
        <v>3.1084247223509401E-2</v>
      </c>
      <c r="CM5" s="95">
        <v>100.9486689</v>
      </c>
      <c r="CN5" s="4">
        <v>10100</v>
      </c>
      <c r="CO5" s="95">
        <f t="shared" si="48"/>
        <v>168.33333333333334</v>
      </c>
      <c r="CP5" s="94">
        <f t="shared" si="49"/>
        <v>5.2325149492907492</v>
      </c>
      <c r="CQ5" s="96">
        <f t="shared" si="50"/>
        <v>83.523005505687152</v>
      </c>
      <c r="CS5" s="10">
        <v>45050.53125</v>
      </c>
      <c r="CT5" s="110">
        <v>9.0791497850966602E-2</v>
      </c>
      <c r="CU5" s="21">
        <v>96.400480259999995</v>
      </c>
      <c r="CV5" s="111">
        <v>4179</v>
      </c>
      <c r="CW5" s="21">
        <f t="shared" si="51"/>
        <v>69.650000000000006</v>
      </c>
      <c r="CX5" s="21">
        <f t="shared" si="52"/>
        <v>6.3236278253198241</v>
      </c>
      <c r="CY5" s="21">
        <f t="shared" si="53"/>
        <v>91.64036085817429</v>
      </c>
    </row>
    <row r="6" spans="1:103" x14ac:dyDescent="0.3">
      <c r="A6" s="10">
        <v>44776.031944444447</v>
      </c>
      <c r="B6" s="11">
        <v>1.68743229133343E-3</v>
      </c>
      <c r="C6" s="12">
        <v>0.77333739349999997</v>
      </c>
      <c r="D6" s="9">
        <v>140</v>
      </c>
      <c r="E6" s="13">
        <f t="shared" si="14"/>
        <v>2.3333333333333335</v>
      </c>
      <c r="F6" s="12">
        <f t="shared" si="15"/>
        <v>3.9373420131113366E-3</v>
      </c>
      <c r="G6" s="13">
        <f t="shared" si="16"/>
        <v>2.4673148397084299</v>
      </c>
      <c r="H6" s="11">
        <f t="shared" si="17"/>
        <v>4.0982439620098057E-3</v>
      </c>
      <c r="I6" s="116">
        <f t="shared" si="18"/>
        <v>1.0111658144212264E-2</v>
      </c>
      <c r="J6" s="21">
        <f t="shared" si="0"/>
        <v>9.0884936530959696E-5</v>
      </c>
      <c r="K6" s="116">
        <f t="shared" si="19"/>
        <v>2.2424175260879565E-4</v>
      </c>
      <c r="M6" s="25">
        <v>44781.031944444447</v>
      </c>
      <c r="N6" s="26">
        <v>3.3458903436103201E-3</v>
      </c>
      <c r="O6" s="27">
        <v>1.3056302835</v>
      </c>
      <c r="P6" s="28">
        <v>1133</v>
      </c>
      <c r="Q6" s="29">
        <f t="shared" si="20"/>
        <v>18.883333333333333</v>
      </c>
      <c r="R6" s="26">
        <f t="shared" si="1"/>
        <v>6.3181562655174883E-2</v>
      </c>
      <c r="S6" s="29">
        <f t="shared" si="21"/>
        <v>9.6051177537464021</v>
      </c>
      <c r="T6" s="29">
        <f t="shared" si="22"/>
        <v>4.2225300923169173E-4</v>
      </c>
      <c r="U6" s="117">
        <f t="shared" si="23"/>
        <v>4.0557898755441656E-3</v>
      </c>
      <c r="V6" s="118">
        <f t="shared" si="2"/>
        <v>8.7908819890514904E-3</v>
      </c>
      <c r="W6" s="117">
        <f t="shared" si="24"/>
        <v>8.4437456664127955E-2</v>
      </c>
      <c r="Y6" s="35">
        <v>45136.03125</v>
      </c>
      <c r="Z6" s="71">
        <v>5.0806678921883897E-3</v>
      </c>
      <c r="AA6" s="70">
        <v>0.73432993800000002</v>
      </c>
      <c r="AB6" s="36">
        <v>2568</v>
      </c>
      <c r="AC6" s="37">
        <f t="shared" si="25"/>
        <v>42.8</v>
      </c>
      <c r="AD6" s="37">
        <f t="shared" si="3"/>
        <v>0.21745258578566307</v>
      </c>
      <c r="AE6" s="38">
        <f t="shared" si="26"/>
        <v>17.593855701595938</v>
      </c>
      <c r="AF6" s="38">
        <f t="shared" si="27"/>
        <v>0</v>
      </c>
      <c r="AG6" s="38">
        <f t="shared" si="28"/>
        <v>0</v>
      </c>
      <c r="AH6" s="38">
        <f t="shared" si="4"/>
        <v>0</v>
      </c>
      <c r="AI6" s="38">
        <f t="shared" si="29"/>
        <v>0</v>
      </c>
      <c r="AK6" s="45">
        <v>45151.03125</v>
      </c>
      <c r="AL6" s="4">
        <v>8.1778152933130593E-3</v>
      </c>
      <c r="AM6" s="3">
        <v>0.69769667099999999</v>
      </c>
      <c r="AN6" s="4">
        <v>1804</v>
      </c>
      <c r="AO6" s="46">
        <f t="shared" si="30"/>
        <v>30.066666666666666</v>
      </c>
      <c r="AP6" s="47">
        <f t="shared" si="5"/>
        <v>0.24587964648561264</v>
      </c>
      <c r="AQ6" s="50">
        <f t="shared" si="31"/>
        <v>18.684885468832288</v>
      </c>
      <c r="AR6" s="50">
        <f t="shared" si="32"/>
        <v>5.033140178475267E-2</v>
      </c>
      <c r="AS6" s="50">
        <f t="shared" si="33"/>
        <v>0.94043647783388462</v>
      </c>
      <c r="AT6" s="50">
        <f t="shared" si="6"/>
        <v>9.9086244882307078E-2</v>
      </c>
      <c r="AU6" s="50">
        <f t="shared" si="34"/>
        <v>1.8514151371625771</v>
      </c>
      <c r="AW6" s="51">
        <v>45166.03125</v>
      </c>
      <c r="AX6" s="72">
        <v>1.5173261866540701E-2</v>
      </c>
      <c r="AY6" s="73">
        <v>0.42386643899999998</v>
      </c>
      <c r="AZ6" s="52">
        <v>4454</v>
      </c>
      <c r="BA6" s="53">
        <f t="shared" si="35"/>
        <v>74.233333333333334</v>
      </c>
      <c r="BB6" s="72">
        <f t="shared" si="7"/>
        <v>1.1263618058928713</v>
      </c>
      <c r="BC6" s="54">
        <f t="shared" si="36"/>
        <v>39.369533421059508</v>
      </c>
      <c r="BD6" s="54">
        <f t="shared" si="37"/>
        <v>2.3952851071099918E-2</v>
      </c>
      <c r="BE6" s="54">
        <f t="shared" si="38"/>
        <v>0.94301257077332923</v>
      </c>
      <c r="BF6" s="54">
        <f t="shared" si="8"/>
        <v>7.6580209410852224E-2</v>
      </c>
      <c r="BG6" s="54">
        <f t="shared" si="39"/>
        <v>3.0149271137922824</v>
      </c>
      <c r="BI6" s="66">
        <v>45183.03125</v>
      </c>
      <c r="BJ6" s="67">
        <v>7.4133539473626503E-3</v>
      </c>
      <c r="BK6" s="68">
        <v>0.59425534599999996</v>
      </c>
      <c r="BL6" s="68">
        <v>2084</v>
      </c>
      <c r="BM6" s="68">
        <f t="shared" si="40"/>
        <v>34.733333333333334</v>
      </c>
      <c r="BN6" s="68">
        <f t="shared" si="9"/>
        <v>0.25749049377172939</v>
      </c>
      <c r="BO6" s="69">
        <f t="shared" si="41"/>
        <v>19.111877468079864</v>
      </c>
      <c r="BP6" s="69">
        <f t="shared" si="42"/>
        <v>0.12721788649803784</v>
      </c>
      <c r="BQ6" s="69">
        <f t="shared" si="43"/>
        <v>2.4313726584985909</v>
      </c>
      <c r="BR6" s="69">
        <f t="shared" si="10"/>
        <v>8.4169065450147244E-3</v>
      </c>
      <c r="BS6" s="69">
        <f t="shared" si="44"/>
        <v>0.16086288654860084</v>
      </c>
      <c r="BU6" s="82">
        <v>45046.364583333336</v>
      </c>
      <c r="BV6" s="112">
        <v>3.3540121999999999E-2</v>
      </c>
      <c r="BW6" s="83">
        <v>69.36581735</v>
      </c>
      <c r="BX6" s="112">
        <v>7907</v>
      </c>
      <c r="BY6" s="83">
        <f t="shared" si="11"/>
        <v>131.78333333333333</v>
      </c>
      <c r="BZ6" s="84">
        <f t="shared" si="12"/>
        <v>4.4200290775666664</v>
      </c>
      <c r="CA6" s="83">
        <f t="shared" si="13"/>
        <v>76.898572358647399</v>
      </c>
      <c r="CC6" s="87">
        <v>45047.239583333336</v>
      </c>
      <c r="CD6" s="109">
        <v>3.2423821818007299E-2</v>
      </c>
      <c r="CE6" s="88">
        <v>81.397704649999994</v>
      </c>
      <c r="CF6" s="89">
        <v>8109</v>
      </c>
      <c r="CG6" s="90">
        <f t="shared" si="45"/>
        <v>135.15</v>
      </c>
      <c r="CH6" s="91">
        <f t="shared" si="46"/>
        <v>4.3820795187036863</v>
      </c>
      <c r="CI6" s="91">
        <f t="shared" si="47"/>
        <v>76.574542920371201</v>
      </c>
      <c r="CK6" s="93">
        <v>45049.28125</v>
      </c>
      <c r="CL6">
        <v>3.0161015858154699E-2</v>
      </c>
      <c r="CM6" s="95">
        <v>103.3988808</v>
      </c>
      <c r="CN6" s="4">
        <v>10265</v>
      </c>
      <c r="CO6" s="95">
        <f t="shared" si="48"/>
        <v>171.08333333333334</v>
      </c>
      <c r="CP6" s="94">
        <f t="shared" si="49"/>
        <v>5.1600471297326331</v>
      </c>
      <c r="CQ6" s="96">
        <f t="shared" si="50"/>
        <v>82.954527517052853</v>
      </c>
      <c r="CS6" s="10">
        <v>45050.541666666664</v>
      </c>
      <c r="CT6" s="110">
        <v>9.3448856240914993E-2</v>
      </c>
      <c r="CU6" s="21">
        <v>100.9486689</v>
      </c>
      <c r="CV6" s="111">
        <v>4142</v>
      </c>
      <c r="CW6" s="21">
        <f t="shared" si="51"/>
        <v>69.033333333333331</v>
      </c>
      <c r="CX6" s="21">
        <f t="shared" si="52"/>
        <v>6.4510860424978311</v>
      </c>
      <c r="CY6" s="21">
        <f t="shared" si="53"/>
        <v>92.540276268151132</v>
      </c>
    </row>
    <row r="7" spans="1:103" x14ac:dyDescent="0.3">
      <c r="A7" s="10">
        <v>44776.042361111111</v>
      </c>
      <c r="B7" s="11">
        <v>1.72438646685688E-3</v>
      </c>
      <c r="C7" s="12">
        <v>0.69855224699999996</v>
      </c>
      <c r="D7" s="9">
        <v>158</v>
      </c>
      <c r="E7" s="13">
        <f t="shared" si="14"/>
        <v>2.6333333333333333</v>
      </c>
      <c r="F7" s="12">
        <f t="shared" si="15"/>
        <v>4.5408843627231174E-3</v>
      </c>
      <c r="G7" s="13">
        <f t="shared" si="16"/>
        <v>2.6457893704180964</v>
      </c>
      <c r="H7" s="11">
        <f t="shared" si="17"/>
        <v>0</v>
      </c>
      <c r="I7" s="116">
        <f t="shared" si="18"/>
        <v>0</v>
      </c>
      <c r="J7" s="21">
        <f t="shared" si="0"/>
        <v>2.1605513918533016E-4</v>
      </c>
      <c r="K7" s="116">
        <f t="shared" si="19"/>
        <v>5.7163639068074886E-4</v>
      </c>
      <c r="M7" s="25">
        <v>44781.042361111111</v>
      </c>
      <c r="N7" s="26">
        <v>4.0338568213079302E-3</v>
      </c>
      <c r="O7" s="27">
        <v>1.3930697775000001</v>
      </c>
      <c r="P7" s="28">
        <v>1250</v>
      </c>
      <c r="Q7" s="29">
        <f t="shared" si="20"/>
        <v>20.833333333333332</v>
      </c>
      <c r="R7" s="26">
        <f t="shared" si="1"/>
        <v>8.4038683777248546E-2</v>
      </c>
      <c r="S7" s="29">
        <f t="shared" si="21"/>
        <v>11.045136245479773</v>
      </c>
      <c r="T7" s="29">
        <f t="shared" si="22"/>
        <v>3.2690689297806383E-3</v>
      </c>
      <c r="U7" s="117">
        <f t="shared" si="23"/>
        <v>3.6107311725291899E-2</v>
      </c>
      <c r="V7" s="118">
        <f t="shared" si="2"/>
        <v>1.9363424445668669E-2</v>
      </c>
      <c r="W7" s="117">
        <f t="shared" si="24"/>
        <v>0.21387166118146408</v>
      </c>
      <c r="Y7" s="35">
        <v>45136.041666666664</v>
      </c>
      <c r="Z7" s="71">
        <v>8.18501275629426E-3</v>
      </c>
      <c r="AA7" s="70">
        <v>1.317101139</v>
      </c>
      <c r="AB7" s="36">
        <v>5208</v>
      </c>
      <c r="AC7" s="37">
        <f t="shared" si="25"/>
        <v>86.8</v>
      </c>
      <c r="AD7" s="37">
        <f t="shared" si="3"/>
        <v>0.71045910724634176</v>
      </c>
      <c r="AE7" s="38">
        <f t="shared" si="26"/>
        <v>31.416100892084852</v>
      </c>
      <c r="AF7" s="38">
        <f t="shared" si="27"/>
        <v>1.8027650380405141E-2</v>
      </c>
      <c r="AG7" s="38">
        <f t="shared" si="28"/>
        <v>0.56635848319803972</v>
      </c>
      <c r="AH7" s="38">
        <f t="shared" si="4"/>
        <v>6.0674893843541265E-2</v>
      </c>
      <c r="AI7" s="38">
        <f t="shared" si="29"/>
        <v>1.9061685866052305</v>
      </c>
      <c r="AK7" s="45">
        <v>45151.041666666664</v>
      </c>
      <c r="AL7" s="4">
        <v>7.37397531382136E-3</v>
      </c>
      <c r="AM7" s="3">
        <v>0.69769667099999999</v>
      </c>
      <c r="AN7" s="4">
        <v>1779</v>
      </c>
      <c r="AO7" s="46">
        <f t="shared" si="30"/>
        <v>29.65</v>
      </c>
      <c r="AP7" s="47">
        <f t="shared" si="5"/>
        <v>0.2186383680548033</v>
      </c>
      <c r="AQ7" s="50">
        <f t="shared" si="31"/>
        <v>17.640772512635152</v>
      </c>
      <c r="AR7" s="50">
        <f t="shared" si="32"/>
        <v>5.033140178475267E-2</v>
      </c>
      <c r="AS7" s="50">
        <f t="shared" si="33"/>
        <v>0.88788480912686074</v>
      </c>
      <c r="AT7" s="50">
        <f t="shared" si="6"/>
        <v>7.7512229300174387E-2</v>
      </c>
      <c r="AU7" s="50">
        <f t="shared" si="34"/>
        <v>1.3673756040315894</v>
      </c>
      <c r="AW7" s="51">
        <v>45166.041666666664</v>
      </c>
      <c r="AX7" s="72">
        <v>1.2167439556441201E-2</v>
      </c>
      <c r="AY7" s="73">
        <v>0.42386643899999998</v>
      </c>
      <c r="AZ7" s="52">
        <v>4533</v>
      </c>
      <c r="BA7" s="53">
        <f t="shared" si="35"/>
        <v>75.55</v>
      </c>
      <c r="BB7" s="72">
        <f t="shared" si="7"/>
        <v>0.91925005848913266</v>
      </c>
      <c r="BC7" s="54">
        <f t="shared" si="36"/>
        <v>35.640768428102852</v>
      </c>
      <c r="BD7" s="54">
        <f t="shared" si="37"/>
        <v>2.3952851071099918E-2</v>
      </c>
      <c r="BE7" s="54">
        <f t="shared" si="38"/>
        <v>0.85369801821790758</v>
      </c>
      <c r="BF7" s="54">
        <f t="shared" si="8"/>
        <v>4.3486324026516178E-2</v>
      </c>
      <c r="BG7" s="54">
        <f t="shared" si="39"/>
        <v>1.5498860044185083</v>
      </c>
      <c r="BI7" s="66">
        <v>45183.041666666664</v>
      </c>
      <c r="BJ7" s="67">
        <v>5.4663213325717901E-3</v>
      </c>
      <c r="BK7" s="68">
        <v>0.399936554</v>
      </c>
      <c r="BL7" s="68">
        <v>1096</v>
      </c>
      <c r="BM7" s="68">
        <f t="shared" si="40"/>
        <v>18.266666666666666</v>
      </c>
      <c r="BN7" s="68">
        <f t="shared" si="9"/>
        <v>9.985146967497803E-2</v>
      </c>
      <c r="BO7" s="69">
        <f t="shared" si="41"/>
        <v>12.018145912051784</v>
      </c>
      <c r="BP7" s="69">
        <f t="shared" si="42"/>
        <v>0</v>
      </c>
      <c r="BQ7" s="69">
        <f t="shared" si="43"/>
        <v>0</v>
      </c>
      <c r="BR7" s="69">
        <f t="shared" si="10"/>
        <v>0</v>
      </c>
      <c r="BS7" s="69">
        <f t="shared" si="44"/>
        <v>0</v>
      </c>
      <c r="BU7" s="82">
        <v>45046.375</v>
      </c>
      <c r="BV7" s="112">
        <v>3.4657274000000002E-2</v>
      </c>
      <c r="BW7" s="83">
        <v>69.36581735</v>
      </c>
      <c r="BX7" s="112">
        <v>8100</v>
      </c>
      <c r="BY7" s="83">
        <f t="shared" si="11"/>
        <v>135</v>
      </c>
      <c r="BZ7" s="84">
        <f t="shared" si="12"/>
        <v>4.6787319900000002</v>
      </c>
      <c r="CA7" s="83">
        <f t="shared" si="13"/>
        <v>79.07065870598538</v>
      </c>
      <c r="CC7" s="87">
        <v>45047.25</v>
      </c>
      <c r="CD7" s="109">
        <v>3.1521529038454801E-2</v>
      </c>
      <c r="CE7" s="88">
        <v>80.961047410000006</v>
      </c>
      <c r="CF7" s="89">
        <v>7804</v>
      </c>
      <c r="CG7" s="90">
        <f t="shared" si="45"/>
        <v>130.06666666666666</v>
      </c>
      <c r="CH7" s="91">
        <f t="shared" si="46"/>
        <v>4.0999002102683546</v>
      </c>
      <c r="CI7" s="91">
        <f t="shared" si="47"/>
        <v>74.118849769232312</v>
      </c>
      <c r="CK7" s="93">
        <v>45049.291666666664</v>
      </c>
      <c r="CL7">
        <v>3.2941322561112499E-2</v>
      </c>
      <c r="CM7" s="95">
        <v>108.62303609999999</v>
      </c>
      <c r="CN7" s="4">
        <v>10340</v>
      </c>
      <c r="CO7" s="95">
        <f t="shared" si="48"/>
        <v>172.33333333333334</v>
      </c>
      <c r="CP7" s="94">
        <f t="shared" si="49"/>
        <v>5.6768879213650543</v>
      </c>
      <c r="CQ7" s="96">
        <f t="shared" si="50"/>
        <v>86.924342915009575</v>
      </c>
      <c r="CS7" s="10">
        <v>45050.552083333336</v>
      </c>
      <c r="CT7" s="110">
        <v>9.6062476792138099E-2</v>
      </c>
      <c r="CU7" s="21">
        <v>97.649612750000003</v>
      </c>
      <c r="CV7" s="111">
        <v>4160</v>
      </c>
      <c r="CW7" s="21">
        <f t="shared" si="51"/>
        <v>69.333333333333329</v>
      </c>
      <c r="CX7" s="21">
        <f t="shared" si="52"/>
        <v>6.6603317242549078</v>
      </c>
      <c r="CY7" s="21">
        <f t="shared" si="53"/>
        <v>93.998195275073385</v>
      </c>
    </row>
    <row r="8" spans="1:103" x14ac:dyDescent="0.3">
      <c r="A8" s="10">
        <v>44776.052777777775</v>
      </c>
      <c r="B8" s="11">
        <v>1.4704661606273399E-3</v>
      </c>
      <c r="C8" s="12">
        <v>0.71226070049999901</v>
      </c>
      <c r="D8" s="9">
        <v>143</v>
      </c>
      <c r="E8" s="13">
        <f t="shared" si="14"/>
        <v>2.3833333333333333</v>
      </c>
      <c r="F8" s="12">
        <f t="shared" si="15"/>
        <v>3.5046110161618266E-3</v>
      </c>
      <c r="G8" s="13">
        <f t="shared" si="16"/>
        <v>2.3305783803926121</v>
      </c>
      <c r="H8" s="11">
        <f t="shared" si="17"/>
        <v>0</v>
      </c>
      <c r="I8" s="116">
        <f t="shared" si="18"/>
        <v>0</v>
      </c>
      <c r="J8" s="21">
        <f t="shared" si="0"/>
        <v>1.1397403275139005E-6</v>
      </c>
      <c r="K8" s="116">
        <f t="shared" si="19"/>
        <v>2.6562541665654917E-6</v>
      </c>
      <c r="M8" s="25">
        <v>44781.052777777775</v>
      </c>
      <c r="N8" s="26">
        <v>3.37164121232515E-3</v>
      </c>
      <c r="O8" s="27">
        <v>1.357638297</v>
      </c>
      <c r="P8" s="28">
        <v>1223</v>
      </c>
      <c r="Q8" s="29">
        <f t="shared" si="20"/>
        <v>20.383333333333333</v>
      </c>
      <c r="R8" s="26">
        <f t="shared" si="1"/>
        <v>6.8725286711227643E-2</v>
      </c>
      <c r="S8" s="29">
        <f t="shared" si="21"/>
        <v>10.008974257758966</v>
      </c>
      <c r="T8" s="29">
        <f t="shared" si="22"/>
        <v>2.1155066415997452E-3</v>
      </c>
      <c r="U8" s="117">
        <f t="shared" si="23"/>
        <v>2.1174051517889973E-2</v>
      </c>
      <c r="V8" s="118">
        <f t="shared" si="2"/>
        <v>1.1601013723308809E-2</v>
      </c>
      <c r="W8" s="117">
        <f t="shared" si="24"/>
        <v>0.11611424772050637</v>
      </c>
      <c r="Y8" s="35">
        <v>45136.052083333336</v>
      </c>
      <c r="Z8" s="71">
        <v>9.4849839824454E-3</v>
      </c>
      <c r="AA8" s="70">
        <v>1.1441742989999999</v>
      </c>
      <c r="AB8" s="36">
        <v>4584</v>
      </c>
      <c r="AC8" s="37">
        <f t="shared" si="25"/>
        <v>76.400000000000006</v>
      </c>
      <c r="AD8" s="37">
        <f t="shared" si="3"/>
        <v>0.72465277625882862</v>
      </c>
      <c r="AE8" s="38">
        <f t="shared" si="26"/>
        <v>31.72190310962235</v>
      </c>
      <c r="AF8" s="38">
        <f t="shared" si="27"/>
        <v>9.0021679876807585E-3</v>
      </c>
      <c r="AG8" s="38">
        <f t="shared" si="28"/>
        <v>0.28556590068175303</v>
      </c>
      <c r="AH8" s="38">
        <f t="shared" si="4"/>
        <v>6.4438201164764092E-2</v>
      </c>
      <c r="AI8" s="38">
        <f t="shared" si="29"/>
        <v>2.0441023739070006</v>
      </c>
      <c r="AK8" s="45">
        <v>45151.052083333336</v>
      </c>
      <c r="AL8" s="4">
        <v>5.1172948044195098E-3</v>
      </c>
      <c r="AM8" s="3">
        <v>0.66168135500000003</v>
      </c>
      <c r="AN8" s="4">
        <v>1412</v>
      </c>
      <c r="AO8" s="46">
        <f t="shared" si="30"/>
        <v>23.533333333333335</v>
      </c>
      <c r="AP8" s="47">
        <f t="shared" si="5"/>
        <v>0.12042700439733914</v>
      </c>
      <c r="AQ8" s="50">
        <f t="shared" si="31"/>
        <v>13.172981394580948</v>
      </c>
      <c r="AR8" s="50">
        <f t="shared" si="32"/>
        <v>3.0740633965156895E-2</v>
      </c>
      <c r="AS8" s="50">
        <f t="shared" si="33"/>
        <v>0.4049457992806349</v>
      </c>
      <c r="AT8" s="50">
        <f t="shared" si="6"/>
        <v>0</v>
      </c>
      <c r="AU8" s="50">
        <f t="shared" si="34"/>
        <v>0</v>
      </c>
      <c r="AW8" s="51">
        <v>45166.052083333336</v>
      </c>
      <c r="AX8" s="72">
        <v>1.31922622969669E-2</v>
      </c>
      <c r="AY8" s="73">
        <v>0.44894941300000002</v>
      </c>
      <c r="AZ8" s="52">
        <v>4857</v>
      </c>
      <c r="BA8" s="53">
        <f t="shared" si="35"/>
        <v>80.95</v>
      </c>
      <c r="BB8" s="72">
        <f t="shared" si="7"/>
        <v>1.0679136329394707</v>
      </c>
      <c r="BC8" s="54">
        <f t="shared" si="36"/>
        <v>38.355507714735971</v>
      </c>
      <c r="BD8" s="54">
        <f t="shared" si="37"/>
        <v>3.7380996036869431E-2</v>
      </c>
      <c r="BE8" s="54">
        <f t="shared" si="38"/>
        <v>1.4337670818766601</v>
      </c>
      <c r="BF8" s="54">
        <f t="shared" si="8"/>
        <v>6.724091716456039E-2</v>
      </c>
      <c r="BG8" s="54">
        <f t="shared" si="39"/>
        <v>2.5790595170512183</v>
      </c>
      <c r="BI8" s="66">
        <v>45183.052083333336</v>
      </c>
      <c r="BJ8" s="67">
        <v>7.2387601189118E-3</v>
      </c>
      <c r="BK8" s="68">
        <v>0.50323377899999999</v>
      </c>
      <c r="BL8" s="68">
        <v>1870</v>
      </c>
      <c r="BM8" s="68">
        <f t="shared" si="40"/>
        <v>31.166666666666668</v>
      </c>
      <c r="BN8" s="68">
        <f t="shared" si="9"/>
        <v>0.22560802370608443</v>
      </c>
      <c r="BO8" s="69">
        <f t="shared" si="41"/>
        <v>17.913948094183343</v>
      </c>
      <c r="BP8" s="69">
        <f t="shared" si="42"/>
        <v>3.3779808785430195E-2</v>
      </c>
      <c r="BQ8" s="69">
        <f t="shared" si="43"/>
        <v>0.60512974121363494</v>
      </c>
      <c r="BR8" s="69">
        <f t="shared" si="10"/>
        <v>5.6879232924173934E-3</v>
      </c>
      <c r="BS8" s="69">
        <f t="shared" si="44"/>
        <v>0.10189316262406162</v>
      </c>
      <c r="BU8" s="82">
        <v>45046.385416666664</v>
      </c>
      <c r="BV8" s="112">
        <v>4.1305267999999999E-2</v>
      </c>
      <c r="BW8" s="83">
        <v>67.106545600000004</v>
      </c>
      <c r="BX8" s="112">
        <v>8147</v>
      </c>
      <c r="BY8" s="83">
        <f t="shared" si="11"/>
        <v>135.78333333333333</v>
      </c>
      <c r="BZ8" s="84">
        <f t="shared" si="12"/>
        <v>5.6085669732666661</v>
      </c>
      <c r="CA8" s="83">
        <f t="shared" si="13"/>
        <v>86.410471155116355</v>
      </c>
      <c r="CC8" s="87">
        <v>45047.260416666664</v>
      </c>
      <c r="CD8" s="109">
        <v>3.3800052556195302E-2</v>
      </c>
      <c r="CE8" s="88">
        <v>82.276892649999994</v>
      </c>
      <c r="CF8" s="89">
        <v>7813</v>
      </c>
      <c r="CG8" s="90">
        <f t="shared" si="45"/>
        <v>130.21666666666667</v>
      </c>
      <c r="CH8" s="91">
        <f t="shared" si="46"/>
        <v>4.4013301770258986</v>
      </c>
      <c r="CI8" s="91">
        <f t="shared" si="47"/>
        <v>76.739091393463653</v>
      </c>
      <c r="CK8" s="93">
        <v>45049.302083333336</v>
      </c>
      <c r="CL8">
        <v>3.1407270262268798E-2</v>
      </c>
      <c r="CM8" s="95">
        <v>93.457733590000004</v>
      </c>
      <c r="CN8" s="4">
        <v>10267</v>
      </c>
      <c r="CO8" s="95">
        <f t="shared" si="48"/>
        <v>171.11666666666667</v>
      </c>
      <c r="CP8" s="94">
        <f t="shared" si="49"/>
        <v>5.3743073963785628</v>
      </c>
      <c r="CQ8" s="96">
        <f t="shared" si="50"/>
        <v>84.623799863901397</v>
      </c>
      <c r="CS8" s="10">
        <v>45050.5625</v>
      </c>
      <c r="CT8" s="110">
        <v>8.65790585873258E-2</v>
      </c>
      <c r="CU8" s="21">
        <v>96.400480259999995</v>
      </c>
      <c r="CV8" s="111">
        <v>4320</v>
      </c>
      <c r="CW8" s="21">
        <f t="shared" si="51"/>
        <v>72</v>
      </c>
      <c r="CX8" s="21">
        <f t="shared" si="52"/>
        <v>6.2336922182874579</v>
      </c>
      <c r="CY8" s="21">
        <f t="shared" si="53"/>
        <v>90.999790681567461</v>
      </c>
    </row>
    <row r="9" spans="1:103" x14ac:dyDescent="0.3">
      <c r="A9" s="10">
        <v>44776.063194444447</v>
      </c>
      <c r="B9" s="11">
        <v>1.6665107529161901E-3</v>
      </c>
      <c r="C9" s="12">
        <v>0.773592222</v>
      </c>
      <c r="D9" s="9">
        <v>148</v>
      </c>
      <c r="E9" s="13">
        <f t="shared" si="14"/>
        <v>2.4666666666666668</v>
      </c>
      <c r="F9" s="12">
        <f t="shared" si="15"/>
        <v>4.1107265238599358E-3</v>
      </c>
      <c r="G9" s="13">
        <f t="shared" si="16"/>
        <v>2.519936075085202</v>
      </c>
      <c r="H9" s="11">
        <f t="shared" si="17"/>
        <v>4.1195603505293967E-3</v>
      </c>
      <c r="I9" s="116">
        <f t="shared" si="18"/>
        <v>1.0381028740789666E-2</v>
      </c>
      <c r="J9" s="21">
        <f t="shared" si="0"/>
        <v>1.2684359686604782E-4</v>
      </c>
      <c r="K9" s="116">
        <f t="shared" si="19"/>
        <v>3.1963775563631817E-4</v>
      </c>
      <c r="M9" s="25">
        <v>44781.063194444447</v>
      </c>
      <c r="N9" s="26">
        <v>4.3578673023543599E-3</v>
      </c>
      <c r="O9" s="27">
        <v>1.362681324</v>
      </c>
      <c r="P9" s="28">
        <v>1302</v>
      </c>
      <c r="Q9" s="29">
        <f t="shared" si="20"/>
        <v>21.7</v>
      </c>
      <c r="R9" s="26">
        <f t="shared" si="1"/>
        <v>9.4565720461089603E-2</v>
      </c>
      <c r="S9" s="29">
        <f t="shared" si="21"/>
        <v>11.70227778463963</v>
      </c>
      <c r="T9" s="29">
        <f t="shared" si="22"/>
        <v>2.2796952581459248E-3</v>
      </c>
      <c r="U9" s="117">
        <f t="shared" si="23"/>
        <v>2.6677627175149363E-2</v>
      </c>
      <c r="V9" s="118">
        <f t="shared" si="2"/>
        <v>2.4699613540552279E-2</v>
      </c>
      <c r="W9" s="117">
        <f t="shared" si="24"/>
        <v>0.28904173882478912</v>
      </c>
      <c r="Y9" s="35">
        <v>45136.0625</v>
      </c>
      <c r="Z9" s="71">
        <v>8.8037191334718896E-3</v>
      </c>
      <c r="AA9" s="70">
        <v>1.257509953</v>
      </c>
      <c r="AB9" s="36">
        <v>5123</v>
      </c>
      <c r="AC9" s="37">
        <f t="shared" si="25"/>
        <v>85.38333333333334</v>
      </c>
      <c r="AD9" s="37">
        <f t="shared" si="3"/>
        <v>0.75169088534627493</v>
      </c>
      <c r="AE9" s="38">
        <f t="shared" si="26"/>
        <v>32.296096210611431</v>
      </c>
      <c r="AF9" s="38">
        <f t="shared" si="27"/>
        <v>1.4917437992296022E-2</v>
      </c>
      <c r="AG9" s="38">
        <f t="shared" si="28"/>
        <v>0.48177501261502254</v>
      </c>
      <c r="AH9" s="38">
        <f t="shared" si="4"/>
        <v>7.1607081444506504E-2</v>
      </c>
      <c r="AI9" s="38">
        <f t="shared" si="29"/>
        <v>2.3126291916928707</v>
      </c>
      <c r="AK9" s="45">
        <v>45151.0625</v>
      </c>
      <c r="AL9" s="4">
        <v>5.4349889838434303E-3</v>
      </c>
      <c r="AM9" s="3">
        <v>0.66168135500000003</v>
      </c>
      <c r="AN9" s="4">
        <v>1463</v>
      </c>
      <c r="AO9" s="46">
        <f t="shared" si="30"/>
        <v>24.383333333333333</v>
      </c>
      <c r="AP9" s="47">
        <f t="shared" si="5"/>
        <v>0.13252314805604898</v>
      </c>
      <c r="AQ9" s="50">
        <f t="shared" si="31"/>
        <v>13.805109624900602</v>
      </c>
      <c r="AR9" s="50">
        <f t="shared" si="32"/>
        <v>3.0740633965156895E-2</v>
      </c>
      <c r="AS9" s="50">
        <f t="shared" si="33"/>
        <v>0.42437782182793382</v>
      </c>
      <c r="AT9" s="50">
        <f t="shared" si="6"/>
        <v>9.3123794718815503E-3</v>
      </c>
      <c r="AU9" s="50">
        <f t="shared" si="34"/>
        <v>0.12855841947799879</v>
      </c>
      <c r="AW9" s="51">
        <v>45166.0625</v>
      </c>
      <c r="AX9" s="72">
        <v>9.3324856544559701E-3</v>
      </c>
      <c r="AY9" s="73">
        <v>0.376777213</v>
      </c>
      <c r="AZ9" s="52">
        <v>3974</v>
      </c>
      <c r="BA9" s="53">
        <f t="shared" si="35"/>
        <v>66.233333333333334</v>
      </c>
      <c r="BB9" s="72">
        <f t="shared" si="7"/>
        <v>0.6181216331801338</v>
      </c>
      <c r="BC9" s="54">
        <f t="shared" si="36"/>
        <v>29.345566839890022</v>
      </c>
      <c r="BD9" s="54">
        <f t="shared" si="37"/>
        <v>0</v>
      </c>
      <c r="BE9" s="54">
        <f t="shared" si="38"/>
        <v>0</v>
      </c>
      <c r="BF9" s="54">
        <f t="shared" si="8"/>
        <v>0</v>
      </c>
      <c r="BG9" s="54">
        <f t="shared" si="39"/>
        <v>0</v>
      </c>
      <c r="BI9" s="66">
        <v>45183.0625</v>
      </c>
      <c r="BJ9" s="67">
        <v>7.0337175579352797E-3</v>
      </c>
      <c r="BK9" s="68">
        <v>0.53251963199999997</v>
      </c>
      <c r="BL9" s="68">
        <v>1826</v>
      </c>
      <c r="BM9" s="68">
        <f t="shared" si="40"/>
        <v>30.433333333333334</v>
      </c>
      <c r="BN9" s="68">
        <f t="shared" si="9"/>
        <v>0.21405947101316367</v>
      </c>
      <c r="BO9" s="69">
        <f t="shared" si="41"/>
        <v>17.458877260440204</v>
      </c>
      <c r="BP9" s="69">
        <f t="shared" si="42"/>
        <v>6.3843165181986211E-2</v>
      </c>
      <c r="BQ9" s="69">
        <f t="shared" si="43"/>
        <v>1.1146299848303067</v>
      </c>
      <c r="BR9" s="69">
        <f t="shared" si="10"/>
        <v>4.6994237556553867E-3</v>
      </c>
      <c r="BS9" s="69">
        <f t="shared" si="44"/>
        <v>8.2046662544784335E-2</v>
      </c>
      <c r="BU9" s="82">
        <v>45046.395833333336</v>
      </c>
      <c r="BV9" s="112">
        <v>3.4257292000000002E-2</v>
      </c>
      <c r="BW9" s="83">
        <v>68.466857000000005</v>
      </c>
      <c r="BX9" s="112">
        <v>8087</v>
      </c>
      <c r="BY9" s="83">
        <f t="shared" si="11"/>
        <v>134.78333333333333</v>
      </c>
      <c r="BZ9" s="84">
        <f t="shared" si="12"/>
        <v>4.6173120067333331</v>
      </c>
      <c r="CA9" s="83">
        <f t="shared" si="13"/>
        <v>78.560636745669044</v>
      </c>
      <c r="CC9" s="87">
        <v>45047.270833333336</v>
      </c>
      <c r="CD9" s="109">
        <v>3.34618052358433E-2</v>
      </c>
      <c r="CE9" s="88">
        <v>82.718647970000006</v>
      </c>
      <c r="CF9" s="89">
        <v>7687</v>
      </c>
      <c r="CG9" s="90">
        <f t="shared" si="45"/>
        <v>128.11666666666667</v>
      </c>
      <c r="CH9" s="91">
        <f t="shared" si="46"/>
        <v>4.2870149474654582</v>
      </c>
      <c r="CI9" s="91">
        <f t="shared" si="47"/>
        <v>75.756498835522578</v>
      </c>
      <c r="CK9" s="93">
        <v>45049.3125</v>
      </c>
      <c r="CL9">
        <v>3.02222231060927E-2</v>
      </c>
      <c r="CM9" s="95">
        <v>98.893656829999998</v>
      </c>
      <c r="CN9" s="4">
        <v>10519</v>
      </c>
      <c r="CO9" s="95">
        <f t="shared" si="48"/>
        <v>175.31666666666666</v>
      </c>
      <c r="CP9" s="94">
        <f t="shared" si="49"/>
        <v>5.2984594142164854</v>
      </c>
      <c r="CQ9" s="96">
        <f t="shared" si="50"/>
        <v>84.036829210087575</v>
      </c>
      <c r="CS9" s="10">
        <v>45050.572916666664</v>
      </c>
      <c r="CT9" s="110">
        <v>8.9017828530349397E-2</v>
      </c>
      <c r="CU9" s="21">
        <v>97.229596529999995</v>
      </c>
      <c r="CV9" s="111">
        <v>4311</v>
      </c>
      <c r="CW9" s="21">
        <f t="shared" si="51"/>
        <v>71.849999999999994</v>
      </c>
      <c r="CX9" s="21">
        <f t="shared" si="52"/>
        <v>6.3959309799056037</v>
      </c>
      <c r="CY9" s="21">
        <f t="shared" si="53"/>
        <v>92.151979388979882</v>
      </c>
    </row>
    <row r="10" spans="1:103" x14ac:dyDescent="0.3">
      <c r="A10" s="10">
        <v>44776.073611111111</v>
      </c>
      <c r="B10" s="11">
        <v>1.83290314890138E-3</v>
      </c>
      <c r="C10" s="12">
        <v>0.76798645399999999</v>
      </c>
      <c r="D10" s="9">
        <v>159</v>
      </c>
      <c r="E10" s="13">
        <f t="shared" si="14"/>
        <v>2.65</v>
      </c>
      <c r="F10" s="12">
        <f t="shared" si="15"/>
        <v>4.8571933445886572E-3</v>
      </c>
      <c r="G10" s="13">
        <f t="shared" si="16"/>
        <v>2.7344911288796694</v>
      </c>
      <c r="H10" s="11">
        <f t="shared" si="17"/>
        <v>3.6506381984205073E-3</v>
      </c>
      <c r="I10" s="116">
        <f t="shared" si="18"/>
        <v>9.9826377683301364E-3</v>
      </c>
      <c r="J10" s="21">
        <f t="shared" si="0"/>
        <v>2.8165527376904987E-4</v>
      </c>
      <c r="K10" s="116">
        <f t="shared" si="19"/>
        <v>7.7018384752364146E-4</v>
      </c>
      <c r="M10" s="25">
        <v>44781.073611111111</v>
      </c>
      <c r="N10" s="26">
        <v>4.8753227192836202E-3</v>
      </c>
      <c r="O10" s="27">
        <v>1.428025611</v>
      </c>
      <c r="P10" s="28">
        <v>1360</v>
      </c>
      <c r="Q10" s="29">
        <f t="shared" si="20"/>
        <v>22.666666666666668</v>
      </c>
      <c r="R10" s="26">
        <f t="shared" si="1"/>
        <v>0.11050731497042873</v>
      </c>
      <c r="S10" s="29">
        <f t="shared" si="21"/>
        <v>12.629965915920756</v>
      </c>
      <c r="T10" s="29">
        <f t="shared" si="22"/>
        <v>4.4071453157654211E-3</v>
      </c>
      <c r="U10" s="117">
        <f t="shared" si="23"/>
        <v>5.5662095124627088E-2</v>
      </c>
      <c r="V10" s="118">
        <f t="shared" si="2"/>
        <v>3.2780459587794596E-2</v>
      </c>
      <c r="W10" s="117">
        <f t="shared" si="24"/>
        <v>0.41401608730206352</v>
      </c>
      <c r="Y10" s="35">
        <v>45136.072916666664</v>
      </c>
      <c r="Z10" s="71">
        <v>6.6931413721323099E-3</v>
      </c>
      <c r="AA10" s="70">
        <v>0.85462156099999997</v>
      </c>
      <c r="AB10" s="36">
        <v>3239</v>
      </c>
      <c r="AC10" s="37">
        <f t="shared" si="25"/>
        <v>53.983333333333334</v>
      </c>
      <c r="AD10" s="37">
        <f t="shared" si="3"/>
        <v>0.36131808173894253</v>
      </c>
      <c r="AE10" s="38">
        <f t="shared" si="26"/>
        <v>22.560679543175702</v>
      </c>
      <c r="AF10" s="38">
        <f t="shared" si="27"/>
        <v>0</v>
      </c>
      <c r="AG10" s="38">
        <f t="shared" si="28"/>
        <v>0</v>
      </c>
      <c r="AH10" s="38">
        <f t="shared" si="4"/>
        <v>0</v>
      </c>
      <c r="AI10" s="38">
        <f t="shared" si="29"/>
        <v>0</v>
      </c>
      <c r="AK10" s="45">
        <v>45151.072916666664</v>
      </c>
      <c r="AL10" s="4">
        <v>5.0742199706757703E-3</v>
      </c>
      <c r="AM10" s="3">
        <v>0.59425534599999996</v>
      </c>
      <c r="AN10" s="4">
        <v>1203</v>
      </c>
      <c r="AO10" s="46">
        <f t="shared" si="30"/>
        <v>20.05</v>
      </c>
      <c r="AP10" s="47">
        <f t="shared" si="5"/>
        <v>0.10173811041204919</v>
      </c>
      <c r="AQ10" s="50">
        <f t="shared" si="31"/>
        <v>12.128814236870042</v>
      </c>
      <c r="AR10" s="50">
        <f t="shared" si="32"/>
        <v>0</v>
      </c>
      <c r="AS10" s="50">
        <f t="shared" si="33"/>
        <v>0</v>
      </c>
      <c r="AT10" s="50">
        <f t="shared" si="6"/>
        <v>0</v>
      </c>
      <c r="AU10" s="50">
        <f t="shared" si="34"/>
        <v>0</v>
      </c>
      <c r="AW10" s="51">
        <v>45166.072916666664</v>
      </c>
      <c r="AX10" s="72">
        <v>1.13237827412186E-2</v>
      </c>
      <c r="AY10" s="73">
        <v>0.44894941300000002</v>
      </c>
      <c r="AZ10" s="52">
        <v>5103</v>
      </c>
      <c r="BA10" s="53">
        <f t="shared" si="35"/>
        <v>85.05</v>
      </c>
      <c r="BB10" s="72">
        <f t="shared" si="7"/>
        <v>0.96308772214064187</v>
      </c>
      <c r="BC10" s="54">
        <f t="shared" si="36"/>
        <v>36.463198159789307</v>
      </c>
      <c r="BD10" s="54">
        <f t="shared" si="37"/>
        <v>3.7380996036869431E-2</v>
      </c>
      <c r="BE10" s="54">
        <f t="shared" si="38"/>
        <v>1.3630306659026687</v>
      </c>
      <c r="BF10" s="54">
        <f t="shared" si="8"/>
        <v>5.049103831523321E-2</v>
      </c>
      <c r="BG10" s="54">
        <f t="shared" si="39"/>
        <v>1.841064735381863</v>
      </c>
      <c r="BI10" s="66">
        <v>45183.072916666664</v>
      </c>
      <c r="BJ10" s="67">
        <v>5.6874719280770904E-3</v>
      </c>
      <c r="BK10" s="68">
        <v>0.50323377899999999</v>
      </c>
      <c r="BL10" s="68">
        <v>1705</v>
      </c>
      <c r="BM10" s="68">
        <f t="shared" si="40"/>
        <v>28.416666666666668</v>
      </c>
      <c r="BN10" s="68">
        <f t="shared" si="9"/>
        <v>0.16161899395619067</v>
      </c>
      <c r="BO10" s="69">
        <f t="shared" si="41"/>
        <v>15.21431208453186</v>
      </c>
      <c r="BP10" s="69">
        <f t="shared" si="42"/>
        <v>3.3779808785430195E-2</v>
      </c>
      <c r="BQ10" s="69">
        <f t="shared" si="43"/>
        <v>0.51393655301734609</v>
      </c>
      <c r="BR10" s="69">
        <f t="shared" si="10"/>
        <v>2.1077581363468457E-4</v>
      </c>
      <c r="BS10" s="69">
        <f t="shared" si="44"/>
        <v>3.2068090085092169E-3</v>
      </c>
      <c r="BU10" s="82">
        <v>45046.40625</v>
      </c>
      <c r="BV10" s="112">
        <v>3.8110062E-2</v>
      </c>
      <c r="BW10" s="83">
        <v>68.466857000000005</v>
      </c>
      <c r="BX10" s="112">
        <v>8003</v>
      </c>
      <c r="BY10" s="83">
        <f t="shared" si="11"/>
        <v>133.38333333333333</v>
      </c>
      <c r="BZ10" s="84">
        <f t="shared" si="12"/>
        <v>5.0832471030999997</v>
      </c>
      <c r="CA10" s="83">
        <f t="shared" si="13"/>
        <v>82.347600517405539</v>
      </c>
      <c r="CC10" s="87">
        <v>45047.28125</v>
      </c>
      <c r="CD10" s="109">
        <v>3.4986892084342601E-2</v>
      </c>
      <c r="CE10" s="88">
        <v>84.460540300000005</v>
      </c>
      <c r="CF10" s="89">
        <v>7820</v>
      </c>
      <c r="CG10" s="90">
        <f t="shared" si="45"/>
        <v>130.33333333333334</v>
      </c>
      <c r="CH10" s="91">
        <f t="shared" si="46"/>
        <v>4.5599582683259863</v>
      </c>
      <c r="CI10" s="91">
        <f t="shared" si="47"/>
        <v>78.08124505381646</v>
      </c>
      <c r="CK10" s="93">
        <v>45049.322916666664</v>
      </c>
      <c r="CL10">
        <v>3.2448527286859603E-2</v>
      </c>
      <c r="CM10" s="95">
        <v>91.345373739999999</v>
      </c>
      <c r="CN10" s="4">
        <v>10834</v>
      </c>
      <c r="CO10" s="95">
        <f t="shared" si="48"/>
        <v>180.56666666666666</v>
      </c>
      <c r="CP10" s="94">
        <f t="shared" si="49"/>
        <v>5.8591224104306159</v>
      </c>
      <c r="CQ10" s="96">
        <f t="shared" si="50"/>
        <v>88.279772023546002</v>
      </c>
      <c r="CS10" s="10">
        <v>45050.583333333336</v>
      </c>
      <c r="CT10" s="110">
        <v>9.4037453556883394E-2</v>
      </c>
      <c r="CU10" s="21">
        <v>105.42475589999999</v>
      </c>
      <c r="CV10" s="111">
        <v>4040</v>
      </c>
      <c r="CW10" s="21">
        <f t="shared" si="51"/>
        <v>67.333333333333329</v>
      </c>
      <c r="CX10" s="21">
        <f t="shared" si="52"/>
        <v>6.331855206163481</v>
      </c>
      <c r="CY10" s="21">
        <f t="shared" si="53"/>
        <v>91.698727955316642</v>
      </c>
    </row>
    <row r="11" spans="1:103" x14ac:dyDescent="0.3">
      <c r="A11" s="10">
        <v>44776.084027777775</v>
      </c>
      <c r="B11" s="11">
        <v>1.6837174444085899E-3</v>
      </c>
      <c r="C11" s="12">
        <v>0.7563906655</v>
      </c>
      <c r="D11" s="9">
        <v>156</v>
      </c>
      <c r="E11" s="13">
        <f t="shared" si="14"/>
        <v>2.6</v>
      </c>
      <c r="F11" s="12">
        <f t="shared" si="15"/>
        <v>4.3776653554623342E-3</v>
      </c>
      <c r="G11" s="13">
        <f t="shared" si="16"/>
        <v>2.5987833405071061</v>
      </c>
      <c r="H11" s="11">
        <f t="shared" si="17"/>
        <v>2.6806511959581352E-3</v>
      </c>
      <c r="I11" s="116">
        <f t="shared" si="18"/>
        <v>6.9664316697664519E-3</v>
      </c>
      <c r="J11" s="21">
        <f t="shared" si="0"/>
        <v>1.8220472880564633E-4</v>
      </c>
      <c r="K11" s="116">
        <f t="shared" si="19"/>
        <v>4.735106137817289E-4</v>
      </c>
      <c r="M11" s="25">
        <v>44781.084027777775</v>
      </c>
      <c r="N11" s="26">
        <v>4.1854080675101501E-3</v>
      </c>
      <c r="O11" s="27">
        <v>1.4664620669999999</v>
      </c>
      <c r="P11" s="28">
        <v>1517</v>
      </c>
      <c r="Q11" s="29">
        <f t="shared" si="20"/>
        <v>25.283333333333335</v>
      </c>
      <c r="R11" s="26">
        <f t="shared" si="1"/>
        <v>0.10582106730688164</v>
      </c>
      <c r="S11" s="29">
        <f t="shared" si="21"/>
        <v>12.364784977486735</v>
      </c>
      <c r="T11" s="29">
        <f t="shared" si="22"/>
        <v>5.6585422516886629E-3</v>
      </c>
      <c r="U11" s="117">
        <f t="shared" si="23"/>
        <v>6.9966658228153941E-2</v>
      </c>
      <c r="V11" s="118">
        <f t="shared" si="2"/>
        <v>3.0404985422635759E-2</v>
      </c>
      <c r="W11" s="117">
        <f t="shared" si="24"/>
        <v>0.37595110699450979</v>
      </c>
      <c r="Y11" s="35">
        <v>45136.083333333336</v>
      </c>
      <c r="Z11" s="71">
        <v>7.2577035099906304E-3</v>
      </c>
      <c r="AA11" s="70">
        <v>1.257509953</v>
      </c>
      <c r="AB11" s="36">
        <v>4899</v>
      </c>
      <c r="AC11" s="37">
        <f t="shared" si="25"/>
        <v>81.650000000000006</v>
      </c>
      <c r="AD11" s="37">
        <f t="shared" si="3"/>
        <v>0.59259149159073499</v>
      </c>
      <c r="AE11" s="38">
        <f t="shared" si="26"/>
        <v>28.745635725673324</v>
      </c>
      <c r="AF11" s="38">
        <f t="shared" si="27"/>
        <v>1.4917437992296022E-2</v>
      </c>
      <c r="AG11" s="38">
        <f t="shared" si="28"/>
        <v>0.42881123848686109</v>
      </c>
      <c r="AH11" s="38">
        <f t="shared" si="4"/>
        <v>2.9423491507641321E-2</v>
      </c>
      <c r="AI11" s="38">
        <f t="shared" si="29"/>
        <v>0.84579696865609999</v>
      </c>
      <c r="AK11" s="45">
        <v>45151.083333333336</v>
      </c>
      <c r="AL11" s="4">
        <v>5.2715473421977403E-3</v>
      </c>
      <c r="AM11" s="3">
        <v>0.66168135500000003</v>
      </c>
      <c r="AN11" s="4">
        <v>1543</v>
      </c>
      <c r="AO11" s="46">
        <f t="shared" si="30"/>
        <v>25.716666666666665</v>
      </c>
      <c r="AP11" s="47">
        <f t="shared" si="5"/>
        <v>0.13556662581685189</v>
      </c>
      <c r="AQ11" s="50">
        <f t="shared" si="31"/>
        <v>13.959466228967017</v>
      </c>
      <c r="AR11" s="50">
        <f t="shared" si="32"/>
        <v>3.0740633965156895E-2</v>
      </c>
      <c r="AS11" s="50">
        <f t="shared" si="33"/>
        <v>0.42912284169364412</v>
      </c>
      <c r="AT11" s="50">
        <f t="shared" si="6"/>
        <v>1.1722693540004582E-2</v>
      </c>
      <c r="AU11" s="50">
        <f t="shared" si="34"/>
        <v>0.16364254458422378</v>
      </c>
      <c r="AW11" s="51">
        <v>45166.083333333336</v>
      </c>
      <c r="AX11" s="72">
        <v>1.1123627719475299E-2</v>
      </c>
      <c r="AY11" s="73">
        <v>0.44894941300000002</v>
      </c>
      <c r="AZ11" s="52">
        <v>4906</v>
      </c>
      <c r="BA11" s="53">
        <f t="shared" si="35"/>
        <v>81.766666666666666</v>
      </c>
      <c r="BB11" s="72">
        <f t="shared" si="7"/>
        <v>0.90954195986243025</v>
      </c>
      <c r="BC11" s="54">
        <f t="shared" si="36"/>
        <v>35.455946879836603</v>
      </c>
      <c r="BD11" s="54">
        <f t="shared" si="37"/>
        <v>3.7380996036869431E-2</v>
      </c>
      <c r="BE11" s="54">
        <f t="shared" si="38"/>
        <v>1.3253786097986251</v>
      </c>
      <c r="BF11" s="54">
        <f t="shared" si="8"/>
        <v>4.1935090418189623E-2</v>
      </c>
      <c r="BG11" s="54">
        <f t="shared" si="39"/>
        <v>1.4868483382684763</v>
      </c>
      <c r="BI11" s="66">
        <v>45183.083333333336</v>
      </c>
      <c r="BJ11" s="67">
        <v>7.53180491795766E-3</v>
      </c>
      <c r="BK11" s="68">
        <v>0.50323377899999999</v>
      </c>
      <c r="BL11" s="68">
        <v>1802</v>
      </c>
      <c r="BM11" s="68">
        <f t="shared" si="40"/>
        <v>30.033333333333335</v>
      </c>
      <c r="BN11" s="68">
        <f t="shared" si="9"/>
        <v>0.22620520770266173</v>
      </c>
      <c r="BO11" s="69">
        <f t="shared" si="41"/>
        <v>17.937153117662032</v>
      </c>
      <c r="BP11" s="69">
        <f t="shared" si="42"/>
        <v>3.3779808785430195E-2</v>
      </c>
      <c r="BQ11" s="69">
        <f t="shared" si="43"/>
        <v>0.60591360246960646</v>
      </c>
      <c r="BR11" s="69">
        <f t="shared" si="10"/>
        <v>5.7390393170548525E-3</v>
      </c>
      <c r="BS11" s="69">
        <f t="shared" si="44"/>
        <v>0.10294202697829542</v>
      </c>
      <c r="BU11" s="82">
        <v>45046.416666666664</v>
      </c>
      <c r="BV11" s="112">
        <v>3.4052740999999997E-2</v>
      </c>
      <c r="BW11" s="83">
        <v>67.106545600000004</v>
      </c>
      <c r="BX11" s="112">
        <v>8206</v>
      </c>
      <c r="BY11" s="83">
        <f t="shared" si="11"/>
        <v>136.76666666666668</v>
      </c>
      <c r="BZ11" s="84">
        <f t="shared" si="12"/>
        <v>4.657279877433333</v>
      </c>
      <c r="CA11" s="83">
        <f t="shared" si="13"/>
        <v>78.892914151061035</v>
      </c>
      <c r="CC11" s="87">
        <v>45047.291666666664</v>
      </c>
      <c r="CD11" s="109">
        <v>3.5245215936784001E-2</v>
      </c>
      <c r="CE11" s="88">
        <v>82.284398269999997</v>
      </c>
      <c r="CF11" s="89">
        <v>7332</v>
      </c>
      <c r="CG11" s="90">
        <f t="shared" si="45"/>
        <v>122.2</v>
      </c>
      <c r="CH11" s="91">
        <f t="shared" si="46"/>
        <v>4.3069653874750049</v>
      </c>
      <c r="CI11" s="91">
        <f t="shared" si="47"/>
        <v>75.928936726700002</v>
      </c>
      <c r="CK11" s="93">
        <v>45049.333333333336</v>
      </c>
      <c r="CL11">
        <v>3.0481391456111302E-2</v>
      </c>
      <c r="CM11" s="95">
        <v>94.720978599999995</v>
      </c>
      <c r="CN11" s="4">
        <v>10666</v>
      </c>
      <c r="CO11" s="95">
        <f t="shared" si="48"/>
        <v>177.76666666666668</v>
      </c>
      <c r="CP11" s="94">
        <f t="shared" si="49"/>
        <v>5.4185753545147195</v>
      </c>
      <c r="CQ11" s="96">
        <f t="shared" si="50"/>
        <v>84.964427348275436</v>
      </c>
      <c r="CS11" s="10">
        <v>45050.59375</v>
      </c>
      <c r="CT11" s="110">
        <v>8.9374571000463393E-2</v>
      </c>
      <c r="CU11" s="21">
        <v>99.714355679999997</v>
      </c>
      <c r="CV11" s="111">
        <v>4048</v>
      </c>
      <c r="CW11" s="21">
        <f t="shared" si="51"/>
        <v>67.466666666666669</v>
      </c>
      <c r="CX11" s="21">
        <f t="shared" si="52"/>
        <v>6.029804390164597</v>
      </c>
      <c r="CY11" s="21">
        <f t="shared" si="53"/>
        <v>89.529896267971509</v>
      </c>
    </row>
    <row r="12" spans="1:103" x14ac:dyDescent="0.3">
      <c r="A12" s="10">
        <v>44776.094444444447</v>
      </c>
      <c r="B12" s="11">
        <v>1.7097107206537E-3</v>
      </c>
      <c r="C12" s="12">
        <v>0.72541048299999999</v>
      </c>
      <c r="D12" s="9">
        <v>144</v>
      </c>
      <c r="E12" s="13">
        <f t="shared" si="14"/>
        <v>2.4</v>
      </c>
      <c r="F12" s="12">
        <f t="shared" si="15"/>
        <v>4.1033057295688799E-3</v>
      </c>
      <c r="G12" s="13">
        <f t="shared" si="16"/>
        <v>2.5177073751060881</v>
      </c>
      <c r="H12" s="11">
        <f t="shared" si="17"/>
        <v>8.9160814867422636E-5</v>
      </c>
      <c r="I12" s="116">
        <f t="shared" si="18"/>
        <v>2.2448084116217853E-4</v>
      </c>
      <c r="J12" s="21">
        <f t="shared" si="0"/>
        <v>1.253045792215274E-4</v>
      </c>
      <c r="K12" s="116">
        <f t="shared" si="19"/>
        <v>3.1548026324060459E-4</v>
      </c>
      <c r="M12" s="25">
        <v>44781.094444444447</v>
      </c>
      <c r="N12" s="26">
        <v>4.8426555676493203E-3</v>
      </c>
      <c r="O12" s="27">
        <v>1.3805518125</v>
      </c>
      <c r="P12" s="28">
        <v>1236</v>
      </c>
      <c r="Q12" s="29">
        <f t="shared" si="20"/>
        <v>20.6</v>
      </c>
      <c r="R12" s="26">
        <f t="shared" si="1"/>
        <v>9.9758704693576006E-2</v>
      </c>
      <c r="S12" s="29">
        <f t="shared" si="21"/>
        <v>12.012677009828534</v>
      </c>
      <c r="T12" s="29">
        <f t="shared" si="22"/>
        <v>2.8615146265172351E-3</v>
      </c>
      <c r="U12" s="117">
        <f t="shared" si="23"/>
        <v>3.4374450967251675E-2</v>
      </c>
      <c r="V12" s="118">
        <f t="shared" si="2"/>
        <v>2.7331954118773337E-2</v>
      </c>
      <c r="W12" s="117">
        <f t="shared" si="24"/>
        <v>0.32832993687627676</v>
      </c>
      <c r="Y12" s="35">
        <v>45136.09375</v>
      </c>
      <c r="Z12" s="71">
        <v>6.1325235940755604E-3</v>
      </c>
      <c r="AA12" s="70">
        <v>0.85462156099999997</v>
      </c>
      <c r="AB12" s="36">
        <v>2994</v>
      </c>
      <c r="AC12" s="37">
        <f t="shared" si="25"/>
        <v>49.9</v>
      </c>
      <c r="AD12" s="37">
        <f t="shared" si="3"/>
        <v>0.30601292734437047</v>
      </c>
      <c r="AE12" s="38">
        <f t="shared" si="26"/>
        <v>20.797941855513933</v>
      </c>
      <c r="AF12" s="38">
        <f t="shared" si="27"/>
        <v>0</v>
      </c>
      <c r="AG12" s="38">
        <f t="shared" si="28"/>
        <v>0</v>
      </c>
      <c r="AH12" s="38">
        <f t="shared" si="4"/>
        <v>0</v>
      </c>
      <c r="AI12" s="38">
        <f t="shared" si="29"/>
        <v>0</v>
      </c>
      <c r="AK12" s="45">
        <v>45151.09375</v>
      </c>
      <c r="AL12" s="4">
        <v>4.9407786066443396E-3</v>
      </c>
      <c r="AM12" s="3">
        <v>0.50323377899999999</v>
      </c>
      <c r="AN12" s="4">
        <v>1008</v>
      </c>
      <c r="AO12" s="46">
        <f t="shared" si="30"/>
        <v>16.8</v>
      </c>
      <c r="AP12" s="47">
        <f t="shared" si="5"/>
        <v>8.3005080591624911E-2</v>
      </c>
      <c r="AQ12" s="50">
        <f t="shared" si="31"/>
        <v>10.978402578063717</v>
      </c>
      <c r="AR12" s="50">
        <f t="shared" si="32"/>
        <v>0</v>
      </c>
      <c r="AS12" s="50">
        <f t="shared" si="33"/>
        <v>0</v>
      </c>
      <c r="AT12" s="50">
        <f t="shared" si="6"/>
        <v>0</v>
      </c>
      <c r="AU12" s="50">
        <f t="shared" si="34"/>
        <v>0</v>
      </c>
      <c r="AW12" s="51">
        <v>45166.09375</v>
      </c>
      <c r="AX12" s="72">
        <v>8.4389228129867905E-3</v>
      </c>
      <c r="AY12" s="73">
        <v>0.35506608000000001</v>
      </c>
      <c r="AZ12" s="52">
        <v>3284</v>
      </c>
      <c r="BA12" s="53">
        <f t="shared" si="35"/>
        <v>54.733333333333334</v>
      </c>
      <c r="BB12" s="72">
        <f t="shared" si="7"/>
        <v>0.46189037529747701</v>
      </c>
      <c r="BC12" s="54">
        <f t="shared" si="36"/>
        <v>25.443584699087346</v>
      </c>
      <c r="BD12" s="54">
        <f t="shared" si="37"/>
        <v>0</v>
      </c>
      <c r="BE12" s="54">
        <f t="shared" si="38"/>
        <v>0</v>
      </c>
      <c r="BF12" s="54">
        <f t="shared" si="8"/>
        <v>0</v>
      </c>
      <c r="BG12" s="54">
        <f t="shared" si="39"/>
        <v>0</v>
      </c>
      <c r="BI12" s="66">
        <v>45183.09375</v>
      </c>
      <c r="BJ12" s="67">
        <v>6.4224885081144503E-3</v>
      </c>
      <c r="BK12" s="68">
        <v>0.50323377899999999</v>
      </c>
      <c r="BL12" s="68">
        <v>1795</v>
      </c>
      <c r="BM12" s="68">
        <f t="shared" si="40"/>
        <v>29.916666666666668</v>
      </c>
      <c r="BN12" s="68">
        <f t="shared" si="9"/>
        <v>0.1921394478677573</v>
      </c>
      <c r="BO12" s="69">
        <f t="shared" si="41"/>
        <v>16.559248042606583</v>
      </c>
      <c r="BP12" s="69">
        <f t="shared" si="42"/>
        <v>3.3779808785430195E-2</v>
      </c>
      <c r="BQ12" s="69">
        <f t="shared" si="43"/>
        <v>0.55936823250975964</v>
      </c>
      <c r="BR12" s="69">
        <f t="shared" si="10"/>
        <v>2.82317715565251E-3</v>
      </c>
      <c r="BS12" s="69">
        <f t="shared" si="44"/>
        <v>4.6749690788670452E-2</v>
      </c>
      <c r="BU12" s="82">
        <v>45046.427083333336</v>
      </c>
      <c r="BV12" s="112">
        <v>3.8224658000000002E-2</v>
      </c>
      <c r="BW12" s="83">
        <v>68.008627450000006</v>
      </c>
      <c r="BX12" s="112">
        <v>7716</v>
      </c>
      <c r="BY12" s="83">
        <f t="shared" si="11"/>
        <v>128.6</v>
      </c>
      <c r="BZ12" s="84">
        <f t="shared" si="12"/>
        <v>4.9156910187999996</v>
      </c>
      <c r="CA12" s="83">
        <f t="shared" si="13"/>
        <v>81.00700208412924</v>
      </c>
      <c r="CC12" s="87">
        <v>45047.302083333336</v>
      </c>
      <c r="CD12" s="109">
        <v>3.6184016590519799E-2</v>
      </c>
      <c r="CE12" s="88">
        <v>82.284398269999997</v>
      </c>
      <c r="CF12" s="89">
        <v>7445</v>
      </c>
      <c r="CG12" s="90">
        <f t="shared" si="45"/>
        <v>124.08333333333333</v>
      </c>
      <c r="CH12" s="91">
        <f t="shared" si="46"/>
        <v>4.4898333919403317</v>
      </c>
      <c r="CI12" s="91">
        <f t="shared" si="47"/>
        <v>77.490905212998626</v>
      </c>
      <c r="CK12" s="93">
        <v>45049.34375</v>
      </c>
      <c r="CL12">
        <v>3.0552664236223E-2</v>
      </c>
      <c r="CM12" s="95">
        <v>97.229596529999995</v>
      </c>
      <c r="CN12" s="4">
        <v>10633</v>
      </c>
      <c r="CO12" s="95">
        <f t="shared" si="48"/>
        <v>177.21666666666667</v>
      </c>
      <c r="CP12" s="94">
        <f t="shared" si="49"/>
        <v>5.414441313729319</v>
      </c>
      <c r="CQ12" s="96">
        <f t="shared" si="50"/>
        <v>84.932677515374522</v>
      </c>
      <c r="CS12" s="10">
        <v>45050.604166666664</v>
      </c>
      <c r="CT12" s="110">
        <v>9.2671575396705494E-2</v>
      </c>
      <c r="CU12" s="21">
        <v>97.642487979999999</v>
      </c>
      <c r="CV12" s="111">
        <v>4169</v>
      </c>
      <c r="CW12" s="21">
        <f t="shared" si="51"/>
        <v>69.483333333333334</v>
      </c>
      <c r="CX12" s="21">
        <f t="shared" si="52"/>
        <v>6.4391299638144206</v>
      </c>
      <c r="CY12" s="21">
        <f t="shared" si="53"/>
        <v>92.456248594811271</v>
      </c>
    </row>
    <row r="13" spans="1:103" x14ac:dyDescent="0.3">
      <c r="A13" s="10">
        <v>44776.104861111111</v>
      </c>
      <c r="B13" s="11">
        <v>1.7989273872607099E-3</v>
      </c>
      <c r="C13" s="12">
        <v>0.74867457049999997</v>
      </c>
      <c r="D13" s="9">
        <v>135</v>
      </c>
      <c r="E13" s="13">
        <f t="shared" si="14"/>
        <v>2.25</v>
      </c>
      <c r="F13" s="12">
        <f t="shared" si="15"/>
        <v>4.0475866213365973E-3</v>
      </c>
      <c r="G13" s="13">
        <f t="shared" si="16"/>
        <v>2.5009070349243157</v>
      </c>
      <c r="H13" s="11">
        <f t="shared" si="17"/>
        <v>2.0352003187051613E-3</v>
      </c>
      <c r="I13" s="116">
        <f t="shared" si="18"/>
        <v>5.0898467945299473E-3</v>
      </c>
      <c r="J13" s="21">
        <f t="shared" si="0"/>
        <v>1.1374884982881489E-4</v>
      </c>
      <c r="K13" s="116">
        <f t="shared" si="19"/>
        <v>2.8447529875143268E-4</v>
      </c>
      <c r="M13" s="25">
        <v>44781.104861111111</v>
      </c>
      <c r="N13" s="26">
        <v>3.85064610428362E-3</v>
      </c>
      <c r="O13" s="27">
        <v>1.321577692</v>
      </c>
      <c r="P13" s="28">
        <v>1169</v>
      </c>
      <c r="Q13" s="29">
        <f t="shared" si="20"/>
        <v>19.483333333333334</v>
      </c>
      <c r="R13" s="26">
        <f t="shared" si="1"/>
        <v>7.5023421598459206E-2</v>
      </c>
      <c r="S13" s="29">
        <f t="shared" si="21"/>
        <v>10.448104279992853</v>
      </c>
      <c r="T13" s="29">
        <f t="shared" si="22"/>
        <v>9.4146159945177597E-4</v>
      </c>
      <c r="U13" s="117">
        <f t="shared" si="23"/>
        <v>9.8364889666810174E-3</v>
      </c>
      <c r="V13" s="118">
        <f t="shared" si="2"/>
        <v>1.4793558758792463E-2</v>
      </c>
      <c r="W13" s="117">
        <f t="shared" si="24"/>
        <v>0.1545646445840653</v>
      </c>
      <c r="Y13" s="35">
        <v>45136.104166666664</v>
      </c>
      <c r="Z13" s="71">
        <v>6.2121875116996003E-3</v>
      </c>
      <c r="AA13" s="70">
        <v>0.99067576999999996</v>
      </c>
      <c r="AB13" s="36">
        <v>3444</v>
      </c>
      <c r="AC13" s="37">
        <f t="shared" si="25"/>
        <v>57.4</v>
      </c>
      <c r="AD13" s="37">
        <f t="shared" si="3"/>
        <v>0.35657956317155703</v>
      </c>
      <c r="AE13" s="38">
        <f t="shared" si="26"/>
        <v>22.415302573371232</v>
      </c>
      <c r="AF13" s="38">
        <f t="shared" si="27"/>
        <v>9.9069752538241945E-4</v>
      </c>
      <c r="AG13" s="38">
        <f t="shared" si="28"/>
        <v>2.2206784790137057E-2</v>
      </c>
      <c r="AH13" s="38">
        <f t="shared" si="4"/>
        <v>0</v>
      </c>
      <c r="AI13" s="38">
        <f t="shared" si="29"/>
        <v>0</v>
      </c>
      <c r="AK13" s="45">
        <v>45151.104166666664</v>
      </c>
      <c r="AL13" s="4">
        <v>5.7785316550617097E-3</v>
      </c>
      <c r="AM13" s="3">
        <v>0.69769667099999999</v>
      </c>
      <c r="AN13" s="4">
        <v>1594</v>
      </c>
      <c r="AO13" s="46">
        <f t="shared" si="30"/>
        <v>26.566666666666666</v>
      </c>
      <c r="AP13" s="47">
        <f t="shared" si="5"/>
        <v>0.1535163243028061</v>
      </c>
      <c r="AQ13" s="50">
        <f t="shared" si="31"/>
        <v>14.83588582432855</v>
      </c>
      <c r="AR13" s="50">
        <f t="shared" si="32"/>
        <v>5.033140178475267E-2</v>
      </c>
      <c r="AS13" s="50">
        <f t="shared" si="33"/>
        <v>0.74671093025699675</v>
      </c>
      <c r="AT13" s="50">
        <f t="shared" si="6"/>
        <v>2.5938145131754801E-2</v>
      </c>
      <c r="AU13" s="50">
        <f t="shared" si="34"/>
        <v>0.38481535966957764</v>
      </c>
      <c r="AW13" s="51">
        <v>45166.104166666664</v>
      </c>
      <c r="AX13" s="72">
        <v>7.6190844363772502E-3</v>
      </c>
      <c r="AY13" s="73">
        <v>0.35506608000000001</v>
      </c>
      <c r="AZ13" s="52">
        <v>3355</v>
      </c>
      <c r="BA13" s="53">
        <f t="shared" si="35"/>
        <v>55.916666666666664</v>
      </c>
      <c r="BB13" s="72">
        <f t="shared" si="7"/>
        <v>0.42603380473409458</v>
      </c>
      <c r="BC13" s="54">
        <f t="shared" si="36"/>
        <v>24.456389878309288</v>
      </c>
      <c r="BD13" s="54">
        <f t="shared" si="37"/>
        <v>0</v>
      </c>
      <c r="BE13" s="54">
        <f t="shared" si="38"/>
        <v>0</v>
      </c>
      <c r="BF13" s="54">
        <f t="shared" si="8"/>
        <v>0</v>
      </c>
      <c r="BG13" s="54">
        <f t="shared" si="39"/>
        <v>0</v>
      </c>
      <c r="BI13" s="66">
        <v>45183.104166666664</v>
      </c>
      <c r="BJ13" s="67">
        <v>5.90703193286267E-3</v>
      </c>
      <c r="BK13" s="68">
        <v>0.53201108200000002</v>
      </c>
      <c r="BL13" s="68">
        <v>1919</v>
      </c>
      <c r="BM13" s="68">
        <f t="shared" si="40"/>
        <v>31.983333333333334</v>
      </c>
      <c r="BN13" s="68">
        <f t="shared" si="9"/>
        <v>0.18892657131939106</v>
      </c>
      <c r="BO13" s="69">
        <f t="shared" si="41"/>
        <v>16.423068179312938</v>
      </c>
      <c r="BP13" s="69">
        <f t="shared" si="42"/>
        <v>6.3321113804638007E-2</v>
      </c>
      <c r="BQ13" s="69">
        <f t="shared" si="43"/>
        <v>1.0399269692036037</v>
      </c>
      <c r="BR13" s="69">
        <f t="shared" si="10"/>
        <v>2.5481706622691113E-3</v>
      </c>
      <c r="BS13" s="69">
        <f t="shared" si="44"/>
        <v>4.1848780518970619E-2</v>
      </c>
      <c r="BU13" s="82">
        <v>45046.4375</v>
      </c>
      <c r="BV13" s="112">
        <v>3.7605164000000003E-2</v>
      </c>
      <c r="BW13" s="83">
        <v>68.466857000000005</v>
      </c>
      <c r="BX13" s="112">
        <v>8104</v>
      </c>
      <c r="BY13" s="83">
        <f t="shared" si="11"/>
        <v>135.06666666666666</v>
      </c>
      <c r="BZ13" s="84">
        <f t="shared" si="12"/>
        <v>5.0792041509333332</v>
      </c>
      <c r="CA13" s="83">
        <f t="shared" si="13"/>
        <v>82.315521091065975</v>
      </c>
      <c r="CC13" s="87">
        <v>45047.3125</v>
      </c>
      <c r="CD13" s="109">
        <v>3.1961904212251702E-2</v>
      </c>
      <c r="CE13" s="88">
        <v>81.405228940000001</v>
      </c>
      <c r="CF13" s="89">
        <v>7815</v>
      </c>
      <c r="CG13" s="90">
        <f t="shared" si="45"/>
        <v>130.25</v>
      </c>
      <c r="CH13" s="91">
        <f t="shared" si="46"/>
        <v>4.1630380236457842</v>
      </c>
      <c r="CI13" s="91">
        <f t="shared" si="47"/>
        <v>74.675623016160287</v>
      </c>
      <c r="CK13" s="93">
        <v>45049.354166666664</v>
      </c>
      <c r="CL13">
        <v>3.1220657079788501E-2</v>
      </c>
      <c r="CM13" s="95">
        <v>91.338086169999997</v>
      </c>
      <c r="CN13" s="4">
        <v>10861</v>
      </c>
      <c r="CO13" s="95">
        <f t="shared" si="48"/>
        <v>181.01666666666668</v>
      </c>
      <c r="CP13" s="94">
        <f t="shared" si="49"/>
        <v>5.6514592757263822</v>
      </c>
      <c r="CQ13" s="96">
        <f t="shared" si="50"/>
        <v>86.733453598336567</v>
      </c>
      <c r="CS13" s="10">
        <v>45050.614583333336</v>
      </c>
      <c r="CT13" s="110">
        <v>9.0314417242790296E-2</v>
      </c>
      <c r="CU13" s="21">
        <v>102.9873886</v>
      </c>
      <c r="CV13" s="111">
        <v>4164</v>
      </c>
      <c r="CW13" s="21">
        <f t="shared" si="51"/>
        <v>69.400000000000006</v>
      </c>
      <c r="CX13" s="21">
        <f t="shared" si="52"/>
        <v>6.2678205566496468</v>
      </c>
      <c r="CY13" s="21">
        <f t="shared" si="53"/>
        <v>91.243422981009516</v>
      </c>
    </row>
    <row r="14" spans="1:103" x14ac:dyDescent="0.3">
      <c r="A14" s="10">
        <v>44776.115277777775</v>
      </c>
      <c r="B14" s="11">
        <v>1.7040234354624699E-3</v>
      </c>
      <c r="C14" s="12">
        <v>0.77382161049999998</v>
      </c>
      <c r="D14" s="9">
        <v>156</v>
      </c>
      <c r="E14" s="13">
        <f t="shared" si="14"/>
        <v>2.6</v>
      </c>
      <c r="F14" s="12">
        <f t="shared" si="15"/>
        <v>4.4304609322024218E-3</v>
      </c>
      <c r="G14" s="13">
        <f t="shared" si="16"/>
        <v>2.6140845154105792</v>
      </c>
      <c r="H14" s="11">
        <f t="shared" si="17"/>
        <v>4.1387486845969176E-3</v>
      </c>
      <c r="I14" s="116">
        <f t="shared" si="18"/>
        <v>1.0819038849580706E-2</v>
      </c>
      <c r="J14" s="21">
        <f t="shared" si="0"/>
        <v>1.9315413947096569E-4</v>
      </c>
      <c r="K14" s="116">
        <f t="shared" si="19"/>
        <v>5.0492124507850672E-4</v>
      </c>
      <c r="M14" s="25">
        <v>44781.115277777775</v>
      </c>
      <c r="N14" s="26">
        <v>3.8042462235734899E-3</v>
      </c>
      <c r="O14" s="27">
        <v>1.3305822285</v>
      </c>
      <c r="P14" s="28">
        <v>1212</v>
      </c>
      <c r="Q14" s="29">
        <f t="shared" si="20"/>
        <v>20.2</v>
      </c>
      <c r="R14" s="26">
        <f t="shared" si="1"/>
        <v>7.6845773716184493E-2</v>
      </c>
      <c r="S14" s="29">
        <f t="shared" si="21"/>
        <v>10.571623815098866</v>
      </c>
      <c r="T14" s="29">
        <f t="shared" si="22"/>
        <v>1.2346272697078739E-3</v>
      </c>
      <c r="U14" s="117">
        <f t="shared" si="23"/>
        <v>1.305201504721425E-2</v>
      </c>
      <c r="V14" s="118">
        <f t="shared" si="2"/>
        <v>1.5717314967657076E-2</v>
      </c>
      <c r="W14" s="117">
        <f t="shared" si="24"/>
        <v>0.1661575412214934</v>
      </c>
      <c r="Y14" s="35">
        <v>45136.114583333336</v>
      </c>
      <c r="Z14" s="71">
        <v>7.3149308238208803E-3</v>
      </c>
      <c r="AA14" s="70">
        <v>0.99067576999999996</v>
      </c>
      <c r="AB14" s="36">
        <v>3655</v>
      </c>
      <c r="AC14" s="37">
        <f t="shared" si="25"/>
        <v>60.916666666666664</v>
      </c>
      <c r="AD14" s="37">
        <f t="shared" si="3"/>
        <v>0.44560120268442194</v>
      </c>
      <c r="AE14" s="38">
        <f t="shared" si="26"/>
        <v>25.000150459147054</v>
      </c>
      <c r="AF14" s="38">
        <f t="shared" si="27"/>
        <v>9.9069752538241945E-4</v>
      </c>
      <c r="AG14" s="38">
        <f t="shared" si="28"/>
        <v>2.4767587194065143E-2</v>
      </c>
      <c r="AH14" s="38">
        <f t="shared" si="4"/>
        <v>0</v>
      </c>
      <c r="AI14" s="38">
        <f t="shared" si="29"/>
        <v>0</v>
      </c>
      <c r="AK14" s="45">
        <v>45151.114583333336</v>
      </c>
      <c r="AL14" s="4">
        <v>6.2356924298291498E-3</v>
      </c>
      <c r="AM14" s="3">
        <v>0.66228851600000005</v>
      </c>
      <c r="AN14" s="4">
        <v>1365</v>
      </c>
      <c r="AO14" s="46">
        <f t="shared" si="30"/>
        <v>22.75</v>
      </c>
      <c r="AP14" s="47">
        <f t="shared" si="5"/>
        <v>0.14186200277861316</v>
      </c>
      <c r="AQ14" s="50">
        <f t="shared" si="31"/>
        <v>14.273234972770835</v>
      </c>
      <c r="AR14" s="50">
        <f t="shared" si="32"/>
        <v>3.1070903181179155E-2</v>
      </c>
      <c r="AS14" s="50">
        <f t="shared" si="33"/>
        <v>0.44348230192118293</v>
      </c>
      <c r="AT14" s="50">
        <f t="shared" si="6"/>
        <v>1.6708383217286064E-2</v>
      </c>
      <c r="AU14" s="50">
        <f t="shared" si="34"/>
        <v>0.23848267967542475</v>
      </c>
      <c r="AW14" s="51">
        <v>45166.114583333336</v>
      </c>
      <c r="AX14" s="72">
        <v>9.1401589671664292E-3</v>
      </c>
      <c r="AY14" s="73">
        <v>0.35506608000000001</v>
      </c>
      <c r="AZ14" s="52">
        <v>3177</v>
      </c>
      <c r="BA14" s="53">
        <f t="shared" si="35"/>
        <v>52.95</v>
      </c>
      <c r="BB14" s="72">
        <f t="shared" si="7"/>
        <v>0.48397141731146243</v>
      </c>
      <c r="BC14" s="54">
        <f t="shared" si="36"/>
        <v>26.032136115911982</v>
      </c>
      <c r="BD14" s="54">
        <f t="shared" si="37"/>
        <v>0</v>
      </c>
      <c r="BE14" s="54">
        <f t="shared" si="38"/>
        <v>0</v>
      </c>
      <c r="BF14" s="54">
        <f t="shared" si="8"/>
        <v>0</v>
      </c>
      <c r="BG14" s="54">
        <f t="shared" si="39"/>
        <v>0</v>
      </c>
      <c r="BI14" s="66">
        <v>45183.114583333336</v>
      </c>
      <c r="BJ14" s="67">
        <v>6.7335417006775602E-3</v>
      </c>
      <c r="BK14" s="68">
        <v>0.50323377899999999</v>
      </c>
      <c r="BL14" s="68">
        <v>1756</v>
      </c>
      <c r="BM14" s="68">
        <f t="shared" si="40"/>
        <v>29.266666666666666</v>
      </c>
      <c r="BN14" s="68">
        <f t="shared" si="9"/>
        <v>0.19706832043982991</v>
      </c>
      <c r="BO14" s="69">
        <f t="shared" si="41"/>
        <v>16.765922221792664</v>
      </c>
      <c r="BP14" s="69">
        <f t="shared" si="42"/>
        <v>3.3779808785430195E-2</v>
      </c>
      <c r="BQ14" s="69">
        <f t="shared" si="43"/>
        <v>0.56634964676355115</v>
      </c>
      <c r="BR14" s="69">
        <f t="shared" si="10"/>
        <v>3.2450645023881209E-3</v>
      </c>
      <c r="BS14" s="69">
        <f t="shared" si="44"/>
        <v>5.4406499051739547E-2</v>
      </c>
      <c r="BU14" s="82">
        <v>45046.447916666664</v>
      </c>
      <c r="BV14" s="112">
        <v>3.6137886000000001E-2</v>
      </c>
      <c r="BW14" s="83">
        <v>69.822823</v>
      </c>
      <c r="BX14" s="112">
        <v>7627</v>
      </c>
      <c r="BY14" s="83">
        <f t="shared" si="11"/>
        <v>127.11666666666666</v>
      </c>
      <c r="BZ14" s="84">
        <f t="shared" si="12"/>
        <v>4.5937276087000001</v>
      </c>
      <c r="CA14" s="83">
        <f t="shared" si="13"/>
        <v>78.363876316632769</v>
      </c>
      <c r="CC14" s="87">
        <v>45047.322916666664</v>
      </c>
      <c r="CD14" s="109">
        <v>3.0794666003204501E-2</v>
      </c>
      <c r="CE14" s="88">
        <v>82.284398269999997</v>
      </c>
      <c r="CF14" s="89">
        <v>8421</v>
      </c>
      <c r="CG14" s="90">
        <f t="shared" si="45"/>
        <v>140.35</v>
      </c>
      <c r="CH14" s="91">
        <f t="shared" si="46"/>
        <v>4.322031373549752</v>
      </c>
      <c r="CI14" s="91">
        <f t="shared" si="47"/>
        <v>76.058886788717572</v>
      </c>
      <c r="CK14" s="93">
        <v>45049.364583333336</v>
      </c>
      <c r="CL14">
        <v>3.1140920870023601E-2</v>
      </c>
      <c r="CM14" s="95">
        <v>90.492164919999993</v>
      </c>
      <c r="CN14" s="4">
        <v>10848</v>
      </c>
      <c r="CO14" s="95">
        <f t="shared" si="48"/>
        <v>180.8</v>
      </c>
      <c r="CP14" s="94">
        <f t="shared" si="49"/>
        <v>5.630278493300267</v>
      </c>
      <c r="CQ14" s="96">
        <f t="shared" si="50"/>
        <v>86.574117555919557</v>
      </c>
      <c r="CS14" s="10">
        <v>45050.625</v>
      </c>
      <c r="CT14" s="110">
        <v>8.9478898197366902E-2</v>
      </c>
      <c r="CU14" s="21">
        <v>103.80204430000001</v>
      </c>
      <c r="CV14" s="111">
        <v>4036</v>
      </c>
      <c r="CW14" s="21">
        <f t="shared" si="51"/>
        <v>67.266666666666666</v>
      </c>
      <c r="CX14" s="21">
        <f t="shared" si="52"/>
        <v>6.0189472187428805</v>
      </c>
      <c r="CY14" s="21">
        <f t="shared" si="53"/>
        <v>89.45091732537901</v>
      </c>
    </row>
    <row r="15" spans="1:103" x14ac:dyDescent="0.3">
      <c r="A15" s="10">
        <v>44776.125694444447</v>
      </c>
      <c r="B15" s="11">
        <v>2.1815395347090601E-3</v>
      </c>
      <c r="C15" s="12">
        <v>0.75131557849999997</v>
      </c>
      <c r="D15" s="9">
        <v>134</v>
      </c>
      <c r="E15" s="13">
        <f t="shared" si="14"/>
        <v>2.2333333333333334</v>
      </c>
      <c r="F15" s="12">
        <f t="shared" si="15"/>
        <v>4.8721049608502348E-3</v>
      </c>
      <c r="G15" s="13">
        <f t="shared" si="16"/>
        <v>2.7385988992140011</v>
      </c>
      <c r="H15" s="11">
        <f t="shared" si="17"/>
        <v>2.2561204772091861E-3</v>
      </c>
      <c r="I15" s="116">
        <f t="shared" si="18"/>
        <v>6.1786090553792444E-3</v>
      </c>
      <c r="J15" s="21">
        <f t="shared" si="0"/>
        <v>2.847478322789315E-4</v>
      </c>
      <c r="K15" s="116">
        <f t="shared" si="19"/>
        <v>7.7981010003265482E-4</v>
      </c>
      <c r="M15" s="25">
        <v>44781.125694444447</v>
      </c>
      <c r="N15" s="26">
        <v>3.50163718236056E-3</v>
      </c>
      <c r="O15" s="27">
        <v>1.3305822285</v>
      </c>
      <c r="P15" s="28">
        <v>1177</v>
      </c>
      <c r="Q15" s="29">
        <f t="shared" si="20"/>
        <v>19.616666666666667</v>
      </c>
      <c r="R15" s="26">
        <f t="shared" si="1"/>
        <v>6.869044939397298E-2</v>
      </c>
      <c r="S15" s="29">
        <f t="shared" si="21"/>
        <v>10.006489385883089</v>
      </c>
      <c r="T15" s="29">
        <f t="shared" si="22"/>
        <v>1.2346272697078739E-3</v>
      </c>
      <c r="U15" s="117">
        <f t="shared" si="23"/>
        <v>1.2354284669853659E-2</v>
      </c>
      <c r="V15" s="118">
        <f t="shared" si="2"/>
        <v>1.1583354574014241E-2</v>
      </c>
      <c r="W15" s="117">
        <f t="shared" si="24"/>
        <v>0.11590871459779384</v>
      </c>
      <c r="Y15" s="35">
        <v>45136.125</v>
      </c>
      <c r="Z15" s="71">
        <v>5.4661244564920596E-3</v>
      </c>
      <c r="AA15" s="70">
        <v>0.99067576999999996</v>
      </c>
      <c r="AB15" s="36">
        <v>3358</v>
      </c>
      <c r="AC15" s="37">
        <f t="shared" si="25"/>
        <v>55.966666666666669</v>
      </c>
      <c r="AD15" s="37">
        <f t="shared" si="3"/>
        <v>0.30592076541500562</v>
      </c>
      <c r="AE15" s="38">
        <f t="shared" si="26"/>
        <v>20.794874277441039</v>
      </c>
      <c r="AF15" s="38">
        <f t="shared" si="27"/>
        <v>9.9069752538241945E-4</v>
      </c>
      <c r="AG15" s="38">
        <f t="shared" si="28"/>
        <v>2.0601430487299364E-2</v>
      </c>
      <c r="AH15" s="38">
        <f t="shared" si="4"/>
        <v>0</v>
      </c>
      <c r="AI15" s="38">
        <f t="shared" si="29"/>
        <v>0</v>
      </c>
      <c r="AK15" s="45">
        <v>45151.125</v>
      </c>
      <c r="AL15" s="4">
        <v>7.8362827960532008E-3</v>
      </c>
      <c r="AM15" s="3">
        <v>0.89859415399999998</v>
      </c>
      <c r="AN15" s="4">
        <v>1965</v>
      </c>
      <c r="AO15" s="46">
        <f t="shared" si="30"/>
        <v>32.75</v>
      </c>
      <c r="AP15" s="47">
        <f t="shared" si="5"/>
        <v>0.25663826157074232</v>
      </c>
      <c r="AQ15" s="50">
        <f t="shared" si="31"/>
        <v>19.080874918651901</v>
      </c>
      <c r="AR15" s="50">
        <f t="shared" si="32"/>
        <v>0.15961090789804608</v>
      </c>
      <c r="AS15" s="50">
        <f t="shared" si="33"/>
        <v>3.0455157692550858</v>
      </c>
      <c r="AT15" s="50">
        <f t="shared" si="6"/>
        <v>0.10760664270718476</v>
      </c>
      <c r="AU15" s="50">
        <f t="shared" si="34"/>
        <v>2.0532288899118583</v>
      </c>
      <c r="AW15" s="51">
        <v>45166.125</v>
      </c>
      <c r="AX15" s="72">
        <v>5.9159568177064997E-3</v>
      </c>
      <c r="AY15" s="73">
        <v>0.314737561</v>
      </c>
      <c r="AZ15" s="52">
        <v>2389</v>
      </c>
      <c r="BA15" s="53">
        <f t="shared" si="35"/>
        <v>39.81666666666667</v>
      </c>
      <c r="BB15" s="72">
        <f t="shared" si="7"/>
        <v>0.23555368062501381</v>
      </c>
      <c r="BC15" s="54">
        <f t="shared" si="36"/>
        <v>18.296415493334056</v>
      </c>
      <c r="BD15" s="54">
        <f t="shared" si="37"/>
        <v>0</v>
      </c>
      <c r="BE15" s="54">
        <f t="shared" si="38"/>
        <v>0</v>
      </c>
      <c r="BF15" s="54">
        <f t="shared" si="8"/>
        <v>0</v>
      </c>
      <c r="BG15" s="54">
        <f t="shared" si="39"/>
        <v>0</v>
      </c>
      <c r="BI15" s="66">
        <v>45183.125</v>
      </c>
      <c r="BJ15" s="67">
        <v>9.8356318343493197E-3</v>
      </c>
      <c r="BK15" s="68">
        <v>0.50323377899999999</v>
      </c>
      <c r="BL15" s="68">
        <v>1884</v>
      </c>
      <c r="BM15" s="68">
        <f t="shared" si="40"/>
        <v>31.4</v>
      </c>
      <c r="BN15" s="68">
        <f t="shared" si="9"/>
        <v>0.30883883959856862</v>
      </c>
      <c r="BO15" s="69">
        <f t="shared" si="41"/>
        <v>20.891773560215846</v>
      </c>
      <c r="BP15" s="69">
        <f t="shared" si="42"/>
        <v>3.3779808785430195E-2</v>
      </c>
      <c r="BQ15" s="69">
        <f t="shared" si="43"/>
        <v>0.70572011605259743</v>
      </c>
      <c r="BR15" s="69">
        <f t="shared" si="10"/>
        <v>1.2812073403840272E-2</v>
      </c>
      <c r="BS15" s="69">
        <f t="shared" si="44"/>
        <v>0.26766693638989486</v>
      </c>
      <c r="BU15" s="82">
        <v>45046.458333333336</v>
      </c>
      <c r="BV15" s="112">
        <v>3.6727320000000001E-2</v>
      </c>
      <c r="BW15" s="83">
        <v>68.466857000000005</v>
      </c>
      <c r="BX15" s="112">
        <v>8054</v>
      </c>
      <c r="BY15" s="83">
        <f t="shared" si="11"/>
        <v>134.23333333333332</v>
      </c>
      <c r="BZ15" s="84">
        <f t="shared" si="12"/>
        <v>4.9300305879999993</v>
      </c>
      <c r="CA15" s="83">
        <f t="shared" si="13"/>
        <v>81.122634952901862</v>
      </c>
      <c r="CC15" s="87">
        <v>45047.333333333336</v>
      </c>
      <c r="CD15" s="109">
        <v>3.4340677199167099E-2</v>
      </c>
      <c r="CE15" s="88">
        <v>78.762941850000004</v>
      </c>
      <c r="CF15" s="89">
        <v>8142</v>
      </c>
      <c r="CG15" s="90">
        <f t="shared" si="45"/>
        <v>135.69999999999999</v>
      </c>
      <c r="CH15" s="91">
        <f t="shared" si="46"/>
        <v>4.660029895926975</v>
      </c>
      <c r="CI15" s="91">
        <f t="shared" si="47"/>
        <v>78.915723136234604</v>
      </c>
      <c r="CK15" s="93">
        <v>45049.375</v>
      </c>
      <c r="CL15">
        <v>3.2708817641857998E-2</v>
      </c>
      <c r="CM15" s="95">
        <v>92.610732819999996</v>
      </c>
      <c r="CN15" s="4">
        <v>10912</v>
      </c>
      <c r="CO15" s="95">
        <f t="shared" si="48"/>
        <v>181.86666666666667</v>
      </c>
      <c r="CP15" s="94">
        <f t="shared" si="49"/>
        <v>5.9486436351325747</v>
      </c>
      <c r="CQ15" s="96">
        <f t="shared" si="50"/>
        <v>88.937734804526301</v>
      </c>
      <c r="CS15" s="10">
        <v>45050.635416666664</v>
      </c>
      <c r="CT15" s="110">
        <v>9.1346916823923499E-2</v>
      </c>
      <c r="CU15" s="21">
        <v>102.9873886</v>
      </c>
      <c r="CV15" s="111">
        <v>4079</v>
      </c>
      <c r="CW15" s="21">
        <f t="shared" si="51"/>
        <v>67.983333333333334</v>
      </c>
      <c r="CX15" s="21">
        <f t="shared" si="52"/>
        <v>6.2100678954130659</v>
      </c>
      <c r="CY15" s="21">
        <f t="shared" si="53"/>
        <v>90.830744619970289</v>
      </c>
    </row>
    <row r="16" spans="1:103" x14ac:dyDescent="0.3">
      <c r="A16" s="10">
        <v>44776.136111111111</v>
      </c>
      <c r="B16" s="11">
        <v>1.66382600606423E-3</v>
      </c>
      <c r="C16" s="12">
        <v>0.75904434850000002</v>
      </c>
      <c r="D16" s="9">
        <v>145</v>
      </c>
      <c r="E16" s="13">
        <f t="shared" si="14"/>
        <v>2.4166666666666665</v>
      </c>
      <c r="F16" s="12">
        <f t="shared" si="15"/>
        <v>4.0209128479885559E-3</v>
      </c>
      <c r="G16" s="13">
        <f t="shared" si="16"/>
        <v>2.4928226307659678</v>
      </c>
      <c r="H16" s="11">
        <f t="shared" si="17"/>
        <v>2.9026316174409327E-3</v>
      </c>
      <c r="I16" s="116">
        <f t="shared" si="18"/>
        <v>7.235745784733582E-3</v>
      </c>
      <c r="J16" s="21">
        <f t="shared" si="0"/>
        <v>1.0821690726061118E-4</v>
      </c>
      <c r="K16" s="116">
        <f t="shared" si="19"/>
        <v>2.6976555545075352E-4</v>
      </c>
      <c r="M16" s="25">
        <v>44781.136111111111</v>
      </c>
      <c r="N16" s="26">
        <v>3.8685122876322502E-3</v>
      </c>
      <c r="O16" s="27">
        <v>1.3962008465</v>
      </c>
      <c r="P16" s="28">
        <v>1250</v>
      </c>
      <c r="Q16" s="29">
        <f t="shared" si="20"/>
        <v>20.833333333333332</v>
      </c>
      <c r="R16" s="26">
        <f t="shared" si="1"/>
        <v>8.0594005992338541E-2</v>
      </c>
      <c r="S16" s="29">
        <f t="shared" si="21"/>
        <v>10.821066004280896</v>
      </c>
      <c r="T16" s="29">
        <f t="shared" si="22"/>
        <v>3.371008873275017E-3</v>
      </c>
      <c r="U16" s="117">
        <f t="shared" si="23"/>
        <v>3.6477909518725531E-2</v>
      </c>
      <c r="V16" s="118">
        <f t="shared" si="2"/>
        <v>1.7617306085556936E-2</v>
      </c>
      <c r="W16" s="117">
        <f t="shared" si="24"/>
        <v>0.1906380319694311</v>
      </c>
      <c r="Y16" s="35">
        <v>45136.135416666664</v>
      </c>
      <c r="Z16" s="71">
        <v>6.6934571025538203E-3</v>
      </c>
      <c r="AA16" s="70">
        <v>1.1441742989999999</v>
      </c>
      <c r="AB16" s="36">
        <v>4277</v>
      </c>
      <c r="AC16" s="37">
        <f t="shared" si="25"/>
        <v>71.283333333333331</v>
      </c>
      <c r="AD16" s="37">
        <f t="shared" si="3"/>
        <v>0.47713193379371149</v>
      </c>
      <c r="AE16" s="38">
        <f t="shared" si="26"/>
        <v>25.851328026017967</v>
      </c>
      <c r="AF16" s="38">
        <f t="shared" si="27"/>
        <v>9.0021679876807585E-3</v>
      </c>
      <c r="AG16" s="38">
        <f t="shared" si="28"/>
        <v>0.23271799759485337</v>
      </c>
      <c r="AH16" s="38">
        <f t="shared" si="4"/>
        <v>0</v>
      </c>
      <c r="AI16" s="38">
        <f t="shared" si="29"/>
        <v>0</v>
      </c>
      <c r="AK16" s="45">
        <v>45151.135416666664</v>
      </c>
      <c r="AL16" s="4">
        <v>5.2901740437682502E-3</v>
      </c>
      <c r="AM16" s="3">
        <v>0.66228851600000005</v>
      </c>
      <c r="AN16" s="4">
        <v>1321</v>
      </c>
      <c r="AO16" s="46">
        <f t="shared" si="30"/>
        <v>22.016666666666666</v>
      </c>
      <c r="AP16" s="47">
        <f t="shared" si="5"/>
        <v>0.11647199853029763</v>
      </c>
      <c r="AQ16" s="50">
        <f t="shared" si="31"/>
        <v>12.959321815719266</v>
      </c>
      <c r="AR16" s="50">
        <f t="shared" si="32"/>
        <v>3.1070903181179155E-2</v>
      </c>
      <c r="AS16" s="50">
        <f t="shared" si="33"/>
        <v>0.40265783342995615</v>
      </c>
      <c r="AT16" s="50">
        <f t="shared" si="6"/>
        <v>0</v>
      </c>
      <c r="AU16" s="50">
        <f t="shared" si="34"/>
        <v>0</v>
      </c>
      <c r="AW16" s="51">
        <v>45166.135416666664</v>
      </c>
      <c r="AX16" s="72">
        <v>7.5706265706428997E-3</v>
      </c>
      <c r="AY16" s="73">
        <v>0.314737561</v>
      </c>
      <c r="AZ16" s="52">
        <v>2534</v>
      </c>
      <c r="BA16" s="53">
        <f t="shared" si="35"/>
        <v>42.233333333333334</v>
      </c>
      <c r="BB16" s="72">
        <f t="shared" si="7"/>
        <v>0.31973279550015182</v>
      </c>
      <c r="BC16" s="54">
        <f t="shared" si="36"/>
        <v>21.249458974659046</v>
      </c>
      <c r="BD16" s="54">
        <f t="shared" si="37"/>
        <v>0</v>
      </c>
      <c r="BE16" s="54">
        <f t="shared" si="38"/>
        <v>0</v>
      </c>
      <c r="BF16" s="54">
        <f t="shared" si="8"/>
        <v>0</v>
      </c>
      <c r="BG16" s="54">
        <f t="shared" si="39"/>
        <v>0</v>
      </c>
      <c r="BI16" s="66">
        <v>45183.135416666664</v>
      </c>
      <c r="BJ16" s="67">
        <v>6.4594928365992801E-3</v>
      </c>
      <c r="BK16" s="68">
        <v>0.44894941300000002</v>
      </c>
      <c r="BL16" s="68">
        <v>1367</v>
      </c>
      <c r="BM16" s="68">
        <f t="shared" si="40"/>
        <v>22.783333333333335</v>
      </c>
      <c r="BN16" s="68">
        <f t="shared" si="9"/>
        <v>0.14716877846052029</v>
      </c>
      <c r="BO16" s="69">
        <f t="shared" si="41"/>
        <v>14.532252450264698</v>
      </c>
      <c r="BP16" s="69">
        <f t="shared" si="42"/>
        <v>0</v>
      </c>
      <c r="BQ16" s="69">
        <f t="shared" si="43"/>
        <v>0</v>
      </c>
      <c r="BR16" s="69">
        <f t="shared" si="10"/>
        <v>0</v>
      </c>
      <c r="BS16" s="69">
        <f t="shared" si="44"/>
        <v>0</v>
      </c>
      <c r="BU16" s="82">
        <v>45046.46875</v>
      </c>
      <c r="BV16" s="112">
        <v>3.8915354999999999E-2</v>
      </c>
      <c r="BW16" s="83">
        <v>68.466857000000005</v>
      </c>
      <c r="BX16" s="112">
        <v>7701</v>
      </c>
      <c r="BY16" s="83">
        <f t="shared" si="11"/>
        <v>128.35</v>
      </c>
      <c r="BZ16" s="84">
        <f t="shared" si="12"/>
        <v>4.9947858142499992</v>
      </c>
      <c r="CA16" s="83">
        <f t="shared" si="13"/>
        <v>81.642689647426877</v>
      </c>
      <c r="CC16" s="87">
        <v>45047.34375</v>
      </c>
      <c r="CD16" s="109">
        <v>3.5756499910029098E-2</v>
      </c>
      <c r="CE16" s="88">
        <v>80.968580889999998</v>
      </c>
      <c r="CF16" s="89">
        <v>7946</v>
      </c>
      <c r="CG16" s="90">
        <f t="shared" si="45"/>
        <v>132.43333333333334</v>
      </c>
      <c r="CH16" s="91">
        <f t="shared" si="46"/>
        <v>4.7353524714181869</v>
      </c>
      <c r="CI16" s="91">
        <f t="shared" si="47"/>
        <v>79.537808239607671</v>
      </c>
      <c r="CK16" s="93">
        <v>45049.385416666664</v>
      </c>
      <c r="CL16">
        <v>2.9238917878483001E-2</v>
      </c>
      <c r="CM16" s="95">
        <v>87.058386479999996</v>
      </c>
      <c r="CN16" s="4">
        <v>10631</v>
      </c>
      <c r="CO16" s="95">
        <f t="shared" si="48"/>
        <v>177.18333333333334</v>
      </c>
      <c r="CP16" s="94">
        <f t="shared" si="49"/>
        <v>5.1806489327692136</v>
      </c>
      <c r="CQ16" s="96">
        <f t="shared" si="50"/>
        <v>83.11655176203422</v>
      </c>
      <c r="CS16" s="10">
        <v>45050.645833333336</v>
      </c>
      <c r="CT16" s="110">
        <v>9.08509541481511E-2</v>
      </c>
      <c r="CU16" s="21">
        <v>104.2121959</v>
      </c>
      <c r="CV16" s="111">
        <v>4152</v>
      </c>
      <c r="CW16" s="21">
        <f t="shared" si="51"/>
        <v>69.2</v>
      </c>
      <c r="CX16" s="21">
        <f t="shared" si="52"/>
        <v>6.2868860270520566</v>
      </c>
      <c r="CY16" s="21">
        <f t="shared" si="53"/>
        <v>91.379231172516413</v>
      </c>
    </row>
    <row r="17" spans="1:103" x14ac:dyDescent="0.3">
      <c r="A17" s="10">
        <v>44776.146527777775</v>
      </c>
      <c r="B17" s="11">
        <v>1.5966931489887E-3</v>
      </c>
      <c r="C17" s="12">
        <v>0.67891565050000002</v>
      </c>
      <c r="D17" s="9">
        <v>92</v>
      </c>
      <c r="E17" s="13">
        <f t="shared" si="14"/>
        <v>1.5333333333333334</v>
      </c>
      <c r="F17" s="12">
        <f t="shared" si="15"/>
        <v>2.44826282844934E-3</v>
      </c>
      <c r="G17" s="13">
        <f t="shared" si="16"/>
        <v>1.955137808952677</v>
      </c>
      <c r="H17" s="11">
        <f t="shared" si="17"/>
        <v>0</v>
      </c>
      <c r="I17" s="116">
        <f t="shared" si="18"/>
        <v>0</v>
      </c>
      <c r="J17" s="21">
        <f t="shared" si="0"/>
        <v>0</v>
      </c>
      <c r="K17" s="116">
        <f t="shared" si="19"/>
        <v>0</v>
      </c>
      <c r="M17" s="25">
        <v>44781.146527777775</v>
      </c>
      <c r="N17" s="26">
        <v>3.64264996025658E-3</v>
      </c>
      <c r="O17" s="27">
        <v>1.4174729134999999</v>
      </c>
      <c r="P17" s="28">
        <v>1248</v>
      </c>
      <c r="Q17" s="29">
        <f t="shared" si="20"/>
        <v>20.8</v>
      </c>
      <c r="R17" s="26">
        <f t="shared" si="1"/>
        <v>7.5767119173336867E-2</v>
      </c>
      <c r="S17" s="29">
        <f t="shared" si="21"/>
        <v>10.498695217004803</v>
      </c>
      <c r="T17" s="29">
        <f t="shared" si="22"/>
        <v>4.0635753124012965E-3</v>
      </c>
      <c r="U17" s="117">
        <f t="shared" si="23"/>
        <v>4.2662238696246288E-2</v>
      </c>
      <c r="V17" s="118">
        <f t="shared" si="2"/>
        <v>1.5170541475594922E-2</v>
      </c>
      <c r="W17" s="117">
        <f t="shared" si="24"/>
        <v>0.15927089122920141</v>
      </c>
      <c r="Y17" s="35">
        <v>45136.145833333336</v>
      </c>
      <c r="Z17" s="71">
        <v>7.0321744031024997E-3</v>
      </c>
      <c r="AA17" s="70">
        <v>0.99067576999999996</v>
      </c>
      <c r="AB17" s="36">
        <v>3601</v>
      </c>
      <c r="AC17" s="37">
        <f t="shared" si="25"/>
        <v>60.016666666666666</v>
      </c>
      <c r="AD17" s="37">
        <f t="shared" si="3"/>
        <v>0.42204766709286834</v>
      </c>
      <c r="AE17" s="38">
        <f t="shared" si="26"/>
        <v>24.344066247837816</v>
      </c>
      <c r="AF17" s="38">
        <f t="shared" si="27"/>
        <v>9.9069752538241945E-4</v>
      </c>
      <c r="AG17" s="38">
        <f t="shared" si="28"/>
        <v>2.4117606189478606E-2</v>
      </c>
      <c r="AH17" s="38">
        <f t="shared" si="4"/>
        <v>0</v>
      </c>
      <c r="AI17" s="38">
        <f t="shared" si="29"/>
        <v>0</v>
      </c>
      <c r="AK17" s="45">
        <v>45151.145833333336</v>
      </c>
      <c r="AL17" s="4">
        <v>4.5181662031888196E-3</v>
      </c>
      <c r="AM17" s="3">
        <v>0.66228851600000005</v>
      </c>
      <c r="AN17" s="4">
        <v>1403</v>
      </c>
      <c r="AO17" s="46">
        <f t="shared" si="30"/>
        <v>23.383333333333333</v>
      </c>
      <c r="AP17" s="47">
        <f t="shared" si="5"/>
        <v>0.10564978638456524</v>
      </c>
      <c r="AQ17" s="50">
        <f t="shared" si="31"/>
        <v>12.354980307207368</v>
      </c>
      <c r="AR17" s="50">
        <f t="shared" si="32"/>
        <v>3.1070903181179155E-2</v>
      </c>
      <c r="AS17" s="50">
        <f t="shared" si="33"/>
        <v>0.38388039693061526</v>
      </c>
      <c r="AT17" s="50">
        <f t="shared" si="6"/>
        <v>0</v>
      </c>
      <c r="AU17" s="50">
        <f t="shared" si="34"/>
        <v>0</v>
      </c>
      <c r="AW17" s="51">
        <v>45166.145833333336</v>
      </c>
      <c r="AX17" s="72">
        <v>1.1449107981734499E-2</v>
      </c>
      <c r="AY17" s="73">
        <v>0.42386643899999998</v>
      </c>
      <c r="AZ17" s="52">
        <v>4693</v>
      </c>
      <c r="BA17" s="53">
        <f t="shared" si="35"/>
        <v>78.216666666666669</v>
      </c>
      <c r="BB17" s="72">
        <f t="shared" si="7"/>
        <v>0.89551106263800007</v>
      </c>
      <c r="BC17" s="54">
        <f t="shared" si="36"/>
        <v>35.187040386560966</v>
      </c>
      <c r="BD17" s="54">
        <f t="shared" si="37"/>
        <v>2.3952851071099918E-2</v>
      </c>
      <c r="BE17" s="54">
        <f t="shared" si="38"/>
        <v>0.84282993801207295</v>
      </c>
      <c r="BF17" s="54">
        <f t="shared" si="8"/>
        <v>3.9693127273146361E-2</v>
      </c>
      <c r="BG17" s="54">
        <f t="shared" si="39"/>
        <v>1.3966836724291056</v>
      </c>
      <c r="BI17" s="66">
        <v>45183.145833333336</v>
      </c>
      <c r="BJ17" s="67">
        <v>6.9853500611517898E-3</v>
      </c>
      <c r="BK17" s="68">
        <v>0.59425534599999996</v>
      </c>
      <c r="BL17" s="68">
        <v>2272</v>
      </c>
      <c r="BM17" s="68">
        <f t="shared" si="40"/>
        <v>37.866666666666667</v>
      </c>
      <c r="BN17" s="68">
        <f t="shared" si="9"/>
        <v>0.26451192231561443</v>
      </c>
      <c r="BO17" s="69">
        <f t="shared" si="41"/>
        <v>19.36533581285288</v>
      </c>
      <c r="BP17" s="69">
        <f t="shared" si="42"/>
        <v>0.12721788649803784</v>
      </c>
      <c r="BQ17" s="69">
        <f t="shared" si="43"/>
        <v>2.463617093435905</v>
      </c>
      <c r="BR17" s="69">
        <f t="shared" si="10"/>
        <v>9.0179064319782665E-3</v>
      </c>
      <c r="BS17" s="69">
        <f t="shared" si="44"/>
        <v>0.17463478638414506</v>
      </c>
      <c r="BU17" s="82">
        <v>45046.479166666664</v>
      </c>
      <c r="BV17" s="112">
        <v>3.9678574000000001E-2</v>
      </c>
      <c r="BW17" s="83">
        <v>68.008627450000006</v>
      </c>
      <c r="BX17" s="112">
        <v>7644</v>
      </c>
      <c r="BY17" s="83">
        <f t="shared" si="11"/>
        <v>127.4</v>
      </c>
      <c r="BZ17" s="84">
        <f t="shared" si="12"/>
        <v>5.0550503276000001</v>
      </c>
      <c r="CA17" s="83">
        <f t="shared" si="13"/>
        <v>82.123596798944703</v>
      </c>
      <c r="CC17" s="87">
        <v>45047.354166666664</v>
      </c>
      <c r="CD17" s="109">
        <v>3.1545377330829398E-2</v>
      </c>
      <c r="CE17" s="88">
        <v>78.762941850000004</v>
      </c>
      <c r="CF17" s="89">
        <v>7846</v>
      </c>
      <c r="CG17" s="90">
        <f t="shared" si="45"/>
        <v>130.76666666666668</v>
      </c>
      <c r="CH17" s="91">
        <f t="shared" si="46"/>
        <v>4.1250838422947913</v>
      </c>
      <c r="CI17" s="91">
        <f t="shared" si="47"/>
        <v>74.341449568317927</v>
      </c>
      <c r="CK17" s="93">
        <v>45049.395833333336</v>
      </c>
      <c r="CL17">
        <v>3.1344164307657199E-2</v>
      </c>
      <c r="CM17" s="95">
        <v>90.492164919999993</v>
      </c>
      <c r="CN17" s="4">
        <v>10854</v>
      </c>
      <c r="CO17" s="95">
        <f t="shared" si="48"/>
        <v>180.9</v>
      </c>
      <c r="CP17" s="94">
        <f t="shared" si="49"/>
        <v>5.6701593232551879</v>
      </c>
      <c r="CQ17" s="96">
        <f t="shared" si="50"/>
        <v>86.87387478800278</v>
      </c>
      <c r="CS17" s="10">
        <v>45050.65625</v>
      </c>
      <c r="CT17" s="110">
        <v>8.9368704266800394E-2</v>
      </c>
      <c r="CU17" s="21">
        <v>106.2245245</v>
      </c>
      <c r="CV17" s="111">
        <v>4042</v>
      </c>
      <c r="CW17" s="21">
        <f t="shared" si="51"/>
        <v>67.36666666666666</v>
      </c>
      <c r="CX17" s="21">
        <f t="shared" si="52"/>
        <v>6.0204717107734522</v>
      </c>
      <c r="CY17" s="21">
        <f t="shared" si="53"/>
        <v>89.462011409702811</v>
      </c>
    </row>
    <row r="18" spans="1:103" x14ac:dyDescent="0.3">
      <c r="A18" s="10">
        <v>44776.156944444447</v>
      </c>
      <c r="B18" s="11">
        <v>1.4900711813125101E-3</v>
      </c>
      <c r="C18" s="12">
        <v>0.70024108200000001</v>
      </c>
      <c r="D18" s="9">
        <v>94</v>
      </c>
      <c r="E18" s="13">
        <f t="shared" si="14"/>
        <v>1.5666666666666667</v>
      </c>
      <c r="F18" s="12">
        <f t="shared" si="15"/>
        <v>2.3344448507229324E-3</v>
      </c>
      <c r="G18" s="13">
        <f t="shared" si="16"/>
        <v>1.9100868324142395</v>
      </c>
      <c r="H18" s="11">
        <f t="shared" si="17"/>
        <v>0</v>
      </c>
      <c r="I18" s="116">
        <f t="shared" si="18"/>
        <v>0</v>
      </c>
      <c r="J18" s="21">
        <f t="shared" si="0"/>
        <v>0</v>
      </c>
      <c r="K18" s="116">
        <f t="shared" si="19"/>
        <v>0</v>
      </c>
      <c r="M18" s="25">
        <v>44781.156944444447</v>
      </c>
      <c r="N18" s="26">
        <v>3.6958036367563999E-3</v>
      </c>
      <c r="O18" s="27">
        <v>1.3100260825000001</v>
      </c>
      <c r="P18" s="28">
        <v>1144</v>
      </c>
      <c r="Q18" s="29">
        <f t="shared" si="20"/>
        <v>19.066666666666666</v>
      </c>
      <c r="R18" s="26">
        <f t="shared" si="1"/>
        <v>7.0466656007488693E-2</v>
      </c>
      <c r="S18" s="29">
        <f t="shared" si="21"/>
        <v>10.132373543120504</v>
      </c>
      <c r="T18" s="29">
        <f t="shared" si="22"/>
        <v>5.6536946615827672E-4</v>
      </c>
      <c r="U18" s="117">
        <f t="shared" si="23"/>
        <v>5.7285346209902865E-3</v>
      </c>
      <c r="V18" s="118">
        <f t="shared" si="2"/>
        <v>1.2483719476879228E-2</v>
      </c>
      <c r="W18" s="117">
        <f t="shared" si="24"/>
        <v>0.12648970894726924</v>
      </c>
      <c r="Y18" s="35">
        <v>45136.15625</v>
      </c>
      <c r="Z18" s="71">
        <v>4.5305903781589496E-3</v>
      </c>
      <c r="AA18" s="70">
        <v>0.66228851600000005</v>
      </c>
      <c r="AB18" s="36">
        <v>1779</v>
      </c>
      <c r="AC18" s="37">
        <f t="shared" si="25"/>
        <v>29.65</v>
      </c>
      <c r="AD18" s="37">
        <f t="shared" si="3"/>
        <v>0.13433200471241286</v>
      </c>
      <c r="AE18" s="38">
        <f t="shared" si="26"/>
        <v>13.897065098168484</v>
      </c>
      <c r="AF18" s="38">
        <f t="shared" si="27"/>
        <v>0</v>
      </c>
      <c r="AG18" s="38">
        <f t="shared" si="28"/>
        <v>0</v>
      </c>
      <c r="AH18" s="38">
        <f t="shared" si="4"/>
        <v>0</v>
      </c>
      <c r="AI18" s="38">
        <f t="shared" si="29"/>
        <v>0</v>
      </c>
      <c r="AK18" s="45">
        <v>45151.15625</v>
      </c>
      <c r="AL18" s="4">
        <v>7.1461375664526499E-3</v>
      </c>
      <c r="AM18" s="3">
        <v>0.66228851600000005</v>
      </c>
      <c r="AN18" s="4">
        <v>1484</v>
      </c>
      <c r="AO18" s="46">
        <f t="shared" si="30"/>
        <v>24.733333333333334</v>
      </c>
      <c r="AP18" s="47">
        <f t="shared" si="5"/>
        <v>0.17674780247692887</v>
      </c>
      <c r="AQ18" s="50">
        <f t="shared" si="31"/>
        <v>15.895817122994304</v>
      </c>
      <c r="AR18" s="50">
        <f t="shared" si="32"/>
        <v>3.1070903181179155E-2</v>
      </c>
      <c r="AS18" s="50">
        <f t="shared" si="33"/>
        <v>0.4938973948142858</v>
      </c>
      <c r="AT18" s="50">
        <f t="shared" si="6"/>
        <v>4.4336557430850757E-2</v>
      </c>
      <c r="AU18" s="50">
        <f t="shared" si="34"/>
        <v>0.7047658087839378</v>
      </c>
      <c r="AW18" s="51">
        <v>45166.15625</v>
      </c>
      <c r="AX18" s="72">
        <v>1.0250861657214E-2</v>
      </c>
      <c r="AY18" s="73">
        <v>0.377160934</v>
      </c>
      <c r="AZ18" s="52">
        <v>3736</v>
      </c>
      <c r="BA18" s="53">
        <f t="shared" si="35"/>
        <v>62.266666666666666</v>
      </c>
      <c r="BB18" s="72">
        <f t="shared" si="7"/>
        <v>0.63828698585585841</v>
      </c>
      <c r="BC18" s="54">
        <f t="shared" si="36"/>
        <v>29.810545471853466</v>
      </c>
      <c r="BD18" s="54">
        <f t="shared" si="37"/>
        <v>0</v>
      </c>
      <c r="BE18" s="54">
        <f t="shared" si="38"/>
        <v>0</v>
      </c>
      <c r="BF18" s="54">
        <f t="shared" si="8"/>
        <v>0</v>
      </c>
      <c r="BG18" s="54">
        <f t="shared" si="39"/>
        <v>0</v>
      </c>
      <c r="BI18" s="66">
        <v>45183.15625</v>
      </c>
      <c r="BJ18" s="67">
        <v>6.7417730974629201E-3</v>
      </c>
      <c r="BK18" s="68">
        <v>0.44894941300000002</v>
      </c>
      <c r="BL18" s="68">
        <v>1335</v>
      </c>
      <c r="BM18" s="68">
        <f t="shared" si="40"/>
        <v>22.25</v>
      </c>
      <c r="BN18" s="68">
        <f t="shared" si="9"/>
        <v>0.15000445141854998</v>
      </c>
      <c r="BO18" s="69">
        <f t="shared" si="41"/>
        <v>14.668705637021613</v>
      </c>
      <c r="BP18" s="69">
        <f t="shared" si="42"/>
        <v>0</v>
      </c>
      <c r="BQ18" s="69">
        <f t="shared" si="43"/>
        <v>0</v>
      </c>
      <c r="BR18" s="69">
        <f t="shared" si="10"/>
        <v>0</v>
      </c>
      <c r="BS18" s="69">
        <f t="shared" si="44"/>
        <v>0</v>
      </c>
      <c r="BU18" s="82">
        <v>45046.489583333336</v>
      </c>
      <c r="BV18" s="112">
        <v>3.8100922000000002E-2</v>
      </c>
      <c r="BW18" s="83">
        <v>69.822823</v>
      </c>
      <c r="BX18" s="112">
        <v>7880</v>
      </c>
      <c r="BY18" s="83">
        <f t="shared" si="11"/>
        <v>131.33333333333334</v>
      </c>
      <c r="BZ18" s="84">
        <f t="shared" si="12"/>
        <v>5.0039210893333337</v>
      </c>
      <c r="CA18" s="83">
        <f t="shared" si="13"/>
        <v>81.715778246738054</v>
      </c>
      <c r="CC18" s="87">
        <v>45047.364583333336</v>
      </c>
      <c r="CD18" s="109">
        <v>3.4999704563684501E-2</v>
      </c>
      <c r="CE18" s="88">
        <v>78.762941850000004</v>
      </c>
      <c r="CF18" s="89">
        <v>7830</v>
      </c>
      <c r="CG18" s="90">
        <f t="shared" si="45"/>
        <v>130.5</v>
      </c>
      <c r="CH18" s="91">
        <f t="shared" si="46"/>
        <v>4.5674614455608271</v>
      </c>
      <c r="CI18" s="91">
        <f t="shared" si="47"/>
        <v>78.144134670978204</v>
      </c>
      <c r="CK18" s="93">
        <v>45049.40625</v>
      </c>
      <c r="CL18">
        <v>2.9541538108205E-2</v>
      </c>
      <c r="CM18" s="95">
        <v>90.492164919999993</v>
      </c>
      <c r="CN18" s="4">
        <v>10687</v>
      </c>
      <c r="CO18" s="95">
        <f t="shared" si="48"/>
        <v>178.11666666666667</v>
      </c>
      <c r="CP18" s="94">
        <f t="shared" si="49"/>
        <v>5.2618402960397805</v>
      </c>
      <c r="CQ18" s="96">
        <f t="shared" si="50"/>
        <v>83.751907285775872</v>
      </c>
      <c r="CS18" s="10">
        <v>45050.666666666664</v>
      </c>
      <c r="CT18" s="110">
        <v>9.7371637756643703E-2</v>
      </c>
      <c r="CU18" s="21">
        <v>109.4196846</v>
      </c>
      <c r="CV18" s="111">
        <v>3892</v>
      </c>
      <c r="CW18" s="21">
        <f t="shared" si="51"/>
        <v>64.86666666666666</v>
      </c>
      <c r="CX18" s="21">
        <f t="shared" si="52"/>
        <v>6.3161735691476206</v>
      </c>
      <c r="CY18" s="21">
        <f t="shared" si="53"/>
        <v>91.587445031301101</v>
      </c>
    </row>
    <row r="19" spans="1:103" x14ac:dyDescent="0.3">
      <c r="A19" s="10">
        <v>44776.167361111111</v>
      </c>
      <c r="B19" s="11">
        <v>1.5743544098570301E-3</v>
      </c>
      <c r="C19" s="12">
        <v>0.740701163</v>
      </c>
      <c r="D19" s="9">
        <v>137</v>
      </c>
      <c r="E19" s="13">
        <f t="shared" si="14"/>
        <v>2.2833333333333332</v>
      </c>
      <c r="F19" s="12">
        <f t="shared" si="15"/>
        <v>3.5947759025068853E-3</v>
      </c>
      <c r="G19" s="13">
        <f t="shared" si="16"/>
        <v>2.3597504837832695</v>
      </c>
      <c r="H19" s="11">
        <f t="shared" si="17"/>
        <v>1.3682252664837464E-3</v>
      </c>
      <c r="I19" s="116">
        <f t="shared" si="18"/>
        <v>3.2286702345095133E-3</v>
      </c>
      <c r="J19" s="21">
        <f t="shared" si="0"/>
        <v>1.9839268377830177E-5</v>
      </c>
      <c r="K19" s="116">
        <f t="shared" si="19"/>
        <v>4.6815723152490877E-5</v>
      </c>
      <c r="M19" s="25">
        <v>44781.167361111111</v>
      </c>
      <c r="N19" s="26">
        <v>3.5461509439777199E-3</v>
      </c>
      <c r="O19" s="27">
        <v>1.2590209525</v>
      </c>
      <c r="P19" s="28">
        <v>964</v>
      </c>
      <c r="Q19" s="29">
        <f t="shared" si="20"/>
        <v>16.066666666666666</v>
      </c>
      <c r="R19" s="26">
        <f t="shared" si="1"/>
        <v>5.6974825166575364E-2</v>
      </c>
      <c r="S19" s="29">
        <f t="shared" si="21"/>
        <v>9.1308573594191778</v>
      </c>
      <c r="T19" s="29">
        <f t="shared" si="22"/>
        <v>0</v>
      </c>
      <c r="U19" s="117">
        <f t="shared" si="23"/>
        <v>0</v>
      </c>
      <c r="V19" s="118">
        <f t="shared" si="2"/>
        <v>5.6446665918628829E-3</v>
      </c>
      <c r="W19" s="117">
        <f t="shared" si="24"/>
        <v>5.1540645491778773E-2</v>
      </c>
      <c r="Y19" s="35">
        <v>45136.166666666664</v>
      </c>
      <c r="Z19" s="71">
        <v>7.5258509754304297E-3</v>
      </c>
      <c r="AA19" s="70">
        <v>0.99067576999999996</v>
      </c>
      <c r="AB19" s="36">
        <v>3565</v>
      </c>
      <c r="AC19" s="37">
        <f t="shared" si="25"/>
        <v>59.416666666666664</v>
      </c>
      <c r="AD19" s="37">
        <f t="shared" si="3"/>
        <v>0.44716097879015804</v>
      </c>
      <c r="AE19" s="38">
        <f t="shared" si="26"/>
        <v>25.042965983382995</v>
      </c>
      <c r="AF19" s="38">
        <f t="shared" si="27"/>
        <v>9.9069752538241945E-4</v>
      </c>
      <c r="AG19" s="38">
        <f t="shared" si="28"/>
        <v>2.4810004427973643E-2</v>
      </c>
      <c r="AH19" s="38">
        <f t="shared" si="4"/>
        <v>0</v>
      </c>
      <c r="AI19" s="38">
        <f t="shared" si="29"/>
        <v>0</v>
      </c>
      <c r="AK19" s="45">
        <v>45151.166666666664</v>
      </c>
      <c r="AL19" s="4">
        <v>5.9151476245304698E-3</v>
      </c>
      <c r="AM19" s="3">
        <v>0.66228851600000005</v>
      </c>
      <c r="AN19" s="4">
        <v>1381</v>
      </c>
      <c r="AO19" s="46">
        <f t="shared" si="30"/>
        <v>23.016666666666666</v>
      </c>
      <c r="AP19" s="47">
        <f t="shared" si="5"/>
        <v>0.13614698115794296</v>
      </c>
      <c r="AQ19" s="50">
        <f t="shared" si="31"/>
        <v>13.988698765594263</v>
      </c>
      <c r="AR19" s="50">
        <f t="shared" si="32"/>
        <v>3.1070903181179155E-2</v>
      </c>
      <c r="AS19" s="50">
        <f t="shared" si="33"/>
        <v>0.4346415049764597</v>
      </c>
      <c r="AT19" s="50">
        <f t="shared" si="6"/>
        <v>1.218231202684154E-2</v>
      </c>
      <c r="AU19" s="50">
        <f t="shared" si="34"/>
        <v>0.1704146932119624</v>
      </c>
      <c r="AW19" s="51">
        <v>45166.166666666664</v>
      </c>
      <c r="AX19" s="72">
        <v>4.4515191411601497E-3</v>
      </c>
      <c r="AY19" s="73">
        <v>0.26113539299999999</v>
      </c>
      <c r="AZ19" s="52">
        <v>846</v>
      </c>
      <c r="BA19" s="53">
        <f t="shared" si="35"/>
        <v>14.1</v>
      </c>
      <c r="BB19" s="72">
        <f t="shared" si="7"/>
        <v>6.2766419890358111E-2</v>
      </c>
      <c r="BC19" s="54">
        <f t="shared" si="36"/>
        <v>9.5741599740202101</v>
      </c>
      <c r="BD19" s="54">
        <f t="shared" si="37"/>
        <v>0</v>
      </c>
      <c r="BE19" s="54">
        <f t="shared" si="38"/>
        <v>0</v>
      </c>
      <c r="BF19" s="54">
        <f t="shared" si="8"/>
        <v>0</v>
      </c>
      <c r="BG19" s="54">
        <f t="shared" si="39"/>
        <v>0</v>
      </c>
      <c r="BI19" s="66">
        <v>45183.166666666664</v>
      </c>
      <c r="BJ19" s="67">
        <v>7.0148670727595399E-3</v>
      </c>
      <c r="BK19" s="68">
        <v>0.53201108200000002</v>
      </c>
      <c r="BL19" s="68">
        <v>1888</v>
      </c>
      <c r="BM19" s="68">
        <f t="shared" si="40"/>
        <v>31.466666666666665</v>
      </c>
      <c r="BN19" s="68">
        <f t="shared" si="9"/>
        <v>0.22073448388950018</v>
      </c>
      <c r="BO19" s="69">
        <f t="shared" si="41"/>
        <v>17.723391156156755</v>
      </c>
      <c r="BP19" s="69">
        <f t="shared" si="42"/>
        <v>6.3321113804638007E-2</v>
      </c>
      <c r="BQ19" s="69">
        <f t="shared" si="43"/>
        <v>1.1222648684031167</v>
      </c>
      <c r="BR19" s="69">
        <f t="shared" si="10"/>
        <v>5.2707721584889103E-3</v>
      </c>
      <c r="BS19" s="69">
        <f t="shared" si="44"/>
        <v>9.3415956659879604E-2</v>
      </c>
      <c r="BU19" s="82">
        <v>45046.5</v>
      </c>
      <c r="BV19" s="112">
        <v>3.9579148000000001E-2</v>
      </c>
      <c r="BW19" s="83">
        <v>64.837941950000001</v>
      </c>
      <c r="BX19" s="112">
        <v>7811</v>
      </c>
      <c r="BY19" s="83">
        <f t="shared" si="11"/>
        <v>130.18333333333334</v>
      </c>
      <c r="BZ19" s="84">
        <f t="shared" si="12"/>
        <v>5.152545417133334</v>
      </c>
      <c r="CA19" s="83">
        <f t="shared" si="13"/>
        <v>82.895447836785578</v>
      </c>
      <c r="CC19" s="87">
        <v>45047.375</v>
      </c>
      <c r="CD19" s="109">
        <v>3.8140436455335998E-2</v>
      </c>
      <c r="CE19" s="88">
        <v>80.086877509999994</v>
      </c>
      <c r="CF19" s="89">
        <v>7934</v>
      </c>
      <c r="CG19" s="90">
        <f t="shared" si="45"/>
        <v>132.23333333333332</v>
      </c>
      <c r="CH19" s="91">
        <f t="shared" si="46"/>
        <v>5.0434370472772629</v>
      </c>
      <c r="CI19" s="91">
        <f t="shared" si="47"/>
        <v>82.031152042436332</v>
      </c>
      <c r="CK19" s="93">
        <v>45049.416666666664</v>
      </c>
      <c r="CL19">
        <v>3.3986498531050999E-2</v>
      </c>
      <c r="CM19" s="95">
        <v>90.060609240000005</v>
      </c>
      <c r="CN19" s="4">
        <v>11220</v>
      </c>
      <c r="CO19" s="95">
        <f t="shared" si="48"/>
        <v>187</v>
      </c>
      <c r="CP19" s="94">
        <f t="shared" si="49"/>
        <v>6.3554752253065372</v>
      </c>
      <c r="CQ19" s="96">
        <f t="shared" si="50"/>
        <v>91.866079568496914</v>
      </c>
      <c r="CS19" s="10">
        <v>45050.677083333336</v>
      </c>
      <c r="CT19" s="110">
        <v>8.9628573082391402E-2</v>
      </c>
      <c r="CU19" s="21">
        <v>102.17638460000001</v>
      </c>
      <c r="CV19" s="111">
        <v>3910</v>
      </c>
      <c r="CW19" s="21">
        <f t="shared" si="51"/>
        <v>65.166666666666671</v>
      </c>
      <c r="CX19" s="21">
        <f t="shared" si="52"/>
        <v>5.8407953458691733</v>
      </c>
      <c r="CY19" s="21">
        <f t="shared" si="53"/>
        <v>88.144440596080628</v>
      </c>
    </row>
    <row r="20" spans="1:103" x14ac:dyDescent="0.3">
      <c r="A20" s="10">
        <v>44776.177777777775</v>
      </c>
      <c r="B20" s="11">
        <v>1.7356257073646499E-3</v>
      </c>
      <c r="C20" s="12">
        <v>0.74046465699999997</v>
      </c>
      <c r="D20" s="9">
        <v>114</v>
      </c>
      <c r="E20" s="13">
        <f t="shared" si="14"/>
        <v>1.9</v>
      </c>
      <c r="F20" s="12">
        <f t="shared" si="15"/>
        <v>3.2976888439928348E-3</v>
      </c>
      <c r="G20" s="13">
        <f t="shared" si="16"/>
        <v>2.2621472474486231</v>
      </c>
      <c r="H20" s="11">
        <f t="shared" si="17"/>
        <v>1.3484415539742958E-3</v>
      </c>
      <c r="I20" s="116">
        <f t="shared" si="18"/>
        <v>3.0503733496682972E-3</v>
      </c>
      <c r="J20" s="21">
        <f t="shared" si="0"/>
        <v>0</v>
      </c>
      <c r="K20" s="116">
        <f t="shared" si="19"/>
        <v>0</v>
      </c>
      <c r="M20" s="25">
        <v>44781.177777777775</v>
      </c>
      <c r="N20" s="26">
        <v>3.6624164427138698E-3</v>
      </c>
      <c r="O20" s="27">
        <v>1.3008491654999901</v>
      </c>
      <c r="P20" s="28">
        <v>1061</v>
      </c>
      <c r="Q20" s="29">
        <f t="shared" si="20"/>
        <v>17.683333333333334</v>
      </c>
      <c r="R20" s="26">
        <f t="shared" si="1"/>
        <v>6.4763730761990268E-2</v>
      </c>
      <c r="S20" s="29">
        <f t="shared" si="21"/>
        <v>9.7221608905720132</v>
      </c>
      <c r="T20" s="29">
        <f t="shared" si="22"/>
        <v>2.6659150871510205E-4</v>
      </c>
      <c r="U20" s="117">
        <f t="shared" si="23"/>
        <v>2.591845539788553E-3</v>
      </c>
      <c r="V20" s="118">
        <f t="shared" si="2"/>
        <v>9.592888142485009E-3</v>
      </c>
      <c r="W20" s="117">
        <f t="shared" si="24"/>
        <v>9.3263601926499753E-2</v>
      </c>
      <c r="Y20" s="35">
        <v>45136.177083333336</v>
      </c>
      <c r="Z20" s="71">
        <v>9.9010951442485198E-3</v>
      </c>
      <c r="AA20" s="70">
        <v>1.4444654269999999</v>
      </c>
      <c r="AB20" s="36">
        <v>5082</v>
      </c>
      <c r="AC20" s="37">
        <f t="shared" si="25"/>
        <v>84.7</v>
      </c>
      <c r="AD20" s="37">
        <f t="shared" si="3"/>
        <v>0.83862275871784964</v>
      </c>
      <c r="AE20" s="38">
        <f t="shared" si="26"/>
        <v>34.074083109995165</v>
      </c>
      <c r="AF20" s="38">
        <f t="shared" si="27"/>
        <v>2.4675109726830919E-2</v>
      </c>
      <c r="AG20" s="38">
        <f t="shared" si="28"/>
        <v>0.84078173958028679</v>
      </c>
      <c r="AH20" s="38">
        <f t="shared" si="4"/>
        <v>9.4656185606302248E-2</v>
      </c>
      <c r="AI20" s="38">
        <f t="shared" si="29"/>
        <v>3.225322735224271</v>
      </c>
      <c r="AK20" s="45">
        <v>45151.177083333336</v>
      </c>
      <c r="AL20" s="4">
        <v>4.7047652576974897E-3</v>
      </c>
      <c r="AM20" s="3">
        <v>0.59425534599999996</v>
      </c>
      <c r="AN20" s="4">
        <v>971</v>
      </c>
      <c r="AO20" s="46">
        <f t="shared" si="30"/>
        <v>16.183333333333334</v>
      </c>
      <c r="AP20" s="47">
        <f t="shared" si="5"/>
        <v>7.6138784420404379E-2</v>
      </c>
      <c r="AQ20" s="50">
        <f t="shared" si="31"/>
        <v>10.523883237973774</v>
      </c>
      <c r="AR20" s="50">
        <f t="shared" si="32"/>
        <v>0</v>
      </c>
      <c r="AS20" s="50">
        <f t="shared" si="33"/>
        <v>0</v>
      </c>
      <c r="AT20" s="50">
        <f t="shared" si="6"/>
        <v>0</v>
      </c>
      <c r="AU20" s="50">
        <f t="shared" si="34"/>
        <v>0</v>
      </c>
      <c r="AW20" s="51">
        <v>45166.177083333336</v>
      </c>
      <c r="AX20" s="72">
        <v>1.1255773787276701E-2</v>
      </c>
      <c r="AY20" s="73">
        <v>0.42386643899999998</v>
      </c>
      <c r="AZ20" s="52">
        <v>4560</v>
      </c>
      <c r="BA20" s="53">
        <f t="shared" si="35"/>
        <v>76</v>
      </c>
      <c r="BB20" s="72">
        <f t="shared" si="7"/>
        <v>0.85543880783302928</v>
      </c>
      <c r="BC20" s="54">
        <f t="shared" si="36"/>
        <v>34.406977289796167</v>
      </c>
      <c r="BD20" s="54">
        <f t="shared" si="37"/>
        <v>2.3952851071099918E-2</v>
      </c>
      <c r="BE20" s="54">
        <f t="shared" si="38"/>
        <v>0.82414520282920467</v>
      </c>
      <c r="BF20" s="54">
        <f t="shared" si="8"/>
        <v>3.3290078560402635E-2</v>
      </c>
      <c r="BG20" s="54">
        <f t="shared" si="39"/>
        <v>1.1454109770033036</v>
      </c>
      <c r="BI20" s="66">
        <v>45183.177083333336</v>
      </c>
      <c r="BJ20" s="67">
        <v>6.5771868994116802E-3</v>
      </c>
      <c r="BK20" s="68">
        <v>0.53201108200000002</v>
      </c>
      <c r="BL20" s="68">
        <v>1864</v>
      </c>
      <c r="BM20" s="68">
        <f t="shared" si="40"/>
        <v>31.066666666666666</v>
      </c>
      <c r="BN20" s="68">
        <f t="shared" si="9"/>
        <v>0.20433127300838952</v>
      </c>
      <c r="BO20" s="69">
        <f t="shared" si="41"/>
        <v>17.065717971301655</v>
      </c>
      <c r="BP20" s="69">
        <f t="shared" si="42"/>
        <v>6.3321113804638007E-2</v>
      </c>
      <c r="BQ20" s="69">
        <f t="shared" si="43"/>
        <v>1.0806202698186482</v>
      </c>
      <c r="BR20" s="69">
        <f t="shared" si="10"/>
        <v>3.8667376626921445E-3</v>
      </c>
      <c r="BS20" s="69">
        <f t="shared" si="44"/>
        <v>6.5988654420514284E-2</v>
      </c>
      <c r="BU20" s="82">
        <v>45046.510416666664</v>
      </c>
      <c r="BV20" s="112">
        <v>3.8729895E-2</v>
      </c>
      <c r="BW20" s="83">
        <v>69.36581735</v>
      </c>
      <c r="BX20" s="112">
        <v>7506</v>
      </c>
      <c r="BY20" s="83">
        <f t="shared" si="11"/>
        <v>125.1</v>
      </c>
      <c r="BZ20" s="84">
        <f t="shared" si="12"/>
        <v>4.8451098644999995</v>
      </c>
      <c r="CA20" s="83">
        <f t="shared" si="13"/>
        <v>80.435317409263035</v>
      </c>
      <c r="CC20" s="87">
        <v>45047.385416666664</v>
      </c>
      <c r="CD20" s="109">
        <v>3.62703562916592E-2</v>
      </c>
      <c r="CE20" s="88">
        <v>75.208694050000005</v>
      </c>
      <c r="CF20" s="89">
        <v>7674</v>
      </c>
      <c r="CG20" s="90">
        <f t="shared" si="45"/>
        <v>127.9</v>
      </c>
      <c r="CH20" s="91">
        <f t="shared" si="46"/>
        <v>4.6389785697032115</v>
      </c>
      <c r="CI20" s="91">
        <f t="shared" si="47"/>
        <v>78.740945511937539</v>
      </c>
      <c r="CK20" s="93">
        <v>45049.427083333336</v>
      </c>
      <c r="CL20">
        <v>3.1895469144758902E-2</v>
      </c>
      <c r="CM20" s="95">
        <v>91.338086169999997</v>
      </c>
      <c r="CN20" s="4">
        <v>11199</v>
      </c>
      <c r="CO20" s="95">
        <f t="shared" si="48"/>
        <v>186.65</v>
      </c>
      <c r="CP20" s="94">
        <f t="shared" si="49"/>
        <v>5.9532893158692488</v>
      </c>
      <c r="CQ20" s="96">
        <f t="shared" si="50"/>
        <v>88.971741236145789</v>
      </c>
      <c r="CS20" s="10">
        <v>45050.6875</v>
      </c>
      <c r="CT20" s="110">
        <v>9.5258142347790301E-2</v>
      </c>
      <c r="CU20" s="21">
        <v>105.0235411</v>
      </c>
      <c r="CV20" s="111">
        <v>3885</v>
      </c>
      <c r="CW20" s="21">
        <f t="shared" si="51"/>
        <v>64.75</v>
      </c>
      <c r="CX20" s="21">
        <f t="shared" si="52"/>
        <v>6.1679647170194221</v>
      </c>
      <c r="CY20" s="21">
        <f t="shared" si="53"/>
        <v>90.528655761461692</v>
      </c>
    </row>
    <row r="21" spans="1:103" x14ac:dyDescent="0.3">
      <c r="A21" s="10">
        <v>44776.188194444447</v>
      </c>
      <c r="B21" s="11">
        <v>1.47959596568332E-3</v>
      </c>
      <c r="C21" s="12">
        <v>0.74873955049999996</v>
      </c>
      <c r="D21" s="9">
        <v>125</v>
      </c>
      <c r="E21" s="13">
        <f t="shared" si="14"/>
        <v>2.0833333333333335</v>
      </c>
      <c r="F21" s="12">
        <f t="shared" si="15"/>
        <v>3.0824915951735837E-3</v>
      </c>
      <c r="G21" s="13">
        <f t="shared" si="16"/>
        <v>2.1886123908823101</v>
      </c>
      <c r="H21" s="11">
        <f t="shared" si="17"/>
        <v>2.0406358917513579E-3</v>
      </c>
      <c r="I21" s="116">
        <f t="shared" si="18"/>
        <v>4.4661609979661943E-3</v>
      </c>
      <c r="J21" s="21">
        <f t="shared" si="0"/>
        <v>0</v>
      </c>
      <c r="K21" s="116">
        <f t="shared" si="19"/>
        <v>0</v>
      </c>
      <c r="M21" s="25">
        <v>44781.188194444447</v>
      </c>
      <c r="N21" s="26">
        <v>3.8991349347515798E-3</v>
      </c>
      <c r="O21" s="27">
        <v>1.3675681405</v>
      </c>
      <c r="P21" s="28">
        <v>1087</v>
      </c>
      <c r="Q21" s="29">
        <f t="shared" si="20"/>
        <v>18.116666666666667</v>
      </c>
      <c r="R21" s="26">
        <f t="shared" si="1"/>
        <v>7.0639327901249452E-2</v>
      </c>
      <c r="S21" s="29">
        <f t="shared" si="21"/>
        <v>10.144524430776944</v>
      </c>
      <c r="T21" s="29">
        <f t="shared" si="22"/>
        <v>2.4387980431300337E-3</v>
      </c>
      <c r="U21" s="117">
        <f t="shared" si="23"/>
        <v>2.4740446330263628E-2</v>
      </c>
      <c r="V21" s="118">
        <f t="shared" si="2"/>
        <v>1.2571247420796572E-2</v>
      </c>
      <c r="W21" s="117">
        <f t="shared" si="24"/>
        <v>0.12752932658561247</v>
      </c>
      <c r="Y21" s="35">
        <v>45136.1875</v>
      </c>
      <c r="Z21" s="71">
        <v>6.7404973685643603E-3</v>
      </c>
      <c r="AA21" s="70">
        <v>0.99067576999999996</v>
      </c>
      <c r="AB21" s="36">
        <v>3435</v>
      </c>
      <c r="AC21" s="37">
        <f t="shared" si="25"/>
        <v>57.25</v>
      </c>
      <c r="AD21" s="37">
        <f t="shared" si="3"/>
        <v>0.38589347435030963</v>
      </c>
      <c r="AE21" s="38">
        <f t="shared" si="26"/>
        <v>23.299505046324192</v>
      </c>
      <c r="AF21" s="38">
        <f t="shared" si="27"/>
        <v>9.9069752538241945E-4</v>
      </c>
      <c r="AG21" s="38">
        <f t="shared" si="28"/>
        <v>2.3082761992028571E-2</v>
      </c>
      <c r="AH21" s="38">
        <f t="shared" si="4"/>
        <v>0</v>
      </c>
      <c r="AI21" s="38">
        <f t="shared" si="29"/>
        <v>0</v>
      </c>
      <c r="AK21" s="45">
        <v>45151.1875</v>
      </c>
      <c r="AL21" s="4">
        <v>5.2982144196189003E-3</v>
      </c>
      <c r="AM21" s="3">
        <v>0.562700329</v>
      </c>
      <c r="AN21" s="4">
        <v>1284</v>
      </c>
      <c r="AO21" s="46">
        <f t="shared" si="30"/>
        <v>21.4</v>
      </c>
      <c r="AP21" s="47">
        <f t="shared" si="5"/>
        <v>0.11338178857984446</v>
      </c>
      <c r="AQ21" s="50">
        <f t="shared" si="31"/>
        <v>12.789791024101083</v>
      </c>
      <c r="AR21" s="50">
        <f t="shared" si="32"/>
        <v>0</v>
      </c>
      <c r="AS21" s="50">
        <f t="shared" si="33"/>
        <v>0</v>
      </c>
      <c r="AT21" s="50">
        <f t="shared" si="6"/>
        <v>0</v>
      </c>
      <c r="AU21" s="50">
        <f t="shared" si="34"/>
        <v>0</v>
      </c>
      <c r="AW21" s="51">
        <v>45166.1875</v>
      </c>
      <c r="AX21" s="72">
        <v>8.4349085031616405E-3</v>
      </c>
      <c r="AY21" s="73">
        <v>0.35506608000000001</v>
      </c>
      <c r="AZ21" s="52">
        <v>3100</v>
      </c>
      <c r="BA21" s="53">
        <f t="shared" si="35"/>
        <v>51.666666666666664</v>
      </c>
      <c r="BB21" s="72">
        <f t="shared" si="7"/>
        <v>0.43580360599668472</v>
      </c>
      <c r="BC21" s="54">
        <f t="shared" si="36"/>
        <v>24.729441430649075</v>
      </c>
      <c r="BD21" s="54">
        <f t="shared" si="37"/>
        <v>0</v>
      </c>
      <c r="BE21" s="54">
        <f t="shared" si="38"/>
        <v>0</v>
      </c>
      <c r="BF21" s="54">
        <f t="shared" si="8"/>
        <v>0</v>
      </c>
      <c r="BG21" s="54">
        <f t="shared" si="39"/>
        <v>0</v>
      </c>
      <c r="BI21" s="66">
        <v>45183.1875</v>
      </c>
      <c r="BJ21" s="67">
        <v>6.0997399497197697E-3</v>
      </c>
      <c r="BK21" s="68">
        <v>0.59425534599999996</v>
      </c>
      <c r="BL21" s="68">
        <v>2261</v>
      </c>
      <c r="BM21" s="68">
        <f t="shared" si="40"/>
        <v>37.68333333333333</v>
      </c>
      <c r="BN21" s="68">
        <f t="shared" si="9"/>
        <v>0.22985853377193996</v>
      </c>
      <c r="BO21" s="69">
        <f t="shared" si="41"/>
        <v>18.078436337261952</v>
      </c>
      <c r="BP21" s="69">
        <f t="shared" si="42"/>
        <v>0.12721788649803784</v>
      </c>
      <c r="BQ21" s="69">
        <f t="shared" si="43"/>
        <v>2.2999004620157937</v>
      </c>
      <c r="BR21" s="69">
        <f t="shared" si="10"/>
        <v>6.0517461317655674E-3</v>
      </c>
      <c r="BS21" s="69">
        <f t="shared" si="44"/>
        <v>0.10940610717239509</v>
      </c>
      <c r="BU21" s="82">
        <v>45046.520833333336</v>
      </c>
      <c r="BV21" s="112">
        <v>4.1348962000000003E-2</v>
      </c>
      <c r="BW21" s="83">
        <v>70.720093730000002</v>
      </c>
      <c r="BX21" s="112">
        <v>7290</v>
      </c>
      <c r="BY21" s="83">
        <f t="shared" si="11"/>
        <v>121.5</v>
      </c>
      <c r="BZ21" s="84">
        <f t="shared" si="12"/>
        <v>5.0238988830000002</v>
      </c>
      <c r="CA21" s="83">
        <f t="shared" si="13"/>
        <v>81.875377684380638</v>
      </c>
      <c r="CC21" s="87">
        <v>45047.395833333336</v>
      </c>
      <c r="CD21" s="109">
        <v>3.1956244588670302E-2</v>
      </c>
      <c r="CE21" s="88">
        <v>76.544179459999995</v>
      </c>
      <c r="CF21" s="89">
        <v>8043</v>
      </c>
      <c r="CG21" s="90">
        <f t="shared" si="45"/>
        <v>134.05000000000001</v>
      </c>
      <c r="CH21" s="91">
        <f t="shared" si="46"/>
        <v>4.2837345871112547</v>
      </c>
      <c r="CI21" s="91">
        <f t="shared" si="47"/>
        <v>75.728106483527228</v>
      </c>
      <c r="CK21" s="93">
        <v>45049.4375</v>
      </c>
      <c r="CL21">
        <v>3.0129952470423299E-2</v>
      </c>
      <c r="CM21" s="95">
        <v>87.058386479999996</v>
      </c>
      <c r="CN21" s="4">
        <v>10980</v>
      </c>
      <c r="CO21" s="95">
        <f t="shared" si="48"/>
        <v>183</v>
      </c>
      <c r="CP21" s="94">
        <f t="shared" si="49"/>
        <v>5.5137813020874633</v>
      </c>
      <c r="CQ21" s="96">
        <f t="shared" si="50"/>
        <v>85.692227206089811</v>
      </c>
      <c r="CS21" s="10">
        <v>45050.697916666664</v>
      </c>
      <c r="CT21" s="110">
        <v>9.0552866206561694E-2</v>
      </c>
      <c r="CU21" s="21">
        <v>109.0251016</v>
      </c>
      <c r="CV21" s="111">
        <v>3934</v>
      </c>
      <c r="CW21" s="21">
        <f t="shared" si="51"/>
        <v>65.566666666666663</v>
      </c>
      <c r="CX21" s="21">
        <f t="shared" si="52"/>
        <v>5.9372495942768948</v>
      </c>
      <c r="CY21" s="21">
        <f t="shared" si="53"/>
        <v>88.854272881494097</v>
      </c>
    </row>
    <row r="22" spans="1:103" x14ac:dyDescent="0.3">
      <c r="A22" s="10">
        <v>44776.198611111111</v>
      </c>
      <c r="B22" s="11">
        <v>1.5884123237744599E-3</v>
      </c>
      <c r="C22" s="12">
        <v>0.73845619600000001</v>
      </c>
      <c r="D22" s="9">
        <v>104</v>
      </c>
      <c r="E22" s="13">
        <f t="shared" si="14"/>
        <v>1.7333333333333334</v>
      </c>
      <c r="F22" s="12">
        <f t="shared" si="15"/>
        <v>2.7532480278757306E-3</v>
      </c>
      <c r="G22" s="13">
        <f t="shared" si="16"/>
        <v>2.0708367050090577</v>
      </c>
      <c r="H22" s="11">
        <f t="shared" si="17"/>
        <v>1.1804339135320315E-3</v>
      </c>
      <c r="I22" s="116">
        <f t="shared" si="18"/>
        <v>2.4444858759796193E-3</v>
      </c>
      <c r="J22" s="21">
        <f t="shared" si="0"/>
        <v>0</v>
      </c>
      <c r="K22" s="116">
        <f t="shared" si="19"/>
        <v>0</v>
      </c>
      <c r="M22" s="25">
        <v>44781.198611111111</v>
      </c>
      <c r="N22" s="26">
        <v>3.3141810254827902E-3</v>
      </c>
      <c r="O22" s="27">
        <v>1.3727610129999901</v>
      </c>
      <c r="P22" s="28">
        <v>1092</v>
      </c>
      <c r="Q22" s="29">
        <f t="shared" si="20"/>
        <v>18.2</v>
      </c>
      <c r="R22" s="26">
        <f t="shared" si="1"/>
        <v>6.0318094663786778E-2</v>
      </c>
      <c r="S22" s="29">
        <f t="shared" si="21"/>
        <v>9.3894205084169062</v>
      </c>
      <c r="T22" s="29">
        <f t="shared" si="22"/>
        <v>2.6078652624160082E-3</v>
      </c>
      <c r="U22" s="117">
        <f t="shared" si="23"/>
        <v>2.4486343578116906E-2</v>
      </c>
      <c r="V22" s="118">
        <f t="shared" si="2"/>
        <v>7.3393807614887327E-3</v>
      </c>
      <c r="W22" s="117">
        <f t="shared" si="24"/>
        <v>6.89125322410028E-2</v>
      </c>
      <c r="Y22" s="35">
        <v>45136.197916666664</v>
      </c>
      <c r="Z22" s="71">
        <v>5.6858206324155898E-3</v>
      </c>
      <c r="AA22" s="70">
        <v>0.85462156099999997</v>
      </c>
      <c r="AB22" s="36">
        <v>2904</v>
      </c>
      <c r="AC22" s="37">
        <f t="shared" si="25"/>
        <v>48.4</v>
      </c>
      <c r="AD22" s="37">
        <f t="shared" si="3"/>
        <v>0.27519371860891456</v>
      </c>
      <c r="AE22" s="38">
        <f t="shared" si="26"/>
        <v>19.74442880413374</v>
      </c>
      <c r="AF22" s="38">
        <f t="shared" si="27"/>
        <v>0</v>
      </c>
      <c r="AG22" s="38">
        <f t="shared" si="28"/>
        <v>0</v>
      </c>
      <c r="AH22" s="38">
        <f t="shared" si="4"/>
        <v>0</v>
      </c>
      <c r="AI22" s="38">
        <f t="shared" si="29"/>
        <v>0</v>
      </c>
      <c r="AK22" s="45">
        <v>45151.197916666664</v>
      </c>
      <c r="AL22" s="4">
        <v>5.8498293776496797E-3</v>
      </c>
      <c r="AM22" s="3">
        <v>0.59425534599999996</v>
      </c>
      <c r="AN22" s="4">
        <v>1244</v>
      </c>
      <c r="AO22" s="46">
        <f t="shared" si="30"/>
        <v>20.733333333333334</v>
      </c>
      <c r="AP22" s="47">
        <f t="shared" si="5"/>
        <v>0.1212864624299367</v>
      </c>
      <c r="AQ22" s="50">
        <f t="shared" si="31"/>
        <v>13.218935705818058</v>
      </c>
      <c r="AR22" s="50">
        <f t="shared" si="32"/>
        <v>0</v>
      </c>
      <c r="AS22" s="50">
        <f t="shared" si="33"/>
        <v>0</v>
      </c>
      <c r="AT22" s="50">
        <f t="shared" si="6"/>
        <v>4.1336867820675449E-4</v>
      </c>
      <c r="AU22" s="50">
        <f t="shared" si="34"/>
        <v>5.4642939800140823E-3</v>
      </c>
      <c r="AW22" s="51">
        <v>45166.197916666664</v>
      </c>
      <c r="AX22" s="72">
        <v>1.07823517675974E-2</v>
      </c>
      <c r="AY22" s="73">
        <v>0.376777213</v>
      </c>
      <c r="AZ22" s="52">
        <v>3703</v>
      </c>
      <c r="BA22" s="53">
        <f t="shared" si="35"/>
        <v>61.716666666666669</v>
      </c>
      <c r="BB22" s="72">
        <f t="shared" si="7"/>
        <v>0.66545080992355288</v>
      </c>
      <c r="BC22" s="54">
        <f t="shared" si="36"/>
        <v>30.425202491694701</v>
      </c>
      <c r="BD22" s="54">
        <f t="shared" si="37"/>
        <v>0</v>
      </c>
      <c r="BE22" s="54">
        <f t="shared" si="38"/>
        <v>0</v>
      </c>
      <c r="BF22" s="54">
        <f t="shared" si="8"/>
        <v>2.932355707728792E-3</v>
      </c>
      <c r="BG22" s="54">
        <f t="shared" si="39"/>
        <v>8.9217516185325224E-2</v>
      </c>
      <c r="BI22" s="66">
        <v>45183.197916666664</v>
      </c>
      <c r="BJ22" s="67">
        <v>6.9573588135786804E-3</v>
      </c>
      <c r="BK22" s="68">
        <v>0.50323377899999999</v>
      </c>
      <c r="BL22" s="68">
        <v>1616</v>
      </c>
      <c r="BM22" s="68">
        <f t="shared" si="40"/>
        <v>26.933333333333334</v>
      </c>
      <c r="BN22" s="68">
        <f t="shared" si="9"/>
        <v>0.18738486404571914</v>
      </c>
      <c r="BO22" s="69">
        <f t="shared" si="41"/>
        <v>16.35730234789234</v>
      </c>
      <c r="BP22" s="69">
        <f t="shared" si="42"/>
        <v>3.3779808785430195E-2</v>
      </c>
      <c r="BQ22" s="69">
        <f t="shared" si="43"/>
        <v>0.55254654555727156</v>
      </c>
      <c r="BR22" s="69">
        <f t="shared" si="10"/>
        <v>2.4162080721186153E-3</v>
      </c>
      <c r="BS22" s="69">
        <f t="shared" si="44"/>
        <v>3.9522645971062247E-2</v>
      </c>
      <c r="BU22" s="82">
        <v>45046.53125</v>
      </c>
      <c r="BV22" s="112">
        <v>4.3199295999999998E-2</v>
      </c>
      <c r="BW22" s="83">
        <v>70.720093730000002</v>
      </c>
      <c r="BX22" s="112">
        <v>7405</v>
      </c>
      <c r="BY22" s="83">
        <f t="shared" si="11"/>
        <v>123.41666666666667</v>
      </c>
      <c r="BZ22" s="84">
        <f t="shared" si="12"/>
        <v>5.3315131146666666</v>
      </c>
      <c r="CA22" s="83">
        <f t="shared" si="13"/>
        <v>84.293148078854855</v>
      </c>
      <c r="CC22" s="87">
        <v>45047.40625</v>
      </c>
      <c r="CD22" s="109">
        <v>3.68131211742855E-2</v>
      </c>
      <c r="CE22" s="88">
        <v>76.986061320000005</v>
      </c>
      <c r="CF22" s="89">
        <v>7984</v>
      </c>
      <c r="CG22" s="90">
        <f t="shared" si="45"/>
        <v>133.06666666666666</v>
      </c>
      <c r="CH22" s="91">
        <f t="shared" si="46"/>
        <v>4.8985993242582566</v>
      </c>
      <c r="CI22" s="91">
        <f t="shared" si="47"/>
        <v>80.868951261887133</v>
      </c>
      <c r="CK22" s="93">
        <v>45049.447916666664</v>
      </c>
      <c r="CL22">
        <v>3.1087615821491998E-2</v>
      </c>
      <c r="CM22" s="95">
        <v>93.877037450000003</v>
      </c>
      <c r="CN22" s="4">
        <v>10946</v>
      </c>
      <c r="CO22" s="95">
        <f t="shared" si="48"/>
        <v>182.43333333333334</v>
      </c>
      <c r="CP22" s="94">
        <f t="shared" si="49"/>
        <v>5.6714173797008574</v>
      </c>
      <c r="CQ22" s="96">
        <f t="shared" si="50"/>
        <v>86.883313214061388</v>
      </c>
      <c r="CS22" s="10">
        <v>45050.708333333336</v>
      </c>
      <c r="CT22" s="110">
        <v>0.10160286160528401</v>
      </c>
      <c r="CU22" s="21">
        <v>110.21295859999999</v>
      </c>
      <c r="CV22" s="111">
        <v>4082</v>
      </c>
      <c r="CW22" s="21">
        <f t="shared" si="51"/>
        <v>68.033333333333331</v>
      </c>
      <c r="CX22" s="21">
        <f t="shared" si="52"/>
        <v>6.9123813512128214</v>
      </c>
      <c r="CY22" s="21">
        <f t="shared" si="53"/>
        <v>95.723654903072273</v>
      </c>
    </row>
    <row r="23" spans="1:103" x14ac:dyDescent="0.3">
      <c r="A23" s="10">
        <v>44776.209027777775</v>
      </c>
      <c r="B23" s="11">
        <v>1.58726559516091E-3</v>
      </c>
      <c r="C23" s="12">
        <v>0.726575334499999</v>
      </c>
      <c r="D23" s="9">
        <v>120</v>
      </c>
      <c r="E23" s="13">
        <f t="shared" si="14"/>
        <v>2</v>
      </c>
      <c r="F23" s="12">
        <f t="shared" si="15"/>
        <v>3.1745311903218199E-3</v>
      </c>
      <c r="G23" s="13">
        <f t="shared" si="16"/>
        <v>2.2203737895454494</v>
      </c>
      <c r="H23" s="11">
        <f t="shared" si="17"/>
        <v>1.8660057196525506E-4</v>
      </c>
      <c r="I23" s="116">
        <f t="shared" si="18"/>
        <v>4.1432301910584172E-4</v>
      </c>
      <c r="J23" s="21">
        <f t="shared" si="0"/>
        <v>0</v>
      </c>
      <c r="K23" s="116">
        <f t="shared" si="19"/>
        <v>0</v>
      </c>
      <c r="M23" s="25">
        <v>44781.209027777775</v>
      </c>
      <c r="N23" s="26">
        <v>3.4286104158690999E-3</v>
      </c>
      <c r="O23" s="27">
        <v>1.3106306169999999</v>
      </c>
      <c r="P23" s="28">
        <v>1033</v>
      </c>
      <c r="Q23" s="29">
        <f t="shared" si="20"/>
        <v>17.216666666666665</v>
      </c>
      <c r="R23" s="26">
        <f t="shared" si="1"/>
        <v>5.9029242659879667E-2</v>
      </c>
      <c r="S23" s="29">
        <f t="shared" si="21"/>
        <v>9.2906308866960661</v>
      </c>
      <c r="T23" s="29">
        <f t="shared" si="22"/>
        <v>5.8505162990822601E-4</v>
      </c>
      <c r="U23" s="117">
        <f t="shared" si="23"/>
        <v>5.4354987431372405E-3</v>
      </c>
      <c r="V23" s="118">
        <f t="shared" si="2"/>
        <v>6.6860574935338462E-3</v>
      </c>
      <c r="W23" s="117">
        <f t="shared" si="24"/>
        <v>6.2117692259651233E-2</v>
      </c>
      <c r="Y23" s="35">
        <v>45136.208333333336</v>
      </c>
      <c r="Z23" s="71">
        <v>6.6173558710812402E-3</v>
      </c>
      <c r="AA23" s="70">
        <v>0.99067576999999996</v>
      </c>
      <c r="AB23" s="36">
        <v>3871</v>
      </c>
      <c r="AC23" s="37">
        <f t="shared" si="25"/>
        <v>64.516666666666666</v>
      </c>
      <c r="AD23" s="37">
        <f t="shared" si="3"/>
        <v>0.42692974294925801</v>
      </c>
      <c r="AE23" s="38">
        <f t="shared" si="26"/>
        <v>24.481562219331547</v>
      </c>
      <c r="AF23" s="38">
        <f t="shared" si="27"/>
        <v>9.9069752538241945E-4</v>
      </c>
      <c r="AG23" s="38">
        <f t="shared" si="28"/>
        <v>2.4253823108187498E-2</v>
      </c>
      <c r="AH23" s="38">
        <f t="shared" si="4"/>
        <v>0</v>
      </c>
      <c r="AI23" s="38">
        <f t="shared" si="29"/>
        <v>0</v>
      </c>
      <c r="AK23" s="45">
        <v>45151.208333333336</v>
      </c>
      <c r="AL23" s="4">
        <v>4.5667705795279304E-3</v>
      </c>
      <c r="AM23" s="3">
        <v>0.59425534599999996</v>
      </c>
      <c r="AN23" s="4">
        <v>1149</v>
      </c>
      <c r="AO23" s="46">
        <f t="shared" si="30"/>
        <v>19.149999999999999</v>
      </c>
      <c r="AP23" s="47">
        <f t="shared" si="5"/>
        <v>8.7453656597959867E-2</v>
      </c>
      <c r="AQ23" s="50">
        <f t="shared" si="31"/>
        <v>11.262693512806807</v>
      </c>
      <c r="AR23" s="50">
        <f t="shared" si="32"/>
        <v>0</v>
      </c>
      <c r="AS23" s="50">
        <f t="shared" si="33"/>
        <v>0</v>
      </c>
      <c r="AT23" s="50">
        <f t="shared" si="6"/>
        <v>0</v>
      </c>
      <c r="AU23" s="50">
        <f t="shared" si="34"/>
        <v>0</v>
      </c>
      <c r="AW23" s="51">
        <v>45166.208333333336</v>
      </c>
      <c r="AX23" s="72">
        <v>8.9377314139924401E-3</v>
      </c>
      <c r="AY23" s="73">
        <v>0.376777213</v>
      </c>
      <c r="AZ23" s="52">
        <v>3760</v>
      </c>
      <c r="BA23" s="53">
        <f t="shared" si="35"/>
        <v>62.666666666666664</v>
      </c>
      <c r="BB23" s="72">
        <f t="shared" si="7"/>
        <v>0.56009783527685952</v>
      </c>
      <c r="BC23" s="54">
        <f t="shared" si="36"/>
        <v>27.962656108126847</v>
      </c>
      <c r="BD23" s="54">
        <f t="shared" si="37"/>
        <v>0</v>
      </c>
      <c r="BE23" s="54">
        <f t="shared" si="38"/>
        <v>0</v>
      </c>
      <c r="BF23" s="54">
        <f t="shared" si="8"/>
        <v>0</v>
      </c>
      <c r="BG23" s="54">
        <f t="shared" si="39"/>
        <v>0</v>
      </c>
      <c r="BI23" s="66">
        <v>45183.208333333336</v>
      </c>
      <c r="BJ23" s="67">
        <v>9.3871867972550108E-3</v>
      </c>
      <c r="BK23" s="68">
        <v>0.59425534599999996</v>
      </c>
      <c r="BL23" s="68">
        <v>2107</v>
      </c>
      <c r="BM23" s="68">
        <f t="shared" si="40"/>
        <v>35.116666666666667</v>
      </c>
      <c r="BN23" s="68">
        <f t="shared" si="9"/>
        <v>0.32964670969693849</v>
      </c>
      <c r="BO23" s="69">
        <f t="shared" si="41"/>
        <v>21.569598604395214</v>
      </c>
      <c r="BP23" s="69">
        <f t="shared" si="42"/>
        <v>0.12721788649803784</v>
      </c>
      <c r="BQ23" s="69">
        <f t="shared" si="43"/>
        <v>2.7440387470621856</v>
      </c>
      <c r="BR23" s="69">
        <f t="shared" si="10"/>
        <v>1.459312515120348E-2</v>
      </c>
      <c r="BS23" s="69">
        <f t="shared" si="44"/>
        <v>0.31476785189516326</v>
      </c>
      <c r="BU23" s="82">
        <v>45046.541666666664</v>
      </c>
      <c r="BV23" s="112">
        <v>4.3802595999999999E-2</v>
      </c>
      <c r="BW23" s="83">
        <v>72.069636250000002</v>
      </c>
      <c r="BX23" s="112">
        <v>6789</v>
      </c>
      <c r="BY23" s="83">
        <f t="shared" si="11"/>
        <v>113.15</v>
      </c>
      <c r="BZ23" s="84">
        <f t="shared" si="12"/>
        <v>4.9562637374000005</v>
      </c>
      <c r="CA23" s="83">
        <f t="shared" si="13"/>
        <v>81.333733145824112</v>
      </c>
      <c r="CC23" s="87">
        <v>45047.416666666664</v>
      </c>
      <c r="CD23" s="109">
        <v>3.4221448133734303E-2</v>
      </c>
      <c r="CE23" s="88">
        <v>77.875916610000004</v>
      </c>
      <c r="CF23" s="89">
        <v>7687</v>
      </c>
      <c r="CG23" s="90">
        <f t="shared" si="45"/>
        <v>128.11666666666667</v>
      </c>
      <c r="CH23" s="91">
        <f t="shared" si="46"/>
        <v>4.3843378634002601</v>
      </c>
      <c r="CI23" s="91">
        <f t="shared" si="47"/>
        <v>76.593865601946831</v>
      </c>
      <c r="CK23" s="93">
        <v>45049.458333333336</v>
      </c>
      <c r="CL23">
        <v>3.07404857913657E-2</v>
      </c>
      <c r="CM23" s="95">
        <v>89.209976960000006</v>
      </c>
      <c r="CN23" s="4">
        <v>10923</v>
      </c>
      <c r="CO23" s="95">
        <f t="shared" si="48"/>
        <v>182.05</v>
      </c>
      <c r="CP23" s="94">
        <f t="shared" si="49"/>
        <v>5.5963054383181259</v>
      </c>
      <c r="CQ23" s="96">
        <f t="shared" si="50"/>
        <v>86.317909340186262</v>
      </c>
      <c r="CS23" s="10">
        <v>45050.71875</v>
      </c>
      <c r="CT23" s="110">
        <v>9.4857197832264595E-2</v>
      </c>
      <c r="CU23" s="21">
        <v>118.36070239999999</v>
      </c>
      <c r="CV23" s="111">
        <v>3983</v>
      </c>
      <c r="CW23" s="21">
        <f t="shared" si="51"/>
        <v>66.38333333333334</v>
      </c>
      <c r="CX23" s="21">
        <f t="shared" si="52"/>
        <v>6.2969369827651649</v>
      </c>
      <c r="CY23" s="21">
        <f t="shared" si="53"/>
        <v>91.450742086367043</v>
      </c>
    </row>
    <row r="24" spans="1:103" x14ac:dyDescent="0.3">
      <c r="A24" s="10">
        <v>44776.219444444447</v>
      </c>
      <c r="B24" s="11">
        <v>1.80429829327259E-3</v>
      </c>
      <c r="C24" s="12">
        <v>0.78202204350000004</v>
      </c>
      <c r="D24" s="9">
        <v>99</v>
      </c>
      <c r="E24" s="13">
        <f t="shared" si="14"/>
        <v>1.65</v>
      </c>
      <c r="F24" s="12">
        <f t="shared" si="15"/>
        <v>2.9770921838997732E-3</v>
      </c>
      <c r="G24" s="13">
        <f t="shared" si="16"/>
        <v>2.1516403171733334</v>
      </c>
      <c r="H24" s="11">
        <f t="shared" si="17"/>
        <v>4.8247144060796438E-3</v>
      </c>
      <c r="I24" s="116">
        <f t="shared" si="18"/>
        <v>1.0381050034967955E-2</v>
      </c>
      <c r="J24" s="21">
        <f t="shared" si="0"/>
        <v>0</v>
      </c>
      <c r="K24" s="116">
        <f t="shared" si="19"/>
        <v>0</v>
      </c>
      <c r="M24" s="25">
        <v>44781.219444444447</v>
      </c>
      <c r="N24" s="26">
        <v>4.2977775352743596E-3</v>
      </c>
      <c r="O24" s="27">
        <v>1.3304172409999999</v>
      </c>
      <c r="P24" s="28">
        <v>962</v>
      </c>
      <c r="Q24" s="29">
        <f t="shared" si="20"/>
        <v>16.033333333333335</v>
      </c>
      <c r="R24" s="26">
        <f t="shared" si="1"/>
        <v>6.8907699815565576E-2</v>
      </c>
      <c r="S24" s="29">
        <f t="shared" si="21"/>
        <v>10.021974915550905</v>
      </c>
      <c r="T24" s="29">
        <f t="shared" si="22"/>
        <v>1.229255680507098E-3</v>
      </c>
      <c r="U24" s="117">
        <f t="shared" si="23"/>
        <v>1.2319569594840592E-2</v>
      </c>
      <c r="V24" s="118">
        <f t="shared" si="2"/>
        <v>1.1693479518514604E-2</v>
      </c>
      <c r="W24" s="117">
        <f t="shared" si="24"/>
        <v>0.11719175841006163</v>
      </c>
      <c r="Y24" s="35">
        <v>45136.21875</v>
      </c>
      <c r="Z24" s="71">
        <v>7.42178503414924E-3</v>
      </c>
      <c r="AA24" s="70">
        <v>0.99067576999999996</v>
      </c>
      <c r="AB24" s="36">
        <v>3997</v>
      </c>
      <c r="AC24" s="37">
        <f t="shared" si="25"/>
        <v>66.61666666666666</v>
      </c>
      <c r="AD24" s="37">
        <f t="shared" si="3"/>
        <v>0.49441457969157515</v>
      </c>
      <c r="AE24" s="38">
        <f t="shared" si="26"/>
        <v>26.305713580823937</v>
      </c>
      <c r="AF24" s="38">
        <f t="shared" si="27"/>
        <v>9.9069752538241945E-4</v>
      </c>
      <c r="AG24" s="38">
        <f t="shared" si="28"/>
        <v>2.606100534794098E-2</v>
      </c>
      <c r="AH24" s="38">
        <f t="shared" si="4"/>
        <v>3.3928794791294897E-3</v>
      </c>
      <c r="AI24" s="38">
        <f t="shared" si="29"/>
        <v>8.9252115792235465E-2</v>
      </c>
      <c r="AK24" s="45">
        <v>45151.21875</v>
      </c>
      <c r="AL24" s="4">
        <v>7.0063237541191301E-3</v>
      </c>
      <c r="AM24" s="3">
        <v>0.73497519099999997</v>
      </c>
      <c r="AN24" s="4">
        <v>1690</v>
      </c>
      <c r="AO24" s="46">
        <f t="shared" si="30"/>
        <v>28.166666666666668</v>
      </c>
      <c r="AP24" s="47">
        <f t="shared" si="5"/>
        <v>0.19734478574102218</v>
      </c>
      <c r="AQ24" s="50">
        <f t="shared" si="31"/>
        <v>16.777436215677767</v>
      </c>
      <c r="AR24" s="50">
        <f t="shared" si="32"/>
        <v>7.0609297721530184E-2</v>
      </c>
      <c r="AS24" s="50">
        <f t="shared" si="33"/>
        <v>1.1846429887567742</v>
      </c>
      <c r="AT24" s="50">
        <f t="shared" si="6"/>
        <v>6.064855391123302E-2</v>
      </c>
      <c r="AU24" s="50">
        <f t="shared" si="34"/>
        <v>1.0175272448188064</v>
      </c>
      <c r="AW24" s="51">
        <v>45166.21875</v>
      </c>
      <c r="AX24" s="72">
        <v>1.34519785504922E-2</v>
      </c>
      <c r="AY24" s="73">
        <v>0.44894941300000002</v>
      </c>
      <c r="AZ24" s="52">
        <v>4740</v>
      </c>
      <c r="BA24" s="53">
        <f t="shared" si="35"/>
        <v>79</v>
      </c>
      <c r="BB24" s="72">
        <f t="shared" si="7"/>
        <v>1.0627063054888839</v>
      </c>
      <c r="BC24" s="54">
        <f t="shared" si="36"/>
        <v>38.263805902213079</v>
      </c>
      <c r="BD24" s="54">
        <f t="shared" si="37"/>
        <v>3.7380996036869431E-2</v>
      </c>
      <c r="BE24" s="54">
        <f t="shared" si="38"/>
        <v>1.4303391767861682</v>
      </c>
      <c r="BF24" s="54">
        <f t="shared" si="8"/>
        <v>6.6408850900967487E-2</v>
      </c>
      <c r="BG24" s="54">
        <f t="shared" si="39"/>
        <v>2.5410553810636283</v>
      </c>
      <c r="BI24" s="66">
        <v>45183.21875</v>
      </c>
      <c r="BJ24" s="67">
        <v>5.9033224032472601E-3</v>
      </c>
      <c r="BK24" s="68">
        <v>0.44894941300000002</v>
      </c>
      <c r="BL24" s="68">
        <v>1340</v>
      </c>
      <c r="BM24" s="68">
        <f t="shared" si="40"/>
        <v>22.333333333333332</v>
      </c>
      <c r="BN24" s="68">
        <f t="shared" si="9"/>
        <v>0.13184086700585548</v>
      </c>
      <c r="BO24" s="69">
        <f t="shared" si="41"/>
        <v>13.770258794495726</v>
      </c>
      <c r="BP24" s="69">
        <f t="shared" si="42"/>
        <v>0</v>
      </c>
      <c r="BQ24" s="69">
        <f t="shared" si="43"/>
        <v>0</v>
      </c>
      <c r="BR24" s="69">
        <f t="shared" si="10"/>
        <v>0</v>
      </c>
      <c r="BS24" s="69">
        <f t="shared" si="44"/>
        <v>0</v>
      </c>
      <c r="BU24" s="82">
        <v>45046.552083333336</v>
      </c>
      <c r="BV24" s="112">
        <v>4.2883562E-2</v>
      </c>
      <c r="BW24" s="83">
        <v>75.208694050000005</v>
      </c>
      <c r="BX24" s="112">
        <v>7510</v>
      </c>
      <c r="BY24" s="83">
        <f t="shared" si="11"/>
        <v>125.16666666666667</v>
      </c>
      <c r="BZ24" s="84">
        <f t="shared" si="12"/>
        <v>5.367592510333334</v>
      </c>
      <c r="CA24" s="83">
        <f t="shared" si="13"/>
        <v>84.572006122249178</v>
      </c>
      <c r="CC24" s="87">
        <v>45047.427083333336</v>
      </c>
      <c r="CD24" s="109">
        <v>3.12946351509081E-2</v>
      </c>
      <c r="CE24" s="88">
        <v>75.652056590000001</v>
      </c>
      <c r="CF24" s="89">
        <v>8134</v>
      </c>
      <c r="CG24" s="90">
        <f t="shared" si="45"/>
        <v>135.56666666666666</v>
      </c>
      <c r="CH24" s="91">
        <f t="shared" si="46"/>
        <v>4.242509371958108</v>
      </c>
      <c r="CI24" s="91">
        <f t="shared" si="47"/>
        <v>75.370341479567273</v>
      </c>
      <c r="CK24" s="93">
        <v>45049.46875</v>
      </c>
      <c r="CL24">
        <v>2.9773411506068201E-2</v>
      </c>
      <c r="CM24" s="95">
        <v>91.338086169999997</v>
      </c>
      <c r="CN24" s="4">
        <v>10824</v>
      </c>
      <c r="CO24" s="95">
        <f t="shared" si="48"/>
        <v>180.4</v>
      </c>
      <c r="CP24" s="94">
        <f t="shared" si="49"/>
        <v>5.3711234356947033</v>
      </c>
      <c r="CQ24" s="96">
        <f t="shared" si="50"/>
        <v>84.5992452289033</v>
      </c>
      <c r="CS24" s="10">
        <v>45050.729166666664</v>
      </c>
      <c r="CT24" s="110">
        <v>9.2366959032670101E-2</v>
      </c>
      <c r="CU24" s="21">
        <v>114.1275401</v>
      </c>
      <c r="CV24" s="111">
        <v>4002</v>
      </c>
      <c r="CW24" s="21">
        <f t="shared" si="51"/>
        <v>66.7</v>
      </c>
      <c r="CX24" s="21">
        <f t="shared" si="52"/>
        <v>6.1608761674790964</v>
      </c>
      <c r="CY24" s="21">
        <f t="shared" si="53"/>
        <v>90.477692281217742</v>
      </c>
    </row>
    <row r="25" spans="1:103" x14ac:dyDescent="0.3">
      <c r="A25" s="10">
        <v>44776.229861111111</v>
      </c>
      <c r="B25" s="11">
        <v>1.7821104159901099E-3</v>
      </c>
      <c r="C25" s="12">
        <v>0.83594533650000002</v>
      </c>
      <c r="D25" s="9">
        <v>173</v>
      </c>
      <c r="E25" s="13">
        <f t="shared" si="14"/>
        <v>2.8833333333333333</v>
      </c>
      <c r="F25" s="12">
        <f t="shared" si="15"/>
        <v>5.1384183661048171E-3</v>
      </c>
      <c r="G25" s="13">
        <f t="shared" si="16"/>
        <v>2.8109089601537796</v>
      </c>
      <c r="H25" s="11">
        <f t="shared" si="17"/>
        <v>9.3353945844884077E-3</v>
      </c>
      <c r="I25" s="116">
        <f t="shared" si="18"/>
        <v>2.6240944284109537E-2</v>
      </c>
      <c r="J25" s="21">
        <f t="shared" si="0"/>
        <v>3.3997925543711327E-4</v>
      </c>
      <c r="K25" s="116">
        <f t="shared" si="19"/>
        <v>9.5565073537459222E-4</v>
      </c>
      <c r="M25" s="25">
        <v>44781.229861111111</v>
      </c>
      <c r="N25" s="26">
        <v>3.1614028096858902E-3</v>
      </c>
      <c r="O25" s="27">
        <v>1.2636095315</v>
      </c>
      <c r="P25" s="28">
        <v>1061</v>
      </c>
      <c r="Q25" s="29">
        <f t="shared" si="20"/>
        <v>17.683333333333334</v>
      </c>
      <c r="R25" s="26">
        <f t="shared" si="1"/>
        <v>5.5904139684612157E-2</v>
      </c>
      <c r="S25" s="29">
        <f t="shared" si="21"/>
        <v>9.0464232720722055</v>
      </c>
      <c r="T25" s="29">
        <f t="shared" si="22"/>
        <v>0</v>
      </c>
      <c r="U25" s="117">
        <f t="shared" si="23"/>
        <v>0</v>
      </c>
      <c r="V25" s="118">
        <f t="shared" si="2"/>
        <v>5.1019326426526299E-3</v>
      </c>
      <c r="W25" s="117">
        <f t="shared" si="24"/>
        <v>4.6154242191037601E-2</v>
      </c>
      <c r="Y25" s="35">
        <v>45136.229166666664</v>
      </c>
      <c r="Z25" s="71">
        <v>5.4099484718950902E-3</v>
      </c>
      <c r="AA25" s="70">
        <v>0.89783227600000004</v>
      </c>
      <c r="AB25" s="36">
        <v>2583</v>
      </c>
      <c r="AC25" s="37">
        <f t="shared" si="25"/>
        <v>43.05</v>
      </c>
      <c r="AD25" s="37">
        <f t="shared" si="3"/>
        <v>0.23289828171508362</v>
      </c>
      <c r="AE25" s="38">
        <f t="shared" si="26"/>
        <v>18.195119915262755</v>
      </c>
      <c r="AF25" s="38">
        <f t="shared" si="27"/>
        <v>0</v>
      </c>
      <c r="AG25" s="38">
        <f t="shared" si="28"/>
        <v>0</v>
      </c>
      <c r="AH25" s="38">
        <f t="shared" si="4"/>
        <v>0</v>
      </c>
      <c r="AI25" s="38">
        <f t="shared" si="29"/>
        <v>0</v>
      </c>
      <c r="AK25" s="45">
        <v>45151.229166666664</v>
      </c>
      <c r="AL25" s="4">
        <v>4.4516519692577696E-3</v>
      </c>
      <c r="AM25" s="3">
        <v>0.50323377899999999</v>
      </c>
      <c r="AN25" s="4">
        <v>868</v>
      </c>
      <c r="AO25" s="46">
        <f t="shared" si="30"/>
        <v>14.466666666666667</v>
      </c>
      <c r="AP25" s="47">
        <f t="shared" si="5"/>
        <v>6.4400565155262407E-2</v>
      </c>
      <c r="AQ25" s="50">
        <f t="shared" si="31"/>
        <v>9.695425382061428</v>
      </c>
      <c r="AR25" s="50">
        <f t="shared" si="32"/>
        <v>0</v>
      </c>
      <c r="AS25" s="50">
        <f t="shared" si="33"/>
        <v>0</v>
      </c>
      <c r="AT25" s="50">
        <f t="shared" si="6"/>
        <v>0</v>
      </c>
      <c r="AU25" s="50">
        <f t="shared" si="34"/>
        <v>0</v>
      </c>
      <c r="AW25" s="51">
        <v>45166.229166666664</v>
      </c>
      <c r="AX25" s="72">
        <v>1.3812905374086399E-2</v>
      </c>
      <c r="AY25" s="73">
        <v>0.44894941300000002</v>
      </c>
      <c r="AZ25" s="52">
        <v>5294</v>
      </c>
      <c r="BA25" s="53">
        <f t="shared" si="35"/>
        <v>88.233333333333334</v>
      </c>
      <c r="BB25" s="72">
        <f t="shared" si="7"/>
        <v>1.2187586841735567</v>
      </c>
      <c r="BC25" s="54">
        <f t="shared" si="36"/>
        <v>40.919234617726914</v>
      </c>
      <c r="BD25" s="54">
        <f t="shared" si="37"/>
        <v>3.7380996036869431E-2</v>
      </c>
      <c r="BE25" s="54">
        <f t="shared" si="38"/>
        <v>1.5296017470769803</v>
      </c>
      <c r="BF25" s="54">
        <f t="shared" si="8"/>
        <v>9.1344083203731316E-2</v>
      </c>
      <c r="BG25" s="54">
        <f t="shared" si="39"/>
        <v>3.7377299715546499</v>
      </c>
      <c r="BI25" s="66">
        <v>45183.229166666664</v>
      </c>
      <c r="BJ25" s="67">
        <v>1.00867925691819E-2</v>
      </c>
      <c r="BK25" s="68">
        <v>0.66228851600000005</v>
      </c>
      <c r="BL25" s="68">
        <v>2342</v>
      </c>
      <c r="BM25" s="68">
        <f t="shared" si="40"/>
        <v>39.033333333333331</v>
      </c>
      <c r="BN25" s="68">
        <f t="shared" si="9"/>
        <v>0.39372113661706681</v>
      </c>
      <c r="BO25" s="69">
        <f t="shared" si="41"/>
        <v>23.529760888500462</v>
      </c>
      <c r="BP25" s="69">
        <f t="shared" si="42"/>
        <v>0.19705725352953551</v>
      </c>
      <c r="BQ25" s="69">
        <f t="shared" si="43"/>
        <v>4.636710056894584</v>
      </c>
      <c r="BR25" s="69">
        <f t="shared" si="10"/>
        <v>2.0077582209416814E-2</v>
      </c>
      <c r="BS25" s="69">
        <f t="shared" si="44"/>
        <v>0.47242070860678842</v>
      </c>
      <c r="BU25" s="82">
        <v>45046.5625</v>
      </c>
      <c r="BV25" s="112">
        <v>4.2992486000000003E-2</v>
      </c>
      <c r="BW25" s="83">
        <v>72.069636250000002</v>
      </c>
      <c r="BX25" s="112">
        <v>7603</v>
      </c>
      <c r="BY25" s="83">
        <f t="shared" si="11"/>
        <v>126.71666666666667</v>
      </c>
      <c r="BZ25" s="84">
        <f t="shared" si="12"/>
        <v>5.4478645176333336</v>
      </c>
      <c r="CA25" s="83">
        <f t="shared" si="13"/>
        <v>85.189017822363695</v>
      </c>
      <c r="CC25" s="87">
        <v>45047.4375</v>
      </c>
      <c r="CD25" s="109">
        <v>3.2068923311150299E-2</v>
      </c>
      <c r="CE25" s="88">
        <v>76.986061320000005</v>
      </c>
      <c r="CF25" s="89">
        <v>7835</v>
      </c>
      <c r="CG25" s="90">
        <f t="shared" si="45"/>
        <v>130.58333333333334</v>
      </c>
      <c r="CH25" s="91">
        <f t="shared" si="46"/>
        <v>4.1876669023810438</v>
      </c>
      <c r="CI25" s="91">
        <f t="shared" si="47"/>
        <v>74.891640603794414</v>
      </c>
      <c r="CK25" s="93">
        <v>45049.479166666664</v>
      </c>
      <c r="CL25">
        <v>2.7410624320024599E-2</v>
      </c>
      <c r="CM25" s="95">
        <v>84.891986889999998</v>
      </c>
      <c r="CN25" s="4">
        <v>11303</v>
      </c>
      <c r="CO25" s="95">
        <f t="shared" si="48"/>
        <v>188.38333333333333</v>
      </c>
      <c r="CP25" s="94">
        <f t="shared" si="49"/>
        <v>5.1637047781539671</v>
      </c>
      <c r="CQ25" s="96">
        <f t="shared" si="50"/>
        <v>82.983317404170393</v>
      </c>
      <c r="CS25" s="10">
        <v>45050.739583333336</v>
      </c>
      <c r="CT25" s="110">
        <v>9.3560214596100005E-2</v>
      </c>
      <c r="CU25" s="21">
        <v>108.2271172</v>
      </c>
      <c r="CV25" s="111">
        <v>4034</v>
      </c>
      <c r="CW25" s="21">
        <f t="shared" si="51"/>
        <v>67.233333333333334</v>
      </c>
      <c r="CX25" s="21">
        <f t="shared" si="52"/>
        <v>6.2903650946777905</v>
      </c>
      <c r="CY25" s="21">
        <f t="shared" si="53"/>
        <v>91.403990769948379</v>
      </c>
    </row>
    <row r="26" spans="1:103" x14ac:dyDescent="0.3">
      <c r="A26" s="10">
        <v>44776.240277777775</v>
      </c>
      <c r="B26" s="11">
        <v>1.5586168093157399E-3</v>
      </c>
      <c r="C26" s="12">
        <v>0.78025976949999998</v>
      </c>
      <c r="D26" s="9">
        <v>131</v>
      </c>
      <c r="E26" s="13">
        <f t="shared" si="14"/>
        <v>2.1833333333333331</v>
      </c>
      <c r="F26" s="12">
        <f t="shared" si="15"/>
        <v>3.4029800336726986E-3</v>
      </c>
      <c r="G26" s="13">
        <f t="shared" si="16"/>
        <v>2.2972335025138353</v>
      </c>
      <c r="H26" s="11">
        <f t="shared" si="17"/>
        <v>4.6773002932077642E-3</v>
      </c>
      <c r="I26" s="116">
        <f t="shared" si="18"/>
        <v>1.0744850934874661E-2</v>
      </c>
      <c r="J26" s="21">
        <f t="shared" si="0"/>
        <v>0</v>
      </c>
      <c r="K26" s="116">
        <f t="shared" si="19"/>
        <v>0</v>
      </c>
      <c r="M26" s="25">
        <v>44781.240277777775</v>
      </c>
      <c r="N26" s="26">
        <v>3.86862997993025E-3</v>
      </c>
      <c r="O26" s="27">
        <v>1.269803263</v>
      </c>
      <c r="P26" s="28">
        <v>1015</v>
      </c>
      <c r="Q26" s="29">
        <f t="shared" si="20"/>
        <v>16.916666666666668</v>
      </c>
      <c r="R26" s="26">
        <f t="shared" si="1"/>
        <v>6.54443238271534E-2</v>
      </c>
      <c r="S26" s="29">
        <f t="shared" si="21"/>
        <v>9.7720595240525299</v>
      </c>
      <c r="T26" s="29">
        <f t="shared" si="22"/>
        <v>0</v>
      </c>
      <c r="U26" s="117">
        <f t="shared" si="23"/>
        <v>0</v>
      </c>
      <c r="V26" s="118">
        <f t="shared" si="2"/>
        <v>9.9378829783015946E-3</v>
      </c>
      <c r="W26" s="117">
        <f t="shared" si="24"/>
        <v>9.7113584007031614E-2</v>
      </c>
      <c r="Y26" s="35">
        <v>45136.239583333336</v>
      </c>
      <c r="Z26" s="71">
        <v>7.0601446291194197E-3</v>
      </c>
      <c r="AA26" s="70">
        <v>0.99067576999999996</v>
      </c>
      <c r="AB26" s="36">
        <v>2995</v>
      </c>
      <c r="AC26" s="37">
        <f t="shared" si="25"/>
        <v>49.916666666666664</v>
      </c>
      <c r="AD26" s="37">
        <f t="shared" si="3"/>
        <v>0.35241888607021099</v>
      </c>
      <c r="AE26" s="38">
        <f t="shared" si="26"/>
        <v>22.286838718986882</v>
      </c>
      <c r="AF26" s="38">
        <f t="shared" si="27"/>
        <v>9.9069752538241945E-4</v>
      </c>
      <c r="AG26" s="38">
        <f t="shared" si="28"/>
        <v>2.2079515967497396E-2</v>
      </c>
      <c r="AH26" s="38">
        <f t="shared" si="4"/>
        <v>0</v>
      </c>
      <c r="AI26" s="38">
        <f t="shared" si="29"/>
        <v>0</v>
      </c>
      <c r="AK26" s="45">
        <v>45151.239583333336</v>
      </c>
      <c r="AL26" s="4">
        <v>5.7212281035159502E-3</v>
      </c>
      <c r="AM26" s="3">
        <v>0.66228851600000005</v>
      </c>
      <c r="AN26" s="4">
        <v>1354</v>
      </c>
      <c r="AO26" s="46">
        <f t="shared" si="30"/>
        <v>22.566666666666666</v>
      </c>
      <c r="AP26" s="47">
        <f t="shared" si="5"/>
        <v>0.12910904753600994</v>
      </c>
      <c r="AQ26" s="50">
        <f t="shared" si="31"/>
        <v>13.629787270141717</v>
      </c>
      <c r="AR26" s="50">
        <f t="shared" si="32"/>
        <v>3.1070903181179155E-2</v>
      </c>
      <c r="AS26" s="50">
        <f t="shared" si="33"/>
        <v>0.42348980065064146</v>
      </c>
      <c r="AT26" s="50">
        <f t="shared" si="6"/>
        <v>6.6085468303493421E-3</v>
      </c>
      <c r="AU26" s="50">
        <f t="shared" si="34"/>
        <v>9.0073087462430854E-2</v>
      </c>
      <c r="AW26" s="51">
        <v>45166.239583333336</v>
      </c>
      <c r="AX26" s="72">
        <v>1.00243336046308E-2</v>
      </c>
      <c r="AY26" s="73">
        <v>0.42386643899999998</v>
      </c>
      <c r="AZ26" s="52">
        <v>4481</v>
      </c>
      <c r="BA26" s="53">
        <f t="shared" si="35"/>
        <v>74.683333333333337</v>
      </c>
      <c r="BB26" s="72">
        <f t="shared" si="7"/>
        <v>0.74865064803917691</v>
      </c>
      <c r="BC26" s="54">
        <f t="shared" si="36"/>
        <v>32.232064192136171</v>
      </c>
      <c r="BD26" s="54">
        <f t="shared" si="37"/>
        <v>2.3952851071099918E-2</v>
      </c>
      <c r="BE26" s="54">
        <f t="shared" si="38"/>
        <v>0.77204983330837018</v>
      </c>
      <c r="BF26" s="54">
        <f t="shared" si="8"/>
        <v>1.6226656688282794E-2</v>
      </c>
      <c r="BG26" s="54">
        <f t="shared" si="39"/>
        <v>0.52301864000048681</v>
      </c>
      <c r="BI26" s="66">
        <v>45183.239583333336</v>
      </c>
      <c r="BJ26" s="67">
        <v>6.3214542793526398E-3</v>
      </c>
      <c r="BK26" s="68">
        <v>0.44894941300000002</v>
      </c>
      <c r="BL26" s="68">
        <v>1314</v>
      </c>
      <c r="BM26" s="68">
        <f t="shared" si="40"/>
        <v>21.9</v>
      </c>
      <c r="BN26" s="68">
        <f t="shared" si="9"/>
        <v>0.13843984871782281</v>
      </c>
      <c r="BO26" s="69">
        <f t="shared" si="41"/>
        <v>14.103573338744019</v>
      </c>
      <c r="BP26" s="69">
        <f t="shared" si="42"/>
        <v>0</v>
      </c>
      <c r="BQ26" s="69">
        <f t="shared" si="43"/>
        <v>0</v>
      </c>
      <c r="BR26" s="69">
        <f t="shared" si="10"/>
        <v>0</v>
      </c>
      <c r="BS26" s="69">
        <f t="shared" si="44"/>
        <v>0</v>
      </c>
      <c r="BU26" s="82">
        <v>45046.572916666664</v>
      </c>
      <c r="BV26" s="112">
        <v>3.8530272999999997E-2</v>
      </c>
      <c r="BW26" s="83">
        <v>76.544179459999995</v>
      </c>
      <c r="BX26" s="112">
        <v>7537</v>
      </c>
      <c r="BY26" s="83">
        <f t="shared" si="11"/>
        <v>125.61666666666666</v>
      </c>
      <c r="BZ26" s="84">
        <f t="shared" si="12"/>
        <v>4.8400444600166663</v>
      </c>
      <c r="CA26" s="83">
        <f t="shared" si="13"/>
        <v>80.394126319763103</v>
      </c>
      <c r="CC26" s="87">
        <v>45047.447916666664</v>
      </c>
      <c r="CD26" s="109">
        <v>2.9763287703586699E-2</v>
      </c>
      <c r="CE26" s="88">
        <v>80.523852189999999</v>
      </c>
      <c r="CF26" s="89">
        <v>8774</v>
      </c>
      <c r="CG26" s="90">
        <f t="shared" si="45"/>
        <v>146.23333333333332</v>
      </c>
      <c r="CH26" s="91">
        <f t="shared" si="46"/>
        <v>4.3523847718544948</v>
      </c>
      <c r="CI26" s="91">
        <f t="shared" si="47"/>
        <v>76.319996669366716</v>
      </c>
      <c r="CK26" s="93">
        <v>45049.489583333336</v>
      </c>
      <c r="CL26">
        <v>3.04615078720674E-2</v>
      </c>
      <c r="CM26" s="95">
        <v>87.058386479999996</v>
      </c>
      <c r="CN26" s="4">
        <v>10827</v>
      </c>
      <c r="CO26" s="95">
        <f t="shared" si="48"/>
        <v>180.45</v>
      </c>
      <c r="CP26" s="94">
        <f t="shared" si="49"/>
        <v>5.4967790955145617</v>
      </c>
      <c r="CQ26" s="96">
        <f t="shared" si="50"/>
        <v>85.562727323064166</v>
      </c>
      <c r="CS26" s="10">
        <v>45050.75</v>
      </c>
      <c r="CT26" s="110">
        <v>9.5461102208317494E-2</v>
      </c>
      <c r="CU26" s="21">
        <v>122.51245830000001</v>
      </c>
      <c r="CV26" s="111">
        <v>4042</v>
      </c>
      <c r="CW26" s="21">
        <f t="shared" si="51"/>
        <v>67.36666666666666</v>
      </c>
      <c r="CX26" s="21">
        <f t="shared" si="52"/>
        <v>6.4308962521003208</v>
      </c>
      <c r="CY26" s="21">
        <f t="shared" si="53"/>
        <v>92.398335523246857</v>
      </c>
    </row>
    <row r="27" spans="1:103" x14ac:dyDescent="0.3">
      <c r="A27" s="10">
        <v>44776.250694444447</v>
      </c>
      <c r="B27" s="11">
        <v>1.5338057626346599E-3</v>
      </c>
      <c r="C27" s="12">
        <v>0.75657462549999999</v>
      </c>
      <c r="D27" s="9">
        <v>99</v>
      </c>
      <c r="E27" s="13">
        <f t="shared" si="14"/>
        <v>1.65</v>
      </c>
      <c r="F27" s="12">
        <f t="shared" si="15"/>
        <v>2.5307795083471889E-3</v>
      </c>
      <c r="G27" s="13">
        <f t="shared" si="16"/>
        <v>1.987134337417199</v>
      </c>
      <c r="H27" s="11">
        <f t="shared" si="17"/>
        <v>2.69603943876482E-3</v>
      </c>
      <c r="I27" s="116">
        <f t="shared" si="18"/>
        <v>5.3573925438005678E-3</v>
      </c>
      <c r="J27" s="21">
        <f t="shared" si="0"/>
        <v>0</v>
      </c>
      <c r="K27" s="116">
        <f t="shared" si="19"/>
        <v>0</v>
      </c>
      <c r="M27" s="25">
        <v>44781.250694444447</v>
      </c>
      <c r="N27" s="26">
        <v>3.57448395977234E-3</v>
      </c>
      <c r="O27" s="27">
        <v>1.3586243874999999</v>
      </c>
      <c r="P27" s="28">
        <v>1033</v>
      </c>
      <c r="Q27" s="29">
        <f t="shared" si="20"/>
        <v>17.216666666666665</v>
      </c>
      <c r="R27" s="26">
        <f t="shared" si="1"/>
        <v>6.1540698840747116E-2</v>
      </c>
      <c r="S27" s="29">
        <f t="shared" si="21"/>
        <v>9.4821414923295126</v>
      </c>
      <c r="T27" s="29">
        <f t="shared" si="22"/>
        <v>2.147611334869147E-3</v>
      </c>
      <c r="U27" s="117">
        <f t="shared" si="23"/>
        <v>2.036395454775991E-2</v>
      </c>
      <c r="V27" s="118">
        <f t="shared" si="2"/>
        <v>7.9591227907408277E-3</v>
      </c>
      <c r="W27" s="117">
        <f t="shared" si="24"/>
        <v>7.5469528456629062E-2</v>
      </c>
      <c r="Y27" s="35">
        <v>45136.25</v>
      </c>
      <c r="Z27" s="71">
        <v>9.2267551611655407E-3</v>
      </c>
      <c r="AA27" s="70">
        <v>1.1441742989999999</v>
      </c>
      <c r="AB27" s="36">
        <v>3660</v>
      </c>
      <c r="AC27" s="37">
        <f t="shared" si="25"/>
        <v>61</v>
      </c>
      <c r="AD27" s="37">
        <f t="shared" si="3"/>
        <v>0.56283206483109793</v>
      </c>
      <c r="AE27" s="38">
        <f t="shared" si="26"/>
        <v>28.029419693648578</v>
      </c>
      <c r="AF27" s="38">
        <f t="shared" si="27"/>
        <v>9.0021679876807585E-3</v>
      </c>
      <c r="AG27" s="38">
        <f t="shared" si="28"/>
        <v>0.25232554467943186</v>
      </c>
      <c r="AH27" s="38">
        <f t="shared" si="4"/>
        <v>2.1533081459231003E-2</v>
      </c>
      <c r="AI27" s="38">
        <f t="shared" si="29"/>
        <v>0.60355977751830847</v>
      </c>
      <c r="AK27" s="45">
        <v>45151.25</v>
      </c>
      <c r="AL27" s="4">
        <v>7.1464229698987199E-3</v>
      </c>
      <c r="AM27" s="3">
        <v>0.66228851600000005</v>
      </c>
      <c r="AN27" s="4">
        <v>1493</v>
      </c>
      <c r="AO27" s="46">
        <f t="shared" si="30"/>
        <v>24.883333333333333</v>
      </c>
      <c r="AP27" s="47">
        <f t="shared" si="5"/>
        <v>0.17782682490097981</v>
      </c>
      <c r="AQ27" s="50">
        <f t="shared" si="31"/>
        <v>15.943264747477949</v>
      </c>
      <c r="AR27" s="50">
        <f t="shared" si="32"/>
        <v>3.1070903181179155E-2</v>
      </c>
      <c r="AS27" s="50">
        <f t="shared" si="33"/>
        <v>0.49537163536079409</v>
      </c>
      <c r="AT27" s="50">
        <f t="shared" si="6"/>
        <v>4.5191100533483478E-2</v>
      </c>
      <c r="AU27" s="50">
        <f t="shared" si="34"/>
        <v>0.72049368003521908</v>
      </c>
      <c r="AW27" s="51">
        <v>45166.25</v>
      </c>
      <c r="AX27" s="72">
        <v>8.5565689651571492E-3</v>
      </c>
      <c r="AY27" s="73">
        <v>0.33405227900000001</v>
      </c>
      <c r="AZ27" s="52">
        <v>2853</v>
      </c>
      <c r="BA27" s="53">
        <f t="shared" si="35"/>
        <v>47.55</v>
      </c>
      <c r="BB27" s="72">
        <f t="shared" si="7"/>
        <v>0.40686485429322244</v>
      </c>
      <c r="BC27" s="54">
        <f t="shared" si="36"/>
        <v>23.911198459324371</v>
      </c>
      <c r="BD27" s="54">
        <f t="shared" si="37"/>
        <v>0</v>
      </c>
      <c r="BE27" s="54">
        <f t="shared" si="38"/>
        <v>0</v>
      </c>
      <c r="BF27" s="54">
        <f t="shared" si="8"/>
        <v>0</v>
      </c>
      <c r="BG27" s="54">
        <f t="shared" si="39"/>
        <v>0</v>
      </c>
      <c r="BI27" s="66">
        <v>45183.25</v>
      </c>
      <c r="BJ27" s="67">
        <v>6.5115629149989102E-3</v>
      </c>
      <c r="BK27" s="68">
        <v>0.59425534599999996</v>
      </c>
      <c r="BL27" s="68">
        <v>2096</v>
      </c>
      <c r="BM27" s="68">
        <f t="shared" si="40"/>
        <v>34.93333333333333</v>
      </c>
      <c r="BN27" s="68">
        <f t="shared" si="9"/>
        <v>0.22747059783062856</v>
      </c>
      <c r="BO27" s="69">
        <f t="shared" si="41"/>
        <v>17.986219822151618</v>
      </c>
      <c r="BP27" s="69">
        <f t="shared" si="42"/>
        <v>0.12721788649803784</v>
      </c>
      <c r="BQ27" s="69">
        <f t="shared" si="43"/>
        <v>2.2881688718632427</v>
      </c>
      <c r="BR27" s="69">
        <f t="shared" si="10"/>
        <v>5.8473505131482984E-3</v>
      </c>
      <c r="BS27" s="69">
        <f t="shared" si="44"/>
        <v>0.10517173170665636</v>
      </c>
      <c r="BU27" s="82">
        <v>45046.583333333336</v>
      </c>
      <c r="BV27" s="112">
        <v>4.3516204000000003E-2</v>
      </c>
      <c r="BW27" s="83">
        <v>78.762941850000004</v>
      </c>
      <c r="BX27" s="112">
        <v>7026</v>
      </c>
      <c r="BY27" s="83">
        <f t="shared" si="11"/>
        <v>117.1</v>
      </c>
      <c r="BZ27" s="84">
        <f t="shared" si="12"/>
        <v>5.0957474883999998</v>
      </c>
      <c r="CA27" s="83">
        <f t="shared" si="13"/>
        <v>82.446704472072298</v>
      </c>
      <c r="CC27" s="87">
        <v>45047.458333333336</v>
      </c>
      <c r="CD27" s="109">
        <v>3.0714033767881101E-2</v>
      </c>
      <c r="CE27" s="88">
        <v>75.652056590000001</v>
      </c>
      <c r="CF27" s="89">
        <v>8779</v>
      </c>
      <c r="CG27" s="90">
        <f t="shared" si="45"/>
        <v>146.31666666666666</v>
      </c>
      <c r="CH27" s="91">
        <f t="shared" si="46"/>
        <v>4.4939750408038028</v>
      </c>
      <c r="CI27" s="91">
        <f t="shared" si="47"/>
        <v>77.525901478841334</v>
      </c>
      <c r="CK27" s="93">
        <v>45049.5</v>
      </c>
      <c r="CL27">
        <v>3.25342361299416E-2</v>
      </c>
      <c r="CM27" s="95">
        <v>87.922589900000006</v>
      </c>
      <c r="CN27" s="4">
        <v>10797</v>
      </c>
      <c r="CO27" s="95">
        <f t="shared" si="48"/>
        <v>179.95</v>
      </c>
      <c r="CP27" s="94">
        <f t="shared" si="49"/>
        <v>5.8545357915829905</v>
      </c>
      <c r="CQ27" s="96">
        <f t="shared" si="50"/>
        <v>88.245923622620822</v>
      </c>
      <c r="CS27" s="10">
        <v>45050.760416666664</v>
      </c>
      <c r="CT27" s="110">
        <v>9.2434558589971599E-2</v>
      </c>
      <c r="CU27" s="21">
        <v>123.6297958</v>
      </c>
      <c r="CV27" s="111">
        <v>3857</v>
      </c>
      <c r="CW27" s="21">
        <f t="shared" si="51"/>
        <v>64.283333333333331</v>
      </c>
      <c r="CX27" s="21">
        <f t="shared" si="52"/>
        <v>5.9420015413586738</v>
      </c>
      <c r="CY27" s="21">
        <f t="shared" si="53"/>
        <v>88.889091060108953</v>
      </c>
    </row>
    <row r="28" spans="1:103" x14ac:dyDescent="0.3">
      <c r="A28" s="10">
        <v>44776.261111111111</v>
      </c>
      <c r="B28" s="11">
        <v>1.7430859968627201E-3</v>
      </c>
      <c r="C28" s="12">
        <v>0.70298291499999999</v>
      </c>
      <c r="D28" s="9">
        <v>125</v>
      </c>
      <c r="E28" s="13">
        <f t="shared" si="14"/>
        <v>2.0833333333333335</v>
      </c>
      <c r="F28" s="12">
        <f t="shared" si="15"/>
        <v>3.6314291601306672E-3</v>
      </c>
      <c r="G28" s="13">
        <f t="shared" si="16"/>
        <v>2.3715024734635026</v>
      </c>
      <c r="H28" s="11">
        <f t="shared" si="17"/>
        <v>0</v>
      </c>
      <c r="I28" s="116">
        <f t="shared" si="18"/>
        <v>0</v>
      </c>
      <c r="J28" s="21">
        <f t="shared" si="0"/>
        <v>2.7440881897846991E-5</v>
      </c>
      <c r="K28" s="116">
        <f t="shared" si="19"/>
        <v>6.5076119294763993E-5</v>
      </c>
      <c r="M28" s="25">
        <v>44781.261111111111</v>
      </c>
      <c r="N28" s="26">
        <v>3.1265966325958699E-3</v>
      </c>
      <c r="O28" s="27">
        <v>1.3056302835</v>
      </c>
      <c r="P28" s="28">
        <v>907</v>
      </c>
      <c r="Q28" s="29">
        <f t="shared" si="20"/>
        <v>15.116666666666667</v>
      </c>
      <c r="R28" s="26">
        <f t="shared" si="1"/>
        <v>4.7263719096074235E-2</v>
      </c>
      <c r="S28" s="29">
        <f t="shared" si="21"/>
        <v>8.3323959976455857</v>
      </c>
      <c r="T28" s="29">
        <f t="shared" si="22"/>
        <v>4.2225300923169173E-4</v>
      </c>
      <c r="U28" s="117">
        <f t="shared" si="23"/>
        <v>3.5183792841159529E-3</v>
      </c>
      <c r="V28" s="118">
        <f t="shared" si="2"/>
        <v>7.2207537564626027E-4</v>
      </c>
      <c r="W28" s="117">
        <f t="shared" si="24"/>
        <v>6.0166179700333316E-3</v>
      </c>
      <c r="Y28" s="35">
        <v>45136.260416666664</v>
      </c>
      <c r="Z28" s="71">
        <v>6.9130123830800404E-3</v>
      </c>
      <c r="AA28" s="70">
        <v>0.89783227600000004</v>
      </c>
      <c r="AB28" s="36">
        <v>2689</v>
      </c>
      <c r="AC28" s="37">
        <f t="shared" si="25"/>
        <v>44.81666666666667</v>
      </c>
      <c r="AD28" s="37">
        <f t="shared" si="3"/>
        <v>0.30981817163503717</v>
      </c>
      <c r="AE28" s="38">
        <f t="shared" si="26"/>
        <v>20.924189043504651</v>
      </c>
      <c r="AF28" s="38">
        <f t="shared" si="27"/>
        <v>0</v>
      </c>
      <c r="AG28" s="38">
        <f t="shared" si="28"/>
        <v>0</v>
      </c>
      <c r="AH28" s="38">
        <f t="shared" si="4"/>
        <v>0</v>
      </c>
      <c r="AI28" s="38">
        <f t="shared" si="29"/>
        <v>0</v>
      </c>
      <c r="AK28" s="45">
        <v>45151.260416666664</v>
      </c>
      <c r="AL28" s="4">
        <v>5.4064467236704904E-3</v>
      </c>
      <c r="AM28" s="3">
        <v>0.66228851600000005</v>
      </c>
      <c r="AN28" s="4">
        <v>1433</v>
      </c>
      <c r="AO28" s="46">
        <f t="shared" si="30"/>
        <v>23.883333333333333</v>
      </c>
      <c r="AP28" s="47">
        <f t="shared" si="5"/>
        <v>0.12912396925033021</v>
      </c>
      <c r="AQ28" s="50">
        <f t="shared" si="31"/>
        <v>13.630558650220944</v>
      </c>
      <c r="AR28" s="50">
        <f t="shared" si="32"/>
        <v>3.1070903181179155E-2</v>
      </c>
      <c r="AS28" s="50">
        <f t="shared" si="33"/>
        <v>0.42351376812639902</v>
      </c>
      <c r="AT28" s="50">
        <f t="shared" si="6"/>
        <v>6.6203642381877925E-3</v>
      </c>
      <c r="AU28" s="50">
        <f t="shared" si="34"/>
        <v>9.0239263034444003E-2</v>
      </c>
      <c r="AW28" s="51">
        <v>45166.260416666664</v>
      </c>
      <c r="AX28" s="72">
        <v>5.9456301632887501E-3</v>
      </c>
      <c r="AY28" s="73">
        <v>0.31440712500000001</v>
      </c>
      <c r="AZ28" s="52">
        <v>2128</v>
      </c>
      <c r="BA28" s="53">
        <f t="shared" si="35"/>
        <v>35.466666666666669</v>
      </c>
      <c r="BB28" s="72">
        <f t="shared" si="7"/>
        <v>0.21087168312464102</v>
      </c>
      <c r="BC28" s="54">
        <f t="shared" si="36"/>
        <v>17.331068420902895</v>
      </c>
      <c r="BD28" s="54">
        <f t="shared" si="37"/>
        <v>0</v>
      </c>
      <c r="BE28" s="54">
        <f t="shared" si="38"/>
        <v>0</v>
      </c>
      <c r="BF28" s="54">
        <f t="shared" si="8"/>
        <v>0</v>
      </c>
      <c r="BG28" s="54">
        <f t="shared" si="39"/>
        <v>0</v>
      </c>
      <c r="BI28" s="66">
        <v>45183.260416666664</v>
      </c>
      <c r="BJ28" s="67">
        <v>7.3765554655193999E-3</v>
      </c>
      <c r="BK28" s="68">
        <v>0.44894941300000002</v>
      </c>
      <c r="BL28" s="68">
        <v>1338</v>
      </c>
      <c r="BM28" s="68">
        <f t="shared" si="40"/>
        <v>22.3</v>
      </c>
      <c r="BN28" s="68">
        <f t="shared" si="9"/>
        <v>0.16449718688108261</v>
      </c>
      <c r="BO28" s="69">
        <f t="shared" si="41"/>
        <v>15.346395910764585</v>
      </c>
      <c r="BP28" s="69">
        <f t="shared" si="42"/>
        <v>0</v>
      </c>
      <c r="BQ28" s="69">
        <f t="shared" si="43"/>
        <v>0</v>
      </c>
      <c r="BR28" s="69">
        <f t="shared" si="10"/>
        <v>4.5713502838818385E-4</v>
      </c>
      <c r="BS28" s="69">
        <f t="shared" si="44"/>
        <v>7.0153751303236771E-3</v>
      </c>
      <c r="BU28" s="82">
        <v>45046.59375</v>
      </c>
      <c r="BV28" s="112">
        <v>4.3363891000000002E-2</v>
      </c>
      <c r="BW28" s="83">
        <v>76.544179459999995</v>
      </c>
      <c r="BX28" s="112">
        <v>6964</v>
      </c>
      <c r="BY28" s="83">
        <f t="shared" si="11"/>
        <v>116.06666666666666</v>
      </c>
      <c r="BZ28" s="84">
        <f t="shared" si="12"/>
        <v>5.0331022820666664</v>
      </c>
      <c r="CA28" s="83">
        <f t="shared" si="13"/>
        <v>81.948793212662608</v>
      </c>
      <c r="CC28" s="87">
        <v>45047.46875</v>
      </c>
      <c r="CD28" s="109">
        <v>3.2642982652304899E-2</v>
      </c>
      <c r="CE28" s="88">
        <v>76.986061320000005</v>
      </c>
      <c r="CF28" s="89">
        <v>8431</v>
      </c>
      <c r="CG28" s="90">
        <f t="shared" si="45"/>
        <v>140.51666666666668</v>
      </c>
      <c r="CH28" s="91">
        <f t="shared" si="46"/>
        <v>4.5868831123597102</v>
      </c>
      <c r="CI28" s="91">
        <f t="shared" si="47"/>
        <v>78.30667744433417</v>
      </c>
      <c r="CK28" s="93">
        <v>45049.510416666664</v>
      </c>
      <c r="CL28">
        <v>3.0412420713304099E-2</v>
      </c>
      <c r="CM28" s="95">
        <v>95.977802339999997</v>
      </c>
      <c r="CN28" s="4">
        <v>10668</v>
      </c>
      <c r="CO28" s="95">
        <f t="shared" si="48"/>
        <v>177.8</v>
      </c>
      <c r="CP28" s="94">
        <f t="shared" si="49"/>
        <v>5.4073284028254696</v>
      </c>
      <c r="CQ28" s="96">
        <f t="shared" si="50"/>
        <v>84.878020705486136</v>
      </c>
      <c r="CS28" s="10">
        <v>45050.770833333336</v>
      </c>
      <c r="CT28" s="110">
        <v>9.0925455657817303E-2</v>
      </c>
      <c r="CU28" s="21">
        <v>130.92322350000001</v>
      </c>
      <c r="CV28" s="111">
        <v>3698</v>
      </c>
      <c r="CW28" s="21">
        <f t="shared" si="51"/>
        <v>61.633333333333333</v>
      </c>
      <c r="CX28" s="21">
        <f t="shared" si="52"/>
        <v>5.6040389170434732</v>
      </c>
      <c r="CY28" s="21">
        <f t="shared" si="53"/>
        <v>86.376301085233735</v>
      </c>
    </row>
    <row r="29" spans="1:103" x14ac:dyDescent="0.3">
      <c r="A29" s="10">
        <v>44776.271527777775</v>
      </c>
      <c r="B29" s="11">
        <v>1.4722945166709999E-3</v>
      </c>
      <c r="C29" s="12">
        <v>0.68254177999999999</v>
      </c>
      <c r="D29" s="9">
        <v>126</v>
      </c>
      <c r="E29" s="13">
        <f t="shared" si="14"/>
        <v>2.1</v>
      </c>
      <c r="F29" s="12">
        <f t="shared" si="15"/>
        <v>3.0918184850090998E-3</v>
      </c>
      <c r="G29" s="13">
        <f t="shared" si="16"/>
        <v>2.1918527936826915</v>
      </c>
      <c r="H29" s="11">
        <f t="shared" si="17"/>
        <v>0</v>
      </c>
      <c r="I29" s="116">
        <f t="shared" si="18"/>
        <v>0</v>
      </c>
      <c r="J29" s="21">
        <f t="shared" si="0"/>
        <v>0</v>
      </c>
      <c r="K29" s="116">
        <f t="shared" si="19"/>
        <v>0</v>
      </c>
      <c r="M29" s="25">
        <v>44781.271527777775</v>
      </c>
      <c r="N29" s="26">
        <v>3.71672567259323E-3</v>
      </c>
      <c r="O29" s="27">
        <v>1.2676346135000001</v>
      </c>
      <c r="P29" s="28">
        <v>832</v>
      </c>
      <c r="Q29" s="29">
        <f t="shared" si="20"/>
        <v>13.866666666666667</v>
      </c>
      <c r="R29" s="26">
        <f t="shared" si="1"/>
        <v>5.1538595993292788E-2</v>
      </c>
      <c r="S29" s="29">
        <f t="shared" si="21"/>
        <v>8.6933050378684342</v>
      </c>
      <c r="T29" s="29">
        <f t="shared" si="22"/>
        <v>0</v>
      </c>
      <c r="U29" s="117">
        <f t="shared" si="23"/>
        <v>0</v>
      </c>
      <c r="V29" s="118">
        <f t="shared" si="2"/>
        <v>2.8890243629071419E-3</v>
      </c>
      <c r="W29" s="117">
        <f t="shared" si="24"/>
        <v>2.5115170048585302E-2</v>
      </c>
      <c r="Y29" s="35">
        <v>45136.270833333336</v>
      </c>
      <c r="Z29" s="71">
        <v>7.1312324697983499E-3</v>
      </c>
      <c r="AA29" s="70">
        <v>1.1441742989999999</v>
      </c>
      <c r="AB29" s="36">
        <v>3338</v>
      </c>
      <c r="AC29" s="37">
        <f t="shared" si="25"/>
        <v>55.633333333333333</v>
      </c>
      <c r="AD29" s="37">
        <f t="shared" si="3"/>
        <v>0.39673423306978151</v>
      </c>
      <c r="AE29" s="38">
        <f t="shared" si="26"/>
        <v>23.617769736132988</v>
      </c>
      <c r="AF29" s="38">
        <f t="shared" si="27"/>
        <v>9.0021679876807585E-3</v>
      </c>
      <c r="AG29" s="38">
        <f t="shared" si="28"/>
        <v>0.21261113065903181</v>
      </c>
      <c r="AH29" s="38">
        <f t="shared" si="4"/>
        <v>0</v>
      </c>
      <c r="AI29" s="38">
        <f t="shared" si="29"/>
        <v>0</v>
      </c>
      <c r="AK29" s="45">
        <v>45151.270833333336</v>
      </c>
      <c r="AL29" s="4">
        <v>7.0508754123729898E-3</v>
      </c>
      <c r="AM29" s="3">
        <v>0.77321039300000005</v>
      </c>
      <c r="AN29" s="4">
        <v>1746</v>
      </c>
      <c r="AO29" s="46">
        <f t="shared" si="30"/>
        <v>29.1</v>
      </c>
      <c r="AP29" s="47">
        <f t="shared" si="5"/>
        <v>0.205180474500054</v>
      </c>
      <c r="AQ29" s="50">
        <f t="shared" si="31"/>
        <v>17.100413280789716</v>
      </c>
      <c r="AR29" s="50">
        <f t="shared" si="32"/>
        <v>9.1407587119222727E-2</v>
      </c>
      <c r="AS29" s="50">
        <f t="shared" si="33"/>
        <v>1.5631075167384993</v>
      </c>
      <c r="AT29" s="50">
        <f t="shared" si="6"/>
        <v>6.6854109638489395E-2</v>
      </c>
      <c r="AU29" s="50">
        <f t="shared" si="34"/>
        <v>1.1432329043373959</v>
      </c>
      <c r="AW29" s="51">
        <v>45166.270833333336</v>
      </c>
      <c r="AX29" s="72">
        <v>1.11428076912495E-2</v>
      </c>
      <c r="AY29" s="73">
        <v>0.376777213</v>
      </c>
      <c r="AZ29" s="52">
        <v>4045</v>
      </c>
      <c r="BA29" s="53">
        <f t="shared" si="35"/>
        <v>67.416666666666671</v>
      </c>
      <c r="BB29" s="72">
        <f t="shared" si="7"/>
        <v>0.75121095185173714</v>
      </c>
      <c r="BC29" s="54">
        <f t="shared" si="36"/>
        <v>32.285996877975236</v>
      </c>
      <c r="BD29" s="54">
        <f t="shared" si="37"/>
        <v>0</v>
      </c>
      <c r="BE29" s="54">
        <f t="shared" si="38"/>
        <v>0</v>
      </c>
      <c r="BF29" s="54">
        <f t="shared" si="8"/>
        <v>1.6635761444454715E-2</v>
      </c>
      <c r="BG29" s="54">
        <f t="shared" si="39"/>
        <v>0.53710214205840578</v>
      </c>
      <c r="BI29" s="66">
        <v>45183.270833333336</v>
      </c>
      <c r="BJ29" s="67">
        <v>4.7943275193273903E-3</v>
      </c>
      <c r="BK29" s="68">
        <v>0.44939223900000003</v>
      </c>
      <c r="BL29" s="68">
        <v>1446</v>
      </c>
      <c r="BM29" s="68">
        <f t="shared" si="40"/>
        <v>24.1</v>
      </c>
      <c r="BN29" s="68">
        <f t="shared" si="9"/>
        <v>0.11554329321579011</v>
      </c>
      <c r="BO29" s="69">
        <f t="shared" si="41"/>
        <v>12.908616323576013</v>
      </c>
      <c r="BP29" s="69">
        <f t="shared" si="42"/>
        <v>0</v>
      </c>
      <c r="BQ29" s="69">
        <f t="shared" si="43"/>
        <v>0</v>
      </c>
      <c r="BR29" s="69">
        <f t="shared" si="10"/>
        <v>0</v>
      </c>
      <c r="BS29" s="69">
        <f t="shared" si="44"/>
        <v>0</v>
      </c>
      <c r="BU29" s="82">
        <v>45046.604166666664</v>
      </c>
      <c r="BV29" s="112">
        <v>4.2695531000000002E-2</v>
      </c>
      <c r="BW29" s="83">
        <v>80.523852189999999</v>
      </c>
      <c r="BX29" s="112">
        <v>7053</v>
      </c>
      <c r="BY29" s="83">
        <f t="shared" si="11"/>
        <v>117.55</v>
      </c>
      <c r="BZ29" s="84">
        <f t="shared" si="12"/>
        <v>5.0188596690500002</v>
      </c>
      <c r="CA29" s="83">
        <f t="shared" si="13"/>
        <v>81.835150788792077</v>
      </c>
      <c r="CC29" s="87">
        <v>45047.479166666664</v>
      </c>
      <c r="CD29" s="109">
        <v>3.0816850285896102E-2</v>
      </c>
      <c r="CE29" s="88">
        <v>76.986061320000005</v>
      </c>
      <c r="CF29" s="89">
        <v>8732</v>
      </c>
      <c r="CG29" s="90">
        <f t="shared" si="45"/>
        <v>145.53333333333333</v>
      </c>
      <c r="CH29" s="91">
        <f t="shared" si="46"/>
        <v>4.4848789449407462</v>
      </c>
      <c r="CI29" s="91">
        <f t="shared" si="47"/>
        <v>77.449019286407179</v>
      </c>
      <c r="CK29" s="93">
        <v>45049.520833333336</v>
      </c>
      <c r="CL29">
        <v>3.1039443019692099E-2</v>
      </c>
      <c r="CM29" s="95">
        <v>92.617989059999999</v>
      </c>
      <c r="CN29" s="4">
        <v>10348</v>
      </c>
      <c r="CO29" s="95">
        <f t="shared" si="48"/>
        <v>172.46666666666667</v>
      </c>
      <c r="CP29" s="94">
        <f t="shared" si="49"/>
        <v>5.353269272796231</v>
      </c>
      <c r="CQ29" s="96">
        <f t="shared" si="50"/>
        <v>84.461416497852568</v>
      </c>
      <c r="CS29" s="10">
        <v>45050.78125</v>
      </c>
      <c r="CT29" s="110">
        <v>9.8357890963901601E-2</v>
      </c>
      <c r="CU29" s="21">
        <v>126.21229889999999</v>
      </c>
      <c r="CV29" s="111">
        <v>3890</v>
      </c>
      <c r="CW29" s="21">
        <f t="shared" si="51"/>
        <v>64.833333333333329</v>
      </c>
      <c r="CX29" s="21">
        <f t="shared" si="52"/>
        <v>6.3768699308262864</v>
      </c>
      <c r="CY29" s="21">
        <f t="shared" si="53"/>
        <v>92.01739074775621</v>
      </c>
    </row>
    <row r="30" spans="1:103" x14ac:dyDescent="0.3">
      <c r="A30" s="10">
        <v>44776.281944444447</v>
      </c>
      <c r="B30" s="11">
        <v>1.4342019579008599E-3</v>
      </c>
      <c r="C30" s="12">
        <v>0.684465781</v>
      </c>
      <c r="D30" s="9">
        <v>118</v>
      </c>
      <c r="E30" s="13">
        <f t="shared" si="14"/>
        <v>1.9666666666666666</v>
      </c>
      <c r="F30" s="12">
        <f t="shared" si="15"/>
        <v>2.8205971838716911E-3</v>
      </c>
      <c r="G30" s="13">
        <f t="shared" si="16"/>
        <v>2.0954901014104932</v>
      </c>
      <c r="H30" s="11">
        <f t="shared" si="17"/>
        <v>0</v>
      </c>
      <c r="I30" s="116">
        <f t="shared" si="18"/>
        <v>0</v>
      </c>
      <c r="J30" s="21">
        <f t="shared" si="0"/>
        <v>0</v>
      </c>
      <c r="K30" s="116">
        <f t="shared" si="19"/>
        <v>0</v>
      </c>
      <c r="M30" s="25">
        <v>44781.281944444447</v>
      </c>
      <c r="N30" s="26">
        <v>3.2655198123181998E-3</v>
      </c>
      <c r="O30" s="27">
        <v>1.2868847735</v>
      </c>
      <c r="P30" s="28">
        <v>833</v>
      </c>
      <c r="Q30" s="29">
        <f t="shared" si="20"/>
        <v>13.883333333333333</v>
      </c>
      <c r="R30" s="26">
        <f t="shared" si="1"/>
        <v>4.5336300061017673E-2</v>
      </c>
      <c r="S30" s="29">
        <f t="shared" si="21"/>
        <v>8.1642300776925687</v>
      </c>
      <c r="T30" s="29">
        <f t="shared" si="22"/>
        <v>0</v>
      </c>
      <c r="U30" s="117">
        <f t="shared" si="23"/>
        <v>0</v>
      </c>
      <c r="V30" s="118">
        <f t="shared" si="2"/>
        <v>0</v>
      </c>
      <c r="W30" s="117">
        <f t="shared" si="24"/>
        <v>0</v>
      </c>
      <c r="Y30" s="35">
        <v>45136.28125</v>
      </c>
      <c r="Z30" s="71">
        <v>4.9684074324156096E-3</v>
      </c>
      <c r="AA30" s="70">
        <v>0.73432993800000002</v>
      </c>
      <c r="AB30" s="36">
        <v>1901</v>
      </c>
      <c r="AC30" s="37">
        <f t="shared" si="25"/>
        <v>31.683333333333334</v>
      </c>
      <c r="AD30" s="37">
        <f t="shared" si="3"/>
        <v>0.15741570881703457</v>
      </c>
      <c r="AE30" s="38">
        <f t="shared" si="26"/>
        <v>15.019242595540955</v>
      </c>
      <c r="AF30" s="38">
        <f t="shared" si="27"/>
        <v>0</v>
      </c>
      <c r="AG30" s="38">
        <f t="shared" si="28"/>
        <v>0</v>
      </c>
      <c r="AH30" s="38">
        <f t="shared" si="4"/>
        <v>0</v>
      </c>
      <c r="AI30" s="38">
        <f t="shared" si="29"/>
        <v>0</v>
      </c>
      <c r="AK30" s="45">
        <v>45151.28125</v>
      </c>
      <c r="AL30" s="4">
        <v>7.2488739117742796E-3</v>
      </c>
      <c r="AM30" s="3">
        <v>0.66228851600000005</v>
      </c>
      <c r="AN30" s="4">
        <v>1305</v>
      </c>
      <c r="AO30" s="46">
        <f t="shared" si="30"/>
        <v>21.75</v>
      </c>
      <c r="AP30" s="47">
        <f t="shared" si="5"/>
        <v>0.15766300758109059</v>
      </c>
      <c r="AQ30" s="50">
        <f t="shared" si="31"/>
        <v>15.030792490474056</v>
      </c>
      <c r="AR30" s="50">
        <f t="shared" si="32"/>
        <v>3.1070903181179155E-2</v>
      </c>
      <c r="AS30" s="50">
        <f t="shared" si="33"/>
        <v>0.46702029820791413</v>
      </c>
      <c r="AT30" s="50">
        <f t="shared" si="6"/>
        <v>2.9222154356472407E-2</v>
      </c>
      <c r="AU30" s="50">
        <f t="shared" si="34"/>
        <v>0.43923213825673918</v>
      </c>
      <c r="AW30" s="51">
        <v>45166.28125</v>
      </c>
      <c r="AX30" s="72">
        <v>9.60254448264845E-3</v>
      </c>
      <c r="AY30" s="73">
        <v>0.376777213</v>
      </c>
      <c r="AZ30" s="52">
        <v>3832</v>
      </c>
      <c r="BA30" s="53">
        <f t="shared" si="35"/>
        <v>63.866666666666667</v>
      </c>
      <c r="BB30" s="72">
        <f t="shared" si="7"/>
        <v>0.61328250762514769</v>
      </c>
      <c r="BC30" s="54">
        <f t="shared" si="36"/>
        <v>29.232837847728149</v>
      </c>
      <c r="BD30" s="54">
        <f t="shared" si="37"/>
        <v>0</v>
      </c>
      <c r="BE30" s="54">
        <f t="shared" si="38"/>
        <v>0</v>
      </c>
      <c r="BF30" s="54">
        <f t="shared" si="8"/>
        <v>0</v>
      </c>
      <c r="BG30" s="54">
        <f t="shared" si="39"/>
        <v>0</v>
      </c>
      <c r="BI30" s="66">
        <v>45183.28125</v>
      </c>
      <c r="BJ30" s="67">
        <v>7.3620775551865398E-3</v>
      </c>
      <c r="BK30" s="68">
        <v>0.44939223900000003</v>
      </c>
      <c r="BL30" s="68">
        <v>1446</v>
      </c>
      <c r="BM30" s="68">
        <f t="shared" si="40"/>
        <v>24.1</v>
      </c>
      <c r="BN30" s="68">
        <f t="shared" si="9"/>
        <v>0.17742606907999561</v>
      </c>
      <c r="BO30" s="69">
        <f t="shared" si="41"/>
        <v>15.925659592037691</v>
      </c>
      <c r="BP30" s="69">
        <f t="shared" si="42"/>
        <v>0</v>
      </c>
      <c r="BQ30" s="69">
        <f t="shared" si="43"/>
        <v>0</v>
      </c>
      <c r="BR30" s="69">
        <f t="shared" si="10"/>
        <v>1.5637840089405503E-3</v>
      </c>
      <c r="BS30" s="69">
        <f t="shared" si="44"/>
        <v>2.490429180185923E-2</v>
      </c>
      <c r="BU30" s="82">
        <v>45046.614583333336</v>
      </c>
      <c r="BV30" s="112">
        <v>4.7479491999999998E-2</v>
      </c>
      <c r="BW30" s="83">
        <v>79.202259850000004</v>
      </c>
      <c r="BX30" s="112">
        <v>6379</v>
      </c>
      <c r="BY30" s="83">
        <f t="shared" si="11"/>
        <v>106.31666666666666</v>
      </c>
      <c r="BZ30" s="84">
        <f t="shared" si="12"/>
        <v>5.0478613244666661</v>
      </c>
      <c r="CA30" s="83">
        <f t="shared" si="13"/>
        <v>82.06638324476603</v>
      </c>
      <c r="CC30" s="87">
        <v>45047.489583333336</v>
      </c>
      <c r="CD30" s="109">
        <v>3.2290034735341797E-2</v>
      </c>
      <c r="CE30" s="88">
        <v>72.970159429999995</v>
      </c>
      <c r="CF30" s="89">
        <v>8739</v>
      </c>
      <c r="CG30" s="90">
        <f t="shared" si="45"/>
        <v>145.65</v>
      </c>
      <c r="CH30" s="91">
        <f t="shared" si="46"/>
        <v>4.7030435592025333</v>
      </c>
      <c r="CI30" s="91">
        <f t="shared" si="47"/>
        <v>79.27159371671226</v>
      </c>
      <c r="CK30" s="93">
        <v>45049.53125</v>
      </c>
      <c r="CL30">
        <v>3.1785608229113499E-2</v>
      </c>
      <c r="CM30" s="95">
        <v>91.767774239999994</v>
      </c>
      <c r="CN30" s="4">
        <v>10326</v>
      </c>
      <c r="CO30" s="95">
        <f t="shared" si="48"/>
        <v>172.1</v>
      </c>
      <c r="CP30" s="94">
        <f t="shared" si="49"/>
        <v>5.4703031762304333</v>
      </c>
      <c r="CQ30" s="96">
        <f t="shared" si="50"/>
        <v>85.360661814628742</v>
      </c>
      <c r="CS30" s="10">
        <v>45050.791666666664</v>
      </c>
      <c r="CT30" s="110">
        <v>8.17298496880694E-2</v>
      </c>
      <c r="CU30" s="21">
        <v>129.12778700000001</v>
      </c>
      <c r="CV30" s="111">
        <v>4316</v>
      </c>
      <c r="CW30" s="21">
        <f t="shared" si="51"/>
        <v>71.933333333333337</v>
      </c>
      <c r="CX30" s="21">
        <f t="shared" si="52"/>
        <v>5.8791005208951255</v>
      </c>
      <c r="CY30" s="21">
        <f t="shared" si="53"/>
        <v>88.427049316954836</v>
      </c>
    </row>
    <row r="31" spans="1:103" x14ac:dyDescent="0.3">
      <c r="A31" s="10">
        <v>44776.292361111111</v>
      </c>
      <c r="B31" s="11">
        <v>1.5663141121691E-3</v>
      </c>
      <c r="C31" s="12">
        <v>0.69437548549999994</v>
      </c>
      <c r="D31" s="9">
        <v>104</v>
      </c>
      <c r="E31" s="13">
        <f t="shared" si="14"/>
        <v>1.7333333333333334</v>
      </c>
      <c r="F31" s="12">
        <f t="shared" si="15"/>
        <v>2.7149444610931068E-3</v>
      </c>
      <c r="G31" s="13">
        <f t="shared" si="16"/>
        <v>2.0566781292310021</v>
      </c>
      <c r="H31" s="11">
        <f t="shared" si="17"/>
        <v>0</v>
      </c>
      <c r="I31" s="116">
        <f t="shared" si="18"/>
        <v>0</v>
      </c>
      <c r="J31" s="21">
        <f t="shared" si="0"/>
        <v>0</v>
      </c>
      <c r="K31" s="116">
        <f t="shared" si="19"/>
        <v>0</v>
      </c>
      <c r="M31" s="25">
        <v>44781.292361111111</v>
      </c>
      <c r="N31" s="26">
        <v>3.1374374464774001E-3</v>
      </c>
      <c r="O31" s="27">
        <v>1.2461573855000001</v>
      </c>
      <c r="P31" s="28">
        <v>932</v>
      </c>
      <c r="Q31" s="29">
        <f t="shared" si="20"/>
        <v>15.533333333333333</v>
      </c>
      <c r="R31" s="26">
        <f t="shared" si="1"/>
        <v>4.8734861668615612E-2</v>
      </c>
      <c r="S31" s="29">
        <f t="shared" si="21"/>
        <v>8.4584096024010673</v>
      </c>
      <c r="T31" s="29">
        <f t="shared" si="22"/>
        <v>0</v>
      </c>
      <c r="U31" s="117">
        <f t="shared" si="23"/>
        <v>0</v>
      </c>
      <c r="V31" s="118">
        <f t="shared" si="2"/>
        <v>1.4678023250606644E-3</v>
      </c>
      <c r="W31" s="117">
        <f t="shared" si="24"/>
        <v>1.2415273280719737E-2</v>
      </c>
      <c r="Y31" s="35">
        <v>45136.291666666664</v>
      </c>
      <c r="Z31" s="71">
        <v>6.50278848521016E-3</v>
      </c>
      <c r="AA31" s="70">
        <v>0.85462156099999997</v>
      </c>
      <c r="AB31" s="36">
        <v>3226</v>
      </c>
      <c r="AC31" s="37">
        <f t="shared" si="25"/>
        <v>53.766666666666666</v>
      </c>
      <c r="AD31" s="37">
        <f t="shared" si="3"/>
        <v>0.34963326088813296</v>
      </c>
      <c r="AE31" s="38">
        <f t="shared" si="26"/>
        <v>22.200397561997416</v>
      </c>
      <c r="AF31" s="38">
        <f t="shared" si="27"/>
        <v>0</v>
      </c>
      <c r="AG31" s="38">
        <f t="shared" si="28"/>
        <v>0</v>
      </c>
      <c r="AH31" s="38">
        <f t="shared" si="4"/>
        <v>0</v>
      </c>
      <c r="AI31" s="38">
        <f t="shared" si="29"/>
        <v>0</v>
      </c>
      <c r="AK31" s="45">
        <v>45151.291666666664</v>
      </c>
      <c r="AL31" s="4">
        <v>5.5029989556060104E-3</v>
      </c>
      <c r="AM31" s="3">
        <v>0.59425534599999996</v>
      </c>
      <c r="AN31" s="4">
        <v>1169</v>
      </c>
      <c r="AO31" s="46">
        <f t="shared" si="30"/>
        <v>19.483333333333334</v>
      </c>
      <c r="AP31" s="47">
        <f t="shared" si="5"/>
        <v>0.10721676298505711</v>
      </c>
      <c r="AQ31" s="50">
        <f t="shared" si="31"/>
        <v>12.444379093197286</v>
      </c>
      <c r="AR31" s="50">
        <f t="shared" si="32"/>
        <v>0</v>
      </c>
      <c r="AS31" s="50">
        <f t="shared" si="33"/>
        <v>0</v>
      </c>
      <c r="AT31" s="50">
        <f t="shared" si="6"/>
        <v>0</v>
      </c>
      <c r="AU31" s="50">
        <f t="shared" si="34"/>
        <v>0</v>
      </c>
      <c r="AW31" s="51">
        <v>45166.291666666664</v>
      </c>
      <c r="AX31" s="72">
        <v>7.8953510399752801E-3</v>
      </c>
      <c r="AY31" s="73">
        <v>0.31440712500000001</v>
      </c>
      <c r="AZ31" s="52">
        <v>2242</v>
      </c>
      <c r="BA31" s="53">
        <f t="shared" si="35"/>
        <v>37.366666666666667</v>
      </c>
      <c r="BB31" s="72">
        <f t="shared" si="7"/>
        <v>0.29502295052707628</v>
      </c>
      <c r="BC31" s="54">
        <f t="shared" si="36"/>
        <v>20.428758714092439</v>
      </c>
      <c r="BD31" s="54">
        <f t="shared" si="37"/>
        <v>0</v>
      </c>
      <c r="BE31" s="54">
        <f t="shared" si="38"/>
        <v>0</v>
      </c>
      <c r="BF31" s="54">
        <f t="shared" si="8"/>
        <v>0</v>
      </c>
      <c r="BG31" s="54">
        <f t="shared" si="39"/>
        <v>0</v>
      </c>
      <c r="BI31" s="66">
        <v>45183.291666666664</v>
      </c>
      <c r="BJ31" s="67">
        <v>4.6277555752786302E-3</v>
      </c>
      <c r="BK31" s="68">
        <v>0.44939223900000003</v>
      </c>
      <c r="BL31" s="68">
        <v>1553</v>
      </c>
      <c r="BM31" s="68">
        <f t="shared" si="40"/>
        <v>25.883333333333333</v>
      </c>
      <c r="BN31" s="68">
        <f t="shared" si="9"/>
        <v>0.11978174014012855</v>
      </c>
      <c r="BO31" s="69">
        <f t="shared" si="41"/>
        <v>13.13836970151989</v>
      </c>
      <c r="BP31" s="69">
        <f t="shared" si="42"/>
        <v>0</v>
      </c>
      <c r="BQ31" s="69">
        <f t="shared" si="43"/>
        <v>0</v>
      </c>
      <c r="BR31" s="69">
        <f t="shared" si="10"/>
        <v>0</v>
      </c>
      <c r="BS31" s="69">
        <f t="shared" si="44"/>
        <v>0</v>
      </c>
      <c r="BU31" s="82">
        <v>45046.625</v>
      </c>
      <c r="BV31" s="112">
        <v>3.5539446000000002E-2</v>
      </c>
      <c r="BW31" s="83">
        <v>83.594462070000006</v>
      </c>
      <c r="BX31" s="112">
        <v>7876</v>
      </c>
      <c r="BY31" s="83">
        <f t="shared" si="11"/>
        <v>131.26666666666668</v>
      </c>
      <c r="BZ31" s="84">
        <f t="shared" si="12"/>
        <v>4.6651446116000006</v>
      </c>
      <c r="CA31" s="83">
        <f t="shared" si="13"/>
        <v>78.958126944871054</v>
      </c>
      <c r="CC31" s="87">
        <v>45047.5</v>
      </c>
      <c r="CD31" s="109">
        <v>3.1892752535897802E-2</v>
      </c>
      <c r="CE31" s="88">
        <v>77.875916610000004</v>
      </c>
      <c r="CF31" s="89">
        <v>8346</v>
      </c>
      <c r="CG31" s="90">
        <f t="shared" si="45"/>
        <v>139.1</v>
      </c>
      <c r="CH31" s="91">
        <f t="shared" si="46"/>
        <v>4.4362818777433839</v>
      </c>
      <c r="CI31" s="91">
        <f t="shared" si="47"/>
        <v>77.036911333946151</v>
      </c>
      <c r="CK31" s="93">
        <v>45049.541666666664</v>
      </c>
      <c r="CL31">
        <v>3.1041473248845802E-2</v>
      </c>
      <c r="CM31" s="95">
        <v>97.229596529999995</v>
      </c>
      <c r="CN31" s="4">
        <v>10018</v>
      </c>
      <c r="CO31" s="95">
        <f t="shared" si="48"/>
        <v>166.96666666666667</v>
      </c>
      <c r="CP31" s="94">
        <f t="shared" si="49"/>
        <v>5.1828913167822872</v>
      </c>
      <c r="CQ31" s="96">
        <f t="shared" si="50"/>
        <v>83.134167282996387</v>
      </c>
      <c r="CS31" s="10">
        <v>45050.802083333336</v>
      </c>
      <c r="CT31" s="110">
        <v>8.4208885013196899E-2</v>
      </c>
      <c r="CU31" s="21">
        <v>115.673114</v>
      </c>
      <c r="CV31" s="111">
        <v>4399</v>
      </c>
      <c r="CW31" s="21">
        <f t="shared" si="51"/>
        <v>73.316666666666663</v>
      </c>
      <c r="CX31" s="21">
        <f t="shared" si="52"/>
        <v>6.1739147528842189</v>
      </c>
      <c r="CY31" s="21">
        <f t="shared" si="53"/>
        <v>90.571410772429346</v>
      </c>
    </row>
    <row r="32" spans="1:103" x14ac:dyDescent="0.3">
      <c r="A32" s="10">
        <v>44776.302777777775</v>
      </c>
      <c r="B32" s="11">
        <v>1.6060107812522E-3</v>
      </c>
      <c r="C32" s="12">
        <v>0.7037178785</v>
      </c>
      <c r="D32" s="9">
        <v>106</v>
      </c>
      <c r="E32" s="13">
        <f t="shared" si="14"/>
        <v>1.7666666666666666</v>
      </c>
      <c r="F32" s="12">
        <f t="shared" si="15"/>
        <v>2.8372857135455531E-3</v>
      </c>
      <c r="G32" s="13">
        <f t="shared" si="16"/>
        <v>2.1015524171423281</v>
      </c>
      <c r="H32" s="11">
        <f t="shared" si="17"/>
        <v>0</v>
      </c>
      <c r="I32" s="116">
        <f t="shared" si="18"/>
        <v>0</v>
      </c>
      <c r="J32" s="21">
        <f t="shared" si="0"/>
        <v>0</v>
      </c>
      <c r="K32" s="116">
        <f t="shared" si="19"/>
        <v>0</v>
      </c>
      <c r="M32" s="25">
        <v>44781.302777777775</v>
      </c>
      <c r="N32" s="26">
        <v>3.53213956845098E-3</v>
      </c>
      <c r="O32" s="27">
        <v>1.2263406489999999</v>
      </c>
      <c r="P32" s="28">
        <v>792</v>
      </c>
      <c r="Q32" s="29">
        <f t="shared" si="20"/>
        <v>13.2</v>
      </c>
      <c r="R32" s="26">
        <f t="shared" si="1"/>
        <v>4.6624242303552936E-2</v>
      </c>
      <c r="S32" s="29">
        <f t="shared" si="21"/>
        <v>8.2769967530698683</v>
      </c>
      <c r="T32" s="29">
        <f t="shared" si="22"/>
        <v>0</v>
      </c>
      <c r="U32" s="117">
        <f t="shared" si="23"/>
        <v>0</v>
      </c>
      <c r="V32" s="118">
        <f t="shared" si="2"/>
        <v>3.9792251200883517E-4</v>
      </c>
      <c r="W32" s="117">
        <f t="shared" si="24"/>
        <v>3.2936033398705345E-3</v>
      </c>
      <c r="Y32" s="35">
        <v>45136.302083333336</v>
      </c>
      <c r="Z32" s="71">
        <v>9.4626806314810508E-3</v>
      </c>
      <c r="AA32" s="70">
        <v>1.145105356</v>
      </c>
      <c r="AB32" s="36">
        <v>5317</v>
      </c>
      <c r="AC32" s="37">
        <f t="shared" si="25"/>
        <v>88.61666666666666</v>
      </c>
      <c r="AD32" s="37">
        <f t="shared" si="3"/>
        <v>0.83855121529307908</v>
      </c>
      <c r="AE32" s="38">
        <f t="shared" si="26"/>
        <v>34.072659579360547</v>
      </c>
      <c r="AF32" s="38">
        <f t="shared" si="27"/>
        <v>9.0507621709788721E-3</v>
      </c>
      <c r="AG32" s="38">
        <f t="shared" si="28"/>
        <v>0.30838353838551735</v>
      </c>
      <c r="AH32" s="38">
        <f t="shared" si="4"/>
        <v>9.4637216593146625E-2</v>
      </c>
      <c r="AI32" s="38">
        <f t="shared" si="29"/>
        <v>3.2245416645164964</v>
      </c>
      <c r="AK32" s="45">
        <v>45151.302083333336</v>
      </c>
      <c r="AL32" s="4">
        <v>8.5548684313914106E-3</v>
      </c>
      <c r="AM32" s="3">
        <v>0.59425534599999996</v>
      </c>
      <c r="AN32" s="4">
        <v>1310</v>
      </c>
      <c r="AO32" s="46">
        <f t="shared" si="30"/>
        <v>21.833333333333332</v>
      </c>
      <c r="AP32" s="47">
        <f t="shared" si="5"/>
        <v>0.18678129408537913</v>
      </c>
      <c r="AQ32" s="50">
        <f t="shared" si="31"/>
        <v>16.331480206862913</v>
      </c>
      <c r="AR32" s="50">
        <f t="shared" si="32"/>
        <v>0</v>
      </c>
      <c r="AS32" s="50">
        <f t="shared" si="33"/>
        <v>0</v>
      </c>
      <c r="AT32" s="50">
        <f t="shared" si="6"/>
        <v>5.2282686128654041E-2</v>
      </c>
      <c r="AU32" s="50">
        <f t="shared" si="34"/>
        <v>0.85385365367173971</v>
      </c>
      <c r="AW32" s="51">
        <v>45166.302083333336</v>
      </c>
      <c r="AX32" s="72">
        <v>5.5118897304557097E-3</v>
      </c>
      <c r="AY32" s="73">
        <v>0.27800180299999999</v>
      </c>
      <c r="AZ32" s="52">
        <v>1298</v>
      </c>
      <c r="BA32" s="53">
        <f t="shared" si="35"/>
        <v>21.633333333333333</v>
      </c>
      <c r="BB32" s="72">
        <f t="shared" si="7"/>
        <v>0.11924054783552518</v>
      </c>
      <c r="BC32" s="54">
        <f t="shared" si="36"/>
        <v>13.109266947612063</v>
      </c>
      <c r="BD32" s="54">
        <f t="shared" si="37"/>
        <v>0</v>
      </c>
      <c r="BE32" s="54">
        <f t="shared" si="38"/>
        <v>0</v>
      </c>
      <c r="BF32" s="54">
        <f t="shared" si="8"/>
        <v>0</v>
      </c>
      <c r="BG32" s="54">
        <f t="shared" si="39"/>
        <v>0</v>
      </c>
      <c r="BI32" s="66">
        <v>45183.302083333336</v>
      </c>
      <c r="BJ32" s="67">
        <v>5.4911867320969901E-3</v>
      </c>
      <c r="BK32" s="68">
        <v>0.44894941300000002</v>
      </c>
      <c r="BL32" s="68">
        <v>1420</v>
      </c>
      <c r="BM32" s="68">
        <f t="shared" si="40"/>
        <v>23.666666666666668</v>
      </c>
      <c r="BN32" s="68">
        <f t="shared" si="9"/>
        <v>0.1299580859929621</v>
      </c>
      <c r="BO32" s="69">
        <f t="shared" si="41"/>
        <v>13.673606320140971</v>
      </c>
      <c r="BP32" s="69">
        <f t="shared" si="42"/>
        <v>0</v>
      </c>
      <c r="BQ32" s="69">
        <f t="shared" si="43"/>
        <v>0</v>
      </c>
      <c r="BR32" s="69">
        <f t="shared" si="10"/>
        <v>0</v>
      </c>
      <c r="BS32" s="69">
        <f t="shared" si="44"/>
        <v>0</v>
      </c>
      <c r="BU32" s="82">
        <v>45046.635416666664</v>
      </c>
      <c r="BV32" s="112">
        <v>3.4854820000000002E-2</v>
      </c>
      <c r="BW32" s="83">
        <v>83.594462070000006</v>
      </c>
      <c r="BX32" s="112">
        <v>8663</v>
      </c>
      <c r="BY32" s="83">
        <f t="shared" si="11"/>
        <v>144.38333333333333</v>
      </c>
      <c r="BZ32" s="84">
        <f t="shared" si="12"/>
        <v>5.0324550943333337</v>
      </c>
      <c r="CA32" s="83">
        <f t="shared" si="13"/>
        <v>81.943632835591899</v>
      </c>
      <c r="CC32" s="87">
        <v>45047.510416666664</v>
      </c>
      <c r="CD32" s="109">
        <v>3.20120054721824E-2</v>
      </c>
      <c r="CE32" s="88">
        <v>79.202259850000004</v>
      </c>
      <c r="CF32" s="89">
        <v>8135</v>
      </c>
      <c r="CG32" s="90">
        <f t="shared" si="45"/>
        <v>135.58333333333334</v>
      </c>
      <c r="CH32" s="91">
        <f t="shared" si="46"/>
        <v>4.3402944086033974</v>
      </c>
      <c r="CI32" s="91">
        <f t="shared" si="47"/>
        <v>76.216103103536071</v>
      </c>
      <c r="CK32" s="93">
        <v>45049.552083333336</v>
      </c>
      <c r="CL32">
        <v>3.3962277279710198E-2</v>
      </c>
      <c r="CM32" s="95">
        <v>93.877037450000003</v>
      </c>
      <c r="CN32" s="4">
        <v>9994</v>
      </c>
      <c r="CO32" s="95">
        <f t="shared" si="48"/>
        <v>166.56666666666666</v>
      </c>
      <c r="CP32" s="94">
        <f t="shared" si="49"/>
        <v>5.6569833188903953</v>
      </c>
      <c r="CQ32" s="96">
        <f t="shared" si="50"/>
        <v>86.774959029769491</v>
      </c>
      <c r="CS32" s="10">
        <v>45050.8125</v>
      </c>
      <c r="CT32" s="110">
        <v>8.53755012254276E-2</v>
      </c>
      <c r="CU32" s="21">
        <v>129.12778700000001</v>
      </c>
      <c r="CV32" s="111">
        <v>4432</v>
      </c>
      <c r="CW32" s="21">
        <f t="shared" si="51"/>
        <v>73.86666666666666</v>
      </c>
      <c r="CX32" s="21">
        <f t="shared" si="52"/>
        <v>6.3064036905182519</v>
      </c>
      <c r="CY32" s="21">
        <f t="shared" si="53"/>
        <v>91.51804292328832</v>
      </c>
    </row>
    <row r="33" spans="1:103" x14ac:dyDescent="0.3">
      <c r="A33" s="10">
        <v>44776.313194444447</v>
      </c>
      <c r="B33" s="11">
        <v>1.4228156633069001E-3</v>
      </c>
      <c r="C33" s="12">
        <v>0.672222341</v>
      </c>
      <c r="D33" s="9">
        <v>96</v>
      </c>
      <c r="E33" s="13">
        <f t="shared" si="14"/>
        <v>1.6</v>
      </c>
      <c r="F33" s="12">
        <f t="shared" si="15"/>
        <v>2.2765050612910402E-3</v>
      </c>
      <c r="G33" s="13">
        <f t="shared" si="16"/>
        <v>1.8867225320127219</v>
      </c>
      <c r="H33" s="11">
        <f t="shared" si="17"/>
        <v>0</v>
      </c>
      <c r="I33" s="116">
        <f t="shared" si="18"/>
        <v>0</v>
      </c>
      <c r="J33" s="21">
        <f t="shared" si="0"/>
        <v>0</v>
      </c>
      <c r="K33" s="116">
        <f t="shared" si="19"/>
        <v>0</v>
      </c>
      <c r="M33" s="25">
        <v>44781.313194444447</v>
      </c>
      <c r="N33" s="26">
        <v>3.6192879646414402E-3</v>
      </c>
      <c r="O33" s="27">
        <v>1.2605418435</v>
      </c>
      <c r="P33" s="28">
        <v>825</v>
      </c>
      <c r="Q33" s="29">
        <f t="shared" si="20"/>
        <v>13.75</v>
      </c>
      <c r="R33" s="26">
        <f t="shared" si="1"/>
        <v>4.9765209513819804E-2</v>
      </c>
      <c r="S33" s="29">
        <f t="shared" si="21"/>
        <v>8.5455137041248861</v>
      </c>
      <c r="T33" s="29">
        <f t="shared" si="22"/>
        <v>0</v>
      </c>
      <c r="U33" s="117">
        <f t="shared" si="23"/>
        <v>0</v>
      </c>
      <c r="V33" s="118">
        <f t="shared" si="2"/>
        <v>1.990088995150362E-3</v>
      </c>
      <c r="W33" s="117">
        <f t="shared" si="24"/>
        <v>1.7006332780485543E-2</v>
      </c>
      <c r="Y33" s="35">
        <v>45136.3125</v>
      </c>
      <c r="Z33" s="71">
        <v>9.7109026346032697E-3</v>
      </c>
      <c r="AA33" s="70">
        <v>1.257509953</v>
      </c>
      <c r="AB33" s="36">
        <v>5822</v>
      </c>
      <c r="AC33" s="37">
        <f t="shared" si="25"/>
        <v>97.033333333333331</v>
      </c>
      <c r="AD33" s="37">
        <f t="shared" si="3"/>
        <v>0.9422812523110039</v>
      </c>
      <c r="AE33" s="38">
        <f t="shared" si="26"/>
        <v>36.075288113137567</v>
      </c>
      <c r="AF33" s="38">
        <f t="shared" si="27"/>
        <v>1.4917437992296022E-2</v>
      </c>
      <c r="AG33" s="38">
        <f t="shared" si="28"/>
        <v>0.53815087348194346</v>
      </c>
      <c r="AH33" s="38">
        <f t="shared" si="4"/>
        <v>0.12214018340157685</v>
      </c>
      <c r="AI33" s="38">
        <f t="shared" si="29"/>
        <v>4.4062423064033478</v>
      </c>
      <c r="AK33" s="45">
        <v>45151.3125</v>
      </c>
      <c r="AL33" s="4">
        <v>4.5908353032569097E-3</v>
      </c>
      <c r="AM33" s="3">
        <v>0.59425534599999996</v>
      </c>
      <c r="AN33" s="4">
        <v>1230</v>
      </c>
      <c r="AO33" s="46">
        <f t="shared" si="30"/>
        <v>20.5</v>
      </c>
      <c r="AP33" s="47">
        <f t="shared" si="5"/>
        <v>9.4112123716766652E-2</v>
      </c>
      <c r="AQ33" s="50">
        <f t="shared" si="31"/>
        <v>11.674756469924011</v>
      </c>
      <c r="AR33" s="50">
        <f t="shared" si="32"/>
        <v>0</v>
      </c>
      <c r="AS33" s="50">
        <f t="shared" si="33"/>
        <v>0</v>
      </c>
      <c r="AT33" s="50">
        <f t="shared" si="6"/>
        <v>0</v>
      </c>
      <c r="AU33" s="50">
        <f t="shared" si="34"/>
        <v>0</v>
      </c>
      <c r="AW33" s="51">
        <v>45166.3125</v>
      </c>
      <c r="AX33" s="72">
        <v>1.1462435806008401E-2</v>
      </c>
      <c r="AY33" s="73">
        <v>0.33439968599999997</v>
      </c>
      <c r="AZ33" s="52">
        <v>2874</v>
      </c>
      <c r="BA33" s="53">
        <f t="shared" si="35"/>
        <v>47.9</v>
      </c>
      <c r="BB33" s="72">
        <f t="shared" si="7"/>
        <v>0.54905067510780237</v>
      </c>
      <c r="BC33" s="54">
        <f t="shared" si="36"/>
        <v>27.691201483776123</v>
      </c>
      <c r="BD33" s="54">
        <f t="shared" si="37"/>
        <v>0</v>
      </c>
      <c r="BE33" s="54">
        <f t="shared" si="38"/>
        <v>0</v>
      </c>
      <c r="BF33" s="54">
        <f t="shared" si="8"/>
        <v>0</v>
      </c>
      <c r="BG33" s="54">
        <f t="shared" si="39"/>
        <v>0</v>
      </c>
      <c r="BI33" s="66">
        <v>45183.3125</v>
      </c>
      <c r="BJ33" s="67">
        <v>5.9311727867846099E-3</v>
      </c>
      <c r="BK33" s="68">
        <v>0.53201108200000002</v>
      </c>
      <c r="BL33" s="68">
        <v>1847</v>
      </c>
      <c r="BM33" s="68">
        <f t="shared" si="40"/>
        <v>30.783333333333335</v>
      </c>
      <c r="BN33" s="68">
        <f t="shared" si="9"/>
        <v>0.18258126895318624</v>
      </c>
      <c r="BO33" s="69">
        <f t="shared" si="41"/>
        <v>16.150601600219474</v>
      </c>
      <c r="BP33" s="69">
        <f t="shared" si="42"/>
        <v>6.3321113804638007E-2</v>
      </c>
      <c r="BQ33" s="69">
        <f t="shared" si="43"/>
        <v>1.022674081940866</v>
      </c>
      <c r="BR33" s="69">
        <f t="shared" si="10"/>
        <v>2.0050438639255194E-3</v>
      </c>
      <c r="BS33" s="69">
        <f t="shared" si="44"/>
        <v>3.2382664637225729E-2</v>
      </c>
      <c r="BU33" s="82">
        <v>45046.645833333336</v>
      </c>
      <c r="BV33" s="112">
        <v>3.7188723E-2</v>
      </c>
      <c r="BW33" s="83">
        <v>84.027783200000002</v>
      </c>
      <c r="BX33" s="112">
        <v>8331</v>
      </c>
      <c r="BY33" s="83">
        <f t="shared" si="11"/>
        <v>138.85</v>
      </c>
      <c r="BZ33" s="84">
        <f t="shared" si="12"/>
        <v>5.1636541885499998</v>
      </c>
      <c r="CA33" s="83">
        <f t="shared" si="13"/>
        <v>82.982919276963401</v>
      </c>
      <c r="CC33" s="87">
        <v>45047.520833333336</v>
      </c>
      <c r="CD33" s="109">
        <v>3.49588319987999E-2</v>
      </c>
      <c r="CE33" s="88">
        <v>76.544179459999995</v>
      </c>
      <c r="CF33" s="89">
        <v>8509</v>
      </c>
      <c r="CG33" s="90">
        <f t="shared" si="45"/>
        <v>141.81666666666666</v>
      </c>
      <c r="CH33" s="91">
        <f t="shared" si="46"/>
        <v>4.9577450246298058</v>
      </c>
      <c r="CI33" s="91">
        <f t="shared" si="47"/>
        <v>81.345636039838126</v>
      </c>
      <c r="CK33" s="93">
        <v>45049.5625</v>
      </c>
      <c r="CL33">
        <v>3.2509355361427898E-2</v>
      </c>
      <c r="CM33" s="95">
        <v>95.138397370000007</v>
      </c>
      <c r="CN33" s="4">
        <v>9907</v>
      </c>
      <c r="CO33" s="95">
        <f t="shared" si="48"/>
        <v>165.11666666666667</v>
      </c>
      <c r="CP33" s="94">
        <f t="shared" si="49"/>
        <v>5.3678363927611032</v>
      </c>
      <c r="CQ33" s="96">
        <f t="shared" si="50"/>
        <v>84.573887832164203</v>
      </c>
      <c r="CS33" s="10">
        <v>45050.822916666664</v>
      </c>
      <c r="CT33" s="110">
        <v>9.35434011158114E-2</v>
      </c>
      <c r="CU33" s="21">
        <v>124.3675379</v>
      </c>
      <c r="CV33" s="111">
        <v>4426</v>
      </c>
      <c r="CW33" s="21">
        <f t="shared" si="51"/>
        <v>73.766666666666666</v>
      </c>
      <c r="CX33" s="21">
        <f t="shared" si="52"/>
        <v>6.9003848889763546</v>
      </c>
      <c r="CY33" s="21">
        <f t="shared" si="53"/>
        <v>95.642265602762691</v>
      </c>
    </row>
    <row r="34" spans="1:103" x14ac:dyDescent="0.3">
      <c r="A34" s="10">
        <v>44776.323611111111</v>
      </c>
      <c r="B34" s="11">
        <v>1.62495919365844E-3</v>
      </c>
      <c r="C34" s="12">
        <v>0.67980481400000004</v>
      </c>
      <c r="D34" s="9">
        <v>102</v>
      </c>
      <c r="E34" s="13">
        <f t="shared" si="14"/>
        <v>1.7</v>
      </c>
      <c r="F34" s="12">
        <f t="shared" si="15"/>
        <v>2.7624306292193478E-3</v>
      </c>
      <c r="G34" s="13">
        <f t="shared" si="16"/>
        <v>2.0742160088414772</v>
      </c>
      <c r="H34" s="11">
        <f t="shared" si="17"/>
        <v>0</v>
      </c>
      <c r="I34" s="116">
        <f t="shared" si="18"/>
        <v>0</v>
      </c>
      <c r="J34" s="21">
        <f t="shared" si="0"/>
        <v>0</v>
      </c>
      <c r="K34" s="116">
        <f t="shared" si="19"/>
        <v>0</v>
      </c>
      <c r="M34" s="25">
        <v>44781.323611111111</v>
      </c>
      <c r="N34" s="26">
        <v>3.4101060243719099E-3</v>
      </c>
      <c r="O34" s="27">
        <v>1.2897381324999999</v>
      </c>
      <c r="P34" s="28">
        <v>934</v>
      </c>
      <c r="Q34" s="29">
        <f t="shared" si="20"/>
        <v>15.566666666666666</v>
      </c>
      <c r="R34" s="26">
        <f t="shared" si="1"/>
        <v>5.3083983779389395E-2</v>
      </c>
      <c r="S34" s="29">
        <f t="shared" si="21"/>
        <v>8.8199926345190907</v>
      </c>
      <c r="T34" s="29">
        <f t="shared" si="22"/>
        <v>0</v>
      </c>
      <c r="U34" s="117">
        <f t="shared" si="23"/>
        <v>0</v>
      </c>
      <c r="V34" s="118">
        <f t="shared" si="2"/>
        <v>3.6723864522777753E-3</v>
      </c>
      <c r="W34" s="117">
        <f t="shared" si="24"/>
        <v>3.2390421460197674E-2</v>
      </c>
      <c r="Y34" s="35">
        <v>45136.322916666664</v>
      </c>
      <c r="Z34" s="71">
        <v>9.5291302886648006E-3</v>
      </c>
      <c r="AA34" s="70">
        <v>1.145105356</v>
      </c>
      <c r="AB34" s="36">
        <v>4996</v>
      </c>
      <c r="AC34" s="37">
        <f t="shared" si="25"/>
        <v>83.266666666666666</v>
      </c>
      <c r="AD34" s="37">
        <f t="shared" si="3"/>
        <v>0.79345891536948909</v>
      </c>
      <c r="AE34" s="38">
        <f t="shared" si="26"/>
        <v>33.162763445790141</v>
      </c>
      <c r="AF34" s="38">
        <f t="shared" si="27"/>
        <v>9.0507621709788721E-3</v>
      </c>
      <c r="AG34" s="38">
        <f t="shared" si="28"/>
        <v>0.30014828488027834</v>
      </c>
      <c r="AH34" s="38">
        <f t="shared" si="4"/>
        <v>8.2681450801797576E-2</v>
      </c>
      <c r="AI34" s="38">
        <f t="shared" si="29"/>
        <v>2.7419453942947487</v>
      </c>
      <c r="AK34" s="45">
        <v>45151.322916666664</v>
      </c>
      <c r="AL34" s="4">
        <v>3.0903071871563699E-3</v>
      </c>
      <c r="AM34" s="3">
        <v>0.42386643899999998</v>
      </c>
      <c r="AN34" s="4">
        <v>520</v>
      </c>
      <c r="AO34" s="46">
        <f t="shared" si="30"/>
        <v>8.6666666666666661</v>
      </c>
      <c r="AP34" s="47">
        <f t="shared" si="5"/>
        <v>2.6782662288688537E-2</v>
      </c>
      <c r="AQ34" s="50">
        <f t="shared" si="31"/>
        <v>6.3091894975312455</v>
      </c>
      <c r="AR34" s="50">
        <f t="shared" si="32"/>
        <v>0</v>
      </c>
      <c r="AS34" s="50">
        <f t="shared" si="33"/>
        <v>0</v>
      </c>
      <c r="AT34" s="50">
        <f t="shared" si="6"/>
        <v>0</v>
      </c>
      <c r="AU34" s="50">
        <f t="shared" si="34"/>
        <v>0</v>
      </c>
      <c r="AW34" s="51">
        <v>45166.322916666664</v>
      </c>
      <c r="AX34" s="72">
        <v>1.54406588765562E-2</v>
      </c>
      <c r="AY34" s="73">
        <v>0.44939223900000003</v>
      </c>
      <c r="AZ34" s="52">
        <v>5502</v>
      </c>
      <c r="BA34" s="53">
        <f t="shared" si="35"/>
        <v>91.7</v>
      </c>
      <c r="BB34" s="72">
        <f t="shared" si="7"/>
        <v>1.4159084189802036</v>
      </c>
      <c r="BC34" s="54">
        <f t="shared" si="36"/>
        <v>44.036775639007523</v>
      </c>
      <c r="BD34" s="54">
        <f t="shared" si="37"/>
        <v>3.7618062491693006E-2</v>
      </c>
      <c r="BE34" s="54">
        <f t="shared" si="38"/>
        <v>1.6565781779208493</v>
      </c>
      <c r="BF34" s="54">
        <f t="shared" si="8"/>
        <v>0.12284616268029916</v>
      </c>
      <c r="BG34" s="54">
        <f t="shared" si="39"/>
        <v>5.4097489040653528</v>
      </c>
      <c r="BI34" s="66">
        <v>45183.322916666664</v>
      </c>
      <c r="BJ34" s="67">
        <v>6.2633664849026001E-3</v>
      </c>
      <c r="BK34" s="68">
        <v>0.44894941300000002</v>
      </c>
      <c r="BL34" s="68">
        <v>1417</v>
      </c>
      <c r="BM34" s="68">
        <f t="shared" si="40"/>
        <v>23.616666666666667</v>
      </c>
      <c r="BN34" s="68">
        <f t="shared" si="9"/>
        <v>0.14791983848511642</v>
      </c>
      <c r="BO34" s="69">
        <f t="shared" si="41"/>
        <v>14.568523286898406</v>
      </c>
      <c r="BP34" s="69">
        <f t="shared" si="42"/>
        <v>0</v>
      </c>
      <c r="BQ34" s="69">
        <f t="shared" si="43"/>
        <v>0</v>
      </c>
      <c r="BR34" s="69">
        <f t="shared" si="10"/>
        <v>0</v>
      </c>
      <c r="BS34" s="69">
        <f t="shared" si="44"/>
        <v>0</v>
      </c>
      <c r="BU34" s="82">
        <v>45046.65625</v>
      </c>
      <c r="BV34" s="112">
        <v>3.7509035000000003E-2</v>
      </c>
      <c r="BW34" s="83">
        <v>82.718647970000006</v>
      </c>
      <c r="BX34" s="112">
        <v>7989</v>
      </c>
      <c r="BY34" s="83">
        <f t="shared" si="11"/>
        <v>133.15</v>
      </c>
      <c r="BZ34" s="84">
        <f t="shared" si="12"/>
        <v>4.9943280102500003</v>
      </c>
      <c r="CA34" s="83">
        <f t="shared" si="13"/>
        <v>81.63902510058081</v>
      </c>
      <c r="CC34" s="87">
        <v>45047.53125</v>
      </c>
      <c r="CD34" s="109">
        <v>3.1865085475110903E-2</v>
      </c>
      <c r="CE34" s="88">
        <v>78.323104580000006</v>
      </c>
      <c r="CF34" s="89">
        <v>8663</v>
      </c>
      <c r="CG34" s="90">
        <f t="shared" si="45"/>
        <v>144.38333333333333</v>
      </c>
      <c r="CH34" s="91">
        <f t="shared" si="46"/>
        <v>4.6007872578480953</v>
      </c>
      <c r="CI34" s="91">
        <f t="shared" si="47"/>
        <v>78.422827658869721</v>
      </c>
      <c r="CK34" s="93">
        <v>45049.572916666664</v>
      </c>
      <c r="CL34">
        <v>3.3069297101709201E-2</v>
      </c>
      <c r="CM34" s="95">
        <v>93.877037450000003</v>
      </c>
      <c r="CN34" s="4">
        <v>9804</v>
      </c>
      <c r="CO34" s="95">
        <f t="shared" si="48"/>
        <v>163.4</v>
      </c>
      <c r="CP34" s="94">
        <f t="shared" si="49"/>
        <v>5.4035231464192837</v>
      </c>
      <c r="CQ34" s="96">
        <f t="shared" si="50"/>
        <v>84.848765407419762</v>
      </c>
      <c r="CS34" s="10">
        <v>45050.833333333336</v>
      </c>
      <c r="CT34" s="110">
        <v>8.8426929012709696E-2</v>
      </c>
      <c r="CU34" s="21">
        <v>114.5134446</v>
      </c>
      <c r="CV34" s="111">
        <v>4533</v>
      </c>
      <c r="CW34" s="21">
        <f t="shared" si="51"/>
        <v>75.55</v>
      </c>
      <c r="CX34" s="21">
        <f t="shared" si="52"/>
        <v>6.6806544869102176</v>
      </c>
      <c r="CY34" s="21">
        <f t="shared" si="53"/>
        <v>94.138540866410821</v>
      </c>
    </row>
    <row r="35" spans="1:103" x14ac:dyDescent="0.3">
      <c r="A35" s="10">
        <v>44776.334027777775</v>
      </c>
      <c r="B35" s="11">
        <v>2.0374389063300999E-3</v>
      </c>
      <c r="C35" s="12">
        <v>0.74230587949999904</v>
      </c>
      <c r="D35" s="9">
        <v>125</v>
      </c>
      <c r="E35" s="13">
        <f t="shared" si="14"/>
        <v>2.0833333333333335</v>
      </c>
      <c r="F35" s="12">
        <f t="shared" ref="F35:F66" si="54">E35*B35</f>
        <v>4.2446643881877081E-3</v>
      </c>
      <c r="G35" s="13">
        <f t="shared" si="16"/>
        <v>2.5598144420098592</v>
      </c>
      <c r="H35" s="11">
        <f t="shared" si="17"/>
        <v>1.5024597040673559E-3</v>
      </c>
      <c r="I35" s="116">
        <f t="shared" si="18"/>
        <v>3.8460180490094767E-3</v>
      </c>
      <c r="J35" s="21">
        <f t="shared" ref="J35:J66" si="55">IF((F35-$K$96)/($I$96-$K$96)&lt;0, 0, IF((F35-$K$96)/($I$96-$K$96)&gt;1, 1, (F35-$K$96)/($I$96-$K$96)))</f>
        <v>1.5462131558253007E-4</v>
      </c>
      <c r="K35" s="116">
        <f t="shared" si="19"/>
        <v>3.9580187667072455E-4</v>
      </c>
      <c r="M35" s="25">
        <v>44781.334027777775</v>
      </c>
      <c r="N35" s="26">
        <v>3.8753167317763298E-3</v>
      </c>
      <c r="O35" s="27">
        <v>1.326867053</v>
      </c>
      <c r="P35" s="28">
        <v>897</v>
      </c>
      <c r="Q35" s="29">
        <f t="shared" si="20"/>
        <v>14.95</v>
      </c>
      <c r="R35" s="26">
        <f t="shared" ref="R35:R66" si="56">Q35*N35</f>
        <v>5.7935985140056129E-2</v>
      </c>
      <c r="S35" s="29">
        <f t="shared" si="21"/>
        <v>9.2059671796596909</v>
      </c>
      <c r="T35" s="29">
        <f t="shared" si="22"/>
        <v>1.1136702481469602E-3</v>
      </c>
      <c r="U35" s="117">
        <f t="shared" si="23"/>
        <v>1.025241175340438E-2</v>
      </c>
      <c r="V35" s="118">
        <f t="shared" ref="V35:V66" si="57">IF((R35-$W$102)/($U$101-$W$102)&lt;0, 0, IF((R35-$W$102)/($U$101-$W$102)&gt;1, 1, (R35-$W$102)/($U$101-$W$102)))</f>
        <v>6.1318817050009947E-3</v>
      </c>
      <c r="W35" s="117">
        <f t="shared" si="24"/>
        <v>5.6449901725794865E-2</v>
      </c>
      <c r="Y35" s="35">
        <v>45136.333333333336</v>
      </c>
      <c r="Z35" s="71">
        <v>8.2768553180524104E-3</v>
      </c>
      <c r="AA35" s="70">
        <v>1.318149035</v>
      </c>
      <c r="AB35" s="36">
        <v>5749</v>
      </c>
      <c r="AC35" s="37">
        <f t="shared" si="25"/>
        <v>95.816666666666663</v>
      </c>
      <c r="AD35" s="37">
        <f t="shared" ref="AD35:AD66" si="58">Z35*AC35</f>
        <v>0.7930606870580551</v>
      </c>
      <c r="AE35" s="38">
        <f t="shared" si="26"/>
        <v>33.154611821964082</v>
      </c>
      <c r="AF35" s="38">
        <f t="shared" si="27"/>
        <v>1.8082342682059448E-2</v>
      </c>
      <c r="AG35" s="38">
        <f t="shared" si="28"/>
        <v>0.59951305245541386</v>
      </c>
      <c r="AH35" s="38">
        <f t="shared" si="4"/>
        <v>8.2575864605683016E-2</v>
      </c>
      <c r="AI35" s="38">
        <f t="shared" si="29"/>
        <v>2.7377707368644835</v>
      </c>
      <c r="AK35" s="45">
        <v>45151.333333333336</v>
      </c>
      <c r="AL35" s="4">
        <v>4.62743377795419E-3</v>
      </c>
      <c r="AM35" s="3">
        <v>0.50323377899999999</v>
      </c>
      <c r="AN35" s="4">
        <v>848</v>
      </c>
      <c r="AO35" s="46">
        <f t="shared" si="30"/>
        <v>14.133333333333333</v>
      </c>
      <c r="AP35" s="47">
        <f t="shared" ref="AP35:AP66" si="59">AO35*AL35</f>
        <v>6.5401064061752556E-2</v>
      </c>
      <c r="AQ35" s="50">
        <f t="shared" si="31"/>
        <v>9.7688957777668222</v>
      </c>
      <c r="AR35" s="50">
        <f t="shared" si="32"/>
        <v>0</v>
      </c>
      <c r="AS35" s="50">
        <f t="shared" si="33"/>
        <v>0</v>
      </c>
      <c r="AT35" s="50">
        <f t="shared" si="6"/>
        <v>0</v>
      </c>
      <c r="AU35" s="50">
        <f t="shared" si="34"/>
        <v>0</v>
      </c>
      <c r="AW35" s="51">
        <v>45166.333333333336</v>
      </c>
      <c r="AX35" s="72">
        <v>1.0682284256436201E-2</v>
      </c>
      <c r="AY35" s="73">
        <v>0.377160934</v>
      </c>
      <c r="AZ35" s="52">
        <v>4109</v>
      </c>
      <c r="BA35" s="53">
        <f t="shared" si="35"/>
        <v>68.483333333333334</v>
      </c>
      <c r="BB35" s="72">
        <f t="shared" ref="BB35:BB66" si="60">BA35*AX35</f>
        <v>0.7315584334949391</v>
      </c>
      <c r="BC35" s="54">
        <f t="shared" si="36"/>
        <v>31.869579878084458</v>
      </c>
      <c r="BD35" s="54">
        <f t="shared" si="37"/>
        <v>0</v>
      </c>
      <c r="BE35" s="54">
        <f t="shared" si="38"/>
        <v>0</v>
      </c>
      <c r="BF35" s="54">
        <f t="shared" si="8"/>
        <v>1.3495533050043059E-2</v>
      </c>
      <c r="BG35" s="54">
        <f t="shared" si="39"/>
        <v>0.43009696853567603</v>
      </c>
      <c r="BI35" s="66">
        <v>45183.333333333336</v>
      </c>
      <c r="BJ35" s="67">
        <v>5.6065254957764999E-3</v>
      </c>
      <c r="BK35" s="68">
        <v>0.39953381599999999</v>
      </c>
      <c r="BL35" s="68">
        <v>1004</v>
      </c>
      <c r="BM35" s="68">
        <f t="shared" si="40"/>
        <v>16.733333333333334</v>
      </c>
      <c r="BN35" s="68">
        <f t="shared" ref="BN35:BN66" si="61">BM35*BJ35</f>
        <v>9.3815859962660106E-2</v>
      </c>
      <c r="BO35" s="69">
        <f t="shared" si="41"/>
        <v>11.656744545137443</v>
      </c>
      <c r="BP35" s="69">
        <f t="shared" si="42"/>
        <v>0</v>
      </c>
      <c r="BQ35" s="69">
        <f t="shared" si="43"/>
        <v>0</v>
      </c>
      <c r="BR35" s="69">
        <f t="shared" si="10"/>
        <v>0</v>
      </c>
      <c r="BS35" s="69">
        <f t="shared" si="44"/>
        <v>0</v>
      </c>
      <c r="BU35" s="82">
        <v>45046.666666666664</v>
      </c>
      <c r="BV35" s="112">
        <v>4.0242174999999998E-2</v>
      </c>
      <c r="BW35" s="83">
        <v>81.405228940000001</v>
      </c>
      <c r="BX35" s="112">
        <v>7778</v>
      </c>
      <c r="BY35" s="83">
        <f t="shared" si="11"/>
        <v>129.63333333333333</v>
      </c>
      <c r="BZ35" s="84">
        <f t="shared" si="12"/>
        <v>5.2167272858333327</v>
      </c>
      <c r="CA35" s="83">
        <f t="shared" si="13"/>
        <v>83.399502274836181</v>
      </c>
      <c r="CC35" s="87">
        <v>45047.541666666664</v>
      </c>
      <c r="CD35" s="109">
        <v>3.0628840007062799E-2</v>
      </c>
      <c r="CE35" s="88">
        <v>77.875916610000004</v>
      </c>
      <c r="CF35" s="89">
        <v>8590</v>
      </c>
      <c r="CG35" s="90">
        <f t="shared" si="45"/>
        <v>143.16666666666666</v>
      </c>
      <c r="CH35" s="91">
        <f t="shared" si="46"/>
        <v>4.3850289276778236</v>
      </c>
      <c r="CI35" s="91">
        <f t="shared" si="47"/>
        <v>76.5997774199719</v>
      </c>
      <c r="CK35" s="93">
        <v>45049.583333333336</v>
      </c>
      <c r="CL35">
        <v>3.3177207640870301E-2</v>
      </c>
      <c r="CM35" s="95">
        <v>95.977802339999997</v>
      </c>
      <c r="CN35" s="4">
        <v>10113</v>
      </c>
      <c r="CO35" s="95">
        <f t="shared" si="48"/>
        <v>168.55</v>
      </c>
      <c r="CP35" s="94">
        <f t="shared" si="49"/>
        <v>5.5920183478686898</v>
      </c>
      <c r="CQ35" s="96">
        <f t="shared" si="50"/>
        <v>86.285521859634741</v>
      </c>
      <c r="CS35" s="10">
        <v>45050.84375</v>
      </c>
      <c r="CT35" s="110">
        <v>8.8293143982756797E-2</v>
      </c>
      <c r="CU35" s="21">
        <v>124.3675379</v>
      </c>
      <c r="CV35" s="111">
        <v>4355</v>
      </c>
      <c r="CW35" s="21">
        <f t="shared" si="51"/>
        <v>72.583333333333329</v>
      </c>
      <c r="CX35" s="21">
        <f t="shared" si="52"/>
        <v>6.4086107007484303</v>
      </c>
      <c r="CY35" s="21">
        <f t="shared" si="53"/>
        <v>92.241396612746883</v>
      </c>
    </row>
    <row r="36" spans="1:103" x14ac:dyDescent="0.3">
      <c r="A36" s="10">
        <v>44776.344444444447</v>
      </c>
      <c r="B36" s="11">
        <v>1.78875307502596E-3</v>
      </c>
      <c r="C36" s="12">
        <v>0.76352864149999999</v>
      </c>
      <c r="D36" s="9">
        <v>171</v>
      </c>
      <c r="E36" s="13">
        <f t="shared" si="14"/>
        <v>2.85</v>
      </c>
      <c r="F36" s="12">
        <f t="shared" si="54"/>
        <v>5.097946263823986E-3</v>
      </c>
      <c r="G36" s="13">
        <f t="shared" si="16"/>
        <v>2.8000452401310367</v>
      </c>
      <c r="H36" s="11">
        <f t="shared" si="17"/>
        <v>3.2777424540375972E-3</v>
      </c>
      <c r="I36" s="116">
        <f t="shared" si="18"/>
        <v>9.1778271568033979E-3</v>
      </c>
      <c r="J36" s="21">
        <f t="shared" si="55"/>
        <v>3.3158564188605328E-4</v>
      </c>
      <c r="K36" s="116">
        <f t="shared" si="19"/>
        <v>9.2845479825883804E-4</v>
      </c>
      <c r="M36" s="25">
        <v>44781.344444444447</v>
      </c>
      <c r="N36" s="26">
        <v>4.1273201374424397E-3</v>
      </c>
      <c r="O36" s="27">
        <v>1.314942037</v>
      </c>
      <c r="P36" s="28">
        <v>945</v>
      </c>
      <c r="Q36" s="29">
        <f t="shared" si="20"/>
        <v>15.75</v>
      </c>
      <c r="R36" s="26">
        <f t="shared" si="56"/>
        <v>6.5005292164718426E-2</v>
      </c>
      <c r="S36" s="29">
        <f t="shared" si="21"/>
        <v>9.7399017992620589</v>
      </c>
      <c r="T36" s="29">
        <f t="shared" si="22"/>
        <v>7.2542091310848471E-4</v>
      </c>
      <c r="U36" s="117">
        <f t="shared" si="23"/>
        <v>7.0655284568076557E-3</v>
      </c>
      <c r="V36" s="118">
        <f t="shared" si="57"/>
        <v>9.7153364023035982E-3</v>
      </c>
      <c r="W36" s="117">
        <f t="shared" si="24"/>
        <v>9.4626422505232996E-2</v>
      </c>
      <c r="Y36" s="35">
        <v>45136.34375</v>
      </c>
      <c r="Z36" s="71">
        <v>8.4345455036178903E-3</v>
      </c>
      <c r="AA36" s="70">
        <v>1.318149035</v>
      </c>
      <c r="AB36" s="36">
        <v>5692</v>
      </c>
      <c r="AC36" s="37">
        <f t="shared" si="25"/>
        <v>94.86666666666666</v>
      </c>
      <c r="AD36" s="37">
        <f t="shared" si="58"/>
        <v>0.8001572167765505</v>
      </c>
      <c r="AE36" s="38">
        <f t="shared" si="26"/>
        <v>33.299564222719859</v>
      </c>
      <c r="AF36" s="38">
        <f t="shared" si="27"/>
        <v>1.8082342682059448E-2</v>
      </c>
      <c r="AG36" s="38">
        <f t="shared" si="28"/>
        <v>0.60213413143846706</v>
      </c>
      <c r="AH36" s="38">
        <f t="shared" si="4"/>
        <v>8.4457437454915588E-2</v>
      </c>
      <c r="AI36" s="38">
        <f t="shared" si="29"/>
        <v>2.8123958626163073</v>
      </c>
      <c r="AK36" s="45">
        <v>45151.34375</v>
      </c>
      <c r="AL36" s="4">
        <v>4.9781933895499796E-3</v>
      </c>
      <c r="AM36" s="3">
        <v>0.50323377899999999</v>
      </c>
      <c r="AN36" s="4">
        <v>801</v>
      </c>
      <c r="AO36" s="46">
        <f t="shared" si="30"/>
        <v>13.35</v>
      </c>
      <c r="AP36" s="47">
        <f t="shared" si="59"/>
        <v>6.6458881750492221E-2</v>
      </c>
      <c r="AQ36" s="50">
        <f t="shared" si="31"/>
        <v>9.8459541994458224</v>
      </c>
      <c r="AR36" s="50">
        <f t="shared" si="32"/>
        <v>0</v>
      </c>
      <c r="AS36" s="50">
        <f t="shared" si="33"/>
        <v>0</v>
      </c>
      <c r="AT36" s="50">
        <f t="shared" si="6"/>
        <v>0</v>
      </c>
      <c r="AU36" s="50">
        <f t="shared" si="34"/>
        <v>0</v>
      </c>
      <c r="AW36" s="51">
        <v>45166.34375</v>
      </c>
      <c r="AX36" s="72">
        <v>1.33179201904401E-2</v>
      </c>
      <c r="AY36" s="73">
        <v>0.44939223900000003</v>
      </c>
      <c r="AZ36" s="52">
        <v>5149</v>
      </c>
      <c r="BA36" s="53">
        <f t="shared" si="35"/>
        <v>85.816666666666663</v>
      </c>
      <c r="BB36" s="72">
        <f t="shared" si="60"/>
        <v>1.142899517676268</v>
      </c>
      <c r="BC36" s="54">
        <f t="shared" si="36"/>
        <v>39.651546869503818</v>
      </c>
      <c r="BD36" s="54">
        <f t="shared" si="37"/>
        <v>3.7618062491693006E-2</v>
      </c>
      <c r="BE36" s="54">
        <f t="shared" si="38"/>
        <v>1.4916143680292888</v>
      </c>
      <c r="BF36" s="54">
        <f t="shared" si="8"/>
        <v>7.9222730393556429E-2</v>
      </c>
      <c r="BG36" s="54">
        <f t="shared" si="39"/>
        <v>3.1413038073301673</v>
      </c>
      <c r="BI36" s="66">
        <v>45183.34375</v>
      </c>
      <c r="BJ36" s="67">
        <v>6.3769622080516401E-3</v>
      </c>
      <c r="BK36" s="68">
        <v>0.47522856800000002</v>
      </c>
      <c r="BL36" s="68">
        <v>1623</v>
      </c>
      <c r="BM36" s="68">
        <f t="shared" si="40"/>
        <v>27.05</v>
      </c>
      <c r="BN36" s="68">
        <f t="shared" si="61"/>
        <v>0.17249682772779687</v>
      </c>
      <c r="BO36" s="69">
        <f t="shared" si="41"/>
        <v>15.707436170187719</v>
      </c>
      <c r="BP36" s="69">
        <f t="shared" si="42"/>
        <v>5.0310938597030548E-3</v>
      </c>
      <c r="BQ36" s="69">
        <f t="shared" si="43"/>
        <v>7.9025585667509099E-2</v>
      </c>
      <c r="BR36" s="69">
        <f t="shared" si="10"/>
        <v>1.1418650964327131E-3</v>
      </c>
      <c r="BS36" s="69">
        <f t="shared" si="44"/>
        <v>1.7935773117182086E-2</v>
      </c>
      <c r="BU36" s="82">
        <v>45046.677083333336</v>
      </c>
      <c r="BV36" s="112">
        <v>4.0290725999999999E-2</v>
      </c>
      <c r="BW36" s="83">
        <v>80.079324720000002</v>
      </c>
      <c r="BX36" s="112">
        <v>7660</v>
      </c>
      <c r="BY36" s="83">
        <f t="shared" ref="BY36:BY87" si="62">BX36/60</f>
        <v>127.66666666666667</v>
      </c>
      <c r="BZ36" s="84">
        <f t="shared" ref="BZ36:BZ87" si="63">BY36*BV36</f>
        <v>5.1437826859999998</v>
      </c>
      <c r="CA36" s="83">
        <f t="shared" ref="CA36:CA87" si="64">IF(37.141*BZ36^0.4897&gt;22.6, 37.141*BZ36^0.4897, 0)</f>
        <v>82.826381405665046</v>
      </c>
      <c r="CC36" s="87">
        <v>45047.552083333336</v>
      </c>
      <c r="CD36" s="109">
        <v>3.3589711909543699E-2</v>
      </c>
      <c r="CE36" s="88">
        <v>75.659696060000002</v>
      </c>
      <c r="CF36" s="89">
        <v>8163</v>
      </c>
      <c r="CG36" s="90">
        <f t="shared" si="45"/>
        <v>136.05000000000001</v>
      </c>
      <c r="CH36" s="91">
        <f t="shared" si="46"/>
        <v>4.5698803052934203</v>
      </c>
      <c r="CI36" s="91">
        <f t="shared" si="47"/>
        <v>78.164397664858541</v>
      </c>
      <c r="CK36" s="93">
        <v>45049.59375</v>
      </c>
      <c r="CL36">
        <v>3.5138969485248903E-2</v>
      </c>
      <c r="CM36" s="95">
        <v>97.229596529999995</v>
      </c>
      <c r="CN36" s="4">
        <v>9513</v>
      </c>
      <c r="CO36" s="95">
        <f t="shared" si="48"/>
        <v>158.55000000000001</v>
      </c>
      <c r="CP36" s="94">
        <f t="shared" si="49"/>
        <v>5.5712836118862139</v>
      </c>
      <c r="CQ36" s="96">
        <f t="shared" si="50"/>
        <v>86.128698986913051</v>
      </c>
      <c r="CS36" s="10">
        <v>45050.854166666664</v>
      </c>
      <c r="CT36" s="110">
        <v>8.9715870856291499E-2</v>
      </c>
      <c r="CU36" s="21">
        <v>113.3477233</v>
      </c>
      <c r="CV36" s="111">
        <v>4570</v>
      </c>
      <c r="CW36" s="21">
        <f t="shared" si="51"/>
        <v>76.166666666666671</v>
      </c>
      <c r="CX36" s="21">
        <f t="shared" si="52"/>
        <v>6.8333588302208694</v>
      </c>
      <c r="CY36" s="21">
        <f t="shared" si="53"/>
        <v>95.186196533147893</v>
      </c>
    </row>
    <row r="37" spans="1:103" x14ac:dyDescent="0.3">
      <c r="A37" s="10">
        <v>44776.354861111111</v>
      </c>
      <c r="B37" s="11">
        <v>1.47752317105199E-3</v>
      </c>
      <c r="C37" s="12">
        <v>0.72191215399999997</v>
      </c>
      <c r="D37" s="9">
        <v>128</v>
      </c>
      <c r="E37" s="13">
        <f t="shared" si="14"/>
        <v>2.1333333333333333</v>
      </c>
      <c r="F37" s="12">
        <f t="shared" si="54"/>
        <v>3.1520494315775784E-3</v>
      </c>
      <c r="G37" s="13">
        <f t="shared" si="16"/>
        <v>2.2126595392400104</v>
      </c>
      <c r="H37" s="11">
        <f t="shared" si="17"/>
        <v>0</v>
      </c>
      <c r="I37" s="116">
        <f t="shared" si="18"/>
        <v>0</v>
      </c>
      <c r="J37" s="21">
        <f t="shared" si="55"/>
        <v>0</v>
      </c>
      <c r="K37" s="116">
        <f t="shared" si="19"/>
        <v>0</v>
      </c>
      <c r="M37" s="25">
        <v>44781.354861111111</v>
      </c>
      <c r="N37" s="26">
        <v>3.65665104705773E-3</v>
      </c>
      <c r="O37" s="27">
        <v>1.3033880545000001</v>
      </c>
      <c r="P37" s="28">
        <v>906</v>
      </c>
      <c r="Q37" s="29">
        <f t="shared" si="20"/>
        <v>15.1</v>
      </c>
      <c r="R37" s="26">
        <f t="shared" si="56"/>
        <v>5.5215430810571724E-2</v>
      </c>
      <c r="S37" s="29">
        <f t="shared" si="21"/>
        <v>8.9916750266202623</v>
      </c>
      <c r="T37" s="29">
        <f t="shared" si="22"/>
        <v>3.4925152074279065E-4</v>
      </c>
      <c r="U37" s="117">
        <f t="shared" si="23"/>
        <v>3.1403561770720991E-3</v>
      </c>
      <c r="V37" s="118">
        <f t="shared" si="57"/>
        <v>4.7528238769498025E-3</v>
      </c>
      <c r="W37" s="117">
        <f t="shared" si="24"/>
        <v>4.2735847760294036E-2</v>
      </c>
      <c r="Y37" s="35">
        <v>45136.354166666664</v>
      </c>
      <c r="Z37" s="71">
        <v>7.46440744534044E-3</v>
      </c>
      <c r="AA37" s="70">
        <v>1.145105356</v>
      </c>
      <c r="AB37" s="36">
        <v>5375</v>
      </c>
      <c r="AC37" s="37">
        <f t="shared" si="25"/>
        <v>89.583333333333329</v>
      </c>
      <c r="AD37" s="37">
        <f t="shared" si="58"/>
        <v>0.6686865003117477</v>
      </c>
      <c r="AE37" s="38">
        <f t="shared" si="26"/>
        <v>30.497558859900899</v>
      </c>
      <c r="AF37" s="38">
        <f t="shared" si="27"/>
        <v>9.0507621709788721E-3</v>
      </c>
      <c r="AG37" s="38">
        <f t="shared" si="28"/>
        <v>0.27602615203639258</v>
      </c>
      <c r="AH37" s="38">
        <f t="shared" si="4"/>
        <v>4.9599310964637884E-2</v>
      </c>
      <c r="AI37" s="38">
        <f t="shared" si="29"/>
        <v>1.5126579055545719</v>
      </c>
      <c r="AK37" s="45">
        <v>45151.354166666664</v>
      </c>
      <c r="AL37" s="4">
        <v>5.1923909126105504E-3</v>
      </c>
      <c r="AM37" s="3">
        <v>0.59425534599999996</v>
      </c>
      <c r="AN37" s="4">
        <v>1336</v>
      </c>
      <c r="AO37" s="46">
        <f t="shared" si="30"/>
        <v>22.266666666666666</v>
      </c>
      <c r="AP37" s="47">
        <f t="shared" si="59"/>
        <v>0.11561723765412825</v>
      </c>
      <c r="AQ37" s="50">
        <f t="shared" si="31"/>
        <v>12.912661147967409</v>
      </c>
      <c r="AR37" s="50">
        <f t="shared" si="32"/>
        <v>0</v>
      </c>
      <c r="AS37" s="50">
        <f t="shared" si="33"/>
        <v>0</v>
      </c>
      <c r="AT37" s="50">
        <f t="shared" si="6"/>
        <v>0</v>
      </c>
      <c r="AU37" s="50">
        <f t="shared" si="34"/>
        <v>0</v>
      </c>
      <c r="AW37" s="51">
        <v>45166.354166666664</v>
      </c>
      <c r="AX37" s="72">
        <v>7.7398499161251202E-3</v>
      </c>
      <c r="AY37" s="73">
        <v>0.33439968599999997</v>
      </c>
      <c r="AZ37" s="52">
        <v>2591</v>
      </c>
      <c r="BA37" s="53">
        <f t="shared" si="35"/>
        <v>43.18333333333333</v>
      </c>
      <c r="BB37" s="72">
        <f t="shared" si="60"/>
        <v>0.33423251887800309</v>
      </c>
      <c r="BC37" s="54">
        <f t="shared" si="36"/>
        <v>21.716020453446596</v>
      </c>
      <c r="BD37" s="54">
        <f t="shared" si="37"/>
        <v>0</v>
      </c>
      <c r="BE37" s="54">
        <f t="shared" si="38"/>
        <v>0</v>
      </c>
      <c r="BF37" s="54">
        <f t="shared" si="8"/>
        <v>0</v>
      </c>
      <c r="BG37" s="54">
        <f t="shared" si="39"/>
        <v>0</v>
      </c>
      <c r="BI37" s="66">
        <v>45183.354166666664</v>
      </c>
      <c r="BJ37" s="67">
        <v>8.7199350546054901E-3</v>
      </c>
      <c r="BK37" s="68">
        <v>0.62723254799999995</v>
      </c>
      <c r="BL37" s="68">
        <v>2375</v>
      </c>
      <c r="BM37" s="68">
        <f t="shared" si="40"/>
        <v>39.583333333333336</v>
      </c>
      <c r="BN37" s="68">
        <f t="shared" si="61"/>
        <v>0.34516409591146735</v>
      </c>
      <c r="BO37" s="69">
        <f t="shared" si="41"/>
        <v>22.060976694544749</v>
      </c>
      <c r="BP37" s="69">
        <f t="shared" si="42"/>
        <v>0.16107059267283219</v>
      </c>
      <c r="BQ37" s="69">
        <f t="shared" si="43"/>
        <v>3.553374591131861</v>
      </c>
      <c r="BR37" s="69">
        <f t="shared" si="10"/>
        <v>1.592133739499587E-2</v>
      </c>
      <c r="BS37" s="69">
        <f t="shared" si="44"/>
        <v>0.35124025321698771</v>
      </c>
      <c r="BU37" s="82">
        <v>45046.6875</v>
      </c>
      <c r="BV37" s="112">
        <v>3.9351766000000003E-2</v>
      </c>
      <c r="BW37" s="83">
        <v>84.891986889999998</v>
      </c>
      <c r="BX37" s="112">
        <v>7482</v>
      </c>
      <c r="BY37" s="83">
        <f t="shared" si="62"/>
        <v>124.7</v>
      </c>
      <c r="BZ37" s="84">
        <f t="shared" si="63"/>
        <v>4.9071652202000005</v>
      </c>
      <c r="CA37" s="83">
        <f t="shared" si="64"/>
        <v>80.938169278524285</v>
      </c>
      <c r="CC37" s="87">
        <v>45047.5625</v>
      </c>
      <c r="CD37" s="109">
        <v>3.2626751827534099E-2</v>
      </c>
      <c r="CE37" s="88">
        <v>78.323104580000006</v>
      </c>
      <c r="CF37" s="89">
        <v>7950</v>
      </c>
      <c r="CG37" s="90">
        <f t="shared" si="45"/>
        <v>132.5</v>
      </c>
      <c r="CH37" s="91">
        <f t="shared" si="46"/>
        <v>4.3230446171482679</v>
      </c>
      <c r="CI37" s="91">
        <f t="shared" si="47"/>
        <v>76.067618111558048</v>
      </c>
      <c r="CK37" s="93">
        <v>45049.604166666664</v>
      </c>
      <c r="CL37">
        <v>3.5127544457337803E-2</v>
      </c>
      <c r="CM37" s="95">
        <v>101.36348099999999</v>
      </c>
      <c r="CN37" s="4">
        <v>9419</v>
      </c>
      <c r="CO37" s="95">
        <f t="shared" si="48"/>
        <v>156.98333333333332</v>
      </c>
      <c r="CP37" s="94">
        <f t="shared" si="49"/>
        <v>5.5144390207277461</v>
      </c>
      <c r="CQ37" s="96">
        <f t="shared" si="50"/>
        <v>85.697232722978967</v>
      </c>
      <c r="CS37" s="10">
        <v>45050.864583333336</v>
      </c>
      <c r="CT37" s="110">
        <v>8.42019086997393E-2</v>
      </c>
      <c r="CU37" s="21">
        <v>114.1275401</v>
      </c>
      <c r="CV37" s="111">
        <v>4428</v>
      </c>
      <c r="CW37" s="21">
        <f t="shared" si="51"/>
        <v>73.8</v>
      </c>
      <c r="CX37" s="21">
        <f t="shared" si="52"/>
        <v>6.2141008620407598</v>
      </c>
      <c r="CY37" s="21">
        <f t="shared" si="53"/>
        <v>90.859626091240912</v>
      </c>
    </row>
    <row r="38" spans="1:103" x14ac:dyDescent="0.3">
      <c r="A38" s="10">
        <v>44776.365277777775</v>
      </c>
      <c r="B38" s="11">
        <v>1.5269880596736601E-3</v>
      </c>
      <c r="C38" s="12">
        <v>0.72191215399999997</v>
      </c>
      <c r="D38" s="9">
        <v>147</v>
      </c>
      <c r="E38" s="13">
        <f t="shared" si="14"/>
        <v>2.4500000000000002</v>
      </c>
      <c r="F38" s="12">
        <f t="shared" si="54"/>
        <v>3.7411207462004674E-3</v>
      </c>
      <c r="G38" s="13">
        <f t="shared" si="16"/>
        <v>2.4063153288996197</v>
      </c>
      <c r="H38" s="11">
        <f t="shared" si="17"/>
        <v>0</v>
      </c>
      <c r="I38" s="116">
        <f t="shared" si="18"/>
        <v>0</v>
      </c>
      <c r="J38" s="21">
        <f t="shared" si="55"/>
        <v>5.0190102506256486E-5</v>
      </c>
      <c r="K38" s="116">
        <f t="shared" si="19"/>
        <v>1.2077321301984821E-4</v>
      </c>
      <c r="M38" s="25">
        <v>44781.365277777775</v>
      </c>
      <c r="N38" s="26">
        <v>3.4616339816976299E-3</v>
      </c>
      <c r="O38" s="27">
        <v>1.2281127095</v>
      </c>
      <c r="P38" s="28">
        <v>778</v>
      </c>
      <c r="Q38" s="29">
        <f t="shared" si="20"/>
        <v>12.966666666666667</v>
      </c>
      <c r="R38" s="26">
        <f t="shared" si="56"/>
        <v>4.4885853962679266E-2</v>
      </c>
      <c r="S38" s="29">
        <f t="shared" si="21"/>
        <v>8.1244058647089226</v>
      </c>
      <c r="T38" s="29">
        <f t="shared" si="22"/>
        <v>0</v>
      </c>
      <c r="U38" s="117">
        <f t="shared" si="23"/>
        <v>0</v>
      </c>
      <c r="V38" s="118">
        <f t="shared" si="57"/>
        <v>0</v>
      </c>
      <c r="W38" s="117">
        <f t="shared" si="24"/>
        <v>0</v>
      </c>
      <c r="Y38" s="35">
        <v>45136.364583333336</v>
      </c>
      <c r="Z38" s="71">
        <v>8.4005436746933306E-3</v>
      </c>
      <c r="AA38" s="70">
        <v>1.145105356</v>
      </c>
      <c r="AB38" s="36">
        <v>4829</v>
      </c>
      <c r="AC38" s="37">
        <f t="shared" si="25"/>
        <v>80.483333333333334</v>
      </c>
      <c r="AD38" s="37">
        <f t="shared" si="58"/>
        <v>0.6761037567515682</v>
      </c>
      <c r="AE38" s="38">
        <f t="shared" si="26"/>
        <v>30.662751949554721</v>
      </c>
      <c r="AF38" s="38">
        <f t="shared" si="27"/>
        <v>9.0507621709788721E-3</v>
      </c>
      <c r="AG38" s="38">
        <f t="shared" si="28"/>
        <v>0.27752127540313853</v>
      </c>
      <c r="AH38" s="38">
        <f t="shared" si="4"/>
        <v>5.1565921249745052E-2</v>
      </c>
      <c r="AI38" s="38">
        <f t="shared" si="29"/>
        <v>1.5811530523312054</v>
      </c>
      <c r="AK38" s="45">
        <v>45151.364583333336</v>
      </c>
      <c r="AL38" s="4">
        <v>5.9093812827711702E-3</v>
      </c>
      <c r="AM38" s="3">
        <v>0.66168135500000003</v>
      </c>
      <c r="AN38" s="4">
        <v>1316</v>
      </c>
      <c r="AO38" s="46">
        <f t="shared" si="30"/>
        <v>21.933333333333334</v>
      </c>
      <c r="AP38" s="47">
        <f t="shared" si="59"/>
        <v>0.12961242946878099</v>
      </c>
      <c r="AQ38" s="50">
        <f t="shared" si="31"/>
        <v>13.655784598711882</v>
      </c>
      <c r="AR38" s="50">
        <f t="shared" si="32"/>
        <v>3.0740633965156895E-2</v>
      </c>
      <c r="AS38" s="50">
        <f t="shared" si="33"/>
        <v>0.41978747585602894</v>
      </c>
      <c r="AT38" s="50">
        <f t="shared" si="6"/>
        <v>7.007205420802437E-3</v>
      </c>
      <c r="AU38" s="50">
        <f t="shared" si="34"/>
        <v>9.5688887865404332E-2</v>
      </c>
      <c r="AW38" s="51">
        <v>45166.364583333336</v>
      </c>
      <c r="AX38" s="72">
        <v>9.8195732874963998E-3</v>
      </c>
      <c r="AY38" s="73">
        <v>0.377160934</v>
      </c>
      <c r="AZ38" s="52">
        <v>3651</v>
      </c>
      <c r="BA38" s="53">
        <f t="shared" si="35"/>
        <v>60.85</v>
      </c>
      <c r="BB38" s="72">
        <f t="shared" si="60"/>
        <v>0.59752103454415595</v>
      </c>
      <c r="BC38" s="54">
        <f t="shared" si="36"/>
        <v>28.862487240276568</v>
      </c>
      <c r="BD38" s="54">
        <f t="shared" si="37"/>
        <v>0</v>
      </c>
      <c r="BE38" s="54">
        <f t="shared" si="38"/>
        <v>0</v>
      </c>
      <c r="BF38" s="54">
        <f t="shared" si="8"/>
        <v>0</v>
      </c>
      <c r="BG38" s="54">
        <f t="shared" si="39"/>
        <v>0</v>
      </c>
      <c r="BI38" s="66">
        <v>45183.364583333336</v>
      </c>
      <c r="BJ38" s="67">
        <v>5.6987856325918899E-3</v>
      </c>
      <c r="BK38" s="68">
        <v>0.39953381599999999</v>
      </c>
      <c r="BL38" s="68">
        <v>1178</v>
      </c>
      <c r="BM38" s="68">
        <f t="shared" si="40"/>
        <v>19.633333333333333</v>
      </c>
      <c r="BN38" s="68">
        <f t="shared" si="61"/>
        <v>0.11188615791988743</v>
      </c>
      <c r="BO38" s="69">
        <f t="shared" si="41"/>
        <v>12.706893107070591</v>
      </c>
      <c r="BP38" s="69">
        <f t="shared" si="42"/>
        <v>0</v>
      </c>
      <c r="BQ38" s="69">
        <f t="shared" si="43"/>
        <v>0</v>
      </c>
      <c r="BR38" s="69">
        <f t="shared" si="10"/>
        <v>0</v>
      </c>
      <c r="BS38" s="69">
        <f t="shared" si="44"/>
        <v>0</v>
      </c>
      <c r="BU38" s="82">
        <v>45046.697916666664</v>
      </c>
      <c r="BV38" s="112">
        <v>4.2582948000000002E-2</v>
      </c>
      <c r="BW38" s="83">
        <v>82.276892649999994</v>
      </c>
      <c r="BX38" s="112">
        <v>7172</v>
      </c>
      <c r="BY38" s="83">
        <f t="shared" si="62"/>
        <v>119.53333333333333</v>
      </c>
      <c r="BZ38" s="84">
        <f t="shared" si="63"/>
        <v>5.0900817176000004</v>
      </c>
      <c r="CA38" s="83">
        <f t="shared" si="64"/>
        <v>82.401801223161442</v>
      </c>
      <c r="CC38" s="87">
        <v>45047.572916666664</v>
      </c>
      <c r="CD38" s="109">
        <v>3.32721910181362E-2</v>
      </c>
      <c r="CE38" s="88">
        <v>76.101800600000004</v>
      </c>
      <c r="CF38" s="89">
        <v>7950</v>
      </c>
      <c r="CG38" s="90">
        <f t="shared" si="45"/>
        <v>132.5</v>
      </c>
      <c r="CH38" s="91">
        <f t="shared" si="46"/>
        <v>4.4085653099030466</v>
      </c>
      <c r="CI38" s="91">
        <f t="shared" si="47"/>
        <v>76.800840016251428</v>
      </c>
      <c r="CK38" s="93">
        <v>45049.614583333336</v>
      </c>
      <c r="CL38">
        <v>3.6505486270541697E-2</v>
      </c>
      <c r="CM38" s="95">
        <v>99.714355679999997</v>
      </c>
      <c r="CN38" s="4">
        <v>9179</v>
      </c>
      <c r="CO38" s="95">
        <f t="shared" si="48"/>
        <v>152.98333333333332</v>
      </c>
      <c r="CP38" s="94">
        <f t="shared" si="49"/>
        <v>5.5847309746217038</v>
      </c>
      <c r="CQ38" s="96">
        <f t="shared" si="50"/>
        <v>86.230439195638269</v>
      </c>
      <c r="CS38" s="10">
        <v>45050.875</v>
      </c>
      <c r="CT38" s="110">
        <v>8.0155052990088502E-2</v>
      </c>
      <c r="CU38" s="21">
        <v>120.2525852</v>
      </c>
      <c r="CV38" s="111">
        <v>4351</v>
      </c>
      <c r="CW38" s="21">
        <f t="shared" si="51"/>
        <v>72.516666666666666</v>
      </c>
      <c r="CX38" s="21">
        <f t="shared" si="52"/>
        <v>5.8125772593312508</v>
      </c>
      <c r="CY38" s="21">
        <f t="shared" si="53"/>
        <v>87.935647120621866</v>
      </c>
    </row>
    <row r="39" spans="1:103" x14ac:dyDescent="0.3">
      <c r="A39" s="10">
        <v>44776.375694444447</v>
      </c>
      <c r="B39" s="11">
        <v>1.6185400832467E-3</v>
      </c>
      <c r="C39" s="12">
        <v>0.77710206100000001</v>
      </c>
      <c r="D39" s="9">
        <v>150</v>
      </c>
      <c r="E39" s="13">
        <f t="shared" si="14"/>
        <v>2.5</v>
      </c>
      <c r="F39" s="12">
        <f t="shared" si="54"/>
        <v>4.0463502081167502E-3</v>
      </c>
      <c r="G39" s="13">
        <f t="shared" si="16"/>
        <v>2.5005328993596638</v>
      </c>
      <c r="H39" s="11">
        <f t="shared" si="17"/>
        <v>4.4131581693181363E-3</v>
      </c>
      <c r="I39" s="116">
        <f t="shared" si="18"/>
        <v>1.1035247192457865E-2</v>
      </c>
      <c r="J39" s="21">
        <f t="shared" si="55"/>
        <v>1.1349242690606165E-4</v>
      </c>
      <c r="K39" s="116">
        <f t="shared" si="19"/>
        <v>2.8379154730677909E-4</v>
      </c>
      <c r="M39" s="25">
        <v>44781.375694444447</v>
      </c>
      <c r="N39" s="26">
        <v>3.4131643147401001E-3</v>
      </c>
      <c r="O39" s="27">
        <v>1.1599344165000001</v>
      </c>
      <c r="P39" s="28">
        <v>810</v>
      </c>
      <c r="Q39" s="29">
        <f t="shared" si="20"/>
        <v>13.5</v>
      </c>
      <c r="R39" s="26">
        <f t="shared" si="56"/>
        <v>4.6077718248991352E-2</v>
      </c>
      <c r="S39" s="29">
        <f t="shared" si="21"/>
        <v>8.2293421289185194</v>
      </c>
      <c r="T39" s="29">
        <f t="shared" si="22"/>
        <v>0</v>
      </c>
      <c r="U39" s="117">
        <f t="shared" si="23"/>
        <v>0</v>
      </c>
      <c r="V39" s="118">
        <f t="shared" si="57"/>
        <v>1.2088769322458133E-4</v>
      </c>
      <c r="W39" s="117">
        <f t="shared" si="24"/>
        <v>9.9482618672082509E-4</v>
      </c>
      <c r="Y39" s="35">
        <v>45136.375</v>
      </c>
      <c r="Z39" s="71">
        <v>7.0970964554372797E-3</v>
      </c>
      <c r="AA39" s="70">
        <v>0.99150227300000005</v>
      </c>
      <c r="AB39" s="36">
        <v>4215</v>
      </c>
      <c r="AC39" s="37">
        <f t="shared" si="25"/>
        <v>70.25</v>
      </c>
      <c r="AD39" s="37">
        <f t="shared" si="58"/>
        <v>0.4985710259944689</v>
      </c>
      <c r="AE39" s="38">
        <f t="shared" si="26"/>
        <v>26.413777935966973</v>
      </c>
      <c r="AF39" s="38">
        <f t="shared" si="27"/>
        <v>1.0338347750657806E-3</v>
      </c>
      <c r="AG39" s="38">
        <f t="shared" si="28"/>
        <v>2.7307482171067893E-2</v>
      </c>
      <c r="AH39" s="38">
        <f t="shared" si="4"/>
        <v>4.4949190425565746E-3</v>
      </c>
      <c r="AI39" s="38">
        <f t="shared" si="29"/>
        <v>0.11872779343023863</v>
      </c>
      <c r="AK39" s="45">
        <v>45151.375</v>
      </c>
      <c r="AL39" s="4">
        <v>5.9834434241630499E-3</v>
      </c>
      <c r="AM39" s="3">
        <v>0.81307424100000003</v>
      </c>
      <c r="AN39" s="4">
        <v>1925</v>
      </c>
      <c r="AO39" s="46">
        <f t="shared" si="30"/>
        <v>32.083333333333336</v>
      </c>
      <c r="AP39" s="47">
        <f t="shared" si="59"/>
        <v>0.19196880985856454</v>
      </c>
      <c r="AQ39" s="50">
        <f t="shared" si="31"/>
        <v>16.552044794136915</v>
      </c>
      <c r="AR39" s="50">
        <f t="shared" si="32"/>
        <v>0.11309178921156748</v>
      </c>
      <c r="AS39" s="50">
        <f t="shared" si="33"/>
        <v>1.8719003608789548</v>
      </c>
      <c r="AT39" s="50">
        <f t="shared" si="6"/>
        <v>5.6390993541887875E-2</v>
      </c>
      <c r="AU39" s="50">
        <f t="shared" si="34"/>
        <v>0.93338625109121354</v>
      </c>
      <c r="AW39" s="51">
        <v>45166.375</v>
      </c>
      <c r="AX39" s="72">
        <v>7.33101660789795E-3</v>
      </c>
      <c r="AY39" s="73">
        <v>0.33439968599999997</v>
      </c>
      <c r="AZ39" s="52">
        <v>2663</v>
      </c>
      <c r="BA39" s="53">
        <f t="shared" si="35"/>
        <v>44.383333333333333</v>
      </c>
      <c r="BB39" s="72">
        <f t="shared" si="60"/>
        <v>0.32537495378053732</v>
      </c>
      <c r="BC39" s="54">
        <f t="shared" si="36"/>
        <v>21.432266257899443</v>
      </c>
      <c r="BD39" s="54">
        <f t="shared" si="37"/>
        <v>0</v>
      </c>
      <c r="BE39" s="54">
        <f t="shared" si="38"/>
        <v>0</v>
      </c>
      <c r="BF39" s="54">
        <f t="shared" si="8"/>
        <v>0</v>
      </c>
      <c r="BG39" s="54">
        <f t="shared" si="39"/>
        <v>0</v>
      </c>
      <c r="BI39" s="66">
        <v>45183.375</v>
      </c>
      <c r="BJ39" s="67">
        <v>4.0251710180752897E-3</v>
      </c>
      <c r="BK39" s="68">
        <v>0.39953381599999999</v>
      </c>
      <c r="BL39" s="68">
        <v>1135</v>
      </c>
      <c r="BM39" s="68">
        <f t="shared" si="40"/>
        <v>18.916666666666668</v>
      </c>
      <c r="BN39" s="68">
        <f t="shared" si="61"/>
        <v>7.6142818425257566E-2</v>
      </c>
      <c r="BO39" s="69">
        <f t="shared" si="41"/>
        <v>10.524156280775468</v>
      </c>
      <c r="BP39" s="69">
        <f t="shared" si="42"/>
        <v>0</v>
      </c>
      <c r="BQ39" s="69">
        <f t="shared" si="43"/>
        <v>0</v>
      </c>
      <c r="BR39" s="69">
        <f t="shared" si="10"/>
        <v>0</v>
      </c>
      <c r="BS39" s="69">
        <f t="shared" si="44"/>
        <v>0</v>
      </c>
      <c r="BU39" s="82">
        <v>45046.708333333336</v>
      </c>
      <c r="BV39" s="112">
        <v>4.1026825000000003E-2</v>
      </c>
      <c r="BW39" s="83">
        <v>82.276892649999994</v>
      </c>
      <c r="BX39" s="112">
        <v>7408</v>
      </c>
      <c r="BY39" s="83">
        <f t="shared" si="62"/>
        <v>123.46666666666667</v>
      </c>
      <c r="BZ39" s="84">
        <f t="shared" si="63"/>
        <v>5.0654453266666675</v>
      </c>
      <c r="CA39" s="83">
        <f t="shared" si="64"/>
        <v>82.206251840258588</v>
      </c>
      <c r="CC39" s="87">
        <v>45047.583333333336</v>
      </c>
      <c r="CD39" s="109">
        <v>3.49042020366623E-2</v>
      </c>
      <c r="CE39" s="88">
        <v>79.202259850000004</v>
      </c>
      <c r="CF39" s="89">
        <v>7478</v>
      </c>
      <c r="CG39" s="90">
        <f t="shared" si="45"/>
        <v>124.63333333333334</v>
      </c>
      <c r="CH39" s="91">
        <f t="shared" si="46"/>
        <v>4.3502270471693452</v>
      </c>
      <c r="CI39" s="91">
        <f t="shared" si="47"/>
        <v>76.301465955937488</v>
      </c>
      <c r="CK39" s="93">
        <v>45049.625</v>
      </c>
      <c r="CL39">
        <v>3.6451717327375503E-2</v>
      </c>
      <c r="CM39" s="95">
        <v>103.8090014</v>
      </c>
      <c r="CN39" s="4">
        <v>8880</v>
      </c>
      <c r="CO39" s="95">
        <f t="shared" si="48"/>
        <v>148</v>
      </c>
      <c r="CP39" s="94">
        <f t="shared" si="49"/>
        <v>5.3948541644515746</v>
      </c>
      <c r="CQ39" s="96">
        <f t="shared" si="50"/>
        <v>84.782077882760689</v>
      </c>
      <c r="CS39" s="10">
        <v>45050.885416666664</v>
      </c>
      <c r="CT39" s="110">
        <v>8.2299462501231602E-2</v>
      </c>
      <c r="CU39" s="21">
        <v>114.8986831</v>
      </c>
      <c r="CV39" s="111">
        <v>4474</v>
      </c>
      <c r="CW39" s="21">
        <f t="shared" si="51"/>
        <v>74.566666666666663</v>
      </c>
      <c r="CX39" s="21">
        <f t="shared" si="52"/>
        <v>6.1367965871751693</v>
      </c>
      <c r="CY39" s="21">
        <f t="shared" si="53"/>
        <v>90.304347094054023</v>
      </c>
    </row>
    <row r="40" spans="1:103" x14ac:dyDescent="0.3">
      <c r="A40" s="10">
        <v>44776.386111111111</v>
      </c>
      <c r="B40" s="11">
        <v>1.9699526705927099E-3</v>
      </c>
      <c r="C40" s="12">
        <v>0.73831050949999999</v>
      </c>
      <c r="D40" s="9">
        <v>154</v>
      </c>
      <c r="E40" s="13">
        <f t="shared" si="14"/>
        <v>2.5666666666666669</v>
      </c>
      <c r="F40" s="12">
        <f t="shared" si="54"/>
        <v>5.0562118545212894E-3</v>
      </c>
      <c r="G40" s="13">
        <f t="shared" si="16"/>
        <v>2.7887964937903398</v>
      </c>
      <c r="H40" s="11">
        <f t="shared" si="17"/>
        <v>1.168247246671537E-3</v>
      </c>
      <c r="I40" s="116">
        <f t="shared" si="18"/>
        <v>3.2580038253978007E-3</v>
      </c>
      <c r="J40" s="21">
        <f t="shared" si="55"/>
        <v>3.2293023522993517E-4</v>
      </c>
      <c r="K40" s="116">
        <f t="shared" si="19"/>
        <v>9.0058670774813287E-4</v>
      </c>
      <c r="M40" s="25">
        <v>44781.386111111111</v>
      </c>
      <c r="N40" s="26">
        <v>3.8335622992210099E-3</v>
      </c>
      <c r="O40" s="27">
        <v>1.1715929684999999</v>
      </c>
      <c r="P40" s="28">
        <v>843</v>
      </c>
      <c r="Q40" s="29">
        <f t="shared" si="20"/>
        <v>14.05</v>
      </c>
      <c r="R40" s="26">
        <f t="shared" si="56"/>
        <v>5.3861550304055192E-2</v>
      </c>
      <c r="S40" s="29">
        <f t="shared" si="21"/>
        <v>8.8830242017558998</v>
      </c>
      <c r="T40" s="29">
        <f t="shared" si="22"/>
        <v>0</v>
      </c>
      <c r="U40" s="117">
        <f t="shared" si="23"/>
        <v>0</v>
      </c>
      <c r="V40" s="118">
        <f t="shared" si="57"/>
        <v>4.0665374497600238E-3</v>
      </c>
      <c r="W40" s="117">
        <f t="shared" si="24"/>
        <v>3.6123150583565009E-2</v>
      </c>
      <c r="Y40" s="35">
        <v>45136.385416666664</v>
      </c>
      <c r="Z40" s="71">
        <v>9.7070100761388108E-3</v>
      </c>
      <c r="AA40" s="70">
        <v>0.99150227300000005</v>
      </c>
      <c r="AB40" s="36">
        <v>4458</v>
      </c>
      <c r="AC40" s="37">
        <f t="shared" si="25"/>
        <v>74.3</v>
      </c>
      <c r="AD40" s="37">
        <f t="shared" si="58"/>
        <v>0.72123084865711362</v>
      </c>
      <c r="AE40" s="38">
        <f t="shared" si="26"/>
        <v>31.648459436364803</v>
      </c>
      <c r="AF40" s="38">
        <f t="shared" si="27"/>
        <v>1.0338347750657806E-3</v>
      </c>
      <c r="AG40" s="38">
        <f t="shared" si="28"/>
        <v>3.2719277942572692E-2</v>
      </c>
      <c r="AH40" s="38">
        <f t="shared" si="4"/>
        <v>6.3530911782089375E-2</v>
      </c>
      <c r="AI40" s="38">
        <f t="shared" si="29"/>
        <v>2.0106554844907265</v>
      </c>
      <c r="AK40" s="45">
        <v>45151.385416666664</v>
      </c>
      <c r="AL40" s="4">
        <v>5.0464275926609698E-3</v>
      </c>
      <c r="AM40" s="3">
        <v>0.50323377899999999</v>
      </c>
      <c r="AN40" s="4">
        <v>999</v>
      </c>
      <c r="AO40" s="46">
        <f t="shared" si="30"/>
        <v>16.649999999999999</v>
      </c>
      <c r="AP40" s="47">
        <f t="shared" si="59"/>
        <v>8.4023019417805142E-2</v>
      </c>
      <c r="AQ40" s="50">
        <f t="shared" si="31"/>
        <v>11.044128025648384</v>
      </c>
      <c r="AR40" s="50">
        <f t="shared" si="32"/>
        <v>0</v>
      </c>
      <c r="AS40" s="50">
        <f t="shared" si="33"/>
        <v>0</v>
      </c>
      <c r="AT40" s="50">
        <f t="shared" si="6"/>
        <v>0</v>
      </c>
      <c r="AU40" s="50">
        <f t="shared" si="34"/>
        <v>0</v>
      </c>
      <c r="AW40" s="51">
        <v>45166.385416666664</v>
      </c>
      <c r="AX40" s="72">
        <v>1.19769987878003E-2</v>
      </c>
      <c r="AY40" s="73">
        <v>0.44939223900000003</v>
      </c>
      <c r="AZ40" s="52">
        <v>4679</v>
      </c>
      <c r="BA40" s="53">
        <f t="shared" si="35"/>
        <v>77.983333333333334</v>
      </c>
      <c r="BB40" s="72">
        <f t="shared" si="60"/>
        <v>0.93400628880196002</v>
      </c>
      <c r="BC40" s="54">
        <f t="shared" si="36"/>
        <v>35.919798352605596</v>
      </c>
      <c r="BD40" s="54">
        <f t="shared" si="37"/>
        <v>3.7618062491693006E-2</v>
      </c>
      <c r="BE40" s="54">
        <f t="shared" si="38"/>
        <v>1.3512332191173289</v>
      </c>
      <c r="BF40" s="54">
        <f t="shared" si="8"/>
        <v>4.584418639211929E-2</v>
      </c>
      <c r="BG40" s="54">
        <f t="shared" si="39"/>
        <v>1.6467139308441905</v>
      </c>
      <c r="BI40" s="66">
        <v>45183.385416666664</v>
      </c>
      <c r="BJ40" s="67">
        <v>5.6592452129397199E-3</v>
      </c>
      <c r="BK40" s="68">
        <v>0.44894941300000002</v>
      </c>
      <c r="BL40" s="68">
        <v>1330</v>
      </c>
      <c r="BM40" s="68">
        <f t="shared" si="40"/>
        <v>22.166666666666668</v>
      </c>
      <c r="BN40" s="68">
        <f t="shared" si="61"/>
        <v>0.12544660222016379</v>
      </c>
      <c r="BO40" s="69">
        <f t="shared" si="41"/>
        <v>13.439060757187775</v>
      </c>
      <c r="BP40" s="69">
        <f t="shared" si="42"/>
        <v>0</v>
      </c>
      <c r="BQ40" s="69">
        <f t="shared" si="43"/>
        <v>0</v>
      </c>
      <c r="BR40" s="69">
        <f t="shared" si="10"/>
        <v>0</v>
      </c>
      <c r="BS40" s="69">
        <f t="shared" si="44"/>
        <v>0</v>
      </c>
      <c r="BU40" s="82">
        <v>45046.71875</v>
      </c>
      <c r="BV40" s="112">
        <v>3.9209519999999998E-2</v>
      </c>
      <c r="BW40" s="83">
        <v>79.202259850000004</v>
      </c>
      <c r="BX40" s="112">
        <v>7428</v>
      </c>
      <c r="BY40" s="83">
        <f t="shared" si="62"/>
        <v>123.8</v>
      </c>
      <c r="BZ40" s="84">
        <f t="shared" si="63"/>
        <v>4.8541385759999995</v>
      </c>
      <c r="CA40" s="83">
        <f t="shared" si="64"/>
        <v>80.508683044747798</v>
      </c>
      <c r="CC40" s="87">
        <v>45047.59375</v>
      </c>
      <c r="CD40" s="109">
        <v>3.6533401601040898E-2</v>
      </c>
      <c r="CE40" s="88">
        <v>80.523852189999999</v>
      </c>
      <c r="CF40" s="89">
        <v>7517</v>
      </c>
      <c r="CG40" s="90">
        <f t="shared" si="45"/>
        <v>125.28333333333333</v>
      </c>
      <c r="CH40" s="91">
        <f t="shared" si="46"/>
        <v>4.57702633058374</v>
      </c>
      <c r="CI40" s="91">
        <f t="shared" si="47"/>
        <v>78.224228579029855</v>
      </c>
      <c r="CK40" s="93">
        <v>45049.635416666664</v>
      </c>
      <c r="CL40">
        <v>3.5982636997220797E-2</v>
      </c>
      <c r="CM40" s="95">
        <v>103.8090014</v>
      </c>
      <c r="CN40" s="4">
        <v>8922</v>
      </c>
      <c r="CO40" s="95">
        <f t="shared" si="48"/>
        <v>148.69999999999999</v>
      </c>
      <c r="CP40" s="94">
        <f t="shared" si="49"/>
        <v>5.3506181214867325</v>
      </c>
      <c r="CQ40" s="96">
        <f t="shared" si="50"/>
        <v>84.440930421910934</v>
      </c>
      <c r="CS40" s="10">
        <v>45050.895833333336</v>
      </c>
      <c r="CT40" s="110">
        <v>8.5582657254601596E-2</v>
      </c>
      <c r="CU40" s="21">
        <v>114.1275401</v>
      </c>
      <c r="CV40" s="111">
        <v>4573</v>
      </c>
      <c r="CW40" s="21">
        <f t="shared" si="51"/>
        <v>76.216666666666669</v>
      </c>
      <c r="CX40" s="21">
        <f t="shared" si="52"/>
        <v>6.5228248604215517</v>
      </c>
      <c r="CY40" s="21">
        <f t="shared" si="53"/>
        <v>93.042798337528467</v>
      </c>
    </row>
    <row r="41" spans="1:103" x14ac:dyDescent="0.3">
      <c r="A41" s="10">
        <v>44776.396527777775</v>
      </c>
      <c r="B41" s="11">
        <v>1.67916379384027E-3</v>
      </c>
      <c r="C41" s="12">
        <v>0.65388842250000001</v>
      </c>
      <c r="D41" s="9">
        <v>115</v>
      </c>
      <c r="E41" s="13">
        <f t="shared" si="14"/>
        <v>1.9166666666666667</v>
      </c>
      <c r="F41" s="12">
        <f t="shared" si="54"/>
        <v>3.2183972715271844E-3</v>
      </c>
      <c r="G41" s="13">
        <f t="shared" si="16"/>
        <v>2.2353458694972441</v>
      </c>
      <c r="H41" s="11">
        <f t="shared" si="17"/>
        <v>0</v>
      </c>
      <c r="I41" s="116">
        <f t="shared" si="18"/>
        <v>0</v>
      </c>
      <c r="J41" s="21">
        <f t="shared" si="55"/>
        <v>0</v>
      </c>
      <c r="K41" s="116">
        <f t="shared" si="19"/>
        <v>0</v>
      </c>
      <c r="M41" s="25">
        <v>44781.396527777775</v>
      </c>
      <c r="N41" s="26">
        <v>3.15750563489481E-3</v>
      </c>
      <c r="O41" s="27">
        <v>1.142992303</v>
      </c>
      <c r="P41" s="28">
        <v>722</v>
      </c>
      <c r="Q41" s="29">
        <f t="shared" si="20"/>
        <v>12.033333333333333</v>
      </c>
      <c r="R41" s="26">
        <f t="shared" si="56"/>
        <v>3.799531780656755E-2</v>
      </c>
      <c r="S41" s="29">
        <f t="shared" si="21"/>
        <v>7.4876823764861795</v>
      </c>
      <c r="T41" s="29">
        <f t="shared" si="22"/>
        <v>0</v>
      </c>
      <c r="U41" s="117">
        <f t="shared" si="23"/>
        <v>0</v>
      </c>
      <c r="V41" s="118">
        <f t="shared" si="57"/>
        <v>0</v>
      </c>
      <c r="W41" s="117">
        <f t="shared" si="24"/>
        <v>0</v>
      </c>
      <c r="Y41" s="35">
        <v>45136.395833333336</v>
      </c>
      <c r="Z41" s="71">
        <v>7.4884125662997396E-3</v>
      </c>
      <c r="AA41" s="70">
        <v>0.99150227300000005</v>
      </c>
      <c r="AB41" s="36">
        <v>4292</v>
      </c>
      <c r="AC41" s="37">
        <f t="shared" si="25"/>
        <v>71.533333333333331</v>
      </c>
      <c r="AD41" s="37">
        <f t="shared" si="58"/>
        <v>0.53567111224264141</v>
      </c>
      <c r="AE41" s="38">
        <f t="shared" si="26"/>
        <v>27.358674605746323</v>
      </c>
      <c r="AF41" s="38">
        <f t="shared" si="27"/>
        <v>1.0338347750657806E-3</v>
      </c>
      <c r="AG41" s="38">
        <f t="shared" si="28"/>
        <v>2.8284349207129633E-2</v>
      </c>
      <c r="AH41" s="38">
        <f t="shared" si="4"/>
        <v>1.4331630471639224E-2</v>
      </c>
      <c r="AI41" s="38">
        <f t="shared" si="29"/>
        <v>0.39209441464337624</v>
      </c>
      <c r="AK41" s="45">
        <v>45151.395833333336</v>
      </c>
      <c r="AL41" s="4">
        <v>4.7078887460927097E-3</v>
      </c>
      <c r="AM41" s="3">
        <v>0.59425534599999996</v>
      </c>
      <c r="AN41" s="4">
        <v>1204</v>
      </c>
      <c r="AO41" s="46">
        <f t="shared" si="30"/>
        <v>20.066666666666666</v>
      </c>
      <c r="AP41" s="47">
        <f t="shared" si="59"/>
        <v>9.447163417159371E-2</v>
      </c>
      <c r="AQ41" s="50">
        <f t="shared" si="31"/>
        <v>11.696574784232283</v>
      </c>
      <c r="AR41" s="50">
        <f t="shared" si="32"/>
        <v>0</v>
      </c>
      <c r="AS41" s="50">
        <f t="shared" si="33"/>
        <v>0</v>
      </c>
      <c r="AT41" s="50">
        <f t="shared" si="6"/>
        <v>0</v>
      </c>
      <c r="AU41" s="50">
        <f t="shared" si="34"/>
        <v>0</v>
      </c>
      <c r="AW41" s="51">
        <v>45166.395833333336</v>
      </c>
      <c r="AX41" s="72">
        <v>1.0630397236378699E-2</v>
      </c>
      <c r="AY41" s="73">
        <v>0.377160934</v>
      </c>
      <c r="AZ41" s="52">
        <v>3588</v>
      </c>
      <c r="BA41" s="53">
        <f t="shared" si="35"/>
        <v>59.8</v>
      </c>
      <c r="BB41" s="72">
        <f t="shared" si="60"/>
        <v>0.63569775473544621</v>
      </c>
      <c r="BC41" s="54">
        <f t="shared" si="36"/>
        <v>29.751265901467569</v>
      </c>
      <c r="BD41" s="54">
        <f t="shared" si="37"/>
        <v>0</v>
      </c>
      <c r="BE41" s="54">
        <f t="shared" si="38"/>
        <v>0</v>
      </c>
      <c r="BF41" s="54">
        <f t="shared" si="8"/>
        <v>0</v>
      </c>
      <c r="BG41" s="54">
        <f t="shared" si="39"/>
        <v>0</v>
      </c>
      <c r="BI41" s="66">
        <v>45183.395833333336</v>
      </c>
      <c r="BJ41" s="67">
        <v>2.7543519901081499E-3</v>
      </c>
      <c r="BK41" s="68">
        <v>0.29572637699999998</v>
      </c>
      <c r="BL41" s="68">
        <v>284</v>
      </c>
      <c r="BM41" s="68">
        <f t="shared" si="40"/>
        <v>4.7333333333333334</v>
      </c>
      <c r="BN41" s="68">
        <f t="shared" si="61"/>
        <v>1.3037266086511909E-2</v>
      </c>
      <c r="BO41" s="69">
        <f t="shared" si="41"/>
        <v>4.4346610980965808</v>
      </c>
      <c r="BP41" s="69">
        <f t="shared" si="42"/>
        <v>0</v>
      </c>
      <c r="BQ41" s="69">
        <f t="shared" si="43"/>
        <v>0</v>
      </c>
      <c r="BR41" s="69">
        <f t="shared" si="10"/>
        <v>0</v>
      </c>
      <c r="BS41" s="69">
        <f t="shared" si="44"/>
        <v>0</v>
      </c>
      <c r="BU41" s="82">
        <v>45046.729166666664</v>
      </c>
      <c r="BV41" s="112">
        <v>3.7530854000000002E-2</v>
      </c>
      <c r="BW41" s="83">
        <v>80.523852189999999</v>
      </c>
      <c r="BX41" s="112">
        <v>7748</v>
      </c>
      <c r="BY41" s="83">
        <f t="shared" si="62"/>
        <v>129.13333333333333</v>
      </c>
      <c r="BZ41" s="84">
        <f t="shared" si="63"/>
        <v>4.846484279866667</v>
      </c>
      <c r="CA41" s="83">
        <f t="shared" si="64"/>
        <v>80.446490152713736</v>
      </c>
      <c r="CC41" s="87">
        <v>45047.604166666664</v>
      </c>
      <c r="CD41" s="109">
        <v>3.5234572837790398E-2</v>
      </c>
      <c r="CE41" s="88">
        <v>80.523852189999999</v>
      </c>
      <c r="CF41" s="89">
        <v>7270</v>
      </c>
      <c r="CG41" s="90">
        <f t="shared" si="45"/>
        <v>121.16666666666667</v>
      </c>
      <c r="CH41" s="91">
        <f t="shared" si="46"/>
        <v>4.2692557421789363</v>
      </c>
      <c r="CI41" s="91">
        <f t="shared" si="47"/>
        <v>75.602655643266957</v>
      </c>
      <c r="CK41" s="93">
        <v>45049.645833333336</v>
      </c>
      <c r="CL41">
        <v>3.9406552442094199E-2</v>
      </c>
      <c r="CM41" s="95">
        <v>103.80204430000001</v>
      </c>
      <c r="CN41" s="4">
        <v>8863</v>
      </c>
      <c r="CO41" s="95">
        <f t="shared" si="48"/>
        <v>147.71666666666667</v>
      </c>
      <c r="CP41" s="94">
        <f t="shared" si="49"/>
        <v>5.8210045715713479</v>
      </c>
      <c r="CQ41" s="96">
        <f t="shared" si="50"/>
        <v>87.998057215811713</v>
      </c>
      <c r="CS41" s="10">
        <v>45050.90625</v>
      </c>
      <c r="CT41" s="110">
        <v>8.7378313416970804E-2</v>
      </c>
      <c r="CU41" s="21">
        <v>112.9598134</v>
      </c>
      <c r="CV41" s="111">
        <v>4425</v>
      </c>
      <c r="CW41" s="21">
        <f t="shared" si="51"/>
        <v>73.75</v>
      </c>
      <c r="CX41" s="21">
        <f t="shared" si="52"/>
        <v>6.4441506145015968</v>
      </c>
      <c r="CY41" s="21">
        <f t="shared" si="53"/>
        <v>92.491543564485895</v>
      </c>
    </row>
    <row r="42" spans="1:103" x14ac:dyDescent="0.3">
      <c r="A42" s="10">
        <v>44776.406944444447</v>
      </c>
      <c r="B42" s="11">
        <v>1.52336149363826E-3</v>
      </c>
      <c r="C42" s="12">
        <v>0.66321230600000003</v>
      </c>
      <c r="D42" s="9">
        <v>116</v>
      </c>
      <c r="E42" s="13">
        <f t="shared" si="14"/>
        <v>1.9333333333333333</v>
      </c>
      <c r="F42" s="12">
        <f t="shared" si="54"/>
        <v>2.945165554367303E-3</v>
      </c>
      <c r="G42" s="13">
        <f t="shared" si="16"/>
        <v>2.1403096958246715</v>
      </c>
      <c r="H42" s="11">
        <f t="shared" si="17"/>
        <v>0</v>
      </c>
      <c r="I42" s="116">
        <f t="shared" si="18"/>
        <v>0</v>
      </c>
      <c r="J42" s="21">
        <f t="shared" si="55"/>
        <v>0</v>
      </c>
      <c r="K42" s="116">
        <f t="shared" si="19"/>
        <v>0</v>
      </c>
      <c r="M42" s="25">
        <v>44781.406944444447</v>
      </c>
      <c r="N42" s="26">
        <v>3.40619910451701E-3</v>
      </c>
      <c r="O42" s="27">
        <v>1.1391712730000001</v>
      </c>
      <c r="P42" s="28">
        <v>690</v>
      </c>
      <c r="Q42" s="29">
        <f t="shared" si="20"/>
        <v>11.5</v>
      </c>
      <c r="R42" s="26">
        <f t="shared" si="56"/>
        <v>3.9171289701945618E-2</v>
      </c>
      <c r="S42" s="29">
        <f t="shared" si="21"/>
        <v>7.6002864174498352</v>
      </c>
      <c r="T42" s="29">
        <f t="shared" si="22"/>
        <v>0</v>
      </c>
      <c r="U42" s="117">
        <f t="shared" si="23"/>
        <v>0</v>
      </c>
      <c r="V42" s="118">
        <f t="shared" si="57"/>
        <v>0</v>
      </c>
      <c r="W42" s="117">
        <f t="shared" si="24"/>
        <v>0</v>
      </c>
      <c r="Y42" s="35">
        <v>45136.40625</v>
      </c>
      <c r="Z42" s="71">
        <v>7.8988869008013302E-3</v>
      </c>
      <c r="AA42" s="70">
        <v>1.145105356</v>
      </c>
      <c r="AB42" s="36">
        <v>5177</v>
      </c>
      <c r="AC42" s="37">
        <f t="shared" si="25"/>
        <v>86.283333333333331</v>
      </c>
      <c r="AD42" s="37">
        <f t="shared" si="58"/>
        <v>0.68154229142414147</v>
      </c>
      <c r="AE42" s="38">
        <f t="shared" si="26"/>
        <v>30.783289155104974</v>
      </c>
      <c r="AF42" s="38">
        <f t="shared" si="27"/>
        <v>9.0507621709788721E-3</v>
      </c>
      <c r="AG42" s="38">
        <f t="shared" si="28"/>
        <v>0.27861222898332827</v>
      </c>
      <c r="AH42" s="38">
        <f t="shared" si="4"/>
        <v>5.3007893535558778E-2</v>
      </c>
      <c r="AI42" s="38">
        <f t="shared" si="29"/>
        <v>1.6317573142081256</v>
      </c>
      <c r="AK42" s="45">
        <v>45151.40625</v>
      </c>
      <c r="AL42" s="4">
        <v>5.3876873761773397E-3</v>
      </c>
      <c r="AM42" s="3">
        <v>0.59425534599999996</v>
      </c>
      <c r="AN42" s="4">
        <v>1203</v>
      </c>
      <c r="AO42" s="46">
        <f t="shared" si="30"/>
        <v>20.05</v>
      </c>
      <c r="AP42" s="47">
        <f t="shared" si="59"/>
        <v>0.10802313189235567</v>
      </c>
      <c r="AQ42" s="50">
        <f t="shared" si="31"/>
        <v>12.490124065586047</v>
      </c>
      <c r="AR42" s="50">
        <f t="shared" si="32"/>
        <v>0</v>
      </c>
      <c r="AS42" s="50">
        <f t="shared" si="33"/>
        <v>0</v>
      </c>
      <c r="AT42" s="50">
        <f t="shared" si="6"/>
        <v>0</v>
      </c>
      <c r="AU42" s="50">
        <f t="shared" si="34"/>
        <v>0</v>
      </c>
      <c r="AW42" s="51">
        <v>45166.40625</v>
      </c>
      <c r="AX42" s="72">
        <v>5.9073109628511996E-3</v>
      </c>
      <c r="AY42" s="73">
        <v>0.314737561</v>
      </c>
      <c r="AZ42" s="52">
        <v>2163</v>
      </c>
      <c r="BA42" s="53">
        <f t="shared" si="35"/>
        <v>36.049999999999997</v>
      </c>
      <c r="BB42" s="72">
        <f t="shared" si="60"/>
        <v>0.21295856021078574</v>
      </c>
      <c r="BC42" s="54">
        <f t="shared" si="36"/>
        <v>17.414848637296785</v>
      </c>
      <c r="BD42" s="54">
        <f t="shared" si="37"/>
        <v>0</v>
      </c>
      <c r="BE42" s="54">
        <f t="shared" si="38"/>
        <v>0</v>
      </c>
      <c r="BF42" s="54">
        <f t="shared" si="8"/>
        <v>0</v>
      </c>
      <c r="BG42" s="54">
        <f t="shared" si="39"/>
        <v>0</v>
      </c>
      <c r="BI42" s="66">
        <v>45183.40625</v>
      </c>
      <c r="BJ42" s="67">
        <v>5.2471403429525101E-3</v>
      </c>
      <c r="BK42" s="68">
        <v>0.376777213</v>
      </c>
      <c r="BL42" s="68">
        <v>844</v>
      </c>
      <c r="BM42" s="68">
        <f t="shared" si="40"/>
        <v>14.066666666666666</v>
      </c>
      <c r="BN42" s="68">
        <f t="shared" si="61"/>
        <v>7.3809774157531968E-2</v>
      </c>
      <c r="BO42" s="69">
        <f t="shared" si="41"/>
        <v>10.364991684305219</v>
      </c>
      <c r="BP42" s="69">
        <f t="shared" si="42"/>
        <v>0</v>
      </c>
      <c r="BQ42" s="69">
        <f t="shared" si="43"/>
        <v>0</v>
      </c>
      <c r="BR42" s="69">
        <f t="shared" si="10"/>
        <v>0</v>
      </c>
      <c r="BS42" s="69">
        <f t="shared" si="44"/>
        <v>0</v>
      </c>
      <c r="BU42" s="82">
        <v>45046.739583333336</v>
      </c>
      <c r="BV42" s="112">
        <v>3.6854618999999998E-2</v>
      </c>
      <c r="BW42" s="83">
        <v>80.523852189999999</v>
      </c>
      <c r="BX42" s="112">
        <v>7972</v>
      </c>
      <c r="BY42" s="83">
        <f t="shared" si="62"/>
        <v>132.86666666666667</v>
      </c>
      <c r="BZ42" s="84">
        <f t="shared" si="63"/>
        <v>4.8967503778000001</v>
      </c>
      <c r="CA42" s="83">
        <f t="shared" si="64"/>
        <v>80.854002467705754</v>
      </c>
      <c r="CC42" s="87">
        <v>45047.614583333336</v>
      </c>
      <c r="CD42" s="109">
        <v>3.9851719914284899E-2</v>
      </c>
      <c r="CE42" s="88">
        <v>82.718647970000006</v>
      </c>
      <c r="CF42" s="89">
        <v>7034</v>
      </c>
      <c r="CG42" s="90">
        <f t="shared" si="45"/>
        <v>117.23333333333333</v>
      </c>
      <c r="CH42" s="91">
        <f t="shared" si="46"/>
        <v>4.6719499646179994</v>
      </c>
      <c r="CI42" s="91">
        <f t="shared" si="47"/>
        <v>79.014510302123043</v>
      </c>
      <c r="CK42" s="93">
        <v>45049.65625</v>
      </c>
      <c r="CL42">
        <v>3.6988797592521903E-2</v>
      </c>
      <c r="CM42" s="95">
        <v>102.9873886</v>
      </c>
      <c r="CN42" s="4">
        <v>8641</v>
      </c>
      <c r="CO42" s="95">
        <f t="shared" si="48"/>
        <v>144.01666666666668</v>
      </c>
      <c r="CP42" s="94">
        <f t="shared" si="49"/>
        <v>5.32700333328303</v>
      </c>
      <c r="CQ42" s="96">
        <f t="shared" si="50"/>
        <v>84.258224306674776</v>
      </c>
      <c r="CS42" s="10">
        <v>45050.916666666664</v>
      </c>
      <c r="CT42" s="110">
        <v>7.7941260938044196E-2</v>
      </c>
      <c r="CU42" s="21">
        <v>114.1275401</v>
      </c>
      <c r="CV42" s="111">
        <v>4530</v>
      </c>
      <c r="CW42" s="21">
        <f t="shared" si="51"/>
        <v>75.5</v>
      </c>
      <c r="CX42" s="21">
        <f t="shared" si="52"/>
        <v>5.8845652008223368</v>
      </c>
      <c r="CY42" s="21">
        <f t="shared" si="53"/>
        <v>88.467290071766357</v>
      </c>
    </row>
    <row r="43" spans="1:103" x14ac:dyDescent="0.3">
      <c r="A43" s="10">
        <v>44776.417361111111</v>
      </c>
      <c r="B43" s="11">
        <v>1.83348655117861E-3</v>
      </c>
      <c r="C43" s="12">
        <v>0.73972780449999997</v>
      </c>
      <c r="D43" s="9">
        <v>134</v>
      </c>
      <c r="E43" s="13">
        <f t="shared" si="14"/>
        <v>2.2333333333333334</v>
      </c>
      <c r="F43" s="12">
        <f t="shared" si="54"/>
        <v>4.0947866309655623E-3</v>
      </c>
      <c r="G43" s="13">
        <f t="shared" si="16"/>
        <v>2.5151462820220147</v>
      </c>
      <c r="H43" s="11">
        <f t="shared" si="17"/>
        <v>1.286803887184159E-3</v>
      </c>
      <c r="I43" s="116">
        <f t="shared" si="18"/>
        <v>3.2365000125427136E-3</v>
      </c>
      <c r="J43" s="21">
        <f t="shared" si="55"/>
        <v>1.235377814163763E-4</v>
      </c>
      <c r="K43" s="116">
        <f t="shared" si="19"/>
        <v>3.1071559161864717E-4</v>
      </c>
      <c r="M43" s="25">
        <v>44781.417361111111</v>
      </c>
      <c r="N43" s="26">
        <v>3.65055506764743E-3</v>
      </c>
      <c r="O43" s="27">
        <v>1.126503907</v>
      </c>
      <c r="P43" s="28">
        <v>765</v>
      </c>
      <c r="Q43" s="29">
        <f t="shared" si="20"/>
        <v>12.75</v>
      </c>
      <c r="R43" s="26">
        <f t="shared" si="56"/>
        <v>4.6544577112504731E-2</v>
      </c>
      <c r="S43" s="29">
        <f t="shared" si="21"/>
        <v>8.2700680944641576</v>
      </c>
      <c r="T43" s="29">
        <f t="shared" si="22"/>
        <v>0</v>
      </c>
      <c r="U43" s="117">
        <f t="shared" si="23"/>
        <v>0</v>
      </c>
      <c r="V43" s="118">
        <f t="shared" si="57"/>
        <v>3.5753996785319563E-4</v>
      </c>
      <c r="W43" s="117">
        <f t="shared" si="24"/>
        <v>2.9568798806384536E-3</v>
      </c>
      <c r="Y43" s="35">
        <v>45136.416666666664</v>
      </c>
      <c r="Z43" s="71">
        <v>7.0901273989394404E-3</v>
      </c>
      <c r="AA43" s="70">
        <v>0.89859415399999998</v>
      </c>
      <c r="AB43" s="36">
        <v>3761</v>
      </c>
      <c r="AC43" s="37">
        <f t="shared" si="25"/>
        <v>62.68333333333333</v>
      </c>
      <c r="AD43" s="37">
        <f t="shared" si="58"/>
        <v>0.44443281912352056</v>
      </c>
      <c r="AE43" s="38">
        <f t="shared" si="26"/>
        <v>24.968028454143379</v>
      </c>
      <c r="AF43" s="38">
        <f t="shared" si="27"/>
        <v>0</v>
      </c>
      <c r="AG43" s="38">
        <f t="shared" si="28"/>
        <v>0</v>
      </c>
      <c r="AH43" s="38">
        <f t="shared" si="4"/>
        <v>0</v>
      </c>
      <c r="AI43" s="38">
        <f t="shared" si="29"/>
        <v>0</v>
      </c>
      <c r="AK43" s="45">
        <v>45151.416666666664</v>
      </c>
      <c r="AL43" s="4">
        <v>7.52203922405932E-3</v>
      </c>
      <c r="AM43" s="3">
        <v>0.69769667099999999</v>
      </c>
      <c r="AN43" s="4">
        <v>1564</v>
      </c>
      <c r="AO43" s="46">
        <f t="shared" si="30"/>
        <v>26.066666666666666</v>
      </c>
      <c r="AP43" s="47">
        <f t="shared" si="59"/>
        <v>0.19607448910714628</v>
      </c>
      <c r="AQ43" s="50">
        <f t="shared" si="31"/>
        <v>16.724463748255641</v>
      </c>
      <c r="AR43" s="50">
        <f t="shared" si="32"/>
        <v>5.033140178475267E-2</v>
      </c>
      <c r="AS43" s="50">
        <f t="shared" si="33"/>
        <v>0.84176570454798527</v>
      </c>
      <c r="AT43" s="50">
        <f t="shared" si="6"/>
        <v>5.9642529196101648E-2</v>
      </c>
      <c r="AU43" s="50">
        <f t="shared" si="34"/>
        <v>0.99748931739448066</v>
      </c>
      <c r="AW43" s="51">
        <v>45166.416666666664</v>
      </c>
      <c r="AX43" s="72">
        <v>1.0229736157172599E-2</v>
      </c>
      <c r="AY43" s="73">
        <v>0.377160934</v>
      </c>
      <c r="AZ43" s="52">
        <v>3795</v>
      </c>
      <c r="BA43" s="53">
        <f t="shared" si="35"/>
        <v>63.25</v>
      </c>
      <c r="BB43" s="72">
        <f t="shared" si="60"/>
        <v>0.64703081194116685</v>
      </c>
      <c r="BC43" s="54">
        <f t="shared" si="36"/>
        <v>30.009830800478195</v>
      </c>
      <c r="BD43" s="54">
        <f t="shared" si="37"/>
        <v>0</v>
      </c>
      <c r="BE43" s="54">
        <f t="shared" si="38"/>
        <v>0</v>
      </c>
      <c r="BF43" s="54">
        <f t="shared" si="8"/>
        <v>0</v>
      </c>
      <c r="BG43" s="54">
        <f t="shared" si="39"/>
        <v>0</v>
      </c>
      <c r="BI43" s="66">
        <v>45183.416666666664</v>
      </c>
      <c r="BJ43" s="67">
        <v>5.4693397405303802E-3</v>
      </c>
      <c r="BK43" s="68">
        <v>0.376777213</v>
      </c>
      <c r="BL43" s="68">
        <v>815</v>
      </c>
      <c r="BM43" s="68">
        <f t="shared" si="40"/>
        <v>13.583333333333334</v>
      </c>
      <c r="BN43" s="68">
        <f t="shared" si="61"/>
        <v>7.4291864808870997E-2</v>
      </c>
      <c r="BO43" s="69">
        <f t="shared" si="41"/>
        <v>10.398088933924949</v>
      </c>
      <c r="BP43" s="69">
        <f t="shared" si="42"/>
        <v>0</v>
      </c>
      <c r="BQ43" s="69">
        <f t="shared" si="43"/>
        <v>0</v>
      </c>
      <c r="BR43" s="69">
        <f t="shared" si="10"/>
        <v>0</v>
      </c>
      <c r="BS43" s="69">
        <f t="shared" si="44"/>
        <v>0</v>
      </c>
      <c r="BU43" s="82">
        <v>45046.75</v>
      </c>
      <c r="BV43" s="112">
        <v>3.4144079000000001E-2</v>
      </c>
      <c r="BW43" s="83">
        <v>81.397704649999994</v>
      </c>
      <c r="BX43" s="112">
        <v>8518</v>
      </c>
      <c r="BY43" s="83">
        <f t="shared" si="62"/>
        <v>141.96666666666667</v>
      </c>
      <c r="BZ43" s="84">
        <f t="shared" si="63"/>
        <v>4.8473210820333339</v>
      </c>
      <c r="CA43" s="83">
        <f t="shared" si="64"/>
        <v>80.453291799280009</v>
      </c>
      <c r="CC43" s="87">
        <v>45047.625</v>
      </c>
      <c r="CD43" s="109">
        <v>4.0075093253381697E-2</v>
      </c>
      <c r="CE43" s="88">
        <v>81.405228940000001</v>
      </c>
      <c r="CF43" s="89">
        <v>7042</v>
      </c>
      <c r="CG43" s="90">
        <f t="shared" si="45"/>
        <v>117.36666666666666</v>
      </c>
      <c r="CH43" s="91">
        <f t="shared" si="46"/>
        <v>4.7034801115052316</v>
      </c>
      <c r="CI43" s="91">
        <f t="shared" si="47"/>
        <v>79.275196969160135</v>
      </c>
      <c r="CK43" s="93">
        <v>45049.666666666664</v>
      </c>
      <c r="CL43">
        <v>3.7413065288139702E-2</v>
      </c>
      <c r="CM43" s="95">
        <v>104.61473460000001</v>
      </c>
      <c r="CN43" s="4">
        <v>8260</v>
      </c>
      <c r="CO43" s="95">
        <f t="shared" si="48"/>
        <v>137.66666666666666</v>
      </c>
      <c r="CP43" s="94">
        <f t="shared" si="49"/>
        <v>5.1505319880005649</v>
      </c>
      <c r="CQ43" s="96">
        <f t="shared" si="50"/>
        <v>82.879583620842681</v>
      </c>
      <c r="CS43" s="10">
        <v>45050.927083333336</v>
      </c>
      <c r="CT43" s="110">
        <v>8.8769036045406799E-2</v>
      </c>
      <c r="CU43" s="21">
        <v>113.74097140000001</v>
      </c>
      <c r="CV43" s="111">
        <v>4406</v>
      </c>
      <c r="CW43" s="21">
        <f t="shared" si="51"/>
        <v>73.433333333333337</v>
      </c>
      <c r="CX43" s="21">
        <f t="shared" si="52"/>
        <v>6.5186062136010392</v>
      </c>
      <c r="CY43" s="21">
        <f t="shared" si="53"/>
        <v>93.013325496445361</v>
      </c>
    </row>
    <row r="44" spans="1:103" x14ac:dyDescent="0.3">
      <c r="A44" s="10">
        <v>44776.427777777775</v>
      </c>
      <c r="B44" s="11">
        <v>1.53863608572197E-3</v>
      </c>
      <c r="C44" s="12">
        <v>0.72333429699999996</v>
      </c>
      <c r="D44" s="9">
        <v>127</v>
      </c>
      <c r="E44" s="13">
        <f t="shared" si="14"/>
        <v>2.1166666666666667</v>
      </c>
      <c r="F44" s="12">
        <f t="shared" si="54"/>
        <v>3.2567797147781698E-3</v>
      </c>
      <c r="G44" s="13">
        <f t="shared" si="16"/>
        <v>2.2483611090648514</v>
      </c>
      <c r="H44" s="11">
        <f t="shared" si="17"/>
        <v>0</v>
      </c>
      <c r="I44" s="116">
        <f t="shared" si="18"/>
        <v>0</v>
      </c>
      <c r="J44" s="21">
        <f t="shared" si="55"/>
        <v>0</v>
      </c>
      <c r="K44" s="116">
        <f t="shared" si="19"/>
        <v>0</v>
      </c>
      <c r="M44" s="25">
        <v>44781.427777777775</v>
      </c>
      <c r="N44" s="26">
        <v>3.28949326496658E-3</v>
      </c>
      <c r="O44" s="27">
        <v>1.1902769595</v>
      </c>
      <c r="P44" s="28">
        <v>802</v>
      </c>
      <c r="Q44" s="29">
        <f t="shared" si="20"/>
        <v>13.366666666666667</v>
      </c>
      <c r="R44" s="26">
        <f t="shared" si="56"/>
        <v>4.3969559975053286E-2</v>
      </c>
      <c r="S44" s="29">
        <f t="shared" si="21"/>
        <v>8.0427614120993436</v>
      </c>
      <c r="T44" s="29">
        <f t="shared" si="22"/>
        <v>0</v>
      </c>
      <c r="U44" s="117">
        <f t="shared" si="23"/>
        <v>0</v>
      </c>
      <c r="V44" s="118">
        <f t="shared" si="57"/>
        <v>0</v>
      </c>
      <c r="W44" s="117">
        <f t="shared" si="24"/>
        <v>0</v>
      </c>
      <c r="Y44" s="35">
        <v>45136.427083333336</v>
      </c>
      <c r="Z44" s="71">
        <v>9.9106306272953703E-3</v>
      </c>
      <c r="AA44" s="70">
        <v>0.89859415399999998</v>
      </c>
      <c r="AB44" s="36">
        <v>4471</v>
      </c>
      <c r="AC44" s="37">
        <f t="shared" si="25"/>
        <v>74.516666666666666</v>
      </c>
      <c r="AD44" s="37">
        <f t="shared" si="58"/>
        <v>0.73850715891062668</v>
      </c>
      <c r="AE44" s="38">
        <f t="shared" si="26"/>
        <v>32.017461353840112</v>
      </c>
      <c r="AF44" s="38">
        <f t="shared" si="27"/>
        <v>0</v>
      </c>
      <c r="AG44" s="38">
        <f t="shared" si="28"/>
        <v>0</v>
      </c>
      <c r="AH44" s="38">
        <f t="shared" si="4"/>
        <v>6.8111550150052214E-2</v>
      </c>
      <c r="AI44" s="38">
        <f t="shared" si="29"/>
        <v>2.1807589246794392</v>
      </c>
      <c r="AK44" s="45">
        <v>45151.427083333336</v>
      </c>
      <c r="AL44" s="4">
        <v>6.47636080442402E-3</v>
      </c>
      <c r="AM44" s="3">
        <v>0.59425534599999996</v>
      </c>
      <c r="AN44" s="4">
        <v>1210</v>
      </c>
      <c r="AO44" s="46">
        <f t="shared" si="30"/>
        <v>20.166666666666668</v>
      </c>
      <c r="AP44" s="47">
        <f t="shared" si="59"/>
        <v>0.13060660955588441</v>
      </c>
      <c r="AQ44" s="50">
        <f t="shared" si="31"/>
        <v>13.706978432163005</v>
      </c>
      <c r="AR44" s="50">
        <f t="shared" si="32"/>
        <v>0</v>
      </c>
      <c r="AS44" s="50">
        <f t="shared" si="33"/>
        <v>0</v>
      </c>
      <c r="AT44" s="50">
        <f t="shared" si="6"/>
        <v>7.7945567466622913E-3</v>
      </c>
      <c r="AU44" s="50">
        <f t="shared" si="34"/>
        <v>0.10683982121477066</v>
      </c>
      <c r="AW44" s="51">
        <v>45166.427083333336</v>
      </c>
      <c r="AX44" s="72">
        <v>1.0277800000538601E-2</v>
      </c>
      <c r="AY44" s="73">
        <v>0.377160934</v>
      </c>
      <c r="AZ44" s="52">
        <v>3981</v>
      </c>
      <c r="BA44" s="53">
        <f t="shared" si="35"/>
        <v>66.349999999999994</v>
      </c>
      <c r="BB44" s="72">
        <f t="shared" si="60"/>
        <v>0.6819320300357361</v>
      </c>
      <c r="BC44" s="54">
        <f t="shared" si="36"/>
        <v>30.791908264570221</v>
      </c>
      <c r="BD44" s="54">
        <f t="shared" si="37"/>
        <v>0</v>
      </c>
      <c r="BE44" s="54">
        <f t="shared" si="38"/>
        <v>0</v>
      </c>
      <c r="BF44" s="54">
        <f t="shared" si="8"/>
        <v>5.5658500228695082E-3</v>
      </c>
      <c r="BG44" s="54">
        <f t="shared" si="39"/>
        <v>0.17138314331855395</v>
      </c>
      <c r="BI44" s="66">
        <v>45183.427083333336</v>
      </c>
      <c r="BJ44" s="67">
        <v>3.0347529379728001E-3</v>
      </c>
      <c r="BK44" s="68">
        <v>0.33439968599999997</v>
      </c>
      <c r="BL44" s="68">
        <v>556</v>
      </c>
      <c r="BM44" s="68">
        <f t="shared" si="40"/>
        <v>9.2666666666666675</v>
      </c>
      <c r="BN44" s="68">
        <f t="shared" si="61"/>
        <v>2.8122043891881283E-2</v>
      </c>
      <c r="BO44" s="69">
        <f t="shared" si="41"/>
        <v>6.4617752816755347</v>
      </c>
      <c r="BP44" s="69">
        <f t="shared" si="42"/>
        <v>0</v>
      </c>
      <c r="BQ44" s="69">
        <f t="shared" si="43"/>
        <v>0</v>
      </c>
      <c r="BR44" s="69">
        <f t="shared" si="10"/>
        <v>0</v>
      </c>
      <c r="BS44" s="69">
        <f t="shared" si="44"/>
        <v>0</v>
      </c>
      <c r="BU44" s="82">
        <v>45046.760416666664</v>
      </c>
      <c r="BV44" s="112">
        <v>3.7107438999999999E-2</v>
      </c>
      <c r="BW44" s="83">
        <v>82.276892649999994</v>
      </c>
      <c r="BX44" s="112">
        <v>8202</v>
      </c>
      <c r="BY44" s="83">
        <f t="shared" si="62"/>
        <v>136.69999999999999</v>
      </c>
      <c r="BZ44" s="84">
        <f t="shared" si="63"/>
        <v>5.0725869112999993</v>
      </c>
      <c r="CA44" s="83">
        <f t="shared" si="64"/>
        <v>82.262987454587801</v>
      </c>
      <c r="CC44" s="87">
        <v>45047.635416666664</v>
      </c>
      <c r="CD44" s="109">
        <v>3.8233092602070001E-2</v>
      </c>
      <c r="CE44" s="88">
        <v>84.027783200000002</v>
      </c>
      <c r="CF44" s="89">
        <v>6951</v>
      </c>
      <c r="CG44" s="90">
        <f t="shared" si="45"/>
        <v>115.85</v>
      </c>
      <c r="CH44" s="91">
        <f t="shared" si="46"/>
        <v>4.4293037779498095</v>
      </c>
      <c r="CI44" s="91">
        <f t="shared" si="47"/>
        <v>76.977547572329826</v>
      </c>
      <c r="CK44" s="93">
        <v>45049.677083333336</v>
      </c>
      <c r="CL44">
        <v>3.8211726363623598E-2</v>
      </c>
      <c r="CM44" s="95">
        <v>106.2245245</v>
      </c>
      <c r="CN44" s="4">
        <v>8204</v>
      </c>
      <c r="CO44" s="95">
        <f t="shared" si="48"/>
        <v>136.73333333333332</v>
      </c>
      <c r="CP44" s="94">
        <f t="shared" si="49"/>
        <v>5.2248167181194658</v>
      </c>
      <c r="CQ44" s="96">
        <f t="shared" si="50"/>
        <v>83.462807818498561</v>
      </c>
      <c r="CS44" s="10">
        <v>45050.9375</v>
      </c>
      <c r="CT44" s="110">
        <v>7.8072902061341001E-2</v>
      </c>
      <c r="CU44" s="21">
        <v>114.1275401</v>
      </c>
      <c r="CV44" s="111">
        <v>4653</v>
      </c>
      <c r="CW44" s="21">
        <f t="shared" si="51"/>
        <v>77.55</v>
      </c>
      <c r="CX44" s="21">
        <f t="shared" si="52"/>
        <v>6.0545535548569944</v>
      </c>
      <c r="CY44" s="21">
        <f t="shared" si="53"/>
        <v>89.709659716083408</v>
      </c>
    </row>
    <row r="45" spans="1:103" x14ac:dyDescent="0.3">
      <c r="A45" s="10">
        <v>44776.438194444447</v>
      </c>
      <c r="B45" s="11">
        <v>1.5323471590504799E-3</v>
      </c>
      <c r="C45" s="12">
        <v>0.71002781749999999</v>
      </c>
      <c r="D45" s="9">
        <v>100</v>
      </c>
      <c r="E45" s="13">
        <f t="shared" si="14"/>
        <v>1.6666666666666667</v>
      </c>
      <c r="F45" s="12">
        <f t="shared" si="54"/>
        <v>2.5539119317508001E-3</v>
      </c>
      <c r="G45" s="13">
        <f t="shared" si="16"/>
        <v>1.9960082421885208</v>
      </c>
      <c r="H45" s="11">
        <f t="shared" si="17"/>
        <v>0</v>
      </c>
      <c r="I45" s="116">
        <f t="shared" si="18"/>
        <v>0</v>
      </c>
      <c r="J45" s="21">
        <f t="shared" si="55"/>
        <v>0</v>
      </c>
      <c r="K45" s="116">
        <f t="shared" si="19"/>
        <v>0</v>
      </c>
      <c r="M45" s="25">
        <v>44781.438194444447</v>
      </c>
      <c r="N45" s="26">
        <v>3.6605450949931699E-3</v>
      </c>
      <c r="O45" s="27">
        <v>1.228492825</v>
      </c>
      <c r="P45" s="28">
        <v>827</v>
      </c>
      <c r="Q45" s="29">
        <f t="shared" si="20"/>
        <v>13.783333333333333</v>
      </c>
      <c r="R45" s="26">
        <f t="shared" si="56"/>
        <v>5.0454513225989192E-2</v>
      </c>
      <c r="S45" s="29">
        <f t="shared" si="21"/>
        <v>8.6032735656642547</v>
      </c>
      <c r="T45" s="29">
        <f t="shared" si="22"/>
        <v>0</v>
      </c>
      <c r="U45" s="117">
        <f t="shared" si="23"/>
        <v>0</v>
      </c>
      <c r="V45" s="118">
        <f t="shared" si="57"/>
        <v>2.3394992862332438E-3</v>
      </c>
      <c r="W45" s="117">
        <f t="shared" si="24"/>
        <v>2.0127352366140858E-2</v>
      </c>
      <c r="Y45" s="35">
        <v>45136.4375</v>
      </c>
      <c r="Z45" s="71">
        <v>7.1914230595903801E-3</v>
      </c>
      <c r="AA45" s="70">
        <v>0.85535298199999998</v>
      </c>
      <c r="AB45" s="36">
        <v>3967</v>
      </c>
      <c r="AC45" s="37">
        <f t="shared" si="25"/>
        <v>66.11666666666666</v>
      </c>
      <c r="AD45" s="37">
        <f t="shared" si="58"/>
        <v>0.47547292128991725</v>
      </c>
      <c r="AE45" s="38">
        <f t="shared" si="26"/>
        <v>25.807271531844108</v>
      </c>
      <c r="AF45" s="38">
        <f t="shared" si="27"/>
        <v>0</v>
      </c>
      <c r="AG45" s="38">
        <f t="shared" si="28"/>
        <v>0</v>
      </c>
      <c r="AH45" s="38">
        <f t="shared" si="4"/>
        <v>0</v>
      </c>
      <c r="AI45" s="38">
        <f t="shared" si="29"/>
        <v>0</v>
      </c>
      <c r="AK45" s="45">
        <v>45151.4375</v>
      </c>
      <c r="AL45" s="4">
        <v>5.0946192727216698E-3</v>
      </c>
      <c r="AM45" s="3">
        <v>0.59425534599999996</v>
      </c>
      <c r="AN45" s="4">
        <v>1076</v>
      </c>
      <c r="AO45" s="46">
        <f t="shared" si="30"/>
        <v>17.933333333333334</v>
      </c>
      <c r="AP45" s="47">
        <f t="shared" si="59"/>
        <v>9.1363505624141944E-2</v>
      </c>
      <c r="AQ45" s="50">
        <f t="shared" si="31"/>
        <v>11.506520376444639</v>
      </c>
      <c r="AR45" s="50">
        <f t="shared" si="32"/>
        <v>0</v>
      </c>
      <c r="AS45" s="50">
        <f t="shared" si="33"/>
        <v>0</v>
      </c>
      <c r="AT45" s="50">
        <f t="shared" si="6"/>
        <v>0</v>
      </c>
      <c r="AU45" s="50">
        <f t="shared" si="34"/>
        <v>0</v>
      </c>
      <c r="AW45" s="51">
        <v>45166.4375</v>
      </c>
      <c r="AX45" s="72">
        <v>1.0536330408973499E-2</v>
      </c>
      <c r="AY45" s="73">
        <v>0.44939223900000003</v>
      </c>
      <c r="AZ45" s="52">
        <v>4954</v>
      </c>
      <c r="BA45" s="53">
        <f t="shared" si="35"/>
        <v>82.566666666666663</v>
      </c>
      <c r="BB45" s="72">
        <f t="shared" si="60"/>
        <v>0.8699496807675785</v>
      </c>
      <c r="BC45" s="54">
        <f t="shared" si="36"/>
        <v>34.691563207225272</v>
      </c>
      <c r="BD45" s="54">
        <f t="shared" si="37"/>
        <v>3.7618062491693006E-2</v>
      </c>
      <c r="BE45" s="54">
        <f t="shared" si="38"/>
        <v>1.305029392663918</v>
      </c>
      <c r="BF45" s="54">
        <f t="shared" si="8"/>
        <v>3.5608735863730312E-2</v>
      </c>
      <c r="BG45" s="54">
        <f t="shared" si="39"/>
        <v>1.2353227109459894</v>
      </c>
      <c r="BI45" s="66">
        <v>45183.4375</v>
      </c>
      <c r="BJ45" s="67">
        <v>4.3050076959034499E-3</v>
      </c>
      <c r="BK45" s="68">
        <v>0.399936554</v>
      </c>
      <c r="BL45" s="68">
        <v>965</v>
      </c>
      <c r="BM45" s="68">
        <f t="shared" si="40"/>
        <v>16.083333333333332</v>
      </c>
      <c r="BN45" s="68">
        <f t="shared" si="61"/>
        <v>6.9238873775780474E-2</v>
      </c>
      <c r="BO45" s="69">
        <f t="shared" si="41"/>
        <v>10.045533014601808</v>
      </c>
      <c r="BP45" s="69">
        <f t="shared" si="42"/>
        <v>0</v>
      </c>
      <c r="BQ45" s="69">
        <f t="shared" si="43"/>
        <v>0</v>
      </c>
      <c r="BR45" s="69">
        <f t="shared" si="10"/>
        <v>0</v>
      </c>
      <c r="BS45" s="69">
        <f t="shared" si="44"/>
        <v>0</v>
      </c>
      <c r="BU45" s="82">
        <v>45046.770833333336</v>
      </c>
      <c r="BV45" s="112">
        <v>4.1665016999999999E-2</v>
      </c>
      <c r="BW45" s="83">
        <v>85.762083380000007</v>
      </c>
      <c r="BX45" s="112">
        <v>6389</v>
      </c>
      <c r="BY45" s="83">
        <f t="shared" si="62"/>
        <v>106.48333333333333</v>
      </c>
      <c r="BZ45" s="84">
        <f t="shared" si="63"/>
        <v>4.4366298935500001</v>
      </c>
      <c r="CA45" s="83">
        <f t="shared" si="64"/>
        <v>77.039870709692963</v>
      </c>
      <c r="CC45" s="87">
        <v>45047.645833333336</v>
      </c>
      <c r="CD45" s="109">
        <v>4.1968666597743703E-2</v>
      </c>
      <c r="CE45" s="88">
        <v>82.718647970000006</v>
      </c>
      <c r="CF45" s="89">
        <v>6951</v>
      </c>
      <c r="CG45" s="90">
        <f t="shared" si="45"/>
        <v>115.85</v>
      </c>
      <c r="CH45" s="91">
        <f t="shared" si="46"/>
        <v>4.8620700253486078</v>
      </c>
      <c r="CI45" s="91">
        <f t="shared" si="47"/>
        <v>80.573075096478703</v>
      </c>
      <c r="CK45" s="93">
        <v>45049.6875</v>
      </c>
      <c r="CL45">
        <v>8.6471916018175193E-2</v>
      </c>
      <c r="CM45" s="95">
        <v>101.7699069</v>
      </c>
      <c r="CN45" s="4">
        <v>5648</v>
      </c>
      <c r="CO45" s="95">
        <f t="shared" si="48"/>
        <v>94.13333333333334</v>
      </c>
      <c r="CP45" s="94">
        <f t="shared" si="49"/>
        <v>8.1398896945108916</v>
      </c>
      <c r="CQ45" s="96">
        <f t="shared" si="50"/>
        <v>103.70112832820597</v>
      </c>
      <c r="CS45" s="10">
        <v>45050.947916666664</v>
      </c>
      <c r="CT45" s="110">
        <v>7.6924984541036898E-2</v>
      </c>
      <c r="CU45" s="21">
        <v>107.0292163</v>
      </c>
      <c r="CV45" s="111">
        <v>4862</v>
      </c>
      <c r="CW45" s="21">
        <f t="shared" si="51"/>
        <v>81.033333333333331</v>
      </c>
      <c r="CX45" s="21">
        <f t="shared" si="52"/>
        <v>6.2334879139753561</v>
      </c>
      <c r="CY45" s="21">
        <f t="shared" si="53"/>
        <v>90.998330165609516</v>
      </c>
    </row>
    <row r="46" spans="1:103" x14ac:dyDescent="0.3">
      <c r="A46" s="10">
        <v>44776.448611111111</v>
      </c>
      <c r="B46" s="11">
        <v>1.8349051903074399E-3</v>
      </c>
      <c r="C46" s="12">
        <v>0.72868923050000001</v>
      </c>
      <c r="D46" s="9">
        <v>121</v>
      </c>
      <c r="E46" s="13">
        <f t="shared" si="14"/>
        <v>2.0166666666666666</v>
      </c>
      <c r="F46" s="12">
        <f t="shared" si="54"/>
        <v>3.7003921337866704E-3</v>
      </c>
      <c r="G46" s="13">
        <f t="shared" si="16"/>
        <v>2.393450860062051</v>
      </c>
      <c r="H46" s="11">
        <f t="shared" si="17"/>
        <v>3.6342784374226062E-4</v>
      </c>
      <c r="I46" s="116">
        <f t="shared" si="18"/>
        <v>8.698466851754103E-4</v>
      </c>
      <c r="J46" s="21">
        <f t="shared" si="55"/>
        <v>4.1743290657932174E-5</v>
      </c>
      <c r="K46" s="116">
        <f t="shared" si="19"/>
        <v>9.9910514927047938E-5</v>
      </c>
      <c r="M46" s="25">
        <v>44781.448611111111</v>
      </c>
      <c r="N46" s="26">
        <v>2.9920416967513302E-3</v>
      </c>
      <c r="O46" s="27">
        <v>1.212618097</v>
      </c>
      <c r="P46" s="28">
        <v>767</v>
      </c>
      <c r="Q46" s="29">
        <f t="shared" si="20"/>
        <v>12.783333333333333</v>
      </c>
      <c r="R46" s="26">
        <f t="shared" si="56"/>
        <v>3.8248266356804506E-2</v>
      </c>
      <c r="S46" s="29">
        <f t="shared" si="21"/>
        <v>7.5120517164204665</v>
      </c>
      <c r="T46" s="29">
        <f t="shared" si="22"/>
        <v>0</v>
      </c>
      <c r="U46" s="117">
        <f t="shared" si="23"/>
        <v>0</v>
      </c>
      <c r="V46" s="118">
        <f t="shared" si="57"/>
        <v>0</v>
      </c>
      <c r="W46" s="117">
        <f t="shared" si="24"/>
        <v>0</v>
      </c>
      <c r="Y46" s="35">
        <v>45136.447916666664</v>
      </c>
      <c r="Z46" s="71">
        <v>5.5897858817166701E-3</v>
      </c>
      <c r="AA46" s="70">
        <v>0.66228851600000005</v>
      </c>
      <c r="AB46" s="36">
        <v>3144</v>
      </c>
      <c r="AC46" s="37">
        <f t="shared" si="25"/>
        <v>52.4</v>
      </c>
      <c r="AD46" s="37">
        <f t="shared" si="58"/>
        <v>0.29290478020195349</v>
      </c>
      <c r="AE46" s="38">
        <f t="shared" si="26"/>
        <v>20.356801407695279</v>
      </c>
      <c r="AF46" s="38">
        <f t="shared" si="27"/>
        <v>0</v>
      </c>
      <c r="AG46" s="38">
        <f t="shared" si="28"/>
        <v>0</v>
      </c>
      <c r="AH46" s="38">
        <f t="shared" si="4"/>
        <v>0</v>
      </c>
      <c r="AI46" s="38">
        <f t="shared" si="29"/>
        <v>0</v>
      </c>
      <c r="AK46" s="45">
        <v>45151.447916666664</v>
      </c>
      <c r="AL46" s="4">
        <v>7.2259572661356403E-3</v>
      </c>
      <c r="AM46" s="3">
        <v>0.66228851600000005</v>
      </c>
      <c r="AN46" s="4">
        <v>1443</v>
      </c>
      <c r="AO46" s="46">
        <f t="shared" si="30"/>
        <v>24.05</v>
      </c>
      <c r="AP46" s="47">
        <f t="shared" si="59"/>
        <v>0.17378427225056214</v>
      </c>
      <c r="AQ46" s="50">
        <f t="shared" si="31"/>
        <v>15.764736627470365</v>
      </c>
      <c r="AR46" s="50">
        <f t="shared" si="32"/>
        <v>3.1070903181179155E-2</v>
      </c>
      <c r="AS46" s="50">
        <f t="shared" si="33"/>
        <v>0.48982460542892048</v>
      </c>
      <c r="AT46" s="50">
        <f t="shared" si="6"/>
        <v>4.1989558649418848E-2</v>
      </c>
      <c r="AU46" s="50">
        <f t="shared" si="34"/>
        <v>0.66195433321180841</v>
      </c>
      <c r="AW46" s="51">
        <v>45166.447916666664</v>
      </c>
      <c r="AX46" s="72">
        <v>1.3016474451338101E-2</v>
      </c>
      <c r="AY46" s="73">
        <v>0.44939223900000003</v>
      </c>
      <c r="AZ46" s="52">
        <v>4748</v>
      </c>
      <c r="BA46" s="53">
        <f t="shared" si="35"/>
        <v>79.13333333333334</v>
      </c>
      <c r="BB46" s="72">
        <f t="shared" si="60"/>
        <v>1.0300370115825552</v>
      </c>
      <c r="BC46" s="54">
        <f t="shared" si="36"/>
        <v>37.683186838441159</v>
      </c>
      <c r="BD46" s="54">
        <f t="shared" si="37"/>
        <v>3.7618062491693006E-2</v>
      </c>
      <c r="BE46" s="54">
        <f t="shared" si="38"/>
        <v>1.4175684773746229</v>
      </c>
      <c r="BF46" s="54">
        <f t="shared" si="8"/>
        <v>6.1188703412106533E-2</v>
      </c>
      <c r="BG46" s="54">
        <f t="shared" si="39"/>
        <v>2.3057853430803728</v>
      </c>
      <c r="BI46" s="66">
        <v>45183.447916666664</v>
      </c>
      <c r="BJ46" s="67">
        <v>5.0325801980003904E-3</v>
      </c>
      <c r="BK46" s="68">
        <v>0.44894941300000002</v>
      </c>
      <c r="BL46" s="68">
        <v>1233</v>
      </c>
      <c r="BM46" s="68">
        <f t="shared" si="40"/>
        <v>20.55</v>
      </c>
      <c r="BN46" s="68">
        <f t="shared" si="61"/>
        <v>0.10341952306890803</v>
      </c>
      <c r="BO46" s="69">
        <f t="shared" si="41"/>
        <v>12.226564744054555</v>
      </c>
      <c r="BP46" s="69">
        <f t="shared" si="42"/>
        <v>0</v>
      </c>
      <c r="BQ46" s="69">
        <f t="shared" si="43"/>
        <v>0</v>
      </c>
      <c r="BR46" s="69">
        <f t="shared" si="10"/>
        <v>0</v>
      </c>
      <c r="BS46" s="69">
        <f t="shared" si="44"/>
        <v>0</v>
      </c>
      <c r="BU46" s="82">
        <v>45046.78125</v>
      </c>
      <c r="BV46" s="112">
        <v>5.3859668999999999E-2</v>
      </c>
      <c r="BW46" s="83">
        <v>85.762083380000007</v>
      </c>
      <c r="BX46" s="112">
        <v>6559</v>
      </c>
      <c r="BY46" s="83">
        <f t="shared" si="62"/>
        <v>109.31666666666666</v>
      </c>
      <c r="BZ46" s="84">
        <f t="shared" si="63"/>
        <v>5.8877594828499999</v>
      </c>
      <c r="CA46" s="83">
        <f t="shared" si="64"/>
        <v>88.490803262610711</v>
      </c>
      <c r="CC46" s="87">
        <v>45047.65625</v>
      </c>
      <c r="CD46" s="109">
        <v>3.9625525231903901E-2</v>
      </c>
      <c r="CE46" s="88">
        <v>87.494480339999996</v>
      </c>
      <c r="CF46" s="89">
        <v>6813</v>
      </c>
      <c r="CG46" s="90">
        <f t="shared" si="45"/>
        <v>113.55</v>
      </c>
      <c r="CH46" s="91">
        <f t="shared" si="46"/>
        <v>4.4994783900826878</v>
      </c>
      <c r="CI46" s="91">
        <f t="shared" si="47"/>
        <v>77.572378438807007</v>
      </c>
      <c r="CK46" s="93">
        <v>45049.697916666664</v>
      </c>
      <c r="CL46">
        <v>0.101483844069199</v>
      </c>
      <c r="CM46" s="95">
        <v>106.2245245</v>
      </c>
      <c r="CN46" s="4">
        <v>3395</v>
      </c>
      <c r="CO46" s="95">
        <f t="shared" si="48"/>
        <v>56.583333333333336</v>
      </c>
      <c r="CP46" s="94">
        <f t="shared" si="49"/>
        <v>5.74229417691551</v>
      </c>
      <c r="CQ46" s="96">
        <f t="shared" si="50"/>
        <v>87.413343389784544</v>
      </c>
      <c r="CS46" s="10">
        <v>45050.958333333336</v>
      </c>
      <c r="CT46" s="110">
        <v>8.0397566198641204E-2</v>
      </c>
      <c r="CU46" s="21">
        <v>112.9598134</v>
      </c>
      <c r="CV46" s="111">
        <v>4767</v>
      </c>
      <c r="CW46" s="21">
        <f t="shared" si="51"/>
        <v>79.45</v>
      </c>
      <c r="CX46" s="21">
        <f t="shared" si="52"/>
        <v>6.3875866344820436</v>
      </c>
      <c r="CY46" s="21">
        <f t="shared" si="53"/>
        <v>92.09308581435441</v>
      </c>
    </row>
    <row r="47" spans="1:103" x14ac:dyDescent="0.3">
      <c r="A47" s="10">
        <v>44776.459027777775</v>
      </c>
      <c r="B47" s="11">
        <v>1.3362125891374899E-3</v>
      </c>
      <c r="C47" s="12">
        <v>0.66863318549999995</v>
      </c>
      <c r="D47" s="9">
        <v>95</v>
      </c>
      <c r="E47" s="13">
        <f t="shared" si="14"/>
        <v>1.5833333333333333</v>
      </c>
      <c r="F47" s="12">
        <f t="shared" si="54"/>
        <v>2.1156699328010258E-3</v>
      </c>
      <c r="G47" s="13">
        <f t="shared" si="16"/>
        <v>1.8202265142136964</v>
      </c>
      <c r="H47" s="11">
        <f t="shared" si="17"/>
        <v>0</v>
      </c>
      <c r="I47" s="116">
        <f t="shared" si="18"/>
        <v>0</v>
      </c>
      <c r="J47" s="21">
        <f t="shared" si="55"/>
        <v>0</v>
      </c>
      <c r="K47" s="116">
        <f t="shared" si="19"/>
        <v>0</v>
      </c>
      <c r="M47" s="25">
        <v>44781.459027777775</v>
      </c>
      <c r="N47" s="26">
        <v>3.6286534058963698E-3</v>
      </c>
      <c r="O47" s="27">
        <v>1.2029581084999901</v>
      </c>
      <c r="P47" s="28">
        <v>849</v>
      </c>
      <c r="Q47" s="29">
        <f t="shared" si="20"/>
        <v>14.15</v>
      </c>
      <c r="R47" s="26">
        <f t="shared" si="56"/>
        <v>5.1345445693433633E-2</v>
      </c>
      <c r="S47" s="29">
        <f t="shared" si="21"/>
        <v>8.6773354505305136</v>
      </c>
      <c r="T47" s="29">
        <f t="shared" si="22"/>
        <v>0</v>
      </c>
      <c r="U47" s="117">
        <f t="shared" si="23"/>
        <v>0</v>
      </c>
      <c r="V47" s="118">
        <f t="shared" si="57"/>
        <v>2.7911158484090382E-3</v>
      </c>
      <c r="W47" s="117">
        <f t="shared" si="24"/>
        <v>2.4219448497937297E-2</v>
      </c>
      <c r="Y47" s="35">
        <v>45136.458333333336</v>
      </c>
      <c r="Z47" s="71">
        <v>3.7332386039585601E-3</v>
      </c>
      <c r="AA47" s="70">
        <v>0.475692385</v>
      </c>
      <c r="AB47" s="36">
        <v>1263</v>
      </c>
      <c r="AC47" s="37">
        <f t="shared" si="25"/>
        <v>21.05</v>
      </c>
      <c r="AD47" s="37">
        <f t="shared" si="58"/>
        <v>7.8584672613327688E-2</v>
      </c>
      <c r="AE47" s="38">
        <f t="shared" si="26"/>
        <v>10.688100700571788</v>
      </c>
      <c r="AF47" s="38">
        <f t="shared" si="27"/>
        <v>0</v>
      </c>
      <c r="AG47" s="38">
        <f t="shared" si="28"/>
        <v>0</v>
      </c>
      <c r="AH47" s="38">
        <f t="shared" si="4"/>
        <v>0</v>
      </c>
      <c r="AI47" s="38">
        <f t="shared" si="29"/>
        <v>0</v>
      </c>
      <c r="AK47" s="45">
        <v>45151.458333333336</v>
      </c>
      <c r="AL47" s="4">
        <v>5.4511975980878697E-3</v>
      </c>
      <c r="AM47" s="3">
        <v>0.59425534599999996</v>
      </c>
      <c r="AN47" s="4">
        <v>1196</v>
      </c>
      <c r="AO47" s="46">
        <f t="shared" si="30"/>
        <v>19.933333333333334</v>
      </c>
      <c r="AP47" s="47">
        <f t="shared" si="59"/>
        <v>0.10866053878855153</v>
      </c>
      <c r="AQ47" s="50">
        <f t="shared" si="31"/>
        <v>12.526160718124604</v>
      </c>
      <c r="AR47" s="50">
        <f t="shared" si="32"/>
        <v>0</v>
      </c>
      <c r="AS47" s="50">
        <f t="shared" si="33"/>
        <v>0</v>
      </c>
      <c r="AT47" s="50">
        <f t="shared" si="6"/>
        <v>0</v>
      </c>
      <c r="AU47" s="50">
        <f t="shared" si="34"/>
        <v>0</v>
      </c>
      <c r="AW47" s="51">
        <v>45166.458333333336</v>
      </c>
      <c r="AX47" s="72">
        <v>1.4131578061917701E-2</v>
      </c>
      <c r="AY47" s="73">
        <v>0.44939223900000003</v>
      </c>
      <c r="AZ47" s="52">
        <v>5180</v>
      </c>
      <c r="BA47" s="53">
        <f t="shared" si="35"/>
        <v>86.333333333333329</v>
      </c>
      <c r="BB47" s="72">
        <f t="shared" si="60"/>
        <v>1.2200262393455614</v>
      </c>
      <c r="BC47" s="54">
        <f t="shared" si="36"/>
        <v>40.94006952406091</v>
      </c>
      <c r="BD47" s="54">
        <f t="shared" si="37"/>
        <v>3.7618062491693006E-2</v>
      </c>
      <c r="BE47" s="54">
        <f t="shared" si="38"/>
        <v>1.5400860937703797</v>
      </c>
      <c r="BF47" s="54">
        <f t="shared" si="8"/>
        <v>9.1546622780102491E-2</v>
      </c>
      <c r="BG47" s="54">
        <f t="shared" si="39"/>
        <v>3.7479251013103743</v>
      </c>
      <c r="BI47" s="66">
        <v>45183.458333333336</v>
      </c>
      <c r="BJ47" s="67">
        <v>4.59052443231848E-3</v>
      </c>
      <c r="BK47" s="68">
        <v>0.376777213</v>
      </c>
      <c r="BL47" s="68">
        <v>858</v>
      </c>
      <c r="BM47" s="68">
        <f t="shared" si="40"/>
        <v>14.3</v>
      </c>
      <c r="BN47" s="68">
        <f t="shared" si="61"/>
        <v>6.5644499382154262E-2</v>
      </c>
      <c r="BO47" s="69">
        <f t="shared" si="41"/>
        <v>9.7866852259088297</v>
      </c>
      <c r="BP47" s="69">
        <f t="shared" si="42"/>
        <v>0</v>
      </c>
      <c r="BQ47" s="69">
        <f t="shared" si="43"/>
        <v>0</v>
      </c>
      <c r="BR47" s="69">
        <f t="shared" si="10"/>
        <v>0</v>
      </c>
      <c r="BS47" s="69">
        <f t="shared" si="44"/>
        <v>0</v>
      </c>
      <c r="BU47" s="82">
        <v>45046.791666666664</v>
      </c>
      <c r="BV47" s="112">
        <v>4.5875403000000002E-2</v>
      </c>
      <c r="BW47" s="83">
        <v>84.891986889999998</v>
      </c>
      <c r="BX47" s="112">
        <v>6946</v>
      </c>
      <c r="BY47" s="83">
        <f t="shared" si="62"/>
        <v>115.76666666666667</v>
      </c>
      <c r="BZ47" s="84">
        <f t="shared" si="63"/>
        <v>5.3108424873000004</v>
      </c>
      <c r="CA47" s="83">
        <f t="shared" si="64"/>
        <v>84.132950554715677</v>
      </c>
      <c r="CC47" s="87">
        <v>45047.708333333336</v>
      </c>
      <c r="CD47" s="109">
        <v>3.8100968407537003E-2</v>
      </c>
      <c r="CE47" s="88">
        <v>85.323607859999996</v>
      </c>
      <c r="CF47" s="89">
        <v>6843</v>
      </c>
      <c r="CG47" s="90">
        <f t="shared" si="45"/>
        <v>114.05</v>
      </c>
      <c r="CH47" s="91">
        <f t="shared" si="46"/>
        <v>4.3454154468795947</v>
      </c>
      <c r="CI47" s="91">
        <f t="shared" si="47"/>
        <v>76.260126646499643</v>
      </c>
      <c r="CK47" s="93">
        <v>45049.708333333336</v>
      </c>
      <c r="CL47">
        <v>9.8266774819539798E-2</v>
      </c>
      <c r="CM47" s="95">
        <v>109.0251016</v>
      </c>
      <c r="CN47" s="4">
        <v>3609</v>
      </c>
      <c r="CO47" s="95">
        <f t="shared" si="48"/>
        <v>60.15</v>
      </c>
      <c r="CP47" s="94">
        <f t="shared" si="49"/>
        <v>5.910746505395319</v>
      </c>
      <c r="CQ47" s="96">
        <f t="shared" si="50"/>
        <v>88.659819687119949</v>
      </c>
      <c r="CS47" s="10">
        <v>45050.96875</v>
      </c>
      <c r="CT47" s="110">
        <v>7.9014152565006698E-2</v>
      </c>
      <c r="CU47" s="21">
        <v>110.9974619</v>
      </c>
      <c r="CV47" s="111">
        <v>4856</v>
      </c>
      <c r="CW47" s="21">
        <f t="shared" si="51"/>
        <v>80.933333333333337</v>
      </c>
      <c r="CX47" s="21">
        <f t="shared" si="52"/>
        <v>6.3948787475945421</v>
      </c>
      <c r="CY47" s="21">
        <f t="shared" si="53"/>
        <v>92.144554997418936</v>
      </c>
    </row>
    <row r="48" spans="1:103" x14ac:dyDescent="0.3">
      <c r="A48" s="10">
        <v>44776.469444444447</v>
      </c>
      <c r="B48" s="11">
        <v>1.57749098484379E-3</v>
      </c>
      <c r="C48" s="12">
        <v>0.65794700399999995</v>
      </c>
      <c r="D48" s="9">
        <v>89</v>
      </c>
      <c r="E48" s="13">
        <f t="shared" si="14"/>
        <v>1.4833333333333334</v>
      </c>
      <c r="F48" s="12">
        <f t="shared" si="54"/>
        <v>2.3399449608516218E-3</v>
      </c>
      <c r="G48" s="13">
        <f t="shared" si="16"/>
        <v>1.9122893030964594</v>
      </c>
      <c r="H48" s="11">
        <f t="shared" si="17"/>
        <v>0</v>
      </c>
      <c r="I48" s="116">
        <f t="shared" si="18"/>
        <v>0</v>
      </c>
      <c r="J48" s="21">
        <f t="shared" si="55"/>
        <v>0</v>
      </c>
      <c r="K48" s="116">
        <f t="shared" si="19"/>
        <v>0</v>
      </c>
      <c r="M48" s="25">
        <v>44781.469444444447</v>
      </c>
      <c r="N48" s="26">
        <v>3.1493245660237702E-3</v>
      </c>
      <c r="O48" s="27">
        <v>1.1786703704999999</v>
      </c>
      <c r="P48" s="28">
        <v>801</v>
      </c>
      <c r="Q48" s="29">
        <f t="shared" si="20"/>
        <v>13.35</v>
      </c>
      <c r="R48" s="26">
        <f t="shared" si="56"/>
        <v>4.2043482956417327E-2</v>
      </c>
      <c r="S48" s="29">
        <f t="shared" si="21"/>
        <v>7.8682624843202937</v>
      </c>
      <c r="T48" s="29">
        <f t="shared" si="22"/>
        <v>0</v>
      </c>
      <c r="U48" s="117">
        <f t="shared" si="23"/>
        <v>0</v>
      </c>
      <c r="V48" s="118">
        <f t="shared" si="57"/>
        <v>0</v>
      </c>
      <c r="W48" s="117">
        <f t="shared" si="24"/>
        <v>0</v>
      </c>
      <c r="Y48" s="35">
        <v>45136.46875</v>
      </c>
      <c r="Z48" s="71">
        <v>6.6261927688387101E-3</v>
      </c>
      <c r="AA48" s="70">
        <v>0.77321039300000005</v>
      </c>
      <c r="AB48" s="36">
        <v>3412</v>
      </c>
      <c r="AC48" s="37">
        <f t="shared" si="25"/>
        <v>56.866666666666667</v>
      </c>
      <c r="AD48" s="37">
        <f t="shared" si="58"/>
        <v>0.376809495454628</v>
      </c>
      <c r="AE48" s="38">
        <f t="shared" si="26"/>
        <v>23.029285130619289</v>
      </c>
      <c r="AF48" s="38">
        <f t="shared" si="27"/>
        <v>0</v>
      </c>
      <c r="AG48" s="38">
        <f t="shared" si="28"/>
        <v>0</v>
      </c>
      <c r="AH48" s="38">
        <f t="shared" si="4"/>
        <v>0</v>
      </c>
      <c r="AI48" s="38">
        <f t="shared" si="29"/>
        <v>0</v>
      </c>
      <c r="AK48" s="45">
        <v>45151.46875</v>
      </c>
      <c r="AL48" s="4">
        <v>5.71809601586296E-3</v>
      </c>
      <c r="AM48" s="3">
        <v>0.59425534599999996</v>
      </c>
      <c r="AN48" s="4">
        <v>1299</v>
      </c>
      <c r="AO48" s="46">
        <f t="shared" si="30"/>
        <v>21.65</v>
      </c>
      <c r="AP48" s="47">
        <f t="shared" si="59"/>
        <v>0.12379677874343308</v>
      </c>
      <c r="AQ48" s="50">
        <f t="shared" si="31"/>
        <v>13.352216283654387</v>
      </c>
      <c r="AR48" s="50">
        <f t="shared" si="32"/>
        <v>0</v>
      </c>
      <c r="AS48" s="50">
        <f t="shared" si="33"/>
        <v>0</v>
      </c>
      <c r="AT48" s="50">
        <f t="shared" si="6"/>
        <v>2.401439957644272E-3</v>
      </c>
      <c r="AU48" s="50">
        <f t="shared" si="34"/>
        <v>3.2064545706676155E-2</v>
      </c>
      <c r="AW48" s="51">
        <v>45166.46875</v>
      </c>
      <c r="AX48" s="72">
        <v>8.1139714277344809E-3</v>
      </c>
      <c r="AY48" s="73">
        <v>0.377160934</v>
      </c>
      <c r="AZ48" s="52">
        <v>3712</v>
      </c>
      <c r="BA48" s="53">
        <f t="shared" si="35"/>
        <v>61.866666666666667</v>
      </c>
      <c r="BB48" s="72">
        <f t="shared" si="60"/>
        <v>0.50198436566250659</v>
      </c>
      <c r="BC48" s="54">
        <f t="shared" si="36"/>
        <v>26.502178779401593</v>
      </c>
      <c r="BD48" s="54">
        <f t="shared" si="37"/>
        <v>0</v>
      </c>
      <c r="BE48" s="54">
        <f t="shared" si="38"/>
        <v>0</v>
      </c>
      <c r="BF48" s="54">
        <f t="shared" si="8"/>
        <v>0</v>
      </c>
      <c r="BG48" s="54">
        <f t="shared" si="39"/>
        <v>0</v>
      </c>
      <c r="BI48" s="66">
        <v>45183.46875</v>
      </c>
      <c r="BJ48" s="67">
        <v>5.43883589558097E-3</v>
      </c>
      <c r="BK48" s="68">
        <v>0.44894941300000002</v>
      </c>
      <c r="BL48" s="68">
        <v>1260</v>
      </c>
      <c r="BM48" s="68">
        <f t="shared" si="40"/>
        <v>21</v>
      </c>
      <c r="BN48" s="68">
        <f t="shared" si="61"/>
        <v>0.11421555380720037</v>
      </c>
      <c r="BO48" s="69">
        <f t="shared" si="41"/>
        <v>12.835761755715284</v>
      </c>
      <c r="BP48" s="69">
        <f t="shared" si="42"/>
        <v>0</v>
      </c>
      <c r="BQ48" s="69">
        <f t="shared" si="43"/>
        <v>0</v>
      </c>
      <c r="BR48" s="69">
        <f t="shared" si="10"/>
        <v>0</v>
      </c>
      <c r="BS48" s="69">
        <f t="shared" si="44"/>
        <v>0</v>
      </c>
      <c r="BU48" s="82">
        <v>45046.802083333336</v>
      </c>
      <c r="BV48" s="112">
        <v>4.8170641E-2</v>
      </c>
      <c r="BW48" s="83">
        <v>83.586986100000004</v>
      </c>
      <c r="BX48" s="112">
        <v>6007</v>
      </c>
      <c r="BY48" s="83">
        <f t="shared" si="62"/>
        <v>100.11666666666666</v>
      </c>
      <c r="BZ48" s="84">
        <f t="shared" si="63"/>
        <v>4.8226840081166662</v>
      </c>
      <c r="CA48" s="83">
        <f t="shared" si="64"/>
        <v>80.252786642949317</v>
      </c>
      <c r="CC48" s="87">
        <v>45047.71875</v>
      </c>
      <c r="CD48" s="109">
        <v>3.8870706739779902E-2</v>
      </c>
      <c r="CE48" s="88">
        <v>84.020316870000002</v>
      </c>
      <c r="CF48" s="89">
        <v>6747</v>
      </c>
      <c r="CG48" s="90">
        <f t="shared" si="45"/>
        <v>112.45</v>
      </c>
      <c r="CH48" s="91">
        <f t="shared" si="46"/>
        <v>4.37101097288825</v>
      </c>
      <c r="CI48" s="91">
        <f t="shared" si="47"/>
        <v>76.479765477308888</v>
      </c>
      <c r="CK48" s="93">
        <v>45049.71875</v>
      </c>
      <c r="CL48">
        <v>0.116324421671541</v>
      </c>
      <c r="CM48" s="95">
        <v>112.18199679999999</v>
      </c>
      <c r="CN48" s="4">
        <v>3342</v>
      </c>
      <c r="CO48" s="95">
        <f t="shared" si="48"/>
        <v>55.7</v>
      </c>
      <c r="CP48" s="94">
        <f t="shared" si="49"/>
        <v>6.4792702871048338</v>
      </c>
      <c r="CQ48" s="96">
        <f t="shared" si="50"/>
        <v>92.738042042116604</v>
      </c>
      <c r="CS48" s="10">
        <v>45050.979166666664</v>
      </c>
      <c r="CT48" s="110">
        <v>7.8127255268186799E-2</v>
      </c>
      <c r="CU48" s="21">
        <v>107.8305381</v>
      </c>
      <c r="CV48" s="111">
        <v>4667</v>
      </c>
      <c r="CW48" s="21">
        <f t="shared" si="51"/>
        <v>77.783333333333331</v>
      </c>
      <c r="CX48" s="21">
        <f t="shared" si="52"/>
        <v>6.0769983389437963</v>
      </c>
      <c r="CY48" s="21">
        <f t="shared" si="53"/>
        <v>89.872361534852587</v>
      </c>
    </row>
    <row r="49" spans="1:103" x14ac:dyDescent="0.3">
      <c r="A49" s="10">
        <v>44776.479861111111</v>
      </c>
      <c r="B49" s="11">
        <v>1.88072315721025E-3</v>
      </c>
      <c r="C49" s="12">
        <v>0.69552619199999999</v>
      </c>
      <c r="D49" s="9">
        <v>127</v>
      </c>
      <c r="E49" s="13">
        <f t="shared" si="14"/>
        <v>2.1166666666666667</v>
      </c>
      <c r="F49" s="12">
        <f t="shared" si="54"/>
        <v>3.9808640160950296E-3</v>
      </c>
      <c r="G49" s="13">
        <f t="shared" si="16"/>
        <v>2.4806328887058307</v>
      </c>
      <c r="H49" s="11">
        <f t="shared" si="17"/>
        <v>0</v>
      </c>
      <c r="I49" s="116">
        <f t="shared" si="18"/>
        <v>0</v>
      </c>
      <c r="J49" s="21">
        <f t="shared" si="55"/>
        <v>9.9911076845549197E-5</v>
      </c>
      <c r="K49" s="116">
        <f t="shared" si="19"/>
        <v>2.4784270316908493E-4</v>
      </c>
      <c r="M49" s="25">
        <v>44781.479861111111</v>
      </c>
      <c r="N49" s="26">
        <v>3.35735845027515E-3</v>
      </c>
      <c r="O49" s="27">
        <v>1.251653779</v>
      </c>
      <c r="P49" s="28">
        <v>837</v>
      </c>
      <c r="Q49" s="29">
        <f t="shared" si="20"/>
        <v>13.95</v>
      </c>
      <c r="R49" s="26">
        <f t="shared" si="56"/>
        <v>4.6835150381338342E-2</v>
      </c>
      <c r="S49" s="29">
        <f t="shared" si="21"/>
        <v>8.2953107824859842</v>
      </c>
      <c r="T49" s="29">
        <f t="shared" si="22"/>
        <v>0</v>
      </c>
      <c r="U49" s="117">
        <f t="shared" si="23"/>
        <v>0</v>
      </c>
      <c r="V49" s="118">
        <f t="shared" si="57"/>
        <v>5.0483250182856284E-4</v>
      </c>
      <c r="W49" s="117">
        <f t="shared" si="24"/>
        <v>4.1877424957678525E-3</v>
      </c>
      <c r="Y49" s="35">
        <v>45136.479166666664</v>
      </c>
      <c r="Z49" s="71">
        <v>4.9496387641399797E-3</v>
      </c>
      <c r="AA49" s="70">
        <v>0.56216848100000005</v>
      </c>
      <c r="AB49" s="36">
        <v>2314</v>
      </c>
      <c r="AC49" s="37">
        <f t="shared" si="25"/>
        <v>38.56666666666667</v>
      </c>
      <c r="AD49" s="37">
        <f t="shared" si="58"/>
        <v>0.19089106833699857</v>
      </c>
      <c r="AE49" s="38">
        <f t="shared" si="26"/>
        <v>16.506473735075257</v>
      </c>
      <c r="AF49" s="38">
        <f t="shared" si="27"/>
        <v>0</v>
      </c>
      <c r="AG49" s="38">
        <f t="shared" si="28"/>
        <v>0</v>
      </c>
      <c r="AH49" s="38">
        <f t="shared" si="4"/>
        <v>0</v>
      </c>
      <c r="AI49" s="38">
        <f t="shared" si="29"/>
        <v>0</v>
      </c>
      <c r="AK49" s="45">
        <v>45151.479166666664</v>
      </c>
      <c r="AL49" s="4">
        <v>3.59740281805622E-3</v>
      </c>
      <c r="AM49" s="3">
        <v>0.42386643899999998</v>
      </c>
      <c r="AN49" s="4">
        <v>602</v>
      </c>
      <c r="AO49" s="46">
        <f t="shared" si="30"/>
        <v>10.033333333333333</v>
      </c>
      <c r="AP49" s="47">
        <f t="shared" si="59"/>
        <v>3.6093941607830742E-2</v>
      </c>
      <c r="AQ49" s="50">
        <f t="shared" si="31"/>
        <v>7.3017872516010875</v>
      </c>
      <c r="AR49" s="50">
        <f t="shared" si="32"/>
        <v>0</v>
      </c>
      <c r="AS49" s="50">
        <f t="shared" si="33"/>
        <v>0</v>
      </c>
      <c r="AT49" s="50">
        <f t="shared" si="6"/>
        <v>0</v>
      </c>
      <c r="AU49" s="50">
        <f t="shared" si="34"/>
        <v>0</v>
      </c>
      <c r="AW49" s="51">
        <v>45166.479166666664</v>
      </c>
      <c r="AX49" s="72">
        <v>8.2288900462328396E-3</v>
      </c>
      <c r="AY49" s="73">
        <v>0.377160934</v>
      </c>
      <c r="AZ49" s="52">
        <v>4056</v>
      </c>
      <c r="BA49" s="53">
        <f t="shared" si="35"/>
        <v>67.599999999999994</v>
      </c>
      <c r="BB49" s="72">
        <f t="shared" si="60"/>
        <v>0.55627296712533991</v>
      </c>
      <c r="BC49" s="54">
        <f t="shared" si="36"/>
        <v>27.868981957172135</v>
      </c>
      <c r="BD49" s="54">
        <f t="shared" si="37"/>
        <v>0</v>
      </c>
      <c r="BE49" s="54">
        <f t="shared" si="38"/>
        <v>0</v>
      </c>
      <c r="BF49" s="54">
        <f t="shared" si="8"/>
        <v>0</v>
      </c>
      <c r="BG49" s="54">
        <f t="shared" si="39"/>
        <v>0</v>
      </c>
      <c r="BI49" s="66">
        <v>45183.479166666664</v>
      </c>
      <c r="BJ49" s="67">
        <v>4.9756135295642096E-3</v>
      </c>
      <c r="BK49" s="68">
        <v>0.44894941300000002</v>
      </c>
      <c r="BL49" s="68">
        <v>1271</v>
      </c>
      <c r="BM49" s="68">
        <f t="shared" si="40"/>
        <v>21.183333333333334</v>
      </c>
      <c r="BN49" s="68">
        <f t="shared" si="61"/>
        <v>0.10540007993460183</v>
      </c>
      <c r="BO49" s="69">
        <f t="shared" si="41"/>
        <v>12.340671763483735</v>
      </c>
      <c r="BP49" s="69">
        <f t="shared" si="42"/>
        <v>0</v>
      </c>
      <c r="BQ49" s="69">
        <f t="shared" si="43"/>
        <v>0</v>
      </c>
      <c r="BR49" s="69">
        <f t="shared" si="10"/>
        <v>0</v>
      </c>
      <c r="BS49" s="69">
        <f t="shared" si="44"/>
        <v>0</v>
      </c>
      <c r="BU49" s="82">
        <v>45046.8125</v>
      </c>
      <c r="BV49" s="112">
        <v>4.5163926E-2</v>
      </c>
      <c r="BW49" s="83">
        <v>85.762083380000007</v>
      </c>
      <c r="BX49" s="112">
        <v>6513</v>
      </c>
      <c r="BY49" s="83">
        <f t="shared" si="62"/>
        <v>108.55</v>
      </c>
      <c r="BZ49" s="84">
        <f t="shared" si="63"/>
        <v>4.9025441673000003</v>
      </c>
      <c r="CA49" s="83">
        <f t="shared" si="64"/>
        <v>80.900835828363043</v>
      </c>
      <c r="CC49" s="87">
        <v>45047.729166666664</v>
      </c>
      <c r="CD49" s="109">
        <v>3.8969982262399602E-2</v>
      </c>
      <c r="CE49" s="88">
        <v>85.323607859999996</v>
      </c>
      <c r="CF49" s="89">
        <v>6626</v>
      </c>
      <c r="CG49" s="90">
        <f t="shared" si="45"/>
        <v>110.43333333333334</v>
      </c>
      <c r="CH49" s="91">
        <f t="shared" si="46"/>
        <v>4.3035850411776631</v>
      </c>
      <c r="CI49" s="91">
        <f t="shared" si="47"/>
        <v>75.899748061847362</v>
      </c>
      <c r="CK49" s="93">
        <v>45049.729166666664</v>
      </c>
      <c r="CL49">
        <v>9.7484018750784399E-2</v>
      </c>
      <c r="CM49" s="95">
        <v>105.0166174</v>
      </c>
      <c r="CN49" s="4">
        <v>3590</v>
      </c>
      <c r="CO49" s="95">
        <f t="shared" si="48"/>
        <v>59.833333333333336</v>
      </c>
      <c r="CP49" s="94">
        <f t="shared" si="49"/>
        <v>5.8327937885886003</v>
      </c>
      <c r="CQ49" s="96">
        <f t="shared" si="50"/>
        <v>88.085287232976739</v>
      </c>
      <c r="CS49" s="10">
        <v>45050.989583333336</v>
      </c>
      <c r="CT49" s="110">
        <v>8.6189387700503398E-2</v>
      </c>
      <c r="CU49" s="21">
        <v>109.0251016</v>
      </c>
      <c r="CV49" s="111">
        <v>4667</v>
      </c>
      <c r="CW49" s="21">
        <f t="shared" si="51"/>
        <v>77.783333333333331</v>
      </c>
      <c r="CX49" s="21">
        <f t="shared" si="52"/>
        <v>6.7040978733041561</v>
      </c>
      <c r="CY49" s="21">
        <f t="shared" si="53"/>
        <v>94.300166620277253</v>
      </c>
    </row>
    <row r="50" spans="1:103" x14ac:dyDescent="0.3">
      <c r="A50" s="10">
        <v>44776.490277777775</v>
      </c>
      <c r="B50" s="11">
        <v>1.49764535066663E-3</v>
      </c>
      <c r="C50" s="12">
        <v>0.73331566249999902</v>
      </c>
      <c r="D50" s="9">
        <v>110</v>
      </c>
      <c r="E50" s="13">
        <f t="shared" si="14"/>
        <v>1.8333333333333333</v>
      </c>
      <c r="F50" s="12">
        <f t="shared" si="54"/>
        <v>2.7456831428888215E-3</v>
      </c>
      <c r="G50" s="13">
        <f t="shared" si="16"/>
        <v>2.0680484163617989</v>
      </c>
      <c r="H50" s="11">
        <f t="shared" si="17"/>
        <v>7.5042859904019042E-4</v>
      </c>
      <c r="I50" s="116">
        <f t="shared" si="18"/>
        <v>1.5519226758376691E-3</v>
      </c>
      <c r="J50" s="21">
        <f t="shared" si="55"/>
        <v>0</v>
      </c>
      <c r="K50" s="116">
        <f t="shared" si="19"/>
        <v>0</v>
      </c>
      <c r="M50" s="25">
        <v>44781.490277777775</v>
      </c>
      <c r="N50" s="26">
        <v>3.3282184882447402E-3</v>
      </c>
      <c r="O50" s="27">
        <v>1.2937263295000001</v>
      </c>
      <c r="P50" s="28">
        <v>901</v>
      </c>
      <c r="Q50" s="29">
        <f t="shared" si="20"/>
        <v>15.016666666666667</v>
      </c>
      <c r="R50" s="26">
        <f t="shared" si="56"/>
        <v>4.9978747631808519E-2</v>
      </c>
      <c r="S50" s="29">
        <f t="shared" si="21"/>
        <v>8.5634504287651811</v>
      </c>
      <c r="T50" s="29">
        <f t="shared" si="22"/>
        <v>3.4689401364954089E-5</v>
      </c>
      <c r="U50" s="117">
        <f t="shared" si="23"/>
        <v>2.9706096899232353E-4</v>
      </c>
      <c r="V50" s="118">
        <f t="shared" si="57"/>
        <v>2.0983321608935234E-3</v>
      </c>
      <c r="W50" s="117">
        <f t="shared" si="24"/>
        <v>1.7968963442895412E-2</v>
      </c>
      <c r="Y50" s="35">
        <v>45136.489583333336</v>
      </c>
      <c r="Z50" s="71">
        <v>7.5254533645734796E-3</v>
      </c>
      <c r="AA50" s="70">
        <v>0.73432993800000002</v>
      </c>
      <c r="AB50" s="36">
        <v>3094</v>
      </c>
      <c r="AC50" s="37">
        <f t="shared" si="25"/>
        <v>51.56666666666667</v>
      </c>
      <c r="AD50" s="37">
        <f t="shared" si="58"/>
        <v>0.38806254516650579</v>
      </c>
      <c r="AE50" s="38">
        <f t="shared" si="26"/>
        <v>23.363546554934821</v>
      </c>
      <c r="AF50" s="38">
        <f t="shared" si="27"/>
        <v>0</v>
      </c>
      <c r="AG50" s="38">
        <f t="shared" si="28"/>
        <v>0</v>
      </c>
      <c r="AH50" s="38">
        <f t="shared" si="4"/>
        <v>0</v>
      </c>
      <c r="AI50" s="38">
        <f t="shared" si="29"/>
        <v>0</v>
      </c>
      <c r="AK50" s="45">
        <v>45151.489583333336</v>
      </c>
      <c r="AL50" s="4">
        <v>5.3495256449413702E-3</v>
      </c>
      <c r="AM50" s="3">
        <v>0.66228851600000005</v>
      </c>
      <c r="AN50" s="4">
        <v>1439</v>
      </c>
      <c r="AO50" s="46">
        <f t="shared" si="30"/>
        <v>23.983333333333334</v>
      </c>
      <c r="AP50" s="47">
        <f t="shared" si="59"/>
        <v>0.12829945671784387</v>
      </c>
      <c r="AQ50" s="50">
        <f t="shared" si="31"/>
        <v>13.587866952177826</v>
      </c>
      <c r="AR50" s="50">
        <f t="shared" si="32"/>
        <v>3.1070903181179155E-2</v>
      </c>
      <c r="AS50" s="50">
        <f t="shared" si="33"/>
        <v>0.42218729850986114</v>
      </c>
      <c r="AT50" s="50">
        <f t="shared" si="6"/>
        <v>5.9673829080823049E-3</v>
      </c>
      <c r="AU50" s="50">
        <f t="shared" si="34"/>
        <v>8.1084005007722365E-2</v>
      </c>
      <c r="AW50" s="51">
        <v>45166.489583333336</v>
      </c>
      <c r="AX50" s="72">
        <v>1.3045911178820599E-2</v>
      </c>
      <c r="AY50" s="73">
        <v>0.44939223900000003</v>
      </c>
      <c r="AZ50" s="52">
        <v>5197</v>
      </c>
      <c r="BA50" s="53">
        <f t="shared" si="35"/>
        <v>86.61666666666666</v>
      </c>
      <c r="BB50" s="72">
        <f t="shared" si="60"/>
        <v>1.1299933399388442</v>
      </c>
      <c r="BC50" s="54">
        <f t="shared" si="36"/>
        <v>39.431641163362293</v>
      </c>
      <c r="BD50" s="54">
        <f t="shared" si="37"/>
        <v>3.7618062491693006E-2</v>
      </c>
      <c r="BE50" s="54">
        <f t="shared" si="38"/>
        <v>1.4833419414333771</v>
      </c>
      <c r="BF50" s="54">
        <f t="shared" si="8"/>
        <v>7.7160483456111775E-2</v>
      </c>
      <c r="BG50" s="54">
        <f t="shared" si="39"/>
        <v>3.0425644956329525</v>
      </c>
      <c r="BI50" s="66">
        <v>45183.489583333336</v>
      </c>
      <c r="BJ50" s="67">
        <v>4.7343069462729998E-3</v>
      </c>
      <c r="BK50" s="68">
        <v>0.44894941300000002</v>
      </c>
      <c r="BL50" s="68">
        <v>1186</v>
      </c>
      <c r="BM50" s="68">
        <f t="shared" si="40"/>
        <v>19.766666666666666</v>
      </c>
      <c r="BN50" s="68">
        <f t="shared" si="61"/>
        <v>9.3581467304662963E-2</v>
      </c>
      <c r="BO50" s="69">
        <f t="shared" si="41"/>
        <v>11.642473616465129</v>
      </c>
      <c r="BP50" s="69">
        <f t="shared" si="42"/>
        <v>0</v>
      </c>
      <c r="BQ50" s="69">
        <f t="shared" si="43"/>
        <v>0</v>
      </c>
      <c r="BR50" s="69">
        <f t="shared" si="10"/>
        <v>0</v>
      </c>
      <c r="BS50" s="69">
        <f t="shared" si="44"/>
        <v>0</v>
      </c>
      <c r="BU50" s="82">
        <v>45046.822916666664</v>
      </c>
      <c r="BV50" s="112">
        <v>3.8424170000000001E-2</v>
      </c>
      <c r="BW50" s="83">
        <v>84.891986889999998</v>
      </c>
      <c r="BX50" s="112">
        <v>7559</v>
      </c>
      <c r="BY50" s="83">
        <f t="shared" si="62"/>
        <v>125.98333333333333</v>
      </c>
      <c r="BZ50" s="84">
        <f t="shared" si="63"/>
        <v>4.8408050171666668</v>
      </c>
      <c r="CA50" s="83">
        <f t="shared" si="64"/>
        <v>80.400312456493324</v>
      </c>
      <c r="CC50" s="87">
        <v>45047.739583333336</v>
      </c>
      <c r="CD50" s="109">
        <v>4.0596798057392497E-2</v>
      </c>
      <c r="CE50" s="88">
        <v>85.323607859999996</v>
      </c>
      <c r="CF50" s="89">
        <v>6782</v>
      </c>
      <c r="CG50" s="90">
        <f t="shared" si="45"/>
        <v>113.03333333333333</v>
      </c>
      <c r="CH50" s="91">
        <f t="shared" si="46"/>
        <v>4.5887914070872649</v>
      </c>
      <c r="CI50" s="91">
        <f t="shared" si="47"/>
        <v>78.322629276989787</v>
      </c>
      <c r="CK50" s="93">
        <v>45049.739583333336</v>
      </c>
      <c r="CL50">
        <v>9.1606533761781003E-2</v>
      </c>
      <c r="CM50" s="95">
        <v>105.0166174</v>
      </c>
      <c r="CN50" s="4">
        <v>3568</v>
      </c>
      <c r="CO50" s="95">
        <f t="shared" si="48"/>
        <v>59.466666666666669</v>
      </c>
      <c r="CP50" s="94">
        <f t="shared" si="49"/>
        <v>5.447535207700577</v>
      </c>
      <c r="CQ50" s="96">
        <f t="shared" si="50"/>
        <v>85.186496090273181</v>
      </c>
      <c r="CS50" s="10">
        <v>45051</v>
      </c>
      <c r="CT50" s="110">
        <v>8.5362383611256004E-2</v>
      </c>
      <c r="CU50" s="21">
        <v>115.2898797</v>
      </c>
      <c r="CV50" s="111">
        <v>4567</v>
      </c>
      <c r="CW50" s="21">
        <f t="shared" si="51"/>
        <v>76.11666666666666</v>
      </c>
      <c r="CX50" s="21">
        <f t="shared" si="52"/>
        <v>6.497500099210102</v>
      </c>
      <c r="CY50" s="21">
        <f t="shared" si="53"/>
        <v>92.865724924964567</v>
      </c>
    </row>
    <row r="51" spans="1:103" x14ac:dyDescent="0.3">
      <c r="A51" s="10">
        <v>44776.500694444447</v>
      </c>
      <c r="B51" s="11">
        <v>1.44990757909898E-3</v>
      </c>
      <c r="C51" s="12">
        <v>0.74682702999999995</v>
      </c>
      <c r="D51" s="9">
        <v>128</v>
      </c>
      <c r="E51" s="13">
        <f t="shared" si="14"/>
        <v>2.1333333333333333</v>
      </c>
      <c r="F51" s="12">
        <f t="shared" si="54"/>
        <v>3.0931361687444904E-3</v>
      </c>
      <c r="G51" s="13">
        <f t="shared" si="16"/>
        <v>2.1923101887379342</v>
      </c>
      <c r="H51" s="11">
        <f t="shared" si="17"/>
        <v>1.88065366829645E-3</v>
      </c>
      <c r="I51" s="116">
        <f t="shared" si="18"/>
        <v>4.1229761984936785E-3</v>
      </c>
      <c r="J51" s="21">
        <f t="shared" si="55"/>
        <v>0</v>
      </c>
      <c r="K51" s="116">
        <f t="shared" si="19"/>
        <v>0</v>
      </c>
      <c r="M51" s="25">
        <v>44781.500694444447</v>
      </c>
      <c r="N51" s="26">
        <v>3.0087789011748198E-3</v>
      </c>
      <c r="O51" s="27">
        <v>1.1877777380000001</v>
      </c>
      <c r="P51" s="28">
        <v>844</v>
      </c>
      <c r="Q51" s="29">
        <f t="shared" si="20"/>
        <v>14.066666666666666</v>
      </c>
      <c r="R51" s="26">
        <f t="shared" si="56"/>
        <v>4.2323489876525795E-2</v>
      </c>
      <c r="S51" s="29">
        <f t="shared" si="21"/>
        <v>7.8938803457987481</v>
      </c>
      <c r="T51" s="29">
        <f t="shared" si="22"/>
        <v>0</v>
      </c>
      <c r="U51" s="117">
        <f t="shared" si="23"/>
        <v>0</v>
      </c>
      <c r="V51" s="118">
        <f t="shared" si="57"/>
        <v>0</v>
      </c>
      <c r="W51" s="117">
        <f t="shared" si="24"/>
        <v>0</v>
      </c>
      <c r="Y51" s="35">
        <v>45136.5</v>
      </c>
      <c r="Z51" s="71">
        <v>9.0030645332755295E-3</v>
      </c>
      <c r="AA51" s="70">
        <v>0.85462156099999997</v>
      </c>
      <c r="AB51" s="36">
        <v>3866</v>
      </c>
      <c r="AC51" s="37">
        <f t="shared" si="25"/>
        <v>64.433333333333337</v>
      </c>
      <c r="AD51" s="37">
        <f t="shared" si="58"/>
        <v>0.58009745809405333</v>
      </c>
      <c r="AE51" s="38">
        <f t="shared" si="26"/>
        <v>28.447231957877804</v>
      </c>
      <c r="AF51" s="38">
        <f t="shared" si="27"/>
        <v>0</v>
      </c>
      <c r="AG51" s="38">
        <f t="shared" si="28"/>
        <v>0</v>
      </c>
      <c r="AH51" s="38">
        <f t="shared" si="4"/>
        <v>2.6110825297917785E-2</v>
      </c>
      <c r="AI51" s="38">
        <f t="shared" si="29"/>
        <v>0.74278070386149109</v>
      </c>
      <c r="AK51" s="45">
        <v>45151.5</v>
      </c>
      <c r="AL51" s="4">
        <v>4.09028408030315E-3</v>
      </c>
      <c r="AM51" s="3">
        <v>0.53201108200000002</v>
      </c>
      <c r="AN51" s="4">
        <v>1006</v>
      </c>
      <c r="AO51" s="46">
        <f t="shared" si="30"/>
        <v>16.766666666666666</v>
      </c>
      <c r="AP51" s="47">
        <f t="shared" si="59"/>
        <v>6.8580429746416149E-2</v>
      </c>
      <c r="AQ51" s="50">
        <f t="shared" si="31"/>
        <v>9.9986376926468417</v>
      </c>
      <c r="AR51" s="50">
        <f t="shared" si="32"/>
        <v>0</v>
      </c>
      <c r="AS51" s="50">
        <f t="shared" si="33"/>
        <v>0</v>
      </c>
      <c r="AT51" s="50">
        <f t="shared" si="6"/>
        <v>0</v>
      </c>
      <c r="AU51" s="50">
        <f t="shared" si="34"/>
        <v>0</v>
      </c>
      <c r="AW51" s="51">
        <v>45166.5</v>
      </c>
      <c r="AX51" s="72">
        <v>8.9315088498678995E-3</v>
      </c>
      <c r="AY51" s="73">
        <v>0.33439968599999997</v>
      </c>
      <c r="AZ51" s="52">
        <v>3374</v>
      </c>
      <c r="BA51" s="53">
        <f t="shared" si="35"/>
        <v>56.233333333333334</v>
      </c>
      <c r="BB51" s="72">
        <f t="shared" si="60"/>
        <v>0.50224851432423823</v>
      </c>
      <c r="BC51" s="54">
        <f t="shared" si="36"/>
        <v>26.50900706392347</v>
      </c>
      <c r="BD51" s="54">
        <f t="shared" si="37"/>
        <v>0</v>
      </c>
      <c r="BE51" s="54">
        <f t="shared" si="38"/>
        <v>0</v>
      </c>
      <c r="BF51" s="54">
        <f t="shared" si="8"/>
        <v>0</v>
      </c>
      <c r="BG51" s="54">
        <f t="shared" si="39"/>
        <v>0</v>
      </c>
      <c r="BI51" s="66">
        <v>45183.5</v>
      </c>
      <c r="BJ51" s="67">
        <v>4.7910827052805201E-3</v>
      </c>
      <c r="BK51" s="68">
        <v>0.44894941300000002</v>
      </c>
      <c r="BL51" s="68">
        <v>1296</v>
      </c>
      <c r="BM51" s="68">
        <f t="shared" si="40"/>
        <v>21.6</v>
      </c>
      <c r="BN51" s="68">
        <f t="shared" si="61"/>
        <v>0.10348738643405923</v>
      </c>
      <c r="BO51" s="69">
        <f t="shared" si="41"/>
        <v>12.230492954276334</v>
      </c>
      <c r="BP51" s="69">
        <f t="shared" si="42"/>
        <v>0</v>
      </c>
      <c r="BQ51" s="69">
        <f t="shared" si="43"/>
        <v>0</v>
      </c>
      <c r="BR51" s="69">
        <f t="shared" si="10"/>
        <v>0</v>
      </c>
      <c r="BS51" s="69">
        <f t="shared" si="44"/>
        <v>0</v>
      </c>
      <c r="BU51" s="82">
        <v>45046.833333333336</v>
      </c>
      <c r="BV51" s="112">
        <v>3.7696868000000001E-2</v>
      </c>
      <c r="BW51" s="83">
        <v>83.586986100000004</v>
      </c>
      <c r="BX51" s="112">
        <v>7781</v>
      </c>
      <c r="BY51" s="83">
        <f t="shared" si="62"/>
        <v>129.68333333333334</v>
      </c>
      <c r="BZ51" s="84">
        <f t="shared" si="63"/>
        <v>4.888655498466667</v>
      </c>
      <c r="CA51" s="83">
        <f t="shared" si="64"/>
        <v>80.788521161062619</v>
      </c>
      <c r="CC51" s="87">
        <v>45047.75</v>
      </c>
      <c r="CD51" s="109">
        <v>4.1567105547000299E-2</v>
      </c>
      <c r="CE51" s="88">
        <v>86.192545629999998</v>
      </c>
      <c r="CF51" s="89">
        <v>6764</v>
      </c>
      <c r="CG51" s="90">
        <f t="shared" si="45"/>
        <v>112.73333333333333</v>
      </c>
      <c r="CH51" s="91">
        <f t="shared" si="46"/>
        <v>4.6859983653318338</v>
      </c>
      <c r="CI51" s="91">
        <f t="shared" si="47"/>
        <v>79.130770975385673</v>
      </c>
      <c r="CK51" s="93">
        <v>45049.75</v>
      </c>
      <c r="CL51">
        <v>0.104428712593764</v>
      </c>
      <c r="CM51" s="95">
        <v>109.0251016</v>
      </c>
      <c r="CN51" s="4">
        <v>3686</v>
      </c>
      <c r="CO51" s="95">
        <f t="shared" si="48"/>
        <v>61.43333333333333</v>
      </c>
      <c r="CP51" s="94">
        <f t="shared" si="49"/>
        <v>6.4154039103435681</v>
      </c>
      <c r="CQ51" s="96">
        <f t="shared" si="50"/>
        <v>92.289265097919056</v>
      </c>
      <c r="CS51" s="10">
        <v>45051.010416666664</v>
      </c>
      <c r="CT51" s="110">
        <v>9.1677339327990895E-2</v>
      </c>
      <c r="CU51" s="21">
        <v>104.61473460000001</v>
      </c>
      <c r="CV51" s="111">
        <v>4519</v>
      </c>
      <c r="CW51" s="21">
        <f t="shared" si="51"/>
        <v>75.316666666666663</v>
      </c>
      <c r="CX51" s="21">
        <f t="shared" si="52"/>
        <v>6.9048316070531808</v>
      </c>
      <c r="CY51" s="21">
        <f t="shared" si="53"/>
        <v>95.672442518428866</v>
      </c>
    </row>
    <row r="52" spans="1:103" x14ac:dyDescent="0.3">
      <c r="A52" s="10">
        <v>44776.511111111111</v>
      </c>
      <c r="B52" s="11">
        <v>1.6445534406063201E-3</v>
      </c>
      <c r="C52" s="12">
        <v>0.76967573</v>
      </c>
      <c r="D52" s="9">
        <v>131</v>
      </c>
      <c r="E52" s="13">
        <f t="shared" si="14"/>
        <v>2.1833333333333331</v>
      </c>
      <c r="F52" s="12">
        <f t="shared" si="54"/>
        <v>3.5906083453237985E-3</v>
      </c>
      <c r="G52" s="13">
        <f t="shared" si="16"/>
        <v>2.3584103922725554</v>
      </c>
      <c r="H52" s="11">
        <f t="shared" si="17"/>
        <v>3.7919460330340525E-3</v>
      </c>
      <c r="I52" s="116">
        <f t="shared" si="18"/>
        <v>8.942964931244201E-3</v>
      </c>
      <c r="J52" s="21">
        <f t="shared" si="55"/>
        <v>1.8974947957703574E-5</v>
      </c>
      <c r="K52" s="116">
        <f t="shared" si="19"/>
        <v>4.4750714456279013E-5</v>
      </c>
      <c r="M52" s="25">
        <v>44781.511111111111</v>
      </c>
      <c r="N52" s="26">
        <v>3.6192184068272399E-3</v>
      </c>
      <c r="O52" s="27">
        <v>1.141804142</v>
      </c>
      <c r="P52" s="28">
        <v>754</v>
      </c>
      <c r="Q52" s="29">
        <f t="shared" si="20"/>
        <v>12.566666666666666</v>
      </c>
      <c r="R52" s="26">
        <f t="shared" si="56"/>
        <v>4.5481511312462315E-2</v>
      </c>
      <c r="S52" s="29">
        <f t="shared" si="21"/>
        <v>8.1770252175386684</v>
      </c>
      <c r="T52" s="29">
        <f t="shared" si="22"/>
        <v>0</v>
      </c>
      <c r="U52" s="117">
        <f t="shared" si="23"/>
        <v>0</v>
      </c>
      <c r="V52" s="118">
        <f t="shared" si="57"/>
        <v>0</v>
      </c>
      <c r="W52" s="117">
        <f t="shared" si="24"/>
        <v>0</v>
      </c>
      <c r="Y52" s="35">
        <v>45136.510416666664</v>
      </c>
      <c r="Z52" s="71">
        <v>5.9519933653504999E-3</v>
      </c>
      <c r="AA52" s="70">
        <v>0.772537527</v>
      </c>
      <c r="AB52" s="36">
        <v>3095</v>
      </c>
      <c r="AC52" s="37">
        <f t="shared" si="25"/>
        <v>51.583333333333336</v>
      </c>
      <c r="AD52" s="37">
        <f t="shared" si="58"/>
        <v>0.30702365776266333</v>
      </c>
      <c r="AE52" s="38">
        <f t="shared" si="26"/>
        <v>20.83155278206107</v>
      </c>
      <c r="AF52" s="38">
        <f t="shared" si="27"/>
        <v>0</v>
      </c>
      <c r="AG52" s="38">
        <f t="shared" si="28"/>
        <v>0</v>
      </c>
      <c r="AH52" s="38">
        <f t="shared" si="4"/>
        <v>0</v>
      </c>
      <c r="AI52" s="38">
        <f t="shared" si="29"/>
        <v>0</v>
      </c>
      <c r="AK52" s="45">
        <v>45151.510416666664</v>
      </c>
      <c r="AL52" s="4">
        <v>4.6310378051022498E-3</v>
      </c>
      <c r="AM52" s="3">
        <v>0.53201108200000002</v>
      </c>
      <c r="AN52" s="4">
        <v>996</v>
      </c>
      <c r="AO52" s="46">
        <f t="shared" si="30"/>
        <v>16.600000000000001</v>
      </c>
      <c r="AP52" s="47">
        <f t="shared" si="59"/>
        <v>7.6875227564697349E-2</v>
      </c>
      <c r="AQ52" s="50">
        <f t="shared" si="31"/>
        <v>10.57360785955937</v>
      </c>
      <c r="AR52" s="50">
        <f t="shared" si="32"/>
        <v>0</v>
      </c>
      <c r="AS52" s="50">
        <f t="shared" si="33"/>
        <v>0</v>
      </c>
      <c r="AT52" s="50">
        <f t="shared" si="6"/>
        <v>0</v>
      </c>
      <c r="AU52" s="50">
        <f t="shared" si="34"/>
        <v>0</v>
      </c>
      <c r="AW52" s="51">
        <v>45166.510416666664</v>
      </c>
      <c r="AX52" s="72">
        <v>5.6741231058604902E-2</v>
      </c>
      <c r="AY52" s="73">
        <v>2.247064306</v>
      </c>
      <c r="AZ52" s="52">
        <v>7302</v>
      </c>
      <c r="BA52" s="53">
        <f t="shared" si="35"/>
        <v>121.7</v>
      </c>
      <c r="BB52" s="72">
        <f t="shared" si="60"/>
        <v>6.9054078198322166</v>
      </c>
      <c r="BC52" s="54">
        <f t="shared" si="36"/>
        <v>95.676352165121884</v>
      </c>
      <c r="BD52" s="54">
        <f t="shared" si="37"/>
        <v>1</v>
      </c>
      <c r="BE52" s="54">
        <f t="shared" si="38"/>
        <v>95.676352165121884</v>
      </c>
      <c r="BF52" s="54">
        <f t="shared" si="8"/>
        <v>1</v>
      </c>
      <c r="BG52" s="54">
        <f t="shared" si="39"/>
        <v>95.676352165121884</v>
      </c>
      <c r="BI52" s="66">
        <v>45183.510416666664</v>
      </c>
      <c r="BJ52" s="67">
        <v>7.2708837491915496E-3</v>
      </c>
      <c r="BK52" s="68">
        <v>0.44894941300000002</v>
      </c>
      <c r="BL52" s="68">
        <v>1306</v>
      </c>
      <c r="BM52" s="68">
        <f t="shared" si="40"/>
        <v>21.766666666666666</v>
      </c>
      <c r="BN52" s="68">
        <f t="shared" si="61"/>
        <v>0.15826290294073606</v>
      </c>
      <c r="BO52" s="69">
        <f t="shared" si="41"/>
        <v>15.058771778320695</v>
      </c>
      <c r="BP52" s="69">
        <f t="shared" si="42"/>
        <v>0</v>
      </c>
      <c r="BQ52" s="69">
        <f t="shared" si="43"/>
        <v>0</v>
      </c>
      <c r="BR52" s="69">
        <f t="shared" si="10"/>
        <v>0</v>
      </c>
      <c r="BS52" s="69">
        <f t="shared" si="44"/>
        <v>0</v>
      </c>
      <c r="BU52" s="82">
        <v>45046.84375</v>
      </c>
      <c r="BV52" s="112">
        <v>4.0805168000000003E-2</v>
      </c>
      <c r="BW52" s="83">
        <v>85.762083380000007</v>
      </c>
      <c r="BX52" s="112">
        <v>7657</v>
      </c>
      <c r="BY52" s="83">
        <f t="shared" si="62"/>
        <v>127.61666666666666</v>
      </c>
      <c r="BZ52" s="84">
        <f t="shared" si="63"/>
        <v>5.2074195229333338</v>
      </c>
      <c r="CA52" s="83">
        <f t="shared" si="64"/>
        <v>83.326600419213051</v>
      </c>
      <c r="CC52" s="87">
        <v>45047.760416666664</v>
      </c>
      <c r="CD52" s="109">
        <v>4.1827051271433102E-2</v>
      </c>
      <c r="CE52" s="88">
        <v>82.711152870000006</v>
      </c>
      <c r="CF52" s="89">
        <v>7136</v>
      </c>
      <c r="CG52" s="90">
        <f t="shared" si="45"/>
        <v>118.93333333333334</v>
      </c>
      <c r="CH52" s="91">
        <f t="shared" si="46"/>
        <v>4.9746306312157769</v>
      </c>
      <c r="CI52" s="91">
        <f t="shared" si="47"/>
        <v>81.481192405152612</v>
      </c>
      <c r="CK52" s="93">
        <v>45049.760416666664</v>
      </c>
      <c r="CL52">
        <v>9.7533989993822706E-2</v>
      </c>
      <c r="CM52" s="95">
        <v>123.998997</v>
      </c>
      <c r="CN52" s="4">
        <v>3381</v>
      </c>
      <c r="CO52" s="95">
        <f t="shared" si="48"/>
        <v>56.35</v>
      </c>
      <c r="CP52" s="94">
        <f t="shared" si="49"/>
        <v>5.4960403361519097</v>
      </c>
      <c r="CQ52" s="96">
        <f t="shared" si="50"/>
        <v>85.557095819920633</v>
      </c>
      <c r="CS52" s="10">
        <v>45051.020833333336</v>
      </c>
      <c r="CT52" s="110">
        <v>7.8003327691375204E-2</v>
      </c>
      <c r="CU52" s="21">
        <v>110.9974619</v>
      </c>
      <c r="CV52" s="111">
        <v>4510</v>
      </c>
      <c r="CW52" s="21">
        <f t="shared" si="51"/>
        <v>75.166666666666671</v>
      </c>
      <c r="CX52" s="21">
        <f t="shared" si="52"/>
        <v>5.8632501314683703</v>
      </c>
      <c r="CY52" s="21">
        <f t="shared" si="53"/>
        <v>88.310222285266121</v>
      </c>
    </row>
    <row r="53" spans="1:103" x14ac:dyDescent="0.3">
      <c r="A53" s="10">
        <v>44776.521527777775</v>
      </c>
      <c r="B53" s="11">
        <v>1.49849804631073E-3</v>
      </c>
      <c r="C53" s="12">
        <v>0.7477791265</v>
      </c>
      <c r="D53" s="9">
        <v>146</v>
      </c>
      <c r="E53" s="13">
        <f t="shared" si="14"/>
        <v>2.4333333333333331</v>
      </c>
      <c r="F53" s="12">
        <f t="shared" si="54"/>
        <v>3.646345246022776E-3</v>
      </c>
      <c r="G53" s="13">
        <f t="shared" si="16"/>
        <v>2.3762676229922564</v>
      </c>
      <c r="H53" s="11">
        <f t="shared" si="17"/>
        <v>1.9602964825897575E-3</v>
      </c>
      <c r="I53" s="116">
        <f t="shared" si="18"/>
        <v>4.6581890630436442E-3</v>
      </c>
      <c r="J53" s="21">
        <f t="shared" si="55"/>
        <v>3.0534367375918582E-5</v>
      </c>
      <c r="K53" s="116">
        <f t="shared" si="19"/>
        <v>7.2557828583946345E-5</v>
      </c>
      <c r="M53" s="25">
        <v>44781.521527777775</v>
      </c>
      <c r="N53" s="26">
        <v>3.45172323880017E-3</v>
      </c>
      <c r="O53" s="27">
        <v>1.2578480294999901</v>
      </c>
      <c r="P53" s="28">
        <v>769</v>
      </c>
      <c r="Q53" s="29">
        <f t="shared" si="20"/>
        <v>12.816666666666666</v>
      </c>
      <c r="R53" s="26">
        <f t="shared" si="56"/>
        <v>4.4239586177288848E-2</v>
      </c>
      <c r="S53" s="29">
        <f t="shared" si="21"/>
        <v>8.066911022859431</v>
      </c>
      <c r="T53" s="29">
        <f t="shared" si="22"/>
        <v>0</v>
      </c>
      <c r="U53" s="117">
        <f t="shared" si="23"/>
        <v>0</v>
      </c>
      <c r="V53" s="118">
        <f t="shared" si="57"/>
        <v>0</v>
      </c>
      <c r="W53" s="117">
        <f t="shared" si="24"/>
        <v>0</v>
      </c>
      <c r="Y53" s="35">
        <v>45136.520833333336</v>
      </c>
      <c r="Z53" s="71">
        <v>6.0874473409900402E-3</v>
      </c>
      <c r="AA53" s="70">
        <v>0.85462156099999997</v>
      </c>
      <c r="AB53" s="36">
        <v>3532</v>
      </c>
      <c r="AC53" s="37">
        <f t="shared" si="25"/>
        <v>58.866666666666667</v>
      </c>
      <c r="AD53" s="37">
        <f t="shared" si="58"/>
        <v>0.35834773347294702</v>
      </c>
      <c r="AE53" s="38">
        <f t="shared" si="26"/>
        <v>22.46966438227409</v>
      </c>
      <c r="AF53" s="38">
        <f t="shared" si="27"/>
        <v>0</v>
      </c>
      <c r="AG53" s="38">
        <f t="shared" si="28"/>
        <v>0</v>
      </c>
      <c r="AH53" s="38">
        <f t="shared" si="4"/>
        <v>0</v>
      </c>
      <c r="AI53" s="38">
        <f t="shared" si="29"/>
        <v>0</v>
      </c>
      <c r="AK53" s="45">
        <v>45151.520833333336</v>
      </c>
      <c r="AL53" s="4">
        <v>5.4668184779477196E-3</v>
      </c>
      <c r="AM53" s="3">
        <v>0.59425534599999996</v>
      </c>
      <c r="AN53" s="4">
        <v>1349</v>
      </c>
      <c r="AO53" s="46">
        <f t="shared" si="30"/>
        <v>22.483333333333334</v>
      </c>
      <c r="AP53" s="47">
        <f t="shared" si="59"/>
        <v>0.12291230211252457</v>
      </c>
      <c r="AQ53" s="50">
        <f t="shared" si="31"/>
        <v>13.305415372457322</v>
      </c>
      <c r="AR53" s="50">
        <f t="shared" si="32"/>
        <v>0</v>
      </c>
      <c r="AS53" s="50">
        <f t="shared" si="33"/>
        <v>0</v>
      </c>
      <c r="AT53" s="50">
        <f t="shared" si="6"/>
        <v>1.7009694321614745E-3</v>
      </c>
      <c r="AU53" s="50">
        <f t="shared" si="34"/>
        <v>2.2632104830761283E-2</v>
      </c>
      <c r="AW53" s="51">
        <v>45166.520833333336</v>
      </c>
      <c r="AX53" s="72">
        <v>2.7278545013558999E-2</v>
      </c>
      <c r="AY53" s="73">
        <v>2.0619739560000001</v>
      </c>
      <c r="AZ53" s="52">
        <v>10382</v>
      </c>
      <c r="BA53" s="53">
        <f t="shared" si="35"/>
        <v>173.03333333333333</v>
      </c>
      <c r="BB53" s="72">
        <f t="shared" si="60"/>
        <v>4.7200975721794922</v>
      </c>
      <c r="BC53" s="54">
        <f t="shared" si="36"/>
        <v>79.412228909168903</v>
      </c>
      <c r="BD53" s="54">
        <f t="shared" si="37"/>
        <v>0.90091206682409308</v>
      </c>
      <c r="BE53" s="54">
        <f t="shared" si="38"/>
        <v>71.543435277667356</v>
      </c>
      <c r="BF53" s="54">
        <f t="shared" si="8"/>
        <v>0.65081455894409201</v>
      </c>
      <c r="BG53" s="54">
        <f t="shared" si="39"/>
        <v>51.68263473228803</v>
      </c>
      <c r="BI53" s="66">
        <v>45183.520833333336</v>
      </c>
      <c r="BJ53" s="67">
        <v>5.5277851148418404E-3</v>
      </c>
      <c r="BK53" s="68">
        <v>0.376777213</v>
      </c>
      <c r="BL53" s="68">
        <v>1635</v>
      </c>
      <c r="BM53" s="68">
        <f t="shared" si="40"/>
        <v>27.25</v>
      </c>
      <c r="BN53" s="68">
        <f t="shared" si="61"/>
        <v>0.15063214437944014</v>
      </c>
      <c r="BO53" s="69">
        <f t="shared" si="41"/>
        <v>14.698731953066492</v>
      </c>
      <c r="BP53" s="69">
        <f t="shared" si="42"/>
        <v>0</v>
      </c>
      <c r="BQ53" s="69">
        <f t="shared" si="43"/>
        <v>0</v>
      </c>
      <c r="BR53" s="69">
        <f t="shared" si="10"/>
        <v>0</v>
      </c>
      <c r="BS53" s="69">
        <f t="shared" si="44"/>
        <v>0</v>
      </c>
      <c r="BU53" s="82">
        <v>45046.854166666664</v>
      </c>
      <c r="BV53" s="112">
        <v>4.0073295000000002E-2</v>
      </c>
      <c r="BW53" s="83">
        <v>86.192545629999998</v>
      </c>
      <c r="BX53" s="112">
        <v>7462</v>
      </c>
      <c r="BY53" s="83">
        <f t="shared" si="62"/>
        <v>124.36666666666666</v>
      </c>
      <c r="BZ53" s="84">
        <f t="shared" si="63"/>
        <v>4.9837821215</v>
      </c>
      <c r="CA53" s="83">
        <f t="shared" si="64"/>
        <v>81.554561769067547</v>
      </c>
      <c r="CC53" s="87">
        <v>45047.770833333336</v>
      </c>
      <c r="CD53" s="109">
        <v>4.22807288036244E-2</v>
      </c>
      <c r="CE53" s="88">
        <v>90.484855949999996</v>
      </c>
      <c r="CF53" s="89">
        <v>7026</v>
      </c>
      <c r="CG53" s="90">
        <f t="shared" si="45"/>
        <v>117.1</v>
      </c>
      <c r="CH53" s="91">
        <f t="shared" si="46"/>
        <v>4.9510733429044169</v>
      </c>
      <c r="CI53" s="91">
        <f t="shared" si="47"/>
        <v>81.29201136279157</v>
      </c>
      <c r="CK53" s="93">
        <v>45049.770833333336</v>
      </c>
      <c r="CL53">
        <v>0.105343227407854</v>
      </c>
      <c r="CM53" s="95">
        <v>126.9470365</v>
      </c>
      <c r="CN53" s="4">
        <v>3433</v>
      </c>
      <c r="CO53" s="95">
        <f t="shared" si="48"/>
        <v>57.216666666666669</v>
      </c>
      <c r="CP53" s="94">
        <f t="shared" si="49"/>
        <v>6.0273883281860465</v>
      </c>
      <c r="CQ53" s="96">
        <f t="shared" si="50"/>
        <v>89.512327251925768</v>
      </c>
      <c r="CS53" s="10">
        <v>45051.03125</v>
      </c>
      <c r="CT53" s="110">
        <v>7.6525678702842506E-2</v>
      </c>
      <c r="CU53" s="21">
        <v>103.80204430000001</v>
      </c>
      <c r="CV53" s="111">
        <v>4691</v>
      </c>
      <c r="CW53" s="21">
        <f t="shared" si="51"/>
        <v>78.183333333333337</v>
      </c>
      <c r="CX53" s="21">
        <f t="shared" si="52"/>
        <v>5.9830326465839034</v>
      </c>
      <c r="CY53" s="21">
        <f t="shared" si="53"/>
        <v>89.189142578424537</v>
      </c>
    </row>
    <row r="54" spans="1:103" x14ac:dyDescent="0.3">
      <c r="A54" s="10">
        <v>44776.531944444447</v>
      </c>
      <c r="B54" s="11">
        <v>1.75272505335628E-3</v>
      </c>
      <c r="C54" s="12">
        <v>0.71824162000000003</v>
      </c>
      <c r="D54" s="9">
        <v>101</v>
      </c>
      <c r="E54" s="13">
        <f t="shared" si="14"/>
        <v>1.6833333333333333</v>
      </c>
      <c r="F54" s="12">
        <f t="shared" si="54"/>
        <v>2.9504205064830712E-3</v>
      </c>
      <c r="G54" s="13">
        <f t="shared" si="16"/>
        <v>2.1421789492760746</v>
      </c>
      <c r="H54" s="11">
        <f t="shared" si="17"/>
        <v>0</v>
      </c>
      <c r="I54" s="116">
        <f t="shared" si="18"/>
        <v>0</v>
      </c>
      <c r="J54" s="21">
        <f t="shared" si="55"/>
        <v>0</v>
      </c>
      <c r="K54" s="116">
        <f t="shared" si="19"/>
        <v>0</v>
      </c>
      <c r="M54" s="25">
        <v>44781.531944444447</v>
      </c>
      <c r="N54" s="26">
        <v>3.7018170829171801E-3</v>
      </c>
      <c r="O54" s="27">
        <v>1.3324552590000001</v>
      </c>
      <c r="P54" s="28">
        <v>828</v>
      </c>
      <c r="Q54" s="29">
        <f t="shared" si="20"/>
        <v>13.8</v>
      </c>
      <c r="R54" s="26">
        <f t="shared" si="56"/>
        <v>5.1085075744257087E-2</v>
      </c>
      <c r="S54" s="29">
        <f t="shared" si="21"/>
        <v>8.6557595760042485</v>
      </c>
      <c r="T54" s="29">
        <f t="shared" si="22"/>
        <v>1.295608558632922E-3</v>
      </c>
      <c r="U54" s="117">
        <f t="shared" si="23"/>
        <v>1.1214476188139977E-2</v>
      </c>
      <c r="V54" s="118">
        <f t="shared" si="57"/>
        <v>2.6591334752912566E-3</v>
      </c>
      <c r="W54" s="117">
        <f t="shared" si="24"/>
        <v>2.301682004262575E-2</v>
      </c>
      <c r="Y54" s="35">
        <v>45136.53125</v>
      </c>
      <c r="Z54" s="71">
        <v>6.9240636557042099E-3</v>
      </c>
      <c r="AA54" s="70">
        <v>0.89783227600000004</v>
      </c>
      <c r="AB54" s="36">
        <v>4737</v>
      </c>
      <c r="AC54" s="37">
        <f t="shared" si="25"/>
        <v>78.95</v>
      </c>
      <c r="AD54" s="37">
        <f t="shared" si="58"/>
        <v>0.5466548256178474</v>
      </c>
      <c r="AE54" s="38">
        <f t="shared" si="26"/>
        <v>27.631963081806077</v>
      </c>
      <c r="AF54" s="38">
        <f t="shared" si="27"/>
        <v>0</v>
      </c>
      <c r="AG54" s="38">
        <f t="shared" si="28"/>
        <v>0</v>
      </c>
      <c r="AH54" s="38">
        <f t="shared" si="4"/>
        <v>1.7243850625762953E-2</v>
      </c>
      <c r="AI54" s="38">
        <f t="shared" si="29"/>
        <v>0.47648144387926056</v>
      </c>
      <c r="AK54" s="45">
        <v>45151.53125</v>
      </c>
      <c r="AL54" s="4">
        <v>6.2279021899720299E-3</v>
      </c>
      <c r="AM54" s="3">
        <v>0.59425534599999996</v>
      </c>
      <c r="AN54" s="4">
        <v>1323</v>
      </c>
      <c r="AO54" s="46">
        <f t="shared" si="30"/>
        <v>22.05</v>
      </c>
      <c r="AP54" s="47">
        <f t="shared" si="59"/>
        <v>0.13732524328888326</v>
      </c>
      <c r="AQ54" s="50">
        <f t="shared" si="31"/>
        <v>14.047852945938359</v>
      </c>
      <c r="AR54" s="50">
        <f t="shared" si="32"/>
        <v>0</v>
      </c>
      <c r="AS54" s="50">
        <f t="shared" si="33"/>
        <v>0</v>
      </c>
      <c r="AT54" s="50">
        <f t="shared" si="6"/>
        <v>1.3115449054066867E-2</v>
      </c>
      <c r="AU54" s="50">
        <f t="shared" si="34"/>
        <v>0.18424389963147769</v>
      </c>
      <c r="AW54" s="51">
        <v>45166.53125</v>
      </c>
      <c r="AX54" s="72">
        <v>3.3881498761867697E-2</v>
      </c>
      <c r="AY54" s="73">
        <v>1.8086265969999999</v>
      </c>
      <c r="AZ54" s="52">
        <v>10156</v>
      </c>
      <c r="BA54" s="53">
        <f t="shared" si="35"/>
        <v>169.26666666666668</v>
      </c>
      <c r="BB54" s="72">
        <f t="shared" si="60"/>
        <v>5.7350083570921395</v>
      </c>
      <c r="BC54" s="54">
        <f t="shared" si="36"/>
        <v>87.359013166733888</v>
      </c>
      <c r="BD54" s="54">
        <f t="shared" si="37"/>
        <v>0.76528281236061324</v>
      </c>
      <c r="BE54" s="54">
        <f t="shared" si="38"/>
        <v>66.854351281285957</v>
      </c>
      <c r="BF54" s="54">
        <f t="shared" si="8"/>
        <v>0.81298469951922481</v>
      </c>
      <c r="BG54" s="54">
        <f t="shared" si="39"/>
        <v>71.021541069653153</v>
      </c>
      <c r="BI54" s="66">
        <v>45183.53125</v>
      </c>
      <c r="BJ54" s="67">
        <v>5.26403645332144E-3</v>
      </c>
      <c r="BK54" s="68">
        <v>0.44894941300000002</v>
      </c>
      <c r="BL54" s="68">
        <v>1230</v>
      </c>
      <c r="BM54" s="68">
        <f t="shared" si="40"/>
        <v>20.5</v>
      </c>
      <c r="BN54" s="68">
        <f t="shared" si="61"/>
        <v>0.10791274729308951</v>
      </c>
      <c r="BO54" s="69">
        <f t="shared" si="41"/>
        <v>12.483872311980331</v>
      </c>
      <c r="BP54" s="69">
        <f t="shared" si="42"/>
        <v>0</v>
      </c>
      <c r="BQ54" s="69">
        <f t="shared" si="43"/>
        <v>0</v>
      </c>
      <c r="BR54" s="69">
        <f t="shared" si="10"/>
        <v>0</v>
      </c>
      <c r="BS54" s="69">
        <f t="shared" si="44"/>
        <v>0</v>
      </c>
      <c r="BU54" s="82">
        <v>45046.864583333336</v>
      </c>
      <c r="BV54" s="112">
        <v>4.0686440999999997E-2</v>
      </c>
      <c r="BW54" s="83">
        <v>84.891986889999998</v>
      </c>
      <c r="BX54" s="112">
        <v>7365</v>
      </c>
      <c r="BY54" s="83">
        <f t="shared" si="62"/>
        <v>122.75</v>
      </c>
      <c r="BZ54" s="84">
        <f t="shared" si="63"/>
        <v>4.9942606327499997</v>
      </c>
      <c r="CA54" s="83">
        <f t="shared" si="64"/>
        <v>81.638485754857172</v>
      </c>
      <c r="CC54" s="87">
        <v>45047.78125</v>
      </c>
      <c r="CD54" s="109">
        <v>4.1297194147822402E-2</v>
      </c>
      <c r="CE54" s="88">
        <v>87.058386479999996</v>
      </c>
      <c r="CF54" s="89">
        <v>7093</v>
      </c>
      <c r="CG54" s="90">
        <f t="shared" si="45"/>
        <v>118.21666666666667</v>
      </c>
      <c r="CH54" s="91">
        <f t="shared" si="46"/>
        <v>4.8820166348417384</v>
      </c>
      <c r="CI54" s="91">
        <f t="shared" si="47"/>
        <v>80.734776585821564</v>
      </c>
      <c r="CK54" s="93">
        <v>45049.78125</v>
      </c>
      <c r="CL54">
        <v>9.4440414737682707E-2</v>
      </c>
      <c r="CM54" s="95">
        <v>130.92322350000001</v>
      </c>
      <c r="CN54" s="4">
        <v>3620</v>
      </c>
      <c r="CO54" s="95">
        <f t="shared" si="48"/>
        <v>60.333333333333336</v>
      </c>
      <c r="CP54" s="94">
        <f t="shared" si="49"/>
        <v>5.6979050225068573</v>
      </c>
      <c r="CQ54" s="96">
        <f t="shared" si="50"/>
        <v>87.081786271634414</v>
      </c>
      <c r="CS54" s="10">
        <v>45051.041666666664</v>
      </c>
      <c r="CT54" s="110">
        <v>8.4832978381257196E-2</v>
      </c>
      <c r="CU54" s="21">
        <v>109.0251016</v>
      </c>
      <c r="CV54" s="111">
        <v>4477</v>
      </c>
      <c r="CW54" s="21">
        <f t="shared" si="51"/>
        <v>74.61666666666666</v>
      </c>
      <c r="CX54" s="21">
        <f t="shared" si="52"/>
        <v>6.3299540702148072</v>
      </c>
      <c r="CY54" s="21">
        <f t="shared" si="53"/>
        <v>91.685244261298976</v>
      </c>
    </row>
    <row r="55" spans="1:103" x14ac:dyDescent="0.3">
      <c r="A55" s="10">
        <v>44776.542361111111</v>
      </c>
      <c r="B55" s="11">
        <v>1.7477777618441E-3</v>
      </c>
      <c r="C55" s="12">
        <v>0.72944691949999996</v>
      </c>
      <c r="D55" s="9">
        <v>127</v>
      </c>
      <c r="E55" s="13">
        <f t="shared" si="14"/>
        <v>2.1166666666666667</v>
      </c>
      <c r="F55" s="12">
        <f t="shared" si="54"/>
        <v>3.6994629292366782E-3</v>
      </c>
      <c r="G55" s="13">
        <f t="shared" si="16"/>
        <v>2.3931565222710121</v>
      </c>
      <c r="H55" s="11">
        <f t="shared" si="17"/>
        <v>4.2680848248956662E-4</v>
      </c>
      <c r="I55" s="116">
        <f t="shared" si="18"/>
        <v>1.0214195036304995E-3</v>
      </c>
      <c r="J55" s="21">
        <f t="shared" si="55"/>
        <v>4.1550580532611729E-5</v>
      </c>
      <c r="K55" s="116">
        <f t="shared" si="19"/>
        <v>9.9437042805766707E-5</v>
      </c>
      <c r="M55" s="25">
        <v>44781.542361111111</v>
      </c>
      <c r="N55" s="26">
        <v>4.65691285625332E-3</v>
      </c>
      <c r="O55" s="27">
        <v>1.5909838079999901</v>
      </c>
      <c r="P55" s="28">
        <v>1445</v>
      </c>
      <c r="Q55" s="29">
        <f t="shared" si="20"/>
        <v>24.083333333333332</v>
      </c>
      <c r="R55" s="26">
        <f t="shared" si="56"/>
        <v>0.11215398462143412</v>
      </c>
      <c r="S55" s="29">
        <f t="shared" si="21"/>
        <v>12.721779242976282</v>
      </c>
      <c r="T55" s="29">
        <f t="shared" si="22"/>
        <v>9.7126653774840185E-3</v>
      </c>
      <c r="U55" s="117">
        <f t="shared" si="23"/>
        <v>0.12356238479325059</v>
      </c>
      <c r="V55" s="118">
        <f t="shared" si="57"/>
        <v>3.3615161783528247E-2</v>
      </c>
      <c r="W55" s="117">
        <f t="shared" si="24"/>
        <v>0.42764466742697926</v>
      </c>
      <c r="Y55" s="35">
        <v>45136.541666666664</v>
      </c>
      <c r="Z55" s="71">
        <v>5.39412258391347E-3</v>
      </c>
      <c r="AA55" s="70">
        <v>0.56216848100000005</v>
      </c>
      <c r="AB55" s="36">
        <v>1520</v>
      </c>
      <c r="AC55" s="37">
        <f t="shared" si="25"/>
        <v>25.333333333333332</v>
      </c>
      <c r="AD55" s="37">
        <f t="shared" si="58"/>
        <v>0.13665110545914122</v>
      </c>
      <c r="AE55" s="38">
        <f t="shared" si="26"/>
        <v>14.01403997288701</v>
      </c>
      <c r="AF55" s="38">
        <f t="shared" si="27"/>
        <v>0</v>
      </c>
      <c r="AG55" s="38">
        <f t="shared" si="28"/>
        <v>0</v>
      </c>
      <c r="AH55" s="38">
        <f t="shared" si="4"/>
        <v>0</v>
      </c>
      <c r="AI55" s="38">
        <f t="shared" si="29"/>
        <v>0</v>
      </c>
      <c r="AK55" s="45">
        <v>45151.541666666664</v>
      </c>
      <c r="AL55" s="4">
        <v>6.2470266960211601E-3</v>
      </c>
      <c r="AM55" s="3">
        <v>0.66168135500000003</v>
      </c>
      <c r="AN55" s="4">
        <v>1368</v>
      </c>
      <c r="AO55" s="46">
        <f t="shared" si="30"/>
        <v>22.8</v>
      </c>
      <c r="AP55" s="47">
        <f t="shared" si="59"/>
        <v>0.14243220866928247</v>
      </c>
      <c r="AQ55" s="50">
        <f t="shared" si="31"/>
        <v>14.301300513135727</v>
      </c>
      <c r="AR55" s="50">
        <f t="shared" si="32"/>
        <v>3.0740633965156895E-2</v>
      </c>
      <c r="AS55" s="50">
        <f t="shared" si="33"/>
        <v>0.43963104430001587</v>
      </c>
      <c r="AT55" s="50">
        <f t="shared" si="6"/>
        <v>1.7159963740629291E-2</v>
      </c>
      <c r="AU55" s="50">
        <f t="shared" si="34"/>
        <v>0.24540979824925216</v>
      </c>
      <c r="AW55" s="51">
        <v>45166.541666666664</v>
      </c>
      <c r="AX55" s="72">
        <v>2.8678916831400399E-2</v>
      </c>
      <c r="AY55" s="73">
        <v>1.8086265969999999</v>
      </c>
      <c r="AZ55" s="52">
        <v>10077</v>
      </c>
      <c r="BA55" s="53">
        <f t="shared" si="35"/>
        <v>167.95</v>
      </c>
      <c r="BB55" s="72">
        <f t="shared" si="60"/>
        <v>4.8166240818336963</v>
      </c>
      <c r="BC55" s="54">
        <f t="shared" si="36"/>
        <v>80.203388791059325</v>
      </c>
      <c r="BD55" s="54">
        <f t="shared" si="37"/>
        <v>0.76528281236061324</v>
      </c>
      <c r="BE55" s="54">
        <f t="shared" si="38"/>
        <v>61.378274934873566</v>
      </c>
      <c r="BF55" s="54">
        <f t="shared" si="8"/>
        <v>0.66623829654995115</v>
      </c>
      <c r="BG55" s="54">
        <f t="shared" si="39"/>
        <v>53.43456912568881</v>
      </c>
      <c r="BI55" s="66">
        <v>45183.541666666664</v>
      </c>
      <c r="BJ55" s="67">
        <v>5.3015390052096904E-3</v>
      </c>
      <c r="BK55" s="68">
        <v>0.47522856800000002</v>
      </c>
      <c r="BL55" s="68">
        <v>1553</v>
      </c>
      <c r="BM55" s="68">
        <f t="shared" si="40"/>
        <v>25.883333333333333</v>
      </c>
      <c r="BN55" s="68">
        <f t="shared" si="61"/>
        <v>0.13722150125151081</v>
      </c>
      <c r="BO55" s="69">
        <f t="shared" si="41"/>
        <v>14.042655042741387</v>
      </c>
      <c r="BP55" s="69">
        <f t="shared" si="42"/>
        <v>5.0310938597030548E-3</v>
      </c>
      <c r="BQ55" s="69">
        <f t="shared" si="43"/>
        <v>7.064991555946433E-2</v>
      </c>
      <c r="BR55" s="69">
        <f t="shared" si="10"/>
        <v>0</v>
      </c>
      <c r="BS55" s="69">
        <f t="shared" si="44"/>
        <v>0</v>
      </c>
      <c r="BU55" s="82">
        <v>45046.875</v>
      </c>
      <c r="BV55" s="112">
        <v>4.1675717000000001E-2</v>
      </c>
      <c r="BW55" s="83">
        <v>87.058386479999996</v>
      </c>
      <c r="BX55" s="112">
        <v>7319</v>
      </c>
      <c r="BY55" s="83">
        <f t="shared" si="62"/>
        <v>121.98333333333333</v>
      </c>
      <c r="BZ55" s="84">
        <f t="shared" si="63"/>
        <v>5.0837428787166665</v>
      </c>
      <c r="CA55" s="83">
        <f t="shared" si="64"/>
        <v>82.351533429029573</v>
      </c>
      <c r="CC55" s="87">
        <v>45047.791666666664</v>
      </c>
      <c r="CD55" s="109">
        <v>4.2977337790364098E-2</v>
      </c>
      <c r="CE55" s="88">
        <v>86.192545629999998</v>
      </c>
      <c r="CF55" s="89">
        <v>6738</v>
      </c>
      <c r="CG55" s="90">
        <f t="shared" si="45"/>
        <v>112.3</v>
      </c>
      <c r="CH55" s="91">
        <f t="shared" si="46"/>
        <v>4.8263550338578884</v>
      </c>
      <c r="CI55" s="91">
        <f t="shared" si="47"/>
        <v>80.282695824136809</v>
      </c>
      <c r="CK55" s="93">
        <v>45049.791666666664</v>
      </c>
      <c r="CL55">
        <v>9.9291992445538199E-2</v>
      </c>
      <c r="CM55" s="95">
        <v>129.12778700000001</v>
      </c>
      <c r="CN55" s="4">
        <v>3533</v>
      </c>
      <c r="CO55" s="95">
        <f t="shared" si="48"/>
        <v>58.883333333333333</v>
      </c>
      <c r="CP55" s="94">
        <f t="shared" si="49"/>
        <v>5.8466434885014413</v>
      </c>
      <c r="CQ55" s="96">
        <f t="shared" si="50"/>
        <v>88.187648190619555</v>
      </c>
      <c r="CS55" s="10">
        <v>45051.052083333336</v>
      </c>
      <c r="CT55" s="110">
        <v>8.0148569824657803E-2</v>
      </c>
      <c r="CU55" s="21">
        <v>109.8129265</v>
      </c>
      <c r="CV55" s="111">
        <v>4556</v>
      </c>
      <c r="CW55" s="21">
        <f t="shared" si="51"/>
        <v>75.933333333333337</v>
      </c>
      <c r="CX55" s="21">
        <f t="shared" si="52"/>
        <v>6.0859480686856831</v>
      </c>
      <c r="CY55" s="21">
        <f t="shared" si="53"/>
        <v>89.937152426769686</v>
      </c>
    </row>
    <row r="56" spans="1:103" x14ac:dyDescent="0.3">
      <c r="A56" s="10">
        <v>44776.552777777775</v>
      </c>
      <c r="B56" s="11">
        <v>1.4017038497322401E-3</v>
      </c>
      <c r="C56" s="12">
        <v>0.68032893350000001</v>
      </c>
      <c r="D56" s="9">
        <v>102</v>
      </c>
      <c r="E56" s="13">
        <f t="shared" si="14"/>
        <v>1.7</v>
      </c>
      <c r="F56" s="12">
        <f t="shared" si="54"/>
        <v>2.3828965445448079E-3</v>
      </c>
      <c r="G56" s="13">
        <f t="shared" si="16"/>
        <v>1.929398795245691</v>
      </c>
      <c r="H56" s="11">
        <f t="shared" si="17"/>
        <v>0</v>
      </c>
      <c r="I56" s="116">
        <f t="shared" si="18"/>
        <v>0</v>
      </c>
      <c r="J56" s="21">
        <f t="shared" si="55"/>
        <v>0</v>
      </c>
      <c r="K56" s="116">
        <f t="shared" si="19"/>
        <v>0</v>
      </c>
      <c r="M56" s="25">
        <v>44781.552777777775</v>
      </c>
      <c r="N56" s="26">
        <v>5.2679225855420701E-3</v>
      </c>
      <c r="O56" s="27">
        <v>2.1687506614999998</v>
      </c>
      <c r="P56" s="28">
        <v>1853</v>
      </c>
      <c r="Q56" s="29">
        <f t="shared" si="20"/>
        <v>30.883333333333333</v>
      </c>
      <c r="R56" s="26">
        <f t="shared" si="56"/>
        <v>0.16269100918349094</v>
      </c>
      <c r="S56" s="29">
        <f t="shared" si="21"/>
        <v>15.263647387955624</v>
      </c>
      <c r="T56" s="29">
        <f t="shared" si="22"/>
        <v>2.8523340069966773E-2</v>
      </c>
      <c r="U56" s="117">
        <f t="shared" si="23"/>
        <v>0.4353702051547183</v>
      </c>
      <c r="V56" s="118">
        <f t="shared" si="57"/>
        <v>5.9232543716837407E-2</v>
      </c>
      <c r="W56" s="117">
        <f t="shared" si="24"/>
        <v>0.90410466118547261</v>
      </c>
      <c r="Y56" s="35">
        <v>45136.552083333336</v>
      </c>
      <c r="Z56" s="71">
        <v>7.4800171752494897E-3</v>
      </c>
      <c r="AA56" s="70">
        <v>0.77321039300000005</v>
      </c>
      <c r="AB56" s="36">
        <v>3102</v>
      </c>
      <c r="AC56" s="37">
        <f t="shared" si="25"/>
        <v>51.7</v>
      </c>
      <c r="AD56" s="37">
        <f t="shared" si="58"/>
        <v>0.38671688796039866</v>
      </c>
      <c r="AE56" s="38">
        <f t="shared" si="26"/>
        <v>23.323837793864588</v>
      </c>
      <c r="AF56" s="38">
        <f t="shared" si="27"/>
        <v>0</v>
      </c>
      <c r="AG56" s="38">
        <f t="shared" si="28"/>
        <v>0</v>
      </c>
      <c r="AH56" s="38">
        <f t="shared" si="4"/>
        <v>0</v>
      </c>
      <c r="AI56" s="38">
        <f t="shared" si="29"/>
        <v>0</v>
      </c>
      <c r="AK56" s="45">
        <v>45151.552083333336</v>
      </c>
      <c r="AL56" s="4">
        <v>5.5351229738632704E-3</v>
      </c>
      <c r="AM56" s="3">
        <v>0.59425534599999996</v>
      </c>
      <c r="AN56" s="4">
        <v>1279</v>
      </c>
      <c r="AO56" s="46">
        <f t="shared" si="30"/>
        <v>21.316666666666666</v>
      </c>
      <c r="AP56" s="47">
        <f t="shared" si="59"/>
        <v>0.11799037139285204</v>
      </c>
      <c r="AQ56" s="50">
        <f t="shared" si="31"/>
        <v>13.041779616482009</v>
      </c>
      <c r="AR56" s="50">
        <f t="shared" si="32"/>
        <v>0</v>
      </c>
      <c r="AS56" s="50">
        <f t="shared" si="33"/>
        <v>0</v>
      </c>
      <c r="AT56" s="50">
        <f t="shared" si="6"/>
        <v>0</v>
      </c>
      <c r="AU56" s="50">
        <f t="shared" si="34"/>
        <v>0</v>
      </c>
      <c r="AW56" s="51">
        <v>45166.552083333336</v>
      </c>
      <c r="AX56" s="72">
        <v>2.3825918833108702E-2</v>
      </c>
      <c r="AY56" s="73">
        <v>1.5821856839999999</v>
      </c>
      <c r="AZ56" s="52">
        <v>10151</v>
      </c>
      <c r="BA56" s="53">
        <f t="shared" si="35"/>
        <v>169.18333333333334</v>
      </c>
      <c r="BB56" s="72">
        <f t="shared" si="60"/>
        <v>4.0309483679147737</v>
      </c>
      <c r="BC56" s="54">
        <f t="shared" si="36"/>
        <v>73.505784301683235</v>
      </c>
      <c r="BD56" s="54">
        <f t="shared" si="37"/>
        <v>0.64405789676865843</v>
      </c>
      <c r="BE56" s="54">
        <f t="shared" si="38"/>
        <v>47.341980837672772</v>
      </c>
      <c r="BF56" s="54">
        <f t="shared" si="8"/>
        <v>0.54069707374812037</v>
      </c>
      <c r="BG56" s="54">
        <f t="shared" si="39"/>
        <v>39.744362475480649</v>
      </c>
      <c r="BI56" s="66">
        <v>45183.552083333336</v>
      </c>
      <c r="BJ56" s="67">
        <v>5.8778806381355004E-3</v>
      </c>
      <c r="BK56" s="68">
        <v>0.47522856800000002</v>
      </c>
      <c r="BL56" s="68">
        <v>1282</v>
      </c>
      <c r="BM56" s="68">
        <f t="shared" si="40"/>
        <v>21.366666666666667</v>
      </c>
      <c r="BN56" s="68">
        <f t="shared" si="61"/>
        <v>0.12559071630149521</v>
      </c>
      <c r="BO56" s="69">
        <f t="shared" si="41"/>
        <v>13.446618973055477</v>
      </c>
      <c r="BP56" s="69">
        <f t="shared" si="42"/>
        <v>5.0310938597030548E-3</v>
      </c>
      <c r="BQ56" s="69">
        <f t="shared" si="43"/>
        <v>6.7651202149106013E-2</v>
      </c>
      <c r="BR56" s="69">
        <f t="shared" si="10"/>
        <v>0</v>
      </c>
      <c r="BS56" s="69">
        <f t="shared" si="44"/>
        <v>0</v>
      </c>
      <c r="BU56" s="82">
        <v>45046.885416666664</v>
      </c>
      <c r="BV56" s="112">
        <v>4.1552093999999998E-2</v>
      </c>
      <c r="BW56" s="83">
        <v>82.276892649999994</v>
      </c>
      <c r="BX56" s="112">
        <v>7415</v>
      </c>
      <c r="BY56" s="83">
        <f t="shared" si="62"/>
        <v>123.58333333333333</v>
      </c>
      <c r="BZ56" s="84">
        <f t="shared" si="63"/>
        <v>5.1351462834999992</v>
      </c>
      <c r="CA56" s="83">
        <f t="shared" si="64"/>
        <v>82.75825190250282</v>
      </c>
      <c r="CC56" s="87">
        <v>45047.802083333336</v>
      </c>
      <c r="CD56" s="109">
        <v>4.2030558323456001E-2</v>
      </c>
      <c r="CE56" s="88">
        <v>87.487093729999998</v>
      </c>
      <c r="CF56" s="89">
        <v>7177</v>
      </c>
      <c r="CG56" s="90">
        <f t="shared" si="45"/>
        <v>119.61666666666666</v>
      </c>
      <c r="CH56" s="91">
        <f t="shared" si="46"/>
        <v>5.0275552847907283</v>
      </c>
      <c r="CI56" s="91">
        <f t="shared" si="47"/>
        <v>81.90455301712359</v>
      </c>
      <c r="CK56" s="93">
        <v>45049.802083333336</v>
      </c>
      <c r="CL56">
        <v>0.109468007984158</v>
      </c>
      <c r="CM56" s="95">
        <v>133.7707528</v>
      </c>
      <c r="CN56" s="4">
        <v>3395</v>
      </c>
      <c r="CO56" s="95">
        <f t="shared" si="48"/>
        <v>56.583333333333336</v>
      </c>
      <c r="CP56" s="94">
        <f t="shared" si="49"/>
        <v>6.194064785103607</v>
      </c>
      <c r="CQ56" s="96">
        <f t="shared" si="50"/>
        <v>90.716046352012157</v>
      </c>
      <c r="CS56" s="10">
        <v>45051.0625</v>
      </c>
      <c r="CT56" s="110">
        <v>8.2132847963435507E-2</v>
      </c>
      <c r="CU56" s="21">
        <v>111.0042136</v>
      </c>
      <c r="CV56" s="111">
        <v>4655</v>
      </c>
      <c r="CW56" s="21">
        <f t="shared" si="51"/>
        <v>77.583333333333329</v>
      </c>
      <c r="CX56" s="21">
        <f t="shared" si="52"/>
        <v>6.3721401211632047</v>
      </c>
      <c r="CY56" s="21">
        <f t="shared" si="53"/>
        <v>91.983962136406006</v>
      </c>
    </row>
    <row r="57" spans="1:103" x14ac:dyDescent="0.3">
      <c r="A57" s="10">
        <v>44776.563194444447</v>
      </c>
      <c r="B57" s="11">
        <v>1.3574561634927399E-3</v>
      </c>
      <c r="C57" s="12">
        <v>0.62184915699999999</v>
      </c>
      <c r="D57" s="9">
        <v>89</v>
      </c>
      <c r="E57" s="13">
        <f t="shared" si="14"/>
        <v>1.4833333333333334</v>
      </c>
      <c r="F57" s="12">
        <f t="shared" si="54"/>
        <v>2.0135599758475645E-3</v>
      </c>
      <c r="G57" s="13">
        <f t="shared" si="16"/>
        <v>1.7766629370625679</v>
      </c>
      <c r="H57" s="11">
        <f t="shared" si="17"/>
        <v>0</v>
      </c>
      <c r="I57" s="116">
        <f t="shared" si="18"/>
        <v>0</v>
      </c>
      <c r="J57" s="21">
        <f t="shared" si="55"/>
        <v>0</v>
      </c>
      <c r="K57" s="116">
        <f t="shared" si="19"/>
        <v>0</v>
      </c>
      <c r="M57" s="25">
        <v>44781.563194444447</v>
      </c>
      <c r="N57" s="26">
        <v>4.70751967541648E-3</v>
      </c>
      <c r="O57" s="27">
        <v>2.3007473825</v>
      </c>
      <c r="P57" s="28">
        <v>1713</v>
      </c>
      <c r="Q57" s="29">
        <f t="shared" si="20"/>
        <v>28.55</v>
      </c>
      <c r="R57" s="26">
        <f t="shared" si="56"/>
        <v>0.13439968673314051</v>
      </c>
      <c r="S57" s="29">
        <f t="shared" si="21"/>
        <v>13.900493495878012</v>
      </c>
      <c r="T57" s="29">
        <f t="shared" si="22"/>
        <v>3.2820830249896883E-2</v>
      </c>
      <c r="U57" s="117">
        <f t="shared" si="23"/>
        <v>0.45622573741800793</v>
      </c>
      <c r="V57" s="118">
        <f t="shared" si="57"/>
        <v>4.4891580454960438E-2</v>
      </c>
      <c r="W57" s="117">
        <f t="shared" si="24"/>
        <v>0.62401512213386201</v>
      </c>
      <c r="Y57" s="35">
        <v>45136.5625</v>
      </c>
      <c r="Z57" s="71">
        <v>8.05563591415266E-3</v>
      </c>
      <c r="AA57" s="70">
        <v>0.89859415399999998</v>
      </c>
      <c r="AB57" s="36">
        <v>4973</v>
      </c>
      <c r="AC57" s="37">
        <f t="shared" si="25"/>
        <v>82.88333333333334</v>
      </c>
      <c r="AD57" s="37">
        <f t="shared" si="58"/>
        <v>0.66767795668468632</v>
      </c>
      <c r="AE57" s="38">
        <f t="shared" si="26"/>
        <v>30.475025054476774</v>
      </c>
      <c r="AF57" s="38">
        <f t="shared" si="27"/>
        <v>0</v>
      </c>
      <c r="AG57" s="38">
        <f t="shared" si="28"/>
        <v>0</v>
      </c>
      <c r="AH57" s="38">
        <f t="shared" si="4"/>
        <v>4.9331905855208205E-2</v>
      </c>
      <c r="AI57" s="38">
        <f t="shared" si="29"/>
        <v>1.5033910669225594</v>
      </c>
      <c r="AK57" s="45">
        <v>45151.5625</v>
      </c>
      <c r="AL57" s="4">
        <v>3.5668797659729099E-3</v>
      </c>
      <c r="AM57" s="3">
        <v>0.42386643899999998</v>
      </c>
      <c r="AN57" s="4">
        <v>644</v>
      </c>
      <c r="AO57" s="46">
        <f t="shared" si="30"/>
        <v>10.733333333333333</v>
      </c>
      <c r="AP57" s="47">
        <f t="shared" si="59"/>
        <v>3.8284509488109228E-2</v>
      </c>
      <c r="AQ57" s="50">
        <f t="shared" si="31"/>
        <v>7.5155366753704058</v>
      </c>
      <c r="AR57" s="50">
        <f t="shared" si="32"/>
        <v>0</v>
      </c>
      <c r="AS57" s="50">
        <f t="shared" si="33"/>
        <v>0</v>
      </c>
      <c r="AT57" s="50">
        <f t="shared" si="6"/>
        <v>0</v>
      </c>
      <c r="AU57" s="50">
        <f t="shared" si="34"/>
        <v>0</v>
      </c>
      <c r="AW57" s="51">
        <v>45166.5625</v>
      </c>
      <c r="AX57" s="72">
        <v>2.76358389955462E-2</v>
      </c>
      <c r="AY57" s="73">
        <v>2.5487565000000001</v>
      </c>
      <c r="AZ57" s="52">
        <v>9877</v>
      </c>
      <c r="BA57" s="53">
        <f t="shared" si="35"/>
        <v>164.61666666666667</v>
      </c>
      <c r="BB57" s="72">
        <f t="shared" si="60"/>
        <v>4.5493196959834972</v>
      </c>
      <c r="BC57" s="54">
        <f t="shared" si="36"/>
        <v>77.991984810012738</v>
      </c>
      <c r="BD57" s="54">
        <f t="shared" si="37"/>
        <v>1</v>
      </c>
      <c r="BE57" s="54">
        <f t="shared" si="38"/>
        <v>77.991984810012738</v>
      </c>
      <c r="BF57" s="54">
        <f t="shared" si="8"/>
        <v>0.6235263749957749</v>
      </c>
      <c r="BG57" s="54">
        <f t="shared" si="39"/>
        <v>48.630059567312784</v>
      </c>
      <c r="BI57" s="66">
        <v>45183.5625</v>
      </c>
      <c r="BJ57" s="67">
        <v>6.1503624604552004E-3</v>
      </c>
      <c r="BK57" s="68">
        <v>0.47522856800000002</v>
      </c>
      <c r="BL57" s="68">
        <v>1568</v>
      </c>
      <c r="BM57" s="68">
        <f t="shared" si="40"/>
        <v>26.133333333333333</v>
      </c>
      <c r="BN57" s="68">
        <f t="shared" si="61"/>
        <v>0.1607294722998959</v>
      </c>
      <c r="BO57" s="69">
        <f t="shared" si="41"/>
        <v>15.173248420660251</v>
      </c>
      <c r="BP57" s="69">
        <f t="shared" si="42"/>
        <v>5.0310938597030548E-3</v>
      </c>
      <c r="BQ57" s="69">
        <f t="shared" si="43"/>
        <v>7.6338036960932859E-2</v>
      </c>
      <c r="BR57" s="69">
        <f t="shared" si="10"/>
        <v>1.3463711742159464E-4</v>
      </c>
      <c r="BS57" s="69">
        <f t="shared" si="44"/>
        <v>2.0428824292794598E-3</v>
      </c>
      <c r="BU57" s="82">
        <v>45046.895833333336</v>
      </c>
      <c r="BV57" s="112">
        <v>4.5688235000000001E-2</v>
      </c>
      <c r="BW57" s="83">
        <v>84.891986889999998</v>
      </c>
      <c r="BX57" s="112">
        <v>7191</v>
      </c>
      <c r="BY57" s="83">
        <f t="shared" si="62"/>
        <v>119.85</v>
      </c>
      <c r="BZ57" s="84">
        <f t="shared" si="63"/>
        <v>5.47573496475</v>
      </c>
      <c r="CA57" s="83">
        <f t="shared" si="64"/>
        <v>85.402158111773815</v>
      </c>
      <c r="CC57" s="87">
        <v>45047.8125</v>
      </c>
      <c r="CD57" s="109">
        <v>3.9062694222419501E-2</v>
      </c>
      <c r="CE57" s="88">
        <v>89.635700749999998</v>
      </c>
      <c r="CF57" s="89">
        <v>7262</v>
      </c>
      <c r="CG57" s="90">
        <f t="shared" si="45"/>
        <v>121.03333333333333</v>
      </c>
      <c r="CH57" s="91">
        <f t="shared" si="46"/>
        <v>4.7278880907201737</v>
      </c>
      <c r="CI57" s="91">
        <f t="shared" si="47"/>
        <v>79.476386803231208</v>
      </c>
      <c r="CK57" s="93">
        <v>45049.8125</v>
      </c>
      <c r="CL57">
        <v>9.7935716007026594E-2</v>
      </c>
      <c r="CM57" s="95">
        <v>131.64072830000001</v>
      </c>
      <c r="CN57" s="4">
        <v>3488</v>
      </c>
      <c r="CO57" s="95">
        <f t="shared" si="48"/>
        <v>58.133333333333333</v>
      </c>
      <c r="CP57" s="94">
        <f t="shared" si="49"/>
        <v>5.6933296238751456</v>
      </c>
      <c r="CQ57" s="96">
        <f t="shared" si="50"/>
        <v>87.047536303459367</v>
      </c>
      <c r="CS57" s="10">
        <v>45051.072916666664</v>
      </c>
      <c r="CT57" s="110">
        <v>8.5258105110943602E-2</v>
      </c>
      <c r="CU57" s="21">
        <v>112.9598134</v>
      </c>
      <c r="CV57" s="111">
        <v>4623</v>
      </c>
      <c r="CW57" s="21">
        <f t="shared" si="51"/>
        <v>77.05</v>
      </c>
      <c r="CX57" s="21">
        <f t="shared" si="52"/>
        <v>6.5691369987982045</v>
      </c>
      <c r="CY57" s="21">
        <f t="shared" si="53"/>
        <v>93.365712669876572</v>
      </c>
    </row>
    <row r="58" spans="1:103" x14ac:dyDescent="0.3">
      <c r="A58" s="10">
        <v>44776.573611111111</v>
      </c>
      <c r="B58" s="11">
        <v>1.81593059069755E-3</v>
      </c>
      <c r="C58" s="12">
        <v>0.63156217000000003</v>
      </c>
      <c r="D58" s="9">
        <v>83</v>
      </c>
      <c r="E58" s="13">
        <f t="shared" si="14"/>
        <v>1.3833333333333333</v>
      </c>
      <c r="F58" s="12">
        <f t="shared" si="54"/>
        <v>2.5120373171316109E-3</v>
      </c>
      <c r="G58" s="13">
        <f t="shared" si="16"/>
        <v>1.9799141859576828</v>
      </c>
      <c r="H58" s="11">
        <f t="shared" si="17"/>
        <v>0</v>
      </c>
      <c r="I58" s="116">
        <f t="shared" si="18"/>
        <v>0</v>
      </c>
      <c r="J58" s="21">
        <f t="shared" si="55"/>
        <v>0</v>
      </c>
      <c r="K58" s="116">
        <f t="shared" si="19"/>
        <v>0</v>
      </c>
      <c r="M58" s="25">
        <v>44781.573611111111</v>
      </c>
      <c r="N58" s="26">
        <v>4.7535558655237703E-3</v>
      </c>
      <c r="O58" s="27">
        <v>3.2652481369999999</v>
      </c>
      <c r="P58" s="28">
        <v>1191</v>
      </c>
      <c r="Q58" s="29">
        <f t="shared" si="20"/>
        <v>19.850000000000001</v>
      </c>
      <c r="R58" s="26">
        <f t="shared" si="56"/>
        <v>9.4358083930646847E-2</v>
      </c>
      <c r="S58" s="29">
        <f t="shared" si="21"/>
        <v>11.689688123522197</v>
      </c>
      <c r="T58" s="29">
        <f t="shared" si="22"/>
        <v>6.4222614245719969E-2</v>
      </c>
      <c r="U58" s="117">
        <f t="shared" si="23"/>
        <v>0.75074233100974019</v>
      </c>
      <c r="V58" s="118">
        <f t="shared" si="57"/>
        <v>2.459436190870902E-2</v>
      </c>
      <c r="W58" s="117">
        <f t="shared" si="24"/>
        <v>0.28750042030984252</v>
      </c>
      <c r="Y58" s="35">
        <v>45136.572916666664</v>
      </c>
      <c r="Z58" s="71">
        <v>9.9370329282074607E-3</v>
      </c>
      <c r="AA58" s="70">
        <v>1.5125919880000001</v>
      </c>
      <c r="AB58" s="36">
        <v>7017</v>
      </c>
      <c r="AC58" s="37">
        <f t="shared" si="25"/>
        <v>116.95</v>
      </c>
      <c r="AD58" s="37">
        <f t="shared" si="58"/>
        <v>1.1621360009538626</v>
      </c>
      <c r="AE58" s="38">
        <f t="shared" si="26"/>
        <v>39.976974540218343</v>
      </c>
      <c r="AF58" s="38">
        <f t="shared" si="27"/>
        <v>2.8230804590522202E-2</v>
      </c>
      <c r="AG58" s="38">
        <f t="shared" si="28"/>
        <v>1.1285821563651852</v>
      </c>
      <c r="AH58" s="38">
        <f t="shared" si="4"/>
        <v>0.18043243922671873</v>
      </c>
      <c r="AI58" s="38">
        <f t="shared" si="29"/>
        <v>7.2131430291960283</v>
      </c>
      <c r="AK58" s="45">
        <v>45151.572916666664</v>
      </c>
      <c r="AL58" s="4">
        <v>4.2656587944937003E-3</v>
      </c>
      <c r="AM58" s="3">
        <v>0.42386643899999998</v>
      </c>
      <c r="AN58" s="4">
        <v>653</v>
      </c>
      <c r="AO58" s="46">
        <f t="shared" si="30"/>
        <v>10.883333333333333</v>
      </c>
      <c r="AP58" s="47">
        <f t="shared" si="59"/>
        <v>4.6424586546739768E-2</v>
      </c>
      <c r="AQ58" s="50">
        <f t="shared" si="31"/>
        <v>8.2596208166284804</v>
      </c>
      <c r="AR58" s="50">
        <f t="shared" si="32"/>
        <v>0</v>
      </c>
      <c r="AS58" s="50">
        <f t="shared" si="33"/>
        <v>0</v>
      </c>
      <c r="AT58" s="50">
        <f t="shared" si="6"/>
        <v>0</v>
      </c>
      <c r="AU58" s="50">
        <f t="shared" si="34"/>
        <v>0</v>
      </c>
      <c r="AW58" s="51">
        <v>45166.572916666664</v>
      </c>
      <c r="AX58" s="72">
        <v>2.4532591637448999E-2</v>
      </c>
      <c r="AY58" s="73">
        <v>1.729502407</v>
      </c>
      <c r="AZ58" s="52">
        <v>10114</v>
      </c>
      <c r="BA58" s="53">
        <f t="shared" si="35"/>
        <v>168.56666666666666</v>
      </c>
      <c r="BB58" s="72">
        <f t="shared" si="60"/>
        <v>4.1353771970193192</v>
      </c>
      <c r="BC58" s="54">
        <f t="shared" si="36"/>
        <v>74.43223351140314</v>
      </c>
      <c r="BD58" s="54">
        <f t="shared" si="37"/>
        <v>0.72292375662746577</v>
      </c>
      <c r="BE58" s="54">
        <f t="shared" si="38"/>
        <v>53.808829864236309</v>
      </c>
      <c r="BF58" s="54">
        <f t="shared" si="8"/>
        <v>0.55738350387354096</v>
      </c>
      <c r="BG58" s="54">
        <f t="shared" si="39"/>
        <v>41.48729911571948</v>
      </c>
      <c r="BI58" s="66">
        <v>45183.572916666664</v>
      </c>
      <c r="BJ58" s="67">
        <v>5.4259374162804203E-3</v>
      </c>
      <c r="BK58" s="68">
        <v>0.44894941300000002</v>
      </c>
      <c r="BL58" s="68">
        <v>1036</v>
      </c>
      <c r="BM58" s="68">
        <f t="shared" si="40"/>
        <v>17.266666666666666</v>
      </c>
      <c r="BN58" s="68">
        <f t="shared" si="61"/>
        <v>9.3687852721108592E-2</v>
      </c>
      <c r="BO58" s="69">
        <f t="shared" si="41"/>
        <v>11.648953119481169</v>
      </c>
      <c r="BP58" s="69">
        <f t="shared" si="42"/>
        <v>0</v>
      </c>
      <c r="BQ58" s="69">
        <f t="shared" si="43"/>
        <v>0</v>
      </c>
      <c r="BR58" s="69">
        <f t="shared" si="10"/>
        <v>0</v>
      </c>
      <c r="BS58" s="69">
        <f t="shared" si="44"/>
        <v>0</v>
      </c>
      <c r="BU58" s="82">
        <v>45046.90625</v>
      </c>
      <c r="BV58" s="112">
        <v>4.1664949E-2</v>
      </c>
      <c r="BW58" s="83">
        <v>82.276892649999994</v>
      </c>
      <c r="BX58" s="112">
        <v>6992</v>
      </c>
      <c r="BY58" s="83">
        <f t="shared" si="62"/>
        <v>116.53333333333333</v>
      </c>
      <c r="BZ58" s="84">
        <f t="shared" si="63"/>
        <v>4.8553553901333331</v>
      </c>
      <c r="CA58" s="83">
        <f t="shared" si="64"/>
        <v>80.518565324109005</v>
      </c>
      <c r="CC58" s="87">
        <v>45047.822916666664</v>
      </c>
      <c r="CD58" s="109">
        <v>3.8536164133510999E-2</v>
      </c>
      <c r="CE58" s="88">
        <v>84.891986889999998</v>
      </c>
      <c r="CF58" s="89">
        <v>7012</v>
      </c>
      <c r="CG58" s="90">
        <f t="shared" si="45"/>
        <v>116.86666666666666</v>
      </c>
      <c r="CH58" s="91">
        <f t="shared" si="46"/>
        <v>4.5035930484029851</v>
      </c>
      <c r="CI58" s="91">
        <f t="shared" si="47"/>
        <v>77.607108657677202</v>
      </c>
      <c r="CK58" s="93">
        <v>45049.822916666664</v>
      </c>
      <c r="CL58">
        <v>9.58163406468307E-2</v>
      </c>
      <c r="CM58" s="95">
        <v>126.9470365</v>
      </c>
      <c r="CN58" s="4">
        <v>3599</v>
      </c>
      <c r="CO58" s="95">
        <f t="shared" si="48"/>
        <v>59.983333333333334</v>
      </c>
      <c r="CP58" s="94">
        <f t="shared" si="49"/>
        <v>5.7473834997990618</v>
      </c>
      <c r="CQ58" s="96">
        <f t="shared" si="50"/>
        <v>87.451273510574211</v>
      </c>
      <c r="CS58" s="10">
        <v>45051.083333333336</v>
      </c>
      <c r="CT58" s="110">
        <v>8.1827298970184204E-2</v>
      </c>
      <c r="CU58" s="21">
        <v>109.0251016</v>
      </c>
      <c r="CV58" s="111">
        <v>4557</v>
      </c>
      <c r="CW58" s="21">
        <f t="shared" si="51"/>
        <v>75.95</v>
      </c>
      <c r="CX58" s="21">
        <f t="shared" si="52"/>
        <v>6.2147833567854907</v>
      </c>
      <c r="CY58" s="21">
        <f t="shared" si="53"/>
        <v>90.864512726148405</v>
      </c>
    </row>
    <row r="59" spans="1:103" x14ac:dyDescent="0.3">
      <c r="A59" s="10">
        <v>44776.584027777775</v>
      </c>
      <c r="B59" s="11">
        <v>1.4856138179010099E-3</v>
      </c>
      <c r="C59" s="12">
        <v>0.66496995749999999</v>
      </c>
      <c r="D59" s="9">
        <v>102</v>
      </c>
      <c r="E59" s="13">
        <f t="shared" si="14"/>
        <v>1.7</v>
      </c>
      <c r="F59" s="12">
        <f t="shared" si="54"/>
        <v>2.5255434904317168E-3</v>
      </c>
      <c r="G59" s="13">
        <f t="shared" si="16"/>
        <v>1.9851199936728641</v>
      </c>
      <c r="H59" s="11">
        <f t="shared" si="17"/>
        <v>0</v>
      </c>
      <c r="I59" s="116">
        <f t="shared" si="18"/>
        <v>0</v>
      </c>
      <c r="J59" s="21">
        <f t="shared" si="55"/>
        <v>0</v>
      </c>
      <c r="K59" s="116">
        <f t="shared" si="19"/>
        <v>0</v>
      </c>
      <c r="M59" s="25">
        <v>44781.584027777775</v>
      </c>
      <c r="N59" s="26">
        <v>4.8194943991620798E-3</v>
      </c>
      <c r="O59" s="27">
        <v>7.0573823745000004</v>
      </c>
      <c r="P59" s="28">
        <v>2122</v>
      </c>
      <c r="Q59" s="29">
        <f t="shared" si="20"/>
        <v>35.366666666666667</v>
      </c>
      <c r="R59" s="26">
        <f t="shared" si="56"/>
        <v>0.17044945191703223</v>
      </c>
      <c r="S59" s="29">
        <f t="shared" si="21"/>
        <v>15.615862001903615</v>
      </c>
      <c r="T59" s="29">
        <f t="shared" si="22"/>
        <v>0.18768522394670628</v>
      </c>
      <c r="U59" s="117">
        <f t="shared" si="23"/>
        <v>2.9308665569481409</v>
      </c>
      <c r="V59" s="118">
        <f t="shared" si="57"/>
        <v>6.3165323543809188E-2</v>
      </c>
      <c r="W59" s="117">
        <f t="shared" si="24"/>
        <v>0.9863809757657177</v>
      </c>
      <c r="Y59" s="35">
        <v>45136.583333333336</v>
      </c>
      <c r="Z59" s="71">
        <v>1.15829784004414E-2</v>
      </c>
      <c r="AA59" s="70">
        <v>1.654461261</v>
      </c>
      <c r="AB59" s="36">
        <v>7444</v>
      </c>
      <c r="AC59" s="37">
        <f t="shared" si="25"/>
        <v>124.06666666666666</v>
      </c>
      <c r="AD59" s="37">
        <f t="shared" si="58"/>
        <v>1.437061520214763</v>
      </c>
      <c r="AE59" s="38">
        <f t="shared" si="26"/>
        <v>44.357726288728202</v>
      </c>
      <c r="AF59" s="38">
        <f t="shared" si="27"/>
        <v>3.5635315223632176E-2</v>
      </c>
      <c r="AG59" s="38">
        <f t="shared" si="28"/>
        <v>1.5807015589024254</v>
      </c>
      <c r="AH59" s="38">
        <f t="shared" si="4"/>
        <v>0.25332615110032369</v>
      </c>
      <c r="AI59" s="38">
        <f t="shared" si="29"/>
        <v>11.236972072285161</v>
      </c>
      <c r="AK59" s="45">
        <v>45151.583333333336</v>
      </c>
      <c r="AL59" s="4">
        <v>4.9476959212309398E-3</v>
      </c>
      <c r="AM59" s="3">
        <v>0.50323377899999999</v>
      </c>
      <c r="AN59" s="4">
        <v>958</v>
      </c>
      <c r="AO59" s="46">
        <f t="shared" si="30"/>
        <v>15.966666666666667</v>
      </c>
      <c r="AP59" s="47">
        <f t="shared" si="59"/>
        <v>7.8998211542320673E-2</v>
      </c>
      <c r="AQ59" s="50">
        <f t="shared" si="31"/>
        <v>10.715606686769718</v>
      </c>
      <c r="AR59" s="50">
        <f t="shared" si="32"/>
        <v>0</v>
      </c>
      <c r="AS59" s="50">
        <f t="shared" si="33"/>
        <v>0</v>
      </c>
      <c r="AT59" s="50">
        <f t="shared" si="6"/>
        <v>0</v>
      </c>
      <c r="AU59" s="50">
        <f t="shared" si="34"/>
        <v>0</v>
      </c>
      <c r="AW59" s="51">
        <v>45166.583333333336</v>
      </c>
      <c r="AX59" s="72">
        <v>2.3355203318128601E-2</v>
      </c>
      <c r="AY59" s="73">
        <v>1.9734137430000001</v>
      </c>
      <c r="AZ59" s="52">
        <v>9975</v>
      </c>
      <c r="BA59" s="53">
        <f t="shared" si="35"/>
        <v>166.25</v>
      </c>
      <c r="BB59" s="72">
        <f t="shared" si="60"/>
        <v>3.8828025516388798</v>
      </c>
      <c r="BC59" s="54">
        <f t="shared" si="36"/>
        <v>72.170223328675746</v>
      </c>
      <c r="BD59" s="54">
        <f t="shared" si="37"/>
        <v>0.85350144564482522</v>
      </c>
      <c r="BE59" s="54">
        <f t="shared" si="38"/>
        <v>61.597389943534637</v>
      </c>
      <c r="BF59" s="54">
        <f t="shared" si="8"/>
        <v>0.51702521193698858</v>
      </c>
      <c r="BG59" s="54">
        <f t="shared" si="39"/>
        <v>37.313825012048376</v>
      </c>
      <c r="BI59" s="66">
        <v>45183.583333333336</v>
      </c>
      <c r="BJ59" s="67">
        <v>9.00687876097752E-3</v>
      </c>
      <c r="BK59" s="68">
        <v>0.44894941300000002</v>
      </c>
      <c r="BL59" s="68">
        <v>3109</v>
      </c>
      <c r="BM59" s="68">
        <f t="shared" si="40"/>
        <v>51.81666666666667</v>
      </c>
      <c r="BN59" s="68">
        <f t="shared" si="61"/>
        <v>0.46670643446465188</v>
      </c>
      <c r="BO59" s="69">
        <f t="shared" si="41"/>
        <v>25.573156472879504</v>
      </c>
      <c r="BP59" s="69">
        <f t="shared" si="42"/>
        <v>0</v>
      </c>
      <c r="BQ59" s="69">
        <f t="shared" si="43"/>
        <v>0</v>
      </c>
      <c r="BR59" s="69">
        <f t="shared" si="10"/>
        <v>2.6324766166675818E-2</v>
      </c>
      <c r="BS59" s="69">
        <f t="shared" si="44"/>
        <v>0.67320736429236505</v>
      </c>
      <c r="BU59" s="82">
        <v>45046.916666666664</v>
      </c>
      <c r="BV59" s="112">
        <v>4.1718362000000002E-2</v>
      </c>
      <c r="BW59" s="83">
        <v>82.711152870000006</v>
      </c>
      <c r="BX59" s="112">
        <v>6831</v>
      </c>
      <c r="BY59" s="83">
        <f t="shared" si="62"/>
        <v>113.85</v>
      </c>
      <c r="BZ59" s="84">
        <f t="shared" si="63"/>
        <v>4.7496355137000004</v>
      </c>
      <c r="CA59" s="83">
        <f t="shared" si="64"/>
        <v>79.655200179778632</v>
      </c>
      <c r="CC59" s="87">
        <v>45047.833333333336</v>
      </c>
      <c r="CD59" s="109">
        <v>4.0978694463015601E-2</v>
      </c>
      <c r="CE59" s="88">
        <v>87.494480339999996</v>
      </c>
      <c r="CF59" s="89">
        <v>7191</v>
      </c>
      <c r="CG59" s="90">
        <f t="shared" si="45"/>
        <v>119.85</v>
      </c>
      <c r="CH59" s="91">
        <f t="shared" si="46"/>
        <v>4.91129653139242</v>
      </c>
      <c r="CI59" s="91">
        <f t="shared" si="47"/>
        <v>80.971530922935756</v>
      </c>
      <c r="CK59" s="93">
        <v>45049.833333333336</v>
      </c>
      <c r="CL59">
        <v>9.8648435043626803E-2</v>
      </c>
      <c r="CM59" s="95">
        <v>126.9470365</v>
      </c>
      <c r="CN59" s="4">
        <v>3632</v>
      </c>
      <c r="CO59" s="95">
        <f t="shared" si="48"/>
        <v>60.533333333333331</v>
      </c>
      <c r="CP59" s="94">
        <f t="shared" si="49"/>
        <v>5.9715186013075421</v>
      </c>
      <c r="CQ59" s="96">
        <f t="shared" si="50"/>
        <v>89.105049150463373</v>
      </c>
      <c r="CS59" s="10">
        <v>45051.09375</v>
      </c>
      <c r="CT59" s="110">
        <v>8.2153614031987302E-2</v>
      </c>
      <c r="CU59" s="21">
        <v>107.8305381</v>
      </c>
      <c r="CV59" s="111">
        <v>4645</v>
      </c>
      <c r="CW59" s="21">
        <f t="shared" si="51"/>
        <v>77.416666666666671</v>
      </c>
      <c r="CX59" s="21">
        <f t="shared" si="52"/>
        <v>6.3600589529763507</v>
      </c>
      <c r="CY59" s="21">
        <f t="shared" si="53"/>
        <v>91.898519219011916</v>
      </c>
    </row>
    <row r="60" spans="1:103" x14ac:dyDescent="0.3">
      <c r="A60" s="10">
        <v>44776.594444444447</v>
      </c>
      <c r="B60" s="11">
        <v>1.5163016537163899E-3</v>
      </c>
      <c r="C60" s="12">
        <v>0.67182250649999997</v>
      </c>
      <c r="D60" s="9">
        <v>183</v>
      </c>
      <c r="E60" s="13">
        <f t="shared" si="14"/>
        <v>3.05</v>
      </c>
      <c r="F60" s="12">
        <f t="shared" si="54"/>
        <v>4.6247200438349892E-3</v>
      </c>
      <c r="G60" s="13">
        <f t="shared" si="16"/>
        <v>2.6695984197047946</v>
      </c>
      <c r="H60" s="11">
        <f t="shared" si="17"/>
        <v>0</v>
      </c>
      <c r="I60" s="116">
        <f t="shared" si="18"/>
        <v>0</v>
      </c>
      <c r="J60" s="21">
        <f t="shared" si="55"/>
        <v>2.3344203705784913E-4</v>
      </c>
      <c r="K60" s="116">
        <f t="shared" si="19"/>
        <v>6.231964932223021E-4</v>
      </c>
      <c r="M60" s="25">
        <v>44781.594444444447</v>
      </c>
      <c r="N60" s="26">
        <v>6.5819226188078197E-3</v>
      </c>
      <c r="O60" s="27">
        <v>13.5126390895</v>
      </c>
      <c r="P60" s="28">
        <v>6566</v>
      </c>
      <c r="Q60" s="29">
        <f t="shared" si="20"/>
        <v>109.43333333333334</v>
      </c>
      <c r="R60" s="26">
        <f t="shared" si="56"/>
        <v>0.72028173191820244</v>
      </c>
      <c r="S60" s="29">
        <f t="shared" si="21"/>
        <v>31.628057381454148</v>
      </c>
      <c r="T60" s="29">
        <f t="shared" si="22"/>
        <v>0.39785258364680337</v>
      </c>
      <c r="U60" s="117">
        <f t="shared" si="23"/>
        <v>12.583304344940883</v>
      </c>
      <c r="V60" s="118">
        <f t="shared" si="57"/>
        <v>0.34187709255102883</v>
      </c>
      <c r="W60" s="117">
        <f t="shared" si="24"/>
        <v>10.812908300608651</v>
      </c>
      <c r="Y60" s="35">
        <v>45136.59375</v>
      </c>
      <c r="Z60" s="71">
        <v>8.2986986919222194E-3</v>
      </c>
      <c r="AA60" s="70">
        <v>1.5125919880000001</v>
      </c>
      <c r="AB60" s="36">
        <v>6600</v>
      </c>
      <c r="AC60" s="37">
        <f t="shared" si="25"/>
        <v>110</v>
      </c>
      <c r="AD60" s="37">
        <f t="shared" si="58"/>
        <v>0.91285685611144418</v>
      </c>
      <c r="AE60" s="38">
        <f t="shared" si="26"/>
        <v>35.519168131343648</v>
      </c>
      <c r="AF60" s="38">
        <f t="shared" si="27"/>
        <v>2.8230804590522202E-2</v>
      </c>
      <c r="AG60" s="38">
        <f t="shared" si="28"/>
        <v>1.0027346947338662</v>
      </c>
      <c r="AH60" s="38">
        <f t="shared" si="4"/>
        <v>0.114338603306751</v>
      </c>
      <c r="AI60" s="38">
        <f t="shared" si="29"/>
        <v>4.0612120747554936</v>
      </c>
      <c r="AK60" s="45">
        <v>45151.59375</v>
      </c>
      <c r="AL60" s="4">
        <v>4.5164095459671602E-3</v>
      </c>
      <c r="AM60" s="3">
        <v>0.42386643899999998</v>
      </c>
      <c r="AN60" s="4">
        <v>703</v>
      </c>
      <c r="AO60" s="46">
        <f t="shared" si="30"/>
        <v>11.716666666666667</v>
      </c>
      <c r="AP60" s="47">
        <f t="shared" si="59"/>
        <v>5.2917265180248564E-2</v>
      </c>
      <c r="AQ60" s="50">
        <f t="shared" si="31"/>
        <v>8.806416776115098</v>
      </c>
      <c r="AR60" s="50">
        <f t="shared" si="32"/>
        <v>0</v>
      </c>
      <c r="AS60" s="50">
        <f t="shared" si="33"/>
        <v>0</v>
      </c>
      <c r="AT60" s="50">
        <f t="shared" si="6"/>
        <v>0</v>
      </c>
      <c r="AU60" s="50">
        <f t="shared" si="34"/>
        <v>0</v>
      </c>
      <c r="AW60" s="51">
        <v>45166.59375</v>
      </c>
      <c r="AX60" s="72">
        <v>2.39173471155559E-2</v>
      </c>
      <c r="AY60" s="73">
        <v>1.9734137430000001</v>
      </c>
      <c r="AZ60" s="52">
        <v>10302</v>
      </c>
      <c r="BA60" s="53">
        <f t="shared" si="35"/>
        <v>171.7</v>
      </c>
      <c r="BB60" s="72">
        <f t="shared" si="60"/>
        <v>4.1066084997409478</v>
      </c>
      <c r="BC60" s="54">
        <f t="shared" si="36"/>
        <v>74.178212802820894</v>
      </c>
      <c r="BD60" s="54">
        <f t="shared" si="37"/>
        <v>0.85350144564482522</v>
      </c>
      <c r="BE60" s="54">
        <f t="shared" si="38"/>
        <v>63.311211862557116</v>
      </c>
      <c r="BF60" s="54">
        <f t="shared" si="8"/>
        <v>0.55278662328940331</v>
      </c>
      <c r="BG60" s="54">
        <f t="shared" si="39"/>
        <v>41.004723776914147</v>
      </c>
      <c r="BI60" s="66">
        <v>45183.59375</v>
      </c>
      <c r="BJ60" s="67">
        <v>2.4100971767564601E-2</v>
      </c>
      <c r="BK60" s="68">
        <v>0.53201108200000002</v>
      </c>
      <c r="BL60" s="68">
        <v>8466</v>
      </c>
      <c r="BM60" s="68">
        <f t="shared" si="40"/>
        <v>141.1</v>
      </c>
      <c r="BN60" s="68">
        <f t="shared" si="61"/>
        <v>3.4006471164033649</v>
      </c>
      <c r="BO60" s="69">
        <f t="shared" si="41"/>
        <v>67.633099751080081</v>
      </c>
      <c r="BP60" s="69">
        <f t="shared" si="42"/>
        <v>6.3321113804638007E-2</v>
      </c>
      <c r="BQ60" s="69">
        <f t="shared" si="43"/>
        <v>4.2826032062985764</v>
      </c>
      <c r="BR60" s="69">
        <f t="shared" si="10"/>
        <v>0.27745571582770462</v>
      </c>
      <c r="BS60" s="69">
        <f t="shared" si="44"/>
        <v>18.765190105082475</v>
      </c>
      <c r="BU60" s="82">
        <v>45046.927083333336</v>
      </c>
      <c r="BV60" s="112">
        <v>4.0310358999999997E-2</v>
      </c>
      <c r="BW60" s="83">
        <v>81.397704649999994</v>
      </c>
      <c r="BX60" s="112">
        <v>7179</v>
      </c>
      <c r="BY60" s="83">
        <f t="shared" si="62"/>
        <v>119.65</v>
      </c>
      <c r="BZ60" s="84">
        <f t="shared" si="63"/>
        <v>4.8231344543499999</v>
      </c>
      <c r="CA60" s="83">
        <f t="shared" si="64"/>
        <v>80.256457217326698</v>
      </c>
      <c r="CC60" s="87">
        <v>45047.84375</v>
      </c>
      <c r="CD60" s="109">
        <v>4.0495214245331798E-2</v>
      </c>
      <c r="CE60" s="88">
        <v>84.891986889999998</v>
      </c>
      <c r="CF60" s="89">
        <v>7442</v>
      </c>
      <c r="CG60" s="90">
        <f t="shared" si="45"/>
        <v>124.03333333333333</v>
      </c>
      <c r="CH60" s="91">
        <f t="shared" si="46"/>
        <v>5.0227564068959873</v>
      </c>
      <c r="CI60" s="91">
        <f t="shared" si="47"/>
        <v>81.866259363796459</v>
      </c>
      <c r="CK60" s="93">
        <v>45049.84375</v>
      </c>
      <c r="CL60">
        <v>9.6052802079416702E-2</v>
      </c>
      <c r="CM60" s="95">
        <v>119.87671349999999</v>
      </c>
      <c r="CN60" s="4">
        <v>3741</v>
      </c>
      <c r="CO60" s="95">
        <f t="shared" si="48"/>
        <v>62.35</v>
      </c>
      <c r="CP60" s="94">
        <f t="shared" si="49"/>
        <v>5.9888922096516319</v>
      </c>
      <c r="CQ60" s="96">
        <f t="shared" si="50"/>
        <v>89.231906494615046</v>
      </c>
      <c r="CS60" s="10">
        <v>45051.104166666664</v>
      </c>
      <c r="CT60" s="110">
        <v>8.9957711384563294E-2</v>
      </c>
      <c r="CU60" s="21">
        <v>122.1341827</v>
      </c>
      <c r="CV60" s="111">
        <v>4512</v>
      </c>
      <c r="CW60" s="21">
        <f t="shared" si="51"/>
        <v>75.2</v>
      </c>
      <c r="CX60" s="21">
        <f t="shared" si="52"/>
        <v>6.7648198961191603</v>
      </c>
      <c r="CY60" s="21">
        <f t="shared" si="53"/>
        <v>94.717466433600109</v>
      </c>
    </row>
    <row r="61" spans="1:103" x14ac:dyDescent="0.3">
      <c r="A61" s="10">
        <v>44776.604861111111</v>
      </c>
      <c r="B61" s="11">
        <v>2.1448380105844999E-3</v>
      </c>
      <c r="C61" s="12">
        <v>0.69815132099999999</v>
      </c>
      <c r="D61" s="9">
        <v>217</v>
      </c>
      <c r="E61" s="13">
        <f t="shared" si="14"/>
        <v>3.6166666666666667</v>
      </c>
      <c r="F61" s="12">
        <f t="shared" si="54"/>
        <v>7.7571641382806079E-3</v>
      </c>
      <c r="G61" s="13">
        <f t="shared" si="16"/>
        <v>3.4390710041697061</v>
      </c>
      <c r="H61" s="11">
        <f t="shared" si="17"/>
        <v>0</v>
      </c>
      <c r="I61" s="116">
        <f t="shared" si="18"/>
        <v>0</v>
      </c>
      <c r="J61" s="21">
        <f t="shared" si="55"/>
        <v>8.830876872055961E-4</v>
      </c>
      <c r="K61" s="116">
        <f t="shared" si="19"/>
        <v>3.0370012592080527E-3</v>
      </c>
      <c r="M61" s="25">
        <v>44781.604861111111</v>
      </c>
      <c r="N61" s="26">
        <v>7.6504738912046904E-3</v>
      </c>
      <c r="O61" s="27">
        <v>21.08342828</v>
      </c>
      <c r="P61" s="28">
        <v>8903</v>
      </c>
      <c r="Q61" s="29">
        <f t="shared" si="20"/>
        <v>148.38333333333333</v>
      </c>
      <c r="R61" s="26">
        <f t="shared" si="56"/>
        <v>1.1352028175565894</v>
      </c>
      <c r="S61" s="29">
        <f t="shared" si="21"/>
        <v>39.520557851236589</v>
      </c>
      <c r="T61" s="29">
        <f t="shared" si="22"/>
        <v>0.64433895053537726</v>
      </c>
      <c r="U61" s="117">
        <f t="shared" si="23"/>
        <v>25.464634770438447</v>
      </c>
      <c r="V61" s="118">
        <f t="shared" si="57"/>
        <v>0.55220193884129165</v>
      </c>
      <c r="W61" s="117">
        <f t="shared" si="24"/>
        <v>21.823328669542274</v>
      </c>
      <c r="Y61" s="35">
        <v>45136.604166666664</v>
      </c>
      <c r="Z61" s="71">
        <v>1.14772214194534E-2</v>
      </c>
      <c r="AA61" s="70">
        <v>1.88950475</v>
      </c>
      <c r="AB61" s="36">
        <v>7854</v>
      </c>
      <c r="AC61" s="37">
        <f t="shared" si="25"/>
        <v>130.9</v>
      </c>
      <c r="AD61" s="37">
        <f t="shared" si="58"/>
        <v>1.50236828380645</v>
      </c>
      <c r="AE61" s="38">
        <f t="shared" si="26"/>
        <v>45.33368254123814</v>
      </c>
      <c r="AF61" s="38">
        <f t="shared" si="27"/>
        <v>4.7902820207207909E-2</v>
      </c>
      <c r="AG61" s="38">
        <f t="shared" si="28"/>
        <v>2.1716112441035706</v>
      </c>
      <c r="AH61" s="38">
        <f t="shared" si="4"/>
        <v>0.27064157682525419</v>
      </c>
      <c r="AI61" s="38">
        <f t="shared" si="29"/>
        <v>12.269179326256188</v>
      </c>
      <c r="AK61" s="45">
        <v>45151.604166666664</v>
      </c>
      <c r="AL61" s="4">
        <v>6.4941977104702496E-3</v>
      </c>
      <c r="AM61" s="3">
        <v>0.59425534599999996</v>
      </c>
      <c r="AN61" s="4">
        <v>1297</v>
      </c>
      <c r="AO61" s="46">
        <f t="shared" si="30"/>
        <v>21.616666666666667</v>
      </c>
      <c r="AP61" s="47">
        <f t="shared" si="59"/>
        <v>0.14038290717466523</v>
      </c>
      <c r="AQ61" s="50">
        <f t="shared" si="31"/>
        <v>14.200164389583941</v>
      </c>
      <c r="AR61" s="50">
        <f t="shared" si="32"/>
        <v>0</v>
      </c>
      <c r="AS61" s="50">
        <f t="shared" si="33"/>
        <v>0</v>
      </c>
      <c r="AT61" s="50">
        <f t="shared" si="6"/>
        <v>1.5536997972350312E-2</v>
      </c>
      <c r="AU61" s="50">
        <f t="shared" si="34"/>
        <v>0.22062792532800679</v>
      </c>
      <c r="AW61" s="51">
        <v>45166.604166666664</v>
      </c>
      <c r="AX61" s="72">
        <v>2.6806143579513199E-2</v>
      </c>
      <c r="AY61" s="73">
        <v>2.1522282119999998</v>
      </c>
      <c r="AZ61" s="52">
        <v>9901</v>
      </c>
      <c r="BA61" s="53">
        <f t="shared" si="35"/>
        <v>165.01666666666668</v>
      </c>
      <c r="BB61" s="72">
        <f t="shared" si="60"/>
        <v>4.4234604596793368</v>
      </c>
      <c r="BC61" s="54">
        <f t="shared" si="36"/>
        <v>76.927800845856368</v>
      </c>
      <c r="BD61" s="54">
        <f t="shared" si="37"/>
        <v>0.94922959222381909</v>
      </c>
      <c r="BE61" s="54">
        <f t="shared" si="38"/>
        <v>73.022145027587399</v>
      </c>
      <c r="BF61" s="54">
        <f t="shared" si="8"/>
        <v>0.60341563191614422</v>
      </c>
      <c r="BG61" s="54">
        <f t="shared" si="39"/>
        <v>46.419437559321715</v>
      </c>
      <c r="BI61" s="66">
        <v>45183.604166666664</v>
      </c>
      <c r="BJ61" s="67">
        <v>1.7258350457656599E-2</v>
      </c>
      <c r="BK61" s="68">
        <v>0.81307424100000003</v>
      </c>
      <c r="BL61" s="68">
        <v>7471</v>
      </c>
      <c r="BM61" s="68">
        <f t="shared" si="40"/>
        <v>124.51666666666667</v>
      </c>
      <c r="BN61" s="68">
        <f t="shared" si="61"/>
        <v>2.1489522711525408</v>
      </c>
      <c r="BO61" s="69">
        <f t="shared" si="41"/>
        <v>54.018813623467587</v>
      </c>
      <c r="BP61" s="69">
        <f t="shared" si="42"/>
        <v>0.35184615416999454</v>
      </c>
      <c r="BQ61" s="69">
        <f t="shared" si="43"/>
        <v>19.006311826242779</v>
      </c>
      <c r="BR61" s="69">
        <f t="shared" si="10"/>
        <v>0.17031676884465166</v>
      </c>
      <c r="BS61" s="69">
        <f t="shared" si="44"/>
        <v>9.2003097931704492</v>
      </c>
      <c r="BU61" s="82">
        <v>45046.9375</v>
      </c>
      <c r="BV61" s="112">
        <v>4.9174943999999998E-2</v>
      </c>
      <c r="BW61" s="83">
        <v>85.762083380000007</v>
      </c>
      <c r="BX61" s="112">
        <v>7179</v>
      </c>
      <c r="BY61" s="83">
        <f t="shared" si="62"/>
        <v>119.65</v>
      </c>
      <c r="BZ61" s="84">
        <f t="shared" si="63"/>
        <v>5.8837820495999997</v>
      </c>
      <c r="CA61" s="83">
        <f t="shared" si="64"/>
        <v>88.461524281679715</v>
      </c>
      <c r="CC61" s="87">
        <v>45047.854166666664</v>
      </c>
      <c r="CD61" s="109">
        <v>3.96494890590572E-2</v>
      </c>
      <c r="CE61" s="88">
        <v>84.027783200000002</v>
      </c>
      <c r="CF61" s="89">
        <v>7441</v>
      </c>
      <c r="CG61" s="90">
        <f t="shared" si="45"/>
        <v>124.01666666666667</v>
      </c>
      <c r="CH61" s="91">
        <f t="shared" si="46"/>
        <v>4.9171974681407438</v>
      </c>
      <c r="CI61" s="91">
        <f t="shared" si="47"/>
        <v>81.019158027383341</v>
      </c>
      <c r="CK61" s="93">
        <v>45049.854166666664</v>
      </c>
      <c r="CL61">
        <v>9.3097577309588106E-2</v>
      </c>
      <c r="CM61" s="95">
        <v>132.70838019999999</v>
      </c>
      <c r="CN61" s="4">
        <v>3627</v>
      </c>
      <c r="CO61" s="95">
        <f t="shared" si="48"/>
        <v>60.45</v>
      </c>
      <c r="CP61" s="94">
        <f t="shared" si="49"/>
        <v>5.6277485483646013</v>
      </c>
      <c r="CQ61" s="96">
        <f t="shared" si="50"/>
        <v>86.555065178774925</v>
      </c>
      <c r="CS61" s="10">
        <v>45051.114583333336</v>
      </c>
      <c r="CT61" s="110">
        <v>8.4573478519595804E-2</v>
      </c>
      <c r="CU61" s="21">
        <v>105.42475589999999</v>
      </c>
      <c r="CV61" s="111">
        <v>4531</v>
      </c>
      <c r="CW61" s="21">
        <f t="shared" si="51"/>
        <v>75.516666666666666</v>
      </c>
      <c r="CX61" s="21">
        <f t="shared" si="52"/>
        <v>6.3867071862048101</v>
      </c>
      <c r="CY61" s="21">
        <f t="shared" si="53"/>
        <v>92.086876467994969</v>
      </c>
    </row>
    <row r="62" spans="1:103" x14ac:dyDescent="0.3">
      <c r="A62" s="10">
        <v>44776.615277777775</v>
      </c>
      <c r="B62" s="11">
        <v>6.3360207758395102E-3</v>
      </c>
      <c r="C62" s="12">
        <v>1.3141996124999999</v>
      </c>
      <c r="D62" s="9">
        <v>1822</v>
      </c>
      <c r="E62" s="13">
        <f t="shared" si="14"/>
        <v>30.366666666666667</v>
      </c>
      <c r="F62" s="12">
        <f t="shared" si="54"/>
        <v>0.19240383089299312</v>
      </c>
      <c r="G62" s="13">
        <f t="shared" si="16"/>
        <v>16.570402163552938</v>
      </c>
      <c r="H62" s="11">
        <f t="shared" si="17"/>
        <v>4.9341335671810996E-2</v>
      </c>
      <c r="I62" s="116">
        <f t="shared" si="18"/>
        <v>0.81760577536876866</v>
      </c>
      <c r="J62" s="21">
        <f t="shared" si="55"/>
        <v>3.9177435568523253E-2</v>
      </c>
      <c r="K62" s="116">
        <f t="shared" si="19"/>
        <v>0.64918586310711357</v>
      </c>
      <c r="M62" s="25">
        <v>44781.615277777775</v>
      </c>
      <c r="N62" s="26">
        <v>9.6643334557268094E-3</v>
      </c>
      <c r="O62" s="27">
        <v>28.119352749999901</v>
      </c>
      <c r="P62" s="28">
        <v>10574</v>
      </c>
      <c r="Q62" s="29">
        <f t="shared" si="20"/>
        <v>176.23333333333332</v>
      </c>
      <c r="R62" s="26">
        <f t="shared" si="56"/>
        <v>1.703177699347588</v>
      </c>
      <c r="S62" s="29">
        <f t="shared" si="21"/>
        <v>48.206055461172006</v>
      </c>
      <c r="T62" s="29">
        <f t="shared" si="22"/>
        <v>0.8734114311809722</v>
      </c>
      <c r="U62" s="117">
        <f t="shared" si="23"/>
        <v>42.103719891931561</v>
      </c>
      <c r="V62" s="118">
        <f t="shared" si="57"/>
        <v>0.8401102516367841</v>
      </c>
      <c r="W62" s="117">
        <f t="shared" si="24"/>
        <v>40.498401383901985</v>
      </c>
      <c r="Y62" s="35">
        <v>45136.614583333336</v>
      </c>
      <c r="Z62" s="71">
        <v>1.30097885776974E-2</v>
      </c>
      <c r="AA62" s="70">
        <v>4.4021109559999996</v>
      </c>
      <c r="AB62" s="36">
        <v>10081</v>
      </c>
      <c r="AC62" s="37">
        <f t="shared" si="25"/>
        <v>168.01666666666668</v>
      </c>
      <c r="AD62" s="37">
        <f t="shared" si="58"/>
        <v>2.1858613108627916</v>
      </c>
      <c r="AE62" s="38">
        <f t="shared" si="26"/>
        <v>54.471179758949042</v>
      </c>
      <c r="AF62" s="38">
        <f t="shared" si="27"/>
        <v>0.17904199485530178</v>
      </c>
      <c r="AG62" s="38">
        <f t="shared" si="28"/>
        <v>9.7526286861639733</v>
      </c>
      <c r="AH62" s="38">
        <f t="shared" si="4"/>
        <v>0.45186281782101034</v>
      </c>
      <c r="AI62" s="38">
        <f t="shared" si="29"/>
        <v>24.613500775913497</v>
      </c>
      <c r="AK62" s="45">
        <v>45151.614583333336</v>
      </c>
      <c r="AL62" s="4">
        <v>5.0241242592723896E-3</v>
      </c>
      <c r="AM62" s="3">
        <v>0.50323377899999999</v>
      </c>
      <c r="AN62" s="4">
        <v>905</v>
      </c>
      <c r="AO62" s="46">
        <f t="shared" si="30"/>
        <v>15.083333333333334</v>
      </c>
      <c r="AP62" s="47">
        <f t="shared" si="59"/>
        <v>7.5780540910691876E-2</v>
      </c>
      <c r="AQ62" s="50">
        <f t="shared" si="31"/>
        <v>10.499605913709754</v>
      </c>
      <c r="AR62" s="50">
        <f t="shared" si="32"/>
        <v>0</v>
      </c>
      <c r="AS62" s="50">
        <f t="shared" si="33"/>
        <v>0</v>
      </c>
      <c r="AT62" s="50">
        <f t="shared" si="6"/>
        <v>0</v>
      </c>
      <c r="AU62" s="50">
        <f t="shared" si="34"/>
        <v>0</v>
      </c>
      <c r="AW62" s="51">
        <v>45166.614583333336</v>
      </c>
      <c r="AX62" s="72">
        <v>2.26472397089727E-2</v>
      </c>
      <c r="AY62" s="73">
        <v>1.729502407</v>
      </c>
      <c r="AZ62" s="52">
        <v>10038</v>
      </c>
      <c r="BA62" s="53">
        <f t="shared" si="35"/>
        <v>167.3</v>
      </c>
      <c r="BB62" s="72">
        <f t="shared" si="60"/>
        <v>3.788883203311133</v>
      </c>
      <c r="BC62" s="54">
        <f t="shared" si="36"/>
        <v>71.310016358111767</v>
      </c>
      <c r="BD62" s="54">
        <f t="shared" si="37"/>
        <v>0.72292375662746577</v>
      </c>
      <c r="BE62" s="54">
        <f t="shared" si="38"/>
        <v>51.551704910772195</v>
      </c>
      <c r="BF62" s="54">
        <f t="shared" si="8"/>
        <v>0.50201806633615975</v>
      </c>
      <c r="BG62" s="54">
        <f t="shared" si="39"/>
        <v>35.798916522499191</v>
      </c>
      <c r="BI62" s="66">
        <v>45183.614583333336</v>
      </c>
      <c r="BJ62" s="67">
        <v>5.6744170912803898E-2</v>
      </c>
      <c r="BK62" s="68">
        <v>1.200201638</v>
      </c>
      <c r="BL62" s="68">
        <v>9147</v>
      </c>
      <c r="BM62" s="68">
        <f t="shared" si="40"/>
        <v>152.44999999999999</v>
      </c>
      <c r="BN62" s="68">
        <f t="shared" si="61"/>
        <v>8.6506488556569536</v>
      </c>
      <c r="BO62" s="69">
        <f t="shared" si="41"/>
        <v>106.83814356839687</v>
      </c>
      <c r="BP62" s="69">
        <f t="shared" si="42"/>
        <v>0.74925130767131276</v>
      </c>
      <c r="BQ62" s="69">
        <f t="shared" si="43"/>
        <v>80.048618777796804</v>
      </c>
      <c r="BR62" s="69">
        <f t="shared" si="10"/>
        <v>0.72683014613472718</v>
      </c>
      <c r="BS62" s="69">
        <f t="shared" si="44"/>
        <v>77.653183502580859</v>
      </c>
      <c r="BU62" s="82">
        <v>45046.947916666664</v>
      </c>
      <c r="BV62" s="112">
        <v>4.2629045999999997E-2</v>
      </c>
      <c r="BW62" s="83">
        <v>82.276892649999994</v>
      </c>
      <c r="BX62" s="112">
        <v>6271</v>
      </c>
      <c r="BY62" s="83">
        <f t="shared" si="62"/>
        <v>104.51666666666667</v>
      </c>
      <c r="BZ62" s="84">
        <f t="shared" si="63"/>
        <v>4.4554457910999998</v>
      </c>
      <c r="CA62" s="83">
        <f t="shared" si="64"/>
        <v>77.199696987500261</v>
      </c>
      <c r="CC62" s="87">
        <v>45047.864583333336</v>
      </c>
      <c r="CD62" s="109">
        <v>4.2526514183503797E-2</v>
      </c>
      <c r="CE62" s="88">
        <v>84.027783200000002</v>
      </c>
      <c r="CF62" s="89">
        <v>7317</v>
      </c>
      <c r="CG62" s="90">
        <f t="shared" si="45"/>
        <v>121.95</v>
      </c>
      <c r="CH62" s="91">
        <f t="shared" si="46"/>
        <v>5.1861084046782882</v>
      </c>
      <c r="CI62" s="91">
        <f t="shared" si="47"/>
        <v>83.15943300506575</v>
      </c>
      <c r="CK62" s="93">
        <v>45049.864583333336</v>
      </c>
      <c r="CL62">
        <v>9.2480545026010996E-2</v>
      </c>
      <c r="CM62" s="95">
        <v>133.7707528</v>
      </c>
      <c r="CN62" s="4">
        <v>3560</v>
      </c>
      <c r="CO62" s="95">
        <f t="shared" si="48"/>
        <v>59.333333333333336</v>
      </c>
      <c r="CP62" s="94">
        <f t="shared" si="49"/>
        <v>5.4871790048766522</v>
      </c>
      <c r="CQ62" s="96">
        <f t="shared" si="50"/>
        <v>85.489516476400496</v>
      </c>
      <c r="CS62" s="10">
        <v>45051.125</v>
      </c>
      <c r="CT62" s="110">
        <v>8.9204004774220705E-2</v>
      </c>
      <c r="CU62" s="21">
        <v>109.8197124</v>
      </c>
      <c r="CV62" s="111">
        <v>4358</v>
      </c>
      <c r="CW62" s="21">
        <f t="shared" si="51"/>
        <v>72.63333333333334</v>
      </c>
      <c r="CX62" s="21">
        <f t="shared" si="52"/>
        <v>6.4791842134342312</v>
      </c>
      <c r="CY62" s="21">
        <f t="shared" si="53"/>
        <v>92.737438741561135</v>
      </c>
    </row>
    <row r="63" spans="1:103" x14ac:dyDescent="0.3">
      <c r="A63" s="10">
        <v>44776.625694444447</v>
      </c>
      <c r="B63" s="11">
        <v>2.7100659833378001E-2</v>
      </c>
      <c r="C63" s="12">
        <v>12.6789259225</v>
      </c>
      <c r="D63" s="9">
        <v>10683</v>
      </c>
      <c r="E63" s="13">
        <f t="shared" si="14"/>
        <v>178.05</v>
      </c>
      <c r="F63" s="12">
        <f t="shared" si="54"/>
        <v>4.8252724833329532</v>
      </c>
      <c r="G63" s="13">
        <f t="shared" si="16"/>
        <v>80.273877098790663</v>
      </c>
      <c r="H63" s="11">
        <f t="shared" si="17"/>
        <v>1</v>
      </c>
      <c r="I63" s="116">
        <f t="shared" si="18"/>
        <v>80.273877098790663</v>
      </c>
      <c r="J63" s="21">
        <f t="shared" si="55"/>
        <v>1</v>
      </c>
      <c r="K63" s="116">
        <f t="shared" si="19"/>
        <v>80.273877098790663</v>
      </c>
      <c r="M63" s="25">
        <v>44781.625694444447</v>
      </c>
      <c r="N63" s="26">
        <v>1.03130225848837E-2</v>
      </c>
      <c r="O63" s="27">
        <v>32.007500319999998</v>
      </c>
      <c r="P63" s="28">
        <v>11744</v>
      </c>
      <c r="Q63" s="29">
        <f t="shared" si="20"/>
        <v>195.73333333333332</v>
      </c>
      <c r="R63" s="26">
        <f t="shared" si="56"/>
        <v>2.0186022872812361</v>
      </c>
      <c r="S63" s="29">
        <f t="shared" si="21"/>
        <v>52.388619007464662</v>
      </c>
      <c r="T63" s="29">
        <f t="shared" si="22"/>
        <v>1</v>
      </c>
      <c r="U63" s="117">
        <f t="shared" si="23"/>
        <v>52.388619007464662</v>
      </c>
      <c r="V63" s="118">
        <f t="shared" si="57"/>
        <v>1</v>
      </c>
      <c r="W63" s="117">
        <f t="shared" si="24"/>
        <v>52.388619007464662</v>
      </c>
      <c r="Y63" s="35">
        <v>45136.625</v>
      </c>
      <c r="Z63" s="71">
        <v>1.91440093988796E-2</v>
      </c>
      <c r="AA63" s="70">
        <v>14.6021538</v>
      </c>
      <c r="AB63" s="36">
        <v>10289</v>
      </c>
      <c r="AC63" s="37">
        <f t="shared" si="25"/>
        <v>171.48333333333332</v>
      </c>
      <c r="AD63" s="37">
        <f t="shared" si="58"/>
        <v>3.2828785450845364</v>
      </c>
      <c r="AE63" s="38">
        <f t="shared" si="26"/>
        <v>66.475800518584137</v>
      </c>
      <c r="AF63" s="38">
        <f t="shared" si="27"/>
        <v>0.71140763048223077</v>
      </c>
      <c r="AG63" s="38">
        <f t="shared" si="28"/>
        <v>47.291391731335388</v>
      </c>
      <c r="AH63" s="38">
        <f t="shared" si="4"/>
        <v>0.74272580648323272</v>
      </c>
      <c r="AI63" s="38">
        <f t="shared" si="29"/>
        <v>49.373292551783905</v>
      </c>
      <c r="AK63" s="45">
        <v>45151.625</v>
      </c>
      <c r="AL63" s="4">
        <v>6.1805829942155003E-3</v>
      </c>
      <c r="AM63" s="3">
        <v>0.59425534599999996</v>
      </c>
      <c r="AN63" s="4">
        <v>1267</v>
      </c>
      <c r="AO63" s="46">
        <f t="shared" si="30"/>
        <v>21.116666666666667</v>
      </c>
      <c r="AP63" s="47">
        <f t="shared" si="59"/>
        <v>0.13051331089451731</v>
      </c>
      <c r="AQ63" s="50">
        <f t="shared" si="31"/>
        <v>13.702182629894377</v>
      </c>
      <c r="AR63" s="50">
        <f t="shared" si="32"/>
        <v>0</v>
      </c>
      <c r="AS63" s="50">
        <f t="shared" si="33"/>
        <v>0</v>
      </c>
      <c r="AT63" s="50">
        <f t="shared" si="6"/>
        <v>7.7206678952547415E-3</v>
      </c>
      <c r="AU63" s="50">
        <f t="shared" si="34"/>
        <v>0.1057900015255427</v>
      </c>
      <c r="AW63" s="51">
        <v>45166.625</v>
      </c>
      <c r="AX63" s="72">
        <v>2.02472921111106E-2</v>
      </c>
      <c r="AY63" s="73">
        <v>1.317101139</v>
      </c>
      <c r="AZ63" s="52">
        <v>9938</v>
      </c>
      <c r="BA63" s="53">
        <f t="shared" si="35"/>
        <v>165.63333333333333</v>
      </c>
      <c r="BB63" s="72">
        <f t="shared" si="60"/>
        <v>3.353626483336952</v>
      </c>
      <c r="BC63" s="54">
        <f t="shared" si="36"/>
        <v>67.173524646610915</v>
      </c>
      <c r="BD63" s="54">
        <f t="shared" si="37"/>
        <v>0.50214515155570849</v>
      </c>
      <c r="BE63" s="54">
        <f t="shared" si="38"/>
        <v>33.730859714203561</v>
      </c>
      <c r="BF63" s="54">
        <f t="shared" si="8"/>
        <v>0.43246944737005094</v>
      </c>
      <c r="BG63" s="54">
        <f t="shared" si="39"/>
        <v>29.050497081818317</v>
      </c>
      <c r="BI63" s="66">
        <v>45183.625</v>
      </c>
      <c r="BJ63" s="67">
        <v>5.1852698622373301E-2</v>
      </c>
      <c r="BK63" s="68">
        <v>1.9748874890000001</v>
      </c>
      <c r="BL63" s="68">
        <v>8687</v>
      </c>
      <c r="BM63" s="68">
        <f t="shared" si="40"/>
        <v>144.78333333333333</v>
      </c>
      <c r="BN63" s="68">
        <f t="shared" si="61"/>
        <v>7.5074065488759478</v>
      </c>
      <c r="BO63" s="69">
        <f t="shared" si="41"/>
        <v>99.673799545223744</v>
      </c>
      <c r="BP63" s="69">
        <f t="shared" si="42"/>
        <v>1</v>
      </c>
      <c r="BQ63" s="69">
        <f t="shared" si="43"/>
        <v>99.673799545223744</v>
      </c>
      <c r="BR63" s="69">
        <f t="shared" si="10"/>
        <v>0.62897420516019309</v>
      </c>
      <c r="BS63" s="69">
        <f t="shared" si="44"/>
        <v>62.69224884425352</v>
      </c>
      <c r="BU63" s="82">
        <v>45046.958333333336</v>
      </c>
      <c r="BV63" s="112">
        <v>4.4217264999999999E-2</v>
      </c>
      <c r="BW63" s="83">
        <v>81.405228940000001</v>
      </c>
      <c r="BX63" s="112">
        <v>6313</v>
      </c>
      <c r="BY63" s="83">
        <f t="shared" si="62"/>
        <v>105.21666666666667</v>
      </c>
      <c r="BZ63" s="84">
        <f t="shared" si="63"/>
        <v>4.6523932324166664</v>
      </c>
      <c r="CA63" s="83">
        <f t="shared" si="64"/>
        <v>78.852366764286216</v>
      </c>
      <c r="CC63" s="87">
        <v>45047.875</v>
      </c>
      <c r="CD63" s="109">
        <v>4.3113848719199301E-2</v>
      </c>
      <c r="CE63" s="88">
        <v>84.899432570000002</v>
      </c>
      <c r="CF63" s="89">
        <v>6957</v>
      </c>
      <c r="CG63" s="90">
        <f t="shared" si="45"/>
        <v>115.95</v>
      </c>
      <c r="CH63" s="91">
        <f t="shared" si="46"/>
        <v>4.9990507589911592</v>
      </c>
      <c r="CI63" s="91">
        <f t="shared" si="47"/>
        <v>81.6768206745962</v>
      </c>
      <c r="CK63" s="93">
        <v>45049.875</v>
      </c>
      <c r="CL63">
        <v>0.106073387474772</v>
      </c>
      <c r="CM63" s="95">
        <v>135.52973059999999</v>
      </c>
      <c r="CN63" s="4">
        <v>3917</v>
      </c>
      <c r="CO63" s="95">
        <f t="shared" si="48"/>
        <v>65.283333333333331</v>
      </c>
      <c r="CP63" s="94">
        <f t="shared" si="49"/>
        <v>6.9248243123113653</v>
      </c>
      <c r="CQ63" s="96">
        <f t="shared" si="50"/>
        <v>95.8079973303809</v>
      </c>
      <c r="CS63" s="10">
        <v>45051.135416666664</v>
      </c>
      <c r="CT63" s="110">
        <v>8.7461120174415097E-2</v>
      </c>
      <c r="CU63" s="21">
        <v>99.304680700000006</v>
      </c>
      <c r="CV63" s="111">
        <v>4576</v>
      </c>
      <c r="CW63" s="21">
        <f t="shared" si="51"/>
        <v>76.266666666666666</v>
      </c>
      <c r="CX63" s="21">
        <f t="shared" si="52"/>
        <v>6.6703680986353913</v>
      </c>
      <c r="CY63" s="21">
        <f t="shared" si="53"/>
        <v>94.067532064514893</v>
      </c>
    </row>
    <row r="64" spans="1:103" x14ac:dyDescent="0.3">
      <c r="A64" s="10">
        <v>44776.636111111111</v>
      </c>
      <c r="B64" s="11">
        <v>1.24645744986261E-2</v>
      </c>
      <c r="C64" s="12">
        <v>22.620213794999898</v>
      </c>
      <c r="D64" s="9">
        <v>11852</v>
      </c>
      <c r="E64" s="13">
        <f t="shared" si="14"/>
        <v>197.53333333333333</v>
      </c>
      <c r="F64" s="12">
        <f t="shared" si="54"/>
        <v>2.4621689492952754</v>
      </c>
      <c r="G64" s="13">
        <f t="shared" si="16"/>
        <v>57.74068660746331</v>
      </c>
      <c r="H64" s="11">
        <f t="shared" si="17"/>
        <v>1</v>
      </c>
      <c r="I64" s="116">
        <f t="shared" si="18"/>
        <v>57.74068660746331</v>
      </c>
      <c r="J64" s="21">
        <f t="shared" si="55"/>
        <v>0.50990987055172243</v>
      </c>
      <c r="K64" s="116">
        <f t="shared" si="19"/>
        <v>29.442546033579191</v>
      </c>
      <c r="M64" s="25">
        <v>44781.636111111111</v>
      </c>
      <c r="N64" s="26">
        <v>9.1361670131292396E-3</v>
      </c>
      <c r="O64" s="27">
        <v>31.620971515000001</v>
      </c>
      <c r="P64" s="28">
        <v>9639</v>
      </c>
      <c r="Q64" s="29">
        <f t="shared" si="20"/>
        <v>160.65</v>
      </c>
      <c r="R64" s="26">
        <f t="shared" si="56"/>
        <v>1.4677252306592123</v>
      </c>
      <c r="S64" s="29">
        <f t="shared" si="21"/>
        <v>44.818728513329802</v>
      </c>
      <c r="T64" s="29">
        <f t="shared" si="22"/>
        <v>0.9874155681204565</v>
      </c>
      <c r="U64" s="117">
        <f t="shared" si="23"/>
        <v>44.254710277426049</v>
      </c>
      <c r="V64" s="118">
        <f t="shared" si="57"/>
        <v>0.72075863032943832</v>
      </c>
      <c r="W64" s="117">
        <f t="shared" si="24"/>
        <v>32.303485376374532</v>
      </c>
      <c r="Y64" s="35">
        <v>45136.635416666664</v>
      </c>
      <c r="Z64" s="71">
        <v>2.2161578187086601E-2</v>
      </c>
      <c r="AA64" s="70">
        <v>13.238676509999999</v>
      </c>
      <c r="AB64" s="36">
        <v>9280</v>
      </c>
      <c r="AC64" s="37">
        <f t="shared" si="25"/>
        <v>154.66666666666666</v>
      </c>
      <c r="AD64" s="37">
        <f t="shared" si="58"/>
        <v>3.427657426269394</v>
      </c>
      <c r="AE64" s="38">
        <f t="shared" si="26"/>
        <v>67.895630319562855</v>
      </c>
      <c r="AF64" s="38">
        <f t="shared" si="27"/>
        <v>0.64024435545925251</v>
      </c>
      <c r="AG64" s="38">
        <f t="shared" si="28"/>
        <v>43.469794072448202</v>
      </c>
      <c r="AH64" s="38">
        <f t="shared" si="4"/>
        <v>0.78111245781645</v>
      </c>
      <c r="AI64" s="38">
        <f t="shared" si="29"/>
        <v>53.034122673910822</v>
      </c>
      <c r="AK64" s="45">
        <v>45151.635416666664</v>
      </c>
      <c r="AL64" s="4">
        <v>6.3237965110980602E-3</v>
      </c>
      <c r="AM64" s="3">
        <v>0.69769667099999999</v>
      </c>
      <c r="AN64" s="4">
        <v>1633</v>
      </c>
      <c r="AO64" s="46">
        <f t="shared" si="30"/>
        <v>27.216666666666665</v>
      </c>
      <c r="AP64" s="47">
        <f t="shared" si="59"/>
        <v>0.17211266171038553</v>
      </c>
      <c r="AQ64" s="50">
        <f t="shared" si="31"/>
        <v>15.690295798650439</v>
      </c>
      <c r="AR64" s="50">
        <f t="shared" si="32"/>
        <v>5.033140178475267E-2</v>
      </c>
      <c r="AS64" s="50">
        <f t="shared" si="33"/>
        <v>0.78971458196349198</v>
      </c>
      <c r="AT64" s="50">
        <f t="shared" si="6"/>
        <v>4.0665709185722584E-2</v>
      </c>
      <c r="AU64" s="50">
        <f t="shared" si="34"/>
        <v>0.63805700598588366</v>
      </c>
      <c r="AW64" s="51">
        <v>45166.635416666664</v>
      </c>
      <c r="AX64" s="72">
        <v>1.9758487775732199E-2</v>
      </c>
      <c r="AY64" s="73">
        <v>1.200201638</v>
      </c>
      <c r="AZ64" s="52">
        <v>9561</v>
      </c>
      <c r="BA64" s="53">
        <f t="shared" si="35"/>
        <v>159.35</v>
      </c>
      <c r="BB64" s="72">
        <f t="shared" si="60"/>
        <v>3.1485150270629259</v>
      </c>
      <c r="BC64" s="54">
        <f t="shared" si="36"/>
        <v>65.129236714115137</v>
      </c>
      <c r="BD64" s="54">
        <f t="shared" si="37"/>
        <v>0.43956312097775091</v>
      </c>
      <c r="BE64" s="54">
        <f t="shared" si="38"/>
        <v>28.628410556955167</v>
      </c>
      <c r="BF64" s="54">
        <f t="shared" si="8"/>
        <v>0.39969518366923518</v>
      </c>
      <c r="BG64" s="54">
        <f t="shared" si="39"/>
        <v>26.031842230685346</v>
      </c>
      <c r="BI64" s="66">
        <v>45183.635416666664</v>
      </c>
      <c r="BJ64" s="67">
        <v>5.3260935853835997E-2</v>
      </c>
      <c r="BK64" s="68">
        <v>1.5125919880000001</v>
      </c>
      <c r="BL64" s="68">
        <v>8011</v>
      </c>
      <c r="BM64" s="68">
        <f t="shared" si="40"/>
        <v>133.51666666666668</v>
      </c>
      <c r="BN64" s="68">
        <f t="shared" si="61"/>
        <v>7.111222618751337</v>
      </c>
      <c r="BO64" s="69">
        <f t="shared" si="41"/>
        <v>97.062328103421052</v>
      </c>
      <c r="BP64" s="69">
        <f t="shared" si="42"/>
        <v>1</v>
      </c>
      <c r="BQ64" s="69">
        <f t="shared" si="43"/>
        <v>97.062328103421052</v>
      </c>
      <c r="BR64" s="69">
        <f t="shared" si="10"/>
        <v>0.59506280155714275</v>
      </c>
      <c r="BS64" s="69">
        <f t="shared" si="44"/>
        <v>57.758180886880318</v>
      </c>
      <c r="BU64" s="82">
        <v>45046.96875</v>
      </c>
      <c r="BV64" s="112">
        <v>4.4653986999999999E-2</v>
      </c>
      <c r="BW64" s="83">
        <v>77.875916610000004</v>
      </c>
      <c r="BX64" s="112">
        <v>6250</v>
      </c>
      <c r="BY64" s="83">
        <f t="shared" si="62"/>
        <v>104.16666666666667</v>
      </c>
      <c r="BZ64" s="84">
        <f t="shared" si="63"/>
        <v>4.6514569791666664</v>
      </c>
      <c r="CA64" s="83">
        <f t="shared" si="64"/>
        <v>78.844595636301676</v>
      </c>
      <c r="CC64" s="87">
        <v>45047.885416666664</v>
      </c>
      <c r="CD64" s="109">
        <v>4.4601137040666199E-2</v>
      </c>
      <c r="CE64" s="88">
        <v>82.718647970000006</v>
      </c>
      <c r="CF64" s="89">
        <v>6997</v>
      </c>
      <c r="CG64" s="90">
        <f t="shared" si="45"/>
        <v>116.61666666666666</v>
      </c>
      <c r="CH64" s="91">
        <f t="shared" si="46"/>
        <v>5.2012359312256899</v>
      </c>
      <c r="CI64" s="91">
        <f t="shared" si="47"/>
        <v>83.278131465126677</v>
      </c>
      <c r="CK64" s="93">
        <v>45049.885416666664</v>
      </c>
      <c r="CL64">
        <v>9.5922141710424999E-2</v>
      </c>
      <c r="CM64" s="95">
        <v>129.12778700000001</v>
      </c>
      <c r="CN64" s="4">
        <v>3623</v>
      </c>
      <c r="CO64" s="95">
        <f t="shared" si="48"/>
        <v>60.383333333333333</v>
      </c>
      <c r="CP64" s="94">
        <f t="shared" si="49"/>
        <v>5.7920986569478297</v>
      </c>
      <c r="CQ64" s="96">
        <f t="shared" si="50"/>
        <v>87.783796153347112</v>
      </c>
      <c r="CS64" s="10">
        <v>45051.145833333336</v>
      </c>
      <c r="CT64" s="110">
        <v>7.9281719070325898E-2</v>
      </c>
      <c r="CU64" s="21">
        <v>98.474887140000007</v>
      </c>
      <c r="CV64" s="111">
        <v>4606</v>
      </c>
      <c r="CW64" s="21">
        <f t="shared" si="51"/>
        <v>76.766666666666666</v>
      </c>
      <c r="CX64" s="21">
        <f t="shared" si="52"/>
        <v>6.0861933006320177</v>
      </c>
      <c r="CY64" s="21">
        <f t="shared" si="53"/>
        <v>89.938927080289218</v>
      </c>
    </row>
    <row r="65" spans="1:103" x14ac:dyDescent="0.3">
      <c r="A65" s="10">
        <v>44776.646527777775</v>
      </c>
      <c r="B65" s="11">
        <v>1.0060327126060999E-2</v>
      </c>
      <c r="C65" s="12">
        <v>19.508647905</v>
      </c>
      <c r="D65" s="9">
        <v>9885</v>
      </c>
      <c r="E65" s="13">
        <f t="shared" si="14"/>
        <v>164.75</v>
      </c>
      <c r="F65" s="12">
        <f t="shared" si="54"/>
        <v>1.6574388940185496</v>
      </c>
      <c r="G65" s="13">
        <f t="shared" si="16"/>
        <v>47.567699592066525</v>
      </c>
      <c r="H65" s="11">
        <f t="shared" si="17"/>
        <v>1</v>
      </c>
      <c r="I65" s="116">
        <f t="shared" si="18"/>
        <v>47.567699592066525</v>
      </c>
      <c r="J65" s="21">
        <f t="shared" si="55"/>
        <v>0.34301483134553851</v>
      </c>
      <c r="K65" s="116">
        <f t="shared" si="19"/>
        <v>16.31642645306794</v>
      </c>
      <c r="M65" s="25">
        <v>44781.646527777775</v>
      </c>
      <c r="N65" s="26">
        <v>8.4765582589645706E-3</v>
      </c>
      <c r="O65" s="27">
        <v>30.826982135000002</v>
      </c>
      <c r="P65" s="28">
        <v>9640</v>
      </c>
      <c r="Q65" s="29">
        <f t="shared" si="20"/>
        <v>160.66666666666666</v>
      </c>
      <c r="R65" s="26">
        <f t="shared" si="56"/>
        <v>1.361900360273641</v>
      </c>
      <c r="S65" s="29">
        <f t="shared" si="21"/>
        <v>43.206049923903961</v>
      </c>
      <c r="T65" s="29">
        <f t="shared" si="22"/>
        <v>0.961565217159702</v>
      </c>
      <c r="U65" s="117">
        <f t="shared" si="23"/>
        <v>41.545434777691639</v>
      </c>
      <c r="V65" s="118">
        <f t="shared" si="57"/>
        <v>0.66711565973109599</v>
      </c>
      <c r="W65" s="117">
        <f t="shared" si="24"/>
        <v>28.823432499359861</v>
      </c>
      <c r="Y65" s="35">
        <v>45136.645833333336</v>
      </c>
      <c r="Z65" s="71">
        <v>2.74909315822277E-2</v>
      </c>
      <c r="AA65" s="70">
        <v>14.6021538</v>
      </c>
      <c r="AB65" s="36">
        <v>9010</v>
      </c>
      <c r="AC65" s="37">
        <f t="shared" si="25"/>
        <v>150.16666666666666</v>
      </c>
      <c r="AD65" s="37">
        <f t="shared" si="58"/>
        <v>4.1282215592645262</v>
      </c>
      <c r="AE65" s="38">
        <f t="shared" si="26"/>
        <v>74.369135417746435</v>
      </c>
      <c r="AF65" s="38">
        <f t="shared" si="27"/>
        <v>0.71140763048223077</v>
      </c>
      <c r="AG65" s="38">
        <f t="shared" si="28"/>
        <v>52.906770408551139</v>
      </c>
      <c r="AH65" s="38">
        <f t="shared" si="4"/>
        <v>0.96685992933824583</v>
      </c>
      <c r="AI65" s="38">
        <f t="shared" si="29"/>
        <v>71.904537014948758</v>
      </c>
      <c r="AK65" s="45">
        <v>45151.645833333336</v>
      </c>
      <c r="AL65" s="4">
        <v>4.28503411207875E-3</v>
      </c>
      <c r="AM65" s="3">
        <v>0.50323377899999999</v>
      </c>
      <c r="AN65" s="4">
        <v>999</v>
      </c>
      <c r="AO65" s="46">
        <f t="shared" si="30"/>
        <v>16.649999999999999</v>
      </c>
      <c r="AP65" s="47">
        <f t="shared" si="59"/>
        <v>7.1345817966111183E-2</v>
      </c>
      <c r="AQ65" s="50">
        <f t="shared" si="31"/>
        <v>10.194082820384464</v>
      </c>
      <c r="AR65" s="50">
        <f t="shared" si="32"/>
        <v>0</v>
      </c>
      <c r="AS65" s="50">
        <f t="shared" si="33"/>
        <v>0</v>
      </c>
      <c r="AT65" s="50">
        <f t="shared" si="6"/>
        <v>0</v>
      </c>
      <c r="AU65" s="50">
        <f t="shared" si="34"/>
        <v>0</v>
      </c>
      <c r="AW65" s="51">
        <v>45166.645833333336</v>
      </c>
      <c r="AX65" s="72">
        <v>2.1139988783839998E-2</v>
      </c>
      <c r="AY65" s="73">
        <v>1.511415151</v>
      </c>
      <c r="AZ65" s="52">
        <v>9841</v>
      </c>
      <c r="BA65" s="53">
        <f t="shared" si="35"/>
        <v>164.01666666666668</v>
      </c>
      <c r="BB65" s="72">
        <f t="shared" si="60"/>
        <v>3.4673104936961572</v>
      </c>
      <c r="BC65" s="54">
        <f t="shared" si="36"/>
        <v>68.27913876301389</v>
      </c>
      <c r="BD65" s="54">
        <f t="shared" si="37"/>
        <v>0.60617096292944239</v>
      </c>
      <c r="BE65" s="54">
        <f t="shared" si="38"/>
        <v>41.388831291969147</v>
      </c>
      <c r="BF65" s="54">
        <f t="shared" si="8"/>
        <v>0.45063474053193603</v>
      </c>
      <c r="BG65" s="54">
        <f t="shared" si="39"/>
        <v>30.768951980214819</v>
      </c>
      <c r="BI65" s="66">
        <v>45183.645833333336</v>
      </c>
      <c r="BJ65" s="67">
        <v>4.0899762043143599E-2</v>
      </c>
      <c r="BK65" s="68">
        <v>1.0404225359999999</v>
      </c>
      <c r="BL65" s="68">
        <v>8770</v>
      </c>
      <c r="BM65" s="68">
        <f t="shared" si="40"/>
        <v>146.16666666666666</v>
      </c>
      <c r="BN65" s="68">
        <f t="shared" si="61"/>
        <v>5.9781818853061557</v>
      </c>
      <c r="BO65" s="69">
        <f t="shared" si="41"/>
        <v>89.15372486745953</v>
      </c>
      <c r="BP65" s="69">
        <f t="shared" si="42"/>
        <v>0.58523026692690683</v>
      </c>
      <c r="BQ65" s="69">
        <f t="shared" si="43"/>
        <v>52.175458201711351</v>
      </c>
      <c r="BR65" s="69">
        <f t="shared" si="10"/>
        <v>0.49808006528495097</v>
      </c>
      <c r="BS65" s="69">
        <f t="shared" si="44"/>
        <v>44.405693102380802</v>
      </c>
      <c r="BU65" s="82">
        <v>45046.979166666664</v>
      </c>
      <c r="BV65" s="112">
        <v>4.6686294000000003E-2</v>
      </c>
      <c r="BW65" s="83">
        <v>77.875916610000004</v>
      </c>
      <c r="BX65" s="112">
        <v>6465</v>
      </c>
      <c r="BY65" s="83">
        <f t="shared" si="62"/>
        <v>107.75</v>
      </c>
      <c r="BZ65" s="84">
        <f t="shared" si="63"/>
        <v>5.0304481785000004</v>
      </c>
      <c r="CA65" s="83">
        <f t="shared" si="64"/>
        <v>81.927628458854997</v>
      </c>
      <c r="CC65" s="87">
        <v>45047.895833333336</v>
      </c>
      <c r="CD65" s="109">
        <v>4.4362627564106201E-2</v>
      </c>
      <c r="CE65" s="88">
        <v>86.199962600000006</v>
      </c>
      <c r="CF65" s="89">
        <v>7226</v>
      </c>
      <c r="CG65" s="90">
        <f t="shared" si="45"/>
        <v>120.43333333333334</v>
      </c>
      <c r="CH65" s="91">
        <f t="shared" si="46"/>
        <v>5.3427391129705235</v>
      </c>
      <c r="CI65" s="91">
        <f t="shared" si="47"/>
        <v>84.380016860651793</v>
      </c>
      <c r="CK65" s="93">
        <v>45049.895833333336</v>
      </c>
      <c r="CL65">
        <v>8.6829775335143702E-2</v>
      </c>
      <c r="CM65" s="95">
        <v>119.87671349999999</v>
      </c>
      <c r="CN65" s="4">
        <v>3767</v>
      </c>
      <c r="CO65" s="95">
        <f t="shared" si="48"/>
        <v>62.783333333333331</v>
      </c>
      <c r="CP65" s="94">
        <f t="shared" si="49"/>
        <v>5.4514627281247723</v>
      </c>
      <c r="CQ65" s="96">
        <f t="shared" si="50"/>
        <v>85.216566503490611</v>
      </c>
      <c r="CS65" s="10">
        <v>45051.15625</v>
      </c>
      <c r="CT65" s="110">
        <v>8.1649983623313396E-2</v>
      </c>
      <c r="CU65" s="21">
        <v>109.0251016</v>
      </c>
      <c r="CV65" s="111">
        <v>4530</v>
      </c>
      <c r="CW65" s="21">
        <f t="shared" si="51"/>
        <v>75.5</v>
      </c>
      <c r="CX65" s="21">
        <f t="shared" si="52"/>
        <v>6.1645737635601616</v>
      </c>
      <c r="CY65" s="21">
        <f t="shared" si="53"/>
        <v>90.504280063681136</v>
      </c>
    </row>
    <row r="66" spans="1:103" x14ac:dyDescent="0.3">
      <c r="A66" s="10">
        <v>44776.656944444447</v>
      </c>
      <c r="B66" s="11">
        <v>8.5108884807833796E-3</v>
      </c>
      <c r="C66" s="12">
        <v>15.20489341</v>
      </c>
      <c r="D66" s="9">
        <v>7309</v>
      </c>
      <c r="E66" s="13">
        <f t="shared" si="14"/>
        <v>121.81666666666666</v>
      </c>
      <c r="F66" s="12">
        <f t="shared" si="54"/>
        <v>1.036768065100762</v>
      </c>
      <c r="G66" s="13">
        <f t="shared" si="16"/>
        <v>37.803575502160662</v>
      </c>
      <c r="H66" s="11">
        <f t="shared" si="17"/>
        <v>1</v>
      </c>
      <c r="I66" s="116">
        <f t="shared" si="18"/>
        <v>37.803575502160662</v>
      </c>
      <c r="J66" s="21">
        <f t="shared" si="55"/>
        <v>0.21429230924370399</v>
      </c>
      <c r="K66" s="116">
        <f t="shared" si="19"/>
        <v>8.1010154920267254</v>
      </c>
      <c r="M66" s="25">
        <v>44781.656944444447</v>
      </c>
      <c r="N66" s="26">
        <v>9.0524697506822703E-3</v>
      </c>
      <c r="O66" s="27">
        <v>30.790400730000002</v>
      </c>
      <c r="P66" s="28">
        <v>9073</v>
      </c>
      <c r="Q66" s="29">
        <f t="shared" si="20"/>
        <v>151.21666666666667</v>
      </c>
      <c r="R66" s="26">
        <f t="shared" si="56"/>
        <v>1.3688843007990039</v>
      </c>
      <c r="S66" s="29">
        <f t="shared" si="21"/>
        <v>43.31440835604613</v>
      </c>
      <c r="T66" s="29">
        <f t="shared" si="22"/>
        <v>0.96037421614418783</v>
      </c>
      <c r="U66" s="117">
        <f t="shared" si="23"/>
        <v>41.598040972687059</v>
      </c>
      <c r="V66" s="118">
        <f t="shared" si="57"/>
        <v>0.67065584187256821</v>
      </c>
      <c r="W66" s="117">
        <f t="shared" si="24"/>
        <v>29.049061001236321</v>
      </c>
      <c r="Y66" s="35">
        <v>45136.65625</v>
      </c>
      <c r="Z66" s="71">
        <v>3.3894640450781402E-2</v>
      </c>
      <c r="AA66" s="70">
        <v>20.131538750000001</v>
      </c>
      <c r="AB66" s="36">
        <v>7529</v>
      </c>
      <c r="AC66" s="37">
        <f t="shared" si="25"/>
        <v>125.48333333333333</v>
      </c>
      <c r="AD66" s="37">
        <f t="shared" si="58"/>
        <v>4.2532124658988861</v>
      </c>
      <c r="AE66" s="38">
        <f t="shared" si="26"/>
        <v>75.463396074733694</v>
      </c>
      <c r="AF66" s="38">
        <f t="shared" si="27"/>
        <v>1</v>
      </c>
      <c r="AG66" s="38">
        <f t="shared" si="28"/>
        <v>75.463396074733694</v>
      </c>
      <c r="AH66" s="38">
        <f t="shared" si="4"/>
        <v>1</v>
      </c>
      <c r="AI66" s="38">
        <f t="shared" si="29"/>
        <v>75.463396074733694</v>
      </c>
      <c r="AK66" s="45">
        <v>45151.65625</v>
      </c>
      <c r="AL66" s="4">
        <v>5.3342621805738399E-3</v>
      </c>
      <c r="AM66" s="3">
        <v>0.59425534599999996</v>
      </c>
      <c r="AN66" s="4">
        <v>1215</v>
      </c>
      <c r="AO66" s="46">
        <f t="shared" si="30"/>
        <v>20.25</v>
      </c>
      <c r="AP66" s="47">
        <f t="shared" si="59"/>
        <v>0.10801880915662027</v>
      </c>
      <c r="AQ66" s="50">
        <f t="shared" si="31"/>
        <v>12.489879304026099</v>
      </c>
      <c r="AR66" s="50">
        <f t="shared" si="32"/>
        <v>0</v>
      </c>
      <c r="AS66" s="50">
        <f t="shared" si="33"/>
        <v>0</v>
      </c>
      <c r="AT66" s="50">
        <f t="shared" si="6"/>
        <v>0</v>
      </c>
      <c r="AU66" s="50">
        <f t="shared" si="34"/>
        <v>0</v>
      </c>
      <c r="AW66" s="51">
        <v>45166.65625</v>
      </c>
      <c r="AX66" s="72">
        <v>2.1083112129099899E-2</v>
      </c>
      <c r="AY66" s="73">
        <v>1.200201638</v>
      </c>
      <c r="AZ66" s="52">
        <v>9102</v>
      </c>
      <c r="BA66" s="53">
        <f t="shared" si="35"/>
        <v>151.69999999999999</v>
      </c>
      <c r="BB66" s="72">
        <f t="shared" si="60"/>
        <v>3.1983081099844544</v>
      </c>
      <c r="BC66" s="54">
        <f t="shared" si="36"/>
        <v>65.631610794766416</v>
      </c>
      <c r="BD66" s="54">
        <f t="shared" si="37"/>
        <v>0.43956312097775091</v>
      </c>
      <c r="BE66" s="54">
        <f t="shared" si="38"/>
        <v>28.849235675744573</v>
      </c>
      <c r="BF66" s="54">
        <f t="shared" si="8"/>
        <v>0.4076515000047134</v>
      </c>
      <c r="BG66" s="54">
        <f t="shared" si="39"/>
        <v>26.75482458821207</v>
      </c>
      <c r="BI66" s="66">
        <v>45183.65625</v>
      </c>
      <c r="BJ66" s="67">
        <v>6.2147021210142303E-2</v>
      </c>
      <c r="BK66" s="68">
        <v>1.8086265969999999</v>
      </c>
      <c r="BL66" s="68">
        <v>7627</v>
      </c>
      <c r="BM66" s="68">
        <f t="shared" si="40"/>
        <v>127.11666666666666</v>
      </c>
      <c r="BN66" s="68">
        <f t="shared" si="61"/>
        <v>7.8999221794959222</v>
      </c>
      <c r="BO66" s="69">
        <f t="shared" si="41"/>
        <v>102.1926083809247</v>
      </c>
      <c r="BP66" s="69">
        <f t="shared" si="42"/>
        <v>1</v>
      </c>
      <c r="BQ66" s="69">
        <f t="shared" si="43"/>
        <v>102.1926083809247</v>
      </c>
      <c r="BR66" s="69">
        <f t="shared" si="10"/>
        <v>0.6625716202958174</v>
      </c>
      <c r="BS66" s="69">
        <f t="shared" si="44"/>
        <v>67.70992211720521</v>
      </c>
      <c r="BU66" s="82">
        <v>45046.989583333336</v>
      </c>
      <c r="BV66" s="112">
        <v>4.7387278999999997E-2</v>
      </c>
      <c r="BW66" s="83">
        <v>80.961047410000006</v>
      </c>
      <c r="BX66" s="112">
        <v>6049</v>
      </c>
      <c r="BY66" s="83">
        <f t="shared" si="62"/>
        <v>100.81666666666666</v>
      </c>
      <c r="BZ66" s="84">
        <f t="shared" si="63"/>
        <v>4.7774275111833333</v>
      </c>
      <c r="CA66" s="83">
        <f t="shared" si="64"/>
        <v>79.883106696123889</v>
      </c>
      <c r="CC66" s="87">
        <v>45047.90625</v>
      </c>
      <c r="CD66" s="109">
        <v>4.1361693243066398E-2</v>
      </c>
      <c r="CE66" s="88">
        <v>86.199962600000006</v>
      </c>
      <c r="CF66" s="89">
        <v>7198</v>
      </c>
      <c r="CG66" s="90">
        <f t="shared" si="45"/>
        <v>119.96666666666667</v>
      </c>
      <c r="CH66" s="91">
        <f t="shared" si="46"/>
        <v>4.9620244660598658</v>
      </c>
      <c r="CI66" s="91">
        <f t="shared" si="47"/>
        <v>81.380013330349172</v>
      </c>
      <c r="CK66" s="93">
        <v>45049.90625</v>
      </c>
      <c r="CL66">
        <v>0.10483621117073399</v>
      </c>
      <c r="CM66" s="95">
        <v>130.567172</v>
      </c>
      <c r="CN66" s="4">
        <v>3699</v>
      </c>
      <c r="CO66" s="95">
        <f t="shared" si="48"/>
        <v>61.65</v>
      </c>
      <c r="CP66" s="94">
        <f t="shared" si="49"/>
        <v>6.463152418675751</v>
      </c>
      <c r="CQ66" s="96">
        <f t="shared" si="50"/>
        <v>92.624998581066876</v>
      </c>
      <c r="CS66" s="10">
        <v>45051.166666666664</v>
      </c>
      <c r="CT66" s="110">
        <v>9.0325333527084301E-2</v>
      </c>
      <c r="CU66" s="21">
        <v>107.0292163</v>
      </c>
      <c r="CV66" s="111">
        <v>4675</v>
      </c>
      <c r="CW66" s="21">
        <f t="shared" si="51"/>
        <v>77.916666666666671</v>
      </c>
      <c r="CX66" s="21">
        <f t="shared" si="52"/>
        <v>7.0378489039853189</v>
      </c>
      <c r="CY66" s="21">
        <f t="shared" si="53"/>
        <v>96.570600212764106</v>
      </c>
    </row>
    <row r="67" spans="1:103" x14ac:dyDescent="0.3">
      <c r="A67" s="10">
        <v>44776.667361111111</v>
      </c>
      <c r="B67" s="11">
        <v>8.7778912773804098E-3</v>
      </c>
      <c r="C67" s="12">
        <v>17.173613769999999</v>
      </c>
      <c r="D67" s="9">
        <v>8052</v>
      </c>
      <c r="E67" s="13">
        <f t="shared" si="14"/>
        <v>134.19999999999999</v>
      </c>
      <c r="F67" s="12">
        <f t="shared" ref="F67:F94" si="65">E67*B67</f>
        <v>1.1779930094244508</v>
      </c>
      <c r="G67" s="13">
        <f t="shared" si="16"/>
        <v>40.243169637786821</v>
      </c>
      <c r="H67" s="11">
        <f t="shared" si="17"/>
        <v>1</v>
      </c>
      <c r="I67" s="116">
        <f t="shared" si="18"/>
        <v>40.243169637786821</v>
      </c>
      <c r="J67" s="21">
        <f t="shared" ref="J67:J94" si="66">IF((F67-$K$96)/($I$96-$K$96)&lt;0, 0, IF((F67-$K$96)/($I$96-$K$96)&gt;1, 1, (F67-$K$96)/($I$96-$K$96)))</f>
        <v>0.24358131425258012</v>
      </c>
      <c r="K67" s="116">
        <f t="shared" si="19"/>
        <v>9.8024841500616429</v>
      </c>
      <c r="M67" s="25">
        <v>44781.667361111111</v>
      </c>
      <c r="N67" s="26">
        <v>7.8646514729987498E-3</v>
      </c>
      <c r="O67" s="27">
        <v>28.530895780000002</v>
      </c>
      <c r="P67" s="28">
        <v>7779</v>
      </c>
      <c r="Q67" s="29">
        <f t="shared" si="20"/>
        <v>129.65</v>
      </c>
      <c r="R67" s="26">
        <f t="shared" ref="R67:R98" si="67">Q67*N67</f>
        <v>1.0196520634742881</v>
      </c>
      <c r="S67" s="29">
        <f t="shared" si="21"/>
        <v>37.496655980859039</v>
      </c>
      <c r="T67" s="29">
        <f t="shared" si="22"/>
        <v>0.88681026500536786</v>
      </c>
      <c r="U67" s="117">
        <f t="shared" si="23"/>
        <v>33.252419427200714</v>
      </c>
      <c r="V67" s="118">
        <f t="shared" ref="V67:V99" si="68">IF((R67-$W$102)/($U$101-$W$102)&lt;0, 0, IF((R67-$W$102)/($U$101-$W$102)&gt;1, 1, (R67-$W$102)/($U$101-$W$102)))</f>
        <v>0.49362888619998829</v>
      </c>
      <c r="W67" s="117">
        <f t="shared" si="24"/>
        <v>18.509432528055576</v>
      </c>
      <c r="Y67" s="35">
        <v>45136.666666666664</v>
      </c>
      <c r="Z67" s="71">
        <v>2.8544689536798101E-2</v>
      </c>
      <c r="AA67" s="70">
        <v>10.529934320000001</v>
      </c>
      <c r="AB67" s="36">
        <v>8328</v>
      </c>
      <c r="AC67" s="37">
        <f t="shared" si="25"/>
        <v>138.80000000000001</v>
      </c>
      <c r="AD67" s="37">
        <f t="shared" ref="AD67:AD100" si="69">Z67*AC67</f>
        <v>3.9620029077075767</v>
      </c>
      <c r="AE67" s="38">
        <f t="shared" si="26"/>
        <v>72.887401129850275</v>
      </c>
      <c r="AF67" s="38">
        <f t="shared" si="27"/>
        <v>0.49886835539891111</v>
      </c>
      <c r="AG67" s="38">
        <f t="shared" si="28"/>
        <v>36.361217930949145</v>
      </c>
      <c r="AH67" s="38">
        <f t="shared" ref="AH67:AH82" si="70">IF((AD67-$AI$102)/($AG$102-$AI$102)&lt;0, 0, IF((AD67-$AI$102)/($AG$102-$AI$102)&gt;1, 1, (AD67-$AI$102)/($AG$102-$AI$102)))</f>
        <v>0.9227887404315761</v>
      </c>
      <c r="AI67" s="38">
        <f t="shared" si="29"/>
        <v>67.259673081945579</v>
      </c>
      <c r="AK67" s="45">
        <v>45151.666666666664</v>
      </c>
      <c r="AL67" s="4">
        <v>4.94110435991711E-3</v>
      </c>
      <c r="AM67" s="3">
        <v>0.59425534599999996</v>
      </c>
      <c r="AN67" s="4">
        <v>1160</v>
      </c>
      <c r="AO67" s="46">
        <f t="shared" si="30"/>
        <v>19.333333333333332</v>
      </c>
      <c r="AP67" s="47">
        <f t="shared" ref="AP67:AP98" si="71">AO67*AL67</f>
        <v>9.5528017625064118E-2</v>
      </c>
      <c r="AQ67" s="50">
        <f t="shared" si="31"/>
        <v>11.760441570256852</v>
      </c>
      <c r="AR67" s="50">
        <f t="shared" si="32"/>
        <v>0</v>
      </c>
      <c r="AS67" s="50">
        <f t="shared" si="33"/>
        <v>0</v>
      </c>
      <c r="AT67" s="50">
        <f t="shared" ref="AT67:AT98" si="72">IF((AP67-$AU$101)/($AS$101-$AU$101)&lt;0, 0, IF((AP67-$AU$101)/($AS$101-$AU$101)&gt;1, 1, (AP67-$AU$101)/($AS$101-$AU$101)))</f>
        <v>0</v>
      </c>
      <c r="AU67" s="50">
        <f t="shared" si="34"/>
        <v>0</v>
      </c>
      <c r="AW67" s="51">
        <v>45166.666666666664</v>
      </c>
      <c r="AX67" s="72">
        <v>1.64349425586818E-2</v>
      </c>
      <c r="AY67" s="73">
        <v>0.89859415399999998</v>
      </c>
      <c r="AZ67" s="52">
        <v>8363</v>
      </c>
      <c r="BA67" s="53">
        <f t="shared" si="35"/>
        <v>139.38333333333333</v>
      </c>
      <c r="BB67" s="72">
        <f t="shared" ref="BB67:BB98" si="73">BA67*AX67</f>
        <v>2.2907570769709316</v>
      </c>
      <c r="BC67" s="54">
        <f t="shared" si="36"/>
        <v>55.735939623692062</v>
      </c>
      <c r="BD67" s="54">
        <f t="shared" si="37"/>
        <v>0.27809785701371681</v>
      </c>
      <c r="BE67" s="54">
        <f t="shared" si="38"/>
        <v>15.500045367994668</v>
      </c>
      <c r="BF67" s="54">
        <f t="shared" ref="BF67:BF98" si="74">IF((BB67-$BG$101)/($BE$101-$BG$101)&lt;0, 0, IF((BB67-$BG$101)/($BE$101-$BG$101)&gt;1, 1, (BB67-$BG$101)/($BE$101-$BG$101)))</f>
        <v>0.26263611462226577</v>
      </c>
      <c r="BG67" s="54">
        <f t="shared" si="39"/>
        <v>14.638270627587673</v>
      </c>
      <c r="BI67" s="66">
        <v>45183.666666666664</v>
      </c>
      <c r="BJ67" s="67">
        <v>6.7195709589701405E-2</v>
      </c>
      <c r="BK67" s="68">
        <v>1.9734137430000001</v>
      </c>
      <c r="BL67" s="68">
        <v>6705</v>
      </c>
      <c r="BM67" s="68">
        <f t="shared" si="40"/>
        <v>111.75</v>
      </c>
      <c r="BN67" s="68">
        <f t="shared" ref="BN67:BN98" si="75">BM67*BJ67</f>
        <v>7.5091205466491324</v>
      </c>
      <c r="BO67" s="69">
        <f t="shared" si="41"/>
        <v>99.684942648089418</v>
      </c>
      <c r="BP67" s="69">
        <f t="shared" si="42"/>
        <v>1</v>
      </c>
      <c r="BQ67" s="69">
        <f t="shared" si="43"/>
        <v>99.684942648089418</v>
      </c>
      <c r="BR67" s="69">
        <f t="shared" ref="BR67:BR98" si="76">IF((BN67-$BS$101)/($BQ$101-$BS$101)&lt;0, 0, IF((BN67-$BS$101)/($BQ$101-$BS$101)&gt;1, 1, (BN67-$BS$101)/($BQ$101-$BS$101)))</f>
        <v>0.62912091497308953</v>
      </c>
      <c r="BS67" s="69">
        <f t="shared" si="44"/>
        <v>62.713882327805969</v>
      </c>
      <c r="BU67" s="82">
        <v>45047</v>
      </c>
      <c r="BV67" s="112">
        <v>4.7906320000000002E-2</v>
      </c>
      <c r="BW67" s="83">
        <v>82.276892649999994</v>
      </c>
      <c r="BX67" s="112">
        <v>6026</v>
      </c>
      <c r="BY67" s="83">
        <f t="shared" si="62"/>
        <v>100.43333333333334</v>
      </c>
      <c r="BZ67" s="84">
        <f t="shared" si="63"/>
        <v>4.8113914053333335</v>
      </c>
      <c r="CA67" s="83">
        <f t="shared" si="64"/>
        <v>80.160708793370546</v>
      </c>
      <c r="CC67" s="87">
        <v>45047.916666666664</v>
      </c>
      <c r="CD67" s="109">
        <v>5.7988092370202797E-2</v>
      </c>
      <c r="CE67" s="88">
        <v>87.494480339999996</v>
      </c>
      <c r="CF67" s="89">
        <v>4784</v>
      </c>
      <c r="CG67" s="90">
        <f t="shared" si="45"/>
        <v>79.733333333333334</v>
      </c>
      <c r="CH67" s="91">
        <f t="shared" si="46"/>
        <v>4.623583898317503</v>
      </c>
      <c r="CI67" s="91">
        <f t="shared" si="47"/>
        <v>78.612875640169861</v>
      </c>
      <c r="CK67" s="93">
        <v>45049.916666666664</v>
      </c>
      <c r="CL67">
        <v>9.3491647134785097E-2</v>
      </c>
      <c r="CM67" s="95">
        <v>122.1341827</v>
      </c>
      <c r="CN67" s="4">
        <v>3729</v>
      </c>
      <c r="CO67" s="95">
        <f t="shared" si="48"/>
        <v>62.15</v>
      </c>
      <c r="CP67" s="94">
        <f t="shared" si="49"/>
        <v>5.8105058694268941</v>
      </c>
      <c r="CQ67" s="96">
        <f t="shared" si="50"/>
        <v>87.920299972711945</v>
      </c>
      <c r="CS67" s="10">
        <v>45051.177083333336</v>
      </c>
      <c r="CT67" s="110">
        <v>7.9954241189571798E-2</v>
      </c>
      <c r="CU67" s="21">
        <v>101.7699069</v>
      </c>
      <c r="CV67" s="111">
        <v>4481</v>
      </c>
      <c r="CW67" s="21">
        <f t="shared" si="51"/>
        <v>74.683333333333337</v>
      </c>
      <c r="CX67" s="21">
        <f t="shared" si="52"/>
        <v>5.971249246174521</v>
      </c>
      <c r="CY67" s="21">
        <f t="shared" si="53"/>
        <v>89.103080911235722</v>
      </c>
    </row>
    <row r="68" spans="1:103" x14ac:dyDescent="0.3">
      <c r="A68" s="10">
        <v>44776.677777777775</v>
      </c>
      <c r="B68" s="11">
        <v>8.7982744717244495E-3</v>
      </c>
      <c r="C68" s="12">
        <v>19.879890565</v>
      </c>
      <c r="D68" s="9">
        <v>9082</v>
      </c>
      <c r="E68" s="13">
        <f t="shared" ref="E68:E94" si="77">D68/60</f>
        <v>151.36666666666667</v>
      </c>
      <c r="F68" s="12">
        <f t="shared" si="65"/>
        <v>1.3317654792033575</v>
      </c>
      <c r="G68" s="13">
        <f t="shared" ref="G68:G94" si="78">37.141*F68^0.4897</f>
        <v>42.735212073900847</v>
      </c>
      <c r="H68" s="11">
        <f t="shared" ref="H68:H94" si="79">IF((C68-$F$1)/($D$1-$F$1)&lt;0, 0, IF((C68-$F$1)/($D$1-$F$1)&gt;1, 1, (C68-$F$1)/($D$1-$F$1)))</f>
        <v>1</v>
      </c>
      <c r="I68" s="116">
        <f t="shared" ref="I68:I94" si="80">G68*H68</f>
        <v>42.735212073900847</v>
      </c>
      <c r="J68" s="21">
        <f t="shared" si="66"/>
        <v>0.27547258288893944</v>
      </c>
      <c r="K68" s="116">
        <f t="shared" ref="K68:K94" si="81">G68*J68</f>
        <v>11.772379250304057</v>
      </c>
      <c r="M68" s="25">
        <v>44781.677777777775</v>
      </c>
      <c r="N68" s="26">
        <v>7.7673222083756502E-3</v>
      </c>
      <c r="O68" s="27">
        <v>25.756546825000001</v>
      </c>
      <c r="P68" s="28">
        <v>6901</v>
      </c>
      <c r="Q68" s="29">
        <f t="shared" ref="Q68:Q99" si="82">P68/60</f>
        <v>115.01666666666667</v>
      </c>
      <c r="R68" s="26">
        <f t="shared" si="67"/>
        <v>0.89337150933333931</v>
      </c>
      <c r="S68" s="29">
        <f t="shared" ref="S68:S99" si="83">37.141*R68^0.4897</f>
        <v>35.145846764055413</v>
      </c>
      <c r="T68" s="29">
        <f t="shared" ref="T68:T99" si="84">IF((O68-$R$1)/($P$1-$R$1)&lt;0, 0, IF((O68-$R$1)/($P$1-$R$1)&gt;1, 1, (O68-$R$1)/($P$1-$R$1)))</f>
        <v>0.79648425312048288</v>
      </c>
      <c r="U68" s="117">
        <f t="shared" ref="U68:U99" si="85">S68*T68</f>
        <v>27.993113510155617</v>
      </c>
      <c r="V68" s="118">
        <f t="shared" si="68"/>
        <v>0.42961686305038183</v>
      </c>
      <c r="W68" s="117">
        <f t="shared" ref="W68:W99" si="86">S68*V68</f>
        <v>15.099248436022899</v>
      </c>
      <c r="Y68" s="35">
        <v>45136.677083333336</v>
      </c>
      <c r="Z68" s="71">
        <v>1.9428027849175401E-2</v>
      </c>
      <c r="AA68" s="70">
        <v>5.509495866</v>
      </c>
      <c r="AB68" s="36">
        <v>9064</v>
      </c>
      <c r="AC68" s="37">
        <f t="shared" ref="AC68:AC100" si="87">AB68/60</f>
        <v>151.06666666666666</v>
      </c>
      <c r="AD68" s="37">
        <f t="shared" si="69"/>
        <v>2.934927407082097</v>
      </c>
      <c r="AE68" s="38">
        <f t="shared" ref="AE68:AE100" si="88">37.141*AD68^0.4897</f>
        <v>62.926854263426122</v>
      </c>
      <c r="AF68" s="38">
        <f t="shared" ref="AF68:AF100" si="89">IF((AA68-$AD$1)/($AB$1-$AD$1)&lt;0, 0, IF((AA68-$AD$1)/($AB$1-$AD$1)&gt;1, 1, (AA68-$AD$1)/($AB$1-$AD$1)))</f>
        <v>0.23683917085859696</v>
      </c>
      <c r="AG68" s="38">
        <f t="shared" ref="AG68:AG100" si="90">AE68*AF68</f>
        <v>14.903543988489609</v>
      </c>
      <c r="AH68" s="38">
        <f t="shared" si="70"/>
        <v>0.65047009276182577</v>
      </c>
      <c r="AI68" s="38">
        <f t="shared" ref="AI68:AI100" si="91">AE68*AH68</f>
        <v>40.932036729940684</v>
      </c>
      <c r="AK68" s="45">
        <v>45151.677083333336</v>
      </c>
      <c r="AL68" s="4">
        <v>6.99976730464526E-3</v>
      </c>
      <c r="AM68" s="3">
        <v>0.89783227600000004</v>
      </c>
      <c r="AN68" s="4">
        <v>2164</v>
      </c>
      <c r="AO68" s="46">
        <f t="shared" ref="AO68:AO99" si="92">AN68/60</f>
        <v>36.06666666666667</v>
      </c>
      <c r="AP68" s="47">
        <f t="shared" si="71"/>
        <v>0.25245827412087241</v>
      </c>
      <c r="AQ68" s="50">
        <f t="shared" ref="AQ68:AQ99" si="93">37.141*AP68^0.4897</f>
        <v>18.928048678101096</v>
      </c>
      <c r="AR68" s="50">
        <f t="shared" ref="AR68:AR99" si="94">IF((AM68-$AP$1)/($AN$1-$AP$1)&lt;0, 0, IF((AM68-$AP$1)/($AN$1-$AP$1)&gt;1, 1, (AM68-$AP$1)/($AN$1-$AP$1)))</f>
        <v>0.15919647935312212</v>
      </c>
      <c r="AS68" s="50">
        <f t="shared" ref="AS68:AS99" si="95">AQ68*AR68</f>
        <v>3.0132787105782115</v>
      </c>
      <c r="AT68" s="50">
        <f t="shared" si="72"/>
        <v>0.10429625789519217</v>
      </c>
      <c r="AU68" s="50">
        <f t="shared" ref="AU68:AU99" si="96">AQ68*AT68</f>
        <v>1.9741246463839832</v>
      </c>
      <c r="AW68" s="51">
        <v>45166.677083333336</v>
      </c>
      <c r="AX68" s="72">
        <v>1.59233748664541E-2</v>
      </c>
      <c r="AY68" s="73">
        <v>0.77321039300000005</v>
      </c>
      <c r="AZ68" s="52">
        <v>7242</v>
      </c>
      <c r="BA68" s="53">
        <f t="shared" ref="BA68:BA99" si="97">AZ68/60</f>
        <v>120.7</v>
      </c>
      <c r="BB68" s="72">
        <f t="shared" si="73"/>
        <v>1.9219513463810098</v>
      </c>
      <c r="BC68" s="54">
        <f t="shared" ref="BC68:BC99" si="98">37.141*BB68^0.4897</f>
        <v>51.144889047467956</v>
      </c>
      <c r="BD68" s="54">
        <f t="shared" ref="BD68:BD99" si="99">IF((AY68-$BB$1)/($AZ$1-$BB$1)&lt;0, 0, IF((AY68-$BB$1)/($AZ$1-$BB$1)&gt;1, 1, (AY68-$BB$1)/($AZ$1-$BB$1)))</f>
        <v>0.2109737863568085</v>
      </c>
      <c r="BE68" s="54">
        <f t="shared" ref="BE68:BE99" si="100">BD68*BC68</f>
        <v>10.790230895143178</v>
      </c>
      <c r="BF68" s="54">
        <f t="shared" si="74"/>
        <v>0.20370553859155599</v>
      </c>
      <c r="BG68" s="54">
        <f t="shared" ref="BG68:BG99" si="101">BF68*BC68</f>
        <v>10.418497169619833</v>
      </c>
      <c r="BI68" s="66">
        <v>45183.677083333336</v>
      </c>
      <c r="BJ68" s="67">
        <v>6.8238673667422395E-2</v>
      </c>
      <c r="BK68" s="68">
        <v>2.8809824239999999</v>
      </c>
      <c r="BL68" s="68">
        <v>5452</v>
      </c>
      <c r="BM68" s="68">
        <f t="shared" ref="BM68:BM99" si="102">BL68/60</f>
        <v>90.86666666666666</v>
      </c>
      <c r="BN68" s="68">
        <f t="shared" si="75"/>
        <v>6.2006208139131145</v>
      </c>
      <c r="BO68" s="69">
        <f t="shared" ref="BO68:BO99" si="103">37.141*BN68^0.4897</f>
        <v>90.763053303722728</v>
      </c>
      <c r="BP68" s="69">
        <f t="shared" ref="BP68:BP99" si="104">IF((BK68-$BN$1)/($BL$1-$BN$1)&lt;0, 0, IF((BK68-$BN$1)/($BL$1-$BN$1)&gt;1, 1, (BK68-$BN$1)/($BL$1-$BN$1)))</f>
        <v>1</v>
      </c>
      <c r="BQ68" s="69">
        <f t="shared" ref="BQ68:BQ99" si="105">BO68*BP68</f>
        <v>90.763053303722728</v>
      </c>
      <c r="BR68" s="69">
        <f t="shared" si="76"/>
        <v>0.51711974789562143</v>
      </c>
      <c r="BS68" s="69">
        <f t="shared" ref="BS68:BS99" si="106">BO68*BR68</f>
        <v>46.935367242657946</v>
      </c>
      <c r="BU68" s="82">
        <v>45047.010416666664</v>
      </c>
      <c r="BV68" s="112">
        <v>4.7516329000000003E-2</v>
      </c>
      <c r="BW68" s="83">
        <v>82.276892649999994</v>
      </c>
      <c r="BX68" s="112">
        <v>5893</v>
      </c>
      <c r="BY68" s="83">
        <f t="shared" si="62"/>
        <v>98.216666666666669</v>
      </c>
      <c r="BZ68" s="84">
        <f t="shared" si="63"/>
        <v>4.6668954466166674</v>
      </c>
      <c r="CA68" s="83">
        <f t="shared" si="64"/>
        <v>78.972636880082561</v>
      </c>
      <c r="CC68" s="87">
        <v>45047.927083333336</v>
      </c>
      <c r="CD68" s="109">
        <v>5.9000303321023101E-2</v>
      </c>
      <c r="CE68" s="88">
        <v>86.199962600000006</v>
      </c>
      <c r="CF68" s="89">
        <v>4683</v>
      </c>
      <c r="CG68" s="90">
        <f t="shared" ref="CG68:CG131" si="107">CF68/60</f>
        <v>78.05</v>
      </c>
      <c r="CH68" s="91">
        <f t="shared" ref="CH68:CH131" si="108">CG68*CD68</f>
        <v>4.6049736742058531</v>
      </c>
      <c r="CI68" s="91">
        <f t="shared" ref="CI68:CI131" si="109">IF(37.141*CH68^0.4897&gt;22.6, 37.141*CH68^0.4897, 0)</f>
        <v>78.457764374320973</v>
      </c>
      <c r="CK68" s="93">
        <v>45049.927083333336</v>
      </c>
      <c r="CL68">
        <v>9.4867586968939696E-2</v>
      </c>
      <c r="CM68" s="95">
        <v>136.5531871</v>
      </c>
      <c r="CN68" s="4">
        <v>3692</v>
      </c>
      <c r="CO68" s="95">
        <f t="shared" ref="CO68:CO123" si="110">CN68/60</f>
        <v>61.533333333333331</v>
      </c>
      <c r="CP68" s="94">
        <f t="shared" ref="CP68:CP123" si="111">CO68*CL68</f>
        <v>5.8375188514887562</v>
      </c>
      <c r="CQ68" s="96">
        <f t="shared" ref="CQ68:CQ123" si="112">IF(37.141*CP68^0.4897&gt;22.6, 37.141*CP68^0.4897, 0)</f>
        <v>88.120223356293181</v>
      </c>
      <c r="CS68" s="10">
        <v>45051.1875</v>
      </c>
      <c r="CT68" s="110">
        <v>8.7608144413431094E-2</v>
      </c>
      <c r="CU68" s="21">
        <v>104.61473460000001</v>
      </c>
      <c r="CV68" s="111">
        <v>4628</v>
      </c>
      <c r="CW68" s="21">
        <f t="shared" ref="CW68:CW120" si="113">CV68/60</f>
        <v>77.13333333333334</v>
      </c>
      <c r="CX68" s="21">
        <f t="shared" ref="CX68:CX120" si="114">CW68*CT68</f>
        <v>6.7575082057559852</v>
      </c>
      <c r="CY68" s="21">
        <f t="shared" ref="CY68:CY120" si="115">IF(37.141*CX68^0.4897&gt;22.6, 37.141*CX68^0.4897, 0)</f>
        <v>94.667319827379231</v>
      </c>
    </row>
    <row r="69" spans="1:103" x14ac:dyDescent="0.3">
      <c r="A69" s="10">
        <v>44776.688194444447</v>
      </c>
      <c r="B69" s="11">
        <v>9.82229610596351E-3</v>
      </c>
      <c r="C69" s="12">
        <v>18.271869219999999</v>
      </c>
      <c r="D69" s="9">
        <v>8482</v>
      </c>
      <c r="E69" s="13">
        <f t="shared" si="77"/>
        <v>141.36666666666667</v>
      </c>
      <c r="F69" s="12">
        <f t="shared" si="65"/>
        <v>1.3885452595130416</v>
      </c>
      <c r="G69" s="13">
        <f t="shared" si="78"/>
        <v>43.617949398828969</v>
      </c>
      <c r="H69" s="11">
        <f t="shared" si="79"/>
        <v>1</v>
      </c>
      <c r="I69" s="116">
        <f t="shared" si="80"/>
        <v>43.617949398828969</v>
      </c>
      <c r="J69" s="21">
        <f t="shared" si="66"/>
        <v>0.28724828779615158</v>
      </c>
      <c r="K69" s="116">
        <f t="shared" si="81"/>
        <v>12.5291812819928</v>
      </c>
      <c r="M69" s="25">
        <v>44781.688194444447</v>
      </c>
      <c r="N69" s="26">
        <v>7.6001711982110198E-3</v>
      </c>
      <c r="O69" s="27">
        <v>23.474647859999902</v>
      </c>
      <c r="P69" s="28">
        <v>5815</v>
      </c>
      <c r="Q69" s="29">
        <f t="shared" si="82"/>
        <v>96.916666666666671</v>
      </c>
      <c r="R69" s="26">
        <f t="shared" si="67"/>
        <v>0.736583258626618</v>
      </c>
      <c r="S69" s="29">
        <f t="shared" si="83"/>
        <v>31.976588608982734</v>
      </c>
      <c r="T69" s="29">
        <f t="shared" si="84"/>
        <v>0.72219120766156875</v>
      </c>
      <c r="U69" s="117">
        <f t="shared" si="85"/>
        <v>23.093211144418405</v>
      </c>
      <c r="V69" s="118">
        <f t="shared" si="68"/>
        <v>0.3501403893993173</v>
      </c>
      <c r="W69" s="117">
        <f t="shared" si="86"/>
        <v>11.196295187210989</v>
      </c>
      <c r="Y69" s="35">
        <v>45136.6875</v>
      </c>
      <c r="Z69" s="71">
        <v>2.5673292453439599E-2</v>
      </c>
      <c r="AA69" s="70">
        <v>9.2095990650000008</v>
      </c>
      <c r="AB69" s="36">
        <v>8050</v>
      </c>
      <c r="AC69" s="37">
        <f t="shared" si="87"/>
        <v>134.16666666666666</v>
      </c>
      <c r="AD69" s="37">
        <f t="shared" si="69"/>
        <v>3.4445000708364795</v>
      </c>
      <c r="AE69" s="38">
        <f t="shared" si="88"/>
        <v>68.058800694432833</v>
      </c>
      <c r="AF69" s="38">
        <f t="shared" si="89"/>
        <v>0.42995677061256016</v>
      </c>
      <c r="AG69" s="38">
        <f t="shared" si="90"/>
        <v>29.262342158342207</v>
      </c>
      <c r="AH69" s="38">
        <f t="shared" si="70"/>
        <v>0.78557811412788747</v>
      </c>
      <c r="AI69" s="38">
        <f t="shared" si="91"/>
        <v>53.465504299338306</v>
      </c>
      <c r="AK69" s="45">
        <v>45151.6875</v>
      </c>
      <c r="AL69" s="4">
        <v>2.6837429858589299E-3</v>
      </c>
      <c r="AM69" s="3">
        <v>0.35506608000000001</v>
      </c>
      <c r="AN69" s="4">
        <v>372</v>
      </c>
      <c r="AO69" s="46">
        <f t="shared" si="92"/>
        <v>6.2</v>
      </c>
      <c r="AP69" s="47">
        <f t="shared" si="71"/>
        <v>1.6639206512325366E-2</v>
      </c>
      <c r="AQ69" s="50">
        <f t="shared" si="93"/>
        <v>4.9973783700160812</v>
      </c>
      <c r="AR69" s="50">
        <f t="shared" si="94"/>
        <v>0</v>
      </c>
      <c r="AS69" s="50">
        <f t="shared" si="95"/>
        <v>0</v>
      </c>
      <c r="AT69" s="50">
        <f t="shared" si="72"/>
        <v>0</v>
      </c>
      <c r="AU69" s="50">
        <f t="shared" si="96"/>
        <v>0</v>
      </c>
      <c r="AW69" s="51">
        <v>45166.6875</v>
      </c>
      <c r="AX69" s="72">
        <v>1.52310117770912E-2</v>
      </c>
      <c r="AY69" s="73">
        <v>1.0404225359999999</v>
      </c>
      <c r="AZ69" s="52">
        <v>8474</v>
      </c>
      <c r="BA69" s="53">
        <f t="shared" si="97"/>
        <v>141.23333333333332</v>
      </c>
      <c r="BB69" s="72">
        <f t="shared" si="73"/>
        <v>2.1511265633178467</v>
      </c>
      <c r="BC69" s="54">
        <f t="shared" si="98"/>
        <v>54.04557165756178</v>
      </c>
      <c r="BD69" s="54">
        <f t="shared" si="99"/>
        <v>0.35402553902449163</v>
      </c>
      <c r="BE69" s="54">
        <f t="shared" si="100"/>
        <v>19.133512637955096</v>
      </c>
      <c r="BF69" s="54">
        <f t="shared" si="74"/>
        <v>0.24032489242981692</v>
      </c>
      <c r="BG69" s="54">
        <f t="shared" si="101"/>
        <v>12.988496194911496</v>
      </c>
      <c r="BI69" s="66">
        <v>45183.6875</v>
      </c>
      <c r="BJ69" s="67">
        <v>7.4940646797744398E-2</v>
      </c>
      <c r="BK69" s="68">
        <v>2.8809824239999999</v>
      </c>
      <c r="BL69" s="68">
        <v>6099</v>
      </c>
      <c r="BM69" s="68">
        <f t="shared" si="102"/>
        <v>101.65</v>
      </c>
      <c r="BN69" s="68">
        <f t="shared" si="75"/>
        <v>7.6177167469907188</v>
      </c>
      <c r="BO69" s="69">
        <f t="shared" si="103"/>
        <v>100.38832478554443</v>
      </c>
      <c r="BP69" s="69">
        <f t="shared" si="104"/>
        <v>1</v>
      </c>
      <c r="BQ69" s="69">
        <f t="shared" si="105"/>
        <v>100.38832478554443</v>
      </c>
      <c r="BR69" s="69">
        <f t="shared" si="76"/>
        <v>0.63841621773406465</v>
      </c>
      <c r="BS69" s="69">
        <f t="shared" si="106"/>
        <v>64.089534614246134</v>
      </c>
      <c r="BU69" s="82">
        <v>45047.020833333336</v>
      </c>
      <c r="BV69" s="112">
        <v>4.5426559999999998E-2</v>
      </c>
      <c r="BW69" s="83">
        <v>81.405228940000001</v>
      </c>
      <c r="BX69" s="112">
        <v>6044</v>
      </c>
      <c r="BY69" s="83">
        <f t="shared" si="62"/>
        <v>100.73333333333333</v>
      </c>
      <c r="BZ69" s="84">
        <f t="shared" si="63"/>
        <v>4.5759688106666667</v>
      </c>
      <c r="CA69" s="83">
        <f t="shared" si="64"/>
        <v>78.215377379264879</v>
      </c>
      <c r="CC69" s="87">
        <v>45047.9375</v>
      </c>
      <c r="CD69" s="109">
        <v>6.3074269131577598E-2</v>
      </c>
      <c r="CE69" s="88">
        <v>82.718647970000006</v>
      </c>
      <c r="CF69" s="89">
        <v>4749</v>
      </c>
      <c r="CG69" s="90">
        <f t="shared" si="107"/>
        <v>79.150000000000006</v>
      </c>
      <c r="CH69" s="91">
        <f t="shared" si="108"/>
        <v>4.9923284017643672</v>
      </c>
      <c r="CI69" s="91">
        <f t="shared" si="109"/>
        <v>81.623016985582112</v>
      </c>
      <c r="CK69" s="93">
        <v>45049.9375</v>
      </c>
      <c r="CL69">
        <v>9.5391679299612106E-2</v>
      </c>
      <c r="CM69" s="95">
        <v>131.9954343</v>
      </c>
      <c r="CN69" s="4">
        <v>3884</v>
      </c>
      <c r="CO69" s="95">
        <f t="shared" si="110"/>
        <v>64.733333333333334</v>
      </c>
      <c r="CP69" s="94">
        <f t="shared" si="111"/>
        <v>6.1750213733282235</v>
      </c>
      <c r="CQ69" s="96">
        <f t="shared" si="112"/>
        <v>90.57936026552936</v>
      </c>
      <c r="CS69" s="10">
        <v>45051.197916666664</v>
      </c>
      <c r="CT69" s="110">
        <v>7.7786103869966705E-2</v>
      </c>
      <c r="CU69" s="21">
        <v>107.0292163</v>
      </c>
      <c r="CV69" s="111">
        <v>4589</v>
      </c>
      <c r="CW69" s="21">
        <f t="shared" si="113"/>
        <v>76.483333333333334</v>
      </c>
      <c r="CX69" s="21">
        <f t="shared" si="114"/>
        <v>5.9493405109879536</v>
      </c>
      <c r="CY69" s="21">
        <f t="shared" si="115"/>
        <v>88.94283680685696</v>
      </c>
    </row>
    <row r="70" spans="1:103" x14ac:dyDescent="0.3">
      <c r="A70" s="10">
        <v>44776.698611111111</v>
      </c>
      <c r="B70" s="11">
        <v>8.4297547627244195E-3</v>
      </c>
      <c r="C70" s="12">
        <v>17.106053899999999</v>
      </c>
      <c r="D70" s="9">
        <v>8252</v>
      </c>
      <c r="E70" s="13">
        <f t="shared" si="77"/>
        <v>137.53333333333333</v>
      </c>
      <c r="F70" s="12">
        <f t="shared" si="65"/>
        <v>1.1593722717000319</v>
      </c>
      <c r="G70" s="13">
        <f t="shared" si="78"/>
        <v>39.930389944927285</v>
      </c>
      <c r="H70" s="11">
        <f t="shared" si="79"/>
        <v>1</v>
      </c>
      <c r="I70" s="116">
        <f t="shared" si="80"/>
        <v>39.930389944927285</v>
      </c>
      <c r="J70" s="21">
        <f t="shared" si="66"/>
        <v>0.23971951148755688</v>
      </c>
      <c r="K70" s="116">
        <f t="shared" si="81"/>
        <v>9.5720935711056221</v>
      </c>
      <c r="M70" s="25">
        <v>44781.698611111111</v>
      </c>
      <c r="N70" s="26">
        <v>7.3233148896358902E-3</v>
      </c>
      <c r="O70" s="27">
        <v>20.642438585000001</v>
      </c>
      <c r="P70" s="28">
        <v>5349</v>
      </c>
      <c r="Q70" s="29">
        <f t="shared" si="82"/>
        <v>89.15</v>
      </c>
      <c r="R70" s="26">
        <f t="shared" si="67"/>
        <v>0.65287352241103969</v>
      </c>
      <c r="S70" s="29">
        <f t="shared" si="83"/>
        <v>30.14223013829745</v>
      </c>
      <c r="T70" s="29">
        <f t="shared" si="84"/>
        <v>0.62998140536792668</v>
      </c>
      <c r="U70" s="117">
        <f t="shared" si="85"/>
        <v>18.989044503448103</v>
      </c>
      <c r="V70" s="118">
        <f t="shared" si="68"/>
        <v>0.30770765215856838</v>
      </c>
      <c r="W70" s="117">
        <f t="shared" si="86"/>
        <v>9.2749948666787478</v>
      </c>
      <c r="Y70" s="35">
        <v>45136.688888888886</v>
      </c>
      <c r="Z70" s="71">
        <v>2.6726720837802701E-2</v>
      </c>
      <c r="AA70" s="70">
        <v>6.5397134279999998</v>
      </c>
      <c r="AB70" s="36">
        <v>8302</v>
      </c>
      <c r="AC70" s="37">
        <f t="shared" si="87"/>
        <v>138.36666666666667</v>
      </c>
      <c r="AD70" s="37">
        <f t="shared" si="69"/>
        <v>3.6980872732573005</v>
      </c>
      <c r="AE70" s="38">
        <f t="shared" si="88"/>
        <v>70.468009795221292</v>
      </c>
      <c r="AF70" s="38">
        <f t="shared" si="89"/>
        <v>0.29060879081178892</v>
      </c>
      <c r="AG70" s="38">
        <f t="shared" si="90"/>
        <v>20.478623117502558</v>
      </c>
      <c r="AH70" s="38">
        <f t="shared" si="70"/>
        <v>0.85281418780264495</v>
      </c>
      <c r="AI70" s="38">
        <f t="shared" si="91"/>
        <v>60.096118539580473</v>
      </c>
      <c r="AK70" s="45">
        <v>45151.697916666664</v>
      </c>
      <c r="AL70" s="4">
        <v>5.4941946201569301E-3</v>
      </c>
      <c r="AM70" s="3">
        <v>0.59425534599999996</v>
      </c>
      <c r="AN70" s="4">
        <v>1059</v>
      </c>
      <c r="AO70" s="46">
        <f t="shared" si="92"/>
        <v>17.649999999999999</v>
      </c>
      <c r="AP70" s="47">
        <f t="shared" si="71"/>
        <v>9.6972535045769803E-2</v>
      </c>
      <c r="AQ70" s="50">
        <f t="shared" si="93"/>
        <v>11.847193588816559</v>
      </c>
      <c r="AR70" s="50">
        <f t="shared" si="94"/>
        <v>0</v>
      </c>
      <c r="AS70" s="50">
        <f t="shared" si="95"/>
        <v>0</v>
      </c>
      <c r="AT70" s="50">
        <f t="shared" si="72"/>
        <v>0</v>
      </c>
      <c r="AU70" s="50">
        <f t="shared" si="96"/>
        <v>0</v>
      </c>
      <c r="AW70" s="51">
        <v>45166.697916666664</v>
      </c>
      <c r="AX70" s="72">
        <v>1.5422890021263101E-2</v>
      </c>
      <c r="AY70" s="73">
        <v>0.89859415399999998</v>
      </c>
      <c r="AZ70" s="52">
        <v>8087</v>
      </c>
      <c r="BA70" s="53">
        <f t="shared" si="97"/>
        <v>134.78333333333333</v>
      </c>
      <c r="BB70" s="72">
        <f t="shared" si="73"/>
        <v>2.0787485266992447</v>
      </c>
      <c r="BC70" s="54">
        <f t="shared" si="98"/>
        <v>53.147300424444779</v>
      </c>
      <c r="BD70" s="54">
        <f t="shared" si="99"/>
        <v>0.27809785701371681</v>
      </c>
      <c r="BE70" s="54">
        <f t="shared" si="100"/>
        <v>14.780150354102295</v>
      </c>
      <c r="BF70" s="54">
        <f t="shared" si="74"/>
        <v>0.22875978094664251</v>
      </c>
      <c r="BG70" s="54">
        <f t="shared" si="101"/>
        <v>12.157964803001388</v>
      </c>
      <c r="BI70" s="66">
        <v>45183.697916666664</v>
      </c>
      <c r="BJ70" s="67">
        <v>6.5013474225098206E-2</v>
      </c>
      <c r="BK70" s="68">
        <v>2.5469425430000001</v>
      </c>
      <c r="BL70" s="68">
        <v>6098</v>
      </c>
      <c r="BM70" s="68">
        <f t="shared" si="102"/>
        <v>101.63333333333334</v>
      </c>
      <c r="BN70" s="68">
        <f t="shared" si="75"/>
        <v>6.6075360970774817</v>
      </c>
      <c r="BO70" s="69">
        <f t="shared" si="103"/>
        <v>93.632572938006859</v>
      </c>
      <c r="BP70" s="69">
        <f t="shared" si="104"/>
        <v>1</v>
      </c>
      <c r="BQ70" s="69">
        <f t="shared" si="105"/>
        <v>93.632572938006859</v>
      </c>
      <c r="BR70" s="69">
        <f t="shared" si="76"/>
        <v>0.55194970274839938</v>
      </c>
      <c r="BS70" s="69">
        <f t="shared" si="106"/>
        <v>51.680470800700711</v>
      </c>
      <c r="BU70" s="82">
        <v>45047.03125</v>
      </c>
      <c r="BV70" s="112">
        <v>4.4465498999999999E-2</v>
      </c>
      <c r="BW70" s="83">
        <v>82.276892649999994</v>
      </c>
      <c r="BX70" s="112">
        <v>6084</v>
      </c>
      <c r="BY70" s="83">
        <f t="shared" si="62"/>
        <v>101.4</v>
      </c>
      <c r="BZ70" s="84">
        <f t="shared" si="63"/>
        <v>4.5088015985999998</v>
      </c>
      <c r="CA70" s="83">
        <f t="shared" si="64"/>
        <v>77.651048775951509</v>
      </c>
      <c r="CC70" s="87">
        <v>45047.947916666664</v>
      </c>
      <c r="CD70" s="109">
        <v>5.7631142210504499E-2</v>
      </c>
      <c r="CE70" s="88">
        <v>88.350109630000006</v>
      </c>
      <c r="CF70" s="89">
        <v>4719</v>
      </c>
      <c r="CG70" s="90">
        <f t="shared" si="107"/>
        <v>78.650000000000006</v>
      </c>
      <c r="CH70" s="91">
        <f t="shared" si="108"/>
        <v>4.5326893348561788</v>
      </c>
      <c r="CI70" s="91">
        <f t="shared" si="109"/>
        <v>77.852238312480338</v>
      </c>
      <c r="CK70" s="93">
        <v>45049.947916666664</v>
      </c>
      <c r="CL70">
        <v>9.1733990248411404E-2</v>
      </c>
      <c r="CM70" s="95">
        <v>124.3675379</v>
      </c>
      <c r="CN70" s="4">
        <v>3992</v>
      </c>
      <c r="CO70" s="95">
        <f t="shared" si="110"/>
        <v>66.533333333333331</v>
      </c>
      <c r="CP70" s="94">
        <f t="shared" si="111"/>
        <v>6.1033681511943056</v>
      </c>
      <c r="CQ70" s="96">
        <f t="shared" si="112"/>
        <v>90.063124525809016</v>
      </c>
      <c r="CS70" s="10">
        <v>45051.208333333336</v>
      </c>
      <c r="CT70" s="110">
        <v>8.0714823134137498E-2</v>
      </c>
      <c r="CU70" s="21">
        <v>98.055454810000001</v>
      </c>
      <c r="CV70" s="111">
        <v>4365</v>
      </c>
      <c r="CW70" s="21">
        <f t="shared" si="113"/>
        <v>72.75</v>
      </c>
      <c r="CX70" s="21">
        <f t="shared" si="114"/>
        <v>5.8720033830085026</v>
      </c>
      <c r="CY70" s="21">
        <f t="shared" si="115"/>
        <v>88.37475898204616</v>
      </c>
    </row>
    <row r="71" spans="1:103" x14ac:dyDescent="0.3">
      <c r="A71" s="10">
        <v>44776.709027777775</v>
      </c>
      <c r="B71" s="11">
        <v>9.8801195227675997E-3</v>
      </c>
      <c r="C71" s="12">
        <v>15.6821315249999</v>
      </c>
      <c r="D71" s="9">
        <v>7834</v>
      </c>
      <c r="E71" s="13">
        <f t="shared" si="77"/>
        <v>130.56666666666666</v>
      </c>
      <c r="F71" s="12">
        <f t="shared" si="65"/>
        <v>1.2900142723560228</v>
      </c>
      <c r="G71" s="13">
        <f t="shared" si="78"/>
        <v>42.07379889809004</v>
      </c>
      <c r="H71" s="11">
        <f t="shared" si="79"/>
        <v>1</v>
      </c>
      <c r="I71" s="116">
        <f t="shared" si="80"/>
        <v>42.07379889809004</v>
      </c>
      <c r="J71" s="21">
        <f t="shared" si="66"/>
        <v>0.26681369254676718</v>
      </c>
      <c r="K71" s="116">
        <f t="shared" si="81"/>
        <v>11.225865643469508</v>
      </c>
      <c r="M71" s="25">
        <v>44781.709027777775</v>
      </c>
      <c r="N71" s="26">
        <v>6.1617735079587798E-3</v>
      </c>
      <c r="O71" s="27">
        <v>18.24147606</v>
      </c>
      <c r="P71" s="28">
        <v>5553</v>
      </c>
      <c r="Q71" s="29">
        <f t="shared" si="82"/>
        <v>92.55</v>
      </c>
      <c r="R71" s="26">
        <f t="shared" si="67"/>
        <v>0.57027213816158506</v>
      </c>
      <c r="S71" s="29">
        <f t="shared" si="83"/>
        <v>28.210255746906032</v>
      </c>
      <c r="T71" s="29">
        <f t="shared" si="84"/>
        <v>0.55181194179793636</v>
      </c>
      <c r="U71" s="117">
        <f t="shared" si="85"/>
        <v>15.566756002316611</v>
      </c>
      <c r="V71" s="118">
        <f t="shared" si="68"/>
        <v>0.26583674213022013</v>
      </c>
      <c r="W71" s="117">
        <f t="shared" si="86"/>
        <v>7.4993224824178188</v>
      </c>
      <c r="Y71" s="35">
        <v>45136.697916666664</v>
      </c>
      <c r="Z71" s="71">
        <v>2.1513581248433E-2</v>
      </c>
      <c r="AA71" s="70">
        <v>3.8698277910000001</v>
      </c>
      <c r="AB71" s="36">
        <v>8644</v>
      </c>
      <c r="AC71" s="37">
        <f t="shared" si="87"/>
        <v>144.06666666666666</v>
      </c>
      <c r="AD71" s="37">
        <f t="shared" si="69"/>
        <v>3.0993899385242476</v>
      </c>
      <c r="AE71" s="38">
        <f t="shared" si="88"/>
        <v>64.629613249745333</v>
      </c>
      <c r="AF71" s="38">
        <f t="shared" si="89"/>
        <v>0.15126081101101771</v>
      </c>
      <c r="AG71" s="38">
        <f t="shared" si="90"/>
        <v>9.7759277154848956</v>
      </c>
      <c r="AH71" s="38">
        <f t="shared" si="70"/>
        <v>0.6940756642386996</v>
      </c>
      <c r="AI71" s="38">
        <f t="shared" si="91"/>
        <v>44.857841745807249</v>
      </c>
      <c r="AK71" s="45">
        <v>45151.708333333336</v>
      </c>
      <c r="AL71" s="4">
        <v>4.1557140244339302E-3</v>
      </c>
      <c r="AM71" s="3">
        <v>0.50323377899999999</v>
      </c>
      <c r="AN71" s="4">
        <v>885</v>
      </c>
      <c r="AO71" s="46">
        <f t="shared" si="92"/>
        <v>14.75</v>
      </c>
      <c r="AP71" s="47">
        <f t="shared" si="71"/>
        <v>6.1296781860400468E-2</v>
      </c>
      <c r="AQ71" s="50">
        <f t="shared" si="93"/>
        <v>9.4637186769615891</v>
      </c>
      <c r="AR71" s="50">
        <f t="shared" si="94"/>
        <v>0</v>
      </c>
      <c r="AS71" s="50">
        <f t="shared" si="95"/>
        <v>0</v>
      </c>
      <c r="AT71" s="50">
        <f t="shared" si="72"/>
        <v>0</v>
      </c>
      <c r="AU71" s="50">
        <f t="shared" si="96"/>
        <v>0</v>
      </c>
      <c r="AW71" s="51">
        <v>45166.708333333336</v>
      </c>
      <c r="AX71" s="72">
        <v>1.49611079546882E-2</v>
      </c>
      <c r="AY71" s="73">
        <v>0.89859415399999998</v>
      </c>
      <c r="AZ71" s="52">
        <v>7497</v>
      </c>
      <c r="BA71" s="53">
        <f t="shared" si="97"/>
        <v>124.95</v>
      </c>
      <c r="BB71" s="72">
        <f t="shared" si="73"/>
        <v>1.8693904389382905</v>
      </c>
      <c r="BC71" s="54">
        <f t="shared" si="98"/>
        <v>50.455102302710593</v>
      </c>
      <c r="BD71" s="54">
        <f t="shared" si="99"/>
        <v>0.27809785701371681</v>
      </c>
      <c r="BE71" s="54">
        <f t="shared" si="100"/>
        <v>14.031455825791664</v>
      </c>
      <c r="BF71" s="54">
        <f t="shared" si="74"/>
        <v>0.19530695826759581</v>
      </c>
      <c r="BG71" s="54">
        <f t="shared" si="101"/>
        <v>9.8542325598227745</v>
      </c>
      <c r="BI71" s="66">
        <v>45183.708333333336</v>
      </c>
      <c r="BJ71" s="67">
        <v>8.5050969626217596E-2</v>
      </c>
      <c r="BK71" s="68">
        <v>3.3680623299999999</v>
      </c>
      <c r="BL71" s="68">
        <v>5638</v>
      </c>
      <c r="BM71" s="68">
        <f t="shared" si="102"/>
        <v>93.966666666666669</v>
      </c>
      <c r="BN71" s="68">
        <f t="shared" si="75"/>
        <v>7.9919561125435798</v>
      </c>
      <c r="BO71" s="69">
        <f t="shared" si="103"/>
        <v>102.77389380944318</v>
      </c>
      <c r="BP71" s="69">
        <f t="shared" si="104"/>
        <v>1</v>
      </c>
      <c r="BQ71" s="69">
        <f t="shared" si="105"/>
        <v>102.77389380944318</v>
      </c>
      <c r="BR71" s="69">
        <f t="shared" si="76"/>
        <v>0.67044927411123989</v>
      </c>
      <c r="BS71" s="69">
        <f t="shared" si="106"/>
        <v>68.904682502126832</v>
      </c>
      <c r="BU71" s="82">
        <v>45047.041666666664</v>
      </c>
      <c r="BV71" s="112">
        <v>4.0392815999999998E-2</v>
      </c>
      <c r="BW71" s="83">
        <v>80.961047410000006</v>
      </c>
      <c r="BX71" s="112">
        <v>6372</v>
      </c>
      <c r="BY71" s="83">
        <f t="shared" si="62"/>
        <v>106.2</v>
      </c>
      <c r="BZ71" s="84">
        <f t="shared" si="63"/>
        <v>4.2897170592</v>
      </c>
      <c r="CA71" s="83">
        <f t="shared" si="64"/>
        <v>75.779877972610294</v>
      </c>
      <c r="CC71" s="87">
        <v>45047.958333333336</v>
      </c>
      <c r="CD71" s="109">
        <v>5.8435418165797302E-2</v>
      </c>
      <c r="CE71" s="88">
        <v>89.209976960000006</v>
      </c>
      <c r="CF71" s="89">
        <v>4621</v>
      </c>
      <c r="CG71" s="90">
        <f t="shared" si="107"/>
        <v>77.016666666666666</v>
      </c>
      <c r="CH71" s="91">
        <f t="shared" si="108"/>
        <v>4.5005011224024889</v>
      </c>
      <c r="CI71" s="91">
        <f t="shared" si="109"/>
        <v>77.581012434678129</v>
      </c>
      <c r="CK71" s="93">
        <v>45049.958333333336</v>
      </c>
      <c r="CL71">
        <v>9.5130304361791096E-2</v>
      </c>
      <c r="CM71" s="95">
        <v>124.3675379</v>
      </c>
      <c r="CN71" s="4">
        <v>4024</v>
      </c>
      <c r="CO71" s="95">
        <f t="shared" si="110"/>
        <v>67.066666666666663</v>
      </c>
      <c r="CP71" s="94">
        <f t="shared" si="111"/>
        <v>6.3800724125307893</v>
      </c>
      <c r="CQ71" s="96">
        <f t="shared" si="112"/>
        <v>92.040017565469995</v>
      </c>
      <c r="CS71" s="10">
        <v>45051.21875</v>
      </c>
      <c r="CT71" s="110">
        <v>8.2714370775555199E-2</v>
      </c>
      <c r="CU71" s="21">
        <v>100.5402337</v>
      </c>
      <c r="CV71" s="111">
        <v>4658</v>
      </c>
      <c r="CW71" s="21">
        <f t="shared" si="113"/>
        <v>77.63333333333334</v>
      </c>
      <c r="CX71" s="21">
        <f t="shared" si="114"/>
        <v>6.4213923178756023</v>
      </c>
      <c r="CY71" s="21">
        <f t="shared" si="115"/>
        <v>92.331441083147766</v>
      </c>
    </row>
    <row r="72" spans="1:103" x14ac:dyDescent="0.3">
      <c r="A72" s="10">
        <v>44776.719444444447</v>
      </c>
      <c r="B72" s="11">
        <v>8.1641440752267397E-3</v>
      </c>
      <c r="C72" s="12">
        <v>15.17592808</v>
      </c>
      <c r="D72" s="9">
        <v>7480</v>
      </c>
      <c r="E72" s="13">
        <f t="shared" si="77"/>
        <v>124.66666666666667</v>
      </c>
      <c r="F72" s="12">
        <f t="shared" si="65"/>
        <v>1.0177966280449335</v>
      </c>
      <c r="G72" s="13">
        <f t="shared" si="78"/>
        <v>37.463227375233117</v>
      </c>
      <c r="H72" s="11">
        <f t="shared" si="79"/>
        <v>1</v>
      </c>
      <c r="I72" s="116">
        <f t="shared" si="80"/>
        <v>37.463227375233117</v>
      </c>
      <c r="J72" s="21">
        <f t="shared" si="66"/>
        <v>0.21035777404091308</v>
      </c>
      <c r="K72" s="116">
        <f t="shared" si="81"/>
        <v>7.8806811190426371</v>
      </c>
      <c r="M72" s="25">
        <v>44781.719444444447</v>
      </c>
      <c r="N72" s="26">
        <v>7.2152247402473097E-3</v>
      </c>
      <c r="O72" s="27">
        <v>17.286459975</v>
      </c>
      <c r="P72" s="28">
        <v>4655</v>
      </c>
      <c r="Q72" s="29">
        <f t="shared" si="82"/>
        <v>77.583333333333329</v>
      </c>
      <c r="R72" s="26">
        <f t="shared" si="67"/>
        <v>0.55978118609752037</v>
      </c>
      <c r="S72" s="29">
        <f t="shared" si="83"/>
        <v>27.954913528904317</v>
      </c>
      <c r="T72" s="29">
        <f t="shared" si="84"/>
        <v>0.52071895542774616</v>
      </c>
      <c r="U72" s="117">
        <f t="shared" si="85"/>
        <v>14.556653371844025</v>
      </c>
      <c r="V72" s="118">
        <f t="shared" si="68"/>
        <v>0.2605188444463315</v>
      </c>
      <c r="W72" s="117">
        <f t="shared" si="86"/>
        <v>7.282781769147272</v>
      </c>
      <c r="Y72" s="35">
        <v>45136.708333333336</v>
      </c>
      <c r="Z72" s="71">
        <v>2.2984200564068399E-2</v>
      </c>
      <c r="AA72" s="70">
        <v>5.509495866</v>
      </c>
      <c r="AB72" s="36">
        <v>8677</v>
      </c>
      <c r="AC72" s="37">
        <f t="shared" si="87"/>
        <v>144.61666666666667</v>
      </c>
      <c r="AD72" s="37">
        <f t="shared" si="69"/>
        <v>3.3238984715736919</v>
      </c>
      <c r="AE72" s="38">
        <f t="shared" si="88"/>
        <v>66.88126761185822</v>
      </c>
      <c r="AF72" s="38">
        <f t="shared" si="89"/>
        <v>0.23683917085859696</v>
      </c>
      <c r="AG72" s="38">
        <f t="shared" si="90"/>
        <v>15.840103967164437</v>
      </c>
      <c r="AH72" s="38">
        <f t="shared" si="70"/>
        <v>0.75360182377917317</v>
      </c>
      <c r="AI72" s="38">
        <f t="shared" si="91"/>
        <v>50.401845248959297</v>
      </c>
      <c r="AK72" s="45">
        <v>45151.71875</v>
      </c>
      <c r="AL72" s="4">
        <v>5.4673449337777997E-3</v>
      </c>
      <c r="AM72" s="3">
        <v>0.475692385</v>
      </c>
      <c r="AN72" s="4">
        <v>770</v>
      </c>
      <c r="AO72" s="46">
        <f t="shared" si="92"/>
        <v>12.833333333333334</v>
      </c>
      <c r="AP72" s="47">
        <f t="shared" si="71"/>
        <v>7.0164259983481761E-2</v>
      </c>
      <c r="AQ72" s="50">
        <f t="shared" si="93"/>
        <v>10.111057332487507</v>
      </c>
      <c r="AR72" s="50">
        <f t="shared" si="94"/>
        <v>0</v>
      </c>
      <c r="AS72" s="50">
        <f t="shared" si="95"/>
        <v>0</v>
      </c>
      <c r="AT72" s="50">
        <f t="shared" si="72"/>
        <v>0</v>
      </c>
      <c r="AU72" s="50">
        <f t="shared" si="96"/>
        <v>0</v>
      </c>
      <c r="AW72" s="51">
        <v>45166.71875</v>
      </c>
      <c r="AX72" s="72">
        <v>1.70532985817674E-2</v>
      </c>
      <c r="AY72" s="73">
        <v>0.81307424100000003</v>
      </c>
      <c r="AZ72" s="52">
        <v>7312</v>
      </c>
      <c r="BA72" s="53">
        <f t="shared" si="97"/>
        <v>121.86666666666666</v>
      </c>
      <c r="BB72" s="72">
        <f t="shared" si="73"/>
        <v>2.078228653831387</v>
      </c>
      <c r="BC72" s="54">
        <f t="shared" si="98"/>
        <v>53.140791125360266</v>
      </c>
      <c r="BD72" s="54">
        <f t="shared" si="99"/>
        <v>0.23231485738919086</v>
      </c>
      <c r="BE72" s="54">
        <f t="shared" si="100"/>
        <v>12.34539531183685</v>
      </c>
      <c r="BF72" s="54">
        <f t="shared" si="74"/>
        <v>0.22867671171798223</v>
      </c>
      <c r="BG72" s="54">
        <f t="shared" si="101"/>
        <v>12.152061372639519</v>
      </c>
      <c r="BI72" s="66">
        <v>45183.71875</v>
      </c>
      <c r="BJ72" s="67">
        <v>6.3625838451932107E-2</v>
      </c>
      <c r="BK72" s="68">
        <v>2.8809824239999999</v>
      </c>
      <c r="BL72" s="68">
        <v>5747</v>
      </c>
      <c r="BM72" s="68">
        <f t="shared" si="102"/>
        <v>95.783333333333331</v>
      </c>
      <c r="BN72" s="68">
        <f t="shared" si="75"/>
        <v>6.0942948930542302</v>
      </c>
      <c r="BO72" s="69">
        <f t="shared" si="103"/>
        <v>89.997534827079306</v>
      </c>
      <c r="BP72" s="69">
        <f t="shared" si="104"/>
        <v>1</v>
      </c>
      <c r="BQ72" s="69">
        <f t="shared" si="105"/>
        <v>89.997534827079306</v>
      </c>
      <c r="BR72" s="69">
        <f t="shared" si="76"/>
        <v>0.50801876993677919</v>
      </c>
      <c r="BS72" s="69">
        <f t="shared" si="106"/>
        <v>45.720436940195277</v>
      </c>
      <c r="BU72" s="82">
        <v>45047.052083333336</v>
      </c>
      <c r="BV72" s="112">
        <v>4.1088680000000002E-2</v>
      </c>
      <c r="BW72" s="83">
        <v>83.586986100000004</v>
      </c>
      <c r="BX72" s="112">
        <v>6600</v>
      </c>
      <c r="BY72" s="83">
        <f t="shared" si="62"/>
        <v>110</v>
      </c>
      <c r="BZ72" s="84">
        <f t="shared" si="63"/>
        <v>4.5197548000000003</v>
      </c>
      <c r="CA72" s="83">
        <f t="shared" si="64"/>
        <v>77.743367210724045</v>
      </c>
      <c r="CC72" s="87">
        <v>45047.96875</v>
      </c>
      <c r="CD72" s="109">
        <v>5.78691875875227E-2</v>
      </c>
      <c r="CE72" s="88">
        <v>82.718647970000006</v>
      </c>
      <c r="CF72" s="89">
        <v>4952</v>
      </c>
      <c r="CG72" s="90">
        <f t="shared" si="107"/>
        <v>82.533333333333331</v>
      </c>
      <c r="CH72" s="91">
        <f t="shared" si="108"/>
        <v>4.7761369488902066</v>
      </c>
      <c r="CI72" s="91">
        <f t="shared" si="109"/>
        <v>79.872538524599534</v>
      </c>
      <c r="CK72" s="93">
        <v>45049.96875</v>
      </c>
      <c r="CL72">
        <v>9.6235331594255902E-2</v>
      </c>
      <c r="CM72" s="95">
        <v>129.12158679999999</v>
      </c>
      <c r="CN72" s="4">
        <v>3893</v>
      </c>
      <c r="CO72" s="95">
        <f t="shared" si="110"/>
        <v>64.88333333333334</v>
      </c>
      <c r="CP72" s="94">
        <f t="shared" si="111"/>
        <v>6.2440690982739708</v>
      </c>
      <c r="CQ72" s="96">
        <f t="shared" si="112"/>
        <v>91.073940073060001</v>
      </c>
      <c r="CS72" s="10">
        <v>45051.229166666664</v>
      </c>
      <c r="CT72" s="110">
        <v>8.8255091216449005E-2</v>
      </c>
      <c r="CU72" s="21">
        <v>101.7699069</v>
      </c>
      <c r="CV72" s="111">
        <v>4624</v>
      </c>
      <c r="CW72" s="21">
        <f t="shared" si="113"/>
        <v>77.066666666666663</v>
      </c>
      <c r="CX72" s="21">
        <f t="shared" si="114"/>
        <v>6.8015256964143367</v>
      </c>
      <c r="CY72" s="21">
        <f t="shared" si="115"/>
        <v>94.968793118970709</v>
      </c>
    </row>
    <row r="73" spans="1:103" x14ac:dyDescent="0.3">
      <c r="A73" s="10">
        <v>44776.729861111111</v>
      </c>
      <c r="B73" s="11">
        <v>7.1229805188118799E-3</v>
      </c>
      <c r="C73" s="12">
        <v>14.28611474</v>
      </c>
      <c r="D73" s="9">
        <v>6277</v>
      </c>
      <c r="E73" s="13">
        <f t="shared" si="77"/>
        <v>104.61666666666666</v>
      </c>
      <c r="F73" s="12">
        <f t="shared" si="65"/>
        <v>0.74518247860970277</v>
      </c>
      <c r="G73" s="13">
        <f t="shared" si="78"/>
        <v>32.15885703275017</v>
      </c>
      <c r="H73" s="11">
        <f t="shared" si="79"/>
        <v>1</v>
      </c>
      <c r="I73" s="116">
        <f t="shared" si="80"/>
        <v>32.15885703275017</v>
      </c>
      <c r="J73" s="21">
        <f t="shared" si="66"/>
        <v>0.15381962331593768</v>
      </c>
      <c r="K73" s="116">
        <f t="shared" si="81"/>
        <v>4.9466632750487243</v>
      </c>
      <c r="M73" s="25">
        <v>44781.729861111111</v>
      </c>
      <c r="N73" s="26">
        <v>6.8176205305925004E-3</v>
      </c>
      <c r="O73" s="27">
        <v>16.382398909999999</v>
      </c>
      <c r="P73" s="28">
        <v>4307</v>
      </c>
      <c r="Q73" s="29">
        <f t="shared" si="82"/>
        <v>71.783333333333331</v>
      </c>
      <c r="R73" s="26">
        <f t="shared" si="67"/>
        <v>0.48939152708769829</v>
      </c>
      <c r="S73" s="29">
        <f t="shared" si="83"/>
        <v>26.174497591542213</v>
      </c>
      <c r="T73" s="29">
        <f t="shared" si="84"/>
        <v>0.49128493979871657</v>
      </c>
      <c r="U73" s="117">
        <f t="shared" si="85"/>
        <v>12.859136473522469</v>
      </c>
      <c r="V73" s="118">
        <f t="shared" si="68"/>
        <v>0.22483809761495097</v>
      </c>
      <c r="W73" s="117">
        <f t="shared" si="86"/>
        <v>5.8850242445094674</v>
      </c>
      <c r="Y73" s="35">
        <v>45136.71875</v>
      </c>
      <c r="Z73" s="71">
        <v>1.6923136599373102E-2</v>
      </c>
      <c r="AA73" s="70">
        <v>2.6539428329999999</v>
      </c>
      <c r="AB73" s="36">
        <v>8014</v>
      </c>
      <c r="AC73" s="37">
        <f t="shared" si="87"/>
        <v>133.56666666666666</v>
      </c>
      <c r="AD73" s="37">
        <f t="shared" si="69"/>
        <v>2.260366945122934</v>
      </c>
      <c r="AE73" s="38">
        <f t="shared" si="88"/>
        <v>55.372613673813277</v>
      </c>
      <c r="AF73" s="38">
        <f t="shared" si="89"/>
        <v>8.7800747321613484E-2</v>
      </c>
      <c r="AG73" s="38">
        <f t="shared" si="90"/>
        <v>4.8617568617117994</v>
      </c>
      <c r="AH73" s="38">
        <f t="shared" si="70"/>
        <v>0.47161723076644918</v>
      </c>
      <c r="AI73" s="38">
        <f t="shared" si="91"/>
        <v>26.114678721144234</v>
      </c>
      <c r="AK73" s="45">
        <v>45151.729166666664</v>
      </c>
      <c r="AL73" s="4">
        <v>6.1306569138339104E-3</v>
      </c>
      <c r="AM73" s="3">
        <v>0.562700329</v>
      </c>
      <c r="AN73" s="4">
        <v>1029</v>
      </c>
      <c r="AO73" s="46">
        <f t="shared" si="92"/>
        <v>17.149999999999999</v>
      </c>
      <c r="AP73" s="47">
        <f t="shared" si="71"/>
        <v>0.10514076607225155</v>
      </c>
      <c r="AQ73" s="50">
        <f t="shared" si="93"/>
        <v>12.325794379387315</v>
      </c>
      <c r="AR73" s="50">
        <f t="shared" si="94"/>
        <v>0</v>
      </c>
      <c r="AS73" s="50">
        <f t="shared" si="95"/>
        <v>0</v>
      </c>
      <c r="AT73" s="50">
        <f t="shared" si="72"/>
        <v>0</v>
      </c>
      <c r="AU73" s="50">
        <f t="shared" si="96"/>
        <v>0</v>
      </c>
      <c r="AW73" s="51">
        <v>45166.729166666664</v>
      </c>
      <c r="AX73" s="72">
        <v>1.02034134920281E-2</v>
      </c>
      <c r="AY73" s="73">
        <v>0.66228851600000005</v>
      </c>
      <c r="AZ73" s="52">
        <v>4886</v>
      </c>
      <c r="BA73" s="53">
        <f t="shared" si="97"/>
        <v>81.433333333333337</v>
      </c>
      <c r="BB73" s="72">
        <f t="shared" si="73"/>
        <v>0.83089797203415505</v>
      </c>
      <c r="BC73" s="54">
        <f t="shared" si="98"/>
        <v>33.92002009615323</v>
      </c>
      <c r="BD73" s="54">
        <f t="shared" si="99"/>
        <v>0.15159187079004782</v>
      </c>
      <c r="BE73" s="54">
        <f t="shared" si="100"/>
        <v>5.1419993036118861</v>
      </c>
      <c r="BF73" s="54">
        <f t="shared" si="74"/>
        <v>2.9368757740388662E-2</v>
      </c>
      <c r="BG73" s="54">
        <f t="shared" si="101"/>
        <v>0.99618885275303914</v>
      </c>
      <c r="BI73" s="66">
        <v>45183.729166666664</v>
      </c>
      <c r="BJ73" s="67">
        <v>6.9442093168578994E-2</v>
      </c>
      <c r="BK73" s="68">
        <v>2.7664001109999998</v>
      </c>
      <c r="BL73" s="68">
        <v>5812</v>
      </c>
      <c r="BM73" s="68">
        <f t="shared" si="102"/>
        <v>96.86666666666666</v>
      </c>
      <c r="BN73" s="68">
        <f t="shared" si="75"/>
        <v>6.7266240915963511</v>
      </c>
      <c r="BO73" s="69">
        <f t="shared" si="103"/>
        <v>94.455197655142982</v>
      </c>
      <c r="BP73" s="69">
        <f t="shared" si="104"/>
        <v>1</v>
      </c>
      <c r="BQ73" s="69">
        <f t="shared" si="105"/>
        <v>94.455197655142982</v>
      </c>
      <c r="BR73" s="69">
        <f t="shared" si="76"/>
        <v>0.56214305169401924</v>
      </c>
      <c r="BS73" s="69">
        <f t="shared" si="106"/>
        <v>53.097333058223846</v>
      </c>
      <c r="BU73" s="82">
        <v>45047.0625</v>
      </c>
      <c r="BV73" s="112">
        <v>4.3757822000000002E-2</v>
      </c>
      <c r="BW73" s="83">
        <v>83.153095449999995</v>
      </c>
      <c r="BX73" s="112">
        <v>6680</v>
      </c>
      <c r="BY73" s="83">
        <f t="shared" si="62"/>
        <v>111.33333333333333</v>
      </c>
      <c r="BZ73" s="84">
        <f t="shared" si="63"/>
        <v>4.8717041826666669</v>
      </c>
      <c r="CA73" s="83">
        <f t="shared" si="64"/>
        <v>80.651218650780677</v>
      </c>
      <c r="CC73" s="87">
        <v>45047.979166666664</v>
      </c>
      <c r="CD73" s="109">
        <v>6.0350965260402199E-2</v>
      </c>
      <c r="CE73" s="88">
        <v>84.891986889999998</v>
      </c>
      <c r="CF73" s="89">
        <v>4721</v>
      </c>
      <c r="CG73" s="90">
        <f t="shared" si="107"/>
        <v>78.683333333333337</v>
      </c>
      <c r="CH73" s="91">
        <f t="shared" si="108"/>
        <v>4.7486151165726467</v>
      </c>
      <c r="CI73" s="91">
        <f t="shared" si="109"/>
        <v>79.646819543558891</v>
      </c>
      <c r="CK73" s="93">
        <v>45049.979166666664</v>
      </c>
      <c r="CL73">
        <v>0.10058732324901901</v>
      </c>
      <c r="CM73" s="95">
        <v>124.3675379</v>
      </c>
      <c r="CN73" s="4">
        <v>4007</v>
      </c>
      <c r="CO73" s="95">
        <f t="shared" si="110"/>
        <v>66.783333333333331</v>
      </c>
      <c r="CP73" s="94">
        <f t="shared" si="111"/>
        <v>6.7175567376469854</v>
      </c>
      <c r="CQ73" s="96">
        <f t="shared" si="112"/>
        <v>94.392825777035952</v>
      </c>
      <c r="CS73" s="10">
        <v>45051.239583333336</v>
      </c>
      <c r="CT73" s="110">
        <v>8.14497087725993E-2</v>
      </c>
      <c r="CU73" s="21">
        <v>96.808208239999999</v>
      </c>
      <c r="CV73" s="111">
        <v>4670</v>
      </c>
      <c r="CW73" s="21">
        <f t="shared" si="113"/>
        <v>77.833333333333329</v>
      </c>
      <c r="CX73" s="21">
        <f t="shared" si="114"/>
        <v>6.3395023328006452</v>
      </c>
      <c r="CY73" s="21">
        <f t="shared" si="115"/>
        <v>91.752943890695192</v>
      </c>
    </row>
    <row r="74" spans="1:103" x14ac:dyDescent="0.3">
      <c r="A74" s="10">
        <v>44776.740277777775</v>
      </c>
      <c r="B74" s="11">
        <v>7.6671431334010198E-3</v>
      </c>
      <c r="C74" s="12">
        <v>11.657254006500001</v>
      </c>
      <c r="D74" s="9">
        <v>5135</v>
      </c>
      <c r="E74" s="13">
        <f t="shared" si="77"/>
        <v>85.583333333333329</v>
      </c>
      <c r="F74" s="12">
        <f t="shared" si="65"/>
        <v>0.65617966650023729</v>
      </c>
      <c r="G74" s="13">
        <f t="shared" si="78"/>
        <v>30.216881568047896</v>
      </c>
      <c r="H74" s="11">
        <f t="shared" si="79"/>
        <v>0.91453720639171465</v>
      </c>
      <c r="I74" s="116">
        <f t="shared" si="80"/>
        <v>27.634462455111816</v>
      </c>
      <c r="J74" s="21">
        <f t="shared" si="66"/>
        <v>0.13536110083492769</v>
      </c>
      <c r="K74" s="116">
        <f t="shared" si="81"/>
        <v>4.0901903528495991</v>
      </c>
      <c r="M74" s="25">
        <v>44781.740277777775</v>
      </c>
      <c r="N74" s="26">
        <v>6.6452975888246502E-3</v>
      </c>
      <c r="O74" s="27">
        <v>14.39848273</v>
      </c>
      <c r="P74" s="28">
        <v>4747</v>
      </c>
      <c r="Q74" s="29">
        <f t="shared" si="82"/>
        <v>79.11666666666666</v>
      </c>
      <c r="R74" s="26">
        <f t="shared" si="67"/>
        <v>0.52575379423584356</v>
      </c>
      <c r="S74" s="29">
        <f t="shared" si="83"/>
        <v>27.109452181307351</v>
      </c>
      <c r="T74" s="29">
        <f t="shared" si="84"/>
        <v>0.42669348452041128</v>
      </c>
      <c r="U74" s="117">
        <f t="shared" si="85"/>
        <v>11.567426614681498</v>
      </c>
      <c r="V74" s="118">
        <f t="shared" si="68"/>
        <v>0.2432702489647246</v>
      </c>
      <c r="W74" s="117">
        <f t="shared" si="86"/>
        <v>6.594923181443936</v>
      </c>
      <c r="Y74" s="35">
        <v>45136.729166666664</v>
      </c>
      <c r="Z74" s="71">
        <v>1.6200247520624302E-2</v>
      </c>
      <c r="AA74" s="70">
        <v>2.8809824239999999</v>
      </c>
      <c r="AB74" s="36">
        <v>7982</v>
      </c>
      <c r="AC74" s="37">
        <f t="shared" si="87"/>
        <v>133.03333333333333</v>
      </c>
      <c r="AD74" s="37">
        <f t="shared" si="69"/>
        <v>2.1551729284937196</v>
      </c>
      <c r="AE74" s="38">
        <f t="shared" si="88"/>
        <v>54.095331733934266</v>
      </c>
      <c r="AF74" s="38">
        <f t="shared" si="89"/>
        <v>9.9650508937692533E-2</v>
      </c>
      <c r="AG74" s="38">
        <f t="shared" si="90"/>
        <v>5.3906273384398595</v>
      </c>
      <c r="AH74" s="38">
        <f t="shared" si="70"/>
        <v>0.44372610461849649</v>
      </c>
      <c r="AI74" s="38">
        <f t="shared" si="91"/>
        <v>24.003510828343988</v>
      </c>
      <c r="AK74" s="45">
        <v>45151.739583333336</v>
      </c>
      <c r="AL74" s="4">
        <v>4.85294001937341E-3</v>
      </c>
      <c r="AM74" s="3">
        <v>0.77321039300000005</v>
      </c>
      <c r="AN74" s="4">
        <v>1573</v>
      </c>
      <c r="AO74" s="46">
        <f t="shared" si="92"/>
        <v>26.216666666666665</v>
      </c>
      <c r="AP74" s="47">
        <f t="shared" si="71"/>
        <v>0.12722791084123955</v>
      </c>
      <c r="AQ74" s="50">
        <f t="shared" si="93"/>
        <v>13.532174577268366</v>
      </c>
      <c r="AR74" s="50">
        <f t="shared" si="94"/>
        <v>9.1407587119222727E-2</v>
      </c>
      <c r="AS74" s="50">
        <f t="shared" si="95"/>
        <v>1.2369434265841892</v>
      </c>
      <c r="AT74" s="50">
        <f t="shared" si="72"/>
        <v>5.1187609354554171E-3</v>
      </c>
      <c r="AU74" s="50">
        <f t="shared" si="96"/>
        <v>6.9267966597884228E-2</v>
      </c>
      <c r="AW74" s="51">
        <v>45166.739583333336</v>
      </c>
      <c r="AX74" s="72">
        <v>1.09171316657087E-2</v>
      </c>
      <c r="AY74" s="73">
        <v>0.69769667099999999</v>
      </c>
      <c r="AZ74" s="52">
        <v>5412</v>
      </c>
      <c r="BA74" s="53">
        <f t="shared" si="97"/>
        <v>90.2</v>
      </c>
      <c r="BB74" s="72">
        <f t="shared" si="73"/>
        <v>0.98472527624692474</v>
      </c>
      <c r="BC74" s="54">
        <f t="shared" si="98"/>
        <v>36.862092971941742</v>
      </c>
      <c r="BD74" s="54">
        <f t="shared" si="99"/>
        <v>0.17054759104516731</v>
      </c>
      <c r="BE74" s="54">
        <f t="shared" si="100"/>
        <v>6.2867411572476559</v>
      </c>
      <c r="BF74" s="54">
        <f t="shared" si="74"/>
        <v>5.3948450772841439E-2</v>
      </c>
      <c r="BG74" s="54">
        <f t="shared" si="101"/>
        <v>1.9886528080807033</v>
      </c>
      <c r="BI74" s="66">
        <v>45183.739583333336</v>
      </c>
      <c r="BJ74" s="67">
        <v>9.73095488612086E-2</v>
      </c>
      <c r="BK74" s="68">
        <v>3.8698277910000001</v>
      </c>
      <c r="BL74" s="68">
        <v>5203</v>
      </c>
      <c r="BM74" s="68">
        <f t="shared" si="102"/>
        <v>86.716666666666669</v>
      </c>
      <c r="BN74" s="68">
        <f t="shared" si="75"/>
        <v>8.4383597120811391</v>
      </c>
      <c r="BO74" s="69">
        <f t="shared" si="103"/>
        <v>105.54609071255388</v>
      </c>
      <c r="BP74" s="69">
        <f t="shared" si="104"/>
        <v>1</v>
      </c>
      <c r="BQ74" s="69">
        <f t="shared" si="105"/>
        <v>105.54609071255388</v>
      </c>
      <c r="BR74" s="69">
        <f t="shared" si="76"/>
        <v>0.70865923540121756</v>
      </c>
      <c r="BS74" s="69">
        <f t="shared" si="106"/>
        <v>74.796211943945977</v>
      </c>
      <c r="BU74" s="82">
        <v>45047.072916666664</v>
      </c>
      <c r="BV74" s="112">
        <v>4.0245388E-2</v>
      </c>
      <c r="BW74" s="83">
        <v>82.276892649999994</v>
      </c>
      <c r="BX74" s="112">
        <v>6569</v>
      </c>
      <c r="BY74" s="83">
        <f t="shared" si="62"/>
        <v>109.48333333333333</v>
      </c>
      <c r="BZ74" s="84">
        <f t="shared" si="63"/>
        <v>4.4061992295333337</v>
      </c>
      <c r="CA74" s="83">
        <f t="shared" si="64"/>
        <v>76.780652273051416</v>
      </c>
      <c r="CC74" s="87">
        <v>45047.989583333336</v>
      </c>
      <c r="CD74" s="109">
        <v>5.8723303822895298E-2</v>
      </c>
      <c r="CE74" s="88">
        <v>88.350109630000006</v>
      </c>
      <c r="CF74" s="89">
        <v>4790</v>
      </c>
      <c r="CG74" s="90">
        <f t="shared" si="107"/>
        <v>79.833333333333329</v>
      </c>
      <c r="CH74" s="91">
        <f t="shared" si="108"/>
        <v>4.688077088527808</v>
      </c>
      <c r="CI74" s="91">
        <f t="shared" si="109"/>
        <v>79.147958798796736</v>
      </c>
      <c r="CK74" s="93">
        <v>45049.989583333336</v>
      </c>
      <c r="CL74">
        <v>0.1016303890443</v>
      </c>
      <c r="CM74" s="95">
        <v>124.3675379</v>
      </c>
      <c r="CN74" s="4">
        <v>3894</v>
      </c>
      <c r="CO74" s="95">
        <f t="shared" si="110"/>
        <v>64.900000000000006</v>
      </c>
      <c r="CP74" s="94">
        <f t="shared" si="111"/>
        <v>6.5958122489750703</v>
      </c>
      <c r="CQ74" s="96">
        <f t="shared" si="112"/>
        <v>93.551180427614469</v>
      </c>
      <c r="CS74" s="10">
        <v>45051.25</v>
      </c>
      <c r="CT74" s="110">
        <v>8.7514147842443005E-2</v>
      </c>
      <c r="CU74" s="21">
        <v>103.3988808</v>
      </c>
      <c r="CV74" s="111">
        <v>4377</v>
      </c>
      <c r="CW74" s="21">
        <f t="shared" si="113"/>
        <v>72.95</v>
      </c>
      <c r="CX74" s="21">
        <f t="shared" si="114"/>
        <v>6.3841570851062173</v>
      </c>
      <c r="CY74" s="21">
        <f t="shared" si="115"/>
        <v>92.068869006679719</v>
      </c>
    </row>
    <row r="75" spans="1:103" x14ac:dyDescent="0.3">
      <c r="A75" s="10">
        <v>44776.750694444447</v>
      </c>
      <c r="B75" s="11">
        <v>6.5316394382562201E-3</v>
      </c>
      <c r="C75" s="12">
        <v>9.6026396404999996</v>
      </c>
      <c r="D75" s="9">
        <v>4187</v>
      </c>
      <c r="E75" s="13">
        <f t="shared" si="77"/>
        <v>69.783333333333331</v>
      </c>
      <c r="F75" s="12">
        <f t="shared" si="65"/>
        <v>0.45579957213297989</v>
      </c>
      <c r="G75" s="13">
        <f t="shared" si="78"/>
        <v>25.2787257337237</v>
      </c>
      <c r="H75" s="11">
        <f t="shared" si="79"/>
        <v>0.74266883969181563</v>
      </c>
      <c r="I75" s="116">
        <f t="shared" si="80"/>
        <v>18.773721909552222</v>
      </c>
      <c r="J75" s="21">
        <f t="shared" si="66"/>
        <v>9.3803756870606297E-2</v>
      </c>
      <c r="K75" s="116">
        <f t="shared" si="81"/>
        <v>2.3712394427249568</v>
      </c>
      <c r="M75" s="25">
        <v>44781.750694444447</v>
      </c>
      <c r="N75" s="26">
        <v>7.1871778166483196E-3</v>
      </c>
      <c r="O75" s="27">
        <v>15.218093735</v>
      </c>
      <c r="P75" s="28">
        <v>5298</v>
      </c>
      <c r="Q75" s="29">
        <f t="shared" si="82"/>
        <v>88.3</v>
      </c>
      <c r="R75" s="26">
        <f t="shared" si="67"/>
        <v>0.63462780121004658</v>
      </c>
      <c r="S75" s="29">
        <f t="shared" si="83"/>
        <v>29.726733706097683</v>
      </c>
      <c r="T75" s="29">
        <f t="shared" si="84"/>
        <v>0.45337801288343132</v>
      </c>
      <c r="U75" s="117">
        <f t="shared" si="85"/>
        <v>13.477447457185487</v>
      </c>
      <c r="V75" s="118">
        <f t="shared" si="68"/>
        <v>0.29845883680576568</v>
      </c>
      <c r="W75" s="117">
        <f t="shared" si="86"/>
        <v>8.8722063639566624</v>
      </c>
      <c r="Y75" s="35">
        <v>45136.739583333336</v>
      </c>
      <c r="Z75" s="71">
        <v>1.4098258677324799E-2</v>
      </c>
      <c r="AA75" s="70">
        <v>2.6558198119999998</v>
      </c>
      <c r="AB75" s="36">
        <v>8011</v>
      </c>
      <c r="AC75" s="37">
        <f t="shared" si="87"/>
        <v>133.51666666666668</v>
      </c>
      <c r="AD75" s="37">
        <f t="shared" si="69"/>
        <v>1.8823525044008163</v>
      </c>
      <c r="AE75" s="38">
        <f t="shared" si="88"/>
        <v>50.626120782656123</v>
      </c>
      <c r="AF75" s="38">
        <f t="shared" si="89"/>
        <v>8.7898711529575721E-2</v>
      </c>
      <c r="AG75" s="38">
        <f t="shared" si="90"/>
        <v>4.4499707865361486</v>
      </c>
      <c r="AH75" s="38">
        <f t="shared" si="70"/>
        <v>0.37139053736913386</v>
      </c>
      <c r="AI75" s="38">
        <f t="shared" si="91"/>
        <v>18.802062202385333</v>
      </c>
      <c r="AK75" s="45">
        <v>45151.75</v>
      </c>
      <c r="AL75" s="4">
        <v>4.9686764790561402E-3</v>
      </c>
      <c r="AM75" s="3">
        <v>0.59425534599999996</v>
      </c>
      <c r="AN75" s="4">
        <v>1135</v>
      </c>
      <c r="AO75" s="46">
        <f t="shared" si="92"/>
        <v>18.916666666666668</v>
      </c>
      <c r="AP75" s="47">
        <f t="shared" si="71"/>
        <v>9.3990796728811998E-2</v>
      </c>
      <c r="AQ75" s="50">
        <f t="shared" si="93"/>
        <v>11.667383665740866</v>
      </c>
      <c r="AR75" s="50">
        <f t="shared" si="94"/>
        <v>0</v>
      </c>
      <c r="AS75" s="50">
        <f t="shared" si="95"/>
        <v>0</v>
      </c>
      <c r="AT75" s="50">
        <f t="shared" si="72"/>
        <v>0</v>
      </c>
      <c r="AU75" s="50">
        <f t="shared" si="96"/>
        <v>0</v>
      </c>
      <c r="AW75" s="51">
        <v>45166.75</v>
      </c>
      <c r="AX75" s="72">
        <v>1.0954063122563499E-2</v>
      </c>
      <c r="AY75" s="73">
        <v>0.59425534599999996</v>
      </c>
      <c r="AZ75" s="52">
        <v>4707</v>
      </c>
      <c r="BA75" s="53">
        <f t="shared" si="97"/>
        <v>78.45</v>
      </c>
      <c r="BB75" s="72">
        <f t="shared" si="73"/>
        <v>0.8593462519651065</v>
      </c>
      <c r="BC75" s="54">
        <f t="shared" si="98"/>
        <v>34.483850526131711</v>
      </c>
      <c r="BD75" s="54">
        <f t="shared" si="99"/>
        <v>0.1151703814865529</v>
      </c>
      <c r="BE75" s="54">
        <f t="shared" si="100"/>
        <v>3.9715182202198571</v>
      </c>
      <c r="BF75" s="54">
        <f t="shared" si="74"/>
        <v>3.3914439611253996E-2</v>
      </c>
      <c r="BG75" s="54">
        <f t="shared" si="101"/>
        <v>1.1695004662320032</v>
      </c>
      <c r="BI75" s="66">
        <v>45183.75</v>
      </c>
      <c r="BJ75" s="67">
        <v>0.12148791730821901</v>
      </c>
      <c r="BK75" s="68">
        <v>6.6940258559999997</v>
      </c>
      <c r="BL75" s="68">
        <v>4652</v>
      </c>
      <c r="BM75" s="68">
        <f t="shared" si="102"/>
        <v>77.533333333333331</v>
      </c>
      <c r="BN75" s="68">
        <f t="shared" si="75"/>
        <v>9.4193631886305802</v>
      </c>
      <c r="BO75" s="69">
        <f t="shared" si="103"/>
        <v>111.38634211146521</v>
      </c>
      <c r="BP75" s="69">
        <f t="shared" si="104"/>
        <v>1</v>
      </c>
      <c r="BQ75" s="69">
        <f t="shared" si="105"/>
        <v>111.38634211146521</v>
      </c>
      <c r="BR75" s="69">
        <f t="shared" si="76"/>
        <v>0.79262832727932597</v>
      </c>
      <c r="BS75" s="69">
        <f t="shared" si="106"/>
        <v>88.287970029573415</v>
      </c>
      <c r="BU75" s="82">
        <v>45047.083333333336</v>
      </c>
      <c r="BV75" s="112">
        <v>4.1501177E-2</v>
      </c>
      <c r="BW75" s="83">
        <v>82.276892649999994</v>
      </c>
      <c r="BX75" s="112">
        <v>6555</v>
      </c>
      <c r="BY75" s="83">
        <f t="shared" si="62"/>
        <v>109.25</v>
      </c>
      <c r="BZ75" s="84">
        <f t="shared" si="63"/>
        <v>4.53400358725</v>
      </c>
      <c r="CA75" s="83">
        <f t="shared" si="64"/>
        <v>77.863291611124211</v>
      </c>
      <c r="CC75" s="87">
        <v>45048</v>
      </c>
      <c r="CD75" s="109">
        <v>6.4025860322733205E-2</v>
      </c>
      <c r="CE75" s="88">
        <v>89.635700749999998</v>
      </c>
      <c r="CF75" s="89">
        <v>4791</v>
      </c>
      <c r="CG75" s="90">
        <f t="shared" si="107"/>
        <v>79.849999999999994</v>
      </c>
      <c r="CH75" s="91">
        <f t="shared" si="108"/>
        <v>5.1124649467702463</v>
      </c>
      <c r="CI75" s="91">
        <f t="shared" si="109"/>
        <v>82.579047989145138</v>
      </c>
      <c r="CK75" s="93">
        <v>45050</v>
      </c>
      <c r="CL75">
        <v>9.03187633143962E-2</v>
      </c>
      <c r="CM75" s="95">
        <v>118.36070239999999</v>
      </c>
      <c r="CN75" s="4">
        <v>3860</v>
      </c>
      <c r="CO75" s="95">
        <f t="shared" si="110"/>
        <v>64.333333333333329</v>
      </c>
      <c r="CP75" s="94">
        <f t="shared" si="111"/>
        <v>5.8105071065594887</v>
      </c>
      <c r="CQ75" s="96">
        <f t="shared" si="112"/>
        <v>87.92030913959195</v>
      </c>
      <c r="CS75" s="10">
        <v>45051.260416666664</v>
      </c>
      <c r="CT75" s="110">
        <v>8.1501648260414297E-2</v>
      </c>
      <c r="CU75" s="21">
        <v>103.3988808</v>
      </c>
      <c r="CV75" s="111">
        <v>4553</v>
      </c>
      <c r="CW75" s="21">
        <f t="shared" si="113"/>
        <v>75.88333333333334</v>
      </c>
      <c r="CX75" s="21">
        <f t="shared" si="114"/>
        <v>6.1846167421611051</v>
      </c>
      <c r="CY75" s="21">
        <f t="shared" si="115"/>
        <v>90.648258877612705</v>
      </c>
    </row>
    <row r="76" spans="1:103" x14ac:dyDescent="0.3">
      <c r="A76" s="10">
        <v>44776.761111111111</v>
      </c>
      <c r="B76" s="11">
        <v>7.1146443776370196E-3</v>
      </c>
      <c r="C76" s="12">
        <v>9.2022879035000003</v>
      </c>
      <c r="D76" s="9">
        <v>3381</v>
      </c>
      <c r="E76" s="13">
        <f t="shared" si="77"/>
        <v>56.35</v>
      </c>
      <c r="F76" s="12">
        <f t="shared" si="65"/>
        <v>0.40091021067984606</v>
      </c>
      <c r="G76" s="13">
        <f t="shared" si="78"/>
        <v>23.739182874624156</v>
      </c>
      <c r="H76" s="11">
        <f t="shared" si="79"/>
        <v>0.7091794412517497</v>
      </c>
      <c r="I76" s="116">
        <f t="shared" si="80"/>
        <v>16.835340446799066</v>
      </c>
      <c r="J76" s="21">
        <f t="shared" si="66"/>
        <v>8.2420110799908686E-2</v>
      </c>
      <c r="K76" s="116">
        <f t="shared" si="81"/>
        <v>1.9565860828258177</v>
      </c>
      <c r="M76" s="25">
        <v>44781.761111111111</v>
      </c>
      <c r="N76" s="26">
        <v>6.6272216752253097E-3</v>
      </c>
      <c r="O76" s="27">
        <v>13.768905965</v>
      </c>
      <c r="P76" s="28">
        <v>5207</v>
      </c>
      <c r="Q76" s="29">
        <f t="shared" si="82"/>
        <v>86.783333333333331</v>
      </c>
      <c r="R76" s="26">
        <f t="shared" si="67"/>
        <v>0.57513238771496977</v>
      </c>
      <c r="S76" s="29">
        <f t="shared" si="83"/>
        <v>28.327737969171352</v>
      </c>
      <c r="T76" s="29">
        <f t="shared" si="84"/>
        <v>0.40619600591183541</v>
      </c>
      <c r="U76" s="117">
        <f t="shared" si="85"/>
        <v>11.506614019594451</v>
      </c>
      <c r="V76" s="118">
        <f t="shared" si="68"/>
        <v>0.26830041841862851</v>
      </c>
      <c r="W76" s="117">
        <f t="shared" si="86"/>
        <v>7.6003439499819434</v>
      </c>
      <c r="Y76" s="35">
        <v>45136.75</v>
      </c>
      <c r="Z76" s="71">
        <v>1.50958119915185E-2</v>
      </c>
      <c r="AA76" s="70">
        <v>2.6558198119999998</v>
      </c>
      <c r="AB76" s="36">
        <v>7465</v>
      </c>
      <c r="AC76" s="37">
        <f t="shared" si="87"/>
        <v>124.41666666666667</v>
      </c>
      <c r="AD76" s="37">
        <f t="shared" si="69"/>
        <v>1.8781706086114267</v>
      </c>
      <c r="AE76" s="38">
        <f t="shared" si="88"/>
        <v>50.571011673526229</v>
      </c>
      <c r="AF76" s="38">
        <f t="shared" si="89"/>
        <v>8.7898711529575721E-2</v>
      </c>
      <c r="AG76" s="38">
        <f t="shared" si="90"/>
        <v>4.4451267668500885</v>
      </c>
      <c r="AH76" s="38">
        <f t="shared" si="70"/>
        <v>0.37028175013258807</v>
      </c>
      <c r="AI76" s="38">
        <f t="shared" si="91"/>
        <v>18.725522708448835</v>
      </c>
      <c r="AK76" s="45">
        <v>45151.760416666664</v>
      </c>
      <c r="AL76" s="4">
        <v>5.2549597770071904E-3</v>
      </c>
      <c r="AM76" s="3">
        <v>0.69769667099999999</v>
      </c>
      <c r="AN76" s="4">
        <v>1257</v>
      </c>
      <c r="AO76" s="46">
        <f t="shared" si="92"/>
        <v>20.95</v>
      </c>
      <c r="AP76" s="47">
        <f t="shared" si="71"/>
        <v>0.11009140732830064</v>
      </c>
      <c r="AQ76" s="50">
        <f t="shared" si="93"/>
        <v>12.60666592268014</v>
      </c>
      <c r="AR76" s="50">
        <f t="shared" si="94"/>
        <v>5.033140178475267E-2</v>
      </c>
      <c r="AS76" s="50">
        <f t="shared" si="95"/>
        <v>0.63451116772056382</v>
      </c>
      <c r="AT76" s="50">
        <f t="shared" si="72"/>
        <v>0</v>
      </c>
      <c r="AU76" s="50">
        <f t="shared" si="96"/>
        <v>0</v>
      </c>
      <c r="AW76" s="51">
        <v>45166.760416666664</v>
      </c>
      <c r="AX76" s="72">
        <v>1.3575714997825099E-2</v>
      </c>
      <c r="AY76" s="73">
        <v>0.69769667099999999</v>
      </c>
      <c r="AZ76" s="52">
        <v>5617</v>
      </c>
      <c r="BA76" s="53">
        <f t="shared" si="97"/>
        <v>93.61666666666666</v>
      </c>
      <c r="BB76" s="72">
        <f t="shared" si="73"/>
        <v>1.2709131857130596</v>
      </c>
      <c r="BC76" s="54">
        <f t="shared" si="98"/>
        <v>41.767563527184244</v>
      </c>
      <c r="BD76" s="54">
        <f t="shared" si="99"/>
        <v>0.17054759104516731</v>
      </c>
      <c r="BE76" s="54">
        <f t="shared" si="100"/>
        <v>7.1233573433872648</v>
      </c>
      <c r="BF76" s="54">
        <f t="shared" si="74"/>
        <v>9.967772491098259E-2</v>
      </c>
      <c r="BG76" s="54">
        <f t="shared" si="101"/>
        <v>4.1632957074646608</v>
      </c>
      <c r="BI76" s="66">
        <v>45183.760416666664</v>
      </c>
      <c r="BJ76" s="67">
        <v>7.0039998255896102E-2</v>
      </c>
      <c r="BK76" s="68">
        <v>2.6558198119999998</v>
      </c>
      <c r="BL76" s="68">
        <v>5802</v>
      </c>
      <c r="BM76" s="68">
        <f t="shared" si="102"/>
        <v>96.7</v>
      </c>
      <c r="BN76" s="68">
        <f t="shared" si="75"/>
        <v>6.7728678313451534</v>
      </c>
      <c r="BO76" s="69">
        <f t="shared" si="103"/>
        <v>94.772630546827756</v>
      </c>
      <c r="BP76" s="69">
        <f t="shared" si="104"/>
        <v>1</v>
      </c>
      <c r="BQ76" s="69">
        <f t="shared" si="105"/>
        <v>94.772630546827756</v>
      </c>
      <c r="BR76" s="69">
        <f t="shared" si="76"/>
        <v>0.56610128927887737</v>
      </c>
      <c r="BS76" s="69">
        <f t="shared" si="106"/>
        <v>53.650908340909908</v>
      </c>
      <c r="BU76" s="82">
        <v>45047.09375</v>
      </c>
      <c r="BV76" s="112">
        <v>4.4439060000000002E-2</v>
      </c>
      <c r="BW76" s="83">
        <v>82.284398269999997</v>
      </c>
      <c r="BX76" s="112">
        <v>6706</v>
      </c>
      <c r="BY76" s="83">
        <f t="shared" si="62"/>
        <v>111.76666666666667</v>
      </c>
      <c r="BZ76" s="84">
        <f t="shared" si="63"/>
        <v>4.9668056060000003</v>
      </c>
      <c r="CA76" s="83">
        <f t="shared" si="64"/>
        <v>81.418402938795751</v>
      </c>
      <c r="CC76" s="87">
        <v>45048.010416666664</v>
      </c>
      <c r="CD76" s="109">
        <v>5.9518197352717503E-2</v>
      </c>
      <c r="CE76" s="88">
        <v>89.635700749999998</v>
      </c>
      <c r="CF76" s="89">
        <v>4853</v>
      </c>
      <c r="CG76" s="90">
        <f t="shared" si="107"/>
        <v>80.88333333333334</v>
      </c>
      <c r="CH76" s="91">
        <f t="shared" si="108"/>
        <v>4.814030195878968</v>
      </c>
      <c r="CI76" s="91">
        <f t="shared" si="109"/>
        <v>80.182234881948659</v>
      </c>
      <c r="CK76" s="93">
        <v>45050.010416666664</v>
      </c>
      <c r="CL76">
        <v>9.1867757594141397E-2</v>
      </c>
      <c r="CM76" s="95">
        <v>120.2525852</v>
      </c>
      <c r="CN76" s="4">
        <v>3789</v>
      </c>
      <c r="CO76" s="95">
        <f t="shared" si="110"/>
        <v>63.15</v>
      </c>
      <c r="CP76" s="94">
        <f t="shared" si="111"/>
        <v>5.8014488920700291</v>
      </c>
      <c r="CQ76" s="96">
        <f t="shared" si="112"/>
        <v>87.853163050649044</v>
      </c>
      <c r="CS76" s="10">
        <v>45051.270833333336</v>
      </c>
      <c r="CT76" s="110">
        <v>8.50265956258969E-2</v>
      </c>
      <c r="CU76" s="21">
        <v>105.0235411</v>
      </c>
      <c r="CV76" s="111">
        <v>4458</v>
      </c>
      <c r="CW76" s="21">
        <f t="shared" si="113"/>
        <v>74.3</v>
      </c>
      <c r="CX76" s="21">
        <f t="shared" si="114"/>
        <v>6.3174760550041391</v>
      </c>
      <c r="CY76" s="21">
        <f t="shared" si="115"/>
        <v>91.596693336624867</v>
      </c>
    </row>
    <row r="77" spans="1:103" x14ac:dyDescent="0.3">
      <c r="A77" s="10">
        <v>44776.771527777775</v>
      </c>
      <c r="B77" s="11">
        <v>6.7227076636487701E-3</v>
      </c>
      <c r="C77" s="12">
        <v>7.7941709709999998</v>
      </c>
      <c r="D77" s="9">
        <v>2729</v>
      </c>
      <c r="E77" s="13">
        <f t="shared" si="77"/>
        <v>45.483333333333334</v>
      </c>
      <c r="F77" s="12">
        <f t="shared" si="65"/>
        <v>0.30577115356829154</v>
      </c>
      <c r="G77" s="13">
        <f t="shared" si="78"/>
        <v>20.789893494319333</v>
      </c>
      <c r="H77" s="11">
        <f t="shared" si="79"/>
        <v>0.59139054552704873</v>
      </c>
      <c r="I77" s="116">
        <f t="shared" si="80"/>
        <v>12.294946455054752</v>
      </c>
      <c r="J77" s="21">
        <f t="shared" si="66"/>
        <v>6.2688976660508169E-2</v>
      </c>
      <c r="K77" s="116">
        <f t="shared" si="81"/>
        <v>1.3032971480398352</v>
      </c>
      <c r="M77" s="25">
        <v>44781.771527777775</v>
      </c>
      <c r="N77" s="26">
        <v>7.1315589399115996E-3</v>
      </c>
      <c r="O77" s="27">
        <v>10.713533245000001</v>
      </c>
      <c r="P77" s="28">
        <v>3390</v>
      </c>
      <c r="Q77" s="29">
        <f t="shared" si="82"/>
        <v>56.5</v>
      </c>
      <c r="R77" s="26">
        <f t="shared" si="67"/>
        <v>0.40293308010500539</v>
      </c>
      <c r="S77" s="29">
        <f t="shared" si="83"/>
        <v>23.797764112710826</v>
      </c>
      <c r="T77" s="29">
        <f t="shared" si="84"/>
        <v>0.30672054803113297</v>
      </c>
      <c r="U77" s="117">
        <f t="shared" si="85"/>
        <v>7.2992632505662938</v>
      </c>
      <c r="V77" s="118">
        <f t="shared" si="68"/>
        <v>0.18101202995644253</v>
      </c>
      <c r="W77" s="117">
        <f t="shared" si="86"/>
        <v>4.3076815904663652</v>
      </c>
      <c r="Y77" s="35">
        <v>45136.760416666664</v>
      </c>
      <c r="Z77" s="71">
        <v>1.29994040158092E-2</v>
      </c>
      <c r="AA77" s="70">
        <v>2.0619739560000001</v>
      </c>
      <c r="AB77" s="36">
        <v>6561</v>
      </c>
      <c r="AC77" s="37">
        <f t="shared" si="87"/>
        <v>109.35</v>
      </c>
      <c r="AD77" s="37">
        <f t="shared" si="69"/>
        <v>1.4214848291287361</v>
      </c>
      <c r="AE77" s="38">
        <f t="shared" si="88"/>
        <v>44.121621251906596</v>
      </c>
      <c r="AF77" s="38">
        <f t="shared" si="89"/>
        <v>5.6904417541896707E-2</v>
      </c>
      <c r="AG77" s="38">
        <f t="shared" si="90"/>
        <v>2.5107151583439165</v>
      </c>
      <c r="AH77" s="38">
        <f t="shared" si="70"/>
        <v>0.24919614950926922</v>
      </c>
      <c r="AI77" s="38">
        <f t="shared" si="91"/>
        <v>10.994938126081466</v>
      </c>
      <c r="AK77" s="45">
        <v>45151.770833333336</v>
      </c>
      <c r="AL77" s="4">
        <v>1.20267098061293E-2</v>
      </c>
      <c r="AM77" s="3">
        <v>0.59425534599999996</v>
      </c>
      <c r="AN77" s="4">
        <v>4902</v>
      </c>
      <c r="AO77" s="46">
        <f t="shared" si="92"/>
        <v>81.7</v>
      </c>
      <c r="AP77" s="47">
        <f t="shared" si="71"/>
        <v>0.98258219116076384</v>
      </c>
      <c r="AQ77" s="50">
        <f t="shared" si="93"/>
        <v>36.822785439690144</v>
      </c>
      <c r="AR77" s="50">
        <f t="shared" si="94"/>
        <v>0</v>
      </c>
      <c r="AS77" s="50">
        <f t="shared" si="95"/>
        <v>0</v>
      </c>
      <c r="AT77" s="50">
        <f t="shared" si="72"/>
        <v>0.68252553605166466</v>
      </c>
      <c r="AU77" s="50">
        <f t="shared" si="96"/>
        <v>25.132491371139949</v>
      </c>
      <c r="AW77" s="51">
        <v>45166.770833333336</v>
      </c>
      <c r="AX77" s="72">
        <v>1.55340760841929E-2</v>
      </c>
      <c r="AY77" s="73">
        <v>0.81307424100000003</v>
      </c>
      <c r="AZ77" s="52">
        <v>6158</v>
      </c>
      <c r="BA77" s="53">
        <f t="shared" si="97"/>
        <v>102.63333333333334</v>
      </c>
      <c r="BB77" s="72">
        <f t="shared" si="73"/>
        <v>1.5943140087743315</v>
      </c>
      <c r="BC77" s="54">
        <f t="shared" si="98"/>
        <v>46.671742210542483</v>
      </c>
      <c r="BD77" s="54">
        <f t="shared" si="99"/>
        <v>0.23231485738919086</v>
      </c>
      <c r="BE77" s="54">
        <f t="shared" si="100"/>
        <v>10.842539135747256</v>
      </c>
      <c r="BF77" s="54">
        <f t="shared" si="74"/>
        <v>0.15135316054296682</v>
      </c>
      <c r="BG77" s="54">
        <f t="shared" si="101"/>
        <v>7.0639156916121975</v>
      </c>
      <c r="BI77" s="66">
        <v>45183.770833333336</v>
      </c>
      <c r="BJ77" s="67">
        <v>6.18691893714143E-2</v>
      </c>
      <c r="BK77" s="68">
        <v>2.247064306</v>
      </c>
      <c r="BL77" s="68">
        <v>6293</v>
      </c>
      <c r="BM77" s="68">
        <f t="shared" si="102"/>
        <v>104.88333333333334</v>
      </c>
      <c r="BN77" s="68">
        <f t="shared" si="75"/>
        <v>6.4890468119051699</v>
      </c>
      <c r="BO77" s="69">
        <f t="shared" si="103"/>
        <v>92.806540268983241</v>
      </c>
      <c r="BP77" s="69">
        <f t="shared" si="104"/>
        <v>1</v>
      </c>
      <c r="BQ77" s="69">
        <f t="shared" si="105"/>
        <v>92.806540268983241</v>
      </c>
      <c r="BR77" s="69">
        <f t="shared" si="76"/>
        <v>0.54180760038990305</v>
      </c>
      <c r="BS77" s="69">
        <f t="shared" si="106"/>
        <v>50.283288883626717</v>
      </c>
      <c r="BU77" s="82">
        <v>45047.104166666664</v>
      </c>
      <c r="BV77" s="112">
        <v>3.9701674999999999E-2</v>
      </c>
      <c r="BW77" s="83">
        <v>82.284398269999997</v>
      </c>
      <c r="BX77" s="112">
        <v>7256</v>
      </c>
      <c r="BY77" s="83">
        <f t="shared" si="62"/>
        <v>120.93333333333334</v>
      </c>
      <c r="BZ77" s="84">
        <f t="shared" si="63"/>
        <v>4.8012558966666665</v>
      </c>
      <c r="CA77" s="83">
        <f t="shared" si="64"/>
        <v>80.077971725097882</v>
      </c>
      <c r="CC77" s="87">
        <v>45048.020833333336</v>
      </c>
      <c r="CD77" s="109">
        <v>6.2191643191794002E-2</v>
      </c>
      <c r="CE77" s="88">
        <v>88.350109630000006</v>
      </c>
      <c r="CF77" s="89">
        <v>4874</v>
      </c>
      <c r="CG77" s="90">
        <f t="shared" si="107"/>
        <v>81.233333333333334</v>
      </c>
      <c r="CH77" s="91">
        <f t="shared" si="108"/>
        <v>5.0520344819467331</v>
      </c>
      <c r="CI77" s="91">
        <f t="shared" si="109"/>
        <v>82.099600303622864</v>
      </c>
      <c r="CK77" s="93">
        <v>45050.020833333336</v>
      </c>
      <c r="CL77">
        <v>8.6747022862342094E-2</v>
      </c>
      <c r="CM77" s="95">
        <v>119.11711819999999</v>
      </c>
      <c r="CN77" s="4">
        <v>3913</v>
      </c>
      <c r="CO77" s="95">
        <f t="shared" si="110"/>
        <v>65.216666666666669</v>
      </c>
      <c r="CP77" s="94">
        <f t="shared" si="111"/>
        <v>5.6573516743390773</v>
      </c>
      <c r="CQ77" s="96">
        <f t="shared" si="112"/>
        <v>86.777725968269067</v>
      </c>
      <c r="CS77" s="10">
        <v>45051.28125</v>
      </c>
      <c r="CT77" s="110">
        <v>8.6122319619952897E-2</v>
      </c>
      <c r="CU77" s="21">
        <v>104.61473460000001</v>
      </c>
      <c r="CV77" s="111">
        <v>4454</v>
      </c>
      <c r="CW77" s="21">
        <f t="shared" si="113"/>
        <v>74.233333333333334</v>
      </c>
      <c r="CX77" s="21">
        <f t="shared" si="114"/>
        <v>6.3931468597878371</v>
      </c>
      <c r="CY77" s="21">
        <f t="shared" si="115"/>
        <v>92.132333702217664</v>
      </c>
    </row>
    <row r="78" spans="1:103" x14ac:dyDescent="0.3">
      <c r="A78" s="10">
        <v>44776.781944444447</v>
      </c>
      <c r="B78" s="11">
        <v>4.8378525919520604E-3</v>
      </c>
      <c r="C78" s="12">
        <v>5.7733400259999996</v>
      </c>
      <c r="D78" s="9">
        <v>2494</v>
      </c>
      <c r="E78" s="13">
        <f t="shared" si="77"/>
        <v>41.56666666666667</v>
      </c>
      <c r="F78" s="12">
        <f t="shared" si="65"/>
        <v>0.20109340607214066</v>
      </c>
      <c r="G78" s="13">
        <f t="shared" si="78"/>
        <v>16.932750535726619</v>
      </c>
      <c r="H78" s="11">
        <f t="shared" si="79"/>
        <v>0.42234815993819835</v>
      </c>
      <c r="I78" s="116">
        <f t="shared" si="80"/>
        <v>7.1515160314566799</v>
      </c>
      <c r="J78" s="21">
        <f t="shared" si="66"/>
        <v>4.0979588949895604E-2</v>
      </c>
      <c r="K78" s="116">
        <f t="shared" si="81"/>
        <v>0.69389715674520147</v>
      </c>
      <c r="M78" s="25">
        <v>44781.781944444447</v>
      </c>
      <c r="N78" s="26">
        <v>5.71562118563865E-3</v>
      </c>
      <c r="O78" s="27">
        <v>10.73823973</v>
      </c>
      <c r="P78" s="28">
        <v>3233</v>
      </c>
      <c r="Q78" s="29">
        <f t="shared" si="82"/>
        <v>53.883333333333333</v>
      </c>
      <c r="R78" s="26">
        <f t="shared" si="67"/>
        <v>0.30797672155282924</v>
      </c>
      <c r="S78" s="29">
        <f t="shared" si="83"/>
        <v>20.863194372065465</v>
      </c>
      <c r="T78" s="29">
        <f t="shared" si="84"/>
        <v>0.30752493071476106</v>
      </c>
      <c r="U78" s="117">
        <f t="shared" si="85"/>
        <v>6.4159524037580251</v>
      </c>
      <c r="V78" s="118">
        <f t="shared" si="68"/>
        <v>0.1328783433156645</v>
      </c>
      <c r="W78" s="117">
        <f t="shared" si="86"/>
        <v>2.7722667044327545</v>
      </c>
      <c r="Y78" s="35">
        <v>45136.770833333336</v>
      </c>
      <c r="Z78" s="71">
        <v>1.41961564302592E-2</v>
      </c>
      <c r="AA78" s="70">
        <v>2.3436582540000002</v>
      </c>
      <c r="AB78" s="36">
        <v>6999</v>
      </c>
      <c r="AC78" s="37">
        <f t="shared" si="87"/>
        <v>116.65</v>
      </c>
      <c r="AD78" s="37">
        <f t="shared" si="69"/>
        <v>1.6559816475897358</v>
      </c>
      <c r="AE78" s="38">
        <f t="shared" si="88"/>
        <v>47.547214629001694</v>
      </c>
      <c r="AF78" s="38">
        <f t="shared" si="89"/>
        <v>7.1606222489618676E-2</v>
      </c>
      <c r="AG78" s="38">
        <f t="shared" si="90"/>
        <v>3.4046764294859471</v>
      </c>
      <c r="AH78" s="38">
        <f t="shared" si="70"/>
        <v>0.31137060157951091</v>
      </c>
      <c r="AI78" s="38">
        <f t="shared" si="91"/>
        <v>14.804804822462378</v>
      </c>
      <c r="AK78" s="45">
        <v>45151.78125</v>
      </c>
      <c r="AL78" s="4">
        <v>1.1325554905865299E-2</v>
      </c>
      <c r="AM78" s="3">
        <v>2.7664001109999998</v>
      </c>
      <c r="AN78" s="4">
        <v>6670</v>
      </c>
      <c r="AO78" s="46">
        <f t="shared" si="92"/>
        <v>111.16666666666667</v>
      </c>
      <c r="AP78" s="47">
        <f t="shared" si="71"/>
        <v>1.2590241870353591</v>
      </c>
      <c r="AQ78" s="50">
        <f t="shared" si="93"/>
        <v>41.575767813015752</v>
      </c>
      <c r="AR78" s="50">
        <f t="shared" si="94"/>
        <v>1</v>
      </c>
      <c r="AS78" s="50">
        <f t="shared" si="95"/>
        <v>41.575767813015752</v>
      </c>
      <c r="AT78" s="50">
        <f t="shared" si="72"/>
        <v>0.90145666814601055</v>
      </c>
      <c r="AU78" s="50">
        <f t="shared" si="96"/>
        <v>37.478753128333324</v>
      </c>
      <c r="AW78" s="51">
        <v>45166.78125</v>
      </c>
      <c r="AX78" s="72">
        <v>1.19831947919809E-2</v>
      </c>
      <c r="AY78" s="73">
        <v>0.69769667099999999</v>
      </c>
      <c r="AZ78" s="52">
        <v>5711</v>
      </c>
      <c r="BA78" s="53">
        <f t="shared" si="97"/>
        <v>95.183333333333337</v>
      </c>
      <c r="BB78" s="72">
        <f t="shared" si="73"/>
        <v>1.140600424283382</v>
      </c>
      <c r="BC78" s="54">
        <f t="shared" si="98"/>
        <v>39.612466210306977</v>
      </c>
      <c r="BD78" s="54">
        <f t="shared" si="99"/>
        <v>0.17054759104516731</v>
      </c>
      <c r="BE78" s="54">
        <f t="shared" si="100"/>
        <v>6.7558106875259432</v>
      </c>
      <c r="BF78" s="54">
        <f t="shared" si="74"/>
        <v>7.8855363818816804E-2</v>
      </c>
      <c r="BG78" s="54">
        <f t="shared" si="101"/>
        <v>3.1236554347743439</v>
      </c>
      <c r="BI78" s="66">
        <v>45183.78125</v>
      </c>
      <c r="BJ78" s="67">
        <v>6.0709785559574299E-2</v>
      </c>
      <c r="BK78" s="68">
        <v>2.3436582540000002</v>
      </c>
      <c r="BL78" s="68">
        <v>6218</v>
      </c>
      <c r="BM78" s="68">
        <f t="shared" si="102"/>
        <v>103.63333333333334</v>
      </c>
      <c r="BN78" s="68">
        <f t="shared" si="75"/>
        <v>6.2915574434905501</v>
      </c>
      <c r="BO78" s="69">
        <f t="shared" si="103"/>
        <v>91.412474790851846</v>
      </c>
      <c r="BP78" s="69">
        <f t="shared" si="104"/>
        <v>1</v>
      </c>
      <c r="BQ78" s="69">
        <f t="shared" si="105"/>
        <v>91.412474790851846</v>
      </c>
      <c r="BR78" s="69">
        <f t="shared" si="76"/>
        <v>0.52490347790943492</v>
      </c>
      <c r="BS78" s="69">
        <f t="shared" si="106"/>
        <v>47.982725942026676</v>
      </c>
      <c r="BU78" s="82">
        <v>45047.114583333336</v>
      </c>
      <c r="BV78" s="112">
        <v>4.2727963000000001E-2</v>
      </c>
      <c r="BW78" s="83">
        <v>81.405228940000001</v>
      </c>
      <c r="BX78" s="112">
        <v>6982</v>
      </c>
      <c r="BY78" s="83">
        <f t="shared" si="62"/>
        <v>116.36666666666666</v>
      </c>
      <c r="BZ78" s="84">
        <f t="shared" si="63"/>
        <v>4.9721106277666669</v>
      </c>
      <c r="CA78" s="83">
        <f t="shared" si="64"/>
        <v>81.460976931595383</v>
      </c>
      <c r="CC78" s="87">
        <v>45048.03125</v>
      </c>
      <c r="CD78" s="109">
        <v>5.5378085388220998E-2</v>
      </c>
      <c r="CE78" s="88">
        <v>87.058386479999996</v>
      </c>
      <c r="CF78" s="89">
        <v>4830</v>
      </c>
      <c r="CG78" s="90">
        <f t="shared" si="107"/>
        <v>80.5</v>
      </c>
      <c r="CH78" s="91">
        <f t="shared" si="108"/>
        <v>4.45793587375179</v>
      </c>
      <c r="CI78" s="91">
        <f t="shared" si="109"/>
        <v>77.220822457558285</v>
      </c>
      <c r="CK78" s="93">
        <v>45050.03125</v>
      </c>
      <c r="CL78">
        <v>0.103100653598571</v>
      </c>
      <c r="CM78" s="95">
        <v>117.21518</v>
      </c>
      <c r="CN78" s="4">
        <v>4051</v>
      </c>
      <c r="CO78" s="95">
        <f t="shared" si="110"/>
        <v>67.516666666666666</v>
      </c>
      <c r="CP78" s="94">
        <f t="shared" si="111"/>
        <v>6.961012462130185</v>
      </c>
      <c r="CQ78" s="96">
        <f t="shared" si="112"/>
        <v>96.052853776553491</v>
      </c>
      <c r="CS78" s="10">
        <v>45051.291666666664</v>
      </c>
      <c r="CT78" s="110">
        <v>7.9334787722903297E-2</v>
      </c>
      <c r="CU78" s="21">
        <v>94.720978599999995</v>
      </c>
      <c r="CV78" s="111">
        <v>4648</v>
      </c>
      <c r="CW78" s="21">
        <f t="shared" si="113"/>
        <v>77.466666666666669</v>
      </c>
      <c r="CX78" s="21">
        <f t="shared" si="114"/>
        <v>6.1458015556009089</v>
      </c>
      <c r="CY78" s="21">
        <f t="shared" si="115"/>
        <v>90.369213034180092</v>
      </c>
    </row>
    <row r="79" spans="1:103" x14ac:dyDescent="0.3">
      <c r="A79" s="10">
        <v>44776.792361111111</v>
      </c>
      <c r="B79" s="11">
        <v>4.9265829371615104E-3</v>
      </c>
      <c r="C79" s="12">
        <v>5.1560535449999998</v>
      </c>
      <c r="D79" s="9">
        <v>2465</v>
      </c>
      <c r="E79" s="13">
        <f t="shared" si="77"/>
        <v>41.083333333333336</v>
      </c>
      <c r="F79" s="12">
        <f t="shared" si="65"/>
        <v>0.20240044900171872</v>
      </c>
      <c r="G79" s="13">
        <f t="shared" si="78"/>
        <v>16.986556591580069</v>
      </c>
      <c r="H79" s="11">
        <f t="shared" si="79"/>
        <v>0.3707121833622426</v>
      </c>
      <c r="I79" s="116">
        <f t="shared" si="80"/>
        <v>6.2971234818709414</v>
      </c>
      <c r="J79" s="21">
        <f t="shared" si="66"/>
        <v>4.1250659950097135E-2</v>
      </c>
      <c r="K79" s="116">
        <f t="shared" si="81"/>
        <v>0.7007066696823504</v>
      </c>
      <c r="M79" s="25">
        <v>44781.792361111111</v>
      </c>
      <c r="N79" s="26">
        <v>5.7347840315271903E-3</v>
      </c>
      <c r="O79" s="27">
        <v>9.41508928649999</v>
      </c>
      <c r="P79" s="28">
        <v>2405</v>
      </c>
      <c r="Q79" s="29">
        <f t="shared" si="82"/>
        <v>40.083333333333336</v>
      </c>
      <c r="R79" s="26">
        <f t="shared" si="67"/>
        <v>0.22986925993038157</v>
      </c>
      <c r="S79" s="29">
        <f t="shared" si="83"/>
        <v>18.078849450748503</v>
      </c>
      <c r="T79" s="29">
        <f t="shared" si="84"/>
        <v>0.26444639062351549</v>
      </c>
      <c r="U79" s="117">
        <f t="shared" si="85"/>
        <v>4.7808864838763672</v>
      </c>
      <c r="V79" s="118">
        <f t="shared" si="68"/>
        <v>9.3285417266634474E-2</v>
      </c>
      <c r="W79" s="117">
        <f t="shared" si="86"/>
        <v>1.6864930147137396</v>
      </c>
      <c r="Y79" s="35">
        <v>45136.78125</v>
      </c>
      <c r="Z79" s="71">
        <v>1.2127009560730199E-2</v>
      </c>
      <c r="AA79" s="70">
        <v>2.0619739560000001</v>
      </c>
      <c r="AB79" s="36">
        <v>6538</v>
      </c>
      <c r="AC79" s="37">
        <f t="shared" si="87"/>
        <v>108.96666666666667</v>
      </c>
      <c r="AD79" s="37">
        <f t="shared" si="69"/>
        <v>1.3214398084675674</v>
      </c>
      <c r="AE79" s="38">
        <f t="shared" si="88"/>
        <v>42.572631686625165</v>
      </c>
      <c r="AF79" s="38">
        <f t="shared" si="89"/>
        <v>5.6904417541896707E-2</v>
      </c>
      <c r="AG79" s="38">
        <f t="shared" si="90"/>
        <v>2.4225708093531004</v>
      </c>
      <c r="AH79" s="38">
        <f t="shared" si="70"/>
        <v>0.22267022739745732</v>
      </c>
      <c r="AI79" s="38">
        <f t="shared" si="91"/>
        <v>9.4796575785690216</v>
      </c>
      <c r="AK79" s="45">
        <v>45151.791666666664</v>
      </c>
      <c r="AL79" s="4">
        <v>9.3017912165181404E-3</v>
      </c>
      <c r="AM79" s="3">
        <v>2.6539428329999999</v>
      </c>
      <c r="AN79" s="4">
        <v>5421</v>
      </c>
      <c r="AO79" s="46">
        <f t="shared" si="92"/>
        <v>90.35</v>
      </c>
      <c r="AP79" s="47">
        <f t="shared" si="71"/>
        <v>0.84041683641241394</v>
      </c>
      <c r="AQ79" s="50">
        <f t="shared" si="93"/>
        <v>34.109760413043801</v>
      </c>
      <c r="AR79" s="50">
        <f t="shared" si="94"/>
        <v>1</v>
      </c>
      <c r="AS79" s="50">
        <f t="shared" si="95"/>
        <v>34.109760413043801</v>
      </c>
      <c r="AT79" s="50">
        <f t="shared" si="72"/>
        <v>0.56993619534320816</v>
      </c>
      <c r="AU79" s="50">
        <f t="shared" si="96"/>
        <v>19.440387073878561</v>
      </c>
      <c r="AW79" s="51">
        <v>45166.791666666664</v>
      </c>
      <c r="AX79" s="72">
        <v>1.53530311490996E-2</v>
      </c>
      <c r="AY79" s="73">
        <v>0.69769667099999999</v>
      </c>
      <c r="AZ79" s="52">
        <v>5798</v>
      </c>
      <c r="BA79" s="53">
        <f t="shared" si="97"/>
        <v>96.63333333333334</v>
      </c>
      <c r="BB79" s="72">
        <f t="shared" si="73"/>
        <v>1.4836145767079916</v>
      </c>
      <c r="BC79" s="54">
        <f t="shared" si="98"/>
        <v>45.055678199723602</v>
      </c>
      <c r="BD79" s="54">
        <f t="shared" si="99"/>
        <v>0.17054759104516731</v>
      </c>
      <c r="BE79" s="54">
        <f t="shared" si="100"/>
        <v>7.6841373798691208</v>
      </c>
      <c r="BF79" s="54">
        <f t="shared" si="74"/>
        <v>0.13366476593069473</v>
      </c>
      <c r="BG79" s="54">
        <f t="shared" si="101"/>
        <v>6.0223566804147604</v>
      </c>
      <c r="BI79" s="66">
        <v>45183.791666666664</v>
      </c>
      <c r="BJ79" s="67">
        <v>5.1910935948964503E-2</v>
      </c>
      <c r="BK79" s="68">
        <v>2.247064306</v>
      </c>
      <c r="BL79" s="68">
        <v>6711</v>
      </c>
      <c r="BM79" s="68">
        <f t="shared" si="102"/>
        <v>111.85</v>
      </c>
      <c r="BN79" s="68">
        <f t="shared" si="75"/>
        <v>5.8062381858916794</v>
      </c>
      <c r="BO79" s="69">
        <f t="shared" si="103"/>
        <v>87.888671447756025</v>
      </c>
      <c r="BP79" s="69">
        <f t="shared" si="104"/>
        <v>1</v>
      </c>
      <c r="BQ79" s="69">
        <f t="shared" si="105"/>
        <v>87.888671447756025</v>
      </c>
      <c r="BR79" s="69">
        <f t="shared" si="76"/>
        <v>0.48336252692843079</v>
      </c>
      <c r="BS79" s="69">
        <f t="shared" si="106"/>
        <v>42.482090319369981</v>
      </c>
      <c r="BU79" s="82">
        <v>45047.125</v>
      </c>
      <c r="BV79" s="112">
        <v>3.7729084000000003E-2</v>
      </c>
      <c r="BW79" s="83">
        <v>81.405228940000001</v>
      </c>
      <c r="BX79" s="112">
        <v>6820</v>
      </c>
      <c r="BY79" s="83">
        <f t="shared" si="62"/>
        <v>113.66666666666667</v>
      </c>
      <c r="BZ79" s="84">
        <f t="shared" si="63"/>
        <v>4.2885392146666668</v>
      </c>
      <c r="CA79" s="83">
        <f t="shared" si="64"/>
        <v>75.769687982629208</v>
      </c>
      <c r="CC79" s="87">
        <v>45048.041666666664</v>
      </c>
      <c r="CD79" s="109">
        <v>5.3922792986080298E-2</v>
      </c>
      <c r="CE79" s="88">
        <v>89.635700749999998</v>
      </c>
      <c r="CF79" s="89">
        <v>4734</v>
      </c>
      <c r="CG79" s="90">
        <f t="shared" si="107"/>
        <v>78.900000000000006</v>
      </c>
      <c r="CH79" s="91">
        <f t="shared" si="108"/>
        <v>4.254508366601736</v>
      </c>
      <c r="CI79" s="91">
        <f t="shared" si="109"/>
        <v>75.474654751181305</v>
      </c>
      <c r="CK79" s="93">
        <v>45050.041666666664</v>
      </c>
      <c r="CL79">
        <v>8.7233467470343704E-2</v>
      </c>
      <c r="CM79" s="95">
        <v>114.1275401</v>
      </c>
      <c r="CN79" s="4">
        <v>4022</v>
      </c>
      <c r="CO79" s="95">
        <f t="shared" si="110"/>
        <v>67.033333333333331</v>
      </c>
      <c r="CP79" s="94">
        <f t="shared" si="111"/>
        <v>5.8475501027620398</v>
      </c>
      <c r="CQ79" s="96">
        <f t="shared" si="112"/>
        <v>88.194344517051206</v>
      </c>
      <c r="CS79" s="10">
        <v>45051.302083333336</v>
      </c>
      <c r="CT79" s="110">
        <v>8.4281900050852704E-2</v>
      </c>
      <c r="CU79" s="21">
        <v>95.138397370000007</v>
      </c>
      <c r="CV79" s="111">
        <v>4650</v>
      </c>
      <c r="CW79" s="21">
        <f t="shared" si="113"/>
        <v>77.5</v>
      </c>
      <c r="CX79" s="21">
        <f t="shared" si="114"/>
        <v>6.5318472539410841</v>
      </c>
      <c r="CY79" s="21">
        <f t="shared" si="115"/>
        <v>93.105799087843891</v>
      </c>
    </row>
    <row r="80" spans="1:103" x14ac:dyDescent="0.3">
      <c r="A80" s="10">
        <v>44776.802777777775</v>
      </c>
      <c r="B80" s="11">
        <v>5.0058445530102901E-3</v>
      </c>
      <c r="C80" s="12">
        <v>4.4556949205</v>
      </c>
      <c r="D80" s="9">
        <v>2271</v>
      </c>
      <c r="E80" s="13">
        <f t="shared" si="77"/>
        <v>37.85</v>
      </c>
      <c r="F80" s="12">
        <f t="shared" si="65"/>
        <v>0.18947121633143948</v>
      </c>
      <c r="G80" s="13">
        <f t="shared" si="78"/>
        <v>16.446236032101172</v>
      </c>
      <c r="H80" s="11">
        <f t="shared" si="79"/>
        <v>0.31212722703715728</v>
      </c>
      <c r="I80" s="116">
        <f t="shared" si="80"/>
        <v>5.1333180478983191</v>
      </c>
      <c r="J80" s="21">
        <f t="shared" si="66"/>
        <v>3.8569233079977186E-2</v>
      </c>
      <c r="K80" s="116">
        <f t="shared" si="81"/>
        <v>0.63431871081042923</v>
      </c>
      <c r="M80" s="25">
        <v>44781.802777777775</v>
      </c>
      <c r="N80" s="26">
        <v>6.6550809194387498E-3</v>
      </c>
      <c r="O80" s="27">
        <v>9.5693059164999994</v>
      </c>
      <c r="P80" s="28">
        <v>2654</v>
      </c>
      <c r="Q80" s="29">
        <f t="shared" si="82"/>
        <v>44.233333333333334</v>
      </c>
      <c r="R80" s="26">
        <f t="shared" si="67"/>
        <v>0.29437641266984071</v>
      </c>
      <c r="S80" s="29">
        <f t="shared" si="83"/>
        <v>20.406822924107267</v>
      </c>
      <c r="T80" s="29">
        <f t="shared" si="84"/>
        <v>0.26946730665829305</v>
      </c>
      <c r="U80" s="117">
        <f t="shared" si="85"/>
        <v>5.4989716108118971</v>
      </c>
      <c r="V80" s="118">
        <f t="shared" si="68"/>
        <v>0.12598430255870083</v>
      </c>
      <c r="W80" s="117">
        <f t="shared" si="86"/>
        <v>2.570939353532562</v>
      </c>
      <c r="Y80" s="35">
        <v>45136.791666666664</v>
      </c>
      <c r="Z80" s="71">
        <v>1.17473840599687E-2</v>
      </c>
      <c r="AA80" s="70">
        <v>1.8086265969999999</v>
      </c>
      <c r="AB80" s="36">
        <v>5964</v>
      </c>
      <c r="AC80" s="37">
        <f t="shared" si="87"/>
        <v>99.4</v>
      </c>
      <c r="AD80" s="37">
        <f t="shared" si="69"/>
        <v>1.1676899755608887</v>
      </c>
      <c r="AE80" s="38">
        <f t="shared" si="88"/>
        <v>40.070420028323532</v>
      </c>
      <c r="AF80" s="38">
        <f t="shared" si="89"/>
        <v>4.3681588003707472E-2</v>
      </c>
      <c r="AG80" s="38">
        <f t="shared" si="90"/>
        <v>1.7503395788127369</v>
      </c>
      <c r="AH80" s="38">
        <f t="shared" si="70"/>
        <v>0.18190501923983016</v>
      </c>
      <c r="AI80" s="38">
        <f t="shared" si="91"/>
        <v>7.2890105262002676</v>
      </c>
      <c r="AK80" s="45">
        <v>45151.802083333336</v>
      </c>
      <c r="AL80" s="4">
        <v>8.3559528913760995E-3</v>
      </c>
      <c r="AM80" s="3">
        <v>1.654461261</v>
      </c>
      <c r="AN80" s="4">
        <v>4505</v>
      </c>
      <c r="AO80" s="46">
        <f t="shared" si="92"/>
        <v>75.083333333333329</v>
      </c>
      <c r="AP80" s="47">
        <f t="shared" si="71"/>
        <v>0.62739279626082212</v>
      </c>
      <c r="AQ80" s="50">
        <f t="shared" si="93"/>
        <v>29.560290618491003</v>
      </c>
      <c r="AR80" s="50">
        <f t="shared" si="94"/>
        <v>0.5707697880729854</v>
      </c>
      <c r="AS80" s="50">
        <f t="shared" si="95"/>
        <v>16.872120811691968</v>
      </c>
      <c r="AT80" s="50">
        <f t="shared" si="72"/>
        <v>0.40122957706638157</v>
      </c>
      <c r="AU80" s="50">
        <f t="shared" si="96"/>
        <v>11.860462902816472</v>
      </c>
      <c r="AW80" s="51">
        <v>45166.802083333336</v>
      </c>
      <c r="AX80" s="72">
        <v>1.7272207017591901E-2</v>
      </c>
      <c r="AY80" s="73">
        <v>0.77321039300000005</v>
      </c>
      <c r="AZ80" s="52">
        <v>6206</v>
      </c>
      <c r="BA80" s="53">
        <f t="shared" si="97"/>
        <v>103.43333333333334</v>
      </c>
      <c r="BB80" s="72">
        <f t="shared" si="73"/>
        <v>1.7865219458529225</v>
      </c>
      <c r="BC80" s="54">
        <f t="shared" si="98"/>
        <v>49.347151014865034</v>
      </c>
      <c r="BD80" s="54">
        <f t="shared" si="99"/>
        <v>0.2109737863568085</v>
      </c>
      <c r="BE80" s="54">
        <f t="shared" si="100"/>
        <v>10.410955295527302</v>
      </c>
      <c r="BF80" s="54">
        <f t="shared" si="74"/>
        <v>0.18206560210833475</v>
      </c>
      <c r="BG80" s="54">
        <f t="shared" si="101"/>
        <v>8.984418761852325</v>
      </c>
      <c r="BI80" s="66">
        <v>45183.802083333336</v>
      </c>
      <c r="BJ80" s="67">
        <v>4.82634327580964E-2</v>
      </c>
      <c r="BK80" s="68">
        <v>2.247064306</v>
      </c>
      <c r="BL80" s="68">
        <v>7436</v>
      </c>
      <c r="BM80" s="68">
        <f t="shared" si="102"/>
        <v>123.93333333333334</v>
      </c>
      <c r="BN80" s="68">
        <f t="shared" si="75"/>
        <v>5.9814480998200805</v>
      </c>
      <c r="BO80" s="69">
        <f t="shared" si="103"/>
        <v>89.177574662300941</v>
      </c>
      <c r="BP80" s="69">
        <f t="shared" si="104"/>
        <v>1</v>
      </c>
      <c r="BQ80" s="69">
        <f t="shared" si="105"/>
        <v>89.177574662300941</v>
      </c>
      <c r="BR80" s="69">
        <f t="shared" si="76"/>
        <v>0.49835963724689553</v>
      </c>
      <c r="BS80" s="69">
        <f t="shared" si="106"/>
        <v>44.442503759262237</v>
      </c>
      <c r="BU80" s="82">
        <v>45047.135416666664</v>
      </c>
      <c r="BV80" s="112">
        <v>4.0692033000000002E-2</v>
      </c>
      <c r="BW80" s="83">
        <v>82.276892649999994</v>
      </c>
      <c r="BX80" s="112">
        <v>6630</v>
      </c>
      <c r="BY80" s="83">
        <f t="shared" si="62"/>
        <v>110.5</v>
      </c>
      <c r="BZ80" s="84">
        <f t="shared" si="63"/>
        <v>4.4964696465000005</v>
      </c>
      <c r="CA80" s="83">
        <f t="shared" si="64"/>
        <v>77.54697255344071</v>
      </c>
      <c r="CC80" s="87">
        <v>45048.052083333336</v>
      </c>
      <c r="CD80" s="109">
        <v>5.7873699175764501E-2</v>
      </c>
      <c r="CE80" s="88">
        <v>93.038532979999999</v>
      </c>
      <c r="CF80" s="89">
        <v>5020</v>
      </c>
      <c r="CG80" s="90">
        <f t="shared" si="107"/>
        <v>83.666666666666671</v>
      </c>
      <c r="CH80" s="91">
        <f t="shared" si="108"/>
        <v>4.8420994977056298</v>
      </c>
      <c r="CI80" s="91">
        <f t="shared" si="109"/>
        <v>80.410840220652446</v>
      </c>
      <c r="CK80" s="93">
        <v>45050.052083333336</v>
      </c>
      <c r="CL80">
        <v>8.6075938352230097E-2</v>
      </c>
      <c r="CM80" s="95">
        <v>126.9470365</v>
      </c>
      <c r="CN80" s="4">
        <v>4083</v>
      </c>
      <c r="CO80" s="95">
        <f t="shared" si="110"/>
        <v>68.05</v>
      </c>
      <c r="CP80" s="94">
        <f t="shared" si="111"/>
        <v>5.8574676048692575</v>
      </c>
      <c r="CQ80" s="96">
        <f t="shared" si="112"/>
        <v>88.267561423481752</v>
      </c>
      <c r="CS80" s="10">
        <v>45051.3125</v>
      </c>
      <c r="CT80" s="110">
        <v>8.8075454714511295E-2</v>
      </c>
      <c r="CU80" s="21">
        <v>99.304680700000006</v>
      </c>
      <c r="CV80" s="111">
        <v>4613</v>
      </c>
      <c r="CW80" s="21">
        <f t="shared" si="113"/>
        <v>76.88333333333334</v>
      </c>
      <c r="CX80" s="21">
        <f t="shared" si="114"/>
        <v>6.7715345433006773</v>
      </c>
      <c r="CY80" s="21">
        <f t="shared" si="115"/>
        <v>94.763493912601461</v>
      </c>
    </row>
    <row r="81" spans="1:103" x14ac:dyDescent="0.3">
      <c r="A81" s="10">
        <v>44776.813194444447</v>
      </c>
      <c r="B81" s="11">
        <v>5.6579143068844996E-3</v>
      </c>
      <c r="C81" s="12">
        <v>3.5644504299999999</v>
      </c>
      <c r="D81" s="9">
        <v>1829</v>
      </c>
      <c r="E81" s="13">
        <f t="shared" si="77"/>
        <v>30.483333333333334</v>
      </c>
      <c r="F81" s="12">
        <f t="shared" si="65"/>
        <v>0.17247208778819584</v>
      </c>
      <c r="G81" s="13">
        <f t="shared" si="78"/>
        <v>15.7063329331754</v>
      </c>
      <c r="H81" s="11">
        <f t="shared" si="79"/>
        <v>0.23757467963590032</v>
      </c>
      <c r="I81" s="116">
        <f t="shared" si="80"/>
        <v>3.7314270148539359</v>
      </c>
      <c r="J81" s="21">
        <f t="shared" si="66"/>
        <v>3.5043740020419448E-2</v>
      </c>
      <c r="K81" s="116">
        <f t="shared" si="81"/>
        <v>0.55040864798435074</v>
      </c>
      <c r="M81" s="25">
        <v>44781.813194444447</v>
      </c>
      <c r="N81" s="26">
        <v>6.0417883005502498E-3</v>
      </c>
      <c r="O81" s="27">
        <v>10.085595189999999</v>
      </c>
      <c r="P81" s="28">
        <v>2763</v>
      </c>
      <c r="Q81" s="29">
        <f t="shared" si="82"/>
        <v>46.05</v>
      </c>
      <c r="R81" s="26">
        <f t="shared" si="67"/>
        <v>0.27822435124033901</v>
      </c>
      <c r="S81" s="29">
        <f t="shared" si="83"/>
        <v>19.850611599526427</v>
      </c>
      <c r="T81" s="29">
        <f t="shared" si="84"/>
        <v>0.28627642180949059</v>
      </c>
      <c r="U81" s="117">
        <f t="shared" si="85"/>
        <v>5.6827620594423944</v>
      </c>
      <c r="V81" s="118">
        <f t="shared" si="68"/>
        <v>0.117796770145871</v>
      </c>
      <c r="W81" s="117">
        <f t="shared" si="86"/>
        <v>2.3383379318443756</v>
      </c>
      <c r="Y81" s="35">
        <v>45136.802083333336</v>
      </c>
      <c r="Z81" s="71">
        <v>1.13363662085962E-2</v>
      </c>
      <c r="AA81" s="70">
        <v>2.3436582540000002</v>
      </c>
      <c r="AB81" s="36">
        <v>6969</v>
      </c>
      <c r="AC81" s="37">
        <f t="shared" si="87"/>
        <v>116.15</v>
      </c>
      <c r="AD81" s="37">
        <f t="shared" si="69"/>
        <v>1.3167189351284487</v>
      </c>
      <c r="AE81" s="38">
        <f t="shared" si="88"/>
        <v>42.498084377982146</v>
      </c>
      <c r="AF81" s="38">
        <f t="shared" si="89"/>
        <v>7.1606222489618676E-2</v>
      </c>
      <c r="AG81" s="38">
        <f t="shared" si="90"/>
        <v>3.0431272853523774</v>
      </c>
      <c r="AH81" s="38">
        <f t="shared" si="70"/>
        <v>0.22141853573238882</v>
      </c>
      <c r="AI81" s="38">
        <f t="shared" si="91"/>
        <v>9.4098636144043137</v>
      </c>
      <c r="AK81" s="45">
        <v>45151.8125</v>
      </c>
      <c r="AL81" s="4">
        <v>7.5321054120801798E-3</v>
      </c>
      <c r="AM81" s="3">
        <v>1.5125919880000001</v>
      </c>
      <c r="AN81" s="4">
        <v>3543</v>
      </c>
      <c r="AO81" s="46">
        <f t="shared" si="92"/>
        <v>59.05</v>
      </c>
      <c r="AP81" s="47">
        <f t="shared" si="71"/>
        <v>0.44477082458333461</v>
      </c>
      <c r="AQ81" s="50">
        <f t="shared" si="93"/>
        <v>24.977325558323379</v>
      </c>
      <c r="AR81" s="50">
        <f t="shared" si="94"/>
        <v>0.49359906470413173</v>
      </c>
      <c r="AS81" s="50">
        <f t="shared" si="95"/>
        <v>12.328784534399025</v>
      </c>
      <c r="AT81" s="50">
        <f t="shared" si="72"/>
        <v>0.2566001951298138</v>
      </c>
      <c r="AU81" s="50">
        <f t="shared" si="96"/>
        <v>6.409186612086665</v>
      </c>
      <c r="AW81" s="51">
        <v>45166.8125</v>
      </c>
      <c r="AX81" s="72">
        <v>1.33532273054027E-2</v>
      </c>
      <c r="AY81" s="73">
        <v>0.66228851600000005</v>
      </c>
      <c r="AZ81" s="52">
        <v>5906</v>
      </c>
      <c r="BA81" s="53">
        <f t="shared" si="97"/>
        <v>98.433333333333337</v>
      </c>
      <c r="BB81" s="72">
        <f t="shared" si="73"/>
        <v>1.3144026744284725</v>
      </c>
      <c r="BC81" s="54">
        <f t="shared" si="98"/>
        <v>42.461458430102837</v>
      </c>
      <c r="BD81" s="54">
        <f t="shared" si="99"/>
        <v>0.15159187079004782</v>
      </c>
      <c r="BE81" s="54">
        <f t="shared" si="100"/>
        <v>6.4368119198931364</v>
      </c>
      <c r="BF81" s="54">
        <f t="shared" si="74"/>
        <v>0.10662680516844204</v>
      </c>
      <c r="BG81" s="54">
        <f t="shared" si="101"/>
        <v>4.5275296551944759</v>
      </c>
      <c r="BI81" s="66">
        <v>45183.8125</v>
      </c>
      <c r="BJ81" s="67">
        <v>4.9740763165656399E-2</v>
      </c>
      <c r="BK81" s="68">
        <v>2.0619739560000001</v>
      </c>
      <c r="BL81" s="68">
        <v>7287</v>
      </c>
      <c r="BM81" s="68">
        <f t="shared" si="102"/>
        <v>121.45</v>
      </c>
      <c r="BN81" s="68">
        <f t="shared" si="75"/>
        <v>6.0410156864689695</v>
      </c>
      <c r="BO81" s="69">
        <f t="shared" si="103"/>
        <v>89.611375120707919</v>
      </c>
      <c r="BP81" s="69">
        <f t="shared" si="104"/>
        <v>1</v>
      </c>
      <c r="BQ81" s="69">
        <f t="shared" si="105"/>
        <v>89.611375120707919</v>
      </c>
      <c r="BR81" s="69">
        <f t="shared" si="76"/>
        <v>0.50345833085588365</v>
      </c>
      <c r="BS81" s="69">
        <f t="shared" si="106"/>
        <v>45.115593343972066</v>
      </c>
      <c r="BU81" s="82">
        <v>45047.145833333336</v>
      </c>
      <c r="BV81" s="112">
        <v>3.9621524999999998E-2</v>
      </c>
      <c r="BW81" s="83">
        <v>82.284398269999997</v>
      </c>
      <c r="BX81" s="112">
        <v>6671</v>
      </c>
      <c r="BY81" s="83">
        <f t="shared" si="62"/>
        <v>111.18333333333334</v>
      </c>
      <c r="BZ81" s="84">
        <f t="shared" si="63"/>
        <v>4.4052532212499997</v>
      </c>
      <c r="CA81" s="83">
        <f t="shared" si="64"/>
        <v>76.772579244228879</v>
      </c>
      <c r="CC81" s="87">
        <v>45048.0625</v>
      </c>
      <c r="CD81" s="109">
        <v>5.4790281865836898E-2</v>
      </c>
      <c r="CE81" s="88">
        <v>87.058386479999996</v>
      </c>
      <c r="CF81" s="89">
        <v>4904</v>
      </c>
      <c r="CG81" s="90">
        <f t="shared" si="107"/>
        <v>81.733333333333334</v>
      </c>
      <c r="CH81" s="91">
        <f t="shared" si="108"/>
        <v>4.4781923711677356</v>
      </c>
      <c r="CI81" s="91">
        <f t="shared" si="109"/>
        <v>77.392452143555744</v>
      </c>
      <c r="CK81" s="93">
        <v>45050.0625</v>
      </c>
      <c r="CL81">
        <v>9.8886869462483998E-2</v>
      </c>
      <c r="CM81" s="95">
        <v>109.0251016</v>
      </c>
      <c r="CN81" s="4">
        <v>4167</v>
      </c>
      <c r="CO81" s="95">
        <f t="shared" si="110"/>
        <v>69.45</v>
      </c>
      <c r="CP81" s="94">
        <f t="shared" si="111"/>
        <v>6.8676930841695141</v>
      </c>
      <c r="CQ81" s="96">
        <f t="shared" si="112"/>
        <v>95.420102740724602</v>
      </c>
      <c r="CS81" s="10">
        <v>45051.322916666664</v>
      </c>
      <c r="CT81" s="110">
        <v>8.6926776574837106E-2</v>
      </c>
      <c r="CU81" s="21">
        <v>95.138397370000007</v>
      </c>
      <c r="CV81" s="111">
        <v>4527</v>
      </c>
      <c r="CW81" s="21">
        <f t="shared" si="113"/>
        <v>75.45</v>
      </c>
      <c r="CX81" s="21">
        <f t="shared" si="114"/>
        <v>6.5586252925714597</v>
      </c>
      <c r="CY81" s="21">
        <f t="shared" si="115"/>
        <v>93.292521306352398</v>
      </c>
    </row>
    <row r="82" spans="1:103" x14ac:dyDescent="0.3">
      <c r="A82" s="10">
        <v>44776.823611111111</v>
      </c>
      <c r="B82" s="11">
        <v>5.4040963983280899E-3</v>
      </c>
      <c r="C82" s="12">
        <v>3.44414985149999</v>
      </c>
      <c r="D82" s="9">
        <v>2115</v>
      </c>
      <c r="E82" s="13">
        <f t="shared" si="77"/>
        <v>35.25</v>
      </c>
      <c r="F82" s="12">
        <f t="shared" si="65"/>
        <v>0.19049439804106516</v>
      </c>
      <c r="G82" s="13">
        <f t="shared" si="78"/>
        <v>16.489667945408691</v>
      </c>
      <c r="H82" s="11">
        <f t="shared" si="79"/>
        <v>0.22751154356423825</v>
      </c>
      <c r="I82" s="116">
        <f t="shared" si="80"/>
        <v>3.7515898071216722</v>
      </c>
      <c r="J82" s="21">
        <f t="shared" si="66"/>
        <v>3.8781433370525926E-2</v>
      </c>
      <c r="K82" s="116">
        <f t="shared" si="81"/>
        <v>0.63949295872696432</v>
      </c>
      <c r="M82" s="25">
        <v>44781.823611111111</v>
      </c>
      <c r="N82" s="26">
        <v>5.7973423146927003E-3</v>
      </c>
      <c r="O82" s="27">
        <v>8.104838397</v>
      </c>
      <c r="P82" s="28">
        <v>2352</v>
      </c>
      <c r="Q82" s="29">
        <f t="shared" si="82"/>
        <v>39.200000000000003</v>
      </c>
      <c r="R82" s="26">
        <f t="shared" si="67"/>
        <v>0.22725581873595388</v>
      </c>
      <c r="S82" s="29">
        <f t="shared" si="83"/>
        <v>17.977901391426752</v>
      </c>
      <c r="T82" s="29">
        <f t="shared" si="84"/>
        <v>0.22178782843945269</v>
      </c>
      <c r="U82" s="117">
        <f t="shared" si="85"/>
        <v>3.987279709503154</v>
      </c>
      <c r="V82" s="118">
        <f t="shared" si="68"/>
        <v>9.1960655434728686E-2</v>
      </c>
      <c r="W82" s="117">
        <f t="shared" si="86"/>
        <v>1.653259595296525</v>
      </c>
      <c r="Y82" s="35">
        <v>45136.8125</v>
      </c>
      <c r="Z82" s="71">
        <v>9.1992902367462603E-3</v>
      </c>
      <c r="AA82" s="70">
        <v>1.654461261</v>
      </c>
      <c r="AB82" s="36">
        <v>5425</v>
      </c>
      <c r="AC82" s="37">
        <f t="shared" si="87"/>
        <v>90.416666666666671</v>
      </c>
      <c r="AD82" s="37">
        <f t="shared" si="69"/>
        <v>0.83176915890580772</v>
      </c>
      <c r="AE82" s="38">
        <f t="shared" si="88"/>
        <v>33.937431496062899</v>
      </c>
      <c r="AF82" s="38">
        <f t="shared" si="89"/>
        <v>3.5635315223632176E-2</v>
      </c>
      <c r="AG82" s="38">
        <f t="shared" si="90"/>
        <v>1.2093710692426243</v>
      </c>
      <c r="AH82" s="38">
        <f t="shared" si="70"/>
        <v>9.2839023156853981E-2</v>
      </c>
      <c r="AI82" s="38">
        <f t="shared" si="91"/>
        <v>3.1507179885471293</v>
      </c>
      <c r="AK82" s="45">
        <v>45151.822916666664</v>
      </c>
      <c r="AL82" s="4">
        <v>5.5902406805217004E-3</v>
      </c>
      <c r="AM82" s="3">
        <v>1.318149035</v>
      </c>
      <c r="AN82" s="4">
        <v>2301</v>
      </c>
      <c r="AO82" s="46">
        <f t="shared" si="92"/>
        <v>38.35</v>
      </c>
      <c r="AP82" s="47">
        <f t="shared" si="71"/>
        <v>0.21438573009800721</v>
      </c>
      <c r="AQ82" s="50">
        <f t="shared" si="93"/>
        <v>17.471903101861329</v>
      </c>
      <c r="AR82" s="50">
        <f t="shared" si="94"/>
        <v>0.3878305426014913</v>
      </c>
      <c r="AS82" s="50">
        <f t="shared" si="95"/>
        <v>6.7761376602755581</v>
      </c>
      <c r="AT82" s="50">
        <f t="shared" si="72"/>
        <v>7.4144308158803712E-2</v>
      </c>
      <c r="AU82" s="50">
        <f t="shared" si="96"/>
        <v>1.2954421677051648</v>
      </c>
      <c r="AW82" s="51">
        <v>45166.822916666664</v>
      </c>
      <c r="AX82" s="72">
        <v>1.0116332544427E-2</v>
      </c>
      <c r="AY82" s="73">
        <v>0.50323377899999999</v>
      </c>
      <c r="AZ82" s="52">
        <v>4031</v>
      </c>
      <c r="BA82" s="53">
        <f t="shared" si="97"/>
        <v>67.183333333333337</v>
      </c>
      <c r="BB82" s="72">
        <f t="shared" si="73"/>
        <v>0.67964894144308741</v>
      </c>
      <c r="BC82" s="54">
        <f t="shared" si="98"/>
        <v>30.74138169190935</v>
      </c>
      <c r="BD82" s="54">
        <f t="shared" si="99"/>
        <v>6.6442076912800976E-2</v>
      </c>
      <c r="BE82" s="54">
        <f t="shared" si="100"/>
        <v>2.042521246779613</v>
      </c>
      <c r="BF82" s="54">
        <f t="shared" si="74"/>
        <v>5.2010408164650376E-3</v>
      </c>
      <c r="BG82" s="54">
        <f t="shared" si="101"/>
        <v>0.15988718093415155</v>
      </c>
      <c r="BI82" s="66">
        <v>45183.822916666664</v>
      </c>
      <c r="BJ82" s="67">
        <v>5.6885865818409702E-2</v>
      </c>
      <c r="BK82" s="68">
        <v>1.8086265969999999</v>
      </c>
      <c r="BL82" s="68">
        <v>7667</v>
      </c>
      <c r="BM82" s="68">
        <f t="shared" si="102"/>
        <v>127.78333333333333</v>
      </c>
      <c r="BN82" s="68">
        <f t="shared" si="75"/>
        <v>7.2690655538291198</v>
      </c>
      <c r="BO82" s="69">
        <f t="shared" si="103"/>
        <v>98.111441353476664</v>
      </c>
      <c r="BP82" s="69">
        <f t="shared" si="104"/>
        <v>1</v>
      </c>
      <c r="BQ82" s="69">
        <f t="shared" si="105"/>
        <v>98.111441353476664</v>
      </c>
      <c r="BR82" s="69">
        <f t="shared" si="76"/>
        <v>0.60857338356290258</v>
      </c>
      <c r="BS82" s="69">
        <f t="shared" si="106"/>
        <v>59.708011830718576</v>
      </c>
      <c r="BU82" s="82">
        <v>45047.15625</v>
      </c>
      <c r="BV82" s="112">
        <v>4.0571773999999998E-2</v>
      </c>
      <c r="BW82" s="83">
        <v>82.284398269999997</v>
      </c>
      <c r="BX82" s="112">
        <v>6775</v>
      </c>
      <c r="BY82" s="83">
        <f t="shared" si="62"/>
        <v>112.91666666666667</v>
      </c>
      <c r="BZ82" s="84">
        <f t="shared" si="63"/>
        <v>4.5812294808333336</v>
      </c>
      <c r="CA82" s="83">
        <f t="shared" si="64"/>
        <v>78.259397672469291</v>
      </c>
      <c r="CC82" s="87">
        <v>45048.072916666664</v>
      </c>
      <c r="CD82" s="109">
        <v>5.3377987991374401E-2</v>
      </c>
      <c r="CE82" s="88">
        <v>89.635700749999998</v>
      </c>
      <c r="CF82" s="89">
        <v>4984</v>
      </c>
      <c r="CG82" s="90">
        <f t="shared" si="107"/>
        <v>83.066666666666663</v>
      </c>
      <c r="CH82" s="91">
        <f t="shared" si="108"/>
        <v>4.433931535816833</v>
      </c>
      <c r="CI82" s="91">
        <f t="shared" si="109"/>
        <v>77.01692194125107</v>
      </c>
      <c r="CK82" s="93">
        <v>45050.072916666664</v>
      </c>
      <c r="CL82">
        <v>0.102537833504317</v>
      </c>
      <c r="CM82" s="95">
        <v>121.00878899999999</v>
      </c>
      <c r="CN82" s="4">
        <v>4145</v>
      </c>
      <c r="CO82" s="95">
        <f t="shared" si="110"/>
        <v>69.083333333333329</v>
      </c>
      <c r="CP82" s="94">
        <f t="shared" si="111"/>
        <v>7.0836553312565655</v>
      </c>
      <c r="CQ82" s="96">
        <f t="shared" si="112"/>
        <v>96.877885704632021</v>
      </c>
      <c r="CS82" s="10">
        <v>45051.333333333336</v>
      </c>
      <c r="CT82" s="110">
        <v>9.6354392297426802E-2</v>
      </c>
      <c r="CU82" s="21">
        <v>100.5402337</v>
      </c>
      <c r="CV82" s="111">
        <v>4539</v>
      </c>
      <c r="CW82" s="21">
        <f t="shared" si="113"/>
        <v>75.650000000000006</v>
      </c>
      <c r="CX82" s="21">
        <f t="shared" si="114"/>
        <v>7.2892097773003384</v>
      </c>
      <c r="CY82" s="21">
        <f t="shared" si="115"/>
        <v>98.244491373540129</v>
      </c>
    </row>
    <row r="83" spans="1:103" x14ac:dyDescent="0.3">
      <c r="A83" s="10">
        <v>44776.834027777775</v>
      </c>
      <c r="B83" s="11">
        <v>5.9553863651619597E-3</v>
      </c>
      <c r="C83" s="12">
        <v>3.4561308749999999</v>
      </c>
      <c r="D83" s="9">
        <v>2596</v>
      </c>
      <c r="E83" s="13">
        <f t="shared" si="77"/>
        <v>43.266666666666666</v>
      </c>
      <c r="F83" s="12">
        <f t="shared" si="65"/>
        <v>0.25766971673267414</v>
      </c>
      <c r="G83" s="13">
        <f t="shared" si="78"/>
        <v>19.118390583830159</v>
      </c>
      <c r="H83" s="11">
        <f t="shared" si="79"/>
        <v>0.22851375545101127</v>
      </c>
      <c r="I83" s="116">
        <f t="shared" si="80"/>
        <v>4.3688152304902816</v>
      </c>
      <c r="J83" s="21">
        <f t="shared" si="66"/>
        <v>5.2713095762417991E-2</v>
      </c>
      <c r="K83" s="116">
        <f t="shared" si="81"/>
        <v>1.0077895536687496</v>
      </c>
      <c r="M83" s="25">
        <v>44781.834027777775</v>
      </c>
      <c r="N83" s="26">
        <v>5.4148357472824198E-3</v>
      </c>
      <c r="O83" s="27">
        <v>7.0321962280000001</v>
      </c>
      <c r="P83" s="28">
        <v>2267</v>
      </c>
      <c r="Q83" s="29">
        <f t="shared" si="82"/>
        <v>37.783333333333331</v>
      </c>
      <c r="R83" s="26">
        <f t="shared" si="67"/>
        <v>0.20459054398482074</v>
      </c>
      <c r="S83" s="29">
        <f t="shared" si="83"/>
        <v>17.07631863833031</v>
      </c>
      <c r="T83" s="29">
        <f t="shared" si="84"/>
        <v>0.18686522465858735</v>
      </c>
      <c r="U83" s="117">
        <f t="shared" si="85"/>
        <v>3.1909701186932158</v>
      </c>
      <c r="V83" s="118">
        <f t="shared" si="68"/>
        <v>8.0471554029279121E-2</v>
      </c>
      <c r="W83" s="117">
        <f t="shared" si="86"/>
        <v>1.3741578979255835</v>
      </c>
      <c r="Y83" s="35">
        <v>45136.822916666664</v>
      </c>
      <c r="Z83" s="71">
        <v>1.0531632315758E-2</v>
      </c>
      <c r="AA83" s="70">
        <v>1.8086265969999999</v>
      </c>
      <c r="AB83" s="36">
        <v>5608</v>
      </c>
      <c r="AC83" s="37">
        <f t="shared" si="87"/>
        <v>93.466666666666669</v>
      </c>
      <c r="AD83" s="37">
        <f t="shared" si="69"/>
        <v>0.9843565671128478</v>
      </c>
      <c r="AE83" s="38">
        <f t="shared" si="88"/>
        <v>36.855333381216369</v>
      </c>
      <c r="AF83" s="38">
        <f t="shared" si="89"/>
        <v>4.3681588003707472E-2</v>
      </c>
      <c r="AG83" s="38">
        <f t="shared" si="90"/>
        <v>1.6098994884975806</v>
      </c>
      <c r="AH83" s="38">
        <f>IF((AD83-$AI$102)/($AG$102-$AI$102)&lt;0, 0, IF((AD83-$AI$102)/($AG$102-$AI$102)&gt;1, 1, (AD83-$AI$102)/($AG$102-$AI$102)))</f>
        <v>0.13329602620002681</v>
      </c>
      <c r="AI83" s="38">
        <f t="shared" si="91"/>
        <v>4.9126694839933398</v>
      </c>
      <c r="AK83" s="45">
        <v>45151.833333333336</v>
      </c>
      <c r="AL83" s="4">
        <v>6.80299154928666E-3</v>
      </c>
      <c r="AM83" s="3">
        <v>1.9748874890000001</v>
      </c>
      <c r="AN83" s="4">
        <v>3385</v>
      </c>
      <c r="AO83" s="46">
        <f t="shared" si="92"/>
        <v>56.416666666666664</v>
      </c>
      <c r="AP83" s="47">
        <f t="shared" si="71"/>
        <v>0.38380210657225572</v>
      </c>
      <c r="AQ83" s="50">
        <f t="shared" si="93"/>
        <v>23.237583535286383</v>
      </c>
      <c r="AR83" s="50">
        <f t="shared" si="94"/>
        <v>0.74506774053456781</v>
      </c>
      <c r="AS83" s="50">
        <f t="shared" si="95"/>
        <v>17.313573860119099</v>
      </c>
      <c r="AT83" s="50">
        <f t="shared" si="72"/>
        <v>0.20831538075391992</v>
      </c>
      <c r="AU83" s="50">
        <f t="shared" si="96"/>
        <v>4.8407460619542038</v>
      </c>
      <c r="AW83" s="51">
        <v>45166.833333333336</v>
      </c>
      <c r="AX83" s="72">
        <v>1.7752390811548498E-2</v>
      </c>
      <c r="AY83" s="73">
        <v>0.77321039300000005</v>
      </c>
      <c r="AZ83" s="52">
        <v>6125</v>
      </c>
      <c r="BA83" s="53">
        <f t="shared" si="97"/>
        <v>102.08333333333333</v>
      </c>
      <c r="BB83" s="72">
        <f t="shared" si="73"/>
        <v>1.8122232286789091</v>
      </c>
      <c r="BC83" s="54">
        <f t="shared" si="98"/>
        <v>49.693531204440781</v>
      </c>
      <c r="BD83" s="54">
        <f t="shared" si="99"/>
        <v>0.2109737863568085</v>
      </c>
      <c r="BE83" s="54">
        <f t="shared" si="100"/>
        <v>10.484032435641085</v>
      </c>
      <c r="BF83" s="54">
        <f t="shared" si="74"/>
        <v>0.18617234795320248</v>
      </c>
      <c r="BG83" s="54">
        <f t="shared" si="101"/>
        <v>9.2515613824164742</v>
      </c>
      <c r="BI83" s="66">
        <v>45183.833333333336</v>
      </c>
      <c r="BJ83" s="67">
        <v>5.03737773942897E-2</v>
      </c>
      <c r="BK83" s="68">
        <v>2.0619739560000001</v>
      </c>
      <c r="BL83" s="68">
        <v>7823</v>
      </c>
      <c r="BM83" s="68">
        <f t="shared" si="102"/>
        <v>130.38333333333333</v>
      </c>
      <c r="BN83" s="68">
        <f t="shared" si="75"/>
        <v>6.5679010092588053</v>
      </c>
      <c r="BO83" s="69">
        <f t="shared" si="103"/>
        <v>93.357109770421886</v>
      </c>
      <c r="BP83" s="69">
        <f t="shared" si="104"/>
        <v>1</v>
      </c>
      <c r="BQ83" s="69">
        <f t="shared" si="105"/>
        <v>93.357109770421886</v>
      </c>
      <c r="BR83" s="69">
        <f t="shared" si="76"/>
        <v>0.54855713339446643</v>
      </c>
      <c r="BS83" s="69">
        <f t="shared" si="106"/>
        <v>51.211708517655161</v>
      </c>
      <c r="BU83" s="82">
        <v>45047.166666666664</v>
      </c>
      <c r="BV83" s="112">
        <v>3.9286384000000001E-2</v>
      </c>
      <c r="BW83" s="83">
        <v>80.086877509999994</v>
      </c>
      <c r="BX83" s="112">
        <v>6856</v>
      </c>
      <c r="BY83" s="83">
        <f t="shared" si="62"/>
        <v>114.26666666666667</v>
      </c>
      <c r="BZ83" s="84">
        <f t="shared" si="63"/>
        <v>4.4891241450666666</v>
      </c>
      <c r="CA83" s="83">
        <f t="shared" si="64"/>
        <v>77.484910539306355</v>
      </c>
      <c r="CC83" s="87">
        <v>45048.083333333336</v>
      </c>
      <c r="CD83" s="109">
        <v>5.5798201654552702E-2</v>
      </c>
      <c r="CE83" s="88">
        <v>84.891986889999998</v>
      </c>
      <c r="CF83" s="89">
        <v>4900</v>
      </c>
      <c r="CG83" s="90">
        <f t="shared" si="107"/>
        <v>81.666666666666671</v>
      </c>
      <c r="CH83" s="91">
        <f t="shared" si="108"/>
        <v>4.5568531351218047</v>
      </c>
      <c r="CI83" s="91">
        <f t="shared" si="109"/>
        <v>78.055203213157398</v>
      </c>
      <c r="CK83" s="93">
        <v>45050.083333333336</v>
      </c>
      <c r="CL83">
        <v>9.3455972666450796E-2</v>
      </c>
      <c r="CM83" s="95">
        <v>121.00878899999999</v>
      </c>
      <c r="CN83" s="4">
        <v>4296</v>
      </c>
      <c r="CO83" s="95">
        <f t="shared" si="110"/>
        <v>71.599999999999994</v>
      </c>
      <c r="CP83" s="94">
        <f t="shared" si="111"/>
        <v>6.6914476429178764</v>
      </c>
      <c r="CQ83" s="96">
        <f t="shared" si="112"/>
        <v>94.212988019585723</v>
      </c>
      <c r="CS83" s="10">
        <v>45051.34375</v>
      </c>
      <c r="CT83" s="110">
        <v>0.103496022150146</v>
      </c>
      <c r="CU83" s="21">
        <v>107.0292163</v>
      </c>
      <c r="CV83" s="111">
        <v>4425</v>
      </c>
      <c r="CW83" s="21">
        <f t="shared" si="113"/>
        <v>73.75</v>
      </c>
      <c r="CX83" s="21">
        <f t="shared" si="114"/>
        <v>7.6328316335732671</v>
      </c>
      <c r="CY83" s="21">
        <f t="shared" si="115"/>
        <v>100.48581784079515</v>
      </c>
    </row>
    <row r="84" spans="1:103" x14ac:dyDescent="0.3">
      <c r="A84" s="10">
        <v>44776.844444444447</v>
      </c>
      <c r="B84" s="11">
        <v>5.9124241501536303E-3</v>
      </c>
      <c r="C84" s="12">
        <v>3.188326338</v>
      </c>
      <c r="D84" s="9">
        <v>2773</v>
      </c>
      <c r="E84" s="13">
        <f t="shared" si="77"/>
        <v>46.216666666666669</v>
      </c>
      <c r="F84" s="12">
        <f t="shared" si="65"/>
        <v>0.27325253613960027</v>
      </c>
      <c r="G84" s="13">
        <f t="shared" si="78"/>
        <v>19.676102765150922</v>
      </c>
      <c r="H84" s="11">
        <f t="shared" si="79"/>
        <v>0.20611192222591804</v>
      </c>
      <c r="I84" s="116">
        <f t="shared" si="80"/>
        <v>4.0554793628399581</v>
      </c>
      <c r="J84" s="21">
        <f t="shared" si="66"/>
        <v>5.5944856821680912E-2</v>
      </c>
      <c r="K84" s="116">
        <f t="shared" si="81"/>
        <v>1.1007767520050482</v>
      </c>
      <c r="M84" s="25">
        <v>44781.844444444447</v>
      </c>
      <c r="N84" s="26">
        <v>4.8947742542487099E-3</v>
      </c>
      <c r="O84" s="27">
        <v>7.4050236140000001</v>
      </c>
      <c r="P84" s="28">
        <v>2134</v>
      </c>
      <c r="Q84" s="29">
        <f t="shared" si="82"/>
        <v>35.56666666666667</v>
      </c>
      <c r="R84" s="26">
        <f t="shared" si="67"/>
        <v>0.17409080430944579</v>
      </c>
      <c r="S84" s="29">
        <f t="shared" si="83"/>
        <v>15.778347530235623</v>
      </c>
      <c r="T84" s="29">
        <f t="shared" si="84"/>
        <v>0.19900357186907611</v>
      </c>
      <c r="U84" s="117">
        <f t="shared" si="85"/>
        <v>3.1399475167085042</v>
      </c>
      <c r="V84" s="118">
        <f t="shared" si="68"/>
        <v>6.5011136901413608E-2</v>
      </c>
      <c r="W84" s="117">
        <f t="shared" si="86"/>
        <v>1.0257683113662293</v>
      </c>
      <c r="Y84" s="35">
        <v>45136.833333333336</v>
      </c>
      <c r="Z84" s="71">
        <v>1.14061553202879E-2</v>
      </c>
      <c r="AA84" s="70">
        <v>1.8086265969999999</v>
      </c>
      <c r="AB84" s="36">
        <v>5533</v>
      </c>
      <c r="AC84" s="37">
        <f t="shared" si="87"/>
        <v>92.216666666666669</v>
      </c>
      <c r="AD84" s="37">
        <f t="shared" si="69"/>
        <v>1.0518376231192159</v>
      </c>
      <c r="AE84" s="38">
        <f t="shared" si="88"/>
        <v>38.071665105915713</v>
      </c>
      <c r="AF84" s="38">
        <f t="shared" si="89"/>
        <v>4.3681588003707472E-2</v>
      </c>
      <c r="AG84" s="38">
        <f t="shared" si="90"/>
        <v>1.6630307897717362</v>
      </c>
      <c r="AH84" s="38">
        <f t="shared" ref="AH84:AH99" si="116">IF((AD84-$AI$102)/($AG$102-$AI$102)&lt;0, 0, IF((AD84-$AI$102)/($AG$102-$AI$102)&gt;1, 1, (AD84-$AI$102)/($AG$102-$AI$102)))</f>
        <v>0.15118794349704132</v>
      </c>
      <c r="AI84" s="38">
        <f t="shared" si="91"/>
        <v>5.7559767528714643</v>
      </c>
      <c r="AK84" s="45">
        <v>45151.84375</v>
      </c>
      <c r="AL84" s="4">
        <v>7.8634425424520399E-3</v>
      </c>
      <c r="AM84" s="3">
        <v>1.730820966</v>
      </c>
      <c r="AN84" s="4">
        <v>3446</v>
      </c>
      <c r="AO84" s="46">
        <f t="shared" si="92"/>
        <v>57.43333333333333</v>
      </c>
      <c r="AP84" s="47">
        <f t="shared" si="71"/>
        <v>0.45162371668816215</v>
      </c>
      <c r="AQ84" s="50">
        <f t="shared" si="93"/>
        <v>25.165047965570441</v>
      </c>
      <c r="AR84" s="50">
        <f t="shared" si="94"/>
        <v>0.61230615141984113</v>
      </c>
      <c r="AS84" s="50">
        <f t="shared" si="95"/>
        <v>15.408713670094139</v>
      </c>
      <c r="AT84" s="50">
        <f t="shared" si="72"/>
        <v>0.26202741476004288</v>
      </c>
      <c r="AU84" s="50">
        <f t="shared" si="96"/>
        <v>6.5939324607308993</v>
      </c>
      <c r="AW84" s="51">
        <v>45166.84375</v>
      </c>
      <c r="AX84" s="72">
        <v>1.20150962048139E-2</v>
      </c>
      <c r="AY84" s="73">
        <v>0.59425534599999996</v>
      </c>
      <c r="AZ84" s="52">
        <v>5022</v>
      </c>
      <c r="BA84" s="53">
        <f t="shared" si="97"/>
        <v>83.7</v>
      </c>
      <c r="BB84" s="72">
        <f t="shared" si="73"/>
        <v>1.0056635523429234</v>
      </c>
      <c r="BC84" s="54">
        <f t="shared" si="98"/>
        <v>37.24385996388542</v>
      </c>
      <c r="BD84" s="54">
        <f t="shared" si="99"/>
        <v>0.1151703814865529</v>
      </c>
      <c r="BE84" s="54">
        <f t="shared" si="100"/>
        <v>4.2893895600724381</v>
      </c>
      <c r="BF84" s="54">
        <f t="shared" si="74"/>
        <v>5.7294127287828213E-2</v>
      </c>
      <c r="BG84" s="54">
        <f t="shared" si="101"/>
        <v>2.1338544534609003</v>
      </c>
      <c r="BI84" s="66">
        <v>45183.84375</v>
      </c>
      <c r="BJ84" s="67">
        <v>4.79384295690755E-2</v>
      </c>
      <c r="BK84" s="68">
        <v>1.88950475</v>
      </c>
      <c r="BL84" s="68">
        <v>7962</v>
      </c>
      <c r="BM84" s="68">
        <f t="shared" si="102"/>
        <v>132.69999999999999</v>
      </c>
      <c r="BN84" s="68">
        <f t="shared" si="75"/>
        <v>6.3614296038163181</v>
      </c>
      <c r="BO84" s="69">
        <f t="shared" si="103"/>
        <v>91.908217180032523</v>
      </c>
      <c r="BP84" s="69">
        <f t="shared" si="104"/>
        <v>1</v>
      </c>
      <c r="BQ84" s="69">
        <f t="shared" si="105"/>
        <v>91.908217180032523</v>
      </c>
      <c r="BR84" s="69">
        <f t="shared" si="76"/>
        <v>0.5308841925453841</v>
      </c>
      <c r="BS84" s="69">
        <f t="shared" si="106"/>
        <v>48.792619665907367</v>
      </c>
      <c r="BU84" s="82">
        <v>45047.177083333336</v>
      </c>
      <c r="BV84" s="112">
        <v>3.9684207999999999E-2</v>
      </c>
      <c r="BW84" s="83">
        <v>83.594462070000006</v>
      </c>
      <c r="BX84" s="112">
        <v>6913</v>
      </c>
      <c r="BY84" s="83">
        <f t="shared" si="62"/>
        <v>115.21666666666667</v>
      </c>
      <c r="BZ84" s="84">
        <f t="shared" si="63"/>
        <v>4.5722821650666665</v>
      </c>
      <c r="CA84" s="83">
        <f t="shared" si="64"/>
        <v>78.184512833795509</v>
      </c>
      <c r="CC84" s="87">
        <v>45048.09375</v>
      </c>
      <c r="CD84" s="109">
        <v>5.5574300017528902E-2</v>
      </c>
      <c r="CE84" s="88">
        <v>86.192545629999998</v>
      </c>
      <c r="CF84" s="89">
        <v>5191</v>
      </c>
      <c r="CG84" s="90">
        <f t="shared" si="107"/>
        <v>86.516666666666666</v>
      </c>
      <c r="CH84" s="91">
        <f t="shared" si="108"/>
        <v>4.8081031898498754</v>
      </c>
      <c r="CI84" s="91">
        <f t="shared" si="109"/>
        <v>80.133876550003379</v>
      </c>
      <c r="CK84" s="93">
        <v>45050.09375</v>
      </c>
      <c r="CL84">
        <v>8.8327502595726595E-2</v>
      </c>
      <c r="CM84" s="95">
        <v>115.2898797</v>
      </c>
      <c r="CN84" s="4">
        <v>4251</v>
      </c>
      <c r="CO84" s="95">
        <f t="shared" si="110"/>
        <v>70.849999999999994</v>
      </c>
      <c r="CP84" s="94">
        <f t="shared" si="111"/>
        <v>6.2580035589072285</v>
      </c>
      <c r="CQ84" s="96">
        <f t="shared" si="112"/>
        <v>91.173411789432905</v>
      </c>
      <c r="CS84" s="10">
        <v>45051.354166666664</v>
      </c>
      <c r="CT84" s="110">
        <v>9.66649281181617E-2</v>
      </c>
      <c r="CU84" s="21">
        <v>87.058386479999996</v>
      </c>
      <c r="CV84" s="111">
        <v>4511</v>
      </c>
      <c r="CW84" s="21">
        <f t="shared" si="113"/>
        <v>75.183333333333337</v>
      </c>
      <c r="CX84" s="21">
        <f t="shared" si="114"/>
        <v>7.2675915123504575</v>
      </c>
      <c r="CY84" s="21">
        <f t="shared" si="115"/>
        <v>98.101698114581566</v>
      </c>
    </row>
    <row r="85" spans="1:103" x14ac:dyDescent="0.3">
      <c r="A85" s="10">
        <v>44776.854861111111</v>
      </c>
      <c r="B85" s="11">
        <v>5.5729355060811997E-3</v>
      </c>
      <c r="C85" s="12">
        <v>2.8661624744999998</v>
      </c>
      <c r="D85" s="9">
        <v>2782</v>
      </c>
      <c r="E85" s="13">
        <f t="shared" si="77"/>
        <v>46.366666666666667</v>
      </c>
      <c r="F85" s="12">
        <f t="shared" si="65"/>
        <v>0.25839844296529829</v>
      </c>
      <c r="G85" s="13">
        <f t="shared" si="78"/>
        <v>19.144849338717748</v>
      </c>
      <c r="H85" s="11">
        <f t="shared" si="79"/>
        <v>0.17916293464667213</v>
      </c>
      <c r="I85" s="116">
        <f t="shared" si="80"/>
        <v>3.4300473908930718</v>
      </c>
      <c r="J85" s="21">
        <f t="shared" si="66"/>
        <v>5.286422817305296E-2</v>
      </c>
      <c r="K85" s="116">
        <f t="shared" si="81"/>
        <v>1.0120776837806971</v>
      </c>
      <c r="M85" s="25">
        <v>44781.854861111111</v>
      </c>
      <c r="N85" s="26">
        <v>5.4703088662425101E-3</v>
      </c>
      <c r="O85" s="27">
        <v>6.3432970429999997</v>
      </c>
      <c r="P85" s="28">
        <v>1954</v>
      </c>
      <c r="Q85" s="29">
        <f t="shared" si="82"/>
        <v>32.56666666666667</v>
      </c>
      <c r="R85" s="26">
        <f t="shared" si="67"/>
        <v>0.17814972541063109</v>
      </c>
      <c r="S85" s="29">
        <f t="shared" si="83"/>
        <v>15.957435005051694</v>
      </c>
      <c r="T85" s="29">
        <f t="shared" si="84"/>
        <v>0.16443635324367278</v>
      </c>
      <c r="U85" s="117">
        <f t="shared" si="85"/>
        <v>2.6239824193536299</v>
      </c>
      <c r="V85" s="118">
        <f t="shared" si="68"/>
        <v>6.7068617194076099E-2</v>
      </c>
      <c r="W85" s="117">
        <f t="shared" si="86"/>
        <v>1.070243099753162</v>
      </c>
      <c r="Y85" s="35">
        <v>45136.84375</v>
      </c>
      <c r="Z85" s="71">
        <v>1.5077823925000001E-2</v>
      </c>
      <c r="AA85" s="70">
        <v>2.1522282119999998</v>
      </c>
      <c r="AB85" s="36">
        <v>6456</v>
      </c>
      <c r="AC85" s="37">
        <f t="shared" si="87"/>
        <v>107.6</v>
      </c>
      <c r="AD85" s="37">
        <f t="shared" si="69"/>
        <v>1.6223738543299999</v>
      </c>
      <c r="AE85" s="38">
        <f t="shared" si="88"/>
        <v>47.072201205244433</v>
      </c>
      <c r="AF85" s="38">
        <f t="shared" si="89"/>
        <v>6.1615011908834977E-2</v>
      </c>
      <c r="AG85" s="38">
        <f t="shared" si="90"/>
        <v>2.9003542378362117</v>
      </c>
      <c r="AH85" s="38">
        <f t="shared" si="116"/>
        <v>0.30245983620142303</v>
      </c>
      <c r="AI85" s="38">
        <f t="shared" si="91"/>
        <v>14.237450266178659</v>
      </c>
      <c r="AK85" s="45">
        <v>45151.854166666664</v>
      </c>
      <c r="AL85" s="4">
        <v>8.8774113879955298E-3</v>
      </c>
      <c r="AM85" s="3">
        <v>1.9734137430000001</v>
      </c>
      <c r="AN85" s="4">
        <v>3779</v>
      </c>
      <c r="AO85" s="46">
        <f t="shared" si="92"/>
        <v>62.983333333333334</v>
      </c>
      <c r="AP85" s="47">
        <f t="shared" si="71"/>
        <v>0.55912896058725181</v>
      </c>
      <c r="AQ85" s="50">
        <f t="shared" si="93"/>
        <v>27.938958525291447</v>
      </c>
      <c r="AR85" s="50">
        <f t="shared" si="94"/>
        <v>0.74426608671286987</v>
      </c>
      <c r="AS85" s="50">
        <f t="shared" si="95"/>
        <v>20.794019328451839</v>
      </c>
      <c r="AT85" s="50">
        <f t="shared" si="72"/>
        <v>0.34716731790118288</v>
      </c>
      <c r="AU85" s="50">
        <f t="shared" si="96"/>
        <v>9.6994932961778186</v>
      </c>
      <c r="AW85" s="51">
        <v>45166.854166666664</v>
      </c>
      <c r="AX85" s="72">
        <v>1.35240299691805E-2</v>
      </c>
      <c r="AY85" s="73">
        <v>0.59425534599999996</v>
      </c>
      <c r="AZ85" s="52">
        <v>5183</v>
      </c>
      <c r="BA85" s="53">
        <f t="shared" si="97"/>
        <v>86.38333333333334</v>
      </c>
      <c r="BB85" s="72">
        <f t="shared" si="73"/>
        <v>1.1682507888377089</v>
      </c>
      <c r="BC85" s="54">
        <f t="shared" si="98"/>
        <v>40.079843078936001</v>
      </c>
      <c r="BD85" s="54">
        <f t="shared" si="99"/>
        <v>0.1151703814865529</v>
      </c>
      <c r="BE85" s="54">
        <f t="shared" si="100"/>
        <v>4.6160108173222358</v>
      </c>
      <c r="BF85" s="54">
        <f t="shared" si="74"/>
        <v>8.3273548720768364E-2</v>
      </c>
      <c r="BG85" s="54">
        <f t="shared" si="101"/>
        <v>3.3375907653545278</v>
      </c>
      <c r="BI85" s="66">
        <v>45183.854166666664</v>
      </c>
      <c r="BJ85" s="67">
        <v>5.2706976087019401E-2</v>
      </c>
      <c r="BK85" s="68">
        <v>1.5821856839999999</v>
      </c>
      <c r="BL85" s="68">
        <v>8104</v>
      </c>
      <c r="BM85" s="68">
        <f t="shared" si="102"/>
        <v>135.06666666666666</v>
      </c>
      <c r="BN85" s="68">
        <f t="shared" si="75"/>
        <v>7.1189555701534202</v>
      </c>
      <c r="BO85" s="69">
        <f t="shared" si="103"/>
        <v>97.11400082844311</v>
      </c>
      <c r="BP85" s="69">
        <f t="shared" si="104"/>
        <v>1</v>
      </c>
      <c r="BQ85" s="69">
        <f t="shared" si="105"/>
        <v>97.11400082844311</v>
      </c>
      <c r="BR85" s="69">
        <f t="shared" si="76"/>
        <v>0.59572470431517832</v>
      </c>
      <c r="BS85" s="69">
        <f t="shared" si="106"/>
        <v>57.853209428388254</v>
      </c>
      <c r="BU85" s="82">
        <v>45047.1875</v>
      </c>
      <c r="BV85" s="112">
        <v>3.5252430000000001E-2</v>
      </c>
      <c r="BW85" s="83">
        <v>82.276892649999994</v>
      </c>
      <c r="BX85" s="112">
        <v>7464</v>
      </c>
      <c r="BY85" s="83">
        <f t="shared" si="62"/>
        <v>124.4</v>
      </c>
      <c r="BZ85" s="84">
        <f t="shared" si="63"/>
        <v>4.3854022920000002</v>
      </c>
      <c r="CA85" s="83">
        <f t="shared" si="64"/>
        <v>76.602971225952132</v>
      </c>
      <c r="CC85" s="87">
        <v>45048.104166666664</v>
      </c>
      <c r="CD85" s="109">
        <v>5.7581367205719901E-2</v>
      </c>
      <c r="CE85" s="88">
        <v>89.635700749999998</v>
      </c>
      <c r="CF85" s="89">
        <v>4975</v>
      </c>
      <c r="CG85" s="90">
        <f t="shared" si="107"/>
        <v>82.916666666666671</v>
      </c>
      <c r="CH85" s="91">
        <f t="shared" si="108"/>
        <v>4.7744550308076086</v>
      </c>
      <c r="CI85" s="91">
        <f t="shared" si="109"/>
        <v>79.858763426916852</v>
      </c>
      <c r="CK85" s="93">
        <v>45050.104166666664</v>
      </c>
      <c r="CL85">
        <v>8.6099287276112102E-2</v>
      </c>
      <c r="CM85" s="95">
        <v>116.4455014</v>
      </c>
      <c r="CN85" s="4">
        <v>4177</v>
      </c>
      <c r="CO85" s="95">
        <f t="shared" si="110"/>
        <v>69.61666666666666</v>
      </c>
      <c r="CP85" s="94">
        <f t="shared" si="111"/>
        <v>5.9939453825386702</v>
      </c>
      <c r="CQ85" s="96">
        <f t="shared" si="112"/>
        <v>89.268768119002431</v>
      </c>
      <c r="CS85" s="10">
        <v>45051.364583333336</v>
      </c>
      <c r="CT85" s="110">
        <v>9.0653978268794802E-2</v>
      </c>
      <c r="CU85" s="21">
        <v>97.229596529999995</v>
      </c>
      <c r="CV85" s="111">
        <v>4448</v>
      </c>
      <c r="CW85" s="21">
        <f t="shared" si="113"/>
        <v>74.13333333333334</v>
      </c>
      <c r="CX85" s="21">
        <f t="shared" si="114"/>
        <v>6.720481588993322</v>
      </c>
      <c r="CY85" s="21">
        <f t="shared" si="115"/>
        <v>94.412949730629705</v>
      </c>
    </row>
    <row r="86" spans="1:103" x14ac:dyDescent="0.3">
      <c r="A86" s="10">
        <v>44776.865277777775</v>
      </c>
      <c r="B86" s="11">
        <v>5.7235491201370198E-3</v>
      </c>
      <c r="C86" s="12">
        <v>2.6512377974999999</v>
      </c>
      <c r="D86" s="9">
        <v>2888</v>
      </c>
      <c r="E86" s="13">
        <f t="shared" si="77"/>
        <v>48.133333333333333</v>
      </c>
      <c r="F86" s="12">
        <f t="shared" si="65"/>
        <v>0.2754934976492619</v>
      </c>
      <c r="G86" s="13">
        <f t="shared" si="78"/>
        <v>19.754958522759882</v>
      </c>
      <c r="H86" s="11">
        <f t="shared" si="79"/>
        <v>0.16118449849302688</v>
      </c>
      <c r="I86" s="116">
        <f t="shared" si="80"/>
        <v>3.1841930822415985</v>
      </c>
      <c r="J86" s="21">
        <f t="shared" si="66"/>
        <v>5.6409615602047221E-2</v>
      </c>
      <c r="K86" s="116">
        <f t="shared" si="81"/>
        <v>1.1143696165032715</v>
      </c>
      <c r="M86" s="25">
        <v>44781.865277777775</v>
      </c>
      <c r="N86" s="26">
        <v>4.6918933822002401E-3</v>
      </c>
      <c r="O86" s="27">
        <v>4.9490583829999997</v>
      </c>
      <c r="P86" s="28">
        <v>1514</v>
      </c>
      <c r="Q86" s="29">
        <f t="shared" si="82"/>
        <v>25.233333333333334</v>
      </c>
      <c r="R86" s="26">
        <f t="shared" si="67"/>
        <v>0.1183921096775194</v>
      </c>
      <c r="S86" s="29">
        <f t="shared" si="83"/>
        <v>13.063505968143513</v>
      </c>
      <c r="T86" s="29">
        <f t="shared" si="84"/>
        <v>0.11904335480828812</v>
      </c>
      <c r="U86" s="117">
        <f t="shared" si="85"/>
        <v>1.5551235760058977</v>
      </c>
      <c r="V86" s="118">
        <f t="shared" si="68"/>
        <v>3.6777287640646139E-2</v>
      </c>
      <c r="W86" s="117">
        <f t="shared" si="86"/>
        <v>0.48044031658571151</v>
      </c>
      <c r="Y86" s="35">
        <v>45136.854166666664</v>
      </c>
      <c r="Z86" s="71">
        <v>1.5374256093017E-2</v>
      </c>
      <c r="AA86" s="70">
        <v>1.88950475</v>
      </c>
      <c r="AB86" s="36">
        <v>5796</v>
      </c>
      <c r="AC86" s="37">
        <f t="shared" si="87"/>
        <v>96.6</v>
      </c>
      <c r="AD86" s="37">
        <f t="shared" si="69"/>
        <v>1.4851531385854422</v>
      </c>
      <c r="AE86" s="38">
        <f t="shared" si="88"/>
        <v>45.078553070083458</v>
      </c>
      <c r="AF86" s="38">
        <f t="shared" si="89"/>
        <v>4.7902820207207909E-2</v>
      </c>
      <c r="AG86" s="38">
        <f t="shared" si="90"/>
        <v>2.1593898229172881</v>
      </c>
      <c r="AH86" s="38">
        <f t="shared" si="116"/>
        <v>0.26607715574504315</v>
      </c>
      <c r="AI86" s="38">
        <f t="shared" si="91"/>
        <v>11.99437318598979</v>
      </c>
      <c r="AK86" s="45">
        <v>45151.864583333336</v>
      </c>
      <c r="AL86" s="4">
        <v>1.4897205278113701E-2</v>
      </c>
      <c r="AM86" s="3">
        <v>2.44355038</v>
      </c>
      <c r="AN86" s="4">
        <v>5572</v>
      </c>
      <c r="AO86" s="46">
        <f t="shared" si="92"/>
        <v>92.86666666666666</v>
      </c>
      <c r="AP86" s="47">
        <f t="shared" si="71"/>
        <v>1.3834537968274923</v>
      </c>
      <c r="AQ86" s="50">
        <f t="shared" si="93"/>
        <v>43.539555051420827</v>
      </c>
      <c r="AR86" s="50">
        <f t="shared" si="94"/>
        <v>1</v>
      </c>
      <c r="AS86" s="50">
        <f t="shared" si="95"/>
        <v>43.539555051420827</v>
      </c>
      <c r="AT86" s="50">
        <f t="shared" si="72"/>
        <v>1</v>
      </c>
      <c r="AU86" s="50">
        <f t="shared" si="96"/>
        <v>43.539555051420827</v>
      </c>
      <c r="AW86" s="51">
        <v>45166.864583333336</v>
      </c>
      <c r="AX86" s="72">
        <v>1.4452168696499399E-2</v>
      </c>
      <c r="AY86" s="73">
        <v>0.59425534599999996</v>
      </c>
      <c r="AZ86" s="52">
        <v>4960</v>
      </c>
      <c r="BA86" s="53">
        <f t="shared" si="97"/>
        <v>82.666666666666671</v>
      </c>
      <c r="BB86" s="72">
        <f t="shared" si="73"/>
        <v>1.1947126122439504</v>
      </c>
      <c r="BC86" s="54">
        <f t="shared" si="98"/>
        <v>40.521872281664393</v>
      </c>
      <c r="BD86" s="54">
        <f t="shared" si="99"/>
        <v>0.1151703814865529</v>
      </c>
      <c r="BE86" s="54">
        <f t="shared" si="100"/>
        <v>4.6669194892286621</v>
      </c>
      <c r="BF86" s="54">
        <f t="shared" si="74"/>
        <v>8.7501819506198897E-2</v>
      </c>
      <c r="BG86" s="54">
        <f t="shared" si="101"/>
        <v>3.5457375544434417</v>
      </c>
      <c r="BI86" s="66">
        <v>45183.864583333336</v>
      </c>
      <c r="BJ86" s="67">
        <v>6.4553841919991597E-2</v>
      </c>
      <c r="BK86" s="68">
        <v>1.5821856839999999</v>
      </c>
      <c r="BL86" s="68">
        <v>8050</v>
      </c>
      <c r="BM86" s="68">
        <f t="shared" si="102"/>
        <v>134.16666666666666</v>
      </c>
      <c r="BN86" s="68">
        <f t="shared" si="75"/>
        <v>8.6609737909322053</v>
      </c>
      <c r="BO86" s="69">
        <f t="shared" si="103"/>
        <v>106.90056919260005</v>
      </c>
      <c r="BP86" s="69">
        <f t="shared" si="104"/>
        <v>1</v>
      </c>
      <c r="BQ86" s="69">
        <f t="shared" si="105"/>
        <v>106.90056919260005</v>
      </c>
      <c r="BR86" s="69">
        <f t="shared" si="76"/>
        <v>0.72771391001476216</v>
      </c>
      <c r="BS86" s="69">
        <f t="shared" si="106"/>
        <v>77.793031189950611</v>
      </c>
      <c r="BU86" s="82">
        <v>45047.197916666664</v>
      </c>
      <c r="BV86" s="112">
        <v>3.9411222000000003E-2</v>
      </c>
      <c r="BW86" s="83">
        <v>82.718647970000006</v>
      </c>
      <c r="BX86" s="112">
        <v>6526</v>
      </c>
      <c r="BY86" s="83">
        <f t="shared" si="62"/>
        <v>108.76666666666667</v>
      </c>
      <c r="BZ86" s="84">
        <f t="shared" si="63"/>
        <v>4.2866272462000001</v>
      </c>
      <c r="CA86" s="83">
        <f t="shared" si="64"/>
        <v>75.753143760456325</v>
      </c>
      <c r="CC86" s="87">
        <v>45048.114583333336</v>
      </c>
      <c r="CD86" s="109">
        <v>5.6722517028920998E-2</v>
      </c>
      <c r="CE86" s="88">
        <v>93.038532979999999</v>
      </c>
      <c r="CF86" s="89">
        <v>4830</v>
      </c>
      <c r="CG86" s="90">
        <f t="shared" si="107"/>
        <v>80.5</v>
      </c>
      <c r="CH86" s="91">
        <f t="shared" si="108"/>
        <v>4.5661626208281403</v>
      </c>
      <c r="CI86" s="91">
        <f t="shared" si="109"/>
        <v>78.13325204597966</v>
      </c>
      <c r="CK86" s="93">
        <v>45050.114583333336</v>
      </c>
      <c r="CL86">
        <v>9.5740277038307203E-2</v>
      </c>
      <c r="CM86" s="95">
        <v>121.00878899999999</v>
      </c>
      <c r="CN86" s="4">
        <v>4111</v>
      </c>
      <c r="CO86" s="95">
        <f t="shared" si="110"/>
        <v>68.516666666666666</v>
      </c>
      <c r="CP86" s="94">
        <f t="shared" si="111"/>
        <v>6.559804648408015</v>
      </c>
      <c r="CQ86" s="96">
        <f t="shared" si="112"/>
        <v>93.300735956107616</v>
      </c>
      <c r="CS86" s="10">
        <v>45051.375</v>
      </c>
      <c r="CT86" s="110">
        <v>9.4784995578312894E-2</v>
      </c>
      <c r="CU86" s="21">
        <v>85.762083380000007</v>
      </c>
      <c r="CV86" s="111">
        <v>4393</v>
      </c>
      <c r="CW86" s="21">
        <f t="shared" si="113"/>
        <v>73.216666666666669</v>
      </c>
      <c r="CX86" s="21">
        <f t="shared" si="114"/>
        <v>6.9398414262588091</v>
      </c>
      <c r="CY86" s="21">
        <f t="shared" si="115"/>
        <v>95.909685276681742</v>
      </c>
    </row>
    <row r="87" spans="1:103" x14ac:dyDescent="0.3">
      <c r="A87" s="10">
        <v>44776.875694444447</v>
      </c>
      <c r="B87" s="11">
        <v>5.3205317134202602E-3</v>
      </c>
      <c r="C87" s="12">
        <v>2.6445850609999999</v>
      </c>
      <c r="D87" s="9">
        <v>2991</v>
      </c>
      <c r="E87" s="13">
        <f t="shared" si="77"/>
        <v>49.85</v>
      </c>
      <c r="F87" s="12">
        <f t="shared" si="65"/>
        <v>0.26522850591399999</v>
      </c>
      <c r="G87" s="13">
        <f t="shared" si="78"/>
        <v>19.39100882698407</v>
      </c>
      <c r="H87" s="11">
        <f t="shared" si="79"/>
        <v>0.16062799748959733</v>
      </c>
      <c r="I87" s="116">
        <f t="shared" si="80"/>
        <v>3.1147389171815569</v>
      </c>
      <c r="J87" s="21">
        <f t="shared" si="66"/>
        <v>5.4280732522716264E-2</v>
      </c>
      <c r="K87" s="116">
        <f t="shared" si="81"/>
        <v>1.0525581634831525</v>
      </c>
      <c r="M87" s="25">
        <v>44781.875694444447</v>
      </c>
      <c r="N87" s="26">
        <v>4.8520132819575802E-3</v>
      </c>
      <c r="O87" s="27">
        <v>6.3638281955</v>
      </c>
      <c r="P87" s="28">
        <v>1940</v>
      </c>
      <c r="Q87" s="29">
        <f t="shared" si="82"/>
        <v>32.333333333333336</v>
      </c>
      <c r="R87" s="26">
        <f t="shared" si="67"/>
        <v>0.1568817627832951</v>
      </c>
      <c r="S87" s="29">
        <f t="shared" si="83"/>
        <v>14.994273444610025</v>
      </c>
      <c r="T87" s="29">
        <f t="shared" si="84"/>
        <v>0.16510479732003283</v>
      </c>
      <c r="U87" s="117">
        <f t="shared" si="85"/>
        <v>2.4756264780334889</v>
      </c>
      <c r="V87" s="118">
        <f t="shared" si="68"/>
        <v>5.6287817843714866E-2</v>
      </c>
      <c r="W87" s="117">
        <f t="shared" si="86"/>
        <v>0.84399493234906009</v>
      </c>
      <c r="Y87" s="35">
        <v>45136.864583333336</v>
      </c>
      <c r="Z87" s="71">
        <v>1.2082661686635901E-2</v>
      </c>
      <c r="AA87" s="70">
        <v>2.1522282119999998</v>
      </c>
      <c r="AB87" s="36">
        <v>6194</v>
      </c>
      <c r="AC87" s="37">
        <f t="shared" si="87"/>
        <v>103.23333333333333</v>
      </c>
      <c r="AD87" s="37">
        <f t="shared" si="69"/>
        <v>1.2473334414503794</v>
      </c>
      <c r="AE87" s="38">
        <f t="shared" si="88"/>
        <v>41.386267006171423</v>
      </c>
      <c r="AF87" s="38">
        <f t="shared" si="89"/>
        <v>6.1615011908834977E-2</v>
      </c>
      <c r="AG87" s="38">
        <f t="shared" si="90"/>
        <v>2.5500153344474761</v>
      </c>
      <c r="AH87" s="38">
        <f t="shared" si="116"/>
        <v>0.20302167611028413</v>
      </c>
      <c r="AI87" s="38">
        <f t="shared" si="91"/>
        <v>8.4023092955406735</v>
      </c>
      <c r="AK87" s="45">
        <v>45151.875</v>
      </c>
      <c r="AL87" s="4">
        <v>1.2056879452917E-2</v>
      </c>
      <c r="AM87" s="3">
        <v>2.44355038</v>
      </c>
      <c r="AN87" s="4">
        <v>5124</v>
      </c>
      <c r="AO87" s="46">
        <f t="shared" si="92"/>
        <v>85.4</v>
      </c>
      <c r="AP87" s="47">
        <f t="shared" si="71"/>
        <v>1.0296575052791119</v>
      </c>
      <c r="AQ87" s="50">
        <f t="shared" si="93"/>
        <v>37.676387217171367</v>
      </c>
      <c r="AR87" s="50">
        <f t="shared" si="94"/>
        <v>1</v>
      </c>
      <c r="AS87" s="50">
        <f t="shared" si="95"/>
        <v>37.676387217171367</v>
      </c>
      <c r="AT87" s="50">
        <f t="shared" si="72"/>
        <v>0.71980732379531198</v>
      </c>
      <c r="AU87" s="50">
        <f t="shared" si="96"/>
        <v>27.119739453068025</v>
      </c>
      <c r="AW87" s="51">
        <v>45166.875</v>
      </c>
      <c r="AX87" s="72">
        <v>1.2428669701426099E-2</v>
      </c>
      <c r="AY87" s="73">
        <v>0.59425534599999996</v>
      </c>
      <c r="AZ87" s="52">
        <v>4990</v>
      </c>
      <c r="BA87" s="53">
        <f t="shared" si="97"/>
        <v>83.166666666666671</v>
      </c>
      <c r="BB87" s="72">
        <f t="shared" si="73"/>
        <v>1.0336510301686039</v>
      </c>
      <c r="BC87" s="54">
        <f t="shared" si="98"/>
        <v>37.747875326223209</v>
      </c>
      <c r="BD87" s="54">
        <f t="shared" si="99"/>
        <v>0.1151703814865529</v>
      </c>
      <c r="BE87" s="54">
        <f t="shared" si="100"/>
        <v>4.3474372016279643</v>
      </c>
      <c r="BF87" s="54">
        <f t="shared" si="74"/>
        <v>6.1766178704371857E-2</v>
      </c>
      <c r="BG87" s="54">
        <f t="shared" si="101"/>
        <v>2.3315420131098517</v>
      </c>
      <c r="BI87" s="66">
        <v>45183.875</v>
      </c>
      <c r="BJ87" s="67">
        <v>5.1090318515566502E-2</v>
      </c>
      <c r="BK87" s="68">
        <v>1.5821856839999999</v>
      </c>
      <c r="BL87" s="68">
        <v>8014</v>
      </c>
      <c r="BM87" s="68">
        <f t="shared" si="102"/>
        <v>133.56666666666666</v>
      </c>
      <c r="BN87" s="68">
        <f t="shared" si="75"/>
        <v>6.823963543062499</v>
      </c>
      <c r="BO87" s="69">
        <f t="shared" si="103"/>
        <v>95.122085563907291</v>
      </c>
      <c r="BP87" s="69">
        <f t="shared" si="104"/>
        <v>1</v>
      </c>
      <c r="BQ87" s="69">
        <f t="shared" si="105"/>
        <v>95.122085563907291</v>
      </c>
      <c r="BR87" s="69">
        <f t="shared" si="76"/>
        <v>0.57047483189552772</v>
      </c>
      <c r="BS87" s="69">
        <f t="shared" si="106"/>
        <v>54.264755771622013</v>
      </c>
      <c r="BU87" s="82">
        <v>45047.208333333336</v>
      </c>
      <c r="BV87" s="112">
        <v>4.1196521999999999E-2</v>
      </c>
      <c r="BW87" s="83">
        <v>81.405228940000001</v>
      </c>
      <c r="BX87" s="112">
        <v>6517</v>
      </c>
      <c r="BY87" s="83">
        <f t="shared" si="62"/>
        <v>108.61666666666666</v>
      </c>
      <c r="BZ87" s="84">
        <f t="shared" si="63"/>
        <v>4.4746288978999997</v>
      </c>
      <c r="CA87" s="83">
        <f t="shared" si="64"/>
        <v>77.362288230997081</v>
      </c>
      <c r="CC87" s="87">
        <v>45048.125</v>
      </c>
      <c r="CD87" s="109">
        <v>5.7972622835802998E-2</v>
      </c>
      <c r="CE87" s="88">
        <v>89.635700749999998</v>
      </c>
      <c r="CF87" s="89">
        <v>4822</v>
      </c>
      <c r="CG87" s="90">
        <f t="shared" si="107"/>
        <v>80.36666666666666</v>
      </c>
      <c r="CH87" s="91">
        <f t="shared" si="108"/>
        <v>4.6590664552373671</v>
      </c>
      <c r="CI87" s="91">
        <f t="shared" si="109"/>
        <v>78.907733024783937</v>
      </c>
      <c r="CK87" s="93">
        <v>45050.125</v>
      </c>
      <c r="CL87">
        <v>9.8434253156605797E-2</v>
      </c>
      <c r="CM87" s="95">
        <v>107.0292163</v>
      </c>
      <c r="CN87" s="4">
        <v>4154</v>
      </c>
      <c r="CO87" s="95">
        <f t="shared" si="110"/>
        <v>69.233333333333334</v>
      </c>
      <c r="CP87" s="94">
        <f t="shared" si="111"/>
        <v>6.8149314602090083</v>
      </c>
      <c r="CQ87" s="96">
        <f t="shared" si="112"/>
        <v>95.060410526419005</v>
      </c>
      <c r="CS87" s="10">
        <v>45051.385416666664</v>
      </c>
      <c r="CT87" s="110">
        <v>0.10638750016413299</v>
      </c>
      <c r="CU87" s="21">
        <v>91.338086169999997</v>
      </c>
      <c r="CV87" s="111">
        <v>4141</v>
      </c>
      <c r="CW87" s="21">
        <f t="shared" si="113"/>
        <v>69.016666666666666</v>
      </c>
      <c r="CX87" s="21">
        <f t="shared" si="114"/>
        <v>7.342510636327912</v>
      </c>
      <c r="CY87" s="21">
        <f t="shared" si="115"/>
        <v>98.59563437148374</v>
      </c>
    </row>
    <row r="88" spans="1:103" x14ac:dyDescent="0.3">
      <c r="A88" s="10">
        <v>44776.917361111111</v>
      </c>
      <c r="B88" s="11">
        <v>6.6042492000304301E-3</v>
      </c>
      <c r="C88" s="12">
        <v>2.3885584199999998</v>
      </c>
      <c r="D88" s="9">
        <v>3768</v>
      </c>
      <c r="E88" s="13">
        <f t="shared" si="77"/>
        <v>62.8</v>
      </c>
      <c r="F88" s="12">
        <f t="shared" si="65"/>
        <v>0.41474684976191101</v>
      </c>
      <c r="G88" s="13">
        <f t="shared" si="78"/>
        <v>24.136926880406467</v>
      </c>
      <c r="H88" s="11">
        <f t="shared" si="79"/>
        <v>0.13921138454826087</v>
      </c>
      <c r="I88" s="116">
        <f t="shared" si="80"/>
        <v>3.3601350097615192</v>
      </c>
      <c r="J88" s="21">
        <f t="shared" si="66"/>
        <v>8.5289727023312875E-2</v>
      </c>
      <c r="K88" s="116">
        <f t="shared" si="81"/>
        <v>2.0586319048115302</v>
      </c>
      <c r="M88" s="25">
        <v>44781.886111111111</v>
      </c>
      <c r="N88" s="26">
        <v>5.25164091455108E-3</v>
      </c>
      <c r="O88" s="27">
        <v>6.4040720625000001</v>
      </c>
      <c r="P88" s="28">
        <v>2029</v>
      </c>
      <c r="Q88" s="29">
        <f t="shared" si="82"/>
        <v>33.81666666666667</v>
      </c>
      <c r="R88" s="26">
        <f t="shared" si="67"/>
        <v>0.17759299026040237</v>
      </c>
      <c r="S88" s="29">
        <f t="shared" si="83"/>
        <v>15.932994882849687</v>
      </c>
      <c r="T88" s="29">
        <f t="shared" si="84"/>
        <v>0.16641503913456179</v>
      </c>
      <c r="U88" s="117">
        <f t="shared" si="85"/>
        <v>2.6514899669602037</v>
      </c>
      <c r="V88" s="118">
        <f t="shared" si="68"/>
        <v>6.6786406337724744E-2</v>
      </c>
      <c r="W88" s="117">
        <f t="shared" si="86"/>
        <v>1.0641074704228883</v>
      </c>
      <c r="Y88" s="35">
        <v>45136.875</v>
      </c>
      <c r="Z88" s="71">
        <v>1.2267646464393199E-2</v>
      </c>
      <c r="AA88" s="70">
        <v>2.3419653060000001</v>
      </c>
      <c r="AB88" s="36">
        <v>6362</v>
      </c>
      <c r="AC88" s="37">
        <f t="shared" si="87"/>
        <v>106.03333333333333</v>
      </c>
      <c r="AD88" s="37">
        <f t="shared" si="69"/>
        <v>1.3007794467744922</v>
      </c>
      <c r="AE88" s="38">
        <f t="shared" si="88"/>
        <v>42.245370956387312</v>
      </c>
      <c r="AF88" s="38">
        <f t="shared" si="89"/>
        <v>7.1517863317810543E-2</v>
      </c>
      <c r="AG88" s="38">
        <f t="shared" si="90"/>
        <v>3.0212986658691112</v>
      </c>
      <c r="AH88" s="38">
        <f t="shared" si="116"/>
        <v>0.21719234212690045</v>
      </c>
      <c r="AI88" s="38">
        <f t="shared" si="91"/>
        <v>9.1753710620374971</v>
      </c>
      <c r="AK88" s="45">
        <v>45151.885416666664</v>
      </c>
      <c r="AL88" s="4">
        <v>8.9553423682352598E-3</v>
      </c>
      <c r="AM88" s="3">
        <v>1.9734137430000001</v>
      </c>
      <c r="AN88" s="4">
        <v>4050</v>
      </c>
      <c r="AO88" s="46">
        <f t="shared" si="92"/>
        <v>67.5</v>
      </c>
      <c r="AP88" s="47">
        <f t="shared" si="71"/>
        <v>0.60448560985588007</v>
      </c>
      <c r="AQ88" s="50">
        <f t="shared" si="93"/>
        <v>29.02674252086134</v>
      </c>
      <c r="AR88" s="50">
        <f t="shared" si="94"/>
        <v>0.74426608671286987</v>
      </c>
      <c r="AS88" s="50">
        <f t="shared" si="95"/>
        <v>21.603620066023534</v>
      </c>
      <c r="AT88" s="50">
        <f t="shared" si="72"/>
        <v>0.38308799102818347</v>
      </c>
      <c r="AU88" s="50">
        <f t="shared" si="96"/>
        <v>11.119796478409121</v>
      </c>
      <c r="AW88" s="51">
        <v>45166.885416666664</v>
      </c>
      <c r="AX88" s="72">
        <v>1.2008506487977799E-2</v>
      </c>
      <c r="AY88" s="73">
        <v>0.53251963199999997</v>
      </c>
      <c r="AZ88" s="52">
        <v>4382</v>
      </c>
      <c r="BA88" s="53">
        <f t="shared" si="97"/>
        <v>73.033333333333331</v>
      </c>
      <c r="BB88" s="72">
        <f t="shared" si="73"/>
        <v>0.87702125717197854</v>
      </c>
      <c r="BC88" s="54">
        <f t="shared" si="98"/>
        <v>34.82937236324355</v>
      </c>
      <c r="BD88" s="54">
        <f t="shared" si="99"/>
        <v>8.2120228934575393E-2</v>
      </c>
      <c r="BE88" s="54">
        <f t="shared" si="100"/>
        <v>2.8601960321171336</v>
      </c>
      <c r="BF88" s="54">
        <f t="shared" si="74"/>
        <v>3.6738685960465221E-2</v>
      </c>
      <c r="BG88" s="54">
        <f t="shared" si="101"/>
        <v>1.2795853734533111</v>
      </c>
      <c r="BI88" s="66">
        <v>45183.885416666664</v>
      </c>
      <c r="BJ88" s="67">
        <v>6.1300712910136702E-2</v>
      </c>
      <c r="BK88" s="68">
        <v>1.5821856839999999</v>
      </c>
      <c r="BL88" s="68">
        <v>7939</v>
      </c>
      <c r="BM88" s="68">
        <f t="shared" si="102"/>
        <v>132.31666666666666</v>
      </c>
      <c r="BN88" s="68">
        <f t="shared" si="75"/>
        <v>8.1111059965595871</v>
      </c>
      <c r="BO88" s="69">
        <f t="shared" si="103"/>
        <v>103.52139276543167</v>
      </c>
      <c r="BP88" s="69">
        <f t="shared" si="104"/>
        <v>1</v>
      </c>
      <c r="BQ88" s="69">
        <f t="shared" si="105"/>
        <v>103.52139276543167</v>
      </c>
      <c r="BR88" s="69">
        <f t="shared" si="76"/>
        <v>0.68064792049463207</v>
      </c>
      <c r="BS88" s="69">
        <f t="shared" si="106"/>
        <v>70.461620712499112</v>
      </c>
      <c r="CC88" s="87">
        <v>45048.135416666664</v>
      </c>
      <c r="CD88" s="109">
        <v>5.8593329697860602E-2</v>
      </c>
      <c r="CE88" s="88">
        <v>85.762083380000007</v>
      </c>
      <c r="CF88" s="89">
        <v>4879</v>
      </c>
      <c r="CG88" s="90">
        <f t="shared" si="107"/>
        <v>81.316666666666663</v>
      </c>
      <c r="CH88" s="91">
        <f t="shared" si="108"/>
        <v>4.7646142599310313</v>
      </c>
      <c r="CI88" s="91">
        <f t="shared" si="109"/>
        <v>79.778116732782578</v>
      </c>
      <c r="CK88" s="93">
        <v>45050.135416666664</v>
      </c>
      <c r="CL88">
        <v>8.9815668468592499E-2</v>
      </c>
      <c r="CM88" s="95">
        <v>126.9407683</v>
      </c>
      <c r="CN88" s="4">
        <v>4236</v>
      </c>
      <c r="CO88" s="95">
        <f t="shared" si="110"/>
        <v>70.599999999999994</v>
      </c>
      <c r="CP88" s="94">
        <f t="shared" si="111"/>
        <v>6.34098619388263</v>
      </c>
      <c r="CQ88" s="96">
        <f t="shared" si="112"/>
        <v>91.763460173469042</v>
      </c>
      <c r="CS88" s="10">
        <v>45051.395833333336</v>
      </c>
      <c r="CT88" s="110">
        <v>0.106962313188493</v>
      </c>
      <c r="CU88" s="21">
        <v>90.484855949999996</v>
      </c>
      <c r="CV88" s="111">
        <v>4304</v>
      </c>
      <c r="CW88" s="21">
        <f t="shared" si="113"/>
        <v>71.733333333333334</v>
      </c>
      <c r="CX88" s="21">
        <f t="shared" si="114"/>
        <v>7.6727632660545648</v>
      </c>
      <c r="CY88" s="21">
        <f t="shared" si="115"/>
        <v>100.7429093206339</v>
      </c>
    </row>
    <row r="89" spans="1:103" x14ac:dyDescent="0.3">
      <c r="A89" s="10">
        <v>44776.948611111111</v>
      </c>
      <c r="B89" s="11">
        <v>7.3344477715992298E-3</v>
      </c>
      <c r="C89" s="12">
        <v>2.4828400044999999</v>
      </c>
      <c r="D89" s="9">
        <v>3550</v>
      </c>
      <c r="E89" s="13">
        <f t="shared" si="77"/>
        <v>59.166666666666664</v>
      </c>
      <c r="F89" s="12">
        <f t="shared" si="65"/>
        <v>0.43395482648628775</v>
      </c>
      <c r="G89" s="13">
        <f t="shared" si="78"/>
        <v>24.678012257173279</v>
      </c>
      <c r="H89" s="11">
        <f t="shared" si="79"/>
        <v>0.14709803335498567</v>
      </c>
      <c r="I89" s="116">
        <f t="shared" si="80"/>
        <v>3.6300870701404202</v>
      </c>
      <c r="J89" s="21">
        <f t="shared" si="66"/>
        <v>8.9273318797307155E-2</v>
      </c>
      <c r="K89" s="116">
        <f t="shared" si="81"/>
        <v>2.2030880555184837</v>
      </c>
      <c r="M89" s="25">
        <v>44781.896527777775</v>
      </c>
      <c r="N89" s="26">
        <v>4.1872832754029504E-3</v>
      </c>
      <c r="O89" s="27">
        <v>5.2612970189999997</v>
      </c>
      <c r="P89" s="28">
        <v>1626</v>
      </c>
      <c r="Q89" s="29">
        <f t="shared" si="82"/>
        <v>27.1</v>
      </c>
      <c r="R89" s="26">
        <f t="shared" si="67"/>
        <v>0.11347537676341997</v>
      </c>
      <c r="S89" s="29">
        <f t="shared" si="83"/>
        <v>12.794959706299212</v>
      </c>
      <c r="T89" s="29">
        <f t="shared" si="84"/>
        <v>0.12920908060692193</v>
      </c>
      <c r="U89" s="117">
        <f t="shared" si="85"/>
        <v>1.653224980053533</v>
      </c>
      <c r="V89" s="118">
        <f t="shared" si="68"/>
        <v>3.4284979753190427E-2</v>
      </c>
      <c r="W89" s="117">
        <f t="shared" si="86"/>
        <v>0.43867493447335582</v>
      </c>
      <c r="Y89" s="35">
        <v>45136.885416666664</v>
      </c>
      <c r="Z89" s="71">
        <v>1.00963339924956E-2</v>
      </c>
      <c r="AA89" s="70">
        <v>1.654461261</v>
      </c>
      <c r="AB89" s="36">
        <v>5460</v>
      </c>
      <c r="AC89" s="37">
        <f t="shared" si="87"/>
        <v>91</v>
      </c>
      <c r="AD89" s="37">
        <f t="shared" si="69"/>
        <v>0.91876639331709964</v>
      </c>
      <c r="AE89" s="38">
        <f t="shared" si="88"/>
        <v>35.631584116137674</v>
      </c>
      <c r="AF89" s="38">
        <f t="shared" si="89"/>
        <v>3.5635315223632176E-2</v>
      </c>
      <c r="AG89" s="38">
        <f t="shared" si="90"/>
        <v>1.2697427318959313</v>
      </c>
      <c r="AH89" s="38">
        <f t="shared" si="116"/>
        <v>0.11590545713513863</v>
      </c>
      <c r="AI89" s="38">
        <f t="shared" si="91"/>
        <v>4.1298950454300813</v>
      </c>
      <c r="AK89" s="45">
        <v>45151.895833333336</v>
      </c>
      <c r="AL89" s="4">
        <v>7.5223828166051197E-3</v>
      </c>
      <c r="AM89" s="3">
        <v>1.729502407</v>
      </c>
      <c r="AN89" s="4">
        <v>3169</v>
      </c>
      <c r="AO89" s="46">
        <f t="shared" si="92"/>
        <v>52.81666666666667</v>
      </c>
      <c r="AP89" s="47">
        <f t="shared" si="71"/>
        <v>0.39730718576369378</v>
      </c>
      <c r="AQ89" s="50">
        <f t="shared" si="93"/>
        <v>23.634466339689034</v>
      </c>
      <c r="AR89" s="50">
        <f t="shared" si="94"/>
        <v>0.61158891258663373</v>
      </c>
      <c r="AS89" s="50">
        <f t="shared" si="95"/>
        <v>14.454577568255814</v>
      </c>
      <c r="AT89" s="50">
        <f t="shared" si="72"/>
        <v>0.21901086957446295</v>
      </c>
      <c r="AU89" s="50">
        <f t="shared" si="96"/>
        <v>5.1762050249836697</v>
      </c>
      <c r="AW89" s="51">
        <v>45166.895833333336</v>
      </c>
      <c r="AX89" s="72">
        <v>1.1421437993235599E-2</v>
      </c>
      <c r="AY89" s="73">
        <v>0.53251963199999997</v>
      </c>
      <c r="AZ89" s="52">
        <v>4573</v>
      </c>
      <c r="BA89" s="53">
        <f t="shared" si="97"/>
        <v>76.216666666666669</v>
      </c>
      <c r="BB89" s="72">
        <f t="shared" si="73"/>
        <v>0.8705039323844399</v>
      </c>
      <c r="BC89" s="54">
        <f t="shared" si="98"/>
        <v>34.702384925613089</v>
      </c>
      <c r="BD89" s="54">
        <f t="shared" si="99"/>
        <v>8.2120228934575393E-2</v>
      </c>
      <c r="BE89" s="54">
        <f t="shared" si="100"/>
        <v>2.8497677946671049</v>
      </c>
      <c r="BF89" s="54">
        <f t="shared" si="74"/>
        <v>3.5697298389576505E-2</v>
      </c>
      <c r="BG89" s="54">
        <f t="shared" si="101"/>
        <v>1.2387813895195521</v>
      </c>
      <c r="BI89" s="66">
        <v>45183.895833333336</v>
      </c>
      <c r="BJ89" s="67">
        <v>5.8654051577076802E-2</v>
      </c>
      <c r="BK89" s="68">
        <v>1.5821856839999999</v>
      </c>
      <c r="BL89" s="68">
        <v>8165</v>
      </c>
      <c r="BM89" s="68">
        <f t="shared" si="102"/>
        <v>136.08333333333334</v>
      </c>
      <c r="BN89" s="68">
        <f t="shared" si="75"/>
        <v>7.981838852113869</v>
      </c>
      <c r="BO89" s="69">
        <f t="shared" si="103"/>
        <v>102.71016099476968</v>
      </c>
      <c r="BP89" s="69">
        <f t="shared" si="104"/>
        <v>1</v>
      </c>
      <c r="BQ89" s="69">
        <f t="shared" si="105"/>
        <v>102.71016099476968</v>
      </c>
      <c r="BR89" s="69">
        <f t="shared" si="76"/>
        <v>0.66958328618063101</v>
      </c>
      <c r="BS89" s="69">
        <f t="shared" si="106"/>
        <v>68.773007123019553</v>
      </c>
      <c r="CC89" s="87">
        <v>45048.145833333336</v>
      </c>
      <c r="CD89" s="109">
        <v>5.3095828604805301E-2</v>
      </c>
      <c r="CE89" s="88">
        <v>87.058386479999996</v>
      </c>
      <c r="CF89" s="89">
        <v>4893</v>
      </c>
      <c r="CG89" s="90">
        <f t="shared" si="107"/>
        <v>81.55</v>
      </c>
      <c r="CH89" s="91">
        <f t="shared" si="108"/>
        <v>4.3299648227218723</v>
      </c>
      <c r="CI89" s="91">
        <f t="shared" si="109"/>
        <v>76.127223006168265</v>
      </c>
      <c r="CK89" s="93">
        <v>45050.145833333336</v>
      </c>
      <c r="CL89">
        <v>9.1332086421195405E-2</v>
      </c>
      <c r="CM89" s="95">
        <v>110.21295859999999</v>
      </c>
      <c r="CN89" s="4">
        <v>4306</v>
      </c>
      <c r="CO89" s="95">
        <f t="shared" si="110"/>
        <v>71.766666666666666</v>
      </c>
      <c r="CP89" s="94">
        <f t="shared" si="111"/>
        <v>6.5545994021611236</v>
      </c>
      <c r="CQ89" s="96">
        <f t="shared" si="112"/>
        <v>93.264473810135769</v>
      </c>
      <c r="CS89" s="10">
        <v>45051.40625</v>
      </c>
      <c r="CT89" s="110">
        <v>8.8902516635896697E-2</v>
      </c>
      <c r="CU89" s="21">
        <v>89.635700749999998</v>
      </c>
      <c r="CV89" s="111">
        <v>4331</v>
      </c>
      <c r="CW89" s="21">
        <f t="shared" si="113"/>
        <v>72.183333333333337</v>
      </c>
      <c r="CX89" s="21">
        <f t="shared" si="114"/>
        <v>6.4172799925011432</v>
      </c>
      <c r="CY89" s="21">
        <f t="shared" si="115"/>
        <v>92.302480389177589</v>
      </c>
    </row>
    <row r="90" spans="1:103" x14ac:dyDescent="0.3">
      <c r="A90" s="10">
        <v>44776.959027777775</v>
      </c>
      <c r="B90" s="11">
        <v>7.64757278088736E-3</v>
      </c>
      <c r="C90" s="12">
        <v>2.5050373965000001</v>
      </c>
      <c r="D90" s="9">
        <v>3885</v>
      </c>
      <c r="E90" s="13">
        <f t="shared" si="77"/>
        <v>64.75</v>
      </c>
      <c r="F90" s="12">
        <f t="shared" si="65"/>
        <v>0.49518033756245655</v>
      </c>
      <c r="G90" s="13">
        <f t="shared" si="78"/>
        <v>26.325657424734072</v>
      </c>
      <c r="H90" s="11">
        <f t="shared" si="79"/>
        <v>0.14895484384515306</v>
      </c>
      <c r="I90" s="116">
        <f t="shared" si="80"/>
        <v>3.9213341908222579</v>
      </c>
      <c r="J90" s="21">
        <f t="shared" si="66"/>
        <v>0.10197103526070189</v>
      </c>
      <c r="K90" s="116">
        <f t="shared" si="81"/>
        <v>2.6844545415187167</v>
      </c>
      <c r="M90" s="25">
        <v>44781.906944444447</v>
      </c>
      <c r="N90" s="26">
        <v>4.9442405769637302E-3</v>
      </c>
      <c r="O90" s="27">
        <v>5.4874552459999997</v>
      </c>
      <c r="P90" s="28">
        <v>1689</v>
      </c>
      <c r="Q90" s="29">
        <f t="shared" si="82"/>
        <v>28.15</v>
      </c>
      <c r="R90" s="26">
        <f t="shared" si="67"/>
        <v>0.13918037224152899</v>
      </c>
      <c r="S90" s="29">
        <f t="shared" si="83"/>
        <v>14.140466465617099</v>
      </c>
      <c r="T90" s="29">
        <f t="shared" si="84"/>
        <v>0.13657223896630954</v>
      </c>
      <c r="U90" s="117">
        <f t="shared" si="85"/>
        <v>1.9311951652373449</v>
      </c>
      <c r="V90" s="118">
        <f t="shared" si="68"/>
        <v>4.731492547047552E-2</v>
      </c>
      <c r="W90" s="117">
        <f t="shared" si="86"/>
        <v>0.66905511693843145</v>
      </c>
      <c r="Y90" s="35">
        <v>45136.895833333336</v>
      </c>
      <c r="Z90" s="71">
        <v>1.11814316464617E-2</v>
      </c>
      <c r="AA90" s="70">
        <v>1.5125919880000001</v>
      </c>
      <c r="AB90" s="36">
        <v>4177</v>
      </c>
      <c r="AC90" s="37">
        <f t="shared" si="87"/>
        <v>69.61666666666666</v>
      </c>
      <c r="AD90" s="37">
        <f t="shared" si="69"/>
        <v>0.77841399978784198</v>
      </c>
      <c r="AE90" s="38">
        <f t="shared" si="88"/>
        <v>32.853333490527433</v>
      </c>
      <c r="AF90" s="38">
        <f t="shared" si="89"/>
        <v>2.8230804590522202E-2</v>
      </c>
      <c r="AG90" s="38">
        <f t="shared" si="90"/>
        <v>0.92747603791833866</v>
      </c>
      <c r="AH90" s="38">
        <f t="shared" si="116"/>
        <v>7.869244409001773E-2</v>
      </c>
      <c r="AI90" s="38">
        <f t="shared" si="91"/>
        <v>2.585309108874037</v>
      </c>
      <c r="AK90" s="45">
        <v>45151.90625</v>
      </c>
      <c r="AL90" s="4">
        <v>6.22367477904507E-3</v>
      </c>
      <c r="AM90" s="3">
        <v>1.5821856839999999</v>
      </c>
      <c r="AN90" s="4">
        <v>2712</v>
      </c>
      <c r="AO90" s="46">
        <f t="shared" si="92"/>
        <v>45.2</v>
      </c>
      <c r="AP90" s="47">
        <f t="shared" si="71"/>
        <v>0.28131010001283718</v>
      </c>
      <c r="AQ90" s="50">
        <f t="shared" si="93"/>
        <v>19.958120775420671</v>
      </c>
      <c r="AR90" s="50">
        <f t="shared" si="94"/>
        <v>0.53145501299134179</v>
      </c>
      <c r="AS90" s="50">
        <f t="shared" si="95"/>
        <v>10.606843335983962</v>
      </c>
      <c r="AT90" s="50">
        <f t="shared" si="72"/>
        <v>0.12714576339645561</v>
      </c>
      <c r="AU90" s="50">
        <f t="shared" si="96"/>
        <v>2.5375905019495217</v>
      </c>
      <c r="AW90" s="51">
        <v>45166.90625</v>
      </c>
      <c r="AX90" s="72">
        <v>1.1569164499038199E-2</v>
      </c>
      <c r="AY90" s="73">
        <v>0.44939223900000003</v>
      </c>
      <c r="AZ90" s="52">
        <v>3699</v>
      </c>
      <c r="BA90" s="53">
        <f t="shared" si="97"/>
        <v>61.65</v>
      </c>
      <c r="BB90" s="72">
        <f t="shared" si="73"/>
        <v>0.71323899136570501</v>
      </c>
      <c r="BC90" s="54">
        <f t="shared" si="98"/>
        <v>31.476237240272116</v>
      </c>
      <c r="BD90" s="54">
        <f t="shared" si="99"/>
        <v>3.7618062491693006E-2</v>
      </c>
      <c r="BE90" s="54">
        <f t="shared" si="100"/>
        <v>1.184075059507911</v>
      </c>
      <c r="BF90" s="54">
        <f t="shared" si="74"/>
        <v>1.0568313683060371E-2</v>
      </c>
      <c r="BG90" s="54">
        <f t="shared" si="101"/>
        <v>0.33265074871762224</v>
      </c>
      <c r="BI90" s="66">
        <v>45183.90625</v>
      </c>
      <c r="BJ90" s="67">
        <v>5.5199757863924399E-2</v>
      </c>
      <c r="BK90" s="68">
        <v>1.3790541089999999</v>
      </c>
      <c r="BL90" s="68">
        <v>8117</v>
      </c>
      <c r="BM90" s="68">
        <f t="shared" si="102"/>
        <v>135.28333333333333</v>
      </c>
      <c r="BN90" s="68">
        <f t="shared" si="75"/>
        <v>7.4676072430245721</v>
      </c>
      <c r="BO90" s="69">
        <f t="shared" si="103"/>
        <v>99.414688875378118</v>
      </c>
      <c r="BP90" s="69">
        <f t="shared" si="104"/>
        <v>0.93285209191610496</v>
      </c>
      <c r="BQ90" s="69">
        <f t="shared" si="105"/>
        <v>92.739200484585211</v>
      </c>
      <c r="BR90" s="69">
        <f t="shared" si="76"/>
        <v>0.62556757954712805</v>
      </c>
      <c r="BS90" s="69">
        <f t="shared" si="106"/>
        <v>62.190606291201085</v>
      </c>
      <c r="CC90" s="87">
        <v>45048.15625</v>
      </c>
      <c r="CD90" s="109">
        <v>5.5580522468841299E-2</v>
      </c>
      <c r="CE90" s="88">
        <v>87.922589900000006</v>
      </c>
      <c r="CF90" s="89">
        <v>4981</v>
      </c>
      <c r="CG90" s="90">
        <f t="shared" si="107"/>
        <v>83.016666666666666</v>
      </c>
      <c r="CH90" s="91">
        <f t="shared" si="108"/>
        <v>4.6141097069549755</v>
      </c>
      <c r="CI90" s="91">
        <f t="shared" si="109"/>
        <v>78.533950668749554</v>
      </c>
      <c r="CK90" s="93">
        <v>45050.15625</v>
      </c>
      <c r="CL90">
        <v>8.9445151941983103E-2</v>
      </c>
      <c r="CM90" s="95">
        <v>112.1752807</v>
      </c>
      <c r="CN90" s="4">
        <v>4209</v>
      </c>
      <c r="CO90" s="95">
        <f t="shared" si="110"/>
        <v>70.150000000000006</v>
      </c>
      <c r="CP90" s="94">
        <f t="shared" si="111"/>
        <v>6.2745774087301154</v>
      </c>
      <c r="CQ90" s="96">
        <f t="shared" si="112"/>
        <v>91.291577840830925</v>
      </c>
      <c r="CS90" s="10">
        <v>45051.416666666664</v>
      </c>
      <c r="CT90" s="110">
        <v>9.1307362028807695E-2</v>
      </c>
      <c r="CU90" s="21">
        <v>98.474887140000007</v>
      </c>
      <c r="CV90" s="111">
        <v>4362</v>
      </c>
      <c r="CW90" s="21">
        <f t="shared" si="113"/>
        <v>72.7</v>
      </c>
      <c r="CX90" s="21">
        <f t="shared" si="114"/>
        <v>6.6380452194943196</v>
      </c>
      <c r="CY90" s="21">
        <f t="shared" si="115"/>
        <v>93.844036952069828</v>
      </c>
    </row>
    <row r="91" spans="1:103" x14ac:dyDescent="0.3">
      <c r="A91" s="10">
        <v>44776.969444444447</v>
      </c>
      <c r="B91" s="11">
        <v>6.5381733318855299E-3</v>
      </c>
      <c r="C91" s="12">
        <v>2.248553292</v>
      </c>
      <c r="D91" s="9">
        <v>3633</v>
      </c>
      <c r="E91" s="13">
        <f t="shared" si="77"/>
        <v>60.55</v>
      </c>
      <c r="F91" s="12">
        <f t="shared" si="65"/>
        <v>0.39588639524566882</v>
      </c>
      <c r="G91" s="13">
        <f t="shared" si="78"/>
        <v>23.593040021995446</v>
      </c>
      <c r="H91" s="11">
        <f t="shared" si="79"/>
        <v>0.12749996410987663</v>
      </c>
      <c r="I91" s="116">
        <f t="shared" si="80"/>
        <v>3.0081117560473021</v>
      </c>
      <c r="J91" s="21">
        <f t="shared" si="66"/>
        <v>8.1378208775305758E-2</v>
      </c>
      <c r="K91" s="116">
        <f t="shared" si="81"/>
        <v>1.9199593365540897</v>
      </c>
      <c r="M91" s="25">
        <v>44781.917361111111</v>
      </c>
      <c r="N91" s="26">
        <v>5.0373832802486597E-3</v>
      </c>
      <c r="O91" s="27">
        <v>5.2076250220000002</v>
      </c>
      <c r="P91" s="28">
        <v>1698</v>
      </c>
      <c r="Q91" s="29">
        <f t="shared" si="82"/>
        <v>28.3</v>
      </c>
      <c r="R91" s="26">
        <f t="shared" si="67"/>
        <v>0.14255794683103706</v>
      </c>
      <c r="S91" s="29">
        <f t="shared" si="83"/>
        <v>14.307481627007895</v>
      </c>
      <c r="T91" s="29">
        <f t="shared" si="84"/>
        <v>0.12746165174431606</v>
      </c>
      <c r="U91" s="117">
        <f t="shared" si="85"/>
        <v>1.8236552404798809</v>
      </c>
      <c r="V91" s="118">
        <f t="shared" si="68"/>
        <v>4.9027029002835655E-2</v>
      </c>
      <c r="W91" s="117">
        <f>S91*V91</f>
        <v>0.70145331668485433</v>
      </c>
      <c r="Y91" s="35">
        <v>45136.90625</v>
      </c>
      <c r="Z91" s="71">
        <v>8.2604101021937302E-3</v>
      </c>
      <c r="AA91" s="70">
        <v>1.654461261</v>
      </c>
      <c r="AB91" s="36">
        <v>4364</v>
      </c>
      <c r="AC91" s="37">
        <f t="shared" si="87"/>
        <v>72.733333333333334</v>
      </c>
      <c r="AD91" s="37">
        <f t="shared" si="69"/>
        <v>0.6008071614328907</v>
      </c>
      <c r="AE91" s="38">
        <f t="shared" si="88"/>
        <v>28.940109598441055</v>
      </c>
      <c r="AF91" s="38">
        <f t="shared" si="89"/>
        <v>3.5635315223632176E-2</v>
      </c>
      <c r="AG91" s="38">
        <f t="shared" si="90"/>
        <v>1.0312899281469101</v>
      </c>
      <c r="AH91" s="38">
        <f t="shared" si="116"/>
        <v>3.1601793005198719E-2</v>
      </c>
      <c r="AI91" s="38">
        <f t="shared" si="91"/>
        <v>0.91455935307769887</v>
      </c>
      <c r="AK91" s="45">
        <v>45151.916666666664</v>
      </c>
      <c r="AL91" s="4">
        <v>8.0028838612977507E-3</v>
      </c>
      <c r="AM91" s="3">
        <v>2.0619739560000001</v>
      </c>
      <c r="AN91" s="4">
        <v>3034</v>
      </c>
      <c r="AO91" s="46">
        <f t="shared" si="92"/>
        <v>50.56666666666667</v>
      </c>
      <c r="AP91" s="47">
        <f t="shared" si="71"/>
        <v>0.40467916058628961</v>
      </c>
      <c r="AQ91" s="50">
        <f t="shared" si="93"/>
        <v>23.848209119595776</v>
      </c>
      <c r="AR91" s="50">
        <f t="shared" si="94"/>
        <v>0.79243899656424954</v>
      </c>
      <c r="AS91" s="50">
        <f t="shared" si="95"/>
        <v>18.898250904586863</v>
      </c>
      <c r="AT91" s="50">
        <f t="shared" si="72"/>
        <v>0.22484918219616057</v>
      </c>
      <c r="AU91" s="50">
        <f t="shared" si="96"/>
        <v>5.3622503173841283</v>
      </c>
      <c r="AW91" s="51">
        <v>45166.916666666664</v>
      </c>
      <c r="AX91" s="72">
        <v>1.4374278191539599E-2</v>
      </c>
      <c r="AY91" s="73">
        <v>0.475692385</v>
      </c>
      <c r="AZ91" s="52">
        <v>3931</v>
      </c>
      <c r="BA91" s="53">
        <f t="shared" si="97"/>
        <v>65.516666666666666</v>
      </c>
      <c r="BB91" s="72">
        <f t="shared" si="73"/>
        <v>0.94175479284903607</v>
      </c>
      <c r="BC91" s="54">
        <f t="shared" si="98"/>
        <v>36.065416543332461</v>
      </c>
      <c r="BD91" s="54">
        <f t="shared" si="99"/>
        <v>5.1697819266503769E-2</v>
      </c>
      <c r="BE91" s="54">
        <f t="shared" si="100"/>
        <v>1.8645033862283766</v>
      </c>
      <c r="BF91" s="54">
        <f t="shared" si="74"/>
        <v>4.7082301120271938E-2</v>
      </c>
      <c r="BG91" s="54">
        <f t="shared" si="101"/>
        <v>1.6980428017212159</v>
      </c>
      <c r="BI91" s="66">
        <v>45183.916666666664</v>
      </c>
      <c r="BJ91" s="67">
        <v>5.7085326120917698E-2</v>
      </c>
      <c r="BK91" s="68">
        <v>1.4444654269999999</v>
      </c>
      <c r="BL91" s="68">
        <v>8172</v>
      </c>
      <c r="BM91" s="68">
        <f t="shared" si="102"/>
        <v>136.19999999999999</v>
      </c>
      <c r="BN91" s="68">
        <f t="shared" si="75"/>
        <v>7.7750214176689898</v>
      </c>
      <c r="BO91" s="69">
        <f t="shared" si="103"/>
        <v>101.39818079228969</v>
      </c>
      <c r="BP91" s="69">
        <f t="shared" si="104"/>
        <v>1</v>
      </c>
      <c r="BQ91" s="69">
        <f t="shared" si="105"/>
        <v>101.39818079228969</v>
      </c>
      <c r="BR91" s="69">
        <f t="shared" si="76"/>
        <v>0.65188072694406196</v>
      </c>
      <c r="BS91" s="69">
        <f t="shared" si="106"/>
        <v>66.099519805683229</v>
      </c>
      <c r="CC91" s="87">
        <v>45048.166666666664</v>
      </c>
      <c r="CD91" s="109">
        <v>5.6000415914985502E-2</v>
      </c>
      <c r="CE91" s="88">
        <v>84.899432570000002</v>
      </c>
      <c r="CF91" s="89">
        <v>5003</v>
      </c>
      <c r="CG91" s="90">
        <f t="shared" si="107"/>
        <v>83.38333333333334</v>
      </c>
      <c r="CH91" s="91">
        <f t="shared" si="108"/>
        <v>4.6695013470445419</v>
      </c>
      <c r="CI91" s="91">
        <f t="shared" si="109"/>
        <v>78.994227973071261</v>
      </c>
      <c r="CK91" s="93">
        <v>45050.166666666664</v>
      </c>
      <c r="CL91">
        <v>8.2182320929990393E-2</v>
      </c>
      <c r="CM91" s="95">
        <v>112.1752807</v>
      </c>
      <c r="CN91" s="4">
        <v>4148</v>
      </c>
      <c r="CO91" s="95">
        <f t="shared" si="110"/>
        <v>69.13333333333334</v>
      </c>
      <c r="CP91" s="94">
        <f t="shared" si="111"/>
        <v>5.6815377869600034</v>
      </c>
      <c r="CQ91" s="96">
        <f t="shared" si="112"/>
        <v>86.959201589168842</v>
      </c>
      <c r="CS91" s="10">
        <v>45051.427083333336</v>
      </c>
      <c r="CT91" s="110">
        <v>0.10694611274158</v>
      </c>
      <c r="CU91" s="21">
        <v>93.877037450000003</v>
      </c>
      <c r="CV91" s="111">
        <v>4137</v>
      </c>
      <c r="CW91" s="21">
        <f t="shared" si="113"/>
        <v>68.95</v>
      </c>
      <c r="CX91" s="21">
        <f t="shared" si="114"/>
        <v>7.373934473531941</v>
      </c>
      <c r="CY91" s="21">
        <f t="shared" si="115"/>
        <v>98.802043522025343</v>
      </c>
    </row>
    <row r="92" spans="1:103" x14ac:dyDescent="0.3">
      <c r="A92" s="10">
        <v>44776.979861111111</v>
      </c>
      <c r="B92" s="11">
        <v>6.5848300189003898E-3</v>
      </c>
      <c r="C92" s="12">
        <v>2.1564305309999998</v>
      </c>
      <c r="D92" s="9">
        <v>3267</v>
      </c>
      <c r="E92" s="13">
        <f t="shared" si="77"/>
        <v>54.45</v>
      </c>
      <c r="F92" s="12">
        <f t="shared" si="65"/>
        <v>0.35854399452912622</v>
      </c>
      <c r="G92" s="13">
        <f t="shared" si="78"/>
        <v>22.475689915463917</v>
      </c>
      <c r="H92" s="11">
        <f t="shared" si="79"/>
        <v>0.11979390075757008</v>
      </c>
      <c r="I92" s="116">
        <f t="shared" si="80"/>
        <v>2.6924505671910031</v>
      </c>
      <c r="J92" s="21">
        <f t="shared" si="66"/>
        <v>7.3633672093999264E-2</v>
      </c>
      <c r="K92" s="116">
        <f t="shared" si="81"/>
        <v>1.6549675813216762</v>
      </c>
      <c r="M92" s="25">
        <v>44781.927777777775</v>
      </c>
      <c r="N92" s="26">
        <v>4.39557865296828E-3</v>
      </c>
      <c r="O92" s="27">
        <v>4.6292118670000004</v>
      </c>
      <c r="P92" s="28">
        <v>1659</v>
      </c>
      <c r="Q92" s="29">
        <f t="shared" si="82"/>
        <v>27.65</v>
      </c>
      <c r="R92" s="26">
        <f t="shared" si="67"/>
        <v>0.12153774975457293</v>
      </c>
      <c r="S92" s="29">
        <f t="shared" si="83"/>
        <v>13.232340354745734</v>
      </c>
      <c r="T92" s="29">
        <f t="shared" si="84"/>
        <v>0.10862993505678646</v>
      </c>
      <c r="U92" s="117">
        <f t="shared" si="85"/>
        <v>1.4374282733853239</v>
      </c>
      <c r="V92" s="118">
        <f t="shared" si="68"/>
        <v>3.8371822815142863E-2</v>
      </c>
      <c r="W92" s="117">
        <f t="shared" si="86"/>
        <v>0.50774901952196794</v>
      </c>
      <c r="Y92" s="35">
        <v>45136.916666666664</v>
      </c>
      <c r="Z92" s="71">
        <v>9.9334056429542794E-3</v>
      </c>
      <c r="AA92" s="70">
        <v>2.1522282119999998</v>
      </c>
      <c r="AB92" s="36">
        <v>5332</v>
      </c>
      <c r="AC92" s="37">
        <f t="shared" si="87"/>
        <v>88.86666666666666</v>
      </c>
      <c r="AD92" s="37">
        <f t="shared" si="69"/>
        <v>0.88274864813720355</v>
      </c>
      <c r="AE92" s="38">
        <f t="shared" si="88"/>
        <v>34.940571287453785</v>
      </c>
      <c r="AF92" s="38">
        <f t="shared" si="89"/>
        <v>6.1615011908834977E-2</v>
      </c>
      <c r="AG92" s="38">
        <f t="shared" si="90"/>
        <v>2.1528637159779627</v>
      </c>
      <c r="AH92" s="38">
        <f t="shared" si="116"/>
        <v>0.10635571745823094</v>
      </c>
      <c r="AI92" s="38">
        <f t="shared" si="91"/>
        <v>3.7161295276776114</v>
      </c>
      <c r="AK92" s="45">
        <v>45151.927083333336</v>
      </c>
      <c r="AL92" s="4">
        <v>5.2891351415836002E-3</v>
      </c>
      <c r="AM92" s="3">
        <v>1.257509953</v>
      </c>
      <c r="AN92" s="4">
        <v>1781</v>
      </c>
      <c r="AO92" s="46">
        <f t="shared" si="92"/>
        <v>29.683333333333334</v>
      </c>
      <c r="AP92" s="47">
        <f t="shared" si="71"/>
        <v>0.1569991614526732</v>
      </c>
      <c r="AQ92" s="50">
        <f t="shared" si="93"/>
        <v>14.999767124446439</v>
      </c>
      <c r="AR92" s="50">
        <f t="shared" si="94"/>
        <v>0.3548455154465045</v>
      </c>
      <c r="AS92" s="50">
        <f t="shared" si="95"/>
        <v>5.3226000968517297</v>
      </c>
      <c r="AT92" s="50">
        <f t="shared" si="72"/>
        <v>2.8696414466731497E-2</v>
      </c>
      <c r="AU92" s="50">
        <f t="shared" si="96"/>
        <v>0.43043953430756832</v>
      </c>
      <c r="AW92" s="51">
        <v>45166.927083333336</v>
      </c>
      <c r="AX92" s="72">
        <v>1.14176920773204E-2</v>
      </c>
      <c r="AY92" s="73">
        <v>0.44894941300000002</v>
      </c>
      <c r="AZ92" s="52">
        <v>3621</v>
      </c>
      <c r="BA92" s="53">
        <f t="shared" si="97"/>
        <v>60.35</v>
      </c>
      <c r="BB92" s="72">
        <f t="shared" si="73"/>
        <v>0.68905771686628614</v>
      </c>
      <c r="BC92" s="54">
        <f t="shared" si="98"/>
        <v>30.949052692459428</v>
      </c>
      <c r="BD92" s="54">
        <f t="shared" si="99"/>
        <v>3.7380996036869431E-2</v>
      </c>
      <c r="BE92" s="54">
        <f t="shared" si="100"/>
        <v>1.1569064160416891</v>
      </c>
      <c r="BF92" s="54">
        <f t="shared" si="74"/>
        <v>6.7044462937763463E-3</v>
      </c>
      <c r="BG92" s="54">
        <f t="shared" si="101"/>
        <v>0.20749626161984847</v>
      </c>
      <c r="BI92" s="66">
        <v>45183.927083333336</v>
      </c>
      <c r="BJ92" s="67">
        <v>6.6757353642304396E-2</v>
      </c>
      <c r="BK92" s="68">
        <v>1.3790541089999999</v>
      </c>
      <c r="BL92" s="68">
        <v>8030</v>
      </c>
      <c r="BM92" s="68">
        <f t="shared" si="102"/>
        <v>133.83333333333334</v>
      </c>
      <c r="BN92" s="68">
        <f t="shared" si="75"/>
        <v>8.9343591624617389</v>
      </c>
      <c r="BO92" s="69">
        <f t="shared" si="103"/>
        <v>108.53988152284299</v>
      </c>
      <c r="BP92" s="69">
        <f t="shared" si="104"/>
        <v>0.93285209191610496</v>
      </c>
      <c r="BQ92" s="69">
        <f t="shared" si="105"/>
        <v>101.25165553491027</v>
      </c>
      <c r="BR92" s="69">
        <f t="shared" si="76"/>
        <v>0.75111435856448483</v>
      </c>
      <c r="BS92" s="69">
        <f t="shared" si="106"/>
        <v>81.525863488695393</v>
      </c>
      <c r="CC92" s="87">
        <v>45048.177083333336</v>
      </c>
      <c r="CD92" s="109">
        <v>6.0921304510828701E-2</v>
      </c>
      <c r="CE92" s="88">
        <v>92.610732819999996</v>
      </c>
      <c r="CF92" s="89">
        <v>4878</v>
      </c>
      <c r="CG92" s="90">
        <f t="shared" si="107"/>
        <v>81.3</v>
      </c>
      <c r="CH92" s="91">
        <f t="shared" si="108"/>
        <v>4.9529020567303732</v>
      </c>
      <c r="CI92" s="91">
        <f t="shared" si="109"/>
        <v>81.306713600455609</v>
      </c>
      <c r="CK92" s="93">
        <v>45050.177083333336</v>
      </c>
      <c r="CL92">
        <v>8.7768327623407805E-2</v>
      </c>
      <c r="CM92" s="95">
        <v>110.9974619</v>
      </c>
      <c r="CN92" s="4">
        <v>4144</v>
      </c>
      <c r="CO92" s="95">
        <f t="shared" si="110"/>
        <v>69.066666666666663</v>
      </c>
      <c r="CP92" s="94">
        <f t="shared" si="111"/>
        <v>6.0618658278566988</v>
      </c>
      <c r="CQ92" s="96">
        <f t="shared" si="112"/>
        <v>89.762699997201636</v>
      </c>
      <c r="CS92" s="10">
        <v>45051.4375</v>
      </c>
      <c r="CT92" s="110">
        <v>9.1854333400708393E-2</v>
      </c>
      <c r="CU92" s="21">
        <v>95.977802339999997</v>
      </c>
      <c r="CV92" s="111">
        <v>4161</v>
      </c>
      <c r="CW92" s="21">
        <f t="shared" si="113"/>
        <v>69.349999999999994</v>
      </c>
      <c r="CX92" s="21">
        <f t="shared" si="114"/>
        <v>6.3700980213391265</v>
      </c>
      <c r="CY92" s="21">
        <f t="shared" si="115"/>
        <v>91.969525388156953</v>
      </c>
    </row>
    <row r="93" spans="1:103" x14ac:dyDescent="0.3">
      <c r="A93" s="10">
        <v>44776.990277777775</v>
      </c>
      <c r="B93" s="11">
        <v>8.1282455529692495E-3</v>
      </c>
      <c r="C93" s="12">
        <v>2.2236830264999998</v>
      </c>
      <c r="D93" s="9">
        <v>3685</v>
      </c>
      <c r="E93" s="13">
        <f t="shared" si="77"/>
        <v>61.416666666666664</v>
      </c>
      <c r="F93" s="12">
        <f t="shared" si="65"/>
        <v>0.49920974771152804</v>
      </c>
      <c r="G93" s="13">
        <f t="shared" si="78"/>
        <v>26.430343391447533</v>
      </c>
      <c r="H93" s="11">
        <f t="shared" si="79"/>
        <v>0.12541956791406911</v>
      </c>
      <c r="I93" s="116">
        <f t="shared" si="80"/>
        <v>3.3148822479758215</v>
      </c>
      <c r="J93" s="21">
        <f t="shared" si="66"/>
        <v>0.1028067050115674</v>
      </c>
      <c r="K93" s="116">
        <f t="shared" si="81"/>
        <v>2.7172165163989765</v>
      </c>
      <c r="M93" s="25">
        <v>44781.938194444447</v>
      </c>
      <c r="N93" s="26">
        <v>4.4088138339007498E-3</v>
      </c>
      <c r="O93" s="27">
        <v>3.8438540350000001</v>
      </c>
      <c r="P93" s="28">
        <v>1453</v>
      </c>
      <c r="Q93" s="29">
        <f t="shared" si="82"/>
        <v>24.216666666666665</v>
      </c>
      <c r="R93" s="26">
        <f t="shared" si="67"/>
        <v>0.10676677501096316</v>
      </c>
      <c r="S93" s="29">
        <f t="shared" si="83"/>
        <v>12.418775120350533</v>
      </c>
      <c r="T93" s="29">
        <f t="shared" si="84"/>
        <v>8.3060606173600046E-2</v>
      </c>
      <c r="U93" s="117">
        <f t="shared" si="85"/>
        <v>1.0315109894299381</v>
      </c>
      <c r="V93" s="118">
        <f t="shared" si="68"/>
        <v>3.0884367730214635E-2</v>
      </c>
      <c r="W93" s="117">
        <f t="shared" si="86"/>
        <v>0.38354601757574636</v>
      </c>
      <c r="Y93" s="35">
        <v>45136.927083333336</v>
      </c>
      <c r="Z93" s="71">
        <v>8.0022825967643006E-3</v>
      </c>
      <c r="AA93" s="70">
        <v>1.511415151</v>
      </c>
      <c r="AB93" s="36">
        <v>4005</v>
      </c>
      <c r="AC93" s="37">
        <f t="shared" si="87"/>
        <v>66.75</v>
      </c>
      <c r="AD93" s="37">
        <f t="shared" si="69"/>
        <v>0.53415236333401706</v>
      </c>
      <c r="AE93" s="38">
        <f t="shared" si="88"/>
        <v>27.320662019534588</v>
      </c>
      <c r="AF93" s="38">
        <f t="shared" si="89"/>
        <v>2.8169382536995941E-2</v>
      </c>
      <c r="AG93" s="38">
        <f t="shared" si="90"/>
        <v>0.76960617959224586</v>
      </c>
      <c r="AH93" s="38">
        <f t="shared" si="116"/>
        <v>1.3928949608650451E-2</v>
      </c>
      <c r="AI93" s="38">
        <f t="shared" si="91"/>
        <v>0.38054812454506753</v>
      </c>
      <c r="AK93" s="45">
        <v>45151.9375</v>
      </c>
      <c r="AL93" s="4">
        <v>6.7675484953585901E-3</v>
      </c>
      <c r="AM93" s="3">
        <v>1.5821856839999999</v>
      </c>
      <c r="AN93" s="4">
        <v>2130</v>
      </c>
      <c r="AO93" s="46">
        <f t="shared" si="92"/>
        <v>35.5</v>
      </c>
      <c r="AP93" s="47">
        <f t="shared" si="71"/>
        <v>0.24024797158522995</v>
      </c>
      <c r="AQ93" s="50">
        <f t="shared" si="93"/>
        <v>18.474073292647134</v>
      </c>
      <c r="AR93" s="50">
        <f t="shared" si="94"/>
        <v>0.53145501299134179</v>
      </c>
      <c r="AS93" s="50">
        <f t="shared" si="95"/>
        <v>9.8181388617467835</v>
      </c>
      <c r="AT93" s="50">
        <f t="shared" si="72"/>
        <v>9.4626180999367204E-2</v>
      </c>
      <c r="AU93" s="50">
        <f t="shared" si="96"/>
        <v>1.7481310031856034</v>
      </c>
      <c r="AW93" s="51">
        <v>45166.9375</v>
      </c>
      <c r="AX93" s="72">
        <v>9.9046559080952293E-3</v>
      </c>
      <c r="AY93" s="73">
        <v>0.399936554</v>
      </c>
      <c r="AZ93" s="52">
        <v>2866</v>
      </c>
      <c r="BA93" s="53">
        <f t="shared" si="97"/>
        <v>47.766666666666666</v>
      </c>
      <c r="BB93" s="72">
        <f t="shared" si="73"/>
        <v>0.47311239721001547</v>
      </c>
      <c r="BC93" s="54">
        <f t="shared" si="98"/>
        <v>25.744450365142487</v>
      </c>
      <c r="BD93" s="54">
        <f t="shared" si="99"/>
        <v>1.1142011144614616E-2</v>
      </c>
      <c r="BE93" s="54">
        <f t="shared" si="100"/>
        <v>0.28684495288039541</v>
      </c>
      <c r="BF93" s="54">
        <f t="shared" si="74"/>
        <v>0</v>
      </c>
      <c r="BG93" s="54">
        <f t="shared" si="101"/>
        <v>0</v>
      </c>
      <c r="BI93" s="66">
        <v>45183.9375</v>
      </c>
      <c r="BJ93" s="67">
        <v>8.9769309717601706E-2</v>
      </c>
      <c r="BK93" s="68">
        <v>1.4444654269999999</v>
      </c>
      <c r="BL93" s="68">
        <v>7915</v>
      </c>
      <c r="BM93" s="68">
        <f t="shared" si="102"/>
        <v>131.91666666666666</v>
      </c>
      <c r="BN93" s="68">
        <f t="shared" si="75"/>
        <v>11.842068106913624</v>
      </c>
      <c r="BO93" s="69">
        <f t="shared" si="103"/>
        <v>124.59799853071195</v>
      </c>
      <c r="BP93" s="69">
        <f t="shared" si="104"/>
        <v>1</v>
      </c>
      <c r="BQ93" s="69">
        <f t="shared" si="105"/>
        <v>124.59799853071195</v>
      </c>
      <c r="BR93" s="69">
        <f t="shared" si="76"/>
        <v>1</v>
      </c>
      <c r="BS93" s="69">
        <f t="shared" si="106"/>
        <v>124.59799853071195</v>
      </c>
      <c r="CC93" s="87">
        <v>45048.1875</v>
      </c>
      <c r="CD93" s="109">
        <v>5.7609515284711602E-2</v>
      </c>
      <c r="CE93" s="88">
        <v>84.891986889999998</v>
      </c>
      <c r="CF93" s="89">
        <v>5019</v>
      </c>
      <c r="CG93" s="90">
        <f t="shared" si="107"/>
        <v>83.65</v>
      </c>
      <c r="CH93" s="91">
        <f t="shared" si="108"/>
        <v>4.819035953566126</v>
      </c>
      <c r="CI93" s="91">
        <f t="shared" si="109"/>
        <v>80.223053105084546</v>
      </c>
      <c r="CK93" s="93">
        <v>45050.1875</v>
      </c>
      <c r="CL93">
        <v>0.108264783929756</v>
      </c>
      <c r="CM93" s="95">
        <v>119.87671349999999</v>
      </c>
      <c r="CN93" s="4">
        <v>4214</v>
      </c>
      <c r="CO93" s="95">
        <f t="shared" si="110"/>
        <v>70.233333333333334</v>
      </c>
      <c r="CP93" s="94">
        <f t="shared" si="111"/>
        <v>7.6037966579998626</v>
      </c>
      <c r="CQ93" s="96">
        <f t="shared" si="112"/>
        <v>100.2984509805308</v>
      </c>
      <c r="CS93" s="10">
        <v>45051.447916666664</v>
      </c>
      <c r="CT93" s="110">
        <v>0.100515429510497</v>
      </c>
      <c r="CU93" s="21">
        <v>95.138397370000007</v>
      </c>
      <c r="CV93" s="111">
        <v>3962</v>
      </c>
      <c r="CW93" s="21">
        <f t="shared" si="113"/>
        <v>66.033333333333331</v>
      </c>
      <c r="CX93" s="21">
        <f t="shared" si="114"/>
        <v>6.6373688620098177</v>
      </c>
      <c r="CY93" s="21">
        <f t="shared" si="115"/>
        <v>93.839354383232575</v>
      </c>
    </row>
    <row r="94" spans="1:103" x14ac:dyDescent="0.3">
      <c r="A94" s="10">
        <v>44777.000694444447</v>
      </c>
      <c r="B94" s="11">
        <v>6.3385999173041297E-3</v>
      </c>
      <c r="C94" s="12">
        <v>2.2059633774999998</v>
      </c>
      <c r="D94" s="9">
        <v>3563</v>
      </c>
      <c r="E94" s="13">
        <f t="shared" si="77"/>
        <v>59.383333333333333</v>
      </c>
      <c r="F94" s="12">
        <f t="shared" si="65"/>
        <v>0.37640719175591025</v>
      </c>
      <c r="G94" s="13">
        <f t="shared" si="78"/>
        <v>23.017241398062826</v>
      </c>
      <c r="H94" s="11">
        <f t="shared" si="79"/>
        <v>0.12393732035339695</v>
      </c>
      <c r="I94" s="116">
        <f t="shared" si="80"/>
        <v>2.8526952208031826</v>
      </c>
      <c r="J94" s="21">
        <f t="shared" si="66"/>
        <v>7.733836658373934E-2</v>
      </c>
      <c r="K94" s="116">
        <f t="shared" si="81"/>
        <v>1.7801158529898038</v>
      </c>
      <c r="M94" s="25">
        <v>44781.948611111111</v>
      </c>
      <c r="N94" s="26">
        <v>4.5317888265637499E-3</v>
      </c>
      <c r="O94" s="27">
        <v>3.4907628965000002</v>
      </c>
      <c r="P94" s="28">
        <v>1318</v>
      </c>
      <c r="Q94" s="29">
        <f t="shared" si="82"/>
        <v>21.966666666666665</v>
      </c>
      <c r="R94" s="26">
        <f t="shared" si="67"/>
        <v>9.9548294556850367E-2</v>
      </c>
      <c r="S94" s="29">
        <f t="shared" si="83"/>
        <v>12.000262783276698</v>
      </c>
      <c r="T94" s="29">
        <f t="shared" si="84"/>
        <v>7.1564822878164319E-2</v>
      </c>
      <c r="U94" s="117">
        <f t="shared" si="85"/>
        <v>0.85879668057662406</v>
      </c>
      <c r="V94" s="118">
        <f t="shared" si="68"/>
        <v>2.7225296536894501E-2</v>
      </c>
      <c r="W94" s="117">
        <f t="shared" si="86"/>
        <v>0.32671071279536706</v>
      </c>
      <c r="Y94" s="35">
        <v>45136.9375</v>
      </c>
      <c r="Z94" s="71">
        <v>9.5363846435916992E-3</v>
      </c>
      <c r="AA94" s="70">
        <v>1.729502407</v>
      </c>
      <c r="AB94" s="36">
        <v>4461</v>
      </c>
      <c r="AC94" s="37">
        <f t="shared" si="87"/>
        <v>74.349999999999994</v>
      </c>
      <c r="AD94" s="37">
        <f t="shared" si="69"/>
        <v>0.70903019825104274</v>
      </c>
      <c r="AE94" s="38">
        <f t="shared" si="88"/>
        <v>31.385143033866363</v>
      </c>
      <c r="AF94" s="38">
        <f t="shared" si="89"/>
        <v>3.9551899496801449E-2</v>
      </c>
      <c r="AG94" s="38">
        <f t="shared" si="90"/>
        <v>1.2413420229682206</v>
      </c>
      <c r="AH94" s="38">
        <f t="shared" si="116"/>
        <v>6.0296033122001325E-2</v>
      </c>
      <c r="AI94" s="38">
        <f t="shared" si="91"/>
        <v>1.8923996239087555</v>
      </c>
      <c r="AK94" s="45">
        <v>45151.947916666664</v>
      </c>
      <c r="AL94" s="4">
        <v>5.8736080325113502E-3</v>
      </c>
      <c r="AM94" s="3">
        <v>1.257509953</v>
      </c>
      <c r="AN94" s="4">
        <v>1495</v>
      </c>
      <c r="AO94" s="46">
        <f t="shared" si="92"/>
        <v>24.916666666666668</v>
      </c>
      <c r="AP94" s="47">
        <f t="shared" si="71"/>
        <v>0.14635073347674116</v>
      </c>
      <c r="AQ94" s="50">
        <f t="shared" si="93"/>
        <v>14.492639081801148</v>
      </c>
      <c r="AR94" s="50">
        <f t="shared" si="94"/>
        <v>0.3548455154465045</v>
      </c>
      <c r="AS94" s="50">
        <f t="shared" si="95"/>
        <v>5.1426479851618838</v>
      </c>
      <c r="AT94" s="50">
        <f t="shared" si="72"/>
        <v>2.0263280476288663E-2</v>
      </c>
      <c r="AU94" s="50">
        <f t="shared" si="96"/>
        <v>0.29366841055615928</v>
      </c>
      <c r="AW94" s="51">
        <v>45166.947916666664</v>
      </c>
      <c r="AX94" s="72">
        <v>1.3411186758724001E-2</v>
      </c>
      <c r="AY94" s="73">
        <v>0.562700329</v>
      </c>
      <c r="AZ94" s="52">
        <v>4577</v>
      </c>
      <c r="BA94" s="53">
        <f t="shared" si="97"/>
        <v>76.283333333333331</v>
      </c>
      <c r="BB94" s="72">
        <f t="shared" si="73"/>
        <v>1.0230500299113292</v>
      </c>
      <c r="BC94" s="54">
        <f t="shared" si="98"/>
        <v>37.55779534446684</v>
      </c>
      <c r="BD94" s="54">
        <f t="shared" si="99"/>
        <v>9.8277434793974883E-2</v>
      </c>
      <c r="BE94" s="54">
        <f t="shared" si="100"/>
        <v>3.691083782971293</v>
      </c>
      <c r="BF94" s="54">
        <f t="shared" si="74"/>
        <v>6.0072270503261131E-2</v>
      </c>
      <c r="BG94" s="54">
        <f t="shared" si="101"/>
        <v>2.2561820414389335</v>
      </c>
      <c r="BI94" s="66">
        <v>45183.947916666664</v>
      </c>
      <c r="BJ94" s="67">
        <v>7.5313832368877606E-2</v>
      </c>
      <c r="BK94" s="68">
        <v>2.060445487</v>
      </c>
      <c r="BL94" s="68">
        <v>7488</v>
      </c>
      <c r="BM94" s="68">
        <f t="shared" si="102"/>
        <v>124.8</v>
      </c>
      <c r="BN94" s="68">
        <f t="shared" si="75"/>
        <v>9.3991662796359243</v>
      </c>
      <c r="BO94" s="69">
        <f t="shared" si="103"/>
        <v>111.26932127393435</v>
      </c>
      <c r="BP94" s="69">
        <f t="shared" si="104"/>
        <v>1</v>
      </c>
      <c r="BQ94" s="69">
        <f t="shared" si="105"/>
        <v>111.26932127393435</v>
      </c>
      <c r="BR94" s="69">
        <f t="shared" si="76"/>
        <v>0.79089957080948026</v>
      </c>
      <c r="BS94" s="69">
        <f t="shared" si="106"/>
        <v>88.002858439816848</v>
      </c>
      <c r="CC94" s="87">
        <v>45048.197916666664</v>
      </c>
      <c r="CD94" s="109">
        <v>5.3378237534721602E-2</v>
      </c>
      <c r="CE94" s="88">
        <v>84.891986889999998</v>
      </c>
      <c r="CF94" s="89">
        <v>5162</v>
      </c>
      <c r="CG94" s="90">
        <f t="shared" si="107"/>
        <v>86.033333333333331</v>
      </c>
      <c r="CH94" s="91">
        <f t="shared" si="108"/>
        <v>4.5923077025705483</v>
      </c>
      <c r="CI94" s="91">
        <f t="shared" si="109"/>
        <v>78.35201385928282</v>
      </c>
      <c r="CK94" s="93">
        <v>45050.197916666664</v>
      </c>
      <c r="CL94">
        <v>9.5806923765879196E-2</v>
      </c>
      <c r="CM94" s="95">
        <v>114.8986831</v>
      </c>
      <c r="CN94" s="4">
        <v>4167</v>
      </c>
      <c r="CO94" s="95">
        <f t="shared" si="110"/>
        <v>69.45</v>
      </c>
      <c r="CP94" s="94">
        <f t="shared" si="111"/>
        <v>6.6537908555403105</v>
      </c>
      <c r="CQ94" s="96">
        <f t="shared" si="112"/>
        <v>93.952978659316784</v>
      </c>
      <c r="CS94" s="10">
        <v>45051.458333333336</v>
      </c>
      <c r="CT94" s="110">
        <v>9.7364753523139003E-2</v>
      </c>
      <c r="CU94" s="21">
        <v>97.229596529999995</v>
      </c>
      <c r="CV94" s="111">
        <v>4218</v>
      </c>
      <c r="CW94" s="21">
        <f t="shared" si="113"/>
        <v>70.3</v>
      </c>
      <c r="CX94" s="21">
        <f t="shared" si="114"/>
        <v>6.8447421726766713</v>
      </c>
      <c r="CY94" s="21">
        <f t="shared" si="115"/>
        <v>95.26381323322326</v>
      </c>
    </row>
    <row r="95" spans="1:103" x14ac:dyDescent="0.3">
      <c r="A95" s="8"/>
      <c r="B95" s="1"/>
      <c r="J95" s="6"/>
      <c r="M95" s="25">
        <v>44781.959027777775</v>
      </c>
      <c r="N95" s="26">
        <v>3.8378663378689898E-3</v>
      </c>
      <c r="O95" s="27">
        <v>3.5250784804999999</v>
      </c>
      <c r="P95" s="28">
        <v>1194</v>
      </c>
      <c r="Q95" s="29">
        <f t="shared" si="82"/>
        <v>19.899999999999999</v>
      </c>
      <c r="R95" s="26">
        <f t="shared" si="67"/>
        <v>7.637354012359289E-2</v>
      </c>
      <c r="S95" s="29">
        <f t="shared" si="83"/>
        <v>10.539760480415518</v>
      </c>
      <c r="T95" s="29">
        <f t="shared" si="84"/>
        <v>7.2682054307409941E-2</v>
      </c>
      <c r="U95" s="117">
        <f t="shared" si="85"/>
        <v>0.76605144362465383</v>
      </c>
      <c r="V95" s="118">
        <f t="shared" si="68"/>
        <v>1.5477938225397491E-2</v>
      </c>
      <c r="W95" s="117">
        <f t="shared" si="86"/>
        <v>0.16313376162635718</v>
      </c>
      <c r="Y95" s="35">
        <v>45136.947916666664</v>
      </c>
      <c r="Z95" s="71">
        <v>7.37387912710124E-3</v>
      </c>
      <c r="AA95" s="70">
        <v>1.511415151</v>
      </c>
      <c r="AB95" s="36">
        <v>4103</v>
      </c>
      <c r="AC95" s="37">
        <f t="shared" si="87"/>
        <v>68.38333333333334</v>
      </c>
      <c r="AD95" s="37">
        <f t="shared" si="69"/>
        <v>0.50425043430827321</v>
      </c>
      <c r="AE95" s="38">
        <f t="shared" si="88"/>
        <v>26.560697547969596</v>
      </c>
      <c r="AF95" s="38">
        <f t="shared" si="89"/>
        <v>2.8169382536995941E-2</v>
      </c>
      <c r="AG95" s="38">
        <f t="shared" si="90"/>
        <v>0.74819844967820559</v>
      </c>
      <c r="AH95" s="38">
        <f t="shared" si="116"/>
        <v>6.0007565302949706E-3</v>
      </c>
      <c r="AI95" s="38">
        <f t="shared" si="91"/>
        <v>0.15938427926016815</v>
      </c>
      <c r="AK95" s="45">
        <v>45151.958333333336</v>
      </c>
      <c r="AL95" s="4">
        <v>7.4799488374922701E-3</v>
      </c>
      <c r="AM95" s="3">
        <v>1.257509953</v>
      </c>
      <c r="AN95" s="4">
        <v>1358</v>
      </c>
      <c r="AO95" s="46">
        <f t="shared" si="92"/>
        <v>22.633333333333333</v>
      </c>
      <c r="AP95" s="47">
        <f t="shared" si="71"/>
        <v>0.16929617535524172</v>
      </c>
      <c r="AQ95" s="50">
        <f t="shared" si="93"/>
        <v>15.564031479115961</v>
      </c>
      <c r="AR95" s="50">
        <f t="shared" si="94"/>
        <v>0.3548455154465045</v>
      </c>
      <c r="AS95" s="50">
        <f t="shared" si="95"/>
        <v>5.5228267726325253</v>
      </c>
      <c r="AT95" s="50">
        <f t="shared" si="72"/>
        <v>3.8435163337183588E-2</v>
      </c>
      <c r="AU95" s="50">
        <f t="shared" si="96"/>
        <v>0.59820609208488906</v>
      </c>
      <c r="AW95" s="51">
        <v>45166.958333333336</v>
      </c>
      <c r="AX95" s="72">
        <v>1.2861010188509801E-2</v>
      </c>
      <c r="AY95" s="73">
        <v>0.562700329</v>
      </c>
      <c r="AZ95" s="52">
        <v>4303</v>
      </c>
      <c r="BA95" s="53">
        <f t="shared" si="97"/>
        <v>71.716666666666669</v>
      </c>
      <c r="BB95" s="72">
        <f t="shared" si="73"/>
        <v>0.92234878068596127</v>
      </c>
      <c r="BC95" s="54">
        <f t="shared" si="98"/>
        <v>35.69955160850747</v>
      </c>
      <c r="BD95" s="54">
        <f t="shared" si="99"/>
        <v>9.8277434793974883E-2</v>
      </c>
      <c r="BE95" s="54">
        <f t="shared" si="100"/>
        <v>3.508460355379234</v>
      </c>
      <c r="BF95" s="54">
        <f t="shared" si="74"/>
        <v>4.39814613545782E-2</v>
      </c>
      <c r="BG95" s="54">
        <f t="shared" si="101"/>
        <v>1.5701184494453413</v>
      </c>
      <c r="BI95" s="66">
        <v>45183.958333333336</v>
      </c>
      <c r="BJ95" s="67">
        <v>7.3342412991595607E-2</v>
      </c>
      <c r="BK95" s="68">
        <v>1.3790541089999999</v>
      </c>
      <c r="BL95" s="68">
        <v>7870</v>
      </c>
      <c r="BM95" s="68">
        <f t="shared" si="102"/>
        <v>131.16666666666666</v>
      </c>
      <c r="BN95" s="68">
        <f t="shared" si="75"/>
        <v>9.6200798373976237</v>
      </c>
      <c r="BO95" s="69">
        <f t="shared" si="103"/>
        <v>112.54240468732938</v>
      </c>
      <c r="BP95" s="69">
        <f t="shared" si="104"/>
        <v>0.93285209191610496</v>
      </c>
      <c r="BQ95" s="69">
        <f t="shared" si="105"/>
        <v>104.98541764184407</v>
      </c>
      <c r="BR95" s="69">
        <f t="shared" si="76"/>
        <v>0.80980868914824389</v>
      </c>
      <c r="BS95" s="69">
        <f t="shared" si="106"/>
        <v>91.137817213437387</v>
      </c>
      <c r="CC95" s="87">
        <v>45048.208333333336</v>
      </c>
      <c r="CD95" s="109">
        <v>5.8218619343655999E-2</v>
      </c>
      <c r="CE95" s="88">
        <v>85.762083380000007</v>
      </c>
      <c r="CF95" s="89">
        <v>5027</v>
      </c>
      <c r="CG95" s="90">
        <f t="shared" si="107"/>
        <v>83.783333333333331</v>
      </c>
      <c r="CH95" s="91">
        <f t="shared" si="108"/>
        <v>4.8777499906759783</v>
      </c>
      <c r="CI95" s="91">
        <f t="shared" si="109"/>
        <v>80.700216501286377</v>
      </c>
      <c r="CK95" s="93">
        <v>45050.208333333336</v>
      </c>
      <c r="CL95">
        <v>0.10742198420841501</v>
      </c>
      <c r="CM95" s="95">
        <v>110.9974619</v>
      </c>
      <c r="CN95" s="4">
        <v>4319</v>
      </c>
      <c r="CO95" s="95">
        <f t="shared" si="110"/>
        <v>71.983333333333334</v>
      </c>
      <c r="CP95" s="94">
        <f t="shared" si="111"/>
        <v>7.7325924966024067</v>
      </c>
      <c r="CQ95" s="96">
        <f t="shared" si="112"/>
        <v>101.1268328041553</v>
      </c>
      <c r="CS95" s="10">
        <v>45051.46875</v>
      </c>
      <c r="CT95" s="110">
        <v>9.2927327723139594E-2</v>
      </c>
      <c r="CU95" s="21">
        <v>95.138397370000007</v>
      </c>
      <c r="CV95" s="111">
        <v>3891</v>
      </c>
      <c r="CW95" s="21">
        <f t="shared" si="113"/>
        <v>64.849999999999994</v>
      </c>
      <c r="CX95" s="21">
        <f t="shared" si="114"/>
        <v>6.0263372028456024</v>
      </c>
      <c r="CY95" s="21">
        <f t="shared" si="115"/>
        <v>89.504682601837686</v>
      </c>
    </row>
    <row r="96" spans="1:103" x14ac:dyDescent="0.3">
      <c r="A96" s="8"/>
      <c r="B96" s="1"/>
      <c r="C96" s="1"/>
      <c r="H96" s="113" t="s">
        <v>54</v>
      </c>
      <c r="I96" s="114">
        <f>INDEX(F3:F94, MATCH(MAX(G3:G94), G3:G94, 0))</f>
        <v>4.8252724833329532</v>
      </c>
      <c r="K96" s="115">
        <f>AVERAGE(F3:F60)</f>
        <v>3.499115446604314E-3</v>
      </c>
      <c r="M96" s="25">
        <v>44781.969444444447</v>
      </c>
      <c r="N96" s="26">
        <v>4.2240790635549898E-3</v>
      </c>
      <c r="O96" s="27">
        <v>3.3236783504999998</v>
      </c>
      <c r="P96" s="28">
        <v>1326</v>
      </c>
      <c r="Q96" s="29">
        <f t="shared" si="82"/>
        <v>22.1</v>
      </c>
      <c r="R96" s="26">
        <f t="shared" si="67"/>
        <v>9.3352147304565286E-2</v>
      </c>
      <c r="S96" s="29">
        <f t="shared" si="83"/>
        <v>11.628493871820435</v>
      </c>
      <c r="T96" s="29">
        <f t="shared" si="84"/>
        <v>6.6124958992052493E-2</v>
      </c>
      <c r="U96" s="117">
        <f t="shared" si="85"/>
        <v>0.76893368041346</v>
      </c>
      <c r="V96" s="118">
        <f t="shared" si="68"/>
        <v>2.4084449364898845E-2</v>
      </c>
      <c r="W96" s="117">
        <f t="shared" si="86"/>
        <v>0.28006587184589576</v>
      </c>
      <c r="Y96" s="35">
        <v>45136.958333333336</v>
      </c>
      <c r="Z96" s="71">
        <v>8.0316100528620808E-3</v>
      </c>
      <c r="AA96" s="70">
        <v>1.654461261</v>
      </c>
      <c r="AB96" s="36">
        <v>4394</v>
      </c>
      <c r="AC96" s="37">
        <f t="shared" si="87"/>
        <v>73.233333333333334</v>
      </c>
      <c r="AD96" s="37">
        <f t="shared" si="69"/>
        <v>0.58818157620459977</v>
      </c>
      <c r="AE96" s="38">
        <f t="shared" si="88"/>
        <v>28.640680563368452</v>
      </c>
      <c r="AF96" s="38">
        <f t="shared" si="89"/>
        <v>3.5635315223632176E-2</v>
      </c>
      <c r="AG96" s="38">
        <f t="shared" si="90"/>
        <v>1.02061968009499</v>
      </c>
      <c r="AH96" s="38">
        <f t="shared" si="116"/>
        <v>2.8254247188641373E-2</v>
      </c>
      <c r="AI96" s="38">
        <f t="shared" si="91"/>
        <v>0.80922086828832873</v>
      </c>
      <c r="AK96" s="45">
        <v>45151.96875</v>
      </c>
      <c r="AL96" s="4">
        <v>4.5972659347956199E-3</v>
      </c>
      <c r="AM96" s="3">
        <v>1.091323134</v>
      </c>
      <c r="AN96" s="4">
        <v>1089</v>
      </c>
      <c r="AO96" s="46">
        <f t="shared" si="92"/>
        <v>18.149999999999999</v>
      </c>
      <c r="AP96" s="47">
        <f t="shared" si="71"/>
        <v>8.344037671654049E-2</v>
      </c>
      <c r="AQ96" s="50">
        <f t="shared" si="93"/>
        <v>11.006558477905832</v>
      </c>
      <c r="AR96" s="50">
        <f t="shared" si="94"/>
        <v>0.26444710312364184</v>
      </c>
      <c r="AS96" s="50">
        <f t="shared" si="95"/>
        <v>2.9106525048431577</v>
      </c>
      <c r="AT96" s="50">
        <f t="shared" si="72"/>
        <v>0</v>
      </c>
      <c r="AU96" s="50">
        <f t="shared" si="96"/>
        <v>0</v>
      </c>
      <c r="AW96" s="51">
        <v>45166.96875</v>
      </c>
      <c r="AX96" s="72">
        <v>1.02421598377785E-2</v>
      </c>
      <c r="AY96" s="73">
        <v>0.475692385</v>
      </c>
      <c r="AZ96" s="52">
        <v>3708</v>
      </c>
      <c r="BA96" s="53">
        <f t="shared" si="97"/>
        <v>61.8</v>
      </c>
      <c r="BB96" s="72">
        <f t="shared" si="73"/>
        <v>0.63296547797471125</v>
      </c>
      <c r="BC96" s="54">
        <f t="shared" si="98"/>
        <v>29.688577585078416</v>
      </c>
      <c r="BD96" s="54">
        <f t="shared" si="99"/>
        <v>5.1697819266503769E-2</v>
      </c>
      <c r="BE96" s="54">
        <f t="shared" si="100"/>
        <v>1.5348347182729589</v>
      </c>
      <c r="BF96" s="54">
        <f t="shared" si="74"/>
        <v>0</v>
      </c>
      <c r="BG96" s="54">
        <f t="shared" si="101"/>
        <v>0</v>
      </c>
      <c r="BI96" s="66">
        <v>45183.96875</v>
      </c>
      <c r="BJ96" s="67">
        <v>6.63745645184151E-2</v>
      </c>
      <c r="BK96" s="68">
        <v>1.5809633519999999</v>
      </c>
      <c r="BL96" s="68">
        <v>7717</v>
      </c>
      <c r="BM96" s="68">
        <f t="shared" si="102"/>
        <v>128.61666666666667</v>
      </c>
      <c r="BN96" s="68">
        <f t="shared" si="75"/>
        <v>8.5368752398101559</v>
      </c>
      <c r="BO96" s="69">
        <f t="shared" si="103"/>
        <v>106.14772263372836</v>
      </c>
      <c r="BP96" s="69">
        <f t="shared" si="104"/>
        <v>1</v>
      </c>
      <c r="BQ96" s="69">
        <f t="shared" si="105"/>
        <v>106.14772263372836</v>
      </c>
      <c r="BR96" s="69">
        <f t="shared" si="76"/>
        <v>0.71709168196949558</v>
      </c>
      <c r="BS96" s="69">
        <f t="shared" si="106"/>
        <v>76.117648960651763</v>
      </c>
      <c r="CC96" s="87">
        <v>45048.21875</v>
      </c>
      <c r="CD96" s="109">
        <v>5.6562753387459398E-2</v>
      </c>
      <c r="CE96" s="88">
        <v>87.915213519999995</v>
      </c>
      <c r="CF96" s="89">
        <v>4917</v>
      </c>
      <c r="CG96" s="90">
        <f t="shared" si="107"/>
        <v>81.95</v>
      </c>
      <c r="CH96" s="91">
        <f t="shared" si="108"/>
        <v>4.635317640102298</v>
      </c>
      <c r="CI96" s="91">
        <f t="shared" si="109"/>
        <v>78.710509537231189</v>
      </c>
      <c r="CK96" s="93">
        <v>45050.21875</v>
      </c>
      <c r="CL96">
        <v>8.2221809300291507E-2</v>
      </c>
      <c r="CM96" s="95">
        <v>109.01829240000001</v>
      </c>
      <c r="CN96" s="4">
        <v>4309</v>
      </c>
      <c r="CO96" s="95">
        <f t="shared" si="110"/>
        <v>71.816666666666663</v>
      </c>
      <c r="CP96" s="94">
        <f t="shared" si="111"/>
        <v>5.9048962712492683</v>
      </c>
      <c r="CQ96" s="96">
        <f t="shared" si="112"/>
        <v>88.616836602522028</v>
      </c>
      <c r="CS96" s="10">
        <v>45051.479166666664</v>
      </c>
      <c r="CT96" s="110">
        <v>0.10403863509563099</v>
      </c>
      <c r="CU96" s="21">
        <v>98.474887140000007</v>
      </c>
      <c r="CV96" s="111">
        <v>3829</v>
      </c>
      <c r="CW96" s="21">
        <f t="shared" si="113"/>
        <v>63.81666666666667</v>
      </c>
      <c r="CX96" s="21">
        <f t="shared" si="114"/>
        <v>6.6393988963528514</v>
      </c>
      <c r="CY96" s="21">
        <f t="shared" si="115"/>
        <v>93.853408017893173</v>
      </c>
    </row>
    <row r="97" spans="1:103" x14ac:dyDescent="0.3">
      <c r="A97" s="8"/>
      <c r="B97" s="1"/>
      <c r="C97" s="1"/>
      <c r="K97" s="115">
        <f>_xlfn.PERCENTILE.INC(F3:F94, 0.1)</f>
        <v>2.5330927506875501E-3</v>
      </c>
      <c r="M97" s="25">
        <v>44781.979861111111</v>
      </c>
      <c r="N97" s="26">
        <v>4.0585551869587099E-3</v>
      </c>
      <c r="O97" s="27">
        <v>3.2549971329999998</v>
      </c>
      <c r="P97" s="28">
        <v>1281</v>
      </c>
      <c r="Q97" s="29">
        <f t="shared" si="82"/>
        <v>21.35</v>
      </c>
      <c r="R97" s="26">
        <f t="shared" si="67"/>
        <v>8.6650153241568467E-2</v>
      </c>
      <c r="S97" s="29">
        <f t="shared" si="83"/>
        <v>11.211900529191803</v>
      </c>
      <c r="T97" s="29">
        <f t="shared" si="84"/>
        <v>6.3888866644335046E-2</v>
      </c>
      <c r="U97" s="117">
        <f t="shared" si="85"/>
        <v>0.7163156177390847</v>
      </c>
      <c r="V97" s="118">
        <f t="shared" si="68"/>
        <v>2.0687186801177138E-2</v>
      </c>
      <c r="W97" s="117">
        <f t="shared" si="86"/>
        <v>0.23194268064360765</v>
      </c>
      <c r="Y97" s="35">
        <v>45136.96875</v>
      </c>
      <c r="Z97" s="71">
        <v>7.2991931379905702E-3</v>
      </c>
      <c r="AA97" s="70">
        <v>1.4444654269999999</v>
      </c>
      <c r="AB97" s="36">
        <v>3944</v>
      </c>
      <c r="AC97" s="37">
        <f t="shared" si="87"/>
        <v>65.733333333333334</v>
      </c>
      <c r="AD97" s="37">
        <f t="shared" si="69"/>
        <v>0.47980029560391346</v>
      </c>
      <c r="AE97" s="38">
        <f t="shared" si="88"/>
        <v>25.922024993699843</v>
      </c>
      <c r="AF97" s="38">
        <f t="shared" si="89"/>
        <v>2.4675109726830919E-2</v>
      </c>
      <c r="AG97" s="38">
        <f t="shared" si="90"/>
        <v>0.63962881106119718</v>
      </c>
      <c r="AH97" s="38">
        <f t="shared" si="116"/>
        <v>0</v>
      </c>
      <c r="AI97" s="38">
        <f t="shared" si="91"/>
        <v>0</v>
      </c>
      <c r="AK97" s="45">
        <v>45151.979166666664</v>
      </c>
      <c r="AL97" s="4">
        <v>5.7985926547394996E-3</v>
      </c>
      <c r="AM97" s="3">
        <v>1.200201638</v>
      </c>
      <c r="AN97" s="4">
        <v>1231</v>
      </c>
      <c r="AO97" s="46">
        <f t="shared" si="92"/>
        <v>20.516666666666666</v>
      </c>
      <c r="AP97" s="47">
        <f t="shared" si="71"/>
        <v>0.11896779263307206</v>
      </c>
      <c r="AQ97" s="50">
        <f t="shared" si="93"/>
        <v>13.094573920461817</v>
      </c>
      <c r="AR97" s="50">
        <f t="shared" si="94"/>
        <v>0.32367228088992694</v>
      </c>
      <c r="AS97" s="50">
        <f t="shared" si="95"/>
        <v>4.2383506081176296</v>
      </c>
      <c r="AT97" s="50">
        <f t="shared" si="72"/>
        <v>0</v>
      </c>
      <c r="AU97" s="50">
        <f t="shared" si="96"/>
        <v>0</v>
      </c>
      <c r="AW97" s="51">
        <v>45166.979166666664</v>
      </c>
      <c r="AX97" s="72">
        <v>1.3324224432231699E-2</v>
      </c>
      <c r="AY97" s="73">
        <v>0.475692385</v>
      </c>
      <c r="AZ97" s="52">
        <v>3555</v>
      </c>
      <c r="BA97" s="53">
        <f t="shared" si="97"/>
        <v>59.25</v>
      </c>
      <c r="BB97" s="72">
        <f t="shared" si="73"/>
        <v>0.78946029760972813</v>
      </c>
      <c r="BC97" s="54">
        <f t="shared" si="98"/>
        <v>33.08081782499211</v>
      </c>
      <c r="BD97" s="54">
        <f t="shared" si="99"/>
        <v>5.1697819266503769E-2</v>
      </c>
      <c r="BE97" s="54">
        <f t="shared" si="100"/>
        <v>1.7102061411045784</v>
      </c>
      <c r="BF97" s="54">
        <f t="shared" si="74"/>
        <v>2.2747531927822015E-2</v>
      </c>
      <c r="BG97" s="54">
        <f t="shared" si="101"/>
        <v>0.75250695967247161</v>
      </c>
      <c r="BI97" s="66">
        <v>45183.979166666664</v>
      </c>
      <c r="BJ97" s="67">
        <v>6.8756285186304805E-2</v>
      </c>
      <c r="BK97" s="68">
        <v>1.4444654269999999</v>
      </c>
      <c r="BL97" s="68">
        <v>8444</v>
      </c>
      <c r="BM97" s="68">
        <f t="shared" si="102"/>
        <v>140.73333333333332</v>
      </c>
      <c r="BN97" s="68">
        <f t="shared" si="75"/>
        <v>9.6763012018859627</v>
      </c>
      <c r="BO97" s="69">
        <f t="shared" si="103"/>
        <v>112.86400971102771</v>
      </c>
      <c r="BP97" s="69">
        <f t="shared" si="104"/>
        <v>1</v>
      </c>
      <c r="BQ97" s="69">
        <f t="shared" si="105"/>
        <v>112.86400971102771</v>
      </c>
      <c r="BR97" s="69">
        <f t="shared" si="76"/>
        <v>0.81462096253267569</v>
      </c>
      <c r="BS97" s="69">
        <f t="shared" si="106"/>
        <v>91.941388226094645</v>
      </c>
      <c r="CC97" s="87">
        <v>45048.229166666664</v>
      </c>
      <c r="CD97" s="109">
        <v>5.3881482007732302E-2</v>
      </c>
      <c r="CE97" s="88">
        <v>87.058386479999996</v>
      </c>
      <c r="CF97" s="89">
        <v>5173</v>
      </c>
      <c r="CG97" s="90">
        <f t="shared" si="107"/>
        <v>86.216666666666669</v>
      </c>
      <c r="CH97" s="91">
        <f t="shared" si="108"/>
        <v>4.6454817737666536</v>
      </c>
      <c r="CI97" s="91">
        <f t="shared" si="109"/>
        <v>78.794981175166939</v>
      </c>
      <c r="CK97" s="93">
        <v>45050.229166666664</v>
      </c>
      <c r="CL97">
        <v>8.1388670504260005E-2</v>
      </c>
      <c r="CM97" s="95">
        <v>107.8236938</v>
      </c>
      <c r="CN97" s="4">
        <v>4463</v>
      </c>
      <c r="CO97" s="95">
        <f t="shared" si="110"/>
        <v>74.38333333333334</v>
      </c>
      <c r="CP97" s="94">
        <f t="shared" si="111"/>
        <v>6.0539606076752071</v>
      </c>
      <c r="CQ97" s="96">
        <f t="shared" si="112"/>
        <v>89.705357283736475</v>
      </c>
      <c r="CS97" s="10">
        <v>45051.489583333336</v>
      </c>
      <c r="CT97" s="110">
        <v>0.10769810020982699</v>
      </c>
      <c r="CU97" s="21">
        <v>90.915794009999999</v>
      </c>
      <c r="CV97" s="111">
        <v>4046</v>
      </c>
      <c r="CW97" s="21">
        <f t="shared" si="113"/>
        <v>67.433333333333337</v>
      </c>
      <c r="CX97" s="21">
        <f t="shared" si="114"/>
        <v>7.2624418908160004</v>
      </c>
      <c r="CY97" s="21">
        <f t="shared" si="115"/>
        <v>98.067651810767472</v>
      </c>
    </row>
    <row r="98" spans="1:103" x14ac:dyDescent="0.3">
      <c r="A98" s="8"/>
      <c r="B98" s="1"/>
      <c r="C98" s="1"/>
      <c r="M98" s="25">
        <v>44781.990277777775</v>
      </c>
      <c r="N98" s="26">
        <v>4.1262590136064998E-3</v>
      </c>
      <c r="O98" s="27">
        <v>3.3297358964999999</v>
      </c>
      <c r="P98" s="28">
        <v>1324</v>
      </c>
      <c r="Q98" s="29">
        <f t="shared" si="82"/>
        <v>22.066666666666666</v>
      </c>
      <c r="R98" s="26">
        <f t="shared" si="67"/>
        <v>9.1052782233583429E-2</v>
      </c>
      <c r="S98" s="29">
        <f t="shared" si="83"/>
        <v>11.487340197684183</v>
      </c>
      <c r="T98" s="29">
        <f t="shared" si="84"/>
        <v>6.6322177864250653E-2</v>
      </c>
      <c r="U98" s="117">
        <f t="shared" si="85"/>
        <v>0.76186541977796662</v>
      </c>
      <c r="V98" s="118">
        <f t="shared" si="68"/>
        <v>2.2918893740326567E-2</v>
      </c>
      <c r="W98" s="117">
        <f t="shared" si="86"/>
        <v>0.26327712934970576</v>
      </c>
      <c r="Y98" s="35">
        <v>45136.979166666664</v>
      </c>
      <c r="Z98" s="71">
        <v>7.3404619826555198E-3</v>
      </c>
      <c r="AA98" s="70">
        <v>1.654461261</v>
      </c>
      <c r="AB98" s="36">
        <v>4270</v>
      </c>
      <c r="AC98" s="37">
        <f t="shared" si="87"/>
        <v>71.166666666666671</v>
      </c>
      <c r="AD98" s="37">
        <f t="shared" si="69"/>
        <v>0.52239621109898449</v>
      </c>
      <c r="AE98" s="38">
        <f t="shared" si="88"/>
        <v>27.024533240405859</v>
      </c>
      <c r="AF98" s="38">
        <f t="shared" si="89"/>
        <v>3.5635315223632176E-2</v>
      </c>
      <c r="AG98" s="38">
        <f t="shared" si="90"/>
        <v>0.9630277607933887</v>
      </c>
      <c r="AH98" s="38">
        <f t="shared" si="116"/>
        <v>1.0811925128469445E-2</v>
      </c>
      <c r="AI98" s="38">
        <f t="shared" si="91"/>
        <v>0.2921872300271019</v>
      </c>
      <c r="AK98" s="45">
        <v>45151.989583333336</v>
      </c>
      <c r="AL98" s="4">
        <v>4.9418558586177396E-3</v>
      </c>
      <c r="AM98" s="3">
        <v>1.091323134</v>
      </c>
      <c r="AN98" s="4">
        <v>1249</v>
      </c>
      <c r="AO98" s="46">
        <f t="shared" si="92"/>
        <v>20.816666666666666</v>
      </c>
      <c r="AP98" s="47">
        <f t="shared" si="71"/>
        <v>0.10287296612355928</v>
      </c>
      <c r="AQ98" s="50">
        <f t="shared" si="93"/>
        <v>12.194879706571419</v>
      </c>
      <c r="AR98" s="50">
        <f t="shared" si="94"/>
        <v>0.26444710312364184</v>
      </c>
      <c r="AS98" s="50">
        <f t="shared" si="95"/>
        <v>3.2249006113440992</v>
      </c>
      <c r="AT98" s="50">
        <f t="shared" si="72"/>
        <v>0</v>
      </c>
      <c r="AU98" s="50">
        <f t="shared" si="96"/>
        <v>0</v>
      </c>
      <c r="AW98" s="51">
        <v>45166.989583333336</v>
      </c>
      <c r="AX98" s="72">
        <v>1.3544568633006999E-2</v>
      </c>
      <c r="AY98" s="73">
        <v>0.53201108200000002</v>
      </c>
      <c r="AZ98" s="52">
        <v>4299</v>
      </c>
      <c r="BA98" s="53">
        <f t="shared" si="97"/>
        <v>71.650000000000006</v>
      </c>
      <c r="BB98" s="72">
        <f t="shared" si="73"/>
        <v>0.97046834255495151</v>
      </c>
      <c r="BC98" s="54">
        <f t="shared" si="98"/>
        <v>36.599771247132161</v>
      </c>
      <c r="BD98" s="54">
        <f t="shared" si="99"/>
        <v>8.1847977202291131E-2</v>
      </c>
      <c r="BE98" s="54">
        <f t="shared" si="100"/>
        <v>2.9956172426443435</v>
      </c>
      <c r="BF98" s="54">
        <f t="shared" si="74"/>
        <v>5.1670369807137011E-2</v>
      </c>
      <c r="BG98" s="54">
        <f t="shared" si="101"/>
        <v>1.8911237151959388</v>
      </c>
      <c r="BI98" s="66">
        <v>45183.989583333336</v>
      </c>
      <c r="BJ98" s="67">
        <v>5.2860391631022803E-2</v>
      </c>
      <c r="BK98" s="68">
        <v>1.091323134</v>
      </c>
      <c r="BL98" s="68">
        <v>8972</v>
      </c>
      <c r="BM98" s="68">
        <f t="shared" si="102"/>
        <v>149.53333333333333</v>
      </c>
      <c r="BN98" s="68">
        <f t="shared" si="75"/>
        <v>7.9043905618922761</v>
      </c>
      <c r="BO98" s="69">
        <f t="shared" si="103"/>
        <v>102.22091020609001</v>
      </c>
      <c r="BP98" s="69">
        <f t="shared" si="104"/>
        <v>0.6374822132325797</v>
      </c>
      <c r="BQ98" s="69">
        <f t="shared" si="105"/>
        <v>65.164012076827049</v>
      </c>
      <c r="BR98" s="69">
        <f t="shared" si="76"/>
        <v>0.66295409193934884</v>
      </c>
      <c r="BS98" s="69">
        <f t="shared" si="106"/>
        <v>67.767770702892122</v>
      </c>
      <c r="CC98" s="87">
        <v>45048.239583333336</v>
      </c>
      <c r="CD98" s="109">
        <v>5.1844132465842699E-2</v>
      </c>
      <c r="CE98" s="88">
        <v>86.199962600000006</v>
      </c>
      <c r="CF98" s="89">
        <v>5410</v>
      </c>
      <c r="CG98" s="90">
        <f t="shared" si="107"/>
        <v>90.166666666666671</v>
      </c>
      <c r="CH98" s="91">
        <f t="shared" si="108"/>
        <v>4.6746126106701507</v>
      </c>
      <c r="CI98" s="91">
        <f t="shared" si="109"/>
        <v>79.036559311057331</v>
      </c>
      <c r="CK98" s="93">
        <v>45050.239583333336</v>
      </c>
      <c r="CL98">
        <v>9.0531815948286895E-2</v>
      </c>
      <c r="CM98" s="95">
        <v>113.3477233</v>
      </c>
      <c r="CN98" s="4">
        <v>4326</v>
      </c>
      <c r="CO98" s="95">
        <f t="shared" si="110"/>
        <v>72.099999999999994</v>
      </c>
      <c r="CP98" s="94">
        <f t="shared" si="111"/>
        <v>6.5273439298714848</v>
      </c>
      <c r="CQ98" s="96">
        <f t="shared" si="112"/>
        <v>93.074359240155488</v>
      </c>
      <c r="CS98" s="10">
        <v>45051.5</v>
      </c>
      <c r="CT98" s="110">
        <v>0.113356883921284</v>
      </c>
      <c r="CU98" s="21">
        <v>101.3564556</v>
      </c>
      <c r="CV98" s="111">
        <v>3656</v>
      </c>
      <c r="CW98" s="21">
        <f t="shared" si="113"/>
        <v>60.93333333333333</v>
      </c>
      <c r="CX98" s="21">
        <f t="shared" si="114"/>
        <v>6.9072127936035717</v>
      </c>
      <c r="CY98" s="21">
        <f t="shared" si="115"/>
        <v>95.688597969416961</v>
      </c>
    </row>
    <row r="99" spans="1:103" x14ac:dyDescent="0.3">
      <c r="M99" s="25">
        <v>44782.000694444447</v>
      </c>
      <c r="N99" s="26">
        <v>4.8494832153276202E-3</v>
      </c>
      <c r="O99" s="27">
        <v>3.3683360045000001</v>
      </c>
      <c r="P99" s="28">
        <v>1362</v>
      </c>
      <c r="Q99" s="29">
        <f t="shared" si="82"/>
        <v>22.7</v>
      </c>
      <c r="R99" s="26">
        <f t="shared" ref="R99" si="117">Q99*N99</f>
        <v>0.11008326898793698</v>
      </c>
      <c r="S99" s="29">
        <f t="shared" si="83"/>
        <v>12.606209548605374</v>
      </c>
      <c r="T99" s="29">
        <f t="shared" si="84"/>
        <v>6.7578902908763241E-2</v>
      </c>
      <c r="U99" s="117">
        <f t="shared" si="85"/>
        <v>0.85191381113272668</v>
      </c>
      <c r="V99" s="118">
        <f t="shared" si="68"/>
        <v>3.2565509301644736E-2</v>
      </c>
      <c r="W99" s="117">
        <f t="shared" si="86"/>
        <v>0.41052763431359102</v>
      </c>
      <c r="Y99" s="35">
        <v>45136.989583333336</v>
      </c>
      <c r="Z99" s="71">
        <v>8.1048084086548008E-3</v>
      </c>
      <c r="AA99" s="70">
        <v>1.729502407</v>
      </c>
      <c r="AB99" s="36">
        <v>4299</v>
      </c>
      <c r="AC99" s="37">
        <f t="shared" si="87"/>
        <v>71.650000000000006</v>
      </c>
      <c r="AD99" s="37">
        <f t="shared" si="69"/>
        <v>0.58070952248011654</v>
      </c>
      <c r="AE99" s="38">
        <f t="shared" si="88"/>
        <v>28.461926274567773</v>
      </c>
      <c r="AF99" s="38">
        <f t="shared" si="89"/>
        <v>3.9551899496801449E-2</v>
      </c>
      <c r="AG99" s="38">
        <f t="shared" si="90"/>
        <v>1.1257232474970771</v>
      </c>
      <c r="AH99" s="38">
        <f t="shared" si="116"/>
        <v>2.6273107959511838E-2</v>
      </c>
      <c r="AI99" s="38">
        <f t="shared" si="91"/>
        <v>0.74778326174738563</v>
      </c>
      <c r="AK99" s="45">
        <v>45152</v>
      </c>
      <c r="AL99" s="4">
        <v>3.7873648888279501E-3</v>
      </c>
      <c r="AM99" s="3">
        <v>0.85462156099999997</v>
      </c>
      <c r="AN99" s="4">
        <v>958</v>
      </c>
      <c r="AO99" s="46">
        <f t="shared" si="92"/>
        <v>15.966666666666667</v>
      </c>
      <c r="AP99" s="47">
        <f t="shared" ref="AP99" si="118">AO99*AL99</f>
        <v>6.0471592724952936E-2</v>
      </c>
      <c r="AQ99" s="50">
        <f t="shared" si="93"/>
        <v>9.4011139527273802</v>
      </c>
      <c r="AR99" s="50">
        <f t="shared" si="94"/>
        <v>0.13569172696156384</v>
      </c>
      <c r="AS99" s="50">
        <f t="shared" si="95"/>
        <v>1.2756533876080318</v>
      </c>
      <c r="AT99" s="50">
        <f>IF((AP99-$AU$101)/($AS$101-$AU$101)&lt;0, 0, IF((AP99-$AU$101)/($AS$101-$AU$101)&gt;1, 1, (AP99-$AU$101)/($AS$101-$AU$101)))</f>
        <v>0</v>
      </c>
      <c r="AU99" s="50">
        <f t="shared" si="96"/>
        <v>0</v>
      </c>
      <c r="AW99" s="51">
        <v>45167</v>
      </c>
      <c r="AX99" s="72">
        <v>9.7988975464284207E-3</v>
      </c>
      <c r="AY99" s="73">
        <v>0.475692385</v>
      </c>
      <c r="AZ99" s="52">
        <v>3616</v>
      </c>
      <c r="BA99" s="53">
        <f t="shared" si="97"/>
        <v>60.266666666666666</v>
      </c>
      <c r="BB99" s="72">
        <f t="shared" ref="BB99" si="119">BA99*AX99</f>
        <v>0.59054689213141953</v>
      </c>
      <c r="BC99" s="54">
        <f t="shared" si="98"/>
        <v>28.697024376637046</v>
      </c>
      <c r="BD99" s="54">
        <f t="shared" si="99"/>
        <v>5.1697819266503769E-2</v>
      </c>
      <c r="BE99" s="54">
        <f t="shared" si="100"/>
        <v>1.4835735797098351</v>
      </c>
      <c r="BF99" s="54">
        <f>IF((BB99-$BG$101)/($BE$101-$BG$101)&lt;0, 0, IF((BB99-$BG$101)/($BE$101-$BG$101)&gt;1, 1, (BB99-$BG$101)/($BE$101-$BG$101)))</f>
        <v>0</v>
      </c>
      <c r="BG99" s="54">
        <f t="shared" si="101"/>
        <v>0</v>
      </c>
      <c r="BI99" s="66">
        <v>45184</v>
      </c>
      <c r="BJ99" s="67">
        <v>4.6886027111684499E-2</v>
      </c>
      <c r="BK99" s="68">
        <v>1.091323134</v>
      </c>
      <c r="BL99" s="68">
        <v>9081</v>
      </c>
      <c r="BM99" s="68">
        <f t="shared" si="102"/>
        <v>151.35</v>
      </c>
      <c r="BN99" s="68">
        <f t="shared" ref="BN99" si="120">BM99*BJ99</f>
        <v>7.0962002033534484</v>
      </c>
      <c r="BO99" s="69">
        <f t="shared" si="103"/>
        <v>96.961864078761835</v>
      </c>
      <c r="BP99" s="69">
        <f t="shared" si="104"/>
        <v>0.6374822132325797</v>
      </c>
      <c r="BQ99" s="69">
        <f t="shared" si="105"/>
        <v>61.811463712085661</v>
      </c>
      <c r="BR99" s="69">
        <f>IF((BN99-$BS$101)/($BQ$101-$BS$101)&lt;0, 0, IF((BN99-$BS$101)/($BQ$101-$BS$101)&gt;1, 1, (BN99-$BS$101)/($BQ$101-$BS$101)))</f>
        <v>0.59377695639050454</v>
      </c>
      <c r="BS99" s="69">
        <f t="shared" si="106"/>
        <v>57.573720538636998</v>
      </c>
      <c r="CC99" s="87">
        <v>45048.25</v>
      </c>
      <c r="CD99" s="109">
        <v>5.2616185150752101E-2</v>
      </c>
      <c r="CE99" s="88">
        <v>87.915213519999995</v>
      </c>
      <c r="CF99" s="89">
        <v>5318</v>
      </c>
      <c r="CG99" s="90">
        <f t="shared" si="107"/>
        <v>88.63333333333334</v>
      </c>
      <c r="CH99" s="91">
        <f t="shared" si="108"/>
        <v>4.6635478771949952</v>
      </c>
      <c r="CI99" s="91">
        <f t="shared" si="109"/>
        <v>78.944891685831678</v>
      </c>
      <c r="CK99" s="93">
        <v>45050.25</v>
      </c>
      <c r="CL99">
        <v>8.6593569944977494E-2</v>
      </c>
      <c r="CM99" s="95">
        <v>116.4455014</v>
      </c>
      <c r="CN99" s="4">
        <v>4392</v>
      </c>
      <c r="CO99" s="95">
        <f t="shared" si="110"/>
        <v>73.2</v>
      </c>
      <c r="CP99" s="94">
        <f t="shared" si="111"/>
        <v>6.3386493199723528</v>
      </c>
      <c r="CQ99" s="96">
        <f t="shared" si="112"/>
        <v>91.746897928617159</v>
      </c>
      <c r="CS99" s="10">
        <v>45051.510416666664</v>
      </c>
      <c r="CT99" s="110">
        <v>0.13438043402341099</v>
      </c>
      <c r="CU99" s="21">
        <v>95.977802339999997</v>
      </c>
      <c r="CV99" s="111">
        <v>3586</v>
      </c>
      <c r="CW99" s="21">
        <f t="shared" si="113"/>
        <v>59.766666666666666</v>
      </c>
      <c r="CX99" s="21">
        <f t="shared" si="114"/>
        <v>8.0314706067991963</v>
      </c>
      <c r="CY99" s="21">
        <f t="shared" si="115"/>
        <v>103.02241841356445</v>
      </c>
    </row>
    <row r="100" spans="1:103" x14ac:dyDescent="0.3">
      <c r="V100" s="6"/>
      <c r="Y100" s="35">
        <v>45137</v>
      </c>
      <c r="Z100" s="71">
        <v>7.3052188785446004E-3</v>
      </c>
      <c r="AA100" s="70">
        <v>1.511415151</v>
      </c>
      <c r="AB100" s="36">
        <v>3911</v>
      </c>
      <c r="AC100" s="37">
        <f t="shared" si="87"/>
        <v>65.183333333333337</v>
      </c>
      <c r="AD100" s="37">
        <f t="shared" si="69"/>
        <v>0.4761785172331322</v>
      </c>
      <c r="AE100" s="38">
        <f t="shared" si="88"/>
        <v>25.826018806095679</v>
      </c>
      <c r="AF100" s="38">
        <f t="shared" si="89"/>
        <v>2.8169382536995941E-2</v>
      </c>
      <c r="AG100" s="38">
        <f t="shared" si="90"/>
        <v>0.72750300315656036</v>
      </c>
      <c r="AH100" s="38">
        <f>IF((AD100-$AI$102)/($AG$102-$AI$102)&lt;0, 0, IF((AD100-$AI$102)/($AG$102-$AI$102)&gt;1, 1, (AD100-$AI$102)/($AG$102-$AI$102)))</f>
        <v>0</v>
      </c>
      <c r="AI100" s="38">
        <f t="shared" si="91"/>
        <v>0</v>
      </c>
      <c r="CC100" s="87">
        <v>45048.260416666664</v>
      </c>
      <c r="CD100" s="109">
        <v>5.2349656721349898E-2</v>
      </c>
      <c r="CE100" s="88">
        <v>84.460540300000005</v>
      </c>
      <c r="CF100" s="89">
        <v>5282</v>
      </c>
      <c r="CG100" s="90">
        <f t="shared" si="107"/>
        <v>88.033333333333331</v>
      </c>
      <c r="CH100" s="91">
        <f t="shared" si="108"/>
        <v>4.6085147800361694</v>
      </c>
      <c r="CI100" s="91">
        <f t="shared" si="109"/>
        <v>78.487303157563844</v>
      </c>
      <c r="CK100" s="93">
        <v>45050.260416666664</v>
      </c>
      <c r="CL100">
        <v>9.7450429602227995E-2</v>
      </c>
      <c r="CM100" s="95">
        <v>111.7853645</v>
      </c>
      <c r="CN100" s="4">
        <v>4401</v>
      </c>
      <c r="CO100" s="95">
        <f t="shared" si="110"/>
        <v>73.349999999999994</v>
      </c>
      <c r="CP100" s="94">
        <f t="shared" si="111"/>
        <v>7.147989011323423</v>
      </c>
      <c r="CQ100" s="96">
        <f t="shared" si="112"/>
        <v>97.30775138187532</v>
      </c>
      <c r="CS100" s="10">
        <v>45051.520833333336</v>
      </c>
      <c r="CT100" s="110">
        <v>0.11428642601559499</v>
      </c>
      <c r="CU100" s="21">
        <v>101.3564556</v>
      </c>
      <c r="CV100" s="111">
        <v>3720</v>
      </c>
      <c r="CW100" s="21">
        <f t="shared" si="113"/>
        <v>62</v>
      </c>
      <c r="CX100" s="21">
        <f t="shared" si="114"/>
        <v>7.0857584129668894</v>
      </c>
      <c r="CY100" s="21">
        <f t="shared" si="115"/>
        <v>96.891969528525919</v>
      </c>
    </row>
    <row r="101" spans="1:103" x14ac:dyDescent="0.3">
      <c r="T101" s="113" t="s">
        <v>54</v>
      </c>
      <c r="U101" s="114">
        <f>INDEX(R3:R99, MATCH(MAX(S3:S99), S3:S99, 0))</f>
        <v>2.0186022872812361</v>
      </c>
      <c r="V101" s="113" t="s">
        <v>55</v>
      </c>
      <c r="W101" s="115">
        <f>AVERAGE(R3:R56)</f>
        <v>6.4242824195454448E-2</v>
      </c>
      <c r="AR101" s="113" t="s">
        <v>54</v>
      </c>
      <c r="AS101" s="114">
        <f>INDEX(AP3:AP99, MATCH(MAX(AQ3:AQ99), AQ3:AQ99, 0))</f>
        <v>1.3834537968274923</v>
      </c>
      <c r="AT101" s="113" t="s">
        <v>55</v>
      </c>
      <c r="AU101" s="115">
        <f>AVERAGE(AP3:AP66)</f>
        <v>0.1207645062268953</v>
      </c>
      <c r="BD101" s="113" t="s">
        <v>54</v>
      </c>
      <c r="BE101" s="114">
        <f>INDEX(BB3:BB99, MATCH(MAX(BC3:BC99), BC3:BC99, 0))</f>
        <v>6.9054078198322166</v>
      </c>
      <c r="BF101" s="113" t="s">
        <v>55</v>
      </c>
      <c r="BG101" s="115">
        <f>AVERAGE(BB3:BB43)</f>
        <v>0.64709922298887113</v>
      </c>
      <c r="BP101" s="113" t="s">
        <v>54</v>
      </c>
      <c r="BQ101" s="114">
        <f>INDEX(BN3:BN99, MATCH(MAX(BO3:BO99), BO3:BO99, 0))</f>
        <v>11.842068106913624</v>
      </c>
      <c r="BR101" s="113" t="s">
        <v>55</v>
      </c>
      <c r="BS101" s="115">
        <f>AVERAGE(BN3:BN54)</f>
        <v>0.15915651876057563</v>
      </c>
      <c r="CC101" s="87">
        <v>45048.270833333336</v>
      </c>
      <c r="CD101" s="109">
        <v>5.0385986252861198E-2</v>
      </c>
      <c r="CE101" s="88">
        <v>88.350109630000006</v>
      </c>
      <c r="CF101" s="89">
        <v>5619</v>
      </c>
      <c r="CG101" s="90">
        <f t="shared" si="107"/>
        <v>93.65</v>
      </c>
      <c r="CH101" s="91">
        <f t="shared" si="108"/>
        <v>4.7186476125804511</v>
      </c>
      <c r="CI101" s="91">
        <f t="shared" si="109"/>
        <v>79.400281975333314</v>
      </c>
      <c r="CK101" s="93">
        <v>45050.270833333336</v>
      </c>
      <c r="CL101">
        <v>8.2204192890266994E-2</v>
      </c>
      <c r="CM101" s="95">
        <v>109.0251016</v>
      </c>
      <c r="CN101" s="4">
        <v>4457</v>
      </c>
      <c r="CO101" s="95">
        <f t="shared" si="110"/>
        <v>74.283333333333331</v>
      </c>
      <c r="CP101" s="94">
        <f t="shared" si="111"/>
        <v>6.1064014618653335</v>
      </c>
      <c r="CQ101" s="96">
        <f t="shared" si="112"/>
        <v>90.085040933887186</v>
      </c>
      <c r="CS101" s="10">
        <v>45051.53125</v>
      </c>
      <c r="CT101" s="110">
        <v>9.3030308060758404E-2</v>
      </c>
      <c r="CU101" s="21">
        <v>89.635700749999998</v>
      </c>
      <c r="CV101" s="111">
        <v>4336</v>
      </c>
      <c r="CW101" s="21">
        <f t="shared" si="113"/>
        <v>72.266666666666666</v>
      </c>
      <c r="CX101" s="21">
        <f t="shared" si="114"/>
        <v>6.7229902625241404</v>
      </c>
      <c r="CY101" s="21">
        <f t="shared" si="115"/>
        <v>94.430206681554665</v>
      </c>
    </row>
    <row r="102" spans="1:103" x14ac:dyDescent="0.3">
      <c r="W102" s="115">
        <f>_xlfn.PERCENTILE.INC(R3:R99, 0.1)</f>
        <v>4.5839235474379736E-2</v>
      </c>
      <c r="AF102" s="113" t="s">
        <v>54</v>
      </c>
      <c r="AG102" s="114">
        <f>INDEX(AD3:AD100, MATCH(MAX(AE3:AE100), AE3:AE100, 0))</f>
        <v>4.2532124658988861</v>
      </c>
      <c r="AH102" s="113" t="s">
        <v>55</v>
      </c>
      <c r="AI102" s="115">
        <f>AVERAGE(AD3:AD53)</f>
        <v>0.48161801427305523</v>
      </c>
      <c r="AU102" s="115">
        <f>_xlfn.PERCENTILE.INC(AP3:AP99, 0.1)</f>
        <v>6.5000864499156499E-2</v>
      </c>
      <c r="BG102" s="115">
        <f>_xlfn.PERCENTILE.INC(BB3:BB99, 0.1)</f>
        <v>0.37781192012713483</v>
      </c>
      <c r="BS102" s="115">
        <f>_xlfn.PERCENTILE.INC(BN3:BN99, 0.1)</f>
        <v>9.3764657066039495E-2</v>
      </c>
      <c r="CC102" s="87">
        <v>45048.28125</v>
      </c>
      <c r="CD102" s="109">
        <v>4.9499674707769302E-2</v>
      </c>
      <c r="CE102" s="88">
        <v>84.891986889999998</v>
      </c>
      <c r="CF102" s="89">
        <v>5262</v>
      </c>
      <c r="CG102" s="90">
        <f t="shared" si="107"/>
        <v>87.7</v>
      </c>
      <c r="CH102" s="91">
        <f t="shared" si="108"/>
        <v>4.341121471871368</v>
      </c>
      <c r="CI102" s="91">
        <f t="shared" si="109"/>
        <v>76.223214833757211</v>
      </c>
      <c r="CK102" s="93">
        <v>45050.28125</v>
      </c>
      <c r="CL102">
        <v>0.101095774562754</v>
      </c>
      <c r="CM102" s="95">
        <v>103.3988808</v>
      </c>
      <c r="CN102" s="4">
        <v>4269</v>
      </c>
      <c r="CO102" s="95">
        <f t="shared" si="110"/>
        <v>71.150000000000006</v>
      </c>
      <c r="CP102" s="94">
        <f t="shared" si="111"/>
        <v>7.1929643601399471</v>
      </c>
      <c r="CQ102" s="96">
        <f t="shared" si="112"/>
        <v>97.607096808186895</v>
      </c>
      <c r="CS102" s="10">
        <v>45051.541666666664</v>
      </c>
      <c r="CT102" s="110">
        <v>8.5312203573155901E-2</v>
      </c>
      <c r="CU102" s="21">
        <v>99.714355679999997</v>
      </c>
      <c r="CV102" s="111">
        <v>4289</v>
      </c>
      <c r="CW102" s="21">
        <f t="shared" si="113"/>
        <v>71.483333333333334</v>
      </c>
      <c r="CX102" s="21">
        <f t="shared" si="114"/>
        <v>6.0984006854210948</v>
      </c>
      <c r="CY102" s="21">
        <f t="shared" si="115"/>
        <v>90.027221368255411</v>
      </c>
    </row>
    <row r="103" spans="1:103" x14ac:dyDescent="0.3">
      <c r="AI103" s="115">
        <f>_xlfn.PERCENTILE.INC(AD3:AD100, 0.1)</f>
        <v>0.30201596985108997</v>
      </c>
      <c r="CC103" s="87">
        <v>45048.291666666664</v>
      </c>
      <c r="CD103" s="109">
        <v>5.4661558451575998E-2</v>
      </c>
      <c r="CE103" s="88">
        <v>84.891986889999998</v>
      </c>
      <c r="CF103" s="89">
        <v>5421</v>
      </c>
      <c r="CG103" s="90">
        <f t="shared" si="107"/>
        <v>90.35</v>
      </c>
      <c r="CH103" s="91">
        <f t="shared" si="108"/>
        <v>4.9386718060998911</v>
      </c>
      <c r="CI103" s="91">
        <f t="shared" si="109"/>
        <v>81.192234018365667</v>
      </c>
      <c r="CK103" s="93">
        <v>45050.291666666664</v>
      </c>
      <c r="CL103">
        <v>0.101128799611506</v>
      </c>
      <c r="CM103" s="95">
        <v>107.0292163</v>
      </c>
      <c r="CN103" s="4">
        <v>4289</v>
      </c>
      <c r="CO103" s="95">
        <f t="shared" si="110"/>
        <v>71.483333333333334</v>
      </c>
      <c r="CP103" s="94">
        <f t="shared" si="111"/>
        <v>7.2290236922291546</v>
      </c>
      <c r="CQ103" s="96">
        <f t="shared" si="112"/>
        <v>97.846410091869757</v>
      </c>
      <c r="CS103" s="10">
        <v>45051.552083333336</v>
      </c>
      <c r="CT103" s="110">
        <v>8.3470110812574605E-2</v>
      </c>
      <c r="CU103" s="21">
        <v>86.192545629999998</v>
      </c>
      <c r="CV103" s="111">
        <v>4451</v>
      </c>
      <c r="CW103" s="21">
        <f t="shared" si="113"/>
        <v>74.183333333333337</v>
      </c>
      <c r="CX103" s="21">
        <f t="shared" si="114"/>
        <v>6.1920910537794933</v>
      </c>
      <c r="CY103" s="21">
        <f t="shared" si="115"/>
        <v>90.701889658746708</v>
      </c>
    </row>
    <row r="104" spans="1:103" x14ac:dyDescent="0.3">
      <c r="CC104" s="87">
        <v>45048.302083333336</v>
      </c>
      <c r="CD104" s="109">
        <v>4.6483980321691799E-2</v>
      </c>
      <c r="CE104" s="88">
        <v>83.586986100000004</v>
      </c>
      <c r="CF104" s="89">
        <v>5647</v>
      </c>
      <c r="CG104" s="90">
        <f t="shared" si="107"/>
        <v>94.11666666666666</v>
      </c>
      <c r="CH104" s="91">
        <f t="shared" si="108"/>
        <v>4.3749172812765593</v>
      </c>
      <c r="CI104" s="91">
        <f t="shared" si="109"/>
        <v>76.513228277851653</v>
      </c>
      <c r="CK104" s="93">
        <v>45050.302083333336</v>
      </c>
      <c r="CL104">
        <v>8.7004751600331304E-2</v>
      </c>
      <c r="CM104" s="95">
        <v>110.60554279999999</v>
      </c>
      <c r="CN104" s="4">
        <v>4308</v>
      </c>
      <c r="CO104" s="95">
        <f t="shared" si="110"/>
        <v>71.8</v>
      </c>
      <c r="CP104" s="94">
        <f t="shared" si="111"/>
        <v>6.2469411649037871</v>
      </c>
      <c r="CQ104" s="96">
        <f t="shared" si="112"/>
        <v>91.094451698623004</v>
      </c>
      <c r="CS104" s="10">
        <v>45051.5625</v>
      </c>
      <c r="CT104" s="110">
        <v>9.72560778149507E-2</v>
      </c>
      <c r="CU104" s="21">
        <v>100.5402337</v>
      </c>
      <c r="CV104" s="111">
        <v>4138</v>
      </c>
      <c r="CW104" s="21">
        <f t="shared" si="113"/>
        <v>68.966666666666669</v>
      </c>
      <c r="CX104" s="21">
        <f t="shared" si="114"/>
        <v>6.7074274999711001</v>
      </c>
      <c r="CY104" s="21">
        <f t="shared" si="115"/>
        <v>94.323098662623849</v>
      </c>
    </row>
    <row r="105" spans="1:103" x14ac:dyDescent="0.3">
      <c r="CC105" s="87">
        <v>45048.3125</v>
      </c>
      <c r="CD105" s="109">
        <v>5.30868746243085E-2</v>
      </c>
      <c r="CE105" s="88">
        <v>84.891986889999998</v>
      </c>
      <c r="CF105" s="89">
        <v>5307</v>
      </c>
      <c r="CG105" s="90">
        <f t="shared" si="107"/>
        <v>88.45</v>
      </c>
      <c r="CH105" s="91">
        <f t="shared" si="108"/>
        <v>4.695534060520087</v>
      </c>
      <c r="CI105" s="91">
        <f t="shared" si="109"/>
        <v>79.209584438192763</v>
      </c>
      <c r="CK105" s="93">
        <v>45050.3125</v>
      </c>
      <c r="CL105">
        <v>9.0428473747536806E-2</v>
      </c>
      <c r="CM105" s="95">
        <v>104.61473460000001</v>
      </c>
      <c r="CN105" s="4">
        <v>4351</v>
      </c>
      <c r="CO105" s="95">
        <f t="shared" si="110"/>
        <v>72.516666666666666</v>
      </c>
      <c r="CP105" s="94">
        <f t="shared" si="111"/>
        <v>6.5575714879255438</v>
      </c>
      <c r="CQ105" s="96">
        <f t="shared" si="112"/>
        <v>93.28518052938378</v>
      </c>
      <c r="CS105" s="10">
        <v>45051.572916666664</v>
      </c>
      <c r="CT105" s="110">
        <v>8.7326172761078805E-2</v>
      </c>
      <c r="CU105" s="21">
        <v>93.877037450000003</v>
      </c>
      <c r="CV105" s="111">
        <v>4346</v>
      </c>
      <c r="CW105" s="21">
        <f t="shared" si="113"/>
        <v>72.433333333333337</v>
      </c>
      <c r="CX105" s="21">
        <f t="shared" si="114"/>
        <v>6.3253257803274749</v>
      </c>
      <c r="CY105" s="21">
        <f t="shared" si="115"/>
        <v>91.652409747644924</v>
      </c>
    </row>
    <row r="106" spans="1:103" x14ac:dyDescent="0.3">
      <c r="CC106" s="87">
        <v>45048.322916666664</v>
      </c>
      <c r="CD106" s="109">
        <v>5.1452142795135103E-2</v>
      </c>
      <c r="CE106" s="88">
        <v>84.460540300000005</v>
      </c>
      <c r="CF106" s="89">
        <v>5433</v>
      </c>
      <c r="CG106" s="90">
        <f t="shared" si="107"/>
        <v>90.55</v>
      </c>
      <c r="CH106" s="91">
        <f t="shared" si="108"/>
        <v>4.6589915300994837</v>
      </c>
      <c r="CI106" s="91">
        <f t="shared" si="109"/>
        <v>78.907111612121881</v>
      </c>
      <c r="CK106" s="93">
        <v>45050.322916666664</v>
      </c>
      <c r="CL106">
        <v>9.0630886500395996E-2</v>
      </c>
      <c r="CM106" s="95">
        <v>107.8305381</v>
      </c>
      <c r="CN106" s="4">
        <v>4294</v>
      </c>
      <c r="CO106" s="95">
        <f t="shared" si="110"/>
        <v>71.566666666666663</v>
      </c>
      <c r="CP106" s="94">
        <f t="shared" si="111"/>
        <v>6.4861504438783397</v>
      </c>
      <c r="CQ106" s="96">
        <f t="shared" si="112"/>
        <v>92.786252654080201</v>
      </c>
      <c r="CS106" s="10">
        <v>45051.583333333336</v>
      </c>
      <c r="CT106" s="110">
        <v>8.4677768324801395E-2</v>
      </c>
      <c r="CU106" s="21">
        <v>95.145588619999998</v>
      </c>
      <c r="CV106" s="111">
        <v>4402</v>
      </c>
      <c r="CW106" s="21">
        <f t="shared" si="113"/>
        <v>73.36666666666666</v>
      </c>
      <c r="CX106" s="21">
        <f t="shared" si="114"/>
        <v>6.2125256027629288</v>
      </c>
      <c r="CY106" s="21">
        <f t="shared" si="115"/>
        <v>90.848346252519647</v>
      </c>
    </row>
    <row r="107" spans="1:103" x14ac:dyDescent="0.3">
      <c r="CC107" s="87">
        <v>45048.333333333336</v>
      </c>
      <c r="CD107" s="109">
        <v>5.24608509325281E-2</v>
      </c>
      <c r="CE107" s="88">
        <v>82.711152870000006</v>
      </c>
      <c r="CF107" s="89">
        <v>5374</v>
      </c>
      <c r="CG107" s="90">
        <f t="shared" si="107"/>
        <v>89.566666666666663</v>
      </c>
      <c r="CH107" s="91">
        <f t="shared" si="108"/>
        <v>4.6987435485234332</v>
      </c>
      <c r="CI107" s="91">
        <f t="shared" si="109"/>
        <v>79.236092799347745</v>
      </c>
      <c r="CK107" s="93">
        <v>45050.333333333336</v>
      </c>
      <c r="CL107">
        <v>8.1982963684330404E-2</v>
      </c>
      <c r="CM107" s="95">
        <v>99.304680700000006</v>
      </c>
      <c r="CN107" s="4">
        <v>4322</v>
      </c>
      <c r="CO107" s="95">
        <f t="shared" si="110"/>
        <v>72.033333333333331</v>
      </c>
      <c r="CP107" s="94">
        <f t="shared" si="111"/>
        <v>5.9055061507279332</v>
      </c>
      <c r="CQ107" s="96">
        <f t="shared" si="112"/>
        <v>88.621318548832164</v>
      </c>
      <c r="CS107" s="10">
        <v>45051.59375</v>
      </c>
      <c r="CT107" s="110">
        <v>8.5993454109461895E-2</v>
      </c>
      <c r="CU107" s="21">
        <v>100.9486689</v>
      </c>
      <c r="CV107" s="111">
        <v>4182</v>
      </c>
      <c r="CW107" s="21">
        <f t="shared" si="113"/>
        <v>69.7</v>
      </c>
      <c r="CX107" s="21">
        <f t="shared" si="114"/>
        <v>5.993743751429494</v>
      </c>
      <c r="CY107" s="21">
        <f t="shared" si="115"/>
        <v>89.267297574637794</v>
      </c>
    </row>
    <row r="108" spans="1:103" x14ac:dyDescent="0.3">
      <c r="CC108" s="87">
        <v>45048.34375</v>
      </c>
      <c r="CD108" s="109">
        <v>5.1862546723748001E-2</v>
      </c>
      <c r="CE108" s="88">
        <v>89.635700749999998</v>
      </c>
      <c r="CF108" s="89">
        <v>5255</v>
      </c>
      <c r="CG108" s="90">
        <f t="shared" si="107"/>
        <v>87.583333333333329</v>
      </c>
      <c r="CH108" s="91">
        <f t="shared" si="108"/>
        <v>4.5422947172215959</v>
      </c>
      <c r="CI108" s="91">
        <f t="shared" si="109"/>
        <v>77.93298510424863</v>
      </c>
      <c r="CK108" s="93">
        <v>45050.34375</v>
      </c>
      <c r="CL108">
        <v>0.10840110276242799</v>
      </c>
      <c r="CM108" s="95">
        <v>104.61473460000001</v>
      </c>
      <c r="CN108" s="4">
        <v>4452</v>
      </c>
      <c r="CO108" s="95">
        <f t="shared" si="110"/>
        <v>74.2</v>
      </c>
      <c r="CP108" s="94">
        <f t="shared" si="111"/>
        <v>8.0433618249721572</v>
      </c>
      <c r="CQ108" s="96">
        <f t="shared" si="112"/>
        <v>103.09708548977393</v>
      </c>
      <c r="CS108" s="10">
        <v>45051.604166666664</v>
      </c>
      <c r="CT108" s="110">
        <v>9.3749502028178403E-2</v>
      </c>
      <c r="CU108" s="21">
        <v>94.302932269999999</v>
      </c>
      <c r="CV108" s="111">
        <v>4306</v>
      </c>
      <c r="CW108" s="21">
        <f t="shared" si="113"/>
        <v>71.766666666666666</v>
      </c>
      <c r="CX108" s="21">
        <f t="shared" si="114"/>
        <v>6.7280892622222703</v>
      </c>
      <c r="CY108" s="21">
        <f t="shared" si="115"/>
        <v>94.465272140632621</v>
      </c>
    </row>
    <row r="109" spans="1:103" x14ac:dyDescent="0.3">
      <c r="CC109" s="87">
        <v>45048.354166666664</v>
      </c>
      <c r="CD109" s="109">
        <v>5.5612827761979899E-2</v>
      </c>
      <c r="CE109" s="88">
        <v>85.762083380000007</v>
      </c>
      <c r="CF109" s="89">
        <v>5260</v>
      </c>
      <c r="CG109" s="90">
        <f t="shared" si="107"/>
        <v>87.666666666666671</v>
      </c>
      <c r="CH109" s="91">
        <f t="shared" si="108"/>
        <v>4.8753912338002383</v>
      </c>
      <c r="CI109" s="91">
        <f t="shared" si="109"/>
        <v>80.681103801374221</v>
      </c>
      <c r="CK109" s="93">
        <v>45050.354166666664</v>
      </c>
      <c r="CL109">
        <v>9.0123021108230505E-2</v>
      </c>
      <c r="CM109" s="95">
        <v>104.61473460000001</v>
      </c>
      <c r="CN109" s="4">
        <v>4302</v>
      </c>
      <c r="CO109" s="95">
        <f t="shared" si="110"/>
        <v>71.7</v>
      </c>
      <c r="CP109" s="94">
        <f t="shared" si="111"/>
        <v>6.4618206134601275</v>
      </c>
      <c r="CQ109" s="96">
        <f t="shared" si="112"/>
        <v>92.615651468621266</v>
      </c>
      <c r="CS109" s="10">
        <v>45051.614583333336</v>
      </c>
      <c r="CT109" s="110">
        <v>9.5308349752074195E-2</v>
      </c>
      <c r="CU109" s="21">
        <v>100.5402337</v>
      </c>
      <c r="CV109" s="111">
        <v>4157</v>
      </c>
      <c r="CW109" s="21">
        <f t="shared" si="113"/>
        <v>69.283333333333331</v>
      </c>
      <c r="CX109" s="21">
        <f t="shared" si="114"/>
        <v>6.6032801653228734</v>
      </c>
      <c r="CY109" s="21">
        <f t="shared" si="115"/>
        <v>93.603034769550433</v>
      </c>
    </row>
    <row r="110" spans="1:103" x14ac:dyDescent="0.3">
      <c r="CC110" s="87">
        <v>45048.364583333336</v>
      </c>
      <c r="CD110" s="109">
        <v>5.1439440075826598E-2</v>
      </c>
      <c r="CE110" s="88">
        <v>85.762083380000007</v>
      </c>
      <c r="CF110" s="89">
        <v>5466</v>
      </c>
      <c r="CG110" s="90">
        <f t="shared" si="107"/>
        <v>91.1</v>
      </c>
      <c r="CH110" s="91">
        <f t="shared" si="108"/>
        <v>4.6861329909078027</v>
      </c>
      <c r="CI110" s="91">
        <f t="shared" si="109"/>
        <v>79.131884238344639</v>
      </c>
      <c r="CK110" s="93">
        <v>45050.364583333336</v>
      </c>
      <c r="CL110">
        <v>9.1623062079236303E-2</v>
      </c>
      <c r="CM110" s="95">
        <v>102.5822131</v>
      </c>
      <c r="CN110" s="4">
        <v>4151</v>
      </c>
      <c r="CO110" s="95">
        <f t="shared" si="110"/>
        <v>69.183333333333337</v>
      </c>
      <c r="CP110" s="94">
        <f t="shared" si="111"/>
        <v>6.3387888448484988</v>
      </c>
      <c r="CQ110" s="96">
        <f t="shared" si="112"/>
        <v>91.747886877796134</v>
      </c>
      <c r="CS110" s="10">
        <v>45051.625</v>
      </c>
      <c r="CT110" s="110">
        <v>0.101556584702909</v>
      </c>
      <c r="CU110" s="21">
        <v>98.474887140000007</v>
      </c>
      <c r="CV110" s="111">
        <v>4113</v>
      </c>
      <c r="CW110" s="21">
        <f t="shared" si="113"/>
        <v>68.55</v>
      </c>
      <c r="CX110" s="21">
        <f t="shared" si="114"/>
        <v>6.9617038813844117</v>
      </c>
      <c r="CY110" s="21">
        <f t="shared" si="115"/>
        <v>96.057525729159664</v>
      </c>
    </row>
    <row r="111" spans="1:103" x14ac:dyDescent="0.3">
      <c r="CC111" s="87">
        <v>45048.375</v>
      </c>
      <c r="CD111" s="109">
        <v>5.0628859018793902E-2</v>
      </c>
      <c r="CE111" s="88">
        <v>84.891986889999998</v>
      </c>
      <c r="CF111" s="89">
        <v>5577</v>
      </c>
      <c r="CG111" s="90">
        <f t="shared" si="107"/>
        <v>92.95</v>
      </c>
      <c r="CH111" s="91">
        <f t="shared" si="108"/>
        <v>4.7059524457968935</v>
      </c>
      <c r="CI111" s="91">
        <f t="shared" si="109"/>
        <v>79.295600112456114</v>
      </c>
      <c r="CK111" s="93">
        <v>45050.375</v>
      </c>
      <c r="CL111">
        <v>9.8267797204274795E-2</v>
      </c>
      <c r="CM111" s="95">
        <v>110.9974619</v>
      </c>
      <c r="CN111" s="4">
        <v>4257</v>
      </c>
      <c r="CO111" s="95">
        <f t="shared" si="110"/>
        <v>70.95</v>
      </c>
      <c r="CP111" s="94">
        <f t="shared" si="111"/>
        <v>6.9721002116432969</v>
      </c>
      <c r="CQ111" s="96">
        <f t="shared" si="112"/>
        <v>96.127745698223791</v>
      </c>
      <c r="CS111" s="10">
        <v>45051.635416666664</v>
      </c>
      <c r="CT111" s="110">
        <v>9.5629567103093394E-2</v>
      </c>
      <c r="CU111" s="21">
        <v>102.5822131</v>
      </c>
      <c r="CV111" s="111">
        <v>4035</v>
      </c>
      <c r="CW111" s="21">
        <f t="shared" si="113"/>
        <v>67.25</v>
      </c>
      <c r="CX111" s="21">
        <f t="shared" si="114"/>
        <v>6.4310883876830305</v>
      </c>
      <c r="CY111" s="21">
        <f t="shared" si="115"/>
        <v>92.399687369307429</v>
      </c>
    </row>
    <row r="112" spans="1:103" x14ac:dyDescent="0.3">
      <c r="CC112" s="87">
        <v>45048.385416666664</v>
      </c>
      <c r="CD112" s="109">
        <v>5.4818753031814597E-2</v>
      </c>
      <c r="CE112" s="88">
        <v>85.762083380000007</v>
      </c>
      <c r="CF112" s="89">
        <v>5382</v>
      </c>
      <c r="CG112" s="90">
        <f t="shared" si="107"/>
        <v>89.7</v>
      </c>
      <c r="CH112" s="91">
        <f t="shared" si="108"/>
        <v>4.9172421469537699</v>
      </c>
      <c r="CI112" s="91">
        <f t="shared" si="109"/>
        <v>81.01951852367381</v>
      </c>
      <c r="CK112" s="93">
        <v>45050.385416666664</v>
      </c>
      <c r="CL112">
        <v>0.103553459345354</v>
      </c>
      <c r="CM112" s="95">
        <v>105.0166174</v>
      </c>
      <c r="CN112" s="4">
        <v>4233</v>
      </c>
      <c r="CO112" s="95">
        <f t="shared" si="110"/>
        <v>70.55</v>
      </c>
      <c r="CP112" s="94">
        <f t="shared" si="111"/>
        <v>7.3056965568147243</v>
      </c>
      <c r="CQ112" s="96">
        <f t="shared" si="112"/>
        <v>98.353244881638545</v>
      </c>
      <c r="CS112" s="10">
        <v>45051.645833333336</v>
      </c>
      <c r="CT112" s="110">
        <v>9.9131303623412201E-2</v>
      </c>
      <c r="CU112" s="21">
        <v>101.7628931</v>
      </c>
      <c r="CV112" s="111">
        <v>4009</v>
      </c>
      <c r="CW112" s="21">
        <f t="shared" si="113"/>
        <v>66.816666666666663</v>
      </c>
      <c r="CX112" s="21">
        <f t="shared" si="114"/>
        <v>6.6236232704376583</v>
      </c>
      <c r="CY112" s="21">
        <f t="shared" si="115"/>
        <v>93.74413787365657</v>
      </c>
    </row>
    <row r="113" spans="13:103" x14ac:dyDescent="0.3">
      <c r="CC113" s="87">
        <v>45048.395833333336</v>
      </c>
      <c r="CD113" s="109">
        <v>5.4934018789501299E-2</v>
      </c>
      <c r="CE113" s="88">
        <v>80.079324720000002</v>
      </c>
      <c r="CF113" s="89">
        <v>5405</v>
      </c>
      <c r="CG113" s="90">
        <f t="shared" si="107"/>
        <v>90.083333333333329</v>
      </c>
      <c r="CH113" s="91">
        <f t="shared" si="108"/>
        <v>4.9486395259542419</v>
      </c>
      <c r="CI113" s="91">
        <f t="shared" si="109"/>
        <v>81.272440002759069</v>
      </c>
      <c r="CK113" s="93">
        <v>45050.395833333336</v>
      </c>
      <c r="CL113">
        <v>0.113614545657773</v>
      </c>
      <c r="CM113" s="95">
        <v>98.474887140000007</v>
      </c>
      <c r="CN113" s="4">
        <v>4309</v>
      </c>
      <c r="CO113" s="95">
        <f t="shared" si="110"/>
        <v>71.816666666666663</v>
      </c>
      <c r="CP113" s="94">
        <f t="shared" si="111"/>
        <v>8.1594179539890632</v>
      </c>
      <c r="CQ113" s="96">
        <f t="shared" si="112"/>
        <v>103.82288506491871</v>
      </c>
      <c r="CS113" s="10">
        <v>45051.65625</v>
      </c>
      <c r="CT113" s="110">
        <v>8.8792187764938094E-2</v>
      </c>
      <c r="CU113" s="21">
        <v>93.031286489999999</v>
      </c>
      <c r="CV113" s="111">
        <v>4050</v>
      </c>
      <c r="CW113" s="21">
        <f t="shared" si="113"/>
        <v>67.5</v>
      </c>
      <c r="CX113" s="21">
        <f t="shared" si="114"/>
        <v>5.9934726741333213</v>
      </c>
      <c r="CY113" s="21">
        <f t="shared" si="115"/>
        <v>89.265320502678847</v>
      </c>
    </row>
    <row r="114" spans="13:103" x14ac:dyDescent="0.3">
      <c r="CC114" s="87">
        <v>45048.40625</v>
      </c>
      <c r="CD114" s="109">
        <v>5.1164934580226099E-2</v>
      </c>
      <c r="CE114" s="88">
        <v>85.762083380000007</v>
      </c>
      <c r="CF114" s="89">
        <v>5414</v>
      </c>
      <c r="CG114" s="90">
        <f t="shared" si="107"/>
        <v>90.233333333333334</v>
      </c>
      <c r="CH114" s="91">
        <f t="shared" si="108"/>
        <v>4.6167825969557352</v>
      </c>
      <c r="CI114" s="91">
        <f t="shared" si="109"/>
        <v>78.556225608728454</v>
      </c>
      <c r="CK114" s="93">
        <v>45050.40625</v>
      </c>
      <c r="CL114">
        <v>0.106232057385132</v>
      </c>
      <c r="CM114" s="95">
        <v>102.5822131</v>
      </c>
      <c r="CN114" s="4">
        <v>4171</v>
      </c>
      <c r="CO114" s="95">
        <f t="shared" si="110"/>
        <v>69.516666666666666</v>
      </c>
      <c r="CP114" s="94">
        <f t="shared" si="111"/>
        <v>7.3848985225564263</v>
      </c>
      <c r="CQ114" s="96">
        <f t="shared" si="112"/>
        <v>98.873955801959596</v>
      </c>
      <c r="CS114" s="10">
        <v>45051.666666666664</v>
      </c>
      <c r="CT114" s="110">
        <v>8.6979309118384501E-2</v>
      </c>
      <c r="CU114" s="21">
        <v>99.297599469999994</v>
      </c>
      <c r="CV114" s="111">
        <v>4341</v>
      </c>
      <c r="CW114" s="21">
        <f t="shared" si="113"/>
        <v>72.349999999999994</v>
      </c>
      <c r="CX114" s="21">
        <f t="shared" si="114"/>
        <v>6.2929530147151178</v>
      </c>
      <c r="CY114" s="21">
        <f t="shared" si="115"/>
        <v>91.422403775360976</v>
      </c>
    </row>
    <row r="115" spans="13:103" x14ac:dyDescent="0.3">
      <c r="CC115" s="87">
        <v>45048.416666666664</v>
      </c>
      <c r="CD115" s="109">
        <v>5.2012477238863403E-2</v>
      </c>
      <c r="CE115" s="88">
        <v>84.899432570000002</v>
      </c>
      <c r="CF115" s="89">
        <v>5593</v>
      </c>
      <c r="CG115" s="90">
        <f t="shared" si="107"/>
        <v>93.216666666666669</v>
      </c>
      <c r="CH115" s="91">
        <f t="shared" si="108"/>
        <v>4.8484297532827165</v>
      </c>
      <c r="CI115" s="91">
        <f t="shared" si="109"/>
        <v>80.462302313523097</v>
      </c>
      <c r="CK115" s="93">
        <v>45050.416666666664</v>
      </c>
      <c r="CL115">
        <v>0.12891581735454399</v>
      </c>
      <c r="CM115" s="95">
        <v>98.062569339999996</v>
      </c>
      <c r="CN115" s="4">
        <v>4272</v>
      </c>
      <c r="CO115" s="95">
        <f t="shared" si="110"/>
        <v>71.2</v>
      </c>
      <c r="CP115" s="94">
        <f t="shared" si="111"/>
        <v>9.1788061956435332</v>
      </c>
      <c r="CQ115" s="96">
        <f t="shared" si="112"/>
        <v>109.984122680624</v>
      </c>
      <c r="CS115" s="10">
        <v>45051.677083333336</v>
      </c>
      <c r="CT115" s="110">
        <v>9.7802646867415605E-2</v>
      </c>
      <c r="CU115" s="21">
        <v>106.2245245</v>
      </c>
      <c r="CV115" s="111">
        <v>4038</v>
      </c>
      <c r="CW115" s="21">
        <f t="shared" si="113"/>
        <v>67.3</v>
      </c>
      <c r="CX115" s="21">
        <f t="shared" si="114"/>
        <v>6.5821181341770698</v>
      </c>
      <c r="CY115" s="21">
        <f t="shared" si="115"/>
        <v>93.45601585593019</v>
      </c>
    </row>
    <row r="116" spans="13:103" x14ac:dyDescent="0.3">
      <c r="CC116" s="87">
        <v>45048.427083333336</v>
      </c>
      <c r="CD116" s="109">
        <v>5.1642894563737003E-2</v>
      </c>
      <c r="CE116" s="88">
        <v>83.594462070000006</v>
      </c>
      <c r="CF116" s="89">
        <v>5581</v>
      </c>
      <c r="CG116" s="90">
        <f t="shared" si="107"/>
        <v>93.016666666666666</v>
      </c>
      <c r="CH116" s="91">
        <f t="shared" si="108"/>
        <v>4.8036499093369365</v>
      </c>
      <c r="CI116" s="91">
        <f t="shared" si="109"/>
        <v>80.097522299310597</v>
      </c>
      <c r="CK116" s="93">
        <v>45050.427083333336</v>
      </c>
      <c r="CL116">
        <v>0.108102418389966</v>
      </c>
      <c r="CM116" s="95">
        <v>98.474887140000007</v>
      </c>
      <c r="CN116" s="4">
        <v>4370</v>
      </c>
      <c r="CO116" s="95">
        <f t="shared" si="110"/>
        <v>72.833333333333329</v>
      </c>
      <c r="CP116" s="94">
        <f t="shared" si="111"/>
        <v>7.8734594727358562</v>
      </c>
      <c r="CQ116" s="96">
        <f t="shared" si="112"/>
        <v>102.02483127705305</v>
      </c>
      <c r="CS116" s="10">
        <v>45051.6875</v>
      </c>
      <c r="CT116" s="110">
        <v>8.6988061713861198E-2</v>
      </c>
      <c r="CU116" s="21">
        <v>100.9486689</v>
      </c>
      <c r="CV116" s="111">
        <v>4245</v>
      </c>
      <c r="CW116" s="21">
        <f t="shared" si="113"/>
        <v>70.75</v>
      </c>
      <c r="CX116" s="21">
        <f t="shared" si="114"/>
        <v>6.1544053662556797</v>
      </c>
      <c r="CY116" s="21">
        <f t="shared" si="115"/>
        <v>90.431144002205158</v>
      </c>
    </row>
    <row r="117" spans="13:103" x14ac:dyDescent="0.3">
      <c r="CC117" s="87">
        <v>45048.4375</v>
      </c>
      <c r="CD117" s="109">
        <v>4.7470607976759303E-2</v>
      </c>
      <c r="CE117" s="88">
        <v>80.086877509999994</v>
      </c>
      <c r="CF117" s="89">
        <v>5493</v>
      </c>
      <c r="CG117" s="90">
        <f t="shared" si="107"/>
        <v>91.55</v>
      </c>
      <c r="CH117" s="91">
        <f t="shared" si="108"/>
        <v>4.3459341602723143</v>
      </c>
      <c r="CI117" s="91">
        <f t="shared" si="109"/>
        <v>76.264584343618679</v>
      </c>
      <c r="CK117" s="93">
        <v>45050.4375</v>
      </c>
      <c r="CL117">
        <v>9.4704927853071497E-2</v>
      </c>
      <c r="CM117" s="95">
        <v>98.474887140000007</v>
      </c>
      <c r="CN117" s="4">
        <v>4329</v>
      </c>
      <c r="CO117" s="95">
        <f t="shared" si="110"/>
        <v>72.150000000000006</v>
      </c>
      <c r="CP117" s="94">
        <f t="shared" si="111"/>
        <v>6.8329605445991088</v>
      </c>
      <c r="CQ117" s="96">
        <f t="shared" si="112"/>
        <v>95.183479650137087</v>
      </c>
      <c r="CS117" s="10">
        <v>45051.697916666664</v>
      </c>
      <c r="CT117" s="110">
        <v>9.8249438117006802E-2</v>
      </c>
      <c r="CU117" s="21">
        <v>105.0166174</v>
      </c>
      <c r="CV117" s="111">
        <v>4150</v>
      </c>
      <c r="CW117" s="21">
        <f t="shared" si="113"/>
        <v>69.166666666666671</v>
      </c>
      <c r="CX117" s="21">
        <f t="shared" si="114"/>
        <v>6.7955861364263042</v>
      </c>
      <c r="CY117" s="21">
        <f t="shared" si="115"/>
        <v>94.928171638108026</v>
      </c>
    </row>
    <row r="118" spans="13:103" x14ac:dyDescent="0.3">
      <c r="CC118" s="87">
        <v>45048.447916666664</v>
      </c>
      <c r="CD118" s="109">
        <v>5.0984201612623202E-2</v>
      </c>
      <c r="CE118" s="88">
        <v>85.762083380000007</v>
      </c>
      <c r="CF118" s="89">
        <v>5709</v>
      </c>
      <c r="CG118" s="90">
        <f t="shared" si="107"/>
        <v>95.15</v>
      </c>
      <c r="CH118" s="91">
        <f t="shared" si="108"/>
        <v>4.8511467834410977</v>
      </c>
      <c r="CI118" s="91">
        <f t="shared" si="109"/>
        <v>80.484380013445275</v>
      </c>
      <c r="CK118" s="93">
        <v>45050.447916666664</v>
      </c>
      <c r="CL118">
        <v>0.113167073270188</v>
      </c>
      <c r="CM118" s="95">
        <v>93.038532979999999</v>
      </c>
      <c r="CN118" s="4">
        <v>4505</v>
      </c>
      <c r="CO118" s="95">
        <f t="shared" si="110"/>
        <v>75.083333333333329</v>
      </c>
      <c r="CP118" s="94">
        <f t="shared" si="111"/>
        <v>8.4969610847032815</v>
      </c>
      <c r="CQ118" s="96">
        <f t="shared" si="112"/>
        <v>105.90439703700785</v>
      </c>
      <c r="CS118" s="10">
        <v>45051.708333333336</v>
      </c>
      <c r="CT118" s="110">
        <v>8.84290778653333E-2</v>
      </c>
      <c r="CU118" s="21">
        <v>106.2245245</v>
      </c>
      <c r="CV118" s="111">
        <v>4300</v>
      </c>
      <c r="CW118" s="21">
        <f t="shared" si="113"/>
        <v>71.666666666666671</v>
      </c>
      <c r="CX118" s="21">
        <f t="shared" si="114"/>
        <v>6.3374172470155532</v>
      </c>
      <c r="CY118" s="21">
        <f t="shared" si="115"/>
        <v>91.738164541057742</v>
      </c>
    </row>
    <row r="119" spans="13:103" x14ac:dyDescent="0.3">
      <c r="CC119" s="87">
        <v>45048.458333333336</v>
      </c>
      <c r="CD119" s="109">
        <v>5.2852456913476203E-2</v>
      </c>
      <c r="CE119" s="88">
        <v>80.086877509999994</v>
      </c>
      <c r="CF119" s="89">
        <v>5348</v>
      </c>
      <c r="CG119" s="90">
        <f t="shared" si="107"/>
        <v>89.13333333333334</v>
      </c>
      <c r="CH119" s="91">
        <f t="shared" si="108"/>
        <v>4.7109156595545123</v>
      </c>
      <c r="CI119" s="91">
        <f t="shared" si="109"/>
        <v>79.336542938701925</v>
      </c>
      <c r="CK119" s="93">
        <v>45050.458333333336</v>
      </c>
      <c r="CL119">
        <v>0.104938191369287</v>
      </c>
      <c r="CM119" s="95">
        <v>91.767774239999994</v>
      </c>
      <c r="CN119" s="4">
        <v>4385</v>
      </c>
      <c r="CO119" s="95">
        <f t="shared" si="110"/>
        <v>73.083333333333329</v>
      </c>
      <c r="CP119" s="94">
        <f t="shared" si="111"/>
        <v>7.6692328192387249</v>
      </c>
      <c r="CQ119" s="96">
        <f t="shared" si="112"/>
        <v>100.72020683221007</v>
      </c>
      <c r="CS119" s="10">
        <v>45051.71875</v>
      </c>
      <c r="CT119" s="110">
        <v>9.37431742491526E-2</v>
      </c>
      <c r="CU119" s="21">
        <v>102.9873886</v>
      </c>
      <c r="CV119" s="111">
        <v>4354</v>
      </c>
      <c r="CW119" s="21">
        <f t="shared" si="113"/>
        <v>72.566666666666663</v>
      </c>
      <c r="CX119" s="21">
        <f t="shared" si="114"/>
        <v>6.8026296780135063</v>
      </c>
      <c r="CY119" s="21">
        <f t="shared" si="115"/>
        <v>94.976341408145316</v>
      </c>
    </row>
    <row r="120" spans="13:103" x14ac:dyDescent="0.3">
      <c r="CC120" s="87">
        <v>45048.46875</v>
      </c>
      <c r="CD120" s="109">
        <v>4.71338565388797E-2</v>
      </c>
      <c r="CE120" s="88">
        <v>81.405228940000001</v>
      </c>
      <c r="CF120" s="89">
        <v>5689</v>
      </c>
      <c r="CG120" s="90">
        <f t="shared" si="107"/>
        <v>94.816666666666663</v>
      </c>
      <c r="CH120" s="91">
        <f t="shared" si="108"/>
        <v>4.4690751641614437</v>
      </c>
      <c r="CI120" s="91">
        <f t="shared" si="109"/>
        <v>77.315252809523471</v>
      </c>
      <c r="CK120" s="93">
        <v>45050.46875</v>
      </c>
      <c r="CL120">
        <v>0.11162682553245599</v>
      </c>
      <c r="CM120" s="95">
        <v>96.393321510000007</v>
      </c>
      <c r="CN120" s="4">
        <v>4021</v>
      </c>
      <c r="CO120" s="95">
        <f t="shared" si="110"/>
        <v>67.016666666666666</v>
      </c>
      <c r="CP120" s="94">
        <f t="shared" si="111"/>
        <v>7.480857757766759</v>
      </c>
      <c r="CQ120" s="96">
        <f t="shared" si="112"/>
        <v>99.501033529171536</v>
      </c>
      <c r="CS120" s="10">
        <v>45051.729166666664</v>
      </c>
      <c r="CT120" s="110">
        <v>8.6727902713294197E-2</v>
      </c>
      <c r="CU120" s="21">
        <v>98.474887140000007</v>
      </c>
      <c r="CV120" s="111">
        <v>4383</v>
      </c>
      <c r="CW120" s="21">
        <f t="shared" si="113"/>
        <v>73.05</v>
      </c>
      <c r="CX120" s="21">
        <f t="shared" si="114"/>
        <v>6.3354732932061406</v>
      </c>
      <c r="CY120" s="21">
        <f t="shared" si="115"/>
        <v>91.724383317280882</v>
      </c>
    </row>
    <row r="121" spans="13:103" x14ac:dyDescent="0.3">
      <c r="CC121" s="87">
        <v>45048.479166666664</v>
      </c>
      <c r="CD121" s="109">
        <v>4.7450664346863299E-2</v>
      </c>
      <c r="CE121" s="88">
        <v>79.202259850000004</v>
      </c>
      <c r="CF121" s="89">
        <v>5624</v>
      </c>
      <c r="CG121" s="90">
        <f t="shared" si="107"/>
        <v>93.733333333333334</v>
      </c>
      <c r="CH121" s="91">
        <f t="shared" si="108"/>
        <v>4.4477089381126529</v>
      </c>
      <c r="CI121" s="91">
        <f t="shared" si="109"/>
        <v>77.134020271730336</v>
      </c>
      <c r="CK121" s="93">
        <v>45050.479166666664</v>
      </c>
      <c r="CL121">
        <v>0.102574623968425</v>
      </c>
      <c r="CM121" s="95">
        <v>105.0166174</v>
      </c>
      <c r="CN121" s="4">
        <v>3984</v>
      </c>
      <c r="CO121" s="95">
        <f t="shared" si="110"/>
        <v>66.400000000000006</v>
      </c>
      <c r="CP121" s="94">
        <f t="shared" si="111"/>
        <v>6.8109550315034202</v>
      </c>
      <c r="CQ121" s="96">
        <f t="shared" si="112"/>
        <v>95.033244496914804</v>
      </c>
      <c r="CT121" s="80"/>
      <c r="CU121" s="6"/>
      <c r="CW121" s="6"/>
      <c r="CX121" s="6"/>
    </row>
    <row r="122" spans="13:103" x14ac:dyDescent="0.3">
      <c r="CC122" s="87">
        <v>45048.489583333336</v>
      </c>
      <c r="CD122" s="109">
        <v>5.28821263052296E-2</v>
      </c>
      <c r="CE122" s="88">
        <v>81.405228940000001</v>
      </c>
      <c r="CF122" s="89">
        <v>5537</v>
      </c>
      <c r="CG122" s="90">
        <f t="shared" si="107"/>
        <v>92.283333333333331</v>
      </c>
      <c r="CH122" s="91">
        <f t="shared" si="108"/>
        <v>4.8801388892009383</v>
      </c>
      <c r="CI122" s="91">
        <f t="shared" si="109"/>
        <v>80.719568628470725</v>
      </c>
      <c r="CK122" s="93">
        <v>45050.489583333336</v>
      </c>
      <c r="CL122">
        <v>0.101857424690474</v>
      </c>
      <c r="CM122" s="95">
        <v>108.2271172</v>
      </c>
      <c r="CN122" s="4">
        <v>3937</v>
      </c>
      <c r="CO122" s="95">
        <f t="shared" si="110"/>
        <v>65.61666666666666</v>
      </c>
      <c r="CP122" s="94">
        <f t="shared" si="111"/>
        <v>6.6835446834399352</v>
      </c>
      <c r="CQ122" s="96">
        <f t="shared" si="112"/>
        <v>94.158482374515629</v>
      </c>
    </row>
    <row r="123" spans="13:103" x14ac:dyDescent="0.3">
      <c r="CC123" s="87">
        <v>45048.5</v>
      </c>
      <c r="CD123" s="109">
        <v>5.2597535017687803E-2</v>
      </c>
      <c r="CE123" s="88">
        <v>83.594462070000006</v>
      </c>
      <c r="CF123" s="89">
        <v>5520</v>
      </c>
      <c r="CG123" s="90">
        <f t="shared" si="107"/>
        <v>92</v>
      </c>
      <c r="CH123" s="91">
        <f t="shared" si="108"/>
        <v>4.8389732216272776</v>
      </c>
      <c r="CI123" s="91">
        <f t="shared" si="109"/>
        <v>80.3854123564292</v>
      </c>
      <c r="CK123" s="93">
        <v>45050.5</v>
      </c>
      <c r="CL123">
        <v>0.12005836434482201</v>
      </c>
      <c r="CM123" s="95">
        <v>97.229596529999995</v>
      </c>
      <c r="CN123" s="4">
        <v>4111</v>
      </c>
      <c r="CO123" s="95">
        <f t="shared" si="110"/>
        <v>68.516666666666666</v>
      </c>
      <c r="CP123" s="94">
        <f t="shared" si="111"/>
        <v>8.2259989303593883</v>
      </c>
      <c r="CQ123" s="96">
        <f t="shared" si="112"/>
        <v>104.23689686956476</v>
      </c>
    </row>
    <row r="124" spans="13:103" x14ac:dyDescent="0.3">
      <c r="CC124" s="87">
        <v>45048.510416666664</v>
      </c>
      <c r="CD124" s="109">
        <v>4.8439824009424801E-2</v>
      </c>
      <c r="CE124" s="88">
        <v>83.586986100000004</v>
      </c>
      <c r="CF124" s="89">
        <v>5539</v>
      </c>
      <c r="CG124" s="90">
        <f t="shared" si="107"/>
        <v>92.316666666666663</v>
      </c>
      <c r="CH124" s="91">
        <f t="shared" si="108"/>
        <v>4.4718030864700662</v>
      </c>
      <c r="CI124" s="91">
        <f t="shared" si="109"/>
        <v>77.338359726276551</v>
      </c>
      <c r="CK124" s="78"/>
      <c r="CL124" s="5"/>
      <c r="CM124" s="6"/>
      <c r="CN124" s="2"/>
      <c r="CO124" s="6"/>
      <c r="CP124" s="5"/>
      <c r="CQ124" s="7"/>
    </row>
    <row r="125" spans="13:103" x14ac:dyDescent="0.3">
      <c r="CC125" s="87">
        <v>45048.520833333336</v>
      </c>
      <c r="CD125" s="109">
        <v>5.11684831207187E-2</v>
      </c>
      <c r="CE125" s="88">
        <v>84.020316870000002</v>
      </c>
      <c r="CF125" s="89">
        <v>5684</v>
      </c>
      <c r="CG125" s="90">
        <f t="shared" si="107"/>
        <v>94.733333333333334</v>
      </c>
      <c r="CH125" s="91">
        <f t="shared" si="108"/>
        <v>4.8473609676360851</v>
      </c>
      <c r="CI125" s="91">
        <f t="shared" si="109"/>
        <v>80.453615980148953</v>
      </c>
      <c r="CK125" s="78"/>
      <c r="CL125" s="5"/>
      <c r="CM125" s="6"/>
      <c r="CN125" s="2"/>
      <c r="CO125" s="6"/>
      <c r="CP125" s="5"/>
      <c r="CQ125" s="7"/>
    </row>
    <row r="126" spans="13:103" x14ac:dyDescent="0.3">
      <c r="CC126" s="87">
        <v>45048.53125</v>
      </c>
      <c r="CD126" s="109">
        <v>4.97860169284772E-2</v>
      </c>
      <c r="CE126" s="88">
        <v>80.079324720000002</v>
      </c>
      <c r="CF126" s="89">
        <v>5674</v>
      </c>
      <c r="CG126" s="90">
        <f t="shared" si="107"/>
        <v>94.566666666666663</v>
      </c>
      <c r="CH126" s="91">
        <f t="shared" si="108"/>
        <v>4.7080976675363271</v>
      </c>
      <c r="CI126" s="91">
        <f t="shared" si="109"/>
        <v>79.313299300559237</v>
      </c>
      <c r="CK126" s="78"/>
      <c r="CL126" s="5"/>
      <c r="CM126" s="6"/>
      <c r="CN126" s="2"/>
      <c r="CO126" s="6"/>
      <c r="CP126" s="5"/>
      <c r="CQ126" s="7"/>
    </row>
    <row r="127" spans="13:103" x14ac:dyDescent="0.3">
      <c r="CC127" s="87">
        <v>45048.541666666664</v>
      </c>
      <c r="CD127" s="109">
        <v>5.47595170124235E-2</v>
      </c>
      <c r="CE127" s="88">
        <v>81.397704649999994</v>
      </c>
      <c r="CF127" s="89">
        <v>5399</v>
      </c>
      <c r="CG127" s="90">
        <f t="shared" si="107"/>
        <v>89.983333333333334</v>
      </c>
      <c r="CH127" s="91">
        <f t="shared" si="108"/>
        <v>4.9274438725012413</v>
      </c>
      <c r="CI127" s="91">
        <f t="shared" si="109"/>
        <v>81.101788635018096</v>
      </c>
      <c r="CK127" s="78"/>
      <c r="CL127" s="5"/>
      <c r="CM127" s="6"/>
      <c r="CN127" s="2"/>
      <c r="CO127" s="6"/>
      <c r="CP127" s="5"/>
      <c r="CQ127" s="7"/>
    </row>
    <row r="128" spans="13:103" x14ac:dyDescent="0.3">
      <c r="M128"/>
      <c r="CC128" s="87">
        <v>45048.552083333336</v>
      </c>
      <c r="CD128" s="109">
        <v>5.0295307715652299E-2</v>
      </c>
      <c r="CE128" s="88">
        <v>85.762083380000007</v>
      </c>
      <c r="CF128" s="89">
        <v>5201</v>
      </c>
      <c r="CG128" s="90">
        <f t="shared" si="107"/>
        <v>86.683333333333337</v>
      </c>
      <c r="CH128" s="91">
        <f t="shared" si="108"/>
        <v>4.3597649238184601</v>
      </c>
      <c r="CI128" s="91">
        <f t="shared" si="109"/>
        <v>76.383342595868754</v>
      </c>
      <c r="CK128" s="78"/>
      <c r="CL128" s="5"/>
      <c r="CM128" s="6"/>
      <c r="CN128" s="2"/>
      <c r="CO128" s="6"/>
      <c r="CP128" s="5"/>
      <c r="CQ128" s="7"/>
    </row>
    <row r="129" spans="81:95" x14ac:dyDescent="0.3">
      <c r="CC129" s="87">
        <v>45048.5625</v>
      </c>
      <c r="CD129" s="109">
        <v>5.3640870823044799E-2</v>
      </c>
      <c r="CE129" s="88">
        <v>81.405228940000001</v>
      </c>
      <c r="CF129" s="89">
        <v>5386</v>
      </c>
      <c r="CG129" s="90">
        <f t="shared" si="107"/>
        <v>89.766666666666666</v>
      </c>
      <c r="CH129" s="91">
        <f t="shared" si="108"/>
        <v>4.8151621708819885</v>
      </c>
      <c r="CI129" s="91">
        <f t="shared" si="109"/>
        <v>80.19146718886941</v>
      </c>
      <c r="CK129" s="78"/>
      <c r="CL129" s="5"/>
      <c r="CM129" s="6"/>
      <c r="CN129" s="2"/>
      <c r="CO129" s="6"/>
      <c r="CP129" s="5"/>
      <c r="CQ129" s="7"/>
    </row>
    <row r="130" spans="81:95" x14ac:dyDescent="0.3">
      <c r="CC130" s="87">
        <v>45048.572916666664</v>
      </c>
      <c r="CD130" s="109">
        <v>5.2532194654259498E-2</v>
      </c>
      <c r="CE130" s="88">
        <v>81.405228940000001</v>
      </c>
      <c r="CF130" s="89">
        <v>5515</v>
      </c>
      <c r="CG130" s="90">
        <f t="shared" si="107"/>
        <v>91.916666666666671</v>
      </c>
      <c r="CH130" s="91">
        <f t="shared" si="108"/>
        <v>4.8285842253040192</v>
      </c>
      <c r="CI130" s="91">
        <f t="shared" si="109"/>
        <v>80.300852192324996</v>
      </c>
      <c r="CK130" s="78"/>
      <c r="CL130" s="5"/>
      <c r="CM130" s="6"/>
      <c r="CN130" s="2"/>
      <c r="CO130" s="6"/>
      <c r="CP130" s="5"/>
      <c r="CQ130" s="7"/>
    </row>
    <row r="131" spans="81:95" x14ac:dyDescent="0.3">
      <c r="CC131" s="87">
        <v>45048.583333333336</v>
      </c>
      <c r="CD131" s="109">
        <v>5.2554736207046301E-2</v>
      </c>
      <c r="CE131" s="88">
        <v>86.192545629999998</v>
      </c>
      <c r="CF131" s="89">
        <v>5326</v>
      </c>
      <c r="CG131" s="90">
        <f t="shared" si="107"/>
        <v>88.766666666666666</v>
      </c>
      <c r="CH131" s="91">
        <f t="shared" si="108"/>
        <v>4.6651087506454765</v>
      </c>
      <c r="CI131" s="91">
        <f t="shared" si="109"/>
        <v>78.957829720424073</v>
      </c>
      <c r="CK131" s="78"/>
      <c r="CL131" s="5"/>
      <c r="CM131" s="6"/>
      <c r="CN131" s="2"/>
      <c r="CO131" s="6"/>
      <c r="CP131" s="5"/>
      <c r="CQ131" s="7"/>
    </row>
    <row r="132" spans="81:95" x14ac:dyDescent="0.3">
      <c r="CC132" s="87">
        <v>45048.59375</v>
      </c>
      <c r="CD132" s="109">
        <v>5.4806170662054399E-2</v>
      </c>
      <c r="CE132" s="88">
        <v>83.586986100000004</v>
      </c>
      <c r="CF132" s="89">
        <v>5377</v>
      </c>
      <c r="CG132" s="90">
        <f t="shared" ref="CG132:CG155" si="121">CF132/60</f>
        <v>89.61666666666666</v>
      </c>
      <c r="CH132" s="91">
        <f t="shared" ref="CH132:CH155" si="122">CG132*CD132</f>
        <v>4.9115463274977751</v>
      </c>
      <c r="CI132" s="91">
        <f t="shared" ref="CI132:CI155" si="123">IF(37.141*CH132^0.4897&gt;22.6, 37.141*CH132^0.4897, 0)</f>
        <v>80.973547646278249</v>
      </c>
      <c r="CK132" s="78"/>
      <c r="CL132" s="5"/>
      <c r="CM132" s="6"/>
      <c r="CN132" s="2"/>
      <c r="CO132" s="6"/>
      <c r="CP132" s="5"/>
      <c r="CQ132" s="7"/>
    </row>
    <row r="133" spans="81:95" x14ac:dyDescent="0.3">
      <c r="CC133" s="87">
        <v>45048.604166666664</v>
      </c>
      <c r="CD133" s="109">
        <v>5.0954234643737502E-2</v>
      </c>
      <c r="CE133" s="88">
        <v>84.891986889999998</v>
      </c>
      <c r="CF133" s="89">
        <v>5366</v>
      </c>
      <c r="CG133" s="90">
        <f t="shared" si="121"/>
        <v>89.433333333333337</v>
      </c>
      <c r="CH133" s="91">
        <f t="shared" si="122"/>
        <v>4.5570070516382577</v>
      </c>
      <c r="CI133" s="91">
        <f t="shared" si="123"/>
        <v>78.056494279066953</v>
      </c>
      <c r="CK133" s="78"/>
      <c r="CL133" s="5"/>
      <c r="CM133" s="6"/>
      <c r="CN133" s="2"/>
      <c r="CO133" s="6"/>
      <c r="CP133" s="5"/>
      <c r="CQ133" s="7"/>
    </row>
    <row r="134" spans="81:95" x14ac:dyDescent="0.3">
      <c r="CC134" s="87">
        <v>45048.614583333336</v>
      </c>
      <c r="CD134" s="109">
        <v>5.5587883641213399E-2</v>
      </c>
      <c r="CE134" s="88">
        <v>80.523852189999999</v>
      </c>
      <c r="CF134" s="89">
        <v>5297</v>
      </c>
      <c r="CG134" s="90">
        <f t="shared" si="121"/>
        <v>88.283333333333331</v>
      </c>
      <c r="CH134" s="91">
        <f t="shared" si="122"/>
        <v>4.9074836607917893</v>
      </c>
      <c r="CI134" s="91">
        <f t="shared" si="123"/>
        <v>80.940741296693048</v>
      </c>
      <c r="CK134" s="78"/>
      <c r="CL134" s="5"/>
      <c r="CM134" s="6"/>
      <c r="CN134" s="2"/>
      <c r="CO134" s="6"/>
      <c r="CP134" s="5"/>
      <c r="CQ134" s="7"/>
    </row>
    <row r="135" spans="81:95" x14ac:dyDescent="0.3">
      <c r="CC135" s="87">
        <v>45048.625</v>
      </c>
      <c r="CD135" s="109">
        <v>5.1387095399370898E-2</v>
      </c>
      <c r="CE135" s="88">
        <v>84.027783200000002</v>
      </c>
      <c r="CF135" s="89">
        <v>5189</v>
      </c>
      <c r="CG135" s="90">
        <f t="shared" si="121"/>
        <v>86.483333333333334</v>
      </c>
      <c r="CH135" s="91">
        <f t="shared" si="122"/>
        <v>4.4441273004555928</v>
      </c>
      <c r="CI135" s="91">
        <f t="shared" si="123"/>
        <v>77.103596670484791</v>
      </c>
      <c r="CK135" s="78"/>
      <c r="CL135" s="5"/>
      <c r="CM135" s="6"/>
      <c r="CN135" s="2"/>
      <c r="CO135" s="6"/>
      <c r="CP135" s="5"/>
      <c r="CQ135" s="7"/>
    </row>
    <row r="136" spans="81:95" x14ac:dyDescent="0.3">
      <c r="CC136" s="87">
        <v>45048.635416666664</v>
      </c>
      <c r="CD136" s="109">
        <v>5.6520128876914599E-2</v>
      </c>
      <c r="CE136" s="88">
        <v>93.884261949999996</v>
      </c>
      <c r="CF136" s="89">
        <v>5249</v>
      </c>
      <c r="CG136" s="90">
        <f t="shared" si="121"/>
        <v>87.483333333333334</v>
      </c>
      <c r="CH136" s="91">
        <f t="shared" si="122"/>
        <v>4.9445692745820793</v>
      </c>
      <c r="CI136" s="91">
        <f t="shared" si="123"/>
        <v>81.239698396323718</v>
      </c>
      <c r="CK136" s="78"/>
      <c r="CL136" s="5"/>
      <c r="CM136" s="6"/>
      <c r="CN136" s="2"/>
      <c r="CO136" s="6"/>
      <c r="CP136" s="5"/>
      <c r="CQ136" s="7"/>
    </row>
    <row r="137" spans="81:95" x14ac:dyDescent="0.3">
      <c r="CC137" s="87">
        <v>45048.645833333336</v>
      </c>
      <c r="CD137" s="109">
        <v>6.1261476115461899E-2</v>
      </c>
      <c r="CE137" s="88">
        <v>89.635700749999998</v>
      </c>
      <c r="CF137" s="89">
        <v>4925</v>
      </c>
      <c r="CG137" s="90">
        <f t="shared" si="121"/>
        <v>82.083333333333329</v>
      </c>
      <c r="CH137" s="91">
        <f t="shared" si="122"/>
        <v>5.0285461644774969</v>
      </c>
      <c r="CI137" s="91">
        <f t="shared" si="123"/>
        <v>81.912457625915266</v>
      </c>
      <c r="CK137" s="78"/>
      <c r="CL137" s="5"/>
      <c r="CM137" s="6"/>
      <c r="CN137" s="2"/>
      <c r="CO137" s="6"/>
      <c r="CP137" s="5"/>
      <c r="CQ137" s="7"/>
    </row>
    <row r="138" spans="81:95" x14ac:dyDescent="0.3">
      <c r="CC138" s="87">
        <v>45048.65625</v>
      </c>
      <c r="CD138" s="109">
        <v>5.8689331421147697E-2</v>
      </c>
      <c r="CE138" s="88">
        <v>86.199962600000006</v>
      </c>
      <c r="CF138" s="89">
        <v>4842</v>
      </c>
      <c r="CG138" s="90">
        <f t="shared" si="121"/>
        <v>80.7</v>
      </c>
      <c r="CH138" s="91">
        <f t="shared" si="122"/>
        <v>4.7362290456866196</v>
      </c>
      <c r="CI138" s="91">
        <f t="shared" si="123"/>
        <v>79.545017979875212</v>
      </c>
      <c r="CK138" s="78"/>
      <c r="CL138" s="5"/>
      <c r="CM138" s="6"/>
      <c r="CN138" s="2"/>
      <c r="CO138" s="6"/>
      <c r="CP138" s="5"/>
      <c r="CQ138" s="7"/>
    </row>
    <row r="139" spans="81:95" x14ac:dyDescent="0.3">
      <c r="CC139" s="87">
        <v>45048.666666666664</v>
      </c>
      <c r="CD139" s="109">
        <v>6.3073503173554799E-2</v>
      </c>
      <c r="CE139" s="88">
        <v>90.915794009999999</v>
      </c>
      <c r="CF139" s="89">
        <v>4790</v>
      </c>
      <c r="CG139" s="90">
        <f t="shared" si="121"/>
        <v>79.833333333333329</v>
      </c>
      <c r="CH139" s="91">
        <f t="shared" si="122"/>
        <v>5.0353680033554582</v>
      </c>
      <c r="CI139" s="91">
        <f t="shared" si="123"/>
        <v>81.9668563640315</v>
      </c>
      <c r="CK139" s="78"/>
      <c r="CL139" s="5"/>
      <c r="CM139" s="6"/>
      <c r="CN139" s="2"/>
      <c r="CO139" s="6"/>
      <c r="CP139" s="5"/>
      <c r="CQ139" s="7"/>
    </row>
    <row r="140" spans="81:95" x14ac:dyDescent="0.3">
      <c r="CC140" s="87">
        <v>45048.677083333336</v>
      </c>
      <c r="CD140" s="109">
        <v>5.8186634782729299E-2</v>
      </c>
      <c r="CE140" s="88">
        <v>88.350109630000006</v>
      </c>
      <c r="CF140" s="89">
        <v>5006</v>
      </c>
      <c r="CG140" s="90">
        <f t="shared" si="121"/>
        <v>83.433333333333337</v>
      </c>
      <c r="CH140" s="91">
        <f t="shared" si="122"/>
        <v>4.8547048953723815</v>
      </c>
      <c r="CI140" s="91">
        <f t="shared" si="123"/>
        <v>80.513282529111677</v>
      </c>
      <c r="CK140" s="78"/>
      <c r="CL140" s="5"/>
      <c r="CM140" s="6"/>
      <c r="CN140" s="2"/>
      <c r="CO140" s="6"/>
      <c r="CP140" s="5"/>
      <c r="CQ140" s="7"/>
    </row>
    <row r="141" spans="81:95" x14ac:dyDescent="0.3">
      <c r="CC141" s="87">
        <v>45048.6875</v>
      </c>
      <c r="CD141" s="109">
        <v>5.8338313387358003E-2</v>
      </c>
      <c r="CE141" s="88">
        <v>91.767774239999994</v>
      </c>
      <c r="CF141" s="89">
        <v>4964</v>
      </c>
      <c r="CG141" s="90">
        <f t="shared" si="121"/>
        <v>82.733333333333334</v>
      </c>
      <c r="CH141" s="91">
        <f t="shared" si="122"/>
        <v>4.8265231275807521</v>
      </c>
      <c r="CI141" s="91">
        <f t="shared" si="123"/>
        <v>80.284065066797666</v>
      </c>
      <c r="CK141" s="78"/>
      <c r="CL141" s="5"/>
      <c r="CM141" s="6"/>
      <c r="CN141" s="2"/>
      <c r="CO141" s="6"/>
      <c r="CP141" s="5"/>
      <c r="CQ141" s="7"/>
    </row>
    <row r="142" spans="81:95" x14ac:dyDescent="0.3">
      <c r="CC142" s="87">
        <v>45048.697916666664</v>
      </c>
      <c r="CD142" s="109">
        <v>6.0076706421720499E-2</v>
      </c>
      <c r="CE142" s="88">
        <v>96.393321510000007</v>
      </c>
      <c r="CF142" s="89">
        <v>4847</v>
      </c>
      <c r="CG142" s="90">
        <f t="shared" si="121"/>
        <v>80.783333333333331</v>
      </c>
      <c r="CH142" s="91">
        <f t="shared" si="122"/>
        <v>4.8531966004346545</v>
      </c>
      <c r="CI142" s="91">
        <f t="shared" si="123"/>
        <v>80.501031981386177</v>
      </c>
      <c r="CK142" s="78"/>
      <c r="CL142" s="5"/>
      <c r="CM142" s="6"/>
      <c r="CN142" s="2"/>
      <c r="CO142" s="6"/>
      <c r="CP142" s="5"/>
      <c r="CQ142" s="7"/>
    </row>
    <row r="143" spans="81:95" x14ac:dyDescent="0.3">
      <c r="CC143" s="87">
        <v>45048.708333333336</v>
      </c>
      <c r="CD143" s="109">
        <v>6.0397646156502803E-2</v>
      </c>
      <c r="CE143" s="88">
        <v>102.9873886</v>
      </c>
      <c r="CF143" s="89">
        <v>4703</v>
      </c>
      <c r="CG143" s="90">
        <f t="shared" si="121"/>
        <v>78.38333333333334</v>
      </c>
      <c r="CH143" s="91">
        <f t="shared" si="122"/>
        <v>4.7341688312338785</v>
      </c>
      <c r="CI143" s="91">
        <f t="shared" si="123"/>
        <v>79.528071830499584</v>
      </c>
      <c r="CK143" s="78"/>
      <c r="CL143" s="5"/>
      <c r="CM143" s="6"/>
      <c r="CN143" s="2"/>
      <c r="CO143" s="6"/>
      <c r="CP143" s="5"/>
      <c r="CQ143" s="7"/>
    </row>
    <row r="144" spans="81:95" x14ac:dyDescent="0.3">
      <c r="CC144" s="87">
        <v>45048.71875</v>
      </c>
      <c r="CD144" s="109">
        <v>5.7277374887768399E-2</v>
      </c>
      <c r="CE144" s="88">
        <v>99.297599469999994</v>
      </c>
      <c r="CF144" s="89">
        <v>4851</v>
      </c>
      <c r="CG144" s="90">
        <f t="shared" si="121"/>
        <v>80.849999999999994</v>
      </c>
      <c r="CH144" s="91">
        <f t="shared" si="122"/>
        <v>4.6308757596760746</v>
      </c>
      <c r="CI144" s="91">
        <f t="shared" si="123"/>
        <v>78.673564473892895</v>
      </c>
      <c r="CK144" s="78"/>
      <c r="CL144" s="5"/>
      <c r="CM144" s="6"/>
      <c r="CN144" s="2"/>
      <c r="CO144" s="6"/>
      <c r="CP144" s="5"/>
      <c r="CQ144" s="7"/>
    </row>
    <row r="145" spans="81:95" x14ac:dyDescent="0.3">
      <c r="CC145" s="87">
        <v>45048.729166666664</v>
      </c>
      <c r="CD145" s="109">
        <v>5.6913203746287402E-2</v>
      </c>
      <c r="CE145" s="88">
        <v>110.9974619</v>
      </c>
      <c r="CF145" s="89">
        <v>5095</v>
      </c>
      <c r="CG145" s="90">
        <f t="shared" si="121"/>
        <v>84.916666666666671</v>
      </c>
      <c r="CH145" s="91">
        <f t="shared" si="122"/>
        <v>4.832879551455572</v>
      </c>
      <c r="CI145" s="91">
        <f t="shared" si="123"/>
        <v>80.335824803024266</v>
      </c>
      <c r="CK145" s="78"/>
      <c r="CL145" s="5"/>
      <c r="CM145" s="6"/>
      <c r="CN145" s="2"/>
      <c r="CO145" s="6"/>
      <c r="CP145" s="5"/>
      <c r="CQ145" s="7"/>
    </row>
    <row r="146" spans="81:95" x14ac:dyDescent="0.3">
      <c r="CC146" s="87">
        <v>45048.739583333336</v>
      </c>
      <c r="CD146" s="109">
        <v>6.4448845072485203E-2</v>
      </c>
      <c r="CE146" s="88">
        <v>122.1341827</v>
      </c>
      <c r="CF146" s="89">
        <v>4671</v>
      </c>
      <c r="CG146" s="90">
        <f t="shared" si="121"/>
        <v>77.849999999999994</v>
      </c>
      <c r="CH146" s="91">
        <f t="shared" si="122"/>
        <v>5.0173425888929728</v>
      </c>
      <c r="CI146" s="91">
        <f t="shared" si="123"/>
        <v>81.823036247756932</v>
      </c>
      <c r="CK146" s="78"/>
      <c r="CL146" s="5"/>
      <c r="CM146" s="6"/>
      <c r="CN146" s="2"/>
      <c r="CO146" s="6"/>
      <c r="CP146" s="5"/>
      <c r="CQ146" s="7"/>
    </row>
    <row r="147" spans="81:95" x14ac:dyDescent="0.3">
      <c r="CC147" s="87">
        <v>45048.75</v>
      </c>
      <c r="CD147" s="109">
        <v>6.2321285571784603E-2</v>
      </c>
      <c r="CE147" s="88">
        <v>113.3544048</v>
      </c>
      <c r="CF147" s="89">
        <v>4535</v>
      </c>
      <c r="CG147" s="90">
        <f t="shared" si="121"/>
        <v>75.583333333333329</v>
      </c>
      <c r="CH147" s="91">
        <f t="shared" si="122"/>
        <v>4.7104505011340523</v>
      </c>
      <c r="CI147" s="91">
        <f t="shared" si="123"/>
        <v>79.332706662424229</v>
      </c>
      <c r="CK147" s="78"/>
      <c r="CL147" s="5"/>
      <c r="CM147" s="6"/>
      <c r="CN147" s="2"/>
      <c r="CO147" s="6"/>
      <c r="CP147" s="5"/>
      <c r="CQ147" s="7"/>
    </row>
    <row r="148" spans="81:95" x14ac:dyDescent="0.3">
      <c r="CC148" s="87">
        <v>45048.760416666664</v>
      </c>
      <c r="CD148" s="109">
        <v>6.7690018744910693E-2</v>
      </c>
      <c r="CE148" s="88">
        <v>118.36070239999999</v>
      </c>
      <c r="CF148" s="89">
        <v>4702</v>
      </c>
      <c r="CG148" s="90">
        <f t="shared" si="121"/>
        <v>78.36666666666666</v>
      </c>
      <c r="CH148" s="91">
        <f t="shared" si="122"/>
        <v>5.304641135642834</v>
      </c>
      <c r="CI148" s="91">
        <f t="shared" si="123"/>
        <v>84.084828007221162</v>
      </c>
      <c r="CK148" s="78"/>
      <c r="CL148" s="5"/>
      <c r="CM148" s="6"/>
      <c r="CN148" s="2"/>
      <c r="CO148" s="6"/>
      <c r="CP148" s="5"/>
      <c r="CQ148" s="7"/>
    </row>
    <row r="149" spans="81:95" x14ac:dyDescent="0.3">
      <c r="CC149" s="87">
        <v>45048.770833333336</v>
      </c>
      <c r="CD149" s="109">
        <v>5.8989712134753999E-2</v>
      </c>
      <c r="CE149" s="88">
        <v>114.9053189</v>
      </c>
      <c r="CF149" s="89">
        <v>4854</v>
      </c>
      <c r="CG149" s="90">
        <f t="shared" si="121"/>
        <v>80.900000000000006</v>
      </c>
      <c r="CH149" s="91">
        <f t="shared" si="122"/>
        <v>4.7722677117015992</v>
      </c>
      <c r="CI149" s="91">
        <f t="shared" si="123"/>
        <v>79.840845333413483</v>
      </c>
      <c r="CK149" s="78"/>
      <c r="CL149" s="5"/>
      <c r="CM149" s="6"/>
      <c r="CN149" s="2"/>
      <c r="CO149" s="6"/>
      <c r="CP149" s="5"/>
      <c r="CQ149" s="7"/>
    </row>
    <row r="150" spans="81:95" x14ac:dyDescent="0.3">
      <c r="CC150" s="87">
        <v>45048.78125</v>
      </c>
      <c r="CD150" s="109">
        <v>6.5181094865799594E-2</v>
      </c>
      <c r="CE150" s="88">
        <v>119.12362779999999</v>
      </c>
      <c r="CF150" s="89">
        <v>4781</v>
      </c>
      <c r="CG150" s="90">
        <f t="shared" si="121"/>
        <v>79.683333333333337</v>
      </c>
      <c r="CH150" s="91">
        <f t="shared" si="122"/>
        <v>5.1938469092231312</v>
      </c>
      <c r="CI150" s="91">
        <f t="shared" si="123"/>
        <v>83.220175387400374</v>
      </c>
      <c r="CK150" s="78"/>
      <c r="CL150" s="5"/>
      <c r="CM150" s="6"/>
      <c r="CN150" s="2"/>
      <c r="CO150" s="6"/>
      <c r="CP150" s="5"/>
      <c r="CQ150" s="7"/>
    </row>
    <row r="151" spans="81:95" x14ac:dyDescent="0.3">
      <c r="CC151" s="87">
        <v>45048.791666666664</v>
      </c>
      <c r="CD151" s="109">
        <v>6.2356852223128499E-2</v>
      </c>
      <c r="CE151" s="88">
        <v>116.4455014</v>
      </c>
      <c r="CF151" s="89">
        <v>4838</v>
      </c>
      <c r="CG151" s="90">
        <f t="shared" si="121"/>
        <v>80.63333333333334</v>
      </c>
      <c r="CH151" s="91">
        <f t="shared" si="122"/>
        <v>5.0280408509249286</v>
      </c>
      <c r="CI151" s="91">
        <f t="shared" si="123"/>
        <v>81.908426654665263</v>
      </c>
      <c r="CK151" s="78"/>
      <c r="CL151" s="5"/>
      <c r="CM151" s="6"/>
      <c r="CN151" s="2"/>
      <c r="CO151" s="6"/>
      <c r="CP151" s="5"/>
      <c r="CQ151" s="7"/>
    </row>
    <row r="152" spans="81:95" x14ac:dyDescent="0.3">
      <c r="CC152" s="87">
        <v>45048.802083333336</v>
      </c>
      <c r="CD152" s="109">
        <v>5.9309564865943701E-2</v>
      </c>
      <c r="CE152" s="88">
        <v>112.18199679999999</v>
      </c>
      <c r="CF152" s="89">
        <v>4784</v>
      </c>
      <c r="CG152" s="90">
        <f t="shared" si="121"/>
        <v>79.733333333333334</v>
      </c>
      <c r="CH152" s="91">
        <f t="shared" si="122"/>
        <v>4.7289493053112448</v>
      </c>
      <c r="CI152" s="91">
        <f t="shared" si="123"/>
        <v>79.485122134372787</v>
      </c>
      <c r="CK152" s="78"/>
      <c r="CL152" s="5"/>
      <c r="CM152" s="6"/>
      <c r="CN152" s="2"/>
      <c r="CO152" s="6"/>
      <c r="CP152" s="5"/>
      <c r="CQ152" s="7"/>
    </row>
    <row r="153" spans="81:95" x14ac:dyDescent="0.3">
      <c r="CC153" s="87">
        <v>45048.8125</v>
      </c>
      <c r="CD153" s="109">
        <v>6.0798831998882599E-2</v>
      </c>
      <c r="CE153" s="88">
        <v>129.48707379999999</v>
      </c>
      <c r="CF153" s="89">
        <v>4710</v>
      </c>
      <c r="CG153" s="90">
        <f t="shared" si="121"/>
        <v>78.5</v>
      </c>
      <c r="CH153" s="91">
        <f t="shared" si="122"/>
        <v>4.7727083119122842</v>
      </c>
      <c r="CI153" s="91">
        <f t="shared" si="123"/>
        <v>79.844454981822423</v>
      </c>
      <c r="CK153" s="78"/>
      <c r="CL153" s="5"/>
      <c r="CM153" s="6"/>
      <c r="CN153" s="2"/>
      <c r="CO153" s="6"/>
      <c r="CP153" s="5"/>
      <c r="CQ153" s="7"/>
    </row>
    <row r="154" spans="81:95" x14ac:dyDescent="0.3">
      <c r="CC154" s="87">
        <v>45048.822916666664</v>
      </c>
      <c r="CD154" s="109">
        <v>6.16372210383615E-2</v>
      </c>
      <c r="CE154" s="88">
        <v>125.108964</v>
      </c>
      <c r="CF154" s="89">
        <v>4673</v>
      </c>
      <c r="CG154" s="90">
        <f t="shared" si="121"/>
        <v>77.88333333333334</v>
      </c>
      <c r="CH154" s="91">
        <f t="shared" si="122"/>
        <v>4.8005122318710551</v>
      </c>
      <c r="CI154" s="91">
        <f t="shared" si="123"/>
        <v>80.071897614404079</v>
      </c>
      <c r="CK154" s="78"/>
      <c r="CL154" s="5"/>
      <c r="CM154" s="6"/>
      <c r="CN154" s="2"/>
      <c r="CO154" s="6"/>
      <c r="CP154" s="5"/>
      <c r="CQ154" s="7"/>
    </row>
    <row r="155" spans="81:95" x14ac:dyDescent="0.3">
      <c r="CC155" s="87">
        <v>45048.833333333336</v>
      </c>
      <c r="CD155" s="109">
        <v>6.0503503466209897E-2</v>
      </c>
      <c r="CE155" s="88">
        <v>117.9749527</v>
      </c>
      <c r="CF155" s="89">
        <v>4503</v>
      </c>
      <c r="CG155" s="90">
        <f t="shared" si="121"/>
        <v>75.05</v>
      </c>
      <c r="CH155" s="91">
        <f t="shared" si="122"/>
        <v>4.5407879351390523</v>
      </c>
      <c r="CI155" s="91">
        <f t="shared" si="123"/>
        <v>77.920324241039069</v>
      </c>
      <c r="CK155" s="78"/>
      <c r="CL155" s="5"/>
      <c r="CM155" s="6"/>
      <c r="CN155" s="2"/>
      <c r="CO155" s="6"/>
      <c r="CP155" s="5"/>
      <c r="CQ155" s="7"/>
    </row>
  </sheetData>
  <mergeCells count="12">
    <mergeCell ref="BR1:BS1"/>
    <mergeCell ref="H1:I1"/>
    <mergeCell ref="J1:K1"/>
    <mergeCell ref="T1:U1"/>
    <mergeCell ref="V1:W1"/>
    <mergeCell ref="AH1:AI1"/>
    <mergeCell ref="AF1:AG1"/>
    <mergeCell ref="AR1:AS1"/>
    <mergeCell ref="AT1:AU1"/>
    <mergeCell ref="BD1:BE1"/>
    <mergeCell ref="BF1:BG1"/>
    <mergeCell ref="BP1:BQ1"/>
  </mergeCells>
  <pageMargins left="0.7" right="0.7" top="0.75" bottom="0.75" header="0.3" footer="0.3"/>
  <ignoredErrors>
    <ignoredError sqref="F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4D02-92B2-4D91-93FF-EBE29867A7D1}">
  <dimension ref="A1:AU1920"/>
  <sheetViews>
    <sheetView tabSelected="1" topLeftCell="AC1" zoomScale="70" zoomScaleNormal="70" workbookViewId="0">
      <selection activeCell="AS12" sqref="AS12"/>
    </sheetView>
  </sheetViews>
  <sheetFormatPr defaultRowHeight="14.4" x14ac:dyDescent="0.3"/>
  <cols>
    <col min="1" max="1" width="17.88671875" customWidth="1"/>
    <col min="2" max="2" width="11.33203125" customWidth="1"/>
    <col min="3" max="3" width="14.6640625" customWidth="1"/>
    <col min="4" max="4" width="11.6640625" customWidth="1"/>
    <col min="5" max="5" width="12.21875" customWidth="1"/>
    <col min="6" max="6" width="16.33203125" customWidth="1"/>
    <col min="7" max="7" width="11.6640625" customWidth="1"/>
    <col min="9" max="9" width="20.6640625" customWidth="1"/>
    <col min="10" max="10" width="14.33203125" customWidth="1"/>
    <col min="11" max="11" width="20.5546875" customWidth="1"/>
    <col min="13" max="13" width="19.33203125" customWidth="1"/>
    <col min="14" max="14" width="11.88671875" customWidth="1"/>
    <col min="15" max="15" width="13.77734375" customWidth="1"/>
    <col min="16" max="16" width="12.5546875" customWidth="1"/>
    <col min="17" max="17" width="12.33203125" customWidth="1"/>
    <col min="18" max="18" width="20.6640625" customWidth="1"/>
    <col min="19" max="19" width="16.6640625" customWidth="1"/>
    <col min="21" max="21" width="20.6640625" customWidth="1"/>
    <col min="23" max="23" width="20.6640625" customWidth="1"/>
    <col min="25" max="25" width="16.6640625" customWidth="1"/>
    <col min="27" max="27" width="14.109375" customWidth="1"/>
    <col min="28" max="28" width="14.77734375" customWidth="1"/>
    <col min="29" max="29" width="15.21875" customWidth="1"/>
    <col min="30" max="30" width="20" customWidth="1"/>
    <col min="31" max="31" width="14.33203125" customWidth="1"/>
    <col min="32" max="32" width="11.21875" customWidth="1"/>
    <col min="33" max="33" width="20.33203125" customWidth="1"/>
    <col min="34" max="34" width="11.109375" customWidth="1"/>
    <col min="35" max="35" width="21" customWidth="1"/>
    <col min="37" max="37" width="19.33203125" customWidth="1"/>
    <col min="38" max="38" width="12.6640625" customWidth="1"/>
    <col min="39" max="39" width="14.33203125" customWidth="1"/>
    <col min="40" max="40" width="13.6640625" customWidth="1"/>
    <col min="41" max="41" width="13.21875" customWidth="1"/>
    <col min="42" max="42" width="19.33203125" customWidth="1"/>
    <col min="43" max="43" width="15.88671875" customWidth="1"/>
    <col min="45" max="45" width="19.88671875" customWidth="1"/>
    <col min="47" max="47" width="22.109375" customWidth="1"/>
  </cols>
  <sheetData>
    <row r="1" spans="1:47" x14ac:dyDescent="0.3">
      <c r="A1" s="15" t="s">
        <v>56</v>
      </c>
      <c r="B1" s="16">
        <f>MAX(B3:B98)</f>
        <v>2.1384346645964201E-2</v>
      </c>
      <c r="C1" s="113" t="s">
        <v>49</v>
      </c>
      <c r="D1" s="114">
        <f>INDEX(C3:C98, MATCH(MAX(G3:G98), G3:G98, 0))</f>
        <v>42.550901439999997</v>
      </c>
      <c r="E1" s="2" t="s">
        <v>50</v>
      </c>
      <c r="F1" s="115">
        <f>_xlfn.PERCENTILE.INC(C3:C98,0.05)</f>
        <v>27.7511264575</v>
      </c>
      <c r="G1" s="18">
        <f>MAX(G3:G98)</f>
        <v>36.505378279591355</v>
      </c>
      <c r="H1" s="133" t="s">
        <v>52</v>
      </c>
      <c r="I1" s="133"/>
      <c r="J1" s="133" t="s">
        <v>53</v>
      </c>
      <c r="K1" s="133"/>
      <c r="M1" s="120" t="s">
        <v>57</v>
      </c>
      <c r="N1" s="16">
        <f>MAX(N3:N776)</f>
        <v>8.8047310384380906E-2</v>
      </c>
      <c r="O1" s="113" t="s">
        <v>49</v>
      </c>
      <c r="P1" s="114">
        <f>INDEX(O3:O776, MATCH(MAX(S3:S776), S3:S776, 0))</f>
        <v>50.381720729999998</v>
      </c>
      <c r="Q1" s="2" t="s">
        <v>50</v>
      </c>
      <c r="R1" s="115">
        <f>_xlfn.PERCENTILE.INC(O3:O776,0.05)</f>
        <v>47.592533240000002</v>
      </c>
      <c r="S1" s="18">
        <f>MAX(S3:S776)</f>
        <v>239.98579754352036</v>
      </c>
      <c r="T1" s="133" t="s">
        <v>52</v>
      </c>
      <c r="U1" s="133"/>
      <c r="V1" s="133" t="s">
        <v>53</v>
      </c>
      <c r="W1" s="133"/>
      <c r="Y1" s="122" t="s">
        <v>58</v>
      </c>
      <c r="Z1" s="16">
        <f>MAX(Z3:Z442)</f>
        <v>0.48118745487702203</v>
      </c>
      <c r="AA1" s="113" t="s">
        <v>49</v>
      </c>
      <c r="AB1" s="114">
        <f>INDEX(AA3:AA442, MATCH(MAX(AE3:AE442), AE3:AE442, 0))</f>
        <v>88.350109630000006</v>
      </c>
      <c r="AC1" s="2" t="s">
        <v>50</v>
      </c>
      <c r="AD1" s="115">
        <f>_xlfn.PERCENTILE.INC(AA3:AA442,0.05)</f>
        <v>79.202259850000004</v>
      </c>
      <c r="AE1" s="18">
        <f>MAX(AE3:AE776)</f>
        <v>239.98579754352036</v>
      </c>
      <c r="AF1" s="133" t="s">
        <v>52</v>
      </c>
      <c r="AG1" s="133"/>
      <c r="AH1" s="133" t="s">
        <v>53</v>
      </c>
      <c r="AI1" s="133"/>
      <c r="AK1" s="135" t="s">
        <v>59</v>
      </c>
      <c r="AL1" s="16">
        <f>MAX(AL3:AL442)</f>
        <v>8.8047310384380906E-2</v>
      </c>
      <c r="AM1" s="113" t="s">
        <v>49</v>
      </c>
      <c r="AN1" s="114">
        <f>INDEX(AM3:AM1920, MATCH(MAX(AQ3:AQ1920), AQ3:AQ1920, 0))</f>
        <v>66.655723199999997</v>
      </c>
      <c r="AO1" s="2" t="s">
        <v>50</v>
      </c>
      <c r="AP1" s="115">
        <f>_xlfn.PERCENTILE.INC(AM3:AM1920,0.05)</f>
        <v>45.360772479500007</v>
      </c>
      <c r="AQ1" s="18">
        <f>MAX(AQ3:AQ776)</f>
        <v>239.98579754352036</v>
      </c>
      <c r="AR1" s="133" t="s">
        <v>52</v>
      </c>
      <c r="AS1" s="133"/>
      <c r="AT1" s="133" t="s">
        <v>53</v>
      </c>
      <c r="AU1" s="133"/>
    </row>
    <row r="2" spans="1:47" x14ac:dyDescent="0.3">
      <c r="A2" s="14" t="s">
        <v>27</v>
      </c>
      <c r="B2" s="17" t="s">
        <v>28</v>
      </c>
      <c r="C2" s="14" t="s">
        <v>34</v>
      </c>
      <c r="D2" s="14" t="s">
        <v>32</v>
      </c>
      <c r="E2" s="14" t="s">
        <v>42</v>
      </c>
      <c r="F2" s="14" t="s">
        <v>41</v>
      </c>
      <c r="G2" s="19" t="s">
        <v>35</v>
      </c>
      <c r="H2" s="19" t="s">
        <v>48</v>
      </c>
      <c r="I2" s="19" t="s">
        <v>51</v>
      </c>
      <c r="J2" s="19" t="s">
        <v>48</v>
      </c>
      <c r="K2" s="19" t="s">
        <v>51</v>
      </c>
      <c r="M2" s="23" t="s">
        <v>27</v>
      </c>
      <c r="N2" s="119" t="s">
        <v>28</v>
      </c>
      <c r="O2" s="23" t="s">
        <v>34</v>
      </c>
      <c r="P2" s="23" t="s">
        <v>32</v>
      </c>
      <c r="Q2" s="23" t="s">
        <v>42</v>
      </c>
      <c r="R2" s="23" t="s">
        <v>41</v>
      </c>
      <c r="S2" s="24" t="s">
        <v>35</v>
      </c>
      <c r="T2" s="24" t="s">
        <v>48</v>
      </c>
      <c r="U2" s="24" t="s">
        <v>51</v>
      </c>
      <c r="V2" s="24" t="s">
        <v>48</v>
      </c>
      <c r="W2" s="24" t="s">
        <v>51</v>
      </c>
      <c r="Y2" s="30" t="s">
        <v>27</v>
      </c>
      <c r="Z2" s="121" t="s">
        <v>28</v>
      </c>
      <c r="AA2" s="30" t="s">
        <v>34</v>
      </c>
      <c r="AB2" s="30" t="s">
        <v>32</v>
      </c>
      <c r="AC2" s="30" t="s">
        <v>42</v>
      </c>
      <c r="AD2" s="30" t="s">
        <v>41</v>
      </c>
      <c r="AE2" s="31" t="s">
        <v>35</v>
      </c>
      <c r="AF2" s="31" t="s">
        <v>48</v>
      </c>
      <c r="AG2" s="31" t="s">
        <v>51</v>
      </c>
      <c r="AH2" s="31" t="s">
        <v>48</v>
      </c>
      <c r="AI2" s="31" t="s">
        <v>51</v>
      </c>
      <c r="AK2" s="48" t="s">
        <v>27</v>
      </c>
      <c r="AL2" s="134" t="s">
        <v>28</v>
      </c>
      <c r="AM2" s="48" t="s">
        <v>34</v>
      </c>
      <c r="AN2" s="48" t="s">
        <v>32</v>
      </c>
      <c r="AO2" s="48" t="s">
        <v>42</v>
      </c>
      <c r="AP2" s="48" t="s">
        <v>41</v>
      </c>
      <c r="AQ2" s="49" t="s">
        <v>35</v>
      </c>
      <c r="AR2" s="49" t="s">
        <v>48</v>
      </c>
      <c r="AS2" s="49" t="s">
        <v>51</v>
      </c>
      <c r="AT2" s="49" t="s">
        <v>48</v>
      </c>
      <c r="AU2" s="49" t="s">
        <v>51</v>
      </c>
    </row>
    <row r="3" spans="1:47" x14ac:dyDescent="0.3">
      <c r="A3" s="78">
        <v>45003.569444444445</v>
      </c>
      <c r="B3" s="79">
        <v>3.1653186255412701E-3</v>
      </c>
      <c r="C3" s="7">
        <v>30.192112359999999</v>
      </c>
      <c r="D3" s="2">
        <v>1804</v>
      </c>
      <c r="E3" s="6">
        <f>D3/60</f>
        <v>30.066666666666666</v>
      </c>
      <c r="F3" s="6">
        <f>E3*B3</f>
        <v>9.5170580007940861E-2</v>
      </c>
      <c r="G3" s="6">
        <f>37.141*F3^0.4897</f>
        <v>11.738872152260383</v>
      </c>
      <c r="H3" s="6">
        <f>IF((C3-$F$1)/($D$1-$F$1)&lt;0, 0, IF((C3-$F$1)/($D$1-$F$1)&gt;1, 1, (C3-$F$1)/($D$1-$F$1)))</f>
        <v>0.16493398753605004</v>
      </c>
      <c r="I3" s="6">
        <f>G3*H3</f>
        <v>1.9361389932481989</v>
      </c>
      <c r="J3" s="6">
        <f>IF((F3-$K$100)/($I$100-$K$100)&lt;0, 0, IF((F3-$K$100)/($I$100-$K$100)&gt;1, 1, (F3-$K$100)/($I$100-$K$100)))</f>
        <v>1.9227982230586763E-2</v>
      </c>
      <c r="K3" s="5">
        <f>G3*J3</f>
        <v>0.22571482515079241</v>
      </c>
      <c r="M3" s="78">
        <v>45030.71875</v>
      </c>
      <c r="N3" s="5">
        <v>3.32244547323199E-2</v>
      </c>
      <c r="O3" s="5">
        <v>53.134964160000003</v>
      </c>
      <c r="P3" s="2">
        <v>33004</v>
      </c>
      <c r="Q3" s="7">
        <f>P3/60</f>
        <v>550.06666666666672</v>
      </c>
      <c r="R3" s="6">
        <f>N3*Q3</f>
        <v>18.275665066424768</v>
      </c>
      <c r="S3" s="6">
        <f>37.141*R3^0.4897</f>
        <v>154.09654232025309</v>
      </c>
      <c r="T3" s="2">
        <f>IF((O3-$R$1)/($P$1-$R$1)&lt;0, 0, IF((O3-$R$1)/($P$1-$R$1)&gt;1, 1, (O3-$R$1)/($P$1-$R$1)))</f>
        <v>1</v>
      </c>
      <c r="U3" s="6">
        <f>S3*T3</f>
        <v>154.09654232025309</v>
      </c>
      <c r="V3">
        <f>IF((R3-$AB$774)/($Z$773-$AB$774)&lt;0, 0, IF((R3-$AB$774)/($Z$773-$AB$774)&gt;1, 1, (R3-$AB$774)/($Z$773-$AB$774)))</f>
        <v>0.61913988869701142</v>
      </c>
      <c r="W3" s="6">
        <f>S3*V3</f>
        <v>95.407316060755804</v>
      </c>
      <c r="Y3" s="78">
        <v>45047.125</v>
      </c>
      <c r="Z3">
        <v>6.4166294638106303E-2</v>
      </c>
      <c r="AA3" s="6">
        <v>81.405228940000001</v>
      </c>
      <c r="AB3" s="2">
        <v>15034</v>
      </c>
      <c r="AC3" s="7">
        <f>AB3/60</f>
        <v>250.56666666666666</v>
      </c>
      <c r="AD3" s="7">
        <f>AC3*Z3</f>
        <v>16.077934559821504</v>
      </c>
      <c r="AE3" s="7">
        <f>37.141*R3^0.4897</f>
        <v>154.09654232025309</v>
      </c>
      <c r="AF3" s="7">
        <f>IF((AA3-$AD$1)/($AB$1-$AD$1)&lt;0, 0, IF((AA3-$AD$1)/($AB$1-$AD$1)&gt;1, 1, (AA3-$AD$1)/($AB$1-$AD$1)))</f>
        <v>0.24081824067731861</v>
      </c>
      <c r="AG3" s="6">
        <f>AE3*AF3</f>
        <v>37.109258216021324</v>
      </c>
      <c r="AH3" s="2">
        <f>IF((AD3-$AI$444)/($AG$444-$AI$444)&lt;0, 0, IF((AD3-$AI$444)/($AG$444-$AI$444)&gt;1, 1, (AD3-$AI$444)/($AG$444-$AI$444)))</f>
        <v>1</v>
      </c>
      <c r="AI3" s="7">
        <f>AE3*AH3</f>
        <v>154.09654232025309</v>
      </c>
      <c r="AK3" s="78">
        <v>45003.569444444445</v>
      </c>
      <c r="AL3" s="79">
        <v>3.1653186255412701E-3</v>
      </c>
      <c r="AM3" s="7">
        <v>30.192112359999999</v>
      </c>
      <c r="AN3" s="2">
        <v>1804</v>
      </c>
      <c r="AO3" s="6">
        <f>AN3/60</f>
        <v>30.066666666666666</v>
      </c>
      <c r="AP3" s="5">
        <f>AO3*AL3</f>
        <v>9.5170580007940861E-2</v>
      </c>
      <c r="AQ3" s="6">
        <f>37.141*AP3^0.4897</f>
        <v>11.738872152260383</v>
      </c>
      <c r="AR3" s="2">
        <f>IF((AM3-$AP$1)/($AN$1-$AP$1)&lt;0, 0, IF((AA3-$AP$1)/($AN$1-$AP$1)&gt;1, 1, (AA3-$AP$1)/($AN$1-$AP$1)))</f>
        <v>0</v>
      </c>
      <c r="AS3" s="2">
        <f>AQ3*AR3</f>
        <v>0</v>
      </c>
    </row>
    <row r="4" spans="1:47" x14ac:dyDescent="0.3">
      <c r="A4" s="78">
        <v>45003.583333333336</v>
      </c>
      <c r="B4" s="79">
        <v>3.5074505429600598E-3</v>
      </c>
      <c r="C4" s="7">
        <v>29.54055151</v>
      </c>
      <c r="D4" s="2">
        <v>2565</v>
      </c>
      <c r="E4" s="6">
        <f t="shared" ref="E4:E67" si="0">D4/60</f>
        <v>42.75</v>
      </c>
      <c r="F4" s="6">
        <f t="shared" ref="F4:F67" si="1">E4*B4</f>
        <v>0.14994351071154255</v>
      </c>
      <c r="G4" s="6">
        <f t="shared" ref="G4:G67" si="2">37.141*F4^0.4897</f>
        <v>14.665787066017543</v>
      </c>
      <c r="H4" s="6">
        <f t="shared" ref="H4:H67" si="3">IF((C4-$F$1)/($D$1-$F$1)&lt;0, 0, IF((C4-$F$1)/($D$1-$F$1)&gt;1, 1, (C4-$F$1)/($D$1-$F$1)))</f>
        <v>0.12090893642747319</v>
      </c>
      <c r="I4" s="6">
        <f t="shared" ref="I4:I67" si="4">G4*H4</f>
        <v>1.7732247160239738</v>
      </c>
      <c r="J4" s="6">
        <f t="shared" ref="J4:J67" si="5">IF((F4-$K$100)/($I$100-$K$100)&lt;0, 0, IF((F4-$K$100)/($I$100-$K$100)&gt;1, 1, (F4-$K$100)/($I$100-$K$100)))</f>
        <v>8.096109624368672E-2</v>
      </c>
      <c r="K4" s="5">
        <f t="shared" ref="K4:K67" si="6">G4*J4</f>
        <v>1.1873581981412622</v>
      </c>
      <c r="M4" s="78">
        <v>45030.729166666664</v>
      </c>
      <c r="N4" s="5">
        <v>2.8760369616172302E-2</v>
      </c>
      <c r="O4" s="5">
        <v>62.315280379999997</v>
      </c>
      <c r="P4" s="2">
        <v>32399</v>
      </c>
      <c r="Q4" s="7">
        <f t="shared" ref="Q4:Q67" si="7">P4/60</f>
        <v>539.98333333333335</v>
      </c>
      <c r="R4" s="6">
        <f t="shared" ref="R4:R67" si="8">N4*Q4</f>
        <v>15.53012025323944</v>
      </c>
      <c r="S4" s="6">
        <f t="shared" ref="S4:S67" si="9">37.141*R4^0.4897</f>
        <v>142.28918811590063</v>
      </c>
      <c r="T4" s="2">
        <f>IF((O4-$R$1)/($P$1-$R$1)&lt;0, 0, IF((O4-$R$1)/($P$1-$R$1)&gt;1, 1, (O4-$R$1)/($P$1-$R$1)))</f>
        <v>1</v>
      </c>
      <c r="U4" s="6">
        <f t="shared" ref="U4:U67" si="10">S4*T4</f>
        <v>142.28918811590063</v>
      </c>
      <c r="V4">
        <f>IF((R4-$AB$774)/($Z$773-$AB$774)&lt;0, 0, IF((R4-$AB$774)/($Z$773-$AB$774)&gt;1, 1, (R4-$AB$774)/($Z$773-$AB$774)))</f>
        <v>0.11656939201740316</v>
      </c>
      <c r="W4" s="6">
        <f t="shared" ref="W4:W67" si="11">S4*V4</f>
        <v>16.586564149320441</v>
      </c>
      <c r="Y4" s="78">
        <v>45047.135416666664</v>
      </c>
      <c r="Z4">
        <v>6.6547440731441004E-2</v>
      </c>
      <c r="AA4" s="6">
        <v>82.276892649999994</v>
      </c>
      <c r="AB4" s="2">
        <v>15446</v>
      </c>
      <c r="AC4" s="7">
        <f t="shared" ref="AC4:AC67" si="12">AB4/60</f>
        <v>257.43333333333334</v>
      </c>
      <c r="AD4" s="7">
        <f t="shared" ref="AD4:AD67" si="13">AC4*Z4</f>
        <v>17.131529492297297</v>
      </c>
      <c r="AE4" s="7">
        <f t="shared" ref="AE4:AE67" si="14">37.141*R4^0.4897</f>
        <v>142.28918811590063</v>
      </c>
      <c r="AF4" s="7">
        <f t="shared" ref="AF4:AF67" si="15">IF((AA4-$AD$1)/($AB$1-$AD$1)&lt;0, 0, IF((AA4-$AD$1)/($AB$1-$AD$1)&gt;1, 1, (AA4-$AD$1)/($AB$1-$AD$1)))</f>
        <v>0.3361044260610922</v>
      </c>
      <c r="AG4" s="6">
        <f t="shared" ref="AG4:AG67" si="16">AE4*AF4</f>
        <v>47.824025906393558</v>
      </c>
      <c r="AH4" s="2">
        <f t="shared" ref="AH4:AH67" si="17">IF((AD4-$AI$444)/($AG$444-$AI$444)&lt;0, 0, IF((AD4-$AI$444)/($AG$444-$AI$444)&gt;1, 1, (AD4-$AI$444)/($AG$444-$AI$444)))</f>
        <v>1</v>
      </c>
      <c r="AI4" s="7">
        <f t="shared" ref="AI4:AI67" si="18">AE4*AH4</f>
        <v>142.28918811590063</v>
      </c>
      <c r="AK4" s="78">
        <v>45003.583333333336</v>
      </c>
      <c r="AL4" s="79">
        <v>3.5074505429600598E-3</v>
      </c>
      <c r="AM4" s="7">
        <v>29.54055151</v>
      </c>
      <c r="AN4" s="2">
        <v>2565</v>
      </c>
      <c r="AO4" s="6">
        <f t="shared" ref="AO4:AO67" si="19">AN4/60</f>
        <v>42.75</v>
      </c>
      <c r="AP4" s="5">
        <f t="shared" ref="AP4:AP67" si="20">AO4*AL4</f>
        <v>0.14994351071154255</v>
      </c>
      <c r="AQ4" s="6">
        <f t="shared" ref="AQ4:AQ67" si="21">37.141*AP4^0.4897</f>
        <v>14.665787066017543</v>
      </c>
      <c r="AR4" s="2">
        <f t="shared" ref="AR4:AR67" si="22">IF((AM4-$AP$1)/($AN$1-$AP$1)&lt;0, 0, IF((AA4-$AP$1)/($AN$1-$AP$1)&gt;1, 1, (AA4-$AP$1)/($AN$1-$AP$1)))</f>
        <v>0</v>
      </c>
      <c r="AS4" s="2">
        <f t="shared" ref="AS4:AS67" si="23">AQ4*AR4</f>
        <v>0</v>
      </c>
    </row>
    <row r="5" spans="1:47" x14ac:dyDescent="0.3">
      <c r="A5" s="78">
        <v>45003.59375</v>
      </c>
      <c r="B5" s="79">
        <v>3.5557833510225598E-3</v>
      </c>
      <c r="C5" s="7">
        <v>31.45854044</v>
      </c>
      <c r="D5" s="2">
        <v>3081</v>
      </c>
      <c r="E5" s="6">
        <f t="shared" si="0"/>
        <v>51.35</v>
      </c>
      <c r="F5" s="6">
        <f t="shared" si="1"/>
        <v>0.18258947507500844</v>
      </c>
      <c r="G5" s="6">
        <f t="shared" si="2"/>
        <v>16.150957064172847</v>
      </c>
      <c r="H5" s="6">
        <f t="shared" si="3"/>
        <v>0.25050475340901024</v>
      </c>
      <c r="I5" s="6">
        <f t="shared" si="4"/>
        <v>4.0458915166801308</v>
      </c>
      <c r="J5" s="6">
        <f t="shared" si="5"/>
        <v>0.11775549475822369</v>
      </c>
      <c r="K5" s="5">
        <f t="shared" si="6"/>
        <v>1.9018639399105015</v>
      </c>
      <c r="M5" s="78">
        <v>45030.739583333336</v>
      </c>
      <c r="N5" s="5">
        <v>2.9321784230363301E-2</v>
      </c>
      <c r="O5" s="5">
        <v>55.160894489999997</v>
      </c>
      <c r="P5" s="2">
        <v>32934</v>
      </c>
      <c r="Q5" s="7">
        <f t="shared" si="7"/>
        <v>548.9</v>
      </c>
      <c r="R5" s="6">
        <f t="shared" si="8"/>
        <v>16.094727364046417</v>
      </c>
      <c r="S5" s="6">
        <f t="shared" si="9"/>
        <v>144.79933373399157</v>
      </c>
      <c r="T5" s="2">
        <f t="shared" ref="T5:T67" si="24">IF((O5-$R$1)/($P$1-$R$1)&lt;0, 0, IF((O5-$R$1)/($P$1-$R$1)&gt;1, 1, (O5-$R$1)/($P$1-$R$1)))</f>
        <v>1</v>
      </c>
      <c r="U5" s="6">
        <f t="shared" si="10"/>
        <v>144.79933373399157</v>
      </c>
      <c r="V5">
        <f>IF((R5-$AB$774)/($Z$773-$AB$774)&lt;0, 0, IF((R5-$AB$774)/($Z$773-$AB$774)&gt;1, 1, (R5-$AB$774)/($Z$773-$AB$774)))</f>
        <v>0.21992041901371501</v>
      </c>
      <c r="W5" s="6">
        <f t="shared" si="11"/>
        <v>31.844330147686186</v>
      </c>
      <c r="Y5" s="78">
        <v>45047.145833333336</v>
      </c>
      <c r="Z5">
        <v>6.3749501686087895E-2</v>
      </c>
      <c r="AA5" s="6">
        <v>82.284398269999997</v>
      </c>
      <c r="AB5" s="2">
        <v>15094</v>
      </c>
      <c r="AC5" s="7">
        <f t="shared" si="12"/>
        <v>251.56666666666666</v>
      </c>
      <c r="AD5" s="7">
        <f t="shared" si="13"/>
        <v>16.037249640830179</v>
      </c>
      <c r="AE5" s="7">
        <f t="shared" si="14"/>
        <v>144.79933373399157</v>
      </c>
      <c r="AF5" s="7">
        <f t="shared" si="15"/>
        <v>0.33692490520980029</v>
      </c>
      <c r="AG5" s="6">
        <f t="shared" si="16"/>
        <v>48.786501792767346</v>
      </c>
      <c r="AH5" s="2">
        <f t="shared" si="17"/>
        <v>1</v>
      </c>
      <c r="AI5" s="7">
        <f t="shared" si="18"/>
        <v>144.79933373399157</v>
      </c>
      <c r="AK5" s="78">
        <v>45003.59375</v>
      </c>
      <c r="AL5" s="79">
        <v>3.5557833510225598E-3</v>
      </c>
      <c r="AM5" s="7">
        <v>31.45854044</v>
      </c>
      <c r="AN5" s="2">
        <v>3081</v>
      </c>
      <c r="AO5" s="6">
        <f t="shared" si="19"/>
        <v>51.35</v>
      </c>
      <c r="AP5" s="5">
        <f t="shared" si="20"/>
        <v>0.18258947507500844</v>
      </c>
      <c r="AQ5" s="6">
        <f t="shared" si="21"/>
        <v>16.150957064172847</v>
      </c>
      <c r="AR5" s="2">
        <f t="shared" si="22"/>
        <v>0</v>
      </c>
      <c r="AS5" s="2">
        <f t="shared" si="23"/>
        <v>0</v>
      </c>
    </row>
    <row r="6" spans="1:47" x14ac:dyDescent="0.3">
      <c r="A6" s="78">
        <v>45003.604166666664</v>
      </c>
      <c r="B6" s="79">
        <v>3.7024315787572201E-3</v>
      </c>
      <c r="C6" s="7">
        <v>34.564746730000003</v>
      </c>
      <c r="D6" s="2">
        <v>3146</v>
      </c>
      <c r="E6" s="6">
        <f t="shared" si="0"/>
        <v>52.43333333333333</v>
      </c>
      <c r="F6" s="6">
        <f t="shared" si="1"/>
        <v>0.19413082911283688</v>
      </c>
      <c r="G6" s="6">
        <f t="shared" si="2"/>
        <v>16.643071307599872</v>
      </c>
      <c r="H6" s="6">
        <f t="shared" si="3"/>
        <v>0.46038674780912364</v>
      </c>
      <c r="I6" s="6">
        <f t="shared" si="4"/>
        <v>7.6622494728612436</v>
      </c>
      <c r="J6" s="6">
        <f t="shared" si="5"/>
        <v>0.13076344805797224</v>
      </c>
      <c r="K6" s="5">
        <f t="shared" si="6"/>
        <v>2.1763053904564642</v>
      </c>
      <c r="M6" s="78">
        <v>45030.75</v>
      </c>
      <c r="N6" s="5">
        <v>3.04007705165938E-2</v>
      </c>
      <c r="O6" s="5">
        <v>60.419666749999998</v>
      </c>
      <c r="P6" s="2">
        <v>32953</v>
      </c>
      <c r="Q6" s="7">
        <f t="shared" si="7"/>
        <v>549.2166666666667</v>
      </c>
      <c r="R6" s="6">
        <f t="shared" si="8"/>
        <v>16.696609847221925</v>
      </c>
      <c r="S6" s="6">
        <f t="shared" si="9"/>
        <v>147.42619974740472</v>
      </c>
      <c r="T6" s="2">
        <f t="shared" si="24"/>
        <v>1</v>
      </c>
      <c r="U6" s="6">
        <f t="shared" si="10"/>
        <v>147.42619974740472</v>
      </c>
      <c r="V6">
        <f>IF((R6-$AB$774)/($Z$773-$AB$774)&lt;0, 0, IF((R6-$AB$774)/($Z$773-$AB$774)&gt;1, 1, (R6-$AB$774)/($Z$773-$AB$774)))</f>
        <v>0.33009468280995224</v>
      </c>
      <c r="W6" s="6">
        <f t="shared" si="11"/>
        <v>48.664604643496226</v>
      </c>
      <c r="Y6" s="78">
        <v>45047.15625</v>
      </c>
      <c r="Z6">
        <v>6.3286491809405696E-2</v>
      </c>
      <c r="AA6" s="6">
        <v>82.284398269999997</v>
      </c>
      <c r="AB6" s="2">
        <v>15463</v>
      </c>
      <c r="AC6" s="7">
        <f t="shared" si="12"/>
        <v>257.71666666666664</v>
      </c>
      <c r="AD6" s="7">
        <f t="shared" si="13"/>
        <v>16.309983714147336</v>
      </c>
      <c r="AE6" s="7">
        <f t="shared" si="14"/>
        <v>147.42619974740472</v>
      </c>
      <c r="AF6" s="7">
        <f t="shared" si="15"/>
        <v>0.33692490520980029</v>
      </c>
      <c r="AG6" s="6">
        <f t="shared" si="16"/>
        <v>49.671558375335422</v>
      </c>
      <c r="AH6" s="2">
        <f t="shared" si="17"/>
        <v>1</v>
      </c>
      <c r="AI6" s="7">
        <f t="shared" si="18"/>
        <v>147.42619974740472</v>
      </c>
      <c r="AK6" s="78">
        <v>45003.604166666664</v>
      </c>
      <c r="AL6" s="79">
        <v>3.7024315787572201E-3</v>
      </c>
      <c r="AM6" s="7">
        <v>34.564746730000003</v>
      </c>
      <c r="AN6" s="2">
        <v>3146</v>
      </c>
      <c r="AO6" s="6">
        <f t="shared" si="19"/>
        <v>52.43333333333333</v>
      </c>
      <c r="AP6" s="5">
        <f t="shared" si="20"/>
        <v>0.19413082911283688</v>
      </c>
      <c r="AQ6" s="6">
        <f t="shared" si="21"/>
        <v>16.643071307599872</v>
      </c>
      <c r="AR6" s="2">
        <f t="shared" si="22"/>
        <v>0</v>
      </c>
      <c r="AS6" s="2">
        <f t="shared" si="23"/>
        <v>0</v>
      </c>
    </row>
    <row r="7" spans="1:47" x14ac:dyDescent="0.3">
      <c r="A7" s="78">
        <v>45003.614583333336</v>
      </c>
      <c r="B7" s="79">
        <v>3.4016392243295399E-3</v>
      </c>
      <c r="C7" s="7">
        <v>32.71821362</v>
      </c>
      <c r="D7" s="2">
        <v>2864</v>
      </c>
      <c r="E7" s="6">
        <f t="shared" si="0"/>
        <v>47.733333333333334</v>
      </c>
      <c r="F7" s="6">
        <f t="shared" si="1"/>
        <v>0.16237157897466337</v>
      </c>
      <c r="G7" s="6">
        <f t="shared" si="2"/>
        <v>15.248964259835184</v>
      </c>
      <c r="H7" s="6">
        <f t="shared" si="3"/>
        <v>0.33561910018046459</v>
      </c>
      <c r="I7" s="6">
        <f t="shared" si="4"/>
        <v>5.1178436635699489</v>
      </c>
      <c r="J7" s="6">
        <f t="shared" si="5"/>
        <v>9.4968441572743159E-2</v>
      </c>
      <c r="K7" s="5">
        <f t="shared" si="6"/>
        <v>1.4481703713550063</v>
      </c>
      <c r="M7" s="78">
        <v>45030.760416666664</v>
      </c>
      <c r="N7" s="5">
        <v>3.1026848561462501E-2</v>
      </c>
      <c r="O7" s="5">
        <v>60.419666749999998</v>
      </c>
      <c r="P7" s="2">
        <v>33356</v>
      </c>
      <c r="Q7" s="7">
        <f t="shared" si="7"/>
        <v>555.93333333333328</v>
      </c>
      <c r="R7" s="6">
        <f t="shared" si="8"/>
        <v>17.248859343602383</v>
      </c>
      <c r="S7" s="6">
        <f t="shared" si="9"/>
        <v>149.79425285357459</v>
      </c>
      <c r="T7" s="2">
        <f t="shared" si="24"/>
        <v>1</v>
      </c>
      <c r="U7" s="6">
        <f t="shared" si="10"/>
        <v>149.79425285357459</v>
      </c>
      <c r="V7">
        <f>IF((R7-$AB$774)/($Z$773-$AB$774)&lt;0, 0, IF((R7-$AB$774)/($Z$773-$AB$774)&gt;1, 1, (R7-$AB$774)/($Z$773-$AB$774)))</f>
        <v>0.43118365515310947</v>
      </c>
      <c r="W7" s="6">
        <f t="shared" si="11"/>
        <v>64.588833466333384</v>
      </c>
      <c r="Y7" s="78">
        <v>45047.166666666664</v>
      </c>
      <c r="Z7">
        <v>6.7478563723563506E-2</v>
      </c>
      <c r="AA7" s="6">
        <v>80.086877509999994</v>
      </c>
      <c r="AB7" s="2">
        <v>15280</v>
      </c>
      <c r="AC7" s="7">
        <f t="shared" si="12"/>
        <v>254.66666666666666</v>
      </c>
      <c r="AD7" s="7">
        <f t="shared" si="13"/>
        <v>17.184540894934173</v>
      </c>
      <c r="AE7" s="7">
        <f t="shared" si="14"/>
        <v>149.79425285357459</v>
      </c>
      <c r="AF7" s="7">
        <f t="shared" si="15"/>
        <v>9.670225039484516E-2</v>
      </c>
      <c r="AG7" s="6">
        <f t="shared" si="16"/>
        <v>14.485441347155119</v>
      </c>
      <c r="AH7" s="2">
        <f t="shared" si="17"/>
        <v>1</v>
      </c>
      <c r="AI7" s="7">
        <f t="shared" si="18"/>
        <v>149.79425285357459</v>
      </c>
      <c r="AK7" s="78">
        <v>45003.614583333336</v>
      </c>
      <c r="AL7" s="79">
        <v>3.4016392243295399E-3</v>
      </c>
      <c r="AM7" s="7">
        <v>32.71821362</v>
      </c>
      <c r="AN7" s="2">
        <v>2864</v>
      </c>
      <c r="AO7" s="6">
        <f t="shared" si="19"/>
        <v>47.733333333333334</v>
      </c>
      <c r="AP7" s="5">
        <f t="shared" si="20"/>
        <v>0.16237157897466337</v>
      </c>
      <c r="AQ7" s="6">
        <f t="shared" si="21"/>
        <v>15.248964259835184</v>
      </c>
      <c r="AR7" s="2">
        <f t="shared" si="22"/>
        <v>0</v>
      </c>
      <c r="AS7" s="2">
        <f t="shared" si="23"/>
        <v>0</v>
      </c>
    </row>
    <row r="8" spans="1:47" x14ac:dyDescent="0.3">
      <c r="A8" s="78">
        <v>45003.625</v>
      </c>
      <c r="B8" s="79">
        <v>4.09699352048719E-3</v>
      </c>
      <c r="C8" s="7">
        <v>34.564746730000003</v>
      </c>
      <c r="D8" s="2">
        <v>2923</v>
      </c>
      <c r="E8" s="6">
        <f t="shared" si="0"/>
        <v>48.716666666666669</v>
      </c>
      <c r="F8" s="6">
        <f t="shared" si="1"/>
        <v>0.19959186767306761</v>
      </c>
      <c r="G8" s="6">
        <f t="shared" si="2"/>
        <v>16.870717081552389</v>
      </c>
      <c r="H8" s="6">
        <f t="shared" si="3"/>
        <v>0.46038674780912364</v>
      </c>
      <c r="I8" s="6">
        <f t="shared" si="4"/>
        <v>7.7670545703837339</v>
      </c>
      <c r="J8" s="6">
        <f t="shared" si="5"/>
        <v>0.13691843943305473</v>
      </c>
      <c r="K8" s="5">
        <f t="shared" si="6"/>
        <v>2.3099122549227329</v>
      </c>
      <c r="M8" s="78">
        <v>45030.770833333336</v>
      </c>
      <c r="N8" s="5">
        <v>3.1686725500140699E-2</v>
      </c>
      <c r="O8" s="5">
        <v>59.125991390000003</v>
      </c>
      <c r="P8" s="2">
        <v>32585</v>
      </c>
      <c r="Q8" s="7">
        <f t="shared" si="7"/>
        <v>543.08333333333337</v>
      </c>
      <c r="R8" s="6">
        <f t="shared" si="8"/>
        <v>17.208532507034747</v>
      </c>
      <c r="S8" s="6">
        <f t="shared" si="9"/>
        <v>149.62265244186753</v>
      </c>
      <c r="T8" s="2">
        <f t="shared" si="24"/>
        <v>1</v>
      </c>
      <c r="U8" s="6">
        <f t="shared" si="10"/>
        <v>149.62265244186753</v>
      </c>
      <c r="V8">
        <f>IF((R8-$AB$774)/($Z$773-$AB$774)&lt;0, 0, IF((R8-$AB$774)/($Z$773-$AB$774)&gt;1, 1, (R8-$AB$774)/($Z$773-$AB$774)))</f>
        <v>0.42380184947797239</v>
      </c>
      <c r="W8" s="6">
        <f t="shared" si="11"/>
        <v>63.410356828663318</v>
      </c>
      <c r="Y8" s="78">
        <v>45047.177083333336</v>
      </c>
      <c r="Z8">
        <v>6.7624255369105504E-2</v>
      </c>
      <c r="AA8" s="6">
        <v>83.594462070000006</v>
      </c>
      <c r="AB8" s="2">
        <v>15423</v>
      </c>
      <c r="AC8" s="7">
        <f t="shared" si="12"/>
        <v>257.05</v>
      </c>
      <c r="AD8" s="7">
        <f t="shared" si="13"/>
        <v>17.382814842628569</v>
      </c>
      <c r="AE8" s="7">
        <f t="shared" si="14"/>
        <v>149.62265244186753</v>
      </c>
      <c r="AF8" s="7">
        <f t="shared" si="15"/>
        <v>0.48013493068094532</v>
      </c>
      <c r="AG8" s="6">
        <f t="shared" si="16"/>
        <v>71.839061858475233</v>
      </c>
      <c r="AH8" s="2">
        <f t="shared" si="17"/>
        <v>1</v>
      </c>
      <c r="AI8" s="7">
        <f t="shared" si="18"/>
        <v>149.62265244186753</v>
      </c>
      <c r="AK8" s="78">
        <v>45003.625</v>
      </c>
      <c r="AL8" s="79">
        <v>4.09699352048719E-3</v>
      </c>
      <c r="AM8" s="7">
        <v>34.564746730000003</v>
      </c>
      <c r="AN8" s="2">
        <v>2923</v>
      </c>
      <c r="AO8" s="6">
        <f t="shared" si="19"/>
        <v>48.716666666666669</v>
      </c>
      <c r="AP8" s="5">
        <f t="shared" si="20"/>
        <v>0.19959186767306761</v>
      </c>
      <c r="AQ8" s="6">
        <f t="shared" si="21"/>
        <v>16.870717081552389</v>
      </c>
      <c r="AR8" s="2">
        <f t="shared" si="22"/>
        <v>0</v>
      </c>
      <c r="AS8" s="2">
        <f t="shared" si="23"/>
        <v>0</v>
      </c>
    </row>
    <row r="9" spans="1:47" x14ac:dyDescent="0.3">
      <c r="A9" s="78">
        <v>45003.635416666664</v>
      </c>
      <c r="B9" s="79">
        <v>3.7452498334525999E-3</v>
      </c>
      <c r="C9" s="7">
        <v>32.71821362</v>
      </c>
      <c r="D9" s="2">
        <v>2799</v>
      </c>
      <c r="E9" s="6">
        <f t="shared" si="0"/>
        <v>46.65</v>
      </c>
      <c r="F9" s="6">
        <f t="shared" si="1"/>
        <v>0.17471590473056378</v>
      </c>
      <c r="G9" s="6">
        <f t="shared" si="2"/>
        <v>15.806065935203771</v>
      </c>
      <c r="H9" s="6">
        <f t="shared" si="3"/>
        <v>0.33561910018046459</v>
      </c>
      <c r="I9" s="6">
        <f t="shared" si="4"/>
        <v>5.3048176265661828</v>
      </c>
      <c r="J9" s="6">
        <f t="shared" si="5"/>
        <v>0.10888140294827416</v>
      </c>
      <c r="K9" s="5">
        <f t="shared" si="6"/>
        <v>1.7209866341179116</v>
      </c>
      <c r="M9" s="78">
        <v>45030.78125</v>
      </c>
      <c r="N9" s="5">
        <v>3.0532367002330901E-2</v>
      </c>
      <c r="O9" s="5">
        <v>62.315280379999997</v>
      </c>
      <c r="P9" s="2">
        <v>32735</v>
      </c>
      <c r="Q9" s="7">
        <f t="shared" si="7"/>
        <v>545.58333333333337</v>
      </c>
      <c r="R9" s="6">
        <f t="shared" si="8"/>
        <v>16.657950563688367</v>
      </c>
      <c r="S9" s="6">
        <f t="shared" si="9"/>
        <v>147.25894168167457</v>
      </c>
      <c r="T9" s="2">
        <f t="shared" si="24"/>
        <v>1</v>
      </c>
      <c r="U9" s="6">
        <f t="shared" si="10"/>
        <v>147.25894168167457</v>
      </c>
      <c r="V9">
        <f>IF((R9-$AB$774)/($Z$773-$AB$774)&lt;0, 0, IF((R9-$AB$774)/($Z$773-$AB$774)&gt;1, 1, (R9-$AB$774)/($Z$773-$AB$774)))</f>
        <v>0.32301812181796569</v>
      </c>
      <c r="W9" s="6">
        <f t="shared" si="11"/>
        <v>47.567306762915862</v>
      </c>
      <c r="Y9" s="78">
        <v>45047.1875</v>
      </c>
      <c r="Z9">
        <v>6.24873367992064E-2</v>
      </c>
      <c r="AA9" s="6">
        <v>82.276892649999994</v>
      </c>
      <c r="AB9" s="2">
        <v>15724</v>
      </c>
      <c r="AC9" s="7">
        <f t="shared" si="12"/>
        <v>262.06666666666666</v>
      </c>
      <c r="AD9" s="7">
        <f t="shared" si="13"/>
        <v>16.375848063845357</v>
      </c>
      <c r="AE9" s="7">
        <f t="shared" si="14"/>
        <v>147.25894168167457</v>
      </c>
      <c r="AF9" s="7">
        <f t="shared" si="15"/>
        <v>0.3361044260610922</v>
      </c>
      <c r="AG9" s="6">
        <f t="shared" si="16"/>
        <v>49.494382076283081</v>
      </c>
      <c r="AH9" s="2">
        <f t="shared" si="17"/>
        <v>1</v>
      </c>
      <c r="AI9" s="7">
        <f t="shared" si="18"/>
        <v>147.25894168167457</v>
      </c>
      <c r="AK9" s="78">
        <v>45003.635416666664</v>
      </c>
      <c r="AL9" s="79">
        <v>3.7452498334525999E-3</v>
      </c>
      <c r="AM9" s="7">
        <v>32.71821362</v>
      </c>
      <c r="AN9" s="2">
        <v>2799</v>
      </c>
      <c r="AO9" s="6">
        <f t="shared" si="19"/>
        <v>46.65</v>
      </c>
      <c r="AP9" s="5">
        <f t="shared" si="20"/>
        <v>0.17471590473056378</v>
      </c>
      <c r="AQ9" s="6">
        <f t="shared" si="21"/>
        <v>15.806065935203771</v>
      </c>
      <c r="AR9" s="2">
        <f t="shared" si="22"/>
        <v>0</v>
      </c>
      <c r="AS9" s="2">
        <f t="shared" si="23"/>
        <v>0</v>
      </c>
    </row>
    <row r="10" spans="1:47" x14ac:dyDescent="0.3">
      <c r="A10" s="78">
        <v>45003.645833333336</v>
      </c>
      <c r="B10" s="79">
        <v>3.8569013568074801E-3</v>
      </c>
      <c r="C10" s="7">
        <v>36.602484089999997</v>
      </c>
      <c r="D10" s="2">
        <v>2879</v>
      </c>
      <c r="E10" s="6">
        <f t="shared" si="0"/>
        <v>47.983333333333334</v>
      </c>
      <c r="F10" s="6">
        <f t="shared" si="1"/>
        <v>0.18506698343747893</v>
      </c>
      <c r="G10" s="6">
        <f t="shared" si="2"/>
        <v>16.257904853377081</v>
      </c>
      <c r="H10" s="6">
        <f t="shared" si="3"/>
        <v>0.59807379794397486</v>
      </c>
      <c r="I10" s="6">
        <f t="shared" si="4"/>
        <v>9.7234269022710134</v>
      </c>
      <c r="J10" s="6">
        <f t="shared" si="5"/>
        <v>0.12054782856698851</v>
      </c>
      <c r="K10" s="5">
        <f t="shared" si="6"/>
        <v>1.9598551271233107</v>
      </c>
      <c r="M10" s="78">
        <v>45030.791666666664</v>
      </c>
      <c r="N10" s="5">
        <v>3.2365972760316698E-2</v>
      </c>
      <c r="O10" s="5">
        <v>62.3045732</v>
      </c>
      <c r="P10" s="2">
        <v>32522</v>
      </c>
      <c r="Q10" s="7">
        <f t="shared" si="7"/>
        <v>542.0333333333333</v>
      </c>
      <c r="R10" s="6">
        <f t="shared" si="8"/>
        <v>17.543436101850325</v>
      </c>
      <c r="S10" s="6">
        <f t="shared" si="9"/>
        <v>151.04158743822563</v>
      </c>
      <c r="T10" s="2">
        <f t="shared" si="24"/>
        <v>1</v>
      </c>
      <c r="U10" s="6">
        <f t="shared" si="10"/>
        <v>151.04158743822563</v>
      </c>
      <c r="V10">
        <f>IF((R10-$AB$774)/($Z$773-$AB$774)&lt;0, 0, IF((R10-$AB$774)/($Z$773-$AB$774)&gt;1, 1, (R10-$AB$774)/($Z$773-$AB$774)))</f>
        <v>0.48510577180986786</v>
      </c>
      <c r="W10" s="6">
        <f t="shared" si="11"/>
        <v>73.271145849608089</v>
      </c>
      <c r="Y10" s="78">
        <v>45047.197916666664</v>
      </c>
      <c r="Z10">
        <v>6.6549787221927406E-2</v>
      </c>
      <c r="AA10" s="6">
        <v>82.718647970000006</v>
      </c>
      <c r="AB10" s="2">
        <v>14631</v>
      </c>
      <c r="AC10" s="7">
        <f t="shared" si="12"/>
        <v>243.85</v>
      </c>
      <c r="AD10" s="7">
        <f t="shared" si="13"/>
        <v>16.228165614066999</v>
      </c>
      <c r="AE10" s="7">
        <f t="shared" si="14"/>
        <v>151.04158743822563</v>
      </c>
      <c r="AF10" s="7">
        <f t="shared" si="15"/>
        <v>0.38439504414336823</v>
      </c>
      <c r="AG10" s="6">
        <f t="shared" si="16"/>
        <v>58.059637670801152</v>
      </c>
      <c r="AH10" s="2">
        <f t="shared" si="17"/>
        <v>1</v>
      </c>
      <c r="AI10" s="7">
        <f t="shared" si="18"/>
        <v>151.04158743822563</v>
      </c>
      <c r="AK10" s="78">
        <v>45003.645833333336</v>
      </c>
      <c r="AL10" s="79">
        <v>3.8569013568074801E-3</v>
      </c>
      <c r="AM10" s="7">
        <v>36.602484089999997</v>
      </c>
      <c r="AN10" s="2">
        <v>2879</v>
      </c>
      <c r="AO10" s="6">
        <f t="shared" si="19"/>
        <v>47.983333333333334</v>
      </c>
      <c r="AP10" s="5">
        <f t="shared" si="20"/>
        <v>0.18506698343747893</v>
      </c>
      <c r="AQ10" s="6">
        <f t="shared" si="21"/>
        <v>16.257904853377081</v>
      </c>
      <c r="AR10" s="2">
        <f t="shared" si="22"/>
        <v>0</v>
      </c>
      <c r="AS10" s="2">
        <f t="shared" si="23"/>
        <v>0</v>
      </c>
    </row>
    <row r="11" spans="1:47" x14ac:dyDescent="0.3">
      <c r="A11" s="78">
        <v>45003.65625</v>
      </c>
      <c r="B11" s="79">
        <v>3.7179487976976098E-3</v>
      </c>
      <c r="C11" s="7">
        <v>36.602484089999997</v>
      </c>
      <c r="D11" s="2">
        <v>3084</v>
      </c>
      <c r="E11" s="6">
        <f t="shared" si="0"/>
        <v>51.4</v>
      </c>
      <c r="F11" s="6">
        <f t="shared" si="1"/>
        <v>0.19110256820165714</v>
      </c>
      <c r="G11" s="6">
        <f t="shared" si="2"/>
        <v>16.515427097652911</v>
      </c>
      <c r="H11" s="6">
        <f t="shared" si="3"/>
        <v>0.59807379794397486</v>
      </c>
      <c r="I11" s="6">
        <f t="shared" si="4"/>
        <v>9.8774442089601138</v>
      </c>
      <c r="J11" s="6">
        <f t="shared" si="5"/>
        <v>0.12735037569376187</v>
      </c>
      <c r="K11" s="5">
        <f t="shared" si="6"/>
        <v>2.1032458456290333</v>
      </c>
      <c r="M11" s="78">
        <v>45030.802083333336</v>
      </c>
      <c r="N11" s="5">
        <v>3.2133792973250197E-2</v>
      </c>
      <c r="O11" s="5">
        <v>57.147661589999998</v>
      </c>
      <c r="P11" s="2">
        <v>32697</v>
      </c>
      <c r="Q11" s="7">
        <f t="shared" si="7"/>
        <v>544.95000000000005</v>
      </c>
      <c r="R11" s="6">
        <f t="shared" si="8"/>
        <v>17.511310480772696</v>
      </c>
      <c r="S11" s="6">
        <f t="shared" si="9"/>
        <v>150.90607892678455</v>
      </c>
      <c r="T11" s="2">
        <f t="shared" si="24"/>
        <v>1</v>
      </c>
      <c r="U11" s="6">
        <f t="shared" si="10"/>
        <v>150.90607892678455</v>
      </c>
      <c r="V11">
        <f>IF((R11-$AB$774)/($Z$773-$AB$774)&lt;0, 0, IF((R11-$AB$774)/($Z$773-$AB$774)&gt;1, 1, (R11-$AB$774)/($Z$773-$AB$774)))</f>
        <v>0.47922519420516529</v>
      </c>
      <c r="W11" s="6">
        <f t="shared" si="11"/>
        <v>72.317994980428324</v>
      </c>
      <c r="Y11" s="78">
        <v>45047.208333333336</v>
      </c>
      <c r="Z11">
        <v>6.6288078375222506E-2</v>
      </c>
      <c r="AA11" s="6">
        <v>81.405228940000001</v>
      </c>
      <c r="AB11" s="2">
        <v>15405</v>
      </c>
      <c r="AC11" s="7">
        <f t="shared" si="12"/>
        <v>256.75</v>
      </c>
      <c r="AD11" s="7">
        <f t="shared" si="13"/>
        <v>17.019464122838379</v>
      </c>
      <c r="AE11" s="7">
        <f t="shared" si="14"/>
        <v>150.90607892678455</v>
      </c>
      <c r="AF11" s="7">
        <f t="shared" si="15"/>
        <v>0.24081824067731861</v>
      </c>
      <c r="AG11" s="6">
        <f t="shared" si="16"/>
        <v>36.34093643466084</v>
      </c>
      <c r="AH11" s="2">
        <f t="shared" si="17"/>
        <v>1</v>
      </c>
      <c r="AI11" s="7">
        <f t="shared" si="18"/>
        <v>150.90607892678455</v>
      </c>
      <c r="AK11" s="78">
        <v>45003.65625</v>
      </c>
      <c r="AL11" s="79">
        <v>3.7179487976976098E-3</v>
      </c>
      <c r="AM11" s="7">
        <v>36.602484089999997</v>
      </c>
      <c r="AN11" s="2">
        <v>3084</v>
      </c>
      <c r="AO11" s="6">
        <f t="shared" si="19"/>
        <v>51.4</v>
      </c>
      <c r="AP11" s="5">
        <f t="shared" si="20"/>
        <v>0.19110256820165714</v>
      </c>
      <c r="AQ11" s="6">
        <f t="shared" si="21"/>
        <v>16.515427097652911</v>
      </c>
      <c r="AR11" s="2">
        <f t="shared" si="22"/>
        <v>0</v>
      </c>
      <c r="AS11" s="2">
        <f t="shared" si="23"/>
        <v>0</v>
      </c>
    </row>
    <row r="12" spans="1:47" x14ac:dyDescent="0.3">
      <c r="A12" s="78">
        <v>45003.666666666664</v>
      </c>
      <c r="B12" s="79">
        <v>4.0791469559686502E-3</v>
      </c>
      <c r="C12" s="7">
        <v>38.836464319999997</v>
      </c>
      <c r="D12" s="2">
        <v>3106</v>
      </c>
      <c r="E12" s="6">
        <f t="shared" si="0"/>
        <v>51.766666666666666</v>
      </c>
      <c r="F12" s="6">
        <f t="shared" si="1"/>
        <v>0.21116384075397712</v>
      </c>
      <c r="G12" s="6">
        <f t="shared" si="2"/>
        <v>17.342822834370427</v>
      </c>
      <c r="H12" s="6">
        <f t="shared" si="3"/>
        <v>0.74902070305851687</v>
      </c>
      <c r="I12" s="6">
        <f t="shared" si="4"/>
        <v>12.990133352419438</v>
      </c>
      <c r="J12" s="6">
        <f t="shared" si="5"/>
        <v>0.14996090264222778</v>
      </c>
      <c r="K12" s="5">
        <f t="shared" si="6"/>
        <v>2.6007453666064282</v>
      </c>
      <c r="M12" s="78">
        <v>45030.8125</v>
      </c>
      <c r="N12" s="5">
        <v>3.0556921860209502E-2</v>
      </c>
      <c r="O12" s="5">
        <v>58.466044660000001</v>
      </c>
      <c r="P12" s="2">
        <v>33154</v>
      </c>
      <c r="Q12" s="7">
        <f t="shared" si="7"/>
        <v>552.56666666666672</v>
      </c>
      <c r="R12" s="6">
        <f t="shared" si="8"/>
        <v>16.884736455889765</v>
      </c>
      <c r="S12" s="6">
        <f t="shared" si="9"/>
        <v>148.2373165885771</v>
      </c>
      <c r="T12" s="2">
        <f t="shared" si="24"/>
        <v>1</v>
      </c>
      <c r="U12" s="6">
        <f t="shared" si="10"/>
        <v>148.2373165885771</v>
      </c>
      <c r="V12">
        <f>IF((R12-$AB$774)/($Z$773-$AB$774)&lt;0, 0, IF((R12-$AB$774)/($Z$773-$AB$774)&gt;1, 1, (R12-$AB$774)/($Z$773-$AB$774)))</f>
        <v>0.36453115702184291</v>
      </c>
      <c r="W12" s="6">
        <f t="shared" si="11"/>
        <v>54.037120529847236</v>
      </c>
      <c r="Y12" s="78">
        <v>45047.21875</v>
      </c>
      <c r="Z12">
        <v>6.1613715210645403E-2</v>
      </c>
      <c r="AA12" s="6">
        <v>78.755362430000005</v>
      </c>
      <c r="AB12" s="2">
        <v>16110</v>
      </c>
      <c r="AC12" s="7">
        <f t="shared" si="12"/>
        <v>268.5</v>
      </c>
      <c r="AD12" s="7">
        <f t="shared" si="13"/>
        <v>16.543282534058292</v>
      </c>
      <c r="AE12" s="7">
        <f t="shared" si="14"/>
        <v>148.2373165885771</v>
      </c>
      <c r="AF12" s="7">
        <f t="shared" si="15"/>
        <v>0</v>
      </c>
      <c r="AG12" s="6">
        <f t="shared" si="16"/>
        <v>0</v>
      </c>
      <c r="AH12" s="2">
        <f t="shared" si="17"/>
        <v>1</v>
      </c>
      <c r="AI12" s="7">
        <f t="shared" si="18"/>
        <v>148.2373165885771</v>
      </c>
      <c r="AK12" s="78">
        <v>45003.666666666664</v>
      </c>
      <c r="AL12" s="79">
        <v>4.0791469559686502E-3</v>
      </c>
      <c r="AM12" s="7">
        <v>38.836464319999997</v>
      </c>
      <c r="AN12" s="2">
        <v>3106</v>
      </c>
      <c r="AO12" s="6">
        <f t="shared" si="19"/>
        <v>51.766666666666666</v>
      </c>
      <c r="AP12" s="5">
        <f t="shared" si="20"/>
        <v>0.21116384075397712</v>
      </c>
      <c r="AQ12" s="6">
        <f t="shared" si="21"/>
        <v>17.342822834370427</v>
      </c>
      <c r="AR12" s="2">
        <f t="shared" si="22"/>
        <v>0</v>
      </c>
      <c r="AS12" s="2">
        <f t="shared" si="23"/>
        <v>0</v>
      </c>
    </row>
    <row r="13" spans="1:47" x14ac:dyDescent="0.3">
      <c r="A13" s="78">
        <v>45003.677083333336</v>
      </c>
      <c r="B13" s="79">
        <v>3.7781352129659701E-3</v>
      </c>
      <c r="C13" s="7">
        <v>38.096996799999999</v>
      </c>
      <c r="D13" s="2">
        <v>3245</v>
      </c>
      <c r="E13" s="6">
        <f t="shared" si="0"/>
        <v>54.083333333333336</v>
      </c>
      <c r="F13" s="6">
        <f t="shared" si="1"/>
        <v>0.2043341461012429</v>
      </c>
      <c r="G13" s="6">
        <f t="shared" si="2"/>
        <v>17.065835479436043</v>
      </c>
      <c r="H13" s="6">
        <f t="shared" si="3"/>
        <v>0.69905592177810005</v>
      </c>
      <c r="I13" s="6">
        <f t="shared" si="4"/>
        <v>11.929973351990567</v>
      </c>
      <c r="J13" s="6">
        <f t="shared" si="5"/>
        <v>0.14226333537212046</v>
      </c>
      <c r="K13" s="5">
        <f t="shared" si="6"/>
        <v>2.427842676216442</v>
      </c>
      <c r="M13" s="78">
        <v>45030.822916666664</v>
      </c>
      <c r="N13" s="5">
        <v>3.19395783911334E-2</v>
      </c>
      <c r="O13" s="5">
        <v>62.3045732</v>
      </c>
      <c r="P13" s="2">
        <v>32320</v>
      </c>
      <c r="Q13" s="7">
        <f t="shared" si="7"/>
        <v>538.66666666666663</v>
      </c>
      <c r="R13" s="6">
        <f t="shared" si="8"/>
        <v>17.204786226690523</v>
      </c>
      <c r="S13" s="6">
        <f t="shared" si="9"/>
        <v>149.6067007035771</v>
      </c>
      <c r="T13" s="2">
        <f t="shared" si="24"/>
        <v>1</v>
      </c>
      <c r="U13" s="6">
        <f t="shared" si="10"/>
        <v>149.6067007035771</v>
      </c>
      <c r="V13">
        <f>IF((R13-$AB$774)/($Z$773-$AB$774)&lt;0, 0, IF((R13-$AB$774)/($Z$773-$AB$774)&gt;1, 1, (R13-$AB$774)/($Z$773-$AB$774)))</f>
        <v>0.42311609488228863</v>
      </c>
      <c r="W13" s="6">
        <f t="shared" si="11"/>
        <v>63.301002969920887</v>
      </c>
      <c r="Y13" s="78">
        <v>45047.229166666664</v>
      </c>
      <c r="Z13">
        <v>5.5733977431693803E-2</v>
      </c>
      <c r="AA13" s="6">
        <v>80.079324720000002</v>
      </c>
      <c r="AB13" s="2">
        <v>17199</v>
      </c>
      <c r="AC13" s="7">
        <f t="shared" si="12"/>
        <v>286.64999999999998</v>
      </c>
      <c r="AD13" s="7">
        <f t="shared" si="13"/>
        <v>15.976144630795027</v>
      </c>
      <c r="AE13" s="7">
        <f t="shared" si="14"/>
        <v>149.6067007035771</v>
      </c>
      <c r="AF13" s="7">
        <f t="shared" si="15"/>
        <v>9.5876614843143831E-2</v>
      </c>
      <c r="AG13" s="6">
        <f t="shared" si="16"/>
        <v>14.343784021310357</v>
      </c>
      <c r="AH13" s="2">
        <f t="shared" si="17"/>
        <v>1</v>
      </c>
      <c r="AI13" s="7">
        <f t="shared" si="18"/>
        <v>149.6067007035771</v>
      </c>
      <c r="AK13" s="78">
        <v>45003.677083333336</v>
      </c>
      <c r="AL13" s="79">
        <v>3.7781352129659701E-3</v>
      </c>
      <c r="AM13" s="7">
        <v>38.096996799999999</v>
      </c>
      <c r="AN13" s="2">
        <v>3245</v>
      </c>
      <c r="AO13" s="6">
        <f t="shared" si="19"/>
        <v>54.083333333333336</v>
      </c>
      <c r="AP13" s="5">
        <f t="shared" si="20"/>
        <v>0.2043341461012429</v>
      </c>
      <c r="AQ13" s="6">
        <f t="shared" si="21"/>
        <v>17.065835479436043</v>
      </c>
      <c r="AR13" s="2">
        <f t="shared" si="22"/>
        <v>0</v>
      </c>
      <c r="AS13" s="2">
        <f t="shared" si="23"/>
        <v>0</v>
      </c>
    </row>
    <row r="14" spans="1:47" x14ac:dyDescent="0.3">
      <c r="A14" s="78">
        <v>45003.6875</v>
      </c>
      <c r="B14" s="79">
        <v>4.2765703056021898E-3</v>
      </c>
      <c r="C14" s="7">
        <v>36.602484089999997</v>
      </c>
      <c r="D14" s="2">
        <v>3314</v>
      </c>
      <c r="E14" s="6">
        <f t="shared" si="0"/>
        <v>55.233333333333334</v>
      </c>
      <c r="F14" s="6">
        <f t="shared" si="1"/>
        <v>0.23620923321276094</v>
      </c>
      <c r="G14" s="6">
        <f t="shared" si="2"/>
        <v>18.321333063712707</v>
      </c>
      <c r="H14" s="6">
        <f t="shared" si="3"/>
        <v>0.59807379794397486</v>
      </c>
      <c r="I14" s="6">
        <f t="shared" si="4"/>
        <v>10.95750924881118</v>
      </c>
      <c r="J14" s="6">
        <f t="shared" si="5"/>
        <v>0.17818889863038598</v>
      </c>
      <c r="K14" s="5">
        <f t="shared" si="6"/>
        <v>3.2646581600634423</v>
      </c>
      <c r="M14" s="78">
        <v>45030.833333333336</v>
      </c>
      <c r="N14" s="5">
        <v>3.3053927046259798E-2</v>
      </c>
      <c r="O14" s="5">
        <v>64.455596909999997</v>
      </c>
      <c r="P14" s="2">
        <v>32692</v>
      </c>
      <c r="Q14" s="7">
        <f t="shared" si="7"/>
        <v>544.86666666666667</v>
      </c>
      <c r="R14" s="6">
        <f t="shared" si="8"/>
        <v>18.009983049938757</v>
      </c>
      <c r="S14" s="6">
        <f t="shared" si="9"/>
        <v>152.99542969694221</v>
      </c>
      <c r="T14" s="2">
        <f t="shared" si="24"/>
        <v>1</v>
      </c>
      <c r="U14" s="6">
        <f t="shared" si="10"/>
        <v>152.99542969694221</v>
      </c>
      <c r="V14">
        <f>IF((R14-$AB$774)/($Z$773-$AB$774)&lt;0, 0, IF((R14-$AB$774)/($Z$773-$AB$774)&gt;1, 1, (R14-$AB$774)/($Z$773-$AB$774)))</f>
        <v>0.57050693892945603</v>
      </c>
      <c r="W14" s="6">
        <f t="shared" si="11"/>
        <v>87.2849542665993</v>
      </c>
      <c r="Y14" s="78">
        <v>45047.239583333336</v>
      </c>
      <c r="Z14">
        <v>5.80696194386187E-2</v>
      </c>
      <c r="AA14" s="6">
        <v>81.397704649999994</v>
      </c>
      <c r="AB14" s="2">
        <v>17149</v>
      </c>
      <c r="AC14" s="7">
        <f t="shared" si="12"/>
        <v>285.81666666666666</v>
      </c>
      <c r="AD14" s="7">
        <f t="shared" si="13"/>
        <v>16.597265062547869</v>
      </c>
      <c r="AE14" s="7">
        <f t="shared" si="14"/>
        <v>152.99542969694221</v>
      </c>
      <c r="AF14" s="7">
        <f t="shared" si="15"/>
        <v>0.23999572061184302</v>
      </c>
      <c r="AG14" s="6">
        <f t="shared" si="16"/>
        <v>36.71824840043621</v>
      </c>
      <c r="AH14" s="2">
        <f t="shared" si="17"/>
        <v>1</v>
      </c>
      <c r="AI14" s="7">
        <f t="shared" si="18"/>
        <v>152.99542969694221</v>
      </c>
      <c r="AK14" s="78">
        <v>45003.6875</v>
      </c>
      <c r="AL14" s="79">
        <v>4.2765703056021898E-3</v>
      </c>
      <c r="AM14" s="7">
        <v>36.602484089999997</v>
      </c>
      <c r="AN14" s="2">
        <v>3314</v>
      </c>
      <c r="AO14" s="6">
        <f t="shared" si="19"/>
        <v>55.233333333333334</v>
      </c>
      <c r="AP14" s="5">
        <f t="shared" si="20"/>
        <v>0.23620923321276094</v>
      </c>
      <c r="AQ14" s="6">
        <f t="shared" si="21"/>
        <v>18.321333063712707</v>
      </c>
      <c r="AR14" s="2">
        <f t="shared" si="22"/>
        <v>0</v>
      </c>
      <c r="AS14" s="2">
        <f t="shared" si="23"/>
        <v>0</v>
      </c>
    </row>
    <row r="15" spans="1:47" x14ac:dyDescent="0.3">
      <c r="A15" s="78">
        <v>45003.697916666664</v>
      </c>
      <c r="B15" s="79">
        <v>3.7839336420665598E-3</v>
      </c>
      <c r="C15" s="7">
        <v>34.564746730000003</v>
      </c>
      <c r="D15" s="2">
        <v>3048</v>
      </c>
      <c r="E15" s="6">
        <f t="shared" si="0"/>
        <v>50.8</v>
      </c>
      <c r="F15" s="6">
        <f t="shared" si="1"/>
        <v>0.19222382901698123</v>
      </c>
      <c r="G15" s="6">
        <f t="shared" si="2"/>
        <v>16.562808870284648</v>
      </c>
      <c r="H15" s="6">
        <f t="shared" si="3"/>
        <v>0.46038674780912364</v>
      </c>
      <c r="I15" s="6">
        <f t="shared" si="4"/>
        <v>7.6252977103744541</v>
      </c>
      <c r="J15" s="6">
        <f t="shared" si="5"/>
        <v>0.12861411894908256</v>
      </c>
      <c r="K15" s="5">
        <f t="shared" si="6"/>
        <v>2.1302110701737096</v>
      </c>
      <c r="M15" s="78">
        <v>45030.84375</v>
      </c>
      <c r="N15" s="5">
        <v>2.7957979290168099E-2</v>
      </c>
      <c r="O15" s="5">
        <v>62.3045732</v>
      </c>
      <c r="P15" s="2">
        <v>33323</v>
      </c>
      <c r="Q15" s="7">
        <f t="shared" si="7"/>
        <v>555.38333333333333</v>
      </c>
      <c r="R15" s="6">
        <f t="shared" si="8"/>
        <v>15.52739573143786</v>
      </c>
      <c r="S15" s="6">
        <f t="shared" si="9"/>
        <v>142.27696345234244</v>
      </c>
      <c r="T15" s="2">
        <f t="shared" si="24"/>
        <v>1</v>
      </c>
      <c r="U15" s="6">
        <f t="shared" si="10"/>
        <v>142.27696345234244</v>
      </c>
      <c r="V15">
        <f>IF((R15-$AB$774)/($Z$773-$AB$774)&lt;0, 0, IF((R15-$AB$774)/($Z$773-$AB$774)&gt;1, 1, (R15-$AB$774)/($Z$773-$AB$774)))</f>
        <v>0.11607066977165476</v>
      </c>
      <c r="W15" s="6">
        <f t="shared" si="11"/>
        <v>16.514182440990634</v>
      </c>
      <c r="Y15" s="78">
        <v>45047.25</v>
      </c>
      <c r="Z15">
        <v>5.6713991957006799E-2</v>
      </c>
      <c r="AA15" s="6">
        <v>80.961047410000006</v>
      </c>
      <c r="AB15" s="2">
        <v>16801</v>
      </c>
      <c r="AC15" s="7">
        <f t="shared" si="12"/>
        <v>280.01666666666665</v>
      </c>
      <c r="AD15" s="7">
        <f t="shared" si="13"/>
        <v>15.880862981161187</v>
      </c>
      <c r="AE15" s="7">
        <f t="shared" si="14"/>
        <v>142.27696345234244</v>
      </c>
      <c r="AF15" s="7">
        <f t="shared" si="15"/>
        <v>0.19226240070592868</v>
      </c>
      <c r="AG15" s="6">
        <f t="shared" si="16"/>
        <v>27.354510558497033</v>
      </c>
      <c r="AH15" s="2">
        <f t="shared" si="17"/>
        <v>1</v>
      </c>
      <c r="AI15" s="7">
        <f t="shared" si="18"/>
        <v>142.27696345234244</v>
      </c>
      <c r="AK15" s="78">
        <v>45003.697916666664</v>
      </c>
      <c r="AL15" s="79">
        <v>3.7839336420665598E-3</v>
      </c>
      <c r="AM15" s="7">
        <v>34.564746730000003</v>
      </c>
      <c r="AN15" s="2">
        <v>3048</v>
      </c>
      <c r="AO15" s="6">
        <f t="shared" si="19"/>
        <v>50.8</v>
      </c>
      <c r="AP15" s="5">
        <f t="shared" si="20"/>
        <v>0.19222382901698123</v>
      </c>
      <c r="AQ15" s="6">
        <f t="shared" si="21"/>
        <v>16.562808870284648</v>
      </c>
      <c r="AR15" s="2">
        <f t="shared" si="22"/>
        <v>0</v>
      </c>
      <c r="AS15" s="2">
        <f t="shared" si="23"/>
        <v>0</v>
      </c>
    </row>
    <row r="16" spans="1:47" x14ac:dyDescent="0.3">
      <c r="A16" s="78">
        <v>45003.708333333336</v>
      </c>
      <c r="B16" s="79">
        <v>3.6550779200592198E-3</v>
      </c>
      <c r="C16" s="7">
        <v>34.564746730000003</v>
      </c>
      <c r="D16" s="2">
        <v>2909</v>
      </c>
      <c r="E16" s="6">
        <f t="shared" si="0"/>
        <v>48.483333333333334</v>
      </c>
      <c r="F16" s="6">
        <f t="shared" si="1"/>
        <v>0.17721036115753785</v>
      </c>
      <c r="G16" s="6">
        <f t="shared" si="2"/>
        <v>15.916175167655052</v>
      </c>
      <c r="H16" s="6">
        <f t="shared" si="3"/>
        <v>0.46038674780912364</v>
      </c>
      <c r="I16" s="6">
        <f t="shared" si="4"/>
        <v>7.3275961229970425</v>
      </c>
      <c r="J16" s="6">
        <f t="shared" si="5"/>
        <v>0.11169283846996288</v>
      </c>
      <c r="K16" s="5">
        <f t="shared" si="6"/>
        <v>1.7777227820605299</v>
      </c>
      <c r="M16" s="78">
        <v>45030.854166666664</v>
      </c>
      <c r="N16" s="5">
        <v>2.93140126937569E-2</v>
      </c>
      <c r="O16" s="5">
        <v>55.149392650000003</v>
      </c>
      <c r="P16" s="2">
        <v>32976</v>
      </c>
      <c r="Q16" s="7">
        <f t="shared" si="7"/>
        <v>549.6</v>
      </c>
      <c r="R16" s="6">
        <f t="shared" si="8"/>
        <v>16.110981376488791</v>
      </c>
      <c r="S16" s="6">
        <f t="shared" si="9"/>
        <v>144.87092528421593</v>
      </c>
      <c r="T16" s="2">
        <f t="shared" si="24"/>
        <v>1</v>
      </c>
      <c r="U16" s="6">
        <f t="shared" si="10"/>
        <v>144.87092528421593</v>
      </c>
      <c r="V16">
        <f>IF((R16-$AB$774)/($Z$773-$AB$774)&lt;0, 0, IF((R16-$AB$774)/($Z$773-$AB$774)&gt;1, 1, (R16-$AB$774)/($Z$773-$AB$774)))</f>
        <v>0.22289570722134885</v>
      </c>
      <c r="W16" s="6">
        <f t="shared" si="11"/>
        <v>32.291107347036501</v>
      </c>
      <c r="Y16" s="78">
        <v>45047.260416666664</v>
      </c>
      <c r="Z16">
        <v>5.7839581461537899E-2</v>
      </c>
      <c r="AA16" s="6">
        <v>82.276892649999994</v>
      </c>
      <c r="AB16" s="2">
        <v>17042</v>
      </c>
      <c r="AC16" s="7">
        <f t="shared" si="12"/>
        <v>284.03333333333336</v>
      </c>
      <c r="AD16" s="7">
        <f t="shared" si="13"/>
        <v>16.428369121125481</v>
      </c>
      <c r="AE16" s="7">
        <f t="shared" si="14"/>
        <v>144.87092528421593</v>
      </c>
      <c r="AF16" s="7">
        <f t="shared" si="15"/>
        <v>0.3361044260610922</v>
      </c>
      <c r="AG16" s="6">
        <f t="shared" si="16"/>
        <v>48.691759195590762</v>
      </c>
      <c r="AH16" s="2">
        <f t="shared" si="17"/>
        <v>1</v>
      </c>
      <c r="AI16" s="7">
        <f t="shared" si="18"/>
        <v>144.87092528421593</v>
      </c>
      <c r="AK16" s="78">
        <v>45003.708333333336</v>
      </c>
      <c r="AL16" s="79">
        <v>3.6550779200592198E-3</v>
      </c>
      <c r="AM16" s="7">
        <v>34.564746730000003</v>
      </c>
      <c r="AN16" s="2">
        <v>2909</v>
      </c>
      <c r="AO16" s="6">
        <f t="shared" si="19"/>
        <v>48.483333333333334</v>
      </c>
      <c r="AP16" s="5">
        <f t="shared" si="20"/>
        <v>0.17721036115753785</v>
      </c>
      <c r="AQ16" s="6">
        <f t="shared" si="21"/>
        <v>15.916175167655052</v>
      </c>
      <c r="AR16" s="2">
        <f t="shared" si="22"/>
        <v>0</v>
      </c>
      <c r="AS16" s="2">
        <f t="shared" si="23"/>
        <v>0</v>
      </c>
    </row>
    <row r="17" spans="1:45" x14ac:dyDescent="0.3">
      <c r="A17" s="78">
        <v>45003.71875</v>
      </c>
      <c r="B17" s="79">
        <v>4.1185830631022104E-3</v>
      </c>
      <c r="C17" s="7">
        <v>32.71821362</v>
      </c>
      <c r="D17" s="2">
        <v>2847</v>
      </c>
      <c r="E17" s="6">
        <f t="shared" si="0"/>
        <v>47.45</v>
      </c>
      <c r="F17" s="6">
        <f t="shared" si="1"/>
        <v>0.19542676634419989</v>
      </c>
      <c r="G17" s="6">
        <f t="shared" si="2"/>
        <v>16.697385729490733</v>
      </c>
      <c r="H17" s="6">
        <f t="shared" si="3"/>
        <v>0.33561910018046459</v>
      </c>
      <c r="I17" s="6">
        <f t="shared" si="4"/>
        <v>5.6039615738978101</v>
      </c>
      <c r="J17" s="6">
        <f t="shared" si="5"/>
        <v>0.13222406445789575</v>
      </c>
      <c r="K17" s="5">
        <f t="shared" si="6"/>
        <v>2.2077962069745314</v>
      </c>
      <c r="M17" s="78">
        <v>45030.864583333336</v>
      </c>
      <c r="N17" s="5">
        <v>2.9317474613765899E-2</v>
      </c>
      <c r="O17" s="5">
        <v>57.158996520000002</v>
      </c>
      <c r="P17" s="2">
        <v>33279</v>
      </c>
      <c r="Q17" s="7">
        <f t="shared" si="7"/>
        <v>554.65</v>
      </c>
      <c r="R17" s="6">
        <f t="shared" si="8"/>
        <v>16.260937294525256</v>
      </c>
      <c r="S17" s="6">
        <f t="shared" si="9"/>
        <v>145.52968215096445</v>
      </c>
      <c r="T17" s="2">
        <f t="shared" si="24"/>
        <v>1</v>
      </c>
      <c r="U17" s="6">
        <f t="shared" si="10"/>
        <v>145.52968215096445</v>
      </c>
      <c r="V17">
        <f>IF((R17-$AB$774)/($Z$773-$AB$774)&lt;0, 0, IF((R17-$AB$774)/($Z$773-$AB$774)&gt;1, 1, (R17-$AB$774)/($Z$773-$AB$774)))</f>
        <v>0.25034505710837457</v>
      </c>
      <c r="W17" s="6">
        <f t="shared" si="11"/>
        <v>36.432636589046794</v>
      </c>
      <c r="Y17" s="78">
        <v>45047.270833333336</v>
      </c>
      <c r="Z17">
        <v>5.5954758852804799E-2</v>
      </c>
      <c r="AA17" s="6">
        <v>82.718647970000006</v>
      </c>
      <c r="AB17" s="2">
        <v>16797</v>
      </c>
      <c r="AC17" s="7">
        <f t="shared" si="12"/>
        <v>279.95</v>
      </c>
      <c r="AD17" s="7">
        <f t="shared" si="13"/>
        <v>15.664534740842702</v>
      </c>
      <c r="AE17" s="7">
        <f t="shared" si="14"/>
        <v>145.52968215096445</v>
      </c>
      <c r="AF17" s="7">
        <f t="shared" si="15"/>
        <v>0.38439504414336823</v>
      </c>
      <c r="AG17" s="6">
        <f t="shared" si="16"/>
        <v>55.940888594590326</v>
      </c>
      <c r="AH17" s="2">
        <f t="shared" si="17"/>
        <v>1</v>
      </c>
      <c r="AI17" s="7">
        <f t="shared" si="18"/>
        <v>145.52968215096445</v>
      </c>
      <c r="AK17" s="78">
        <v>45003.71875</v>
      </c>
      <c r="AL17" s="79">
        <v>4.1185830631022104E-3</v>
      </c>
      <c r="AM17" s="7">
        <v>32.71821362</v>
      </c>
      <c r="AN17" s="2">
        <v>2847</v>
      </c>
      <c r="AO17" s="6">
        <f t="shared" si="19"/>
        <v>47.45</v>
      </c>
      <c r="AP17" s="5">
        <f t="shared" si="20"/>
        <v>0.19542676634419989</v>
      </c>
      <c r="AQ17" s="6">
        <f t="shared" si="21"/>
        <v>16.697385729490733</v>
      </c>
      <c r="AR17" s="2">
        <f t="shared" si="22"/>
        <v>0</v>
      </c>
      <c r="AS17" s="2">
        <f t="shared" si="23"/>
        <v>0</v>
      </c>
    </row>
    <row r="18" spans="1:45" x14ac:dyDescent="0.3">
      <c r="A18" s="78">
        <v>45003.729166666664</v>
      </c>
      <c r="B18" s="79">
        <v>3.8460366915571702E-3</v>
      </c>
      <c r="C18" s="7">
        <v>38.836464319999997</v>
      </c>
      <c r="D18" s="2">
        <v>2909</v>
      </c>
      <c r="E18" s="6">
        <f t="shared" si="0"/>
        <v>48.483333333333334</v>
      </c>
      <c r="F18" s="6">
        <f t="shared" si="1"/>
        <v>0.18646867892899679</v>
      </c>
      <c r="G18" s="6">
        <f t="shared" si="2"/>
        <v>16.318089056632974</v>
      </c>
      <c r="H18" s="6">
        <f t="shared" si="3"/>
        <v>0.74902070305851687</v>
      </c>
      <c r="I18" s="6">
        <f t="shared" si="4"/>
        <v>12.22258653777072</v>
      </c>
      <c r="J18" s="6">
        <f t="shared" si="5"/>
        <v>0.12212764229026314</v>
      </c>
      <c r="K18" s="5">
        <f t="shared" si="6"/>
        <v>1.9928897431691295</v>
      </c>
      <c r="M18" s="78">
        <v>45030.875</v>
      </c>
      <c r="N18" s="5">
        <v>2.99039083209547E-2</v>
      </c>
      <c r="O18" s="5">
        <v>61.053401999999998</v>
      </c>
      <c r="P18" s="2">
        <v>33106</v>
      </c>
      <c r="Q18" s="7">
        <f t="shared" si="7"/>
        <v>551.76666666666665</v>
      </c>
      <c r="R18" s="6">
        <f t="shared" si="8"/>
        <v>16.49997981455877</v>
      </c>
      <c r="S18" s="6">
        <f t="shared" si="9"/>
        <v>146.57341953573834</v>
      </c>
      <c r="T18" s="2">
        <f t="shared" si="24"/>
        <v>1</v>
      </c>
      <c r="U18" s="6">
        <f t="shared" si="10"/>
        <v>146.57341953573834</v>
      </c>
      <c r="V18">
        <f>IF((R18-$AB$774)/($Z$773-$AB$774)&lt;0, 0, IF((R18-$AB$774)/($Z$773-$AB$774)&gt;1, 1, (R18-$AB$774)/($Z$773-$AB$774)))</f>
        <v>0.29410166142378891</v>
      </c>
      <c r="W18" s="6">
        <f t="shared" si="11"/>
        <v>43.107486206026685</v>
      </c>
      <c r="Y18" s="78">
        <v>45047.28125</v>
      </c>
      <c r="Z18">
        <v>5.63088367268572E-2</v>
      </c>
      <c r="AA18" s="6">
        <v>84.460540300000005</v>
      </c>
      <c r="AB18" s="2">
        <v>17039</v>
      </c>
      <c r="AC18" s="7">
        <f t="shared" si="12"/>
        <v>283.98333333333335</v>
      </c>
      <c r="AD18" s="7">
        <f t="shared" si="13"/>
        <v>15.990771149815332</v>
      </c>
      <c r="AE18" s="7">
        <f t="shared" si="14"/>
        <v>146.57341953573834</v>
      </c>
      <c r="AF18" s="7">
        <f t="shared" si="15"/>
        <v>0.57481053760810663</v>
      </c>
      <c r="AG18" s="6">
        <f t="shared" si="16"/>
        <v>84.251946082396316</v>
      </c>
      <c r="AH18" s="2">
        <f t="shared" si="17"/>
        <v>1</v>
      </c>
      <c r="AI18" s="7">
        <f t="shared" si="18"/>
        <v>146.57341953573834</v>
      </c>
      <c r="AK18" s="78">
        <v>45003.729166666664</v>
      </c>
      <c r="AL18" s="79">
        <v>3.8460366915571702E-3</v>
      </c>
      <c r="AM18" s="7">
        <v>38.836464319999997</v>
      </c>
      <c r="AN18" s="2">
        <v>2909</v>
      </c>
      <c r="AO18" s="6">
        <f t="shared" si="19"/>
        <v>48.483333333333334</v>
      </c>
      <c r="AP18" s="5">
        <f t="shared" si="20"/>
        <v>0.18646867892899679</v>
      </c>
      <c r="AQ18" s="6">
        <f t="shared" si="21"/>
        <v>16.318089056632974</v>
      </c>
      <c r="AR18" s="2">
        <f t="shared" si="22"/>
        <v>0</v>
      </c>
      <c r="AS18" s="2">
        <f t="shared" si="23"/>
        <v>0</v>
      </c>
    </row>
    <row r="19" spans="1:45" x14ac:dyDescent="0.3">
      <c r="A19" s="78">
        <v>45003.739583333336</v>
      </c>
      <c r="B19" s="79">
        <v>6.98344247898686E-3</v>
      </c>
      <c r="C19" s="7">
        <v>40.323477179999998</v>
      </c>
      <c r="D19" s="2">
        <v>5672</v>
      </c>
      <c r="E19" s="6">
        <f t="shared" si="0"/>
        <v>94.533333333333331</v>
      </c>
      <c r="F19" s="6">
        <f t="shared" si="1"/>
        <v>0.6601680956802245</v>
      </c>
      <c r="G19" s="6">
        <f t="shared" si="2"/>
        <v>30.306683744683912</v>
      </c>
      <c r="H19" s="6">
        <f t="shared" si="3"/>
        <v>0.84949607256638571</v>
      </c>
      <c r="I19" s="6">
        <f t="shared" si="4"/>
        <v>25.745408813620507</v>
      </c>
      <c r="J19" s="6">
        <f t="shared" si="5"/>
        <v>0.65602166122614547</v>
      </c>
      <c r="K19" s="5">
        <f t="shared" si="6"/>
        <v>19.881841016442959</v>
      </c>
      <c r="M19" s="78">
        <v>45030.885416666664</v>
      </c>
      <c r="N19" s="5">
        <v>3.5996731777225899E-2</v>
      </c>
      <c r="O19" s="5">
        <v>55.160894489999997</v>
      </c>
      <c r="P19" s="2">
        <v>33538</v>
      </c>
      <c r="Q19" s="7">
        <f t="shared" si="7"/>
        <v>558.9666666666667</v>
      </c>
      <c r="R19" s="6">
        <f t="shared" si="8"/>
        <v>20.120973172410039</v>
      </c>
      <c r="S19" s="6">
        <f t="shared" si="9"/>
        <v>161.52899804575961</v>
      </c>
      <c r="T19" s="2">
        <f t="shared" si="24"/>
        <v>1</v>
      </c>
      <c r="U19" s="6">
        <f t="shared" si="10"/>
        <v>161.52899804575961</v>
      </c>
      <c r="V19">
        <f>IF((R19-$AB$774)/($Z$773-$AB$774)&lt;0, 0, IF((R19-$AB$774)/($Z$773-$AB$774)&gt;1, 1, (R19-$AB$774)/($Z$773-$AB$774)))</f>
        <v>0.95692254185136894</v>
      </c>
      <c r="W19" s="6">
        <f t="shared" si="11"/>
        <v>154.57073939265308</v>
      </c>
      <c r="Y19" s="78">
        <v>45047.291666666664</v>
      </c>
      <c r="Z19">
        <v>5.86436039788455E-2</v>
      </c>
      <c r="AA19" s="6">
        <v>82.284398269999997</v>
      </c>
      <c r="AB19" s="2">
        <v>16629</v>
      </c>
      <c r="AC19" s="7">
        <f t="shared" si="12"/>
        <v>277.14999999999998</v>
      </c>
      <c r="AD19" s="7">
        <f t="shared" si="13"/>
        <v>16.253074842737028</v>
      </c>
      <c r="AE19" s="7">
        <f t="shared" si="14"/>
        <v>161.52899804575961</v>
      </c>
      <c r="AF19" s="7">
        <f t="shared" si="15"/>
        <v>0.33692490520980029</v>
      </c>
      <c r="AG19" s="6">
        <f t="shared" si="16"/>
        <v>54.42314235520157</v>
      </c>
      <c r="AH19" s="2">
        <f t="shared" si="17"/>
        <v>1</v>
      </c>
      <c r="AI19" s="7">
        <f t="shared" si="18"/>
        <v>161.52899804575961</v>
      </c>
      <c r="AK19" s="78">
        <v>45003.739583333336</v>
      </c>
      <c r="AL19" s="79">
        <v>6.98344247898686E-3</v>
      </c>
      <c r="AM19" s="7">
        <v>40.323477179999998</v>
      </c>
      <c r="AN19" s="2">
        <v>5672</v>
      </c>
      <c r="AO19" s="6">
        <f t="shared" si="19"/>
        <v>94.533333333333331</v>
      </c>
      <c r="AP19" s="5">
        <f t="shared" si="20"/>
        <v>0.6601680956802245</v>
      </c>
      <c r="AQ19" s="6">
        <f t="shared" si="21"/>
        <v>30.306683744683912</v>
      </c>
      <c r="AR19" s="2">
        <f t="shared" si="22"/>
        <v>0</v>
      </c>
      <c r="AS19" s="2">
        <f t="shared" si="23"/>
        <v>0</v>
      </c>
    </row>
    <row r="20" spans="1:45" x14ac:dyDescent="0.3">
      <c r="A20" s="78">
        <v>45003.75</v>
      </c>
      <c r="B20" s="79">
        <v>7.5589943693465302E-3</v>
      </c>
      <c r="C20" s="7">
        <v>38.836464319999997</v>
      </c>
      <c r="D20" s="2">
        <v>5269</v>
      </c>
      <c r="E20" s="6">
        <f t="shared" si="0"/>
        <v>87.816666666666663</v>
      </c>
      <c r="F20" s="6">
        <f t="shared" si="1"/>
        <v>0.66380568886811442</v>
      </c>
      <c r="G20" s="6">
        <f t="shared" si="2"/>
        <v>30.388345517118761</v>
      </c>
      <c r="H20" s="6">
        <f t="shared" si="3"/>
        <v>0.74902070305851687</v>
      </c>
      <c r="I20" s="6">
        <f t="shared" si="4"/>
        <v>22.761499924017425</v>
      </c>
      <c r="J20" s="6">
        <f t="shared" si="5"/>
        <v>0.66012149579984158</v>
      </c>
      <c r="K20" s="5">
        <f t="shared" si="6"/>
        <v>20.060000097642849</v>
      </c>
      <c r="M20" s="78">
        <v>45030.895833333336</v>
      </c>
      <c r="N20" s="5">
        <v>2.8428150255669801E-2</v>
      </c>
      <c r="O20" s="5">
        <v>59.125991390000003</v>
      </c>
      <c r="P20" s="2">
        <v>33473</v>
      </c>
      <c r="Q20" s="7">
        <f t="shared" si="7"/>
        <v>557.88333333333333</v>
      </c>
      <c r="R20" s="6">
        <f t="shared" si="8"/>
        <v>15.85959122513392</v>
      </c>
      <c r="S20" s="6">
        <f t="shared" si="9"/>
        <v>143.75950869309409</v>
      </c>
      <c r="T20" s="2">
        <f t="shared" si="24"/>
        <v>1</v>
      </c>
      <c r="U20" s="6">
        <f t="shared" si="10"/>
        <v>143.75950869309409</v>
      </c>
      <c r="V20">
        <f>IF((R20-$AB$774)/($Z$773-$AB$774)&lt;0, 0, IF((R20-$AB$774)/($Z$773-$AB$774)&gt;1, 1, (R20-$AB$774)/($Z$773-$AB$774)))</f>
        <v>0.17687887565479338</v>
      </c>
      <c r="W20" s="6">
        <f t="shared" si="11"/>
        <v>25.428020262319976</v>
      </c>
      <c r="Y20" s="78">
        <v>45047.302083333336</v>
      </c>
      <c r="Z20">
        <v>5.7723210305112002E-2</v>
      </c>
      <c r="AA20" s="6">
        <v>82.284398269999997</v>
      </c>
      <c r="AB20" s="2">
        <v>17032</v>
      </c>
      <c r="AC20" s="7">
        <f t="shared" si="12"/>
        <v>283.86666666666667</v>
      </c>
      <c r="AD20" s="7">
        <f t="shared" si="13"/>
        <v>16.385695298611129</v>
      </c>
      <c r="AE20" s="7">
        <f t="shared" si="14"/>
        <v>143.75950869309409</v>
      </c>
      <c r="AF20" s="7">
        <f t="shared" si="15"/>
        <v>0.33692490520980029</v>
      </c>
      <c r="AG20" s="6">
        <f t="shared" si="16"/>
        <v>48.436158839428188</v>
      </c>
      <c r="AH20" s="2">
        <f t="shared" si="17"/>
        <v>1</v>
      </c>
      <c r="AI20" s="7">
        <f t="shared" si="18"/>
        <v>143.75950869309409</v>
      </c>
      <c r="AK20" s="78">
        <v>45003.75</v>
      </c>
      <c r="AL20" s="79">
        <v>7.5589943693465302E-3</v>
      </c>
      <c r="AM20" s="7">
        <v>38.836464319999997</v>
      </c>
      <c r="AN20" s="2">
        <v>5269</v>
      </c>
      <c r="AO20" s="6">
        <f t="shared" si="19"/>
        <v>87.816666666666663</v>
      </c>
      <c r="AP20" s="5">
        <f t="shared" si="20"/>
        <v>0.66380568886811442</v>
      </c>
      <c r="AQ20" s="6">
        <f t="shared" si="21"/>
        <v>30.388345517118761</v>
      </c>
      <c r="AR20" s="2">
        <f t="shared" si="22"/>
        <v>0</v>
      </c>
      <c r="AS20" s="2">
        <f t="shared" si="23"/>
        <v>0</v>
      </c>
    </row>
    <row r="21" spans="1:45" x14ac:dyDescent="0.3">
      <c r="A21" s="78">
        <v>45003.760416666664</v>
      </c>
      <c r="B21" s="79">
        <v>7.7831023819587E-3</v>
      </c>
      <c r="C21" s="7">
        <v>42.550901439999997</v>
      </c>
      <c r="D21" s="2">
        <v>7442</v>
      </c>
      <c r="E21" s="6">
        <f t="shared" si="0"/>
        <v>124.03333333333333</v>
      </c>
      <c r="F21" s="6">
        <f t="shared" si="1"/>
        <v>0.96536413210894412</v>
      </c>
      <c r="G21" s="6">
        <f t="shared" si="2"/>
        <v>36.505378279591355</v>
      </c>
      <c r="H21" s="6">
        <f t="shared" si="3"/>
        <v>1</v>
      </c>
      <c r="I21" s="6">
        <f t="shared" si="4"/>
        <v>36.505378279591355</v>
      </c>
      <c r="J21" s="6">
        <f t="shared" si="5"/>
        <v>1</v>
      </c>
      <c r="K21" s="5">
        <f t="shared" si="6"/>
        <v>36.505378279591355</v>
      </c>
      <c r="M21" s="78">
        <v>45030.90625</v>
      </c>
      <c r="N21" s="5">
        <v>2.8755694713475E-2</v>
      </c>
      <c r="O21" s="5">
        <v>55.826367980000001</v>
      </c>
      <c r="P21" s="2">
        <v>33878</v>
      </c>
      <c r="Q21" s="7">
        <f t="shared" si="7"/>
        <v>564.63333333333333</v>
      </c>
      <c r="R21" s="6">
        <f t="shared" si="8"/>
        <v>16.236423758385101</v>
      </c>
      <c r="S21" s="6">
        <f t="shared" si="9"/>
        <v>145.42220671488329</v>
      </c>
      <c r="T21" s="2">
        <f t="shared" si="24"/>
        <v>1</v>
      </c>
      <c r="U21" s="6">
        <f t="shared" si="10"/>
        <v>145.42220671488329</v>
      </c>
      <c r="V21">
        <f>IF((R21-$AB$774)/($Z$773-$AB$774)&lt;0, 0, IF((R21-$AB$774)/($Z$773-$AB$774)&gt;1, 1, (R21-$AB$774)/($Z$773-$AB$774)))</f>
        <v>0.24585786754433389</v>
      </c>
      <c r="W21" s="6">
        <f t="shared" si="11"/>
        <v>35.75319363651252</v>
      </c>
      <c r="Y21" s="78">
        <v>45047.3125</v>
      </c>
      <c r="Z21">
        <v>5.3649040905256198E-2</v>
      </c>
      <c r="AA21" s="6">
        <v>81.405228940000001</v>
      </c>
      <c r="AB21" s="2">
        <v>17031</v>
      </c>
      <c r="AC21" s="7">
        <f t="shared" si="12"/>
        <v>283.85000000000002</v>
      </c>
      <c r="AD21" s="7">
        <f t="shared" si="13"/>
        <v>15.228280260956973</v>
      </c>
      <c r="AE21" s="7">
        <f t="shared" si="14"/>
        <v>145.42220671488329</v>
      </c>
      <c r="AF21" s="7">
        <f t="shared" si="15"/>
        <v>0.24081824067731861</v>
      </c>
      <c r="AG21" s="6">
        <f t="shared" si="16"/>
        <v>35.020319976491542</v>
      </c>
      <c r="AH21" s="2">
        <f t="shared" si="17"/>
        <v>1</v>
      </c>
      <c r="AI21" s="7">
        <f t="shared" si="18"/>
        <v>145.42220671488329</v>
      </c>
      <c r="AK21" s="78">
        <v>45003.760416666664</v>
      </c>
      <c r="AL21" s="79">
        <v>7.7831023819587E-3</v>
      </c>
      <c r="AM21" s="7">
        <v>42.550901439999997</v>
      </c>
      <c r="AN21" s="2">
        <v>7442</v>
      </c>
      <c r="AO21" s="6">
        <f t="shared" si="19"/>
        <v>124.03333333333333</v>
      </c>
      <c r="AP21" s="5">
        <f t="shared" si="20"/>
        <v>0.96536413210894412</v>
      </c>
      <c r="AQ21" s="6">
        <f t="shared" si="21"/>
        <v>36.505378279591355</v>
      </c>
      <c r="AR21" s="2">
        <f t="shared" si="22"/>
        <v>0</v>
      </c>
      <c r="AS21" s="2">
        <f t="shared" si="23"/>
        <v>0</v>
      </c>
    </row>
    <row r="22" spans="1:45" x14ac:dyDescent="0.3">
      <c r="A22" s="78">
        <v>45003.770833333336</v>
      </c>
      <c r="B22" s="79">
        <v>5.53092703105648E-3</v>
      </c>
      <c r="C22" s="7">
        <v>38.096996799999999</v>
      </c>
      <c r="D22" s="2">
        <v>2387</v>
      </c>
      <c r="E22" s="6">
        <f t="shared" si="0"/>
        <v>39.783333333333331</v>
      </c>
      <c r="F22" s="6">
        <f t="shared" si="1"/>
        <v>0.22003871371886363</v>
      </c>
      <c r="G22" s="6">
        <f t="shared" si="2"/>
        <v>17.696011862324426</v>
      </c>
      <c r="H22" s="6">
        <f t="shared" si="3"/>
        <v>0.69905592177810005</v>
      </c>
      <c r="I22" s="6">
        <f t="shared" si="4"/>
        <v>12.370501884213395</v>
      </c>
      <c r="J22" s="6">
        <f t="shared" si="5"/>
        <v>0.15996353601523244</v>
      </c>
      <c r="K22" s="5">
        <f t="shared" si="6"/>
        <v>2.8307166308649139</v>
      </c>
      <c r="M22" s="78">
        <v>45030.916666666664</v>
      </c>
      <c r="N22" s="5">
        <v>2.90242257250731E-2</v>
      </c>
      <c r="O22" s="5">
        <v>59.125991390000003</v>
      </c>
      <c r="P22" s="2">
        <v>33481</v>
      </c>
      <c r="Q22" s="7">
        <f t="shared" si="7"/>
        <v>558.01666666666665</v>
      </c>
      <c r="R22" s="6">
        <f t="shared" si="8"/>
        <v>16.196001691686206</v>
      </c>
      <c r="S22" s="6">
        <f t="shared" si="9"/>
        <v>145.24480202277019</v>
      </c>
      <c r="T22" s="2">
        <f t="shared" si="24"/>
        <v>1</v>
      </c>
      <c r="U22" s="6">
        <f t="shared" si="10"/>
        <v>145.24480202277019</v>
      </c>
      <c r="V22">
        <f>IF((R22-$AB$774)/($Z$773-$AB$774)&lt;0, 0, IF((R22-$AB$774)/($Z$773-$AB$774)&gt;1, 1, (R22-$AB$774)/($Z$773-$AB$774)))</f>
        <v>0.23845863004505197</v>
      </c>
      <c r="W22" s="6">
        <f t="shared" si="11"/>
        <v>34.63487651151457</v>
      </c>
      <c r="Y22" s="78">
        <v>45047.322916666664</v>
      </c>
      <c r="Z22">
        <v>5.7068673315312297E-2</v>
      </c>
      <c r="AA22" s="6">
        <v>82.284398269999997</v>
      </c>
      <c r="AB22" s="2">
        <v>17228</v>
      </c>
      <c r="AC22" s="7">
        <f t="shared" si="12"/>
        <v>287.13333333333333</v>
      </c>
      <c r="AD22" s="7">
        <f t="shared" si="13"/>
        <v>16.38631839793667</v>
      </c>
      <c r="AE22" s="7">
        <f t="shared" si="14"/>
        <v>145.24480202277019</v>
      </c>
      <c r="AF22" s="7">
        <f t="shared" si="15"/>
        <v>0.33692490520980029</v>
      </c>
      <c r="AG22" s="6">
        <f t="shared" si="16"/>
        <v>48.936591153738057</v>
      </c>
      <c r="AH22" s="2">
        <f t="shared" si="17"/>
        <v>1</v>
      </c>
      <c r="AI22" s="7">
        <f t="shared" si="18"/>
        <v>145.24480202277019</v>
      </c>
      <c r="AK22" s="78">
        <v>45003.770833333336</v>
      </c>
      <c r="AL22" s="79">
        <v>5.53092703105648E-3</v>
      </c>
      <c r="AM22" s="7">
        <v>38.096996799999999</v>
      </c>
      <c r="AN22" s="2">
        <v>2387</v>
      </c>
      <c r="AO22" s="6">
        <f t="shared" si="19"/>
        <v>39.783333333333331</v>
      </c>
      <c r="AP22" s="5">
        <f t="shared" si="20"/>
        <v>0.22003871371886363</v>
      </c>
      <c r="AQ22" s="6">
        <f t="shared" si="21"/>
        <v>17.696011862324426</v>
      </c>
      <c r="AR22" s="2">
        <f t="shared" si="22"/>
        <v>0</v>
      </c>
      <c r="AS22" s="2">
        <f t="shared" si="23"/>
        <v>0</v>
      </c>
    </row>
    <row r="23" spans="1:45" x14ac:dyDescent="0.3">
      <c r="A23" s="78">
        <v>45003.78125</v>
      </c>
      <c r="B23" s="79">
        <v>3.9259240243146396E-3</v>
      </c>
      <c r="C23" s="7">
        <v>40.323477179999998</v>
      </c>
      <c r="D23" s="2">
        <v>2485</v>
      </c>
      <c r="E23" s="6">
        <f t="shared" si="0"/>
        <v>41.416666666666664</v>
      </c>
      <c r="F23" s="6">
        <f t="shared" si="1"/>
        <v>0.16259868667369798</v>
      </c>
      <c r="G23" s="6">
        <f t="shared" si="2"/>
        <v>15.259405146604614</v>
      </c>
      <c r="H23" s="6">
        <f t="shared" si="3"/>
        <v>0.84949607256638571</v>
      </c>
      <c r="I23" s="6">
        <f t="shared" si="4"/>
        <v>12.962804741739912</v>
      </c>
      <c r="J23" s="6">
        <f t="shared" si="5"/>
        <v>9.522440862248209E-2</v>
      </c>
      <c r="K23" s="5">
        <f t="shared" si="6"/>
        <v>1.4530678310162839</v>
      </c>
      <c r="M23" s="78">
        <v>45030.927083333336</v>
      </c>
      <c r="N23" s="5">
        <v>2.9034363438499401E-2</v>
      </c>
      <c r="O23" s="5">
        <v>59.769842060000002</v>
      </c>
      <c r="P23" s="2">
        <v>33195</v>
      </c>
      <c r="Q23" s="7">
        <f t="shared" si="7"/>
        <v>553.25</v>
      </c>
      <c r="R23" s="6">
        <f t="shared" si="8"/>
        <v>16.063261572349795</v>
      </c>
      <c r="S23" s="6">
        <f t="shared" si="9"/>
        <v>144.66063627520552</v>
      </c>
      <c r="T23" s="2">
        <f t="shared" si="24"/>
        <v>1</v>
      </c>
      <c r="U23" s="6">
        <f t="shared" si="10"/>
        <v>144.66063627520552</v>
      </c>
      <c r="V23">
        <f>IF((R23-$AB$774)/($Z$773-$AB$774)&lt;0, 0, IF((R23-$AB$774)/($Z$773-$AB$774)&gt;1, 1, (R23-$AB$774)/($Z$773-$AB$774)))</f>
        <v>0.21416062282119119</v>
      </c>
      <c r="W23" s="6">
        <f t="shared" si="11"/>
        <v>30.980611962407817</v>
      </c>
      <c r="Y23" s="78">
        <v>45047.333333333336</v>
      </c>
      <c r="Z23">
        <v>5.4489234022291097E-2</v>
      </c>
      <c r="AA23" s="6">
        <v>78.762941850000004</v>
      </c>
      <c r="AB23" s="2">
        <v>17371</v>
      </c>
      <c r="AC23" s="7">
        <f t="shared" si="12"/>
        <v>289.51666666666665</v>
      </c>
      <c r="AD23" s="7">
        <f t="shared" si="13"/>
        <v>15.775541403353643</v>
      </c>
      <c r="AE23" s="7">
        <f t="shared" si="14"/>
        <v>144.66063627520552</v>
      </c>
      <c r="AF23" s="7">
        <f t="shared" si="15"/>
        <v>0</v>
      </c>
      <c r="AG23" s="6">
        <f t="shared" si="16"/>
        <v>0</v>
      </c>
      <c r="AH23" s="2">
        <f t="shared" si="17"/>
        <v>1</v>
      </c>
      <c r="AI23" s="7">
        <f t="shared" si="18"/>
        <v>144.66063627520552</v>
      </c>
      <c r="AK23" s="78">
        <v>45003.78125</v>
      </c>
      <c r="AL23" s="79">
        <v>3.9259240243146396E-3</v>
      </c>
      <c r="AM23" s="7">
        <v>40.323477179999998</v>
      </c>
      <c r="AN23" s="2">
        <v>2485</v>
      </c>
      <c r="AO23" s="6">
        <f t="shared" si="19"/>
        <v>41.416666666666664</v>
      </c>
      <c r="AP23" s="5">
        <f t="shared" si="20"/>
        <v>0.16259868667369798</v>
      </c>
      <c r="AQ23" s="6">
        <f t="shared" si="21"/>
        <v>15.259405146604614</v>
      </c>
      <c r="AR23" s="2">
        <f t="shared" si="22"/>
        <v>0</v>
      </c>
      <c r="AS23" s="2">
        <f t="shared" si="23"/>
        <v>0</v>
      </c>
    </row>
    <row r="24" spans="1:45" x14ac:dyDescent="0.3">
      <c r="A24" s="78">
        <v>45003.791666666664</v>
      </c>
      <c r="B24" s="79">
        <v>3.5376849190060702E-3</v>
      </c>
      <c r="C24" s="7">
        <v>38.096996799999999</v>
      </c>
      <c r="D24" s="2">
        <v>2363</v>
      </c>
      <c r="E24" s="6">
        <f t="shared" si="0"/>
        <v>39.383333333333333</v>
      </c>
      <c r="F24" s="6">
        <f t="shared" si="1"/>
        <v>0.1393258243935224</v>
      </c>
      <c r="G24" s="6">
        <f t="shared" si="2"/>
        <v>14.147701160827415</v>
      </c>
      <c r="H24" s="6">
        <f t="shared" si="3"/>
        <v>0.69905592177810005</v>
      </c>
      <c r="I24" s="6">
        <f t="shared" si="4"/>
        <v>9.8900342760233055</v>
      </c>
      <c r="J24" s="6">
        <f t="shared" si="5"/>
        <v>6.8994184274476206E-2</v>
      </c>
      <c r="K24" s="5">
        <f t="shared" si="6"/>
        <v>0.97610910095034764</v>
      </c>
      <c r="M24" s="78">
        <v>45030.9375</v>
      </c>
      <c r="N24" s="5">
        <v>2.8874111954835299E-2</v>
      </c>
      <c r="O24" s="5">
        <v>59.769842060000002</v>
      </c>
      <c r="P24" s="2">
        <v>33681</v>
      </c>
      <c r="Q24" s="7">
        <f t="shared" si="7"/>
        <v>561.35</v>
      </c>
      <c r="R24" s="6">
        <f t="shared" si="8"/>
        <v>16.208482745846794</v>
      </c>
      <c r="S24" s="6">
        <f t="shared" si="9"/>
        <v>145.29960306129425</v>
      </c>
      <c r="T24" s="2">
        <f t="shared" si="24"/>
        <v>1</v>
      </c>
      <c r="U24" s="6">
        <f t="shared" si="10"/>
        <v>145.29960306129425</v>
      </c>
      <c r="V24">
        <f>IF((R24-$AB$774)/($Z$773-$AB$774)&lt;0, 0, IF((R24-$AB$774)/($Z$773-$AB$774)&gt;1, 1, (R24-$AB$774)/($Z$773-$AB$774)))</f>
        <v>0.2407432802749255</v>
      </c>
      <c r="W24" s="6">
        <f t="shared" si="11"/>
        <v>34.979903063620583</v>
      </c>
      <c r="Y24" s="78">
        <v>45047.34375</v>
      </c>
      <c r="Z24">
        <v>6.2561074195113101E-2</v>
      </c>
      <c r="AA24" s="6">
        <v>80.968580889999998</v>
      </c>
      <c r="AB24" s="2">
        <v>17049</v>
      </c>
      <c r="AC24" s="7">
        <f t="shared" si="12"/>
        <v>284.14999999999998</v>
      </c>
      <c r="AD24" s="7">
        <f t="shared" si="13"/>
        <v>17.776729232541385</v>
      </c>
      <c r="AE24" s="7">
        <f t="shared" si="14"/>
        <v>145.29960306129425</v>
      </c>
      <c r="AF24" s="7">
        <f t="shared" si="15"/>
        <v>0.19308592537906691</v>
      </c>
      <c r="AG24" s="6">
        <f t="shared" si="16"/>
        <v>28.055308314301104</v>
      </c>
      <c r="AH24" s="2">
        <f t="shared" si="17"/>
        <v>1</v>
      </c>
      <c r="AI24" s="7">
        <f t="shared" si="18"/>
        <v>145.29960306129425</v>
      </c>
      <c r="AK24" s="78">
        <v>45003.791666666664</v>
      </c>
      <c r="AL24" s="79">
        <v>3.5376849190060702E-3</v>
      </c>
      <c r="AM24" s="7">
        <v>38.096996799999999</v>
      </c>
      <c r="AN24" s="2">
        <v>2363</v>
      </c>
      <c r="AO24" s="6">
        <f t="shared" si="19"/>
        <v>39.383333333333333</v>
      </c>
      <c r="AP24" s="5">
        <f t="shared" si="20"/>
        <v>0.1393258243935224</v>
      </c>
      <c r="AQ24" s="6">
        <f t="shared" si="21"/>
        <v>14.147701160827415</v>
      </c>
      <c r="AR24" s="2">
        <f t="shared" si="22"/>
        <v>0</v>
      </c>
      <c r="AS24" s="2">
        <f t="shared" si="23"/>
        <v>0</v>
      </c>
    </row>
    <row r="25" spans="1:45" x14ac:dyDescent="0.3">
      <c r="A25" s="78">
        <v>45003.802083333336</v>
      </c>
      <c r="B25" s="79">
        <v>3.4812245119695399E-3</v>
      </c>
      <c r="C25" s="7">
        <v>42.550901439999997</v>
      </c>
      <c r="D25" s="2">
        <v>2364</v>
      </c>
      <c r="E25" s="6">
        <f t="shared" si="0"/>
        <v>39.4</v>
      </c>
      <c r="F25" s="6">
        <f t="shared" si="1"/>
        <v>0.13716024577159985</v>
      </c>
      <c r="G25" s="6">
        <f t="shared" si="2"/>
        <v>14.039584949357186</v>
      </c>
      <c r="H25" s="6">
        <f t="shared" si="3"/>
        <v>1</v>
      </c>
      <c r="I25" s="6">
        <f t="shared" si="4"/>
        <v>14.039584949357186</v>
      </c>
      <c r="J25" s="6">
        <f t="shared" si="5"/>
        <v>6.6553418183377011E-2</v>
      </c>
      <c r="K25" s="5">
        <f t="shared" si="6"/>
        <v>0.93438236825561483</v>
      </c>
      <c r="M25" s="78">
        <v>45030.947916666664</v>
      </c>
      <c r="N25" s="5">
        <v>3.0490002369226599E-2</v>
      </c>
      <c r="O25" s="5">
        <v>55.826367980000001</v>
      </c>
      <c r="P25" s="2">
        <v>33710</v>
      </c>
      <c r="Q25" s="7">
        <f t="shared" si="7"/>
        <v>561.83333333333337</v>
      </c>
      <c r="R25" s="6">
        <f t="shared" si="8"/>
        <v>17.130299664443811</v>
      </c>
      <c r="S25" s="6">
        <f t="shared" si="9"/>
        <v>149.28916663721046</v>
      </c>
      <c r="T25" s="2">
        <f t="shared" si="24"/>
        <v>1</v>
      </c>
      <c r="U25" s="6">
        <f t="shared" si="10"/>
        <v>149.28916663721046</v>
      </c>
      <c r="V25">
        <f>IF((R25-$AB$774)/($Z$773-$AB$774)&lt;0, 0, IF((R25-$AB$774)/($Z$773-$AB$774)&gt;1, 1, (R25-$AB$774)/($Z$773-$AB$774)))</f>
        <v>0.40948136985266675</v>
      </c>
      <c r="W25" s="6">
        <f t="shared" si="11"/>
        <v>61.131132458767972</v>
      </c>
      <c r="Y25" s="78">
        <v>45047.354166666664</v>
      </c>
      <c r="Z25">
        <v>5.3936902945492103E-2</v>
      </c>
      <c r="AA25" s="6">
        <v>78.762941850000004</v>
      </c>
      <c r="AB25" s="2">
        <v>17224</v>
      </c>
      <c r="AC25" s="7">
        <f t="shared" si="12"/>
        <v>287.06666666666666</v>
      </c>
      <c r="AD25" s="7">
        <f t="shared" si="13"/>
        <v>15.483486938885934</v>
      </c>
      <c r="AE25" s="7">
        <f t="shared" si="14"/>
        <v>149.28916663721046</v>
      </c>
      <c r="AF25" s="7">
        <f t="shared" si="15"/>
        <v>0</v>
      </c>
      <c r="AG25" s="6">
        <f t="shared" si="16"/>
        <v>0</v>
      </c>
      <c r="AH25" s="2">
        <f t="shared" si="17"/>
        <v>1</v>
      </c>
      <c r="AI25" s="7">
        <f t="shared" si="18"/>
        <v>149.28916663721046</v>
      </c>
      <c r="AK25" s="78">
        <v>45003.802083333336</v>
      </c>
      <c r="AL25" s="79">
        <v>3.4812245119695399E-3</v>
      </c>
      <c r="AM25" s="7">
        <v>42.550901439999997</v>
      </c>
      <c r="AN25" s="2">
        <v>2364</v>
      </c>
      <c r="AO25" s="6">
        <f t="shared" si="19"/>
        <v>39.4</v>
      </c>
      <c r="AP25" s="5">
        <f t="shared" si="20"/>
        <v>0.13716024577159985</v>
      </c>
      <c r="AQ25" s="6">
        <f t="shared" si="21"/>
        <v>14.039584949357186</v>
      </c>
      <c r="AR25" s="2">
        <f t="shared" si="22"/>
        <v>0</v>
      </c>
      <c r="AS25" s="2">
        <f t="shared" si="23"/>
        <v>0</v>
      </c>
    </row>
    <row r="26" spans="1:45" x14ac:dyDescent="0.3">
      <c r="A26" s="78">
        <v>45003.8125</v>
      </c>
      <c r="B26" s="79">
        <v>3.5391082291512401E-3</v>
      </c>
      <c r="C26" s="7">
        <v>44.046560829999997</v>
      </c>
      <c r="D26" s="2">
        <v>2568</v>
      </c>
      <c r="E26" s="6">
        <f t="shared" si="0"/>
        <v>42.8</v>
      </c>
      <c r="F26" s="6">
        <f t="shared" si="1"/>
        <v>0.15147383220767308</v>
      </c>
      <c r="G26" s="6">
        <f t="shared" si="2"/>
        <v>14.738894891902275</v>
      </c>
      <c r="H26" s="6">
        <f t="shared" si="3"/>
        <v>1</v>
      </c>
      <c r="I26" s="6">
        <f t="shared" si="4"/>
        <v>14.738894891902275</v>
      </c>
      <c r="J26" s="6">
        <f t="shared" si="5"/>
        <v>8.2685880917133303E-2</v>
      </c>
      <c r="K26" s="5">
        <f t="shared" si="6"/>
        <v>1.2186985078819759</v>
      </c>
      <c r="M26" s="78">
        <v>45030.958333333336</v>
      </c>
      <c r="N26" s="5">
        <v>3.05504570361009E-2</v>
      </c>
      <c r="O26" s="5">
        <v>59.114847349999998</v>
      </c>
      <c r="P26" s="2">
        <v>33886</v>
      </c>
      <c r="Q26" s="7">
        <f t="shared" si="7"/>
        <v>564.76666666666665</v>
      </c>
      <c r="R26" s="6">
        <f t="shared" si="8"/>
        <v>17.253879785421919</v>
      </c>
      <c r="S26" s="6">
        <f t="shared" si="9"/>
        <v>149.81560170742358</v>
      </c>
      <c r="T26" s="2">
        <f t="shared" si="24"/>
        <v>1</v>
      </c>
      <c r="U26" s="6">
        <f t="shared" si="10"/>
        <v>149.81560170742358</v>
      </c>
      <c r="V26">
        <f>IF((R26-$AB$774)/($Z$773-$AB$774)&lt;0, 0, IF((R26-$AB$774)/($Z$773-$AB$774)&gt;1, 1, (R26-$AB$774)/($Z$773-$AB$774)))</f>
        <v>0.43210264431936818</v>
      </c>
      <c r="W26" s="6">
        <f t="shared" si="11"/>
        <v>64.735717658074975</v>
      </c>
      <c r="Y26" s="78">
        <v>45047.364583333336</v>
      </c>
      <c r="Z26">
        <v>5.6140641655109201E-2</v>
      </c>
      <c r="AA26" s="6">
        <v>78.762941850000004</v>
      </c>
      <c r="AB26" s="2">
        <v>16917</v>
      </c>
      <c r="AC26" s="7">
        <f t="shared" si="12"/>
        <v>281.95</v>
      </c>
      <c r="AD26" s="7">
        <f t="shared" si="13"/>
        <v>15.828853914658039</v>
      </c>
      <c r="AE26" s="7">
        <f t="shared" si="14"/>
        <v>149.81560170742358</v>
      </c>
      <c r="AF26" s="7">
        <f t="shared" si="15"/>
        <v>0</v>
      </c>
      <c r="AG26" s="6">
        <f t="shared" si="16"/>
        <v>0</v>
      </c>
      <c r="AH26" s="2">
        <f t="shared" si="17"/>
        <v>1</v>
      </c>
      <c r="AI26" s="7">
        <f t="shared" si="18"/>
        <v>149.81560170742358</v>
      </c>
      <c r="AK26" s="78">
        <v>45003.8125</v>
      </c>
      <c r="AL26" s="79">
        <v>3.5391082291512401E-3</v>
      </c>
      <c r="AM26" s="7">
        <v>44.046560829999997</v>
      </c>
      <c r="AN26" s="2">
        <v>2568</v>
      </c>
      <c r="AO26" s="6">
        <f t="shared" si="19"/>
        <v>42.8</v>
      </c>
      <c r="AP26" s="5">
        <f t="shared" si="20"/>
        <v>0.15147383220767308</v>
      </c>
      <c r="AQ26" s="6">
        <f t="shared" si="21"/>
        <v>14.738894891902275</v>
      </c>
      <c r="AR26" s="2">
        <f t="shared" si="22"/>
        <v>0</v>
      </c>
      <c r="AS26" s="2">
        <f t="shared" si="23"/>
        <v>0</v>
      </c>
    </row>
    <row r="27" spans="1:45" x14ac:dyDescent="0.3">
      <c r="A27" s="78">
        <v>45003.822916666664</v>
      </c>
      <c r="B27" s="79">
        <v>3.51987057500304E-3</v>
      </c>
      <c r="C27" s="7">
        <v>46.186478979999997</v>
      </c>
      <c r="D27" s="2">
        <v>2379</v>
      </c>
      <c r="E27" s="6">
        <f t="shared" si="0"/>
        <v>39.65</v>
      </c>
      <c r="F27" s="6">
        <f t="shared" si="1"/>
        <v>0.13956286829887052</v>
      </c>
      <c r="G27" s="6">
        <f t="shared" si="2"/>
        <v>14.15948331620805</v>
      </c>
      <c r="H27" s="6">
        <f t="shared" si="3"/>
        <v>1</v>
      </c>
      <c r="I27" s="6">
        <f t="shared" si="4"/>
        <v>14.15948331620805</v>
      </c>
      <c r="J27" s="6">
        <f t="shared" si="5"/>
        <v>6.9261350158188975E-2</v>
      </c>
      <c r="K27" s="5">
        <f t="shared" si="6"/>
        <v>0.98070493202292053</v>
      </c>
      <c r="M27" s="78">
        <v>45030.96875</v>
      </c>
      <c r="N27" s="5">
        <v>2.9946251597556501E-2</v>
      </c>
      <c r="O27" s="5">
        <v>61.042518610000002</v>
      </c>
      <c r="P27" s="2">
        <v>33910</v>
      </c>
      <c r="Q27" s="7">
        <f t="shared" si="7"/>
        <v>565.16666666666663</v>
      </c>
      <c r="R27" s="6">
        <f t="shared" si="8"/>
        <v>16.924623194552346</v>
      </c>
      <c r="S27" s="6">
        <f t="shared" si="9"/>
        <v>148.40869667426762</v>
      </c>
      <c r="T27" s="2">
        <f t="shared" si="24"/>
        <v>1</v>
      </c>
      <c r="U27" s="6">
        <f t="shared" si="10"/>
        <v>148.40869667426762</v>
      </c>
      <c r="V27">
        <f>IF((R27-$AB$774)/($Z$773-$AB$774)&lt;0, 0, IF((R27-$AB$774)/($Z$773-$AB$774)&gt;1, 1, (R27-$AB$774)/($Z$773-$AB$774)))</f>
        <v>0.37183240301291676</v>
      </c>
      <c r="W27" s="6">
        <f t="shared" si="11"/>
        <v>55.183162312407994</v>
      </c>
      <c r="Y27" s="78">
        <v>45047.375</v>
      </c>
      <c r="Z27">
        <v>5.9411993802767397E-2</v>
      </c>
      <c r="AA27" s="6">
        <v>80.086877509999994</v>
      </c>
      <c r="AB27" s="2">
        <v>17215</v>
      </c>
      <c r="AC27" s="7">
        <f t="shared" si="12"/>
        <v>286.91666666666669</v>
      </c>
      <c r="AD27" s="7">
        <f t="shared" si="13"/>
        <v>17.046291221910682</v>
      </c>
      <c r="AE27" s="7">
        <f t="shared" si="14"/>
        <v>148.40869667426762</v>
      </c>
      <c r="AF27" s="7">
        <f t="shared" si="15"/>
        <v>9.670225039484516E-2</v>
      </c>
      <c r="AG27" s="6">
        <f t="shared" si="16"/>
        <v>14.351454946567651</v>
      </c>
      <c r="AH27" s="2">
        <f t="shared" si="17"/>
        <v>1</v>
      </c>
      <c r="AI27" s="7">
        <f t="shared" si="18"/>
        <v>148.40869667426762</v>
      </c>
      <c r="AK27" s="78">
        <v>45003.822916666664</v>
      </c>
      <c r="AL27" s="79">
        <v>3.51987057500304E-3</v>
      </c>
      <c r="AM27" s="7">
        <v>46.186478979999997</v>
      </c>
      <c r="AN27" s="2">
        <v>2379</v>
      </c>
      <c r="AO27" s="6">
        <f t="shared" si="19"/>
        <v>39.65</v>
      </c>
      <c r="AP27" s="5">
        <f t="shared" si="20"/>
        <v>0.13956286829887052</v>
      </c>
      <c r="AQ27" s="6">
        <f t="shared" si="21"/>
        <v>14.15948331620805</v>
      </c>
      <c r="AR27" s="2">
        <f t="shared" si="22"/>
        <v>1</v>
      </c>
      <c r="AS27" s="2">
        <f t="shared" si="23"/>
        <v>14.15948331620805</v>
      </c>
    </row>
    <row r="28" spans="1:45" x14ac:dyDescent="0.3">
      <c r="A28" s="78">
        <v>45003.833333333336</v>
      </c>
      <c r="B28" s="79">
        <v>3.33559322930118E-3</v>
      </c>
      <c r="C28" s="7">
        <v>40.323477179999998</v>
      </c>
      <c r="D28" s="2">
        <v>2217</v>
      </c>
      <c r="E28" s="6">
        <f t="shared" si="0"/>
        <v>36.950000000000003</v>
      </c>
      <c r="F28" s="6">
        <f t="shared" si="1"/>
        <v>0.12325016982267861</v>
      </c>
      <c r="G28" s="6">
        <f t="shared" si="2"/>
        <v>13.323313417217406</v>
      </c>
      <c r="H28" s="6">
        <f t="shared" si="3"/>
        <v>0.84949607256638571</v>
      </c>
      <c r="I28" s="6">
        <f t="shared" si="4"/>
        <v>11.318102421497217</v>
      </c>
      <c r="J28" s="6">
        <f t="shared" si="5"/>
        <v>5.0875741392035115E-2</v>
      </c>
      <c r="K28" s="5">
        <f t="shared" si="6"/>
        <v>0.67783344789938438</v>
      </c>
      <c r="M28" s="78">
        <v>45030.979166666664</v>
      </c>
      <c r="N28" s="5">
        <v>2.9663758817046901E-2</v>
      </c>
      <c r="O28" s="5">
        <v>57.814717760000001</v>
      </c>
      <c r="P28" s="2">
        <v>34219</v>
      </c>
      <c r="Q28" s="7">
        <f t="shared" si="7"/>
        <v>570.31666666666672</v>
      </c>
      <c r="R28" s="6">
        <f t="shared" si="8"/>
        <v>16.917736049342132</v>
      </c>
      <c r="S28" s="6">
        <f t="shared" si="9"/>
        <v>148.37911962903473</v>
      </c>
      <c r="T28" s="2">
        <f t="shared" si="24"/>
        <v>1</v>
      </c>
      <c r="U28" s="6">
        <f t="shared" si="10"/>
        <v>148.37911962903473</v>
      </c>
      <c r="V28">
        <f>IF((R28-$AB$774)/($Z$773-$AB$774)&lt;0, 0, IF((R28-$AB$774)/($Z$773-$AB$774)&gt;1, 1, (R28-$AB$774)/($Z$773-$AB$774)))</f>
        <v>0.37057171479818451</v>
      </c>
      <c r="W28" s="6">
        <f t="shared" si="11"/>
        <v>54.985104801176362</v>
      </c>
      <c r="Y28" s="78">
        <v>45047.385416666664</v>
      </c>
      <c r="Z28">
        <v>5.81349985014935E-2</v>
      </c>
      <c r="AA28" s="6">
        <v>75.208694050000005</v>
      </c>
      <c r="AB28" s="2">
        <v>16871</v>
      </c>
      <c r="AC28" s="7">
        <f t="shared" si="12"/>
        <v>281.18333333333334</v>
      </c>
      <c r="AD28" s="7">
        <f t="shared" si="13"/>
        <v>16.346592661978281</v>
      </c>
      <c r="AE28" s="7">
        <f t="shared" si="14"/>
        <v>148.37911962903473</v>
      </c>
      <c r="AF28" s="7">
        <f t="shared" si="15"/>
        <v>0</v>
      </c>
      <c r="AG28" s="6">
        <f t="shared" si="16"/>
        <v>0</v>
      </c>
      <c r="AH28" s="2">
        <f t="shared" si="17"/>
        <v>1</v>
      </c>
      <c r="AI28" s="7">
        <f t="shared" si="18"/>
        <v>148.37911962903473</v>
      </c>
      <c r="AK28" s="78">
        <v>45003.833333333336</v>
      </c>
      <c r="AL28" s="79">
        <v>3.33559322930118E-3</v>
      </c>
      <c r="AM28" s="7">
        <v>40.323477179999998</v>
      </c>
      <c r="AN28" s="2">
        <v>2217</v>
      </c>
      <c r="AO28" s="6">
        <f t="shared" si="19"/>
        <v>36.950000000000003</v>
      </c>
      <c r="AP28" s="5">
        <f t="shared" si="20"/>
        <v>0.12325016982267861</v>
      </c>
      <c r="AQ28" s="6">
        <f t="shared" si="21"/>
        <v>13.323313417217406</v>
      </c>
      <c r="AR28" s="2">
        <f t="shared" si="22"/>
        <v>0</v>
      </c>
      <c r="AS28" s="2">
        <f t="shared" si="23"/>
        <v>0</v>
      </c>
    </row>
    <row r="29" spans="1:45" x14ac:dyDescent="0.3">
      <c r="A29" s="78">
        <v>45003.84375</v>
      </c>
      <c r="B29" s="79">
        <v>3.9059388647180401E-3</v>
      </c>
      <c r="C29" s="7">
        <v>40.323477179999998</v>
      </c>
      <c r="D29" s="2">
        <v>2019</v>
      </c>
      <c r="E29" s="6">
        <f t="shared" si="0"/>
        <v>33.65</v>
      </c>
      <c r="F29" s="6">
        <f t="shared" si="1"/>
        <v>0.13143484279776205</v>
      </c>
      <c r="G29" s="6">
        <f t="shared" si="2"/>
        <v>13.749475435620024</v>
      </c>
      <c r="H29" s="6">
        <f t="shared" si="3"/>
        <v>0.84949607256638571</v>
      </c>
      <c r="I29" s="6">
        <f t="shared" si="4"/>
        <v>11.680125382407205</v>
      </c>
      <c r="J29" s="6">
        <f t="shared" si="5"/>
        <v>6.010046870606104E-2</v>
      </c>
      <c r="K29" s="5">
        <f t="shared" si="6"/>
        <v>0.82634991814323622</v>
      </c>
      <c r="M29" s="78">
        <v>45030.989583333336</v>
      </c>
      <c r="N29" s="5">
        <v>2.92677733437798E-2</v>
      </c>
      <c r="O29" s="5">
        <v>62.923032710000001</v>
      </c>
      <c r="P29" s="2">
        <v>33296</v>
      </c>
      <c r="Q29" s="7">
        <f t="shared" si="7"/>
        <v>554.93333333333328</v>
      </c>
      <c r="R29" s="6">
        <f t="shared" si="8"/>
        <v>16.241663020908202</v>
      </c>
      <c r="S29" s="6">
        <f t="shared" si="9"/>
        <v>145.44518432545286</v>
      </c>
      <c r="T29" s="2">
        <f t="shared" si="24"/>
        <v>1</v>
      </c>
      <c r="U29" s="6">
        <f t="shared" si="10"/>
        <v>145.44518432545286</v>
      </c>
      <c r="V29">
        <f>IF((R29-$AB$774)/($Z$773-$AB$774)&lt;0, 0, IF((R29-$AB$774)/($Z$773-$AB$774)&gt;1, 1, (R29-$AB$774)/($Z$773-$AB$774)))</f>
        <v>0.24681691172231437</v>
      </c>
      <c r="W29" s="6">
        <f t="shared" si="11"/>
        <v>35.898331220091038</v>
      </c>
      <c r="Y29" s="78">
        <v>45047.395833333336</v>
      </c>
      <c r="Z29">
        <v>5.6890714477220397E-2</v>
      </c>
      <c r="AA29" s="6">
        <v>76.544179459999995</v>
      </c>
      <c r="AB29" s="2">
        <v>16677</v>
      </c>
      <c r="AC29" s="7">
        <f t="shared" si="12"/>
        <v>277.95</v>
      </c>
      <c r="AD29" s="7">
        <f t="shared" si="13"/>
        <v>15.812774088943408</v>
      </c>
      <c r="AE29" s="7">
        <f t="shared" si="14"/>
        <v>145.44518432545286</v>
      </c>
      <c r="AF29" s="7">
        <f t="shared" si="15"/>
        <v>0</v>
      </c>
      <c r="AG29" s="6">
        <f t="shared" si="16"/>
        <v>0</v>
      </c>
      <c r="AH29" s="2">
        <f t="shared" si="17"/>
        <v>1</v>
      </c>
      <c r="AI29" s="7">
        <f t="shared" si="18"/>
        <v>145.44518432545286</v>
      </c>
      <c r="AK29" s="78">
        <v>45003.84375</v>
      </c>
      <c r="AL29" s="79">
        <v>3.9059388647180401E-3</v>
      </c>
      <c r="AM29" s="7">
        <v>40.323477179999998</v>
      </c>
      <c r="AN29" s="2">
        <v>2019</v>
      </c>
      <c r="AO29" s="6">
        <f t="shared" si="19"/>
        <v>33.65</v>
      </c>
      <c r="AP29" s="5">
        <f t="shared" si="20"/>
        <v>0.13143484279776205</v>
      </c>
      <c r="AQ29" s="6">
        <f t="shared" si="21"/>
        <v>13.749475435620024</v>
      </c>
      <c r="AR29" s="2">
        <f t="shared" si="22"/>
        <v>0</v>
      </c>
      <c r="AS29" s="2">
        <f t="shared" si="23"/>
        <v>0</v>
      </c>
    </row>
    <row r="30" spans="1:45" x14ac:dyDescent="0.3">
      <c r="A30" s="78">
        <v>45003.854166666664</v>
      </c>
      <c r="B30" s="79">
        <v>3.2145163670569302E-3</v>
      </c>
      <c r="C30" s="7">
        <v>40.323477179999998</v>
      </c>
      <c r="D30" s="2">
        <v>1997</v>
      </c>
      <c r="E30" s="6">
        <f t="shared" si="0"/>
        <v>33.283333333333331</v>
      </c>
      <c r="F30" s="6">
        <f t="shared" si="1"/>
        <v>0.10698981975021149</v>
      </c>
      <c r="G30" s="6">
        <f t="shared" si="2"/>
        <v>12.43147306461197</v>
      </c>
      <c r="H30" s="6">
        <f t="shared" si="3"/>
        <v>0.84949607256638571</v>
      </c>
      <c r="I30" s="6">
        <f t="shared" si="4"/>
        <v>10.56048754460268</v>
      </c>
      <c r="J30" s="6">
        <f t="shared" si="5"/>
        <v>3.254913311999455E-2</v>
      </c>
      <c r="K30" s="5">
        <f t="shared" si="6"/>
        <v>0.4046336716576816</v>
      </c>
      <c r="M30" s="78">
        <v>45031</v>
      </c>
      <c r="N30" s="5">
        <v>2.82344446173639E-2</v>
      </c>
      <c r="O30" s="5">
        <v>57.814717760000001</v>
      </c>
      <c r="P30" s="2">
        <v>34291</v>
      </c>
      <c r="Q30" s="7">
        <f t="shared" si="7"/>
        <v>571.51666666666665</v>
      </c>
      <c r="R30" s="6">
        <f t="shared" si="8"/>
        <v>16.136455672900425</v>
      </c>
      <c r="S30" s="6">
        <f t="shared" si="9"/>
        <v>144.98305389299176</v>
      </c>
      <c r="T30" s="2">
        <f t="shared" si="24"/>
        <v>1</v>
      </c>
      <c r="U30" s="6">
        <f t="shared" si="10"/>
        <v>144.98305389299176</v>
      </c>
      <c r="V30">
        <f>IF((R30-$AB$774)/($Z$773-$AB$774)&lt;0, 0, IF((R30-$AB$774)/($Z$773-$AB$774)&gt;1, 1, (R30-$AB$774)/($Z$773-$AB$774)))</f>
        <v>0.22755876343470019</v>
      </c>
      <c r="W30" s="6">
        <f t="shared" si="11"/>
        <v>32.992164462875699</v>
      </c>
      <c r="Y30" s="78">
        <v>45047.40625</v>
      </c>
      <c r="Z30">
        <v>5.8779478962316702E-2</v>
      </c>
      <c r="AA30" s="6">
        <v>76.986061320000005</v>
      </c>
      <c r="AB30" s="2">
        <v>16805</v>
      </c>
      <c r="AC30" s="7">
        <f t="shared" si="12"/>
        <v>280.08333333333331</v>
      </c>
      <c r="AD30" s="7">
        <f t="shared" si="13"/>
        <v>16.463152399362201</v>
      </c>
      <c r="AE30" s="7">
        <f t="shared" si="14"/>
        <v>144.98305389299176</v>
      </c>
      <c r="AF30" s="7">
        <f t="shared" si="15"/>
        <v>0</v>
      </c>
      <c r="AG30" s="6">
        <f t="shared" si="16"/>
        <v>0</v>
      </c>
      <c r="AH30" s="2">
        <f t="shared" si="17"/>
        <v>1</v>
      </c>
      <c r="AI30" s="7">
        <f t="shared" si="18"/>
        <v>144.98305389299176</v>
      </c>
      <c r="AK30" s="78">
        <v>45003.854166666664</v>
      </c>
      <c r="AL30" s="79">
        <v>3.2145163670569302E-3</v>
      </c>
      <c r="AM30" s="7">
        <v>40.323477179999998</v>
      </c>
      <c r="AN30" s="2">
        <v>1997</v>
      </c>
      <c r="AO30" s="6">
        <f t="shared" si="19"/>
        <v>33.283333333333331</v>
      </c>
      <c r="AP30" s="5">
        <f t="shared" si="20"/>
        <v>0.10698981975021149</v>
      </c>
      <c r="AQ30" s="6">
        <f t="shared" si="21"/>
        <v>12.43147306461197</v>
      </c>
      <c r="AR30" s="2">
        <f t="shared" si="22"/>
        <v>0</v>
      </c>
      <c r="AS30" s="2">
        <f t="shared" si="23"/>
        <v>0</v>
      </c>
    </row>
    <row r="31" spans="1:45" x14ac:dyDescent="0.3">
      <c r="A31" s="78">
        <v>45003.864583333336</v>
      </c>
      <c r="B31" s="79">
        <v>3.27681264345236E-3</v>
      </c>
      <c r="C31" s="7">
        <v>41.056841919999997</v>
      </c>
      <c r="D31" s="2">
        <v>2204</v>
      </c>
      <c r="E31" s="6">
        <f t="shared" si="0"/>
        <v>36.733333333333334</v>
      </c>
      <c r="F31" s="6">
        <f t="shared" si="1"/>
        <v>0.1203682511028167</v>
      </c>
      <c r="G31" s="6">
        <f t="shared" si="2"/>
        <v>13.169833815903765</v>
      </c>
      <c r="H31" s="6">
        <f t="shared" si="3"/>
        <v>0.89904849757738536</v>
      </c>
      <c r="I31" s="6">
        <f t="shared" si="4"/>
        <v>11.840319305532123</v>
      </c>
      <c r="J31" s="6">
        <f t="shared" si="5"/>
        <v>4.7627607421032829E-2</v>
      </c>
      <c r="K31" s="5">
        <f t="shared" si="6"/>
        <v>0.62724767478410726</v>
      </c>
      <c r="M31" s="78">
        <v>45031.010416666664</v>
      </c>
      <c r="N31" s="5">
        <v>2.9857948346077301E-2</v>
      </c>
      <c r="O31" s="5">
        <v>61.042518610000002</v>
      </c>
      <c r="P31" s="2">
        <v>34135</v>
      </c>
      <c r="Q31" s="7">
        <f t="shared" si="7"/>
        <v>568.91666666666663</v>
      </c>
      <c r="R31" s="6">
        <f t="shared" si="8"/>
        <v>16.98668444655581</v>
      </c>
      <c r="S31" s="6">
        <f t="shared" si="9"/>
        <v>148.67494397032303</v>
      </c>
      <c r="T31" s="2">
        <f t="shared" si="24"/>
        <v>1</v>
      </c>
      <c r="U31" s="6">
        <f t="shared" si="10"/>
        <v>148.67494397032303</v>
      </c>
      <c r="V31">
        <f>IF((R31-$AB$774)/($Z$773-$AB$774)&lt;0, 0, IF((R31-$AB$774)/($Z$773-$AB$774)&gt;1, 1, (R31-$AB$774)/($Z$773-$AB$774)))</f>
        <v>0.38319268170665721</v>
      </c>
      <c r="W31" s="6">
        <f t="shared" si="11"/>
        <v>56.971150482575084</v>
      </c>
      <c r="Y31" s="78">
        <v>45047.416666666664</v>
      </c>
      <c r="Z31">
        <v>5.7681405820359501E-2</v>
      </c>
      <c r="AA31" s="6">
        <v>77.875916610000004</v>
      </c>
      <c r="AB31" s="2">
        <v>16132</v>
      </c>
      <c r="AC31" s="7">
        <f t="shared" si="12"/>
        <v>268.86666666666667</v>
      </c>
      <c r="AD31" s="7">
        <f t="shared" si="13"/>
        <v>15.508607311567324</v>
      </c>
      <c r="AE31" s="7">
        <f t="shared" si="14"/>
        <v>148.67494397032303</v>
      </c>
      <c r="AF31" s="7">
        <f t="shared" si="15"/>
        <v>0</v>
      </c>
      <c r="AG31" s="6">
        <f t="shared" si="16"/>
        <v>0</v>
      </c>
      <c r="AH31" s="2">
        <f t="shared" si="17"/>
        <v>1</v>
      </c>
      <c r="AI31" s="7">
        <f t="shared" si="18"/>
        <v>148.67494397032303</v>
      </c>
      <c r="AK31" s="78">
        <v>45003.864583333336</v>
      </c>
      <c r="AL31" s="79">
        <v>3.27681264345236E-3</v>
      </c>
      <c r="AM31" s="7">
        <v>41.056841919999997</v>
      </c>
      <c r="AN31" s="2">
        <v>2204</v>
      </c>
      <c r="AO31" s="6">
        <f t="shared" si="19"/>
        <v>36.733333333333334</v>
      </c>
      <c r="AP31" s="5">
        <f t="shared" si="20"/>
        <v>0.1203682511028167</v>
      </c>
      <c r="AQ31" s="6">
        <f t="shared" si="21"/>
        <v>13.169833815903765</v>
      </c>
      <c r="AR31" s="2">
        <f t="shared" si="22"/>
        <v>0</v>
      </c>
      <c r="AS31" s="2">
        <f t="shared" si="23"/>
        <v>0</v>
      </c>
    </row>
    <row r="32" spans="1:45" x14ac:dyDescent="0.3">
      <c r="A32" s="78">
        <v>45003.875</v>
      </c>
      <c r="B32" s="79">
        <v>3.4252862679166299E-3</v>
      </c>
      <c r="C32" s="7">
        <v>38.836464319999997</v>
      </c>
      <c r="D32" s="2">
        <v>2099</v>
      </c>
      <c r="E32" s="6">
        <f t="shared" si="0"/>
        <v>34.983333333333334</v>
      </c>
      <c r="F32" s="6">
        <f t="shared" si="1"/>
        <v>0.11982793127261678</v>
      </c>
      <c r="G32" s="6">
        <f t="shared" si="2"/>
        <v>13.140850530629546</v>
      </c>
      <c r="H32" s="6">
        <f t="shared" si="3"/>
        <v>0.74902070305851687</v>
      </c>
      <c r="I32" s="6">
        <f t="shared" si="4"/>
        <v>9.8427691032390268</v>
      </c>
      <c r="J32" s="6">
        <f t="shared" si="5"/>
        <v>4.701862730525682E-2</v>
      </c>
      <c r="K32" s="5">
        <f t="shared" si="6"/>
        <v>0.61786475357375692</v>
      </c>
      <c r="M32" s="78">
        <v>45031.020833333336</v>
      </c>
      <c r="N32" s="5">
        <v>2.9226293961819201E-2</v>
      </c>
      <c r="O32" s="5">
        <v>57.147661589999998</v>
      </c>
      <c r="P32" s="2">
        <v>34586</v>
      </c>
      <c r="Q32" s="7">
        <f t="shared" si="7"/>
        <v>576.43333333333328</v>
      </c>
      <c r="R32" s="6">
        <f t="shared" si="8"/>
        <v>16.847010049391312</v>
      </c>
      <c r="S32" s="6">
        <f t="shared" si="9"/>
        <v>148.07502851714619</v>
      </c>
      <c r="T32" s="2">
        <f t="shared" si="24"/>
        <v>1</v>
      </c>
      <c r="U32" s="6">
        <f t="shared" si="10"/>
        <v>148.07502851714619</v>
      </c>
      <c r="V32">
        <f>IF((R32-$AB$774)/($Z$773-$AB$774)&lt;0, 0, IF((R32-$AB$774)/($Z$773-$AB$774)&gt;1, 1, (R32-$AB$774)/($Z$773-$AB$774)))</f>
        <v>0.35762535866779327</v>
      </c>
      <c r="W32" s="6">
        <f t="shared" si="11"/>
        <v>52.955385183188127</v>
      </c>
      <c r="Y32" s="78">
        <v>45047.427083333336</v>
      </c>
      <c r="Z32">
        <v>5.63501282021402E-2</v>
      </c>
      <c r="AA32" s="6">
        <v>75.652056590000001</v>
      </c>
      <c r="AB32" s="2">
        <v>16436</v>
      </c>
      <c r="AC32" s="7">
        <f t="shared" si="12"/>
        <v>273.93333333333334</v>
      </c>
      <c r="AD32" s="7">
        <f t="shared" si="13"/>
        <v>15.436178452172939</v>
      </c>
      <c r="AE32" s="7">
        <f t="shared" si="14"/>
        <v>148.07502851714619</v>
      </c>
      <c r="AF32" s="7">
        <f t="shared" si="15"/>
        <v>0</v>
      </c>
      <c r="AG32" s="6">
        <f t="shared" si="16"/>
        <v>0</v>
      </c>
      <c r="AH32" s="2">
        <f t="shared" si="17"/>
        <v>1</v>
      </c>
      <c r="AI32" s="7">
        <f t="shared" si="18"/>
        <v>148.07502851714619</v>
      </c>
      <c r="AK32" s="78">
        <v>45003.875</v>
      </c>
      <c r="AL32" s="79">
        <v>3.4252862679166299E-3</v>
      </c>
      <c r="AM32" s="7">
        <v>38.836464319999997</v>
      </c>
      <c r="AN32" s="2">
        <v>2099</v>
      </c>
      <c r="AO32" s="6">
        <f t="shared" si="19"/>
        <v>34.983333333333334</v>
      </c>
      <c r="AP32" s="5">
        <f t="shared" si="20"/>
        <v>0.11982793127261678</v>
      </c>
      <c r="AQ32" s="6">
        <f t="shared" si="21"/>
        <v>13.140850530629546</v>
      </c>
      <c r="AR32" s="2">
        <f t="shared" si="22"/>
        <v>0</v>
      </c>
      <c r="AS32" s="2">
        <f t="shared" si="23"/>
        <v>0</v>
      </c>
    </row>
    <row r="33" spans="1:45" x14ac:dyDescent="0.3">
      <c r="A33" s="78">
        <v>45003.885416666664</v>
      </c>
      <c r="B33" s="79">
        <v>3.47473404274705E-3</v>
      </c>
      <c r="C33" s="7">
        <v>40.323477179999998</v>
      </c>
      <c r="D33" s="2">
        <v>2309</v>
      </c>
      <c r="E33" s="6">
        <f t="shared" si="0"/>
        <v>38.483333333333334</v>
      </c>
      <c r="F33" s="6">
        <f t="shared" si="1"/>
        <v>0.13371934841171565</v>
      </c>
      <c r="G33" s="6">
        <f t="shared" si="2"/>
        <v>13.865991120321596</v>
      </c>
      <c r="H33" s="6">
        <f t="shared" si="3"/>
        <v>0.84949607256638571</v>
      </c>
      <c r="I33" s="6">
        <f t="shared" si="4"/>
        <v>11.779104998953574</v>
      </c>
      <c r="J33" s="6">
        <f t="shared" si="5"/>
        <v>6.2675274248107579E-2</v>
      </c>
      <c r="K33" s="5">
        <f t="shared" si="6"/>
        <v>0.86905479618798043</v>
      </c>
      <c r="M33" s="78">
        <v>45031.03125</v>
      </c>
      <c r="N33" s="5">
        <v>3.1737681013915602E-2</v>
      </c>
      <c r="O33" s="5">
        <v>61.042518610000002</v>
      </c>
      <c r="P33" s="2">
        <v>34528</v>
      </c>
      <c r="Q33" s="7">
        <f t="shared" si="7"/>
        <v>575.4666666666667</v>
      </c>
      <c r="R33" s="6">
        <f t="shared" si="8"/>
        <v>18.263977500807965</v>
      </c>
      <c r="S33" s="6">
        <f t="shared" si="9"/>
        <v>154.0482759375908</v>
      </c>
      <c r="T33" s="2">
        <f t="shared" si="24"/>
        <v>1</v>
      </c>
      <c r="U33" s="6">
        <f t="shared" si="10"/>
        <v>154.0482759375908</v>
      </c>
      <c r="V33">
        <f>IF((R33-$AB$774)/($Z$773-$AB$774)&lt;0, 0, IF((R33-$AB$774)/($Z$773-$AB$774)&gt;1, 1, (R33-$AB$774)/($Z$773-$AB$774)))</f>
        <v>0.61700048611694647</v>
      </c>
      <c r="W33" s="6">
        <f t="shared" si="11"/>
        <v>95.04786113897103</v>
      </c>
      <c r="Y33" s="78">
        <v>45047.4375</v>
      </c>
      <c r="Z33">
        <v>5.7590909314479598E-2</v>
      </c>
      <c r="AA33" s="6">
        <v>76.986061320000005</v>
      </c>
      <c r="AB33" s="2">
        <v>16692</v>
      </c>
      <c r="AC33" s="7">
        <f t="shared" si="12"/>
        <v>278.2</v>
      </c>
      <c r="AD33" s="7">
        <f t="shared" si="13"/>
        <v>16.021790971288222</v>
      </c>
      <c r="AE33" s="7">
        <f t="shared" si="14"/>
        <v>154.0482759375908</v>
      </c>
      <c r="AF33" s="7">
        <f t="shared" si="15"/>
        <v>0</v>
      </c>
      <c r="AG33" s="6">
        <f t="shared" si="16"/>
        <v>0</v>
      </c>
      <c r="AH33" s="2">
        <f t="shared" si="17"/>
        <v>1</v>
      </c>
      <c r="AI33" s="7">
        <f t="shared" si="18"/>
        <v>154.0482759375908</v>
      </c>
      <c r="AK33" s="78">
        <v>45003.885416666664</v>
      </c>
      <c r="AL33" s="79">
        <v>3.47473404274705E-3</v>
      </c>
      <c r="AM33" s="7">
        <v>40.323477179999998</v>
      </c>
      <c r="AN33" s="2">
        <v>2309</v>
      </c>
      <c r="AO33" s="6">
        <f t="shared" si="19"/>
        <v>38.483333333333334</v>
      </c>
      <c r="AP33" s="5">
        <f t="shared" si="20"/>
        <v>0.13371934841171565</v>
      </c>
      <c r="AQ33" s="6">
        <f t="shared" si="21"/>
        <v>13.865991120321596</v>
      </c>
      <c r="AR33" s="2">
        <f t="shared" si="22"/>
        <v>0</v>
      </c>
      <c r="AS33" s="2">
        <f t="shared" si="23"/>
        <v>0</v>
      </c>
    </row>
    <row r="34" spans="1:45" x14ac:dyDescent="0.3">
      <c r="A34" s="78">
        <v>45003.895833333336</v>
      </c>
      <c r="B34" s="79">
        <v>3.4319266701734802E-3</v>
      </c>
      <c r="C34" s="7">
        <v>40.323477179999998</v>
      </c>
      <c r="D34" s="2">
        <v>2054</v>
      </c>
      <c r="E34" s="6">
        <f t="shared" si="0"/>
        <v>34.233333333333334</v>
      </c>
      <c r="F34" s="6">
        <f t="shared" si="1"/>
        <v>0.11748628967560547</v>
      </c>
      <c r="G34" s="6">
        <f t="shared" si="2"/>
        <v>13.014464974806687</v>
      </c>
      <c r="H34" s="6">
        <f t="shared" si="3"/>
        <v>0.84949607256638571</v>
      </c>
      <c r="I34" s="6">
        <f t="shared" si="4"/>
        <v>11.055736882651066</v>
      </c>
      <c r="J34" s="6">
        <f t="shared" si="5"/>
        <v>4.437942531571254E-2</v>
      </c>
      <c r="K34" s="5">
        <f t="shared" si="6"/>
        <v>0.5775744763733901</v>
      </c>
      <c r="M34" s="78">
        <v>45031.041666666664</v>
      </c>
      <c r="N34" s="5">
        <v>2.7827700495630301E-2</v>
      </c>
      <c r="O34" s="5">
        <v>59.114847349999998</v>
      </c>
      <c r="P34" s="2">
        <v>34775</v>
      </c>
      <c r="Q34" s="7">
        <f t="shared" si="7"/>
        <v>579.58333333333337</v>
      </c>
      <c r="R34" s="6">
        <f t="shared" si="8"/>
        <v>16.128471412259064</v>
      </c>
      <c r="S34" s="6">
        <f t="shared" si="9"/>
        <v>144.94791980030888</v>
      </c>
      <c r="T34" s="2">
        <f t="shared" si="24"/>
        <v>1</v>
      </c>
      <c r="U34" s="6">
        <f t="shared" si="10"/>
        <v>144.94791980030888</v>
      </c>
      <c r="V34">
        <f>IF((R34-$AB$774)/($Z$773-$AB$774)&lt;0, 0, IF((R34-$AB$774)/($Z$773-$AB$774)&gt;1, 1, (R34-$AB$774)/($Z$773-$AB$774)))</f>
        <v>0.22609724883225121</v>
      </c>
      <c r="W34" s="6">
        <f t="shared" si="11"/>
        <v>32.772325890807629</v>
      </c>
      <c r="Y34" s="78">
        <v>45047.447916666664</v>
      </c>
      <c r="Z34">
        <v>5.5397659359203398E-2</v>
      </c>
      <c r="AA34" s="6">
        <v>80.523852189999999</v>
      </c>
      <c r="AB34" s="2">
        <v>16728</v>
      </c>
      <c r="AC34" s="7">
        <f t="shared" si="12"/>
        <v>278.8</v>
      </c>
      <c r="AD34" s="7">
        <f t="shared" si="13"/>
        <v>15.444867429345909</v>
      </c>
      <c r="AE34" s="7">
        <f t="shared" si="14"/>
        <v>144.94791980030888</v>
      </c>
      <c r="AF34" s="7">
        <f t="shared" si="15"/>
        <v>0.14447027135156945</v>
      </c>
      <c r="AG34" s="6">
        <f t="shared" si="16"/>
        <v>20.940665305396152</v>
      </c>
      <c r="AH34" s="2">
        <f t="shared" si="17"/>
        <v>1</v>
      </c>
      <c r="AI34" s="7">
        <f t="shared" si="18"/>
        <v>144.94791980030888</v>
      </c>
      <c r="AK34" s="78">
        <v>45003.895833333336</v>
      </c>
      <c r="AL34" s="79">
        <v>3.4319266701734802E-3</v>
      </c>
      <c r="AM34" s="7">
        <v>40.323477179999998</v>
      </c>
      <c r="AN34" s="2">
        <v>2054</v>
      </c>
      <c r="AO34" s="6">
        <f t="shared" si="19"/>
        <v>34.233333333333334</v>
      </c>
      <c r="AP34" s="5">
        <f t="shared" si="20"/>
        <v>0.11748628967560547</v>
      </c>
      <c r="AQ34" s="6">
        <f t="shared" si="21"/>
        <v>13.014464974806687</v>
      </c>
      <c r="AR34" s="2">
        <f t="shared" si="22"/>
        <v>0</v>
      </c>
      <c r="AS34" s="2">
        <f t="shared" si="23"/>
        <v>0</v>
      </c>
    </row>
    <row r="35" spans="1:45" x14ac:dyDescent="0.3">
      <c r="A35" s="78">
        <v>45003.90625</v>
      </c>
      <c r="B35" s="79">
        <v>3.2573620407519801E-3</v>
      </c>
      <c r="C35" s="7">
        <v>36.602484089999997</v>
      </c>
      <c r="D35" s="2">
        <v>2115</v>
      </c>
      <c r="E35" s="6">
        <f t="shared" si="0"/>
        <v>35.25</v>
      </c>
      <c r="F35" s="6">
        <f t="shared" si="1"/>
        <v>0.1148220119365073</v>
      </c>
      <c r="G35" s="6">
        <f t="shared" si="2"/>
        <v>12.869092124406322</v>
      </c>
      <c r="H35" s="6">
        <f t="shared" si="3"/>
        <v>0.59807379794397486</v>
      </c>
      <c r="I35" s="6">
        <f t="shared" si="4"/>
        <v>7.696666802934585</v>
      </c>
      <c r="J35" s="6">
        <f t="shared" si="5"/>
        <v>4.1376588707966525E-2</v>
      </c>
      <c r="K35" s="5">
        <f t="shared" si="6"/>
        <v>0.53247913187649154</v>
      </c>
      <c r="M35" s="78">
        <v>45031.052083333336</v>
      </c>
      <c r="N35" s="5">
        <v>2.87469833585242E-2</v>
      </c>
      <c r="O35" s="5">
        <v>59.769842060000002</v>
      </c>
      <c r="P35" s="2">
        <v>34126</v>
      </c>
      <c r="Q35" s="7">
        <f t="shared" si="7"/>
        <v>568.76666666666665</v>
      </c>
      <c r="R35" s="6">
        <f t="shared" si="8"/>
        <v>16.350325901549947</v>
      </c>
      <c r="S35" s="6">
        <f t="shared" si="9"/>
        <v>145.92089255394461</v>
      </c>
      <c r="T35" s="2">
        <f t="shared" si="24"/>
        <v>1</v>
      </c>
      <c r="U35" s="6">
        <f t="shared" si="10"/>
        <v>145.92089255394461</v>
      </c>
      <c r="V35">
        <f>IF((R35-$AB$774)/($Z$773-$AB$774)&lt;0, 0, IF((R35-$AB$774)/($Z$773-$AB$774)&gt;1, 1, (R35-$AB$774)/($Z$773-$AB$774)))</f>
        <v>0.26670759339412453</v>
      </c>
      <c r="W35" s="6">
        <f t="shared" si="11"/>
        <v>38.91821007898519</v>
      </c>
      <c r="Y35" s="78">
        <v>45047.458333333336</v>
      </c>
      <c r="Z35">
        <v>5.7865014255255899E-2</v>
      </c>
      <c r="AA35" s="6">
        <v>75.652056590000001</v>
      </c>
      <c r="AB35" s="2">
        <v>16232</v>
      </c>
      <c r="AC35" s="7">
        <f t="shared" si="12"/>
        <v>270.53333333333336</v>
      </c>
      <c r="AD35" s="7">
        <f t="shared" si="13"/>
        <v>15.65441518985523</v>
      </c>
      <c r="AE35" s="7">
        <f t="shared" si="14"/>
        <v>145.92089255394461</v>
      </c>
      <c r="AF35" s="7">
        <f t="shared" si="15"/>
        <v>0</v>
      </c>
      <c r="AG35" s="6">
        <f t="shared" si="16"/>
        <v>0</v>
      </c>
      <c r="AH35" s="2">
        <f t="shared" si="17"/>
        <v>1</v>
      </c>
      <c r="AI35" s="7">
        <f t="shared" si="18"/>
        <v>145.92089255394461</v>
      </c>
      <c r="AK35" s="78">
        <v>45003.90625</v>
      </c>
      <c r="AL35" s="79">
        <v>3.2573620407519801E-3</v>
      </c>
      <c r="AM35" s="7">
        <v>36.602484089999997</v>
      </c>
      <c r="AN35" s="2">
        <v>2115</v>
      </c>
      <c r="AO35" s="6">
        <f t="shared" si="19"/>
        <v>35.25</v>
      </c>
      <c r="AP35" s="5">
        <f t="shared" si="20"/>
        <v>0.1148220119365073</v>
      </c>
      <c r="AQ35" s="6">
        <f t="shared" si="21"/>
        <v>12.869092124406322</v>
      </c>
      <c r="AR35" s="2">
        <f t="shared" si="22"/>
        <v>0</v>
      </c>
      <c r="AS35" s="2">
        <f t="shared" si="23"/>
        <v>0</v>
      </c>
    </row>
    <row r="36" spans="1:45" x14ac:dyDescent="0.3">
      <c r="A36" s="78">
        <v>45003.916666666664</v>
      </c>
      <c r="B36" s="79">
        <v>3.4471545397617501E-3</v>
      </c>
      <c r="C36" s="7">
        <v>38.836464319999997</v>
      </c>
      <c r="D36" s="2">
        <v>1935</v>
      </c>
      <c r="E36" s="6">
        <f t="shared" si="0"/>
        <v>32.25</v>
      </c>
      <c r="F36" s="6">
        <f t="shared" si="1"/>
        <v>0.11117073390731644</v>
      </c>
      <c r="G36" s="6">
        <f t="shared" si="2"/>
        <v>12.667039568713243</v>
      </c>
      <c r="H36" s="6">
        <f t="shared" si="3"/>
        <v>0.74902070305851687</v>
      </c>
      <c r="I36" s="6">
        <f t="shared" si="4"/>
        <v>9.4878748834276454</v>
      </c>
      <c r="J36" s="6">
        <f t="shared" si="5"/>
        <v>3.7261330313462813E-2</v>
      </c>
      <c r="K36" s="5">
        <f t="shared" si="6"/>
        <v>0.47199074546352765</v>
      </c>
      <c r="M36" s="78">
        <v>45031.0625</v>
      </c>
      <c r="N36" s="5">
        <v>3.0526152754216E-2</v>
      </c>
      <c r="O36" s="5">
        <v>59.769842060000002</v>
      </c>
      <c r="P36" s="2">
        <v>33863</v>
      </c>
      <c r="Q36" s="7">
        <f t="shared" si="7"/>
        <v>564.38333333333333</v>
      </c>
      <c r="R36" s="6">
        <f t="shared" si="8"/>
        <v>17.228451845266939</v>
      </c>
      <c r="S36" s="6">
        <f t="shared" si="9"/>
        <v>149.70743964566802</v>
      </c>
      <c r="T36" s="2">
        <f t="shared" si="24"/>
        <v>1</v>
      </c>
      <c r="U36" s="6">
        <f t="shared" si="10"/>
        <v>149.70743964566802</v>
      </c>
      <c r="V36">
        <f>IF((R36-$AB$774)/($Z$773-$AB$774)&lt;0, 0, IF((R36-$AB$774)/($Z$773-$AB$774)&gt;1, 1, (R36-$AB$774)/($Z$773-$AB$774)))</f>
        <v>0.4274480735937855</v>
      </c>
      <c r="W36" s="6">
        <f t="shared" si="11"/>
        <v>63.992156679198708</v>
      </c>
      <c r="Y36" s="78">
        <v>45047.46875</v>
      </c>
      <c r="Z36">
        <v>5.8989781477211602E-2</v>
      </c>
      <c r="AA36" s="6">
        <v>76.986061320000005</v>
      </c>
      <c r="AB36" s="2">
        <v>16005</v>
      </c>
      <c r="AC36" s="7">
        <f t="shared" si="12"/>
        <v>266.75</v>
      </c>
      <c r="AD36" s="7">
        <f t="shared" si="13"/>
        <v>15.735524209046195</v>
      </c>
      <c r="AE36" s="7">
        <f t="shared" si="14"/>
        <v>149.70743964566802</v>
      </c>
      <c r="AF36" s="7">
        <f t="shared" si="15"/>
        <v>0</v>
      </c>
      <c r="AG36" s="6">
        <f t="shared" si="16"/>
        <v>0</v>
      </c>
      <c r="AH36" s="2">
        <f t="shared" si="17"/>
        <v>1</v>
      </c>
      <c r="AI36" s="7">
        <f t="shared" si="18"/>
        <v>149.70743964566802</v>
      </c>
      <c r="AK36" s="78">
        <v>45003.916666666664</v>
      </c>
      <c r="AL36" s="79">
        <v>3.4471545397617501E-3</v>
      </c>
      <c r="AM36" s="7">
        <v>38.836464319999997</v>
      </c>
      <c r="AN36" s="2">
        <v>1935</v>
      </c>
      <c r="AO36" s="6">
        <f t="shared" si="19"/>
        <v>32.25</v>
      </c>
      <c r="AP36" s="5">
        <f t="shared" si="20"/>
        <v>0.11117073390731644</v>
      </c>
      <c r="AQ36" s="6">
        <f t="shared" si="21"/>
        <v>12.667039568713243</v>
      </c>
      <c r="AR36" s="2">
        <f t="shared" si="22"/>
        <v>0</v>
      </c>
      <c r="AS36" s="2">
        <f t="shared" si="23"/>
        <v>0</v>
      </c>
    </row>
    <row r="37" spans="1:45" x14ac:dyDescent="0.3">
      <c r="A37" s="78">
        <v>45003.927083333336</v>
      </c>
      <c r="B37" s="79">
        <v>3.34074250313196E-3</v>
      </c>
      <c r="C37" s="7">
        <v>41.056841919999997</v>
      </c>
      <c r="D37" s="2">
        <v>2096</v>
      </c>
      <c r="E37" s="6">
        <f t="shared" si="0"/>
        <v>34.93333333333333</v>
      </c>
      <c r="F37" s="6">
        <f t="shared" si="1"/>
        <v>0.11670327144274313</v>
      </c>
      <c r="G37" s="6">
        <f t="shared" si="2"/>
        <v>12.971916745604224</v>
      </c>
      <c r="H37" s="6">
        <f t="shared" si="3"/>
        <v>0.89904849757738536</v>
      </c>
      <c r="I37" s="6">
        <f t="shared" si="4"/>
        <v>11.662382260834404</v>
      </c>
      <c r="J37" s="6">
        <f t="shared" si="5"/>
        <v>4.3496906282630234E-2</v>
      </c>
      <c r="K37" s="5">
        <f t="shared" si="6"/>
        <v>0.56423824698962866</v>
      </c>
      <c r="M37" s="78">
        <v>45031.072916666664</v>
      </c>
      <c r="N37" s="5">
        <v>2.9303144829977801E-2</v>
      </c>
      <c r="O37" s="5">
        <v>61.042518610000002</v>
      </c>
      <c r="P37" s="2">
        <v>34705</v>
      </c>
      <c r="Q37" s="7">
        <f t="shared" si="7"/>
        <v>578.41666666666663</v>
      </c>
      <c r="R37" s="6">
        <f t="shared" si="8"/>
        <v>16.949427355406325</v>
      </c>
      <c r="S37" s="6">
        <f t="shared" si="9"/>
        <v>148.51516800334389</v>
      </c>
      <c r="T37" s="2">
        <f t="shared" si="24"/>
        <v>1</v>
      </c>
      <c r="U37" s="6">
        <f t="shared" si="10"/>
        <v>148.51516800334389</v>
      </c>
      <c r="V37">
        <f>IF((R37-$AB$774)/($Z$773-$AB$774)&lt;0, 0, IF((R37-$AB$774)/($Z$773-$AB$774)&gt;1, 1, (R37-$AB$774)/($Z$773-$AB$774)))</f>
        <v>0.37637279127401468</v>
      </c>
      <c r="W37" s="6">
        <f t="shared" si="11"/>
        <v>55.897068327947771</v>
      </c>
      <c r="Y37" s="78">
        <v>45047.479166666664</v>
      </c>
      <c r="Z37">
        <v>5.6506680199580599E-2</v>
      </c>
      <c r="AA37" s="6">
        <v>76.986061320000005</v>
      </c>
      <c r="AB37" s="2">
        <v>16730</v>
      </c>
      <c r="AC37" s="7">
        <f t="shared" si="12"/>
        <v>278.83333333333331</v>
      </c>
      <c r="AD37" s="7">
        <f t="shared" si="13"/>
        <v>15.755945995649723</v>
      </c>
      <c r="AE37" s="7">
        <f t="shared" si="14"/>
        <v>148.51516800334389</v>
      </c>
      <c r="AF37" s="7">
        <f t="shared" si="15"/>
        <v>0</v>
      </c>
      <c r="AG37" s="6">
        <f t="shared" si="16"/>
        <v>0</v>
      </c>
      <c r="AH37" s="2">
        <f t="shared" si="17"/>
        <v>1</v>
      </c>
      <c r="AI37" s="7">
        <f t="shared" si="18"/>
        <v>148.51516800334389</v>
      </c>
      <c r="AK37" s="78">
        <v>45003.927083333336</v>
      </c>
      <c r="AL37" s="79">
        <v>3.34074250313196E-3</v>
      </c>
      <c r="AM37" s="7">
        <v>41.056841919999997</v>
      </c>
      <c r="AN37" s="2">
        <v>2096</v>
      </c>
      <c r="AO37" s="6">
        <f t="shared" si="19"/>
        <v>34.93333333333333</v>
      </c>
      <c r="AP37" s="5">
        <f t="shared" si="20"/>
        <v>0.11670327144274313</v>
      </c>
      <c r="AQ37" s="6">
        <f t="shared" si="21"/>
        <v>12.971916745604224</v>
      </c>
      <c r="AR37" s="2">
        <f t="shared" si="22"/>
        <v>0</v>
      </c>
      <c r="AS37" s="2">
        <f t="shared" si="23"/>
        <v>0</v>
      </c>
    </row>
    <row r="38" spans="1:45" x14ac:dyDescent="0.3">
      <c r="A38" s="78">
        <v>45003.9375</v>
      </c>
      <c r="B38" s="79">
        <v>3.4126976439496602E-3</v>
      </c>
      <c r="C38" s="7">
        <v>42.550901439999997</v>
      </c>
      <c r="D38" s="2">
        <v>2355</v>
      </c>
      <c r="E38" s="6">
        <f t="shared" si="0"/>
        <v>39.25</v>
      </c>
      <c r="F38" s="6">
        <f t="shared" si="1"/>
        <v>0.13394838252502417</v>
      </c>
      <c r="G38" s="6">
        <f t="shared" si="2"/>
        <v>13.877616235635008</v>
      </c>
      <c r="H38" s="6">
        <f t="shared" si="3"/>
        <v>1</v>
      </c>
      <c r="I38" s="6">
        <f t="shared" si="4"/>
        <v>13.877616235635008</v>
      </c>
      <c r="J38" s="6">
        <f t="shared" si="5"/>
        <v>6.2933412508159356E-2</v>
      </c>
      <c r="K38" s="5">
        <f t="shared" si="6"/>
        <v>0.87336574718714755</v>
      </c>
      <c r="M38" s="78">
        <v>45031.083333333336</v>
      </c>
      <c r="N38" s="5">
        <v>2.7343298975907E-2</v>
      </c>
      <c r="O38" s="5">
        <v>65.243074859999993</v>
      </c>
      <c r="P38" s="2">
        <v>34073</v>
      </c>
      <c r="Q38" s="7">
        <f t="shared" si="7"/>
        <v>567.88333333333333</v>
      </c>
      <c r="R38" s="6">
        <f t="shared" si="8"/>
        <v>15.527803766767986</v>
      </c>
      <c r="S38" s="6">
        <f t="shared" si="9"/>
        <v>142.27879433675275</v>
      </c>
      <c r="T38" s="2">
        <f t="shared" si="24"/>
        <v>1</v>
      </c>
      <c r="U38" s="6">
        <f t="shared" si="10"/>
        <v>142.27879433675275</v>
      </c>
      <c r="V38">
        <f>IF((R38-$AB$774)/($Z$773-$AB$774)&lt;0, 0, IF((R38-$AB$774)/($Z$773-$AB$774)&gt;1, 1, (R38-$AB$774)/($Z$773-$AB$774)))</f>
        <v>0.11614536041867669</v>
      </c>
      <c r="W38" s="6">
        <f t="shared" si="11"/>
        <v>16.525021848176927</v>
      </c>
      <c r="Y38" s="78">
        <v>45047.489583333336</v>
      </c>
      <c r="Z38">
        <v>5.72855989791261E-2</v>
      </c>
      <c r="AA38" s="6">
        <v>72.970159429999995</v>
      </c>
      <c r="AB38" s="2">
        <v>16369</v>
      </c>
      <c r="AC38" s="7">
        <f t="shared" si="12"/>
        <v>272.81666666666666</v>
      </c>
      <c r="AD38" s="7">
        <f t="shared" si="13"/>
        <v>15.628466161488586</v>
      </c>
      <c r="AE38" s="7">
        <f t="shared" si="14"/>
        <v>142.27879433675275</v>
      </c>
      <c r="AF38" s="7">
        <f t="shared" si="15"/>
        <v>0</v>
      </c>
      <c r="AG38" s="6">
        <f t="shared" si="16"/>
        <v>0</v>
      </c>
      <c r="AH38" s="2">
        <f t="shared" si="17"/>
        <v>1</v>
      </c>
      <c r="AI38" s="7">
        <f t="shared" si="18"/>
        <v>142.27879433675275</v>
      </c>
      <c r="AK38" s="78">
        <v>45003.9375</v>
      </c>
      <c r="AL38" s="79">
        <v>3.4126976439496602E-3</v>
      </c>
      <c r="AM38" s="7">
        <v>42.550901439999997</v>
      </c>
      <c r="AN38" s="2">
        <v>2355</v>
      </c>
      <c r="AO38" s="6">
        <f t="shared" si="19"/>
        <v>39.25</v>
      </c>
      <c r="AP38" s="5">
        <f t="shared" si="20"/>
        <v>0.13394838252502417</v>
      </c>
      <c r="AQ38" s="6">
        <f t="shared" si="21"/>
        <v>13.877616235635008</v>
      </c>
      <c r="AR38" s="2">
        <f t="shared" si="22"/>
        <v>0</v>
      </c>
      <c r="AS38" s="2">
        <f t="shared" si="23"/>
        <v>0</v>
      </c>
    </row>
    <row r="39" spans="1:45" x14ac:dyDescent="0.3">
      <c r="A39" s="78">
        <v>45003.947916666664</v>
      </c>
      <c r="B39" s="79">
        <v>4.5143732542593899E-3</v>
      </c>
      <c r="C39" s="7">
        <v>44.757542890000003</v>
      </c>
      <c r="D39" s="2">
        <v>2345</v>
      </c>
      <c r="E39" s="6">
        <f t="shared" si="0"/>
        <v>39.083333333333336</v>
      </c>
      <c r="F39" s="6">
        <f t="shared" si="1"/>
        <v>0.17643675468730449</v>
      </c>
      <c r="G39" s="6">
        <f t="shared" si="2"/>
        <v>15.882112054963178</v>
      </c>
      <c r="H39" s="6">
        <f t="shared" si="3"/>
        <v>1</v>
      </c>
      <c r="I39" s="6">
        <f t="shared" si="4"/>
        <v>15.882112054963178</v>
      </c>
      <c r="J39" s="6">
        <f t="shared" si="5"/>
        <v>0.11082092718432032</v>
      </c>
      <c r="K39" s="5">
        <f t="shared" si="6"/>
        <v>1.7600703835762903</v>
      </c>
      <c r="M39" s="78">
        <v>45031.09375</v>
      </c>
      <c r="N39" s="5">
        <v>3.0447075232519299E-2</v>
      </c>
      <c r="O39" s="5">
        <v>61.053401999999998</v>
      </c>
      <c r="P39" s="2">
        <v>34049</v>
      </c>
      <c r="Q39" s="7">
        <f t="shared" si="7"/>
        <v>567.48333333333335</v>
      </c>
      <c r="R39" s="6">
        <f t="shared" si="8"/>
        <v>17.278207743200827</v>
      </c>
      <c r="S39" s="6">
        <f t="shared" si="9"/>
        <v>149.91900869174569</v>
      </c>
      <c r="T39" s="2">
        <f t="shared" si="24"/>
        <v>1</v>
      </c>
      <c r="U39" s="6">
        <f t="shared" si="10"/>
        <v>149.91900869174569</v>
      </c>
      <c r="V39">
        <f>IF((R39-$AB$774)/($Z$773-$AB$774)&lt;0, 0, IF((R39-$AB$774)/($Z$773-$AB$774)&gt;1, 1, (R39-$AB$774)/($Z$773-$AB$774)))</f>
        <v>0.43655586386451251</v>
      </c>
      <c r="W39" s="6">
        <f t="shared" si="11"/>
        <v>65.448022349136394</v>
      </c>
      <c r="Y39" s="78">
        <v>45047.5</v>
      </c>
      <c r="Z39">
        <v>5.9253663868503399E-2</v>
      </c>
      <c r="AA39" s="6">
        <v>77.875916610000004</v>
      </c>
      <c r="AB39" s="2">
        <v>15717</v>
      </c>
      <c r="AC39" s="7">
        <f t="shared" si="12"/>
        <v>261.95</v>
      </c>
      <c r="AD39" s="7">
        <f t="shared" si="13"/>
        <v>15.521497250354464</v>
      </c>
      <c r="AE39" s="7">
        <f t="shared" si="14"/>
        <v>149.91900869174569</v>
      </c>
      <c r="AF39" s="7">
        <f t="shared" si="15"/>
        <v>0</v>
      </c>
      <c r="AG39" s="6">
        <f t="shared" si="16"/>
        <v>0</v>
      </c>
      <c r="AH39" s="2">
        <f t="shared" si="17"/>
        <v>1</v>
      </c>
      <c r="AI39" s="7">
        <f t="shared" si="18"/>
        <v>149.91900869174569</v>
      </c>
      <c r="AK39" s="78">
        <v>45003.947916666664</v>
      </c>
      <c r="AL39" s="79">
        <v>4.5143732542593899E-3</v>
      </c>
      <c r="AM39" s="7">
        <v>44.757542890000003</v>
      </c>
      <c r="AN39" s="2">
        <v>2345</v>
      </c>
      <c r="AO39" s="6">
        <f t="shared" si="19"/>
        <v>39.083333333333336</v>
      </c>
      <c r="AP39" s="5">
        <f t="shared" si="20"/>
        <v>0.17643675468730449</v>
      </c>
      <c r="AQ39" s="6">
        <f t="shared" si="21"/>
        <v>15.882112054963178</v>
      </c>
      <c r="AR39" s="2">
        <f t="shared" si="22"/>
        <v>0</v>
      </c>
      <c r="AS39" s="2">
        <f t="shared" si="23"/>
        <v>0</v>
      </c>
    </row>
    <row r="40" spans="1:45" x14ac:dyDescent="0.3">
      <c r="A40" s="78">
        <v>45003.958333333336</v>
      </c>
      <c r="B40" s="79">
        <v>3.30245898084967E-3</v>
      </c>
      <c r="C40" s="7">
        <v>44.034259820000003</v>
      </c>
      <c r="D40" s="2">
        <v>2169</v>
      </c>
      <c r="E40" s="6">
        <f t="shared" si="0"/>
        <v>36.15</v>
      </c>
      <c r="F40" s="6">
        <f t="shared" si="1"/>
        <v>0.11938389215771557</v>
      </c>
      <c r="G40" s="6">
        <f t="shared" si="2"/>
        <v>13.116981875912041</v>
      </c>
      <c r="H40" s="6">
        <f t="shared" si="3"/>
        <v>1</v>
      </c>
      <c r="I40" s="6">
        <f t="shared" si="4"/>
        <v>13.116981875912041</v>
      </c>
      <c r="J40" s="6">
        <f t="shared" si="5"/>
        <v>4.6518162623992838E-2</v>
      </c>
      <c r="K40" s="5">
        <f t="shared" si="6"/>
        <v>0.61017789603964301</v>
      </c>
      <c r="M40" s="78">
        <v>45031.104166666664</v>
      </c>
      <c r="N40" s="5">
        <v>2.64587673740895E-2</v>
      </c>
      <c r="O40" s="5">
        <v>57.814717760000001</v>
      </c>
      <c r="P40" s="2">
        <v>34830</v>
      </c>
      <c r="Q40" s="7">
        <f t="shared" si="7"/>
        <v>580.5</v>
      </c>
      <c r="R40" s="6">
        <f t="shared" si="8"/>
        <v>15.359314460658954</v>
      </c>
      <c r="S40" s="6">
        <f t="shared" si="9"/>
        <v>141.52067093453738</v>
      </c>
      <c r="T40" s="2">
        <f t="shared" si="24"/>
        <v>1</v>
      </c>
      <c r="U40" s="6">
        <f t="shared" si="10"/>
        <v>141.52067093453738</v>
      </c>
      <c r="V40">
        <f>IF((R40-$AB$774)/($Z$773-$AB$774)&lt;0, 0, IF((R40-$AB$774)/($Z$773-$AB$774)&gt;1, 1, (R40-$AB$774)/($Z$773-$AB$774)))</f>
        <v>8.5303483844760025E-2</v>
      </c>
      <c r="W40" s="6">
        <f t="shared" si="11"/>
        <v>12.072206266763908</v>
      </c>
      <c r="Y40" s="78">
        <v>45047.510416666664</v>
      </c>
      <c r="Z40">
        <v>5.7731396824689203E-2</v>
      </c>
      <c r="AA40" s="6">
        <v>79.202259850000004</v>
      </c>
      <c r="AB40" s="2">
        <v>15506</v>
      </c>
      <c r="AC40" s="7">
        <f t="shared" si="12"/>
        <v>258.43333333333334</v>
      </c>
      <c r="AD40" s="7">
        <f t="shared" si="13"/>
        <v>14.919717319393847</v>
      </c>
      <c r="AE40" s="7">
        <f t="shared" si="14"/>
        <v>141.52067093453738</v>
      </c>
      <c r="AF40" s="7">
        <f t="shared" si="15"/>
        <v>0</v>
      </c>
      <c r="AG40" s="6">
        <f t="shared" si="16"/>
        <v>0</v>
      </c>
      <c r="AH40" s="2">
        <f t="shared" si="17"/>
        <v>1</v>
      </c>
      <c r="AI40" s="7">
        <f t="shared" si="18"/>
        <v>141.52067093453738</v>
      </c>
      <c r="AK40" s="78">
        <v>45003.958333333336</v>
      </c>
      <c r="AL40" s="79">
        <v>3.30245898084967E-3</v>
      </c>
      <c r="AM40" s="7">
        <v>44.034259820000003</v>
      </c>
      <c r="AN40" s="2">
        <v>2169</v>
      </c>
      <c r="AO40" s="6">
        <f t="shared" si="19"/>
        <v>36.15</v>
      </c>
      <c r="AP40" s="5">
        <f t="shared" si="20"/>
        <v>0.11938389215771557</v>
      </c>
      <c r="AQ40" s="6">
        <f t="shared" si="21"/>
        <v>13.116981875912041</v>
      </c>
      <c r="AR40" s="2">
        <f t="shared" si="22"/>
        <v>0</v>
      </c>
      <c r="AS40" s="2">
        <f t="shared" si="23"/>
        <v>0</v>
      </c>
    </row>
    <row r="41" spans="1:45" x14ac:dyDescent="0.3">
      <c r="A41" s="78">
        <v>45003.96875</v>
      </c>
      <c r="B41" s="79">
        <v>3.76110918433339E-3</v>
      </c>
      <c r="C41" s="7">
        <v>46.174310370000001</v>
      </c>
      <c r="D41" s="2">
        <v>2652</v>
      </c>
      <c r="E41" s="6">
        <f t="shared" si="0"/>
        <v>44.2</v>
      </c>
      <c r="F41" s="6">
        <f t="shared" si="1"/>
        <v>0.16624102594753584</v>
      </c>
      <c r="G41" s="6">
        <f t="shared" si="2"/>
        <v>15.425849657255984</v>
      </c>
      <c r="H41" s="6">
        <f t="shared" si="3"/>
        <v>1</v>
      </c>
      <c r="I41" s="6">
        <f t="shared" si="4"/>
        <v>15.425849657255984</v>
      </c>
      <c r="J41" s="6">
        <f t="shared" si="5"/>
        <v>9.9329592383471513E-2</v>
      </c>
      <c r="K41" s="5">
        <f t="shared" si="6"/>
        <v>1.5322433586239506</v>
      </c>
      <c r="M41" s="78">
        <v>45031.114583333336</v>
      </c>
      <c r="N41" s="5">
        <v>2.8838667964646101E-2</v>
      </c>
      <c r="O41" s="5">
        <v>62.93364991</v>
      </c>
      <c r="P41" s="2">
        <v>34536</v>
      </c>
      <c r="Q41" s="7">
        <f t="shared" si="7"/>
        <v>575.6</v>
      </c>
      <c r="R41" s="6">
        <f t="shared" si="8"/>
        <v>16.599537280450296</v>
      </c>
      <c r="S41" s="6">
        <f t="shared" si="9"/>
        <v>147.00584240081989</v>
      </c>
      <c r="T41" s="2">
        <f t="shared" si="24"/>
        <v>1</v>
      </c>
      <c r="U41" s="6">
        <f t="shared" si="10"/>
        <v>147.00584240081989</v>
      </c>
      <c r="V41">
        <f>IF((R41-$AB$774)/($Z$773-$AB$774)&lt;0, 0, IF((R41-$AB$774)/($Z$773-$AB$774)&gt;1, 1, (R41-$AB$774)/($Z$773-$AB$774)))</f>
        <v>0.31232560183844849</v>
      </c>
      <c r="W41" s="6">
        <f t="shared" si="11"/>
        <v>45.913688201604181</v>
      </c>
      <c r="Y41" s="78">
        <v>45047.520833333336</v>
      </c>
      <c r="Z41">
        <v>6.0825299186746902E-2</v>
      </c>
      <c r="AA41" s="6">
        <v>76.544179459999995</v>
      </c>
      <c r="AB41" s="2">
        <v>15806</v>
      </c>
      <c r="AC41" s="7">
        <f t="shared" si="12"/>
        <v>263.43333333333334</v>
      </c>
      <c r="AD41" s="7">
        <f t="shared" si="13"/>
        <v>16.023411315762026</v>
      </c>
      <c r="AE41" s="7">
        <f t="shared" si="14"/>
        <v>147.00584240081989</v>
      </c>
      <c r="AF41" s="7">
        <f t="shared" si="15"/>
        <v>0</v>
      </c>
      <c r="AG41" s="6">
        <f t="shared" si="16"/>
        <v>0</v>
      </c>
      <c r="AH41" s="2">
        <f t="shared" si="17"/>
        <v>1</v>
      </c>
      <c r="AI41" s="7">
        <f t="shared" si="18"/>
        <v>147.00584240081989</v>
      </c>
      <c r="AK41" s="78">
        <v>45003.96875</v>
      </c>
      <c r="AL41" s="79">
        <v>3.76110918433339E-3</v>
      </c>
      <c r="AM41" s="7">
        <v>46.174310370000001</v>
      </c>
      <c r="AN41" s="2">
        <v>2652</v>
      </c>
      <c r="AO41" s="6">
        <f t="shared" si="19"/>
        <v>44.2</v>
      </c>
      <c r="AP41" s="5">
        <f t="shared" si="20"/>
        <v>0.16624102594753584</v>
      </c>
      <c r="AQ41" s="6">
        <f t="shared" si="21"/>
        <v>15.425849657255984</v>
      </c>
      <c r="AR41" s="2">
        <f t="shared" si="22"/>
        <v>1</v>
      </c>
      <c r="AS41" s="2">
        <f t="shared" si="23"/>
        <v>15.425849657255984</v>
      </c>
    </row>
    <row r="42" spans="1:45" x14ac:dyDescent="0.3">
      <c r="A42" s="78">
        <v>45003.979166666664</v>
      </c>
      <c r="B42" s="79">
        <v>3.6545163608948999E-3</v>
      </c>
      <c r="C42" s="7">
        <v>46.174310370000001</v>
      </c>
      <c r="D42" s="2">
        <v>2493</v>
      </c>
      <c r="E42" s="6">
        <f t="shared" si="0"/>
        <v>41.55</v>
      </c>
      <c r="F42" s="6">
        <f t="shared" si="1"/>
        <v>0.15184515479518307</v>
      </c>
      <c r="G42" s="6">
        <f t="shared" si="2"/>
        <v>14.756577136380368</v>
      </c>
      <c r="H42" s="6">
        <f t="shared" si="3"/>
        <v>1</v>
      </c>
      <c r="I42" s="6">
        <f t="shared" si="4"/>
        <v>14.756577136380368</v>
      </c>
      <c r="J42" s="6">
        <f t="shared" si="5"/>
        <v>8.3104388733602694E-2</v>
      </c>
      <c r="K42" s="5">
        <f t="shared" si="6"/>
        <v>1.2263363227191477</v>
      </c>
      <c r="M42" s="78">
        <v>45031.125</v>
      </c>
      <c r="N42" s="5">
        <v>2.4734189036710999E-2</v>
      </c>
      <c r="O42" s="5">
        <v>59.125991390000003</v>
      </c>
      <c r="P42" s="2">
        <v>35966</v>
      </c>
      <c r="Q42" s="7">
        <f t="shared" si="7"/>
        <v>599.43333333333328</v>
      </c>
      <c r="R42" s="6">
        <f t="shared" si="8"/>
        <v>14.826497381572462</v>
      </c>
      <c r="S42" s="6">
        <f t="shared" si="9"/>
        <v>139.09489086199329</v>
      </c>
      <c r="T42" s="2">
        <f t="shared" si="24"/>
        <v>1</v>
      </c>
      <c r="U42" s="6">
        <f t="shared" si="10"/>
        <v>139.09489086199329</v>
      </c>
      <c r="V42">
        <f>IF((R42-$AB$774)/($Z$773-$AB$774)&lt;0, 0, IF((R42-$AB$774)/($Z$773-$AB$774)&gt;1, 1, (R42-$AB$774)/($Z$773-$AB$774)))</f>
        <v>0</v>
      </c>
      <c r="W42" s="6">
        <f t="shared" si="11"/>
        <v>0</v>
      </c>
      <c r="Y42" s="78">
        <v>45047.53125</v>
      </c>
      <c r="Z42">
        <v>5.9969496914068901E-2</v>
      </c>
      <c r="AA42" s="6">
        <v>78.323104580000006</v>
      </c>
      <c r="AB42" s="2">
        <v>15385</v>
      </c>
      <c r="AC42" s="7">
        <f t="shared" si="12"/>
        <v>256.41666666666669</v>
      </c>
      <c r="AD42" s="7">
        <f t="shared" si="13"/>
        <v>15.377178500382502</v>
      </c>
      <c r="AE42" s="7">
        <f t="shared" si="14"/>
        <v>139.09489086199329</v>
      </c>
      <c r="AF42" s="7">
        <f t="shared" si="15"/>
        <v>0</v>
      </c>
      <c r="AG42" s="6">
        <f t="shared" si="16"/>
        <v>0</v>
      </c>
      <c r="AH42" s="2">
        <f t="shared" si="17"/>
        <v>1</v>
      </c>
      <c r="AI42" s="7">
        <f t="shared" si="18"/>
        <v>139.09489086199329</v>
      </c>
      <c r="AK42" s="78">
        <v>45003.979166666664</v>
      </c>
      <c r="AL42" s="79">
        <v>3.6545163608948999E-3</v>
      </c>
      <c r="AM42" s="7">
        <v>46.174310370000001</v>
      </c>
      <c r="AN42" s="2">
        <v>2493</v>
      </c>
      <c r="AO42" s="6">
        <f t="shared" si="19"/>
        <v>41.55</v>
      </c>
      <c r="AP42" s="5">
        <f t="shared" si="20"/>
        <v>0.15184515479518307</v>
      </c>
      <c r="AQ42" s="6">
        <f t="shared" si="21"/>
        <v>14.756577136380368</v>
      </c>
      <c r="AR42" s="2">
        <f t="shared" si="22"/>
        <v>1</v>
      </c>
      <c r="AS42" s="2">
        <f t="shared" si="23"/>
        <v>14.756577136380368</v>
      </c>
    </row>
    <row r="43" spans="1:45" x14ac:dyDescent="0.3">
      <c r="A43" s="78">
        <v>45003.989583333336</v>
      </c>
      <c r="B43" s="79">
        <v>3.6462106552593498E-3</v>
      </c>
      <c r="C43" s="7">
        <v>42.537916889999998</v>
      </c>
      <c r="D43" s="2">
        <v>2257</v>
      </c>
      <c r="E43" s="6">
        <f t="shared" si="0"/>
        <v>37.616666666666667</v>
      </c>
      <c r="F43" s="6">
        <f t="shared" si="1"/>
        <v>0.1371582908153392</v>
      </c>
      <c r="G43" s="6">
        <f t="shared" si="2"/>
        <v>14.039486956427286</v>
      </c>
      <c r="H43" s="6">
        <f t="shared" si="3"/>
        <v>0.99912265220144547</v>
      </c>
      <c r="I43" s="6">
        <f t="shared" si="4"/>
        <v>14.027169443453229</v>
      </c>
      <c r="J43" s="6">
        <f t="shared" si="5"/>
        <v>6.6551214804149744E-2</v>
      </c>
      <c r="K43" s="5">
        <f t="shared" si="6"/>
        <v>0.9343449121772508</v>
      </c>
      <c r="M43" s="78">
        <v>45031.135416666664</v>
      </c>
      <c r="N43" s="5">
        <v>2.7880365606587E-2</v>
      </c>
      <c r="O43" s="5">
        <v>59.769842060000002</v>
      </c>
      <c r="P43" s="2">
        <v>34980</v>
      </c>
      <c r="Q43" s="7">
        <f t="shared" si="7"/>
        <v>583</v>
      </c>
      <c r="R43" s="6">
        <f t="shared" si="8"/>
        <v>16.25425314864022</v>
      </c>
      <c r="S43" s="6">
        <f t="shared" si="9"/>
        <v>145.50038485179044</v>
      </c>
      <c r="T43" s="2">
        <f t="shared" si="24"/>
        <v>1</v>
      </c>
      <c r="U43" s="6">
        <f t="shared" si="10"/>
        <v>145.50038485179044</v>
      </c>
      <c r="V43">
        <f>IF((R43-$AB$774)/($Z$773-$AB$774)&lt;0, 0, IF((R43-$AB$774)/($Z$773-$AB$774)&gt;1, 1, (R43-$AB$774)/($Z$773-$AB$774)))</f>
        <v>0.24912152781058691</v>
      </c>
      <c r="W43" s="6">
        <f t="shared" si="11"/>
        <v>36.247278171306412</v>
      </c>
      <c r="Y43" s="78">
        <v>45047.541666666664</v>
      </c>
      <c r="Z43">
        <v>6.1184366981335198E-2</v>
      </c>
      <c r="AA43" s="6">
        <v>77.875916610000004</v>
      </c>
      <c r="AB43" s="2">
        <v>15289</v>
      </c>
      <c r="AC43" s="7">
        <f t="shared" si="12"/>
        <v>254.81666666666666</v>
      </c>
      <c r="AD43" s="7">
        <f t="shared" si="13"/>
        <v>15.590796446293897</v>
      </c>
      <c r="AE43" s="7">
        <f t="shared" si="14"/>
        <v>145.50038485179044</v>
      </c>
      <c r="AF43" s="7">
        <f t="shared" si="15"/>
        <v>0</v>
      </c>
      <c r="AG43" s="6">
        <f t="shared" si="16"/>
        <v>0</v>
      </c>
      <c r="AH43" s="2">
        <f t="shared" si="17"/>
        <v>1</v>
      </c>
      <c r="AI43" s="7">
        <f t="shared" si="18"/>
        <v>145.50038485179044</v>
      </c>
      <c r="AK43" s="78">
        <v>45003.989583333336</v>
      </c>
      <c r="AL43" s="79">
        <v>3.6462106552593498E-3</v>
      </c>
      <c r="AM43" s="7">
        <v>42.537916889999998</v>
      </c>
      <c r="AN43" s="2">
        <v>2257</v>
      </c>
      <c r="AO43" s="6">
        <f t="shared" si="19"/>
        <v>37.616666666666667</v>
      </c>
      <c r="AP43" s="5">
        <f t="shared" si="20"/>
        <v>0.1371582908153392</v>
      </c>
      <c r="AQ43" s="6">
        <f t="shared" si="21"/>
        <v>14.039486956427286</v>
      </c>
      <c r="AR43" s="2">
        <f t="shared" si="22"/>
        <v>0</v>
      </c>
      <c r="AS43" s="2">
        <f t="shared" si="23"/>
        <v>0</v>
      </c>
    </row>
    <row r="44" spans="1:45" x14ac:dyDescent="0.3">
      <c r="A44" s="78">
        <v>45004</v>
      </c>
      <c r="B44" s="79">
        <v>3.4517382115654802E-3</v>
      </c>
      <c r="C44" s="7">
        <v>44.745284959999999</v>
      </c>
      <c r="D44" s="2">
        <v>2241</v>
      </c>
      <c r="E44" s="6">
        <f t="shared" si="0"/>
        <v>37.35</v>
      </c>
      <c r="F44" s="6">
        <f t="shared" si="1"/>
        <v>0.1289224222019707</v>
      </c>
      <c r="G44" s="6">
        <f t="shared" si="2"/>
        <v>13.620135802385237</v>
      </c>
      <c r="H44" s="6">
        <f t="shared" si="3"/>
        <v>1</v>
      </c>
      <c r="I44" s="6">
        <f t="shared" si="4"/>
        <v>13.620135802385237</v>
      </c>
      <c r="J44" s="6">
        <f t="shared" si="5"/>
        <v>5.7268786247290412E-2</v>
      </c>
      <c r="K44" s="5">
        <f t="shared" si="6"/>
        <v>0.78000864592586738</v>
      </c>
      <c r="M44" s="78">
        <v>45031.145833333336</v>
      </c>
      <c r="N44" s="5">
        <v>2.7483367212618199E-2</v>
      </c>
      <c r="O44" s="5">
        <v>59.769842060000002</v>
      </c>
      <c r="P44" s="2">
        <v>35274</v>
      </c>
      <c r="Q44" s="7">
        <f t="shared" si="7"/>
        <v>587.9</v>
      </c>
      <c r="R44" s="6">
        <f t="shared" si="8"/>
        <v>16.157471584298239</v>
      </c>
      <c r="S44" s="6">
        <f t="shared" si="9"/>
        <v>145.07549032629595</v>
      </c>
      <c r="T44" s="2">
        <f t="shared" si="24"/>
        <v>1</v>
      </c>
      <c r="U44" s="6">
        <f t="shared" si="10"/>
        <v>145.07549032629595</v>
      </c>
      <c r="V44">
        <f>IF((R44-$AB$774)/($Z$773-$AB$774)&lt;0, 0, IF((R44-$AB$774)/($Z$773-$AB$774)&gt;1, 1, (R44-$AB$774)/($Z$773-$AB$774)))</f>
        <v>0.23140571467681828</v>
      </c>
      <c r="W44" s="6">
        <f t="shared" si="11"/>
        <v>33.571297521046354</v>
      </c>
      <c r="Y44" s="78">
        <v>45047.552083333336</v>
      </c>
      <c r="Z44">
        <v>6.5878564702496395E-2</v>
      </c>
      <c r="AA44" s="6">
        <v>75.659696060000002</v>
      </c>
      <c r="AB44" s="2">
        <v>14538</v>
      </c>
      <c r="AC44" s="7">
        <f t="shared" si="12"/>
        <v>242.3</v>
      </c>
      <c r="AD44" s="7">
        <f t="shared" si="13"/>
        <v>15.962376227414877</v>
      </c>
      <c r="AE44" s="7">
        <f t="shared" si="14"/>
        <v>145.07549032629595</v>
      </c>
      <c r="AF44" s="7">
        <f t="shared" si="15"/>
        <v>0</v>
      </c>
      <c r="AG44" s="6">
        <f t="shared" si="16"/>
        <v>0</v>
      </c>
      <c r="AH44" s="2">
        <f t="shared" si="17"/>
        <v>1</v>
      </c>
      <c r="AI44" s="7">
        <f t="shared" si="18"/>
        <v>145.07549032629595</v>
      </c>
      <c r="AK44" s="78">
        <v>45004</v>
      </c>
      <c r="AL44" s="79">
        <v>3.4517382115654802E-3</v>
      </c>
      <c r="AM44" s="7">
        <v>44.745284959999999</v>
      </c>
      <c r="AN44" s="2">
        <v>2241</v>
      </c>
      <c r="AO44" s="6">
        <f t="shared" si="19"/>
        <v>37.35</v>
      </c>
      <c r="AP44" s="5">
        <f t="shared" si="20"/>
        <v>0.1289224222019707</v>
      </c>
      <c r="AQ44" s="6">
        <f t="shared" si="21"/>
        <v>13.620135802385237</v>
      </c>
      <c r="AR44" s="2">
        <f t="shared" si="22"/>
        <v>0</v>
      </c>
      <c r="AS44" s="2">
        <f t="shared" si="23"/>
        <v>0</v>
      </c>
    </row>
    <row r="45" spans="1:45" x14ac:dyDescent="0.3">
      <c r="A45" s="78">
        <v>45004.010416666664</v>
      </c>
      <c r="B45" s="79">
        <v>3.3819210237396599E-3</v>
      </c>
      <c r="C45" s="7">
        <v>42.537916889999998</v>
      </c>
      <c r="D45" s="2">
        <v>2203</v>
      </c>
      <c r="E45" s="6">
        <f t="shared" si="0"/>
        <v>36.716666666666669</v>
      </c>
      <c r="F45" s="6">
        <f t="shared" si="1"/>
        <v>0.12417286692164119</v>
      </c>
      <c r="G45" s="6">
        <f t="shared" si="2"/>
        <v>13.37206477711444</v>
      </c>
      <c r="H45" s="6">
        <f t="shared" si="3"/>
        <v>0.99912265220144547</v>
      </c>
      <c r="I45" s="6">
        <f t="shared" si="4"/>
        <v>13.360332825520111</v>
      </c>
      <c r="J45" s="6">
        <f t="shared" si="5"/>
        <v>5.191568876162269E-2</v>
      </c>
      <c r="K45" s="5">
        <f t="shared" si="6"/>
        <v>0.69421995306893081</v>
      </c>
      <c r="M45" s="78">
        <v>45031.15625</v>
      </c>
      <c r="N45" s="5">
        <v>2.7753252916712701E-2</v>
      </c>
      <c r="O45" s="5">
        <v>57.814717760000001</v>
      </c>
      <c r="P45" s="2">
        <v>34953</v>
      </c>
      <c r="Q45" s="7">
        <f t="shared" si="7"/>
        <v>582.54999999999995</v>
      </c>
      <c r="R45" s="6">
        <f t="shared" si="8"/>
        <v>16.167657486630983</v>
      </c>
      <c r="S45" s="6">
        <f t="shared" si="9"/>
        <v>145.12026994776599</v>
      </c>
      <c r="T45" s="2">
        <f t="shared" si="24"/>
        <v>1</v>
      </c>
      <c r="U45" s="6">
        <f t="shared" si="10"/>
        <v>145.12026994776599</v>
      </c>
      <c r="V45">
        <f>IF((R45-$AB$774)/($Z$773-$AB$774)&lt;0, 0, IF((R45-$AB$774)/($Z$773-$AB$774)&gt;1, 1, (R45-$AB$774)/($Z$773-$AB$774)))</f>
        <v>0.23327023860296678</v>
      </c>
      <c r="W45" s="6">
        <f t="shared" si="11"/>
        <v>33.852239996842322</v>
      </c>
      <c r="Y45" s="78">
        <v>45047.5625</v>
      </c>
      <c r="Z45">
        <v>6.2223611994809601E-2</v>
      </c>
      <c r="AA45" s="6">
        <v>78.323104580000006</v>
      </c>
      <c r="AB45" s="2">
        <v>14789</v>
      </c>
      <c r="AC45" s="7">
        <f t="shared" si="12"/>
        <v>246.48333333333332</v>
      </c>
      <c r="AD45" s="7">
        <f t="shared" si="13"/>
        <v>15.337083296520653</v>
      </c>
      <c r="AE45" s="7">
        <f t="shared" si="14"/>
        <v>145.12026994776599</v>
      </c>
      <c r="AF45" s="7">
        <f t="shared" si="15"/>
        <v>0</v>
      </c>
      <c r="AG45" s="6">
        <f t="shared" si="16"/>
        <v>0</v>
      </c>
      <c r="AH45" s="2">
        <f t="shared" si="17"/>
        <v>1</v>
      </c>
      <c r="AI45" s="7">
        <f t="shared" si="18"/>
        <v>145.12026994776599</v>
      </c>
      <c r="AK45" s="78">
        <v>45004.010416666664</v>
      </c>
      <c r="AL45" s="79">
        <v>3.3819210237396599E-3</v>
      </c>
      <c r="AM45" s="7">
        <v>42.537916889999998</v>
      </c>
      <c r="AN45" s="2">
        <v>2203</v>
      </c>
      <c r="AO45" s="6">
        <f t="shared" si="19"/>
        <v>36.716666666666669</v>
      </c>
      <c r="AP45" s="5">
        <f t="shared" si="20"/>
        <v>0.12417286692164119</v>
      </c>
      <c r="AQ45" s="6">
        <f t="shared" si="21"/>
        <v>13.37206477711444</v>
      </c>
      <c r="AR45" s="2">
        <f t="shared" si="22"/>
        <v>0</v>
      </c>
      <c r="AS45" s="2">
        <f t="shared" si="23"/>
        <v>0</v>
      </c>
    </row>
    <row r="46" spans="1:45" x14ac:dyDescent="0.3">
      <c r="A46" s="78">
        <v>45004.020833333336</v>
      </c>
      <c r="B46" s="79">
        <v>4.0334313306592401E-3</v>
      </c>
      <c r="C46" s="7">
        <v>42.537916889999998</v>
      </c>
      <c r="D46" s="2">
        <v>1930</v>
      </c>
      <c r="E46" s="6">
        <f t="shared" si="0"/>
        <v>32.166666666666664</v>
      </c>
      <c r="F46" s="6">
        <f t="shared" si="1"/>
        <v>0.12974204113620555</v>
      </c>
      <c r="G46" s="6">
        <f t="shared" si="2"/>
        <v>13.662470091742668</v>
      </c>
      <c r="H46" s="6">
        <f t="shared" si="3"/>
        <v>0.99912265220144547</v>
      </c>
      <c r="I46" s="6">
        <f t="shared" si="4"/>
        <v>13.65048335368486</v>
      </c>
      <c r="J46" s="6">
        <f t="shared" si="5"/>
        <v>5.8192556957830252E-2</v>
      </c>
      <c r="K46" s="5">
        <f t="shared" si="6"/>
        <v>0.79505406899838749</v>
      </c>
      <c r="M46" s="78">
        <v>45031.166666666664</v>
      </c>
      <c r="N46" s="5">
        <v>2.7875253069318401E-2</v>
      </c>
      <c r="O46" s="5">
        <v>62.93364991</v>
      </c>
      <c r="P46" s="2">
        <v>34799</v>
      </c>
      <c r="Q46" s="7">
        <f t="shared" si="7"/>
        <v>579.98333333333335</v>
      </c>
      <c r="R46" s="6">
        <f t="shared" si="8"/>
        <v>16.167182192653517</v>
      </c>
      <c r="S46" s="6">
        <f t="shared" si="9"/>
        <v>145.11818076396156</v>
      </c>
      <c r="T46" s="2">
        <f t="shared" si="24"/>
        <v>1</v>
      </c>
      <c r="U46" s="6">
        <f t="shared" si="10"/>
        <v>145.11818076396156</v>
      </c>
      <c r="V46">
        <f>IF((R46-$AB$774)/($Z$773-$AB$774)&lt;0, 0, IF((R46-$AB$774)/($Z$773-$AB$774)&gt;1, 1, (R46-$AB$774)/($Z$773-$AB$774)))</f>
        <v>0.2331832362968391</v>
      </c>
      <c r="W46" s="6">
        <f t="shared" si="11"/>
        <v>33.839127036050257</v>
      </c>
      <c r="Y46" s="78">
        <v>45047.572916666664</v>
      </c>
      <c r="Z46">
        <v>6.1660744790547103E-2</v>
      </c>
      <c r="AA46" s="6">
        <v>76.101800600000004</v>
      </c>
      <c r="AB46" s="2">
        <v>14477</v>
      </c>
      <c r="AC46" s="7">
        <f t="shared" si="12"/>
        <v>241.28333333333333</v>
      </c>
      <c r="AD46" s="7">
        <f t="shared" si="13"/>
        <v>14.877710038879174</v>
      </c>
      <c r="AE46" s="7">
        <f t="shared" si="14"/>
        <v>145.11818076396156</v>
      </c>
      <c r="AF46" s="7">
        <f t="shared" si="15"/>
        <v>0</v>
      </c>
      <c r="AG46" s="6">
        <f t="shared" si="16"/>
        <v>0</v>
      </c>
      <c r="AH46" s="2">
        <f t="shared" si="17"/>
        <v>1</v>
      </c>
      <c r="AI46" s="7">
        <f t="shared" si="18"/>
        <v>145.11818076396156</v>
      </c>
      <c r="AK46" s="78">
        <v>45004.020833333336</v>
      </c>
      <c r="AL46" s="79">
        <v>4.0334313306592401E-3</v>
      </c>
      <c r="AM46" s="7">
        <v>42.537916889999998</v>
      </c>
      <c r="AN46" s="2">
        <v>1930</v>
      </c>
      <c r="AO46" s="6">
        <f t="shared" si="19"/>
        <v>32.166666666666664</v>
      </c>
      <c r="AP46" s="5">
        <f t="shared" si="20"/>
        <v>0.12974204113620555</v>
      </c>
      <c r="AQ46" s="6">
        <f t="shared" si="21"/>
        <v>13.662470091742668</v>
      </c>
      <c r="AR46" s="2">
        <f t="shared" si="22"/>
        <v>0</v>
      </c>
      <c r="AS46" s="2">
        <f t="shared" si="23"/>
        <v>0</v>
      </c>
    </row>
    <row r="47" spans="1:45" x14ac:dyDescent="0.3">
      <c r="A47" s="78">
        <v>45004.03125</v>
      </c>
      <c r="B47" s="79">
        <v>3.3441280761911801E-3</v>
      </c>
      <c r="C47" s="7">
        <v>42.537916889999998</v>
      </c>
      <c r="D47" s="2">
        <v>1963</v>
      </c>
      <c r="E47" s="6">
        <f t="shared" si="0"/>
        <v>32.716666666666669</v>
      </c>
      <c r="F47" s="6">
        <f t="shared" si="1"/>
        <v>0.10940872355938812</v>
      </c>
      <c r="G47" s="6">
        <f t="shared" si="2"/>
        <v>12.56832299675769</v>
      </c>
      <c r="H47" s="6">
        <f t="shared" si="3"/>
        <v>0.99912265220144547</v>
      </c>
      <c r="I47" s="6">
        <f t="shared" si="4"/>
        <v>12.557296206244962</v>
      </c>
      <c r="J47" s="6">
        <f t="shared" si="5"/>
        <v>3.5275415294791591E-2</v>
      </c>
      <c r="K47" s="5">
        <f t="shared" si="6"/>
        <v>0.4433528132697071</v>
      </c>
      <c r="M47" s="78">
        <v>45031.177083333336</v>
      </c>
      <c r="N47" s="5">
        <v>2.71469256834143E-2</v>
      </c>
      <c r="O47" s="5">
        <v>58.466044660000001</v>
      </c>
      <c r="P47" s="2">
        <v>34736</v>
      </c>
      <c r="Q47" s="7">
        <f t="shared" si="7"/>
        <v>578.93333333333328</v>
      </c>
      <c r="R47" s="6">
        <f t="shared" si="8"/>
        <v>15.716260175651318</v>
      </c>
      <c r="S47" s="6">
        <f t="shared" si="9"/>
        <v>143.12180366423661</v>
      </c>
      <c r="T47" s="2">
        <f t="shared" si="24"/>
        <v>1</v>
      </c>
      <c r="U47" s="6">
        <f t="shared" si="10"/>
        <v>143.12180366423661</v>
      </c>
      <c r="V47">
        <f>IF((R47-$AB$774)/($Z$773-$AB$774)&lt;0, 0, IF((R47-$AB$774)/($Z$773-$AB$774)&gt;1, 1, (R47-$AB$774)/($Z$773-$AB$774)))</f>
        <v>0.15064220438206744</v>
      </c>
      <c r="W47" s="6">
        <f t="shared" si="11"/>
        <v>21.56018399911806</v>
      </c>
      <c r="Y47" s="78">
        <v>45047.583333333336</v>
      </c>
      <c r="Z47">
        <v>6.5778639247241602E-2</v>
      </c>
      <c r="AA47" s="6">
        <v>79.202259850000004</v>
      </c>
      <c r="AB47" s="2">
        <v>14413</v>
      </c>
      <c r="AC47" s="7">
        <f t="shared" si="12"/>
        <v>240.21666666666667</v>
      </c>
      <c r="AD47" s="7">
        <f t="shared" si="13"/>
        <v>15.801125457841554</v>
      </c>
      <c r="AE47" s="7">
        <f t="shared" si="14"/>
        <v>143.12180366423661</v>
      </c>
      <c r="AF47" s="7">
        <f t="shared" si="15"/>
        <v>0</v>
      </c>
      <c r="AG47" s="6">
        <f t="shared" si="16"/>
        <v>0</v>
      </c>
      <c r="AH47" s="2">
        <f t="shared" si="17"/>
        <v>1</v>
      </c>
      <c r="AI47" s="7">
        <f t="shared" si="18"/>
        <v>143.12180366423661</v>
      </c>
      <c r="AK47" s="78">
        <v>45004.03125</v>
      </c>
      <c r="AL47" s="79">
        <v>3.3441280761911801E-3</v>
      </c>
      <c r="AM47" s="7">
        <v>42.537916889999998</v>
      </c>
      <c r="AN47" s="2">
        <v>1963</v>
      </c>
      <c r="AO47" s="6">
        <f t="shared" si="19"/>
        <v>32.716666666666669</v>
      </c>
      <c r="AP47" s="5">
        <f t="shared" si="20"/>
        <v>0.10940872355938812</v>
      </c>
      <c r="AQ47" s="6">
        <f t="shared" si="21"/>
        <v>12.56832299675769</v>
      </c>
      <c r="AR47" s="2">
        <f t="shared" si="22"/>
        <v>0</v>
      </c>
      <c r="AS47" s="2">
        <f t="shared" si="23"/>
        <v>0</v>
      </c>
    </row>
    <row r="48" spans="1:45" x14ac:dyDescent="0.3">
      <c r="A48" s="78">
        <v>45004.041666666664</v>
      </c>
      <c r="B48" s="79">
        <v>3.6282432046641001E-3</v>
      </c>
      <c r="C48" s="7">
        <v>46.878741779999999</v>
      </c>
      <c r="D48" s="2">
        <v>2186</v>
      </c>
      <c r="E48" s="6">
        <f t="shared" si="0"/>
        <v>36.43333333333333</v>
      </c>
      <c r="F48" s="6">
        <f t="shared" si="1"/>
        <v>0.13218899408992871</v>
      </c>
      <c r="G48" s="6">
        <f t="shared" si="2"/>
        <v>13.788052551806128</v>
      </c>
      <c r="H48" s="6">
        <f t="shared" si="3"/>
        <v>1</v>
      </c>
      <c r="I48" s="6">
        <f t="shared" si="4"/>
        <v>13.788052551806128</v>
      </c>
      <c r="J48" s="6">
        <f t="shared" si="5"/>
        <v>6.0950452577736354E-2</v>
      </c>
      <c r="K48" s="5">
        <f t="shared" si="6"/>
        <v>0.84038804319819616</v>
      </c>
      <c r="M48" s="78">
        <v>45031.1875</v>
      </c>
      <c r="N48" s="5">
        <v>2.86471302455732E-2</v>
      </c>
      <c r="O48" s="5">
        <v>59.769842060000002</v>
      </c>
      <c r="P48" s="2">
        <v>34581</v>
      </c>
      <c r="Q48" s="7">
        <f t="shared" si="7"/>
        <v>576.35</v>
      </c>
      <c r="R48" s="6">
        <f t="shared" si="8"/>
        <v>16.510773517036114</v>
      </c>
      <c r="S48" s="6">
        <f t="shared" si="9"/>
        <v>146.62036567509179</v>
      </c>
      <c r="T48" s="2">
        <f t="shared" si="24"/>
        <v>1</v>
      </c>
      <c r="U48" s="6">
        <f t="shared" si="10"/>
        <v>146.62036567509179</v>
      </c>
      <c r="V48">
        <f>IF((R48-$AB$774)/($Z$773-$AB$774)&lt;0, 0, IF((R48-$AB$774)/($Z$773-$AB$774)&gt;1, 1, (R48-$AB$774)/($Z$773-$AB$774)))</f>
        <v>0.29607744283846449</v>
      </c>
      <c r="W48" s="6">
        <f t="shared" si="11"/>
        <v>43.410982937121751</v>
      </c>
      <c r="Y48" s="78">
        <v>45047.59375</v>
      </c>
      <c r="Z48">
        <v>6.6645184167713895E-2</v>
      </c>
      <c r="AA48" s="6">
        <v>80.523852189999999</v>
      </c>
      <c r="AB48" s="2">
        <v>14265</v>
      </c>
      <c r="AC48" s="7">
        <f t="shared" si="12"/>
        <v>237.75</v>
      </c>
      <c r="AD48" s="7">
        <f t="shared" si="13"/>
        <v>15.844892535873978</v>
      </c>
      <c r="AE48" s="7">
        <f t="shared" si="14"/>
        <v>146.62036567509179</v>
      </c>
      <c r="AF48" s="7">
        <f t="shared" si="15"/>
        <v>0.14447027135156945</v>
      </c>
      <c r="AG48" s="6">
        <f t="shared" si="16"/>
        <v>21.182284014746852</v>
      </c>
      <c r="AH48" s="2">
        <f t="shared" si="17"/>
        <v>1</v>
      </c>
      <c r="AI48" s="7">
        <f t="shared" si="18"/>
        <v>146.62036567509179</v>
      </c>
      <c r="AK48" s="78">
        <v>45004.041666666664</v>
      </c>
      <c r="AL48" s="79">
        <v>3.6282432046641001E-3</v>
      </c>
      <c r="AM48" s="7">
        <v>46.878741779999999</v>
      </c>
      <c r="AN48" s="2">
        <v>2186</v>
      </c>
      <c r="AO48" s="6">
        <f t="shared" si="19"/>
        <v>36.43333333333333</v>
      </c>
      <c r="AP48" s="5">
        <f t="shared" si="20"/>
        <v>0.13218899408992871</v>
      </c>
      <c r="AQ48" s="6">
        <f t="shared" si="21"/>
        <v>13.788052551806128</v>
      </c>
      <c r="AR48" s="2">
        <f t="shared" si="22"/>
        <v>1</v>
      </c>
      <c r="AS48" s="2">
        <f t="shared" si="23"/>
        <v>13.788052551806128</v>
      </c>
    </row>
    <row r="49" spans="1:45" x14ac:dyDescent="0.3">
      <c r="A49" s="78">
        <v>45004.052083333336</v>
      </c>
      <c r="B49" s="79">
        <v>4.1434315947469899E-3</v>
      </c>
      <c r="C49" s="7">
        <v>42.537916889999998</v>
      </c>
      <c r="D49" s="2">
        <v>1922</v>
      </c>
      <c r="E49" s="6">
        <f t="shared" si="0"/>
        <v>32.033333333333331</v>
      </c>
      <c r="F49" s="6">
        <f t="shared" si="1"/>
        <v>0.13272792541839523</v>
      </c>
      <c r="G49" s="6">
        <f t="shared" si="2"/>
        <v>13.815551753507307</v>
      </c>
      <c r="H49" s="6">
        <f t="shared" si="3"/>
        <v>0.99912265220144547</v>
      </c>
      <c r="I49" s="6">
        <f t="shared" si="4"/>
        <v>13.803430709590552</v>
      </c>
      <c r="J49" s="6">
        <f t="shared" si="5"/>
        <v>6.1557867750123098E-2</v>
      </c>
      <c r="K49" s="5">
        <f t="shared" si="6"/>
        <v>0.85045590773738411</v>
      </c>
      <c r="M49" s="78">
        <v>45031.197916666664</v>
      </c>
      <c r="N49" s="5">
        <v>2.5397278714772899E-2</v>
      </c>
      <c r="O49" s="5">
        <v>59.769842060000002</v>
      </c>
      <c r="P49" s="2">
        <v>35505</v>
      </c>
      <c r="Q49" s="7">
        <f t="shared" si="7"/>
        <v>591.75</v>
      </c>
      <c r="R49" s="6">
        <f t="shared" si="8"/>
        <v>15.028839679466863</v>
      </c>
      <c r="S49" s="6">
        <f t="shared" si="9"/>
        <v>140.02126159956836</v>
      </c>
      <c r="T49" s="2">
        <f t="shared" si="24"/>
        <v>1</v>
      </c>
      <c r="U49" s="6">
        <f t="shared" si="10"/>
        <v>140.02126159956836</v>
      </c>
      <c r="V49">
        <f>IF((R49-$AB$774)/($Z$773-$AB$774)&lt;0, 0, IF((R49-$AB$774)/($Z$773-$AB$774)&gt;1, 1, (R49-$AB$774)/($Z$773-$AB$774)))</f>
        <v>2.481025345705298E-2</v>
      </c>
      <c r="W49" s="6">
        <f t="shared" si="11"/>
        <v>3.4739629896616107</v>
      </c>
      <c r="Y49" s="78">
        <v>45047.604166666664</v>
      </c>
      <c r="Z49">
        <v>6.8058943486363696E-2</v>
      </c>
      <c r="AA49" s="6">
        <v>80.523852189999999</v>
      </c>
      <c r="AB49" s="2">
        <v>14008</v>
      </c>
      <c r="AC49" s="7">
        <f t="shared" si="12"/>
        <v>233.46666666666667</v>
      </c>
      <c r="AD49" s="7">
        <f t="shared" si="13"/>
        <v>15.889494672616378</v>
      </c>
      <c r="AE49" s="7">
        <f t="shared" si="14"/>
        <v>140.02126159956836</v>
      </c>
      <c r="AF49" s="7">
        <f t="shared" si="15"/>
        <v>0.14447027135156945</v>
      </c>
      <c r="AG49" s="6">
        <f t="shared" si="16"/>
        <v>20.228909658278734</v>
      </c>
      <c r="AH49" s="2">
        <f t="shared" si="17"/>
        <v>1</v>
      </c>
      <c r="AI49" s="7">
        <f t="shared" si="18"/>
        <v>140.02126159956836</v>
      </c>
      <c r="AK49" s="78">
        <v>45004.052083333336</v>
      </c>
      <c r="AL49" s="79">
        <v>4.1434315947469899E-3</v>
      </c>
      <c r="AM49" s="7">
        <v>42.537916889999998</v>
      </c>
      <c r="AN49" s="2">
        <v>1922</v>
      </c>
      <c r="AO49" s="6">
        <f t="shared" si="19"/>
        <v>32.033333333333331</v>
      </c>
      <c r="AP49" s="5">
        <f t="shared" si="20"/>
        <v>0.13272792541839523</v>
      </c>
      <c r="AQ49" s="6">
        <f t="shared" si="21"/>
        <v>13.815551753507307</v>
      </c>
      <c r="AR49" s="2">
        <f t="shared" si="22"/>
        <v>0</v>
      </c>
      <c r="AS49" s="2">
        <f t="shared" si="23"/>
        <v>0</v>
      </c>
    </row>
    <row r="50" spans="1:45" x14ac:dyDescent="0.3">
      <c r="A50" s="78">
        <v>45004.0625</v>
      </c>
      <c r="B50" s="79">
        <v>3.79687020275835E-3</v>
      </c>
      <c r="C50" s="7">
        <v>44.745284959999999</v>
      </c>
      <c r="D50" s="2">
        <v>2316</v>
      </c>
      <c r="E50" s="6">
        <f t="shared" si="0"/>
        <v>38.6</v>
      </c>
      <c r="F50" s="6">
        <f t="shared" si="1"/>
        <v>0.14655918982647231</v>
      </c>
      <c r="G50" s="6">
        <f t="shared" si="2"/>
        <v>14.502744168795786</v>
      </c>
      <c r="H50" s="6">
        <f t="shared" si="3"/>
        <v>1</v>
      </c>
      <c r="I50" s="6">
        <f t="shared" si="4"/>
        <v>14.502744168795786</v>
      </c>
      <c r="J50" s="6">
        <f t="shared" si="5"/>
        <v>7.7146718149048485E-2</v>
      </c>
      <c r="K50" s="5">
        <f t="shared" si="6"/>
        <v>1.1188391167778449</v>
      </c>
      <c r="M50" s="78">
        <v>45031.208333333336</v>
      </c>
      <c r="N50" s="5">
        <v>2.7574935431684999E-2</v>
      </c>
      <c r="O50" s="5">
        <v>62.923032710000001</v>
      </c>
      <c r="P50" s="2">
        <v>35448</v>
      </c>
      <c r="Q50" s="7">
        <f t="shared" si="7"/>
        <v>590.79999999999995</v>
      </c>
      <c r="R50" s="6">
        <f t="shared" si="8"/>
        <v>16.291271853039497</v>
      </c>
      <c r="S50" s="6">
        <f t="shared" si="9"/>
        <v>145.66256447595254</v>
      </c>
      <c r="T50" s="2">
        <f t="shared" si="24"/>
        <v>1</v>
      </c>
      <c r="U50" s="6">
        <f t="shared" si="10"/>
        <v>145.66256447595254</v>
      </c>
      <c r="V50">
        <f>IF((R50-$AB$774)/($Z$773-$AB$774)&lt;0, 0, IF((R50-$AB$774)/($Z$773-$AB$774)&gt;1, 1, (R50-$AB$774)/($Z$773-$AB$774)))</f>
        <v>0.25589778167722671</v>
      </c>
      <c r="W50" s="6">
        <f t="shared" si="11"/>
        <v>37.274727122812259</v>
      </c>
      <c r="Y50" s="78">
        <v>45047.614583333336</v>
      </c>
      <c r="Z50">
        <v>6.7658920280888699E-2</v>
      </c>
      <c r="AA50" s="6">
        <v>82.718647970000006</v>
      </c>
      <c r="AB50" s="2">
        <v>14003</v>
      </c>
      <c r="AC50" s="7">
        <f t="shared" si="12"/>
        <v>233.38333333333333</v>
      </c>
      <c r="AD50" s="7">
        <f t="shared" si="13"/>
        <v>15.790464344888074</v>
      </c>
      <c r="AE50" s="7">
        <f t="shared" si="14"/>
        <v>145.66256447595254</v>
      </c>
      <c r="AF50" s="7">
        <f t="shared" si="15"/>
        <v>0.38439504414336823</v>
      </c>
      <c r="AG50" s="6">
        <f t="shared" si="16"/>
        <v>55.991967901769996</v>
      </c>
      <c r="AH50" s="2">
        <f t="shared" si="17"/>
        <v>1</v>
      </c>
      <c r="AI50" s="7">
        <f t="shared" si="18"/>
        <v>145.66256447595254</v>
      </c>
      <c r="AK50" s="78">
        <v>45004.0625</v>
      </c>
      <c r="AL50" s="79">
        <v>3.79687020275835E-3</v>
      </c>
      <c r="AM50" s="7">
        <v>44.745284959999999</v>
      </c>
      <c r="AN50" s="2">
        <v>2316</v>
      </c>
      <c r="AO50" s="6">
        <f t="shared" si="19"/>
        <v>38.6</v>
      </c>
      <c r="AP50" s="5">
        <f t="shared" si="20"/>
        <v>0.14655918982647231</v>
      </c>
      <c r="AQ50" s="6">
        <f t="shared" si="21"/>
        <v>14.502744168795786</v>
      </c>
      <c r="AR50" s="2">
        <f t="shared" si="22"/>
        <v>0</v>
      </c>
      <c r="AS50" s="2">
        <f t="shared" si="23"/>
        <v>0</v>
      </c>
    </row>
    <row r="51" spans="1:45" x14ac:dyDescent="0.3">
      <c r="A51" s="78">
        <v>45004.072916666664</v>
      </c>
      <c r="B51" s="79">
        <v>3.8935570920038899E-3</v>
      </c>
      <c r="C51" s="7">
        <v>44.034259820000003</v>
      </c>
      <c r="D51" s="2">
        <v>2127</v>
      </c>
      <c r="E51" s="6">
        <f t="shared" si="0"/>
        <v>35.450000000000003</v>
      </c>
      <c r="F51" s="6">
        <f t="shared" si="1"/>
        <v>0.1380265989115379</v>
      </c>
      <c r="G51" s="6">
        <f t="shared" si="2"/>
        <v>14.082941309075711</v>
      </c>
      <c r="H51" s="6">
        <f t="shared" si="3"/>
        <v>1</v>
      </c>
      <c r="I51" s="6">
        <f t="shared" si="4"/>
        <v>14.082941309075711</v>
      </c>
      <c r="J51" s="6">
        <f t="shared" si="5"/>
        <v>6.7529861774698052E-2</v>
      </c>
      <c r="K51" s="5">
        <f t="shared" si="6"/>
        <v>0.95101907998306801</v>
      </c>
      <c r="M51" s="78">
        <v>45031.21875</v>
      </c>
      <c r="N51" s="5">
        <v>2.89778288974352E-2</v>
      </c>
      <c r="O51" s="5">
        <v>62.923032710000001</v>
      </c>
      <c r="P51" s="2">
        <v>35323</v>
      </c>
      <c r="Q51" s="7">
        <f t="shared" si="7"/>
        <v>588.7166666666667</v>
      </c>
      <c r="R51" s="6">
        <f t="shared" si="8"/>
        <v>17.05973083573506</v>
      </c>
      <c r="S51" s="6">
        <f t="shared" si="9"/>
        <v>148.98768314208178</v>
      </c>
      <c r="T51" s="2">
        <f t="shared" si="24"/>
        <v>1</v>
      </c>
      <c r="U51" s="6">
        <f t="shared" si="10"/>
        <v>148.98768314208178</v>
      </c>
      <c r="V51">
        <f>IF((R51-$AB$774)/($Z$773-$AB$774)&lt;0, 0, IF((R51-$AB$774)/($Z$773-$AB$774)&gt;1, 1, (R51-$AB$774)/($Z$773-$AB$774)))</f>
        <v>0.39656378383333368</v>
      </c>
      <c r="W51" s="6">
        <f t="shared" si="11"/>
        <v>59.083119371385735</v>
      </c>
      <c r="Y51" s="78">
        <v>45047.625</v>
      </c>
      <c r="Z51">
        <v>6.4310912918414995E-2</v>
      </c>
      <c r="AA51" s="6">
        <v>81.405228940000001</v>
      </c>
      <c r="AB51" s="2">
        <v>13736</v>
      </c>
      <c r="AC51" s="7">
        <f t="shared" si="12"/>
        <v>228.93333333333334</v>
      </c>
      <c r="AD51" s="7">
        <f t="shared" si="13"/>
        <v>14.722911664122472</v>
      </c>
      <c r="AE51" s="7">
        <f t="shared" si="14"/>
        <v>148.98768314208178</v>
      </c>
      <c r="AF51" s="7">
        <f t="shared" si="15"/>
        <v>0.24081824067731861</v>
      </c>
      <c r="AG51" s="6">
        <f t="shared" si="16"/>
        <v>35.878951736865936</v>
      </c>
      <c r="AH51" s="2">
        <f t="shared" si="17"/>
        <v>1</v>
      </c>
      <c r="AI51" s="7">
        <f t="shared" si="18"/>
        <v>148.98768314208178</v>
      </c>
      <c r="AK51" s="78">
        <v>45004.072916666664</v>
      </c>
      <c r="AL51" s="79">
        <v>3.8935570920038899E-3</v>
      </c>
      <c r="AM51" s="7">
        <v>44.034259820000003</v>
      </c>
      <c r="AN51" s="2">
        <v>2127</v>
      </c>
      <c r="AO51" s="6">
        <f t="shared" si="19"/>
        <v>35.450000000000003</v>
      </c>
      <c r="AP51" s="5">
        <f t="shared" si="20"/>
        <v>0.1380265989115379</v>
      </c>
      <c r="AQ51" s="6">
        <f t="shared" si="21"/>
        <v>14.082941309075711</v>
      </c>
      <c r="AR51" s="2">
        <f t="shared" si="22"/>
        <v>0</v>
      </c>
      <c r="AS51" s="2">
        <f t="shared" si="23"/>
        <v>0</v>
      </c>
    </row>
    <row r="52" spans="1:45" x14ac:dyDescent="0.3">
      <c r="A52" s="78">
        <v>45004.083333333336</v>
      </c>
      <c r="B52" s="79">
        <v>3.3008883142392601E-3</v>
      </c>
      <c r="C52" s="7">
        <v>44.034259820000003</v>
      </c>
      <c r="D52" s="2">
        <v>2157</v>
      </c>
      <c r="E52" s="6">
        <f t="shared" si="0"/>
        <v>35.950000000000003</v>
      </c>
      <c r="F52" s="6">
        <f t="shared" si="1"/>
        <v>0.11866693489690142</v>
      </c>
      <c r="G52" s="6">
        <f t="shared" si="2"/>
        <v>13.078347088076146</v>
      </c>
      <c r="H52" s="6">
        <f t="shared" si="3"/>
        <v>1</v>
      </c>
      <c r="I52" s="6">
        <f t="shared" si="4"/>
        <v>13.078347088076146</v>
      </c>
      <c r="J52" s="6">
        <f t="shared" si="5"/>
        <v>4.5710099156221352E-2</v>
      </c>
      <c r="K52" s="5">
        <f t="shared" si="6"/>
        <v>0.59781254219543944</v>
      </c>
      <c r="M52" s="78">
        <v>45031.229166666664</v>
      </c>
      <c r="N52" s="5">
        <v>2.8071159582785301E-2</v>
      </c>
      <c r="O52" s="5">
        <v>57.814717760000001</v>
      </c>
      <c r="P52" s="2">
        <v>35424</v>
      </c>
      <c r="Q52" s="7">
        <f t="shared" si="7"/>
        <v>590.4</v>
      </c>
      <c r="R52" s="6">
        <f t="shared" si="8"/>
        <v>16.57321261767644</v>
      </c>
      <c r="S52" s="6">
        <f t="shared" si="9"/>
        <v>146.89163154951436</v>
      </c>
      <c r="T52" s="2">
        <f t="shared" si="24"/>
        <v>1</v>
      </c>
      <c r="U52" s="6">
        <f t="shared" si="10"/>
        <v>146.89163154951436</v>
      </c>
      <c r="V52">
        <f>IF((R52-$AB$774)/($Z$773-$AB$774)&lt;0, 0, IF((R52-$AB$774)/($Z$773-$AB$774)&gt;1, 1, (R52-$AB$774)/($Z$773-$AB$774)))</f>
        <v>0.30750688652131225</v>
      </c>
      <c r="W52" s="6">
        <f t="shared" si="11"/>
        <v>45.170188273826923</v>
      </c>
      <c r="Y52" s="78">
        <v>45047.635416666664</v>
      </c>
      <c r="Z52">
        <v>6.8229137082090302E-2</v>
      </c>
      <c r="AA52" s="6">
        <v>84.027783200000002</v>
      </c>
      <c r="AB52" s="2">
        <v>13570</v>
      </c>
      <c r="AC52" s="7">
        <f t="shared" si="12"/>
        <v>226.16666666666666</v>
      </c>
      <c r="AD52" s="7">
        <f t="shared" si="13"/>
        <v>15.431156503399423</v>
      </c>
      <c r="AE52" s="7">
        <f t="shared" si="14"/>
        <v>146.89163154951436</v>
      </c>
      <c r="AF52" s="7">
        <f t="shared" si="15"/>
        <v>0.52750356270061061</v>
      </c>
      <c r="AG52" s="6">
        <f t="shared" si="16"/>
        <v>77.485858973274233</v>
      </c>
      <c r="AH52" s="2">
        <f t="shared" si="17"/>
        <v>1</v>
      </c>
      <c r="AI52" s="7">
        <f t="shared" si="18"/>
        <v>146.89163154951436</v>
      </c>
      <c r="AK52" s="78">
        <v>45004.083333333336</v>
      </c>
      <c r="AL52" s="79">
        <v>3.3008883142392601E-3</v>
      </c>
      <c r="AM52" s="7">
        <v>44.034259820000003</v>
      </c>
      <c r="AN52" s="2">
        <v>2157</v>
      </c>
      <c r="AO52" s="6">
        <f t="shared" si="19"/>
        <v>35.950000000000003</v>
      </c>
      <c r="AP52" s="5">
        <f t="shared" si="20"/>
        <v>0.11866693489690142</v>
      </c>
      <c r="AQ52" s="6">
        <f t="shared" si="21"/>
        <v>13.078347088076146</v>
      </c>
      <c r="AR52" s="2">
        <f t="shared" si="22"/>
        <v>0</v>
      </c>
      <c r="AS52" s="2">
        <f t="shared" si="23"/>
        <v>0</v>
      </c>
    </row>
    <row r="53" spans="1:45" x14ac:dyDescent="0.3">
      <c r="A53" s="78">
        <v>45004.09375</v>
      </c>
      <c r="B53" s="79">
        <v>3.5605590038507002E-3</v>
      </c>
      <c r="C53" s="7">
        <v>46.174310370000001</v>
      </c>
      <c r="D53" s="2">
        <v>2180</v>
      </c>
      <c r="E53" s="6">
        <f t="shared" si="0"/>
        <v>36.333333333333336</v>
      </c>
      <c r="F53" s="6">
        <f t="shared" si="1"/>
        <v>0.12936697713990877</v>
      </c>
      <c r="G53" s="6">
        <f t="shared" si="2"/>
        <v>13.643114579801695</v>
      </c>
      <c r="H53" s="6">
        <f t="shared" si="3"/>
        <v>1</v>
      </c>
      <c r="I53" s="6">
        <f t="shared" si="4"/>
        <v>13.643114579801695</v>
      </c>
      <c r="J53" s="6">
        <f t="shared" si="5"/>
        <v>5.7769832298985677E-2</v>
      </c>
      <c r="K53" s="5">
        <f t="shared" si="6"/>
        <v>0.78816044131099039</v>
      </c>
      <c r="M53" s="78">
        <v>45031.239583333336</v>
      </c>
      <c r="N53" s="5">
        <v>3.0234851204922399E-2</v>
      </c>
      <c r="O53" s="5">
        <v>59.769842060000002</v>
      </c>
      <c r="P53" s="2">
        <v>35410</v>
      </c>
      <c r="Q53" s="7">
        <f t="shared" si="7"/>
        <v>590.16666666666663</v>
      </c>
      <c r="R53" s="6">
        <f t="shared" si="8"/>
        <v>17.843601352771699</v>
      </c>
      <c r="S53" s="6">
        <f t="shared" si="9"/>
        <v>152.30163962757581</v>
      </c>
      <c r="T53" s="2">
        <f t="shared" si="24"/>
        <v>1</v>
      </c>
      <c r="U53" s="6">
        <f t="shared" si="10"/>
        <v>152.30163962757581</v>
      </c>
      <c r="V53">
        <f>IF((R53-$AB$774)/($Z$773-$AB$774)&lt;0, 0, IF((R53-$AB$774)/($Z$773-$AB$774)&gt;1, 1, (R53-$AB$774)/($Z$773-$AB$774)))</f>
        <v>0.54005085903519567</v>
      </c>
      <c r="W53" s="6">
        <f t="shared" si="11"/>
        <v>82.250631313341117</v>
      </c>
      <c r="Y53" s="78">
        <v>45047.645833333336</v>
      </c>
      <c r="Z53">
        <v>6.9488697753175802E-2</v>
      </c>
      <c r="AA53" s="6">
        <v>82.718647970000006</v>
      </c>
      <c r="AB53" s="2">
        <v>13705</v>
      </c>
      <c r="AC53" s="7">
        <f t="shared" si="12"/>
        <v>228.41666666666666</v>
      </c>
      <c r="AD53" s="7">
        <f t="shared" si="13"/>
        <v>15.872376711787906</v>
      </c>
      <c r="AE53" s="7">
        <f t="shared" si="14"/>
        <v>152.30163962757581</v>
      </c>
      <c r="AF53" s="7">
        <f t="shared" si="15"/>
        <v>0.38439504414336823</v>
      </c>
      <c r="AG53" s="6">
        <f t="shared" si="16"/>
        <v>58.543995487749363</v>
      </c>
      <c r="AH53" s="2">
        <f t="shared" si="17"/>
        <v>1</v>
      </c>
      <c r="AI53" s="7">
        <f t="shared" si="18"/>
        <v>152.30163962757581</v>
      </c>
      <c r="AK53" s="78">
        <v>45004.09375</v>
      </c>
      <c r="AL53" s="79">
        <v>3.5605590038507002E-3</v>
      </c>
      <c r="AM53" s="7">
        <v>46.174310370000001</v>
      </c>
      <c r="AN53" s="2">
        <v>2180</v>
      </c>
      <c r="AO53" s="6">
        <f t="shared" si="19"/>
        <v>36.333333333333336</v>
      </c>
      <c r="AP53" s="5">
        <f t="shared" si="20"/>
        <v>0.12936697713990877</v>
      </c>
      <c r="AQ53" s="6">
        <f t="shared" si="21"/>
        <v>13.643114579801695</v>
      </c>
      <c r="AR53" s="2">
        <f t="shared" si="22"/>
        <v>1</v>
      </c>
      <c r="AS53" s="2">
        <f t="shared" si="23"/>
        <v>13.643114579801695</v>
      </c>
    </row>
    <row r="54" spans="1:45" x14ac:dyDescent="0.3">
      <c r="A54" s="78">
        <v>45004.104166666664</v>
      </c>
      <c r="B54" s="79">
        <v>3.8567231690990402E-3</v>
      </c>
      <c r="C54" s="7">
        <v>46.174310370000001</v>
      </c>
      <c r="D54" s="2">
        <v>2347</v>
      </c>
      <c r="E54" s="6">
        <f t="shared" si="0"/>
        <v>39.116666666666667</v>
      </c>
      <c r="F54" s="6">
        <f t="shared" si="1"/>
        <v>0.15086215463125746</v>
      </c>
      <c r="G54" s="6">
        <f t="shared" si="2"/>
        <v>14.709718732412691</v>
      </c>
      <c r="H54" s="6">
        <f t="shared" si="3"/>
        <v>1</v>
      </c>
      <c r="I54" s="6">
        <f t="shared" si="4"/>
        <v>14.709718732412691</v>
      </c>
      <c r="J54" s="6">
        <f t="shared" si="5"/>
        <v>8.1996475382701328E-2</v>
      </c>
      <c r="K54" s="5">
        <f t="shared" si="6"/>
        <v>1.2061450899287378</v>
      </c>
      <c r="M54" s="78">
        <v>45031.25</v>
      </c>
      <c r="N54" s="5">
        <v>3.2730494057517302E-2</v>
      </c>
      <c r="O54" s="5">
        <v>58.466044660000001</v>
      </c>
      <c r="P54" s="2">
        <v>35145</v>
      </c>
      <c r="Q54" s="7">
        <f t="shared" si="7"/>
        <v>585.75</v>
      </c>
      <c r="R54" s="6">
        <f t="shared" si="8"/>
        <v>19.171886894190759</v>
      </c>
      <c r="S54" s="6">
        <f t="shared" si="9"/>
        <v>157.75189093712638</v>
      </c>
      <c r="T54" s="2">
        <f t="shared" si="24"/>
        <v>1</v>
      </c>
      <c r="U54" s="6">
        <f t="shared" si="10"/>
        <v>157.75189093712638</v>
      </c>
      <c r="V54">
        <f>IF((R54-$AB$774)/($Z$773-$AB$774)&lt;0, 0, IF((R54-$AB$774)/($Z$773-$AB$774)&gt;1, 1, (R54-$AB$774)/($Z$773-$AB$774)))</f>
        <v>0.78319281070810698</v>
      </c>
      <c r="W54" s="6">
        <f t="shared" si="11"/>
        <v>123.55014685756676</v>
      </c>
      <c r="Y54" s="78">
        <v>45047.65625</v>
      </c>
      <c r="Z54">
        <v>6.8925837892379604E-2</v>
      </c>
      <c r="AA54" s="6">
        <v>87.494480339999996</v>
      </c>
      <c r="AB54" s="2">
        <v>13089</v>
      </c>
      <c r="AC54" s="7">
        <f t="shared" si="12"/>
        <v>218.15</v>
      </c>
      <c r="AD54" s="7">
        <f t="shared" si="13"/>
        <v>15.036171536222611</v>
      </c>
      <c r="AE54" s="7">
        <f t="shared" si="14"/>
        <v>157.75189093712638</v>
      </c>
      <c r="AF54" s="7">
        <f t="shared" si="15"/>
        <v>0.90646662214866303</v>
      </c>
      <c r="AG54" s="6">
        <f t="shared" si="16"/>
        <v>142.99682371534124</v>
      </c>
      <c r="AH54" s="2">
        <f t="shared" si="17"/>
        <v>1</v>
      </c>
      <c r="AI54" s="7">
        <f t="shared" si="18"/>
        <v>157.75189093712638</v>
      </c>
      <c r="AK54" s="78">
        <v>45004.104166666664</v>
      </c>
      <c r="AL54" s="79">
        <v>3.8567231690990402E-3</v>
      </c>
      <c r="AM54" s="7">
        <v>46.174310370000001</v>
      </c>
      <c r="AN54" s="2">
        <v>2347</v>
      </c>
      <c r="AO54" s="6">
        <f t="shared" si="19"/>
        <v>39.116666666666667</v>
      </c>
      <c r="AP54" s="5">
        <f t="shared" si="20"/>
        <v>0.15086215463125746</v>
      </c>
      <c r="AQ54" s="6">
        <f t="shared" si="21"/>
        <v>14.709718732412691</v>
      </c>
      <c r="AR54" s="2">
        <f t="shared" si="22"/>
        <v>1</v>
      </c>
      <c r="AS54" s="2">
        <f t="shared" si="23"/>
        <v>14.709718732412691</v>
      </c>
    </row>
    <row r="55" spans="1:45" x14ac:dyDescent="0.3">
      <c r="A55" s="78">
        <v>45004.114583333336</v>
      </c>
      <c r="B55" s="79">
        <v>3.68535109260551E-3</v>
      </c>
      <c r="C55" s="7">
        <v>46.890862630000001</v>
      </c>
      <c r="D55" s="2">
        <v>2025</v>
      </c>
      <c r="E55" s="6">
        <f t="shared" si="0"/>
        <v>33.75</v>
      </c>
      <c r="F55" s="6">
        <f t="shared" si="1"/>
        <v>0.12438059937543597</v>
      </c>
      <c r="G55" s="6">
        <f t="shared" si="2"/>
        <v>13.383014949528821</v>
      </c>
      <c r="H55" s="6">
        <f t="shared" si="3"/>
        <v>1</v>
      </c>
      <c r="I55" s="6">
        <f t="shared" si="4"/>
        <v>13.383014949528821</v>
      </c>
      <c r="J55" s="6">
        <f t="shared" si="5"/>
        <v>5.214981848755848E-2</v>
      </c>
      <c r="K55" s="5">
        <f t="shared" si="6"/>
        <v>0.69792180043420959</v>
      </c>
      <c r="M55" s="78">
        <v>45031.260416666664</v>
      </c>
      <c r="N55" s="5">
        <v>2.87752462959882E-2</v>
      </c>
      <c r="O55" s="5">
        <v>59.769842060000002</v>
      </c>
      <c r="P55" s="2">
        <v>34812</v>
      </c>
      <c r="Q55" s="7">
        <f t="shared" si="7"/>
        <v>580.20000000000005</v>
      </c>
      <c r="R55" s="6">
        <f t="shared" si="8"/>
        <v>16.695397900932356</v>
      </c>
      <c r="S55" s="6">
        <f t="shared" si="9"/>
        <v>147.42095930571878</v>
      </c>
      <c r="T55" s="2">
        <f t="shared" si="24"/>
        <v>1</v>
      </c>
      <c r="U55" s="6">
        <f t="shared" si="10"/>
        <v>147.42095930571878</v>
      </c>
      <c r="V55">
        <f>IF((R55-$AB$774)/($Z$773-$AB$774)&lt;0, 0, IF((R55-$AB$774)/($Z$773-$AB$774)&gt;1, 1, (R55-$AB$774)/($Z$773-$AB$774)))</f>
        <v>0.329872836695559</v>
      </c>
      <c r="W55" s="6">
        <f t="shared" si="11"/>
        <v>48.63017003455802</v>
      </c>
      <c r="Y55" s="78">
        <v>45047.708333333336</v>
      </c>
      <c r="Z55">
        <v>6.8403121913964401E-2</v>
      </c>
      <c r="AA55" s="6">
        <v>85.323607859999996</v>
      </c>
      <c r="AB55" s="2">
        <v>12687</v>
      </c>
      <c r="AC55" s="7">
        <f t="shared" si="12"/>
        <v>211.45</v>
      </c>
      <c r="AD55" s="7">
        <f t="shared" si="13"/>
        <v>14.463840128707773</v>
      </c>
      <c r="AE55" s="7">
        <f t="shared" si="14"/>
        <v>147.42095930571878</v>
      </c>
      <c r="AF55" s="7">
        <f t="shared" si="15"/>
        <v>0.66915703222227485</v>
      </c>
      <c r="AG55" s="6">
        <f t="shared" si="16"/>
        <v>98.647771616375536</v>
      </c>
      <c r="AH55" s="2">
        <f t="shared" si="17"/>
        <v>1</v>
      </c>
      <c r="AI55" s="7">
        <f t="shared" si="18"/>
        <v>147.42095930571878</v>
      </c>
      <c r="AK55" s="78">
        <v>45004.114583333336</v>
      </c>
      <c r="AL55" s="79">
        <v>3.68535109260551E-3</v>
      </c>
      <c r="AM55" s="7">
        <v>46.890862630000001</v>
      </c>
      <c r="AN55" s="2">
        <v>2025</v>
      </c>
      <c r="AO55" s="6">
        <f t="shared" si="19"/>
        <v>33.75</v>
      </c>
      <c r="AP55" s="5">
        <f t="shared" si="20"/>
        <v>0.12438059937543597</v>
      </c>
      <c r="AQ55" s="6">
        <f t="shared" si="21"/>
        <v>13.383014949528821</v>
      </c>
      <c r="AR55" s="2">
        <f t="shared" si="22"/>
        <v>1</v>
      </c>
      <c r="AS55" s="2">
        <f t="shared" si="23"/>
        <v>13.383014949528821</v>
      </c>
    </row>
    <row r="56" spans="1:45" x14ac:dyDescent="0.3">
      <c r="A56" s="78">
        <v>45004.125</v>
      </c>
      <c r="B56" s="79">
        <v>3.22615905059797E-3</v>
      </c>
      <c r="C56" s="7">
        <v>41.056841919999997</v>
      </c>
      <c r="D56" s="2">
        <v>1880</v>
      </c>
      <c r="E56" s="6">
        <f t="shared" si="0"/>
        <v>31.333333333333332</v>
      </c>
      <c r="F56" s="6">
        <f t="shared" si="1"/>
        <v>0.10108631691873639</v>
      </c>
      <c r="G56" s="6">
        <f t="shared" si="2"/>
        <v>12.090700069879725</v>
      </c>
      <c r="H56" s="6">
        <f t="shared" si="3"/>
        <v>0.89904849757738536</v>
      </c>
      <c r="I56" s="6">
        <f t="shared" si="4"/>
        <v>10.870125732484155</v>
      </c>
      <c r="J56" s="6">
        <f t="shared" si="5"/>
        <v>2.5895452028065206E-2</v>
      </c>
      <c r="K56" s="5">
        <f t="shared" si="6"/>
        <v>0.31309414364529503</v>
      </c>
      <c r="M56" s="78">
        <v>45031.270833333336</v>
      </c>
      <c r="N56" s="5">
        <v>2.6070655159954499E-2</v>
      </c>
      <c r="O56" s="5">
        <v>56.488631689999998</v>
      </c>
      <c r="P56" s="2">
        <v>35424</v>
      </c>
      <c r="Q56" s="7">
        <f t="shared" si="7"/>
        <v>590.4</v>
      </c>
      <c r="R56" s="6">
        <f t="shared" si="8"/>
        <v>15.392114806437135</v>
      </c>
      <c r="S56" s="6">
        <f t="shared" si="9"/>
        <v>141.66858862710845</v>
      </c>
      <c r="T56" s="2">
        <f t="shared" si="24"/>
        <v>1</v>
      </c>
      <c r="U56" s="6">
        <f t="shared" si="10"/>
        <v>141.66858862710845</v>
      </c>
      <c r="V56">
        <f>IF((R56-$AB$774)/($Z$773-$AB$774)&lt;0, 0, IF((R56-$AB$774)/($Z$773-$AB$774)&gt;1, 1, (R56-$AB$774)/($Z$773-$AB$774)))</f>
        <v>9.1307569441847175E-2</v>
      </c>
      <c r="W56" s="6">
        <f t="shared" si="11"/>
        <v>12.935414493798186</v>
      </c>
      <c r="Y56" s="78">
        <v>45047.71875</v>
      </c>
      <c r="Z56">
        <v>7.07962066888186E-2</v>
      </c>
      <c r="AA56" s="6">
        <v>84.020316870000002</v>
      </c>
      <c r="AB56" s="2">
        <v>12600</v>
      </c>
      <c r="AC56" s="7">
        <f t="shared" si="12"/>
        <v>210</v>
      </c>
      <c r="AD56" s="7">
        <f t="shared" si="13"/>
        <v>14.867203404651907</v>
      </c>
      <c r="AE56" s="7">
        <f t="shared" si="14"/>
        <v>141.66858862710845</v>
      </c>
      <c r="AF56" s="7">
        <f t="shared" si="15"/>
        <v>0.52668737855028447</v>
      </c>
      <c r="AG56" s="6">
        <f t="shared" si="16"/>
        <v>74.615057566930389</v>
      </c>
      <c r="AH56" s="2">
        <f t="shared" si="17"/>
        <v>1</v>
      </c>
      <c r="AI56" s="7">
        <f t="shared" si="18"/>
        <v>141.66858862710845</v>
      </c>
      <c r="AK56" s="78">
        <v>45004.125</v>
      </c>
      <c r="AL56" s="79">
        <v>3.22615905059797E-3</v>
      </c>
      <c r="AM56" s="7">
        <v>41.056841919999997</v>
      </c>
      <c r="AN56" s="2">
        <v>1880</v>
      </c>
      <c r="AO56" s="6">
        <f t="shared" si="19"/>
        <v>31.333333333333332</v>
      </c>
      <c r="AP56" s="5">
        <f t="shared" si="20"/>
        <v>0.10108631691873639</v>
      </c>
      <c r="AQ56" s="6">
        <f t="shared" si="21"/>
        <v>12.090700069879725</v>
      </c>
      <c r="AR56" s="2">
        <f t="shared" si="22"/>
        <v>0</v>
      </c>
      <c r="AS56" s="2">
        <f t="shared" si="23"/>
        <v>0</v>
      </c>
    </row>
    <row r="57" spans="1:45" x14ac:dyDescent="0.3">
      <c r="A57" s="78">
        <v>45004.135416666664</v>
      </c>
      <c r="B57" s="79">
        <v>3.3495138727860502E-3</v>
      </c>
      <c r="C57" s="7">
        <v>48.30225712</v>
      </c>
      <c r="D57" s="2">
        <v>2428</v>
      </c>
      <c r="E57" s="6">
        <f t="shared" si="0"/>
        <v>40.466666666666669</v>
      </c>
      <c r="F57" s="6">
        <f t="shared" si="1"/>
        <v>0.13554366138540883</v>
      </c>
      <c r="G57" s="6">
        <f t="shared" si="2"/>
        <v>13.958308196863848</v>
      </c>
      <c r="H57" s="6">
        <f t="shared" si="3"/>
        <v>1</v>
      </c>
      <c r="I57" s="6">
        <f t="shared" si="4"/>
        <v>13.958308196863848</v>
      </c>
      <c r="J57" s="6">
        <f t="shared" si="5"/>
        <v>6.4731408899912371E-2</v>
      </c>
      <c r="K57" s="5">
        <f t="shared" si="6"/>
        <v>0.90354095544219237</v>
      </c>
      <c r="M57" s="78">
        <v>45031.28125</v>
      </c>
      <c r="N57" s="5">
        <v>2.5251250640371401E-2</v>
      </c>
      <c r="O57" s="5">
        <v>51.069020549999998</v>
      </c>
      <c r="P57" s="2">
        <v>36237</v>
      </c>
      <c r="Q57" s="7">
        <f t="shared" si="7"/>
        <v>603.95000000000005</v>
      </c>
      <c r="R57" s="6">
        <f t="shared" si="8"/>
        <v>15.250492824252309</v>
      </c>
      <c r="S57" s="6">
        <f t="shared" si="9"/>
        <v>141.0287666570654</v>
      </c>
      <c r="T57" s="2">
        <f t="shared" si="24"/>
        <v>1</v>
      </c>
      <c r="U57" s="6">
        <f t="shared" si="10"/>
        <v>141.0287666570654</v>
      </c>
      <c r="V57">
        <f>IF((R57-$AB$774)/($Z$773-$AB$774)&lt;0, 0, IF((R57-$AB$774)/($Z$773-$AB$774)&gt;1, 1, (R57-$AB$774)/($Z$773-$AB$774)))</f>
        <v>6.5383742015842419E-2</v>
      </c>
      <c r="W57" s="6">
        <f t="shared" si="11"/>
        <v>9.2209884959180037</v>
      </c>
      <c r="Y57" s="78">
        <v>45047.729166666664</v>
      </c>
      <c r="Z57">
        <v>6.8374891970531995E-2</v>
      </c>
      <c r="AA57" s="6">
        <v>85.323607859999996</v>
      </c>
      <c r="AB57" s="2">
        <v>12435</v>
      </c>
      <c r="AC57" s="7">
        <f t="shared" si="12"/>
        <v>207.25</v>
      </c>
      <c r="AD57" s="7">
        <f t="shared" si="13"/>
        <v>14.170696360892755</v>
      </c>
      <c r="AE57" s="7">
        <f t="shared" si="14"/>
        <v>141.0287666570654</v>
      </c>
      <c r="AF57" s="7">
        <f t="shared" si="15"/>
        <v>0.66915703222227485</v>
      </c>
      <c r="AG57" s="6">
        <f t="shared" si="16"/>
        <v>94.370390954209597</v>
      </c>
      <c r="AH57" s="2">
        <f t="shared" si="17"/>
        <v>1</v>
      </c>
      <c r="AI57" s="7">
        <f t="shared" si="18"/>
        <v>141.0287666570654</v>
      </c>
      <c r="AK57" s="78">
        <v>45004.135416666664</v>
      </c>
      <c r="AL57" s="79">
        <v>3.3495138727860502E-3</v>
      </c>
      <c r="AM57" s="7">
        <v>48.30225712</v>
      </c>
      <c r="AN57" s="2">
        <v>2428</v>
      </c>
      <c r="AO57" s="6">
        <f t="shared" si="19"/>
        <v>40.466666666666669</v>
      </c>
      <c r="AP57" s="5">
        <f t="shared" si="20"/>
        <v>0.13554366138540883</v>
      </c>
      <c r="AQ57" s="6">
        <f t="shared" si="21"/>
        <v>13.958308196863848</v>
      </c>
      <c r="AR57" s="2">
        <f t="shared" si="22"/>
        <v>1</v>
      </c>
      <c r="AS57" s="2">
        <f t="shared" si="23"/>
        <v>13.958308196863848</v>
      </c>
    </row>
    <row r="58" spans="1:45" x14ac:dyDescent="0.3">
      <c r="A58" s="78">
        <v>45004.145833333336</v>
      </c>
      <c r="B58" s="79">
        <v>3.2904183189938099E-3</v>
      </c>
      <c r="C58" s="7">
        <v>46.186478979999997</v>
      </c>
      <c r="D58" s="2">
        <v>2058</v>
      </c>
      <c r="E58" s="6">
        <f t="shared" si="0"/>
        <v>34.299999999999997</v>
      </c>
      <c r="F58" s="6">
        <f t="shared" si="1"/>
        <v>0.11286134834148767</v>
      </c>
      <c r="G58" s="6">
        <f t="shared" si="2"/>
        <v>12.761008383678195</v>
      </c>
      <c r="H58" s="6">
        <f t="shared" si="3"/>
        <v>1</v>
      </c>
      <c r="I58" s="6">
        <f t="shared" si="4"/>
        <v>12.761008383678195</v>
      </c>
      <c r="J58" s="6">
        <f t="shared" si="5"/>
        <v>3.9166776895856889E-2</v>
      </c>
      <c r="K58" s="5">
        <f t="shared" si="6"/>
        <v>0.49980756832968321</v>
      </c>
      <c r="M58" s="78">
        <v>45031.291666666664</v>
      </c>
      <c r="N58" s="5">
        <v>2.7745849738331999E-2</v>
      </c>
      <c r="O58" s="5">
        <v>52.445143710000004</v>
      </c>
      <c r="P58" s="2">
        <v>35951</v>
      </c>
      <c r="Q58" s="7">
        <f t="shared" si="7"/>
        <v>599.18333333333328</v>
      </c>
      <c r="R58" s="6">
        <f t="shared" si="8"/>
        <v>16.62485073237956</v>
      </c>
      <c r="S58" s="6">
        <f t="shared" si="9"/>
        <v>147.11557892664581</v>
      </c>
      <c r="T58" s="2">
        <f t="shared" si="24"/>
        <v>1</v>
      </c>
      <c r="U58" s="6">
        <f t="shared" si="10"/>
        <v>147.11557892664581</v>
      </c>
      <c r="V58">
        <f>IF((R58-$AB$774)/($Z$773-$AB$774)&lt;0, 0, IF((R58-$AB$774)/($Z$773-$AB$774)&gt;1, 1, (R58-$AB$774)/($Z$773-$AB$774)))</f>
        <v>0.31695921555608664</v>
      </c>
      <c r="W58" s="6">
        <f t="shared" si="11"/>
        <v>46.629638492669208</v>
      </c>
      <c r="Y58" s="78">
        <v>45047.739583333336</v>
      </c>
      <c r="Z58">
        <v>6.8240443945303403E-2</v>
      </c>
      <c r="AA58" s="6">
        <v>85.323607859999996</v>
      </c>
      <c r="AB58" s="2">
        <v>12754</v>
      </c>
      <c r="AC58" s="7">
        <f t="shared" si="12"/>
        <v>212.56666666666666</v>
      </c>
      <c r="AD58" s="7">
        <f t="shared" si="13"/>
        <v>14.50564370130666</v>
      </c>
      <c r="AE58" s="7">
        <f t="shared" si="14"/>
        <v>147.11557892664581</v>
      </c>
      <c r="AF58" s="7">
        <f t="shared" si="15"/>
        <v>0.66915703222227485</v>
      </c>
      <c r="AG58" s="6">
        <f t="shared" si="16"/>
        <v>98.443424188216156</v>
      </c>
      <c r="AH58" s="2">
        <f t="shared" si="17"/>
        <v>1</v>
      </c>
      <c r="AI58" s="7">
        <f t="shared" si="18"/>
        <v>147.11557892664581</v>
      </c>
      <c r="AK58" s="78">
        <v>45004.145833333336</v>
      </c>
      <c r="AL58" s="79">
        <v>3.2904183189938099E-3</v>
      </c>
      <c r="AM58" s="7">
        <v>46.186478979999997</v>
      </c>
      <c r="AN58" s="2">
        <v>2058</v>
      </c>
      <c r="AO58" s="6">
        <f t="shared" si="19"/>
        <v>34.299999999999997</v>
      </c>
      <c r="AP58" s="5">
        <f t="shared" si="20"/>
        <v>0.11286134834148767</v>
      </c>
      <c r="AQ58" s="6">
        <f t="shared" si="21"/>
        <v>12.761008383678195</v>
      </c>
      <c r="AR58" s="2">
        <f t="shared" si="22"/>
        <v>1</v>
      </c>
      <c r="AS58" s="2">
        <f t="shared" si="23"/>
        <v>12.761008383678195</v>
      </c>
    </row>
    <row r="59" spans="1:45" x14ac:dyDescent="0.3">
      <c r="A59" s="78">
        <v>45004.15625</v>
      </c>
      <c r="B59" s="79">
        <v>3.3565038544372998E-3</v>
      </c>
      <c r="C59" s="7">
        <v>46.186478979999997</v>
      </c>
      <c r="D59" s="2">
        <v>2204</v>
      </c>
      <c r="E59" s="6">
        <f t="shared" si="0"/>
        <v>36.733333333333334</v>
      </c>
      <c r="F59" s="6">
        <f t="shared" si="1"/>
        <v>0.12329557491966349</v>
      </c>
      <c r="G59" s="6">
        <f t="shared" si="2"/>
        <v>13.32571677602372</v>
      </c>
      <c r="H59" s="6">
        <f t="shared" si="3"/>
        <v>1</v>
      </c>
      <c r="I59" s="6">
        <f t="shared" si="4"/>
        <v>13.32571677602372</v>
      </c>
      <c r="J59" s="6">
        <f t="shared" si="5"/>
        <v>5.0926916269715322E-2</v>
      </c>
      <c r="K59" s="5">
        <f t="shared" si="6"/>
        <v>0.67863766248650081</v>
      </c>
      <c r="M59" s="78">
        <v>45031.302083333336</v>
      </c>
      <c r="N59" s="5">
        <v>2.7056534715442799E-2</v>
      </c>
      <c r="O59" s="5">
        <v>53.134964160000003</v>
      </c>
      <c r="P59" s="2">
        <v>35747</v>
      </c>
      <c r="Q59" s="7">
        <f t="shared" si="7"/>
        <v>595.7833333333333</v>
      </c>
      <c r="R59" s="6">
        <f t="shared" si="8"/>
        <v>16.119832441215561</v>
      </c>
      <c r="S59" s="6">
        <f t="shared" si="9"/>
        <v>144.90989470893146</v>
      </c>
      <c r="T59" s="2">
        <f t="shared" si="24"/>
        <v>1</v>
      </c>
      <c r="U59" s="6">
        <f t="shared" si="10"/>
        <v>144.90989470893146</v>
      </c>
      <c r="V59">
        <f>IF((R59-$AB$774)/($Z$773-$AB$774)&lt;0, 0, IF((R59-$AB$774)/($Z$773-$AB$774)&gt;1, 1, (R59-$AB$774)/($Z$773-$AB$774)))</f>
        <v>0.22451588984394286</v>
      </c>
      <c r="W59" s="6">
        <f t="shared" si="11"/>
        <v>32.534573957767812</v>
      </c>
      <c r="Y59" s="78">
        <v>45047.75</v>
      </c>
      <c r="Z59">
        <v>6.9518729318144595E-2</v>
      </c>
      <c r="AA59" s="6">
        <v>86.192545629999998</v>
      </c>
      <c r="AB59" s="2">
        <v>12799</v>
      </c>
      <c r="AC59" s="7">
        <f t="shared" si="12"/>
        <v>213.31666666666666</v>
      </c>
      <c r="AD59" s="7">
        <f t="shared" si="13"/>
        <v>14.829503609048878</v>
      </c>
      <c r="AE59" s="7">
        <f t="shared" si="14"/>
        <v>144.90989470893146</v>
      </c>
      <c r="AF59" s="7">
        <f t="shared" si="15"/>
        <v>0.7641452306401989</v>
      </c>
      <c r="AG59" s="6">
        <f t="shared" si="16"/>
        <v>110.73220491440337</v>
      </c>
      <c r="AH59" s="2">
        <f t="shared" si="17"/>
        <v>1</v>
      </c>
      <c r="AI59" s="7">
        <f t="shared" si="18"/>
        <v>144.90989470893146</v>
      </c>
      <c r="AK59" s="78">
        <v>45004.15625</v>
      </c>
      <c r="AL59" s="79">
        <v>3.3565038544372998E-3</v>
      </c>
      <c r="AM59" s="7">
        <v>46.186478979999997</v>
      </c>
      <c r="AN59" s="2">
        <v>2204</v>
      </c>
      <c r="AO59" s="6">
        <f t="shared" si="19"/>
        <v>36.733333333333334</v>
      </c>
      <c r="AP59" s="5">
        <f t="shared" si="20"/>
        <v>0.12329557491966349</v>
      </c>
      <c r="AQ59" s="6">
        <f t="shared" si="21"/>
        <v>13.32571677602372</v>
      </c>
      <c r="AR59" s="2">
        <f t="shared" si="22"/>
        <v>1</v>
      </c>
      <c r="AS59" s="2">
        <f t="shared" si="23"/>
        <v>13.32571677602372</v>
      </c>
    </row>
    <row r="60" spans="1:45" x14ac:dyDescent="0.3">
      <c r="A60" s="78">
        <v>45004.166666666664</v>
      </c>
      <c r="B60" s="79">
        <v>4.0109907597727004E-3</v>
      </c>
      <c r="C60" s="7">
        <v>48.30225712</v>
      </c>
      <c r="D60" s="2">
        <v>2123</v>
      </c>
      <c r="E60" s="6">
        <f t="shared" si="0"/>
        <v>35.383333333333333</v>
      </c>
      <c r="F60" s="6">
        <f t="shared" si="1"/>
        <v>0.14192222304995739</v>
      </c>
      <c r="G60" s="6">
        <f t="shared" si="2"/>
        <v>14.27620173068331</v>
      </c>
      <c r="H60" s="6">
        <f t="shared" si="3"/>
        <v>1</v>
      </c>
      <c r="I60" s="6">
        <f t="shared" si="4"/>
        <v>14.27620173068331</v>
      </c>
      <c r="J60" s="6">
        <f t="shared" si="5"/>
        <v>7.1920516172773202E-2</v>
      </c>
      <c r="K60" s="5">
        <f t="shared" si="6"/>
        <v>1.0267517974573817</v>
      </c>
      <c r="M60" s="78">
        <v>45031.3125</v>
      </c>
      <c r="N60" s="5">
        <v>2.5561044784915301E-2</v>
      </c>
      <c r="O60" s="5">
        <v>51.763919430000001</v>
      </c>
      <c r="P60" s="2">
        <v>36025</v>
      </c>
      <c r="Q60" s="7">
        <f t="shared" si="7"/>
        <v>600.41666666666663</v>
      </c>
      <c r="R60" s="6">
        <f t="shared" si="8"/>
        <v>15.347277306276228</v>
      </c>
      <c r="S60" s="6">
        <f t="shared" si="9"/>
        <v>141.46634729617355</v>
      </c>
      <c r="T60" s="2">
        <f t="shared" si="24"/>
        <v>1</v>
      </c>
      <c r="U60" s="6">
        <f t="shared" si="10"/>
        <v>141.46634729617355</v>
      </c>
      <c r="V60">
        <f>IF((R60-$AB$774)/($Z$773-$AB$774)&lt;0, 0, IF((R60-$AB$774)/($Z$773-$AB$774)&gt;1, 1, (R60-$AB$774)/($Z$773-$AB$774)))</f>
        <v>8.3100089229715499E-2</v>
      </c>
      <c r="W60" s="6">
        <f t="shared" si="11"/>
        <v>11.755866083313943</v>
      </c>
      <c r="Y60" s="78">
        <v>45047.760416666664</v>
      </c>
      <c r="Z60">
        <v>6.7698503679805899E-2</v>
      </c>
      <c r="AA60" s="6">
        <v>82.711152870000006</v>
      </c>
      <c r="AB60" s="2">
        <v>12517</v>
      </c>
      <c r="AC60" s="7">
        <f t="shared" si="12"/>
        <v>208.61666666666667</v>
      </c>
      <c r="AD60" s="7">
        <f t="shared" si="13"/>
        <v>14.123036176002174</v>
      </c>
      <c r="AE60" s="7">
        <f t="shared" si="14"/>
        <v>141.46634729617355</v>
      </c>
      <c r="AF60" s="7">
        <f t="shared" si="15"/>
        <v>0.38357571499168208</v>
      </c>
      <c r="AG60" s="6">
        <f t="shared" si="16"/>
        <v>54.263055311391383</v>
      </c>
      <c r="AH60" s="2">
        <f t="shared" si="17"/>
        <v>1</v>
      </c>
      <c r="AI60" s="7">
        <f t="shared" si="18"/>
        <v>141.46634729617355</v>
      </c>
      <c r="AK60" s="78">
        <v>45004.166666666664</v>
      </c>
      <c r="AL60" s="79">
        <v>4.0109907597727004E-3</v>
      </c>
      <c r="AM60" s="7">
        <v>48.30225712</v>
      </c>
      <c r="AN60" s="2">
        <v>2123</v>
      </c>
      <c r="AO60" s="6">
        <f t="shared" si="19"/>
        <v>35.383333333333333</v>
      </c>
      <c r="AP60" s="5">
        <f t="shared" si="20"/>
        <v>0.14192222304995739</v>
      </c>
      <c r="AQ60" s="6">
        <f t="shared" si="21"/>
        <v>14.27620173068331</v>
      </c>
      <c r="AR60" s="2">
        <f t="shared" si="22"/>
        <v>1</v>
      </c>
      <c r="AS60" s="2">
        <f t="shared" si="23"/>
        <v>14.27620173068331</v>
      </c>
    </row>
    <row r="61" spans="1:45" x14ac:dyDescent="0.3">
      <c r="A61" s="78">
        <v>45004.177083333336</v>
      </c>
      <c r="B61" s="79">
        <v>3.5875203643383198E-3</v>
      </c>
      <c r="C61" s="7">
        <v>46.186478979999997</v>
      </c>
      <c r="D61" s="2">
        <v>2065</v>
      </c>
      <c r="E61" s="6">
        <f t="shared" si="0"/>
        <v>34.416666666666664</v>
      </c>
      <c r="F61" s="6">
        <f t="shared" si="1"/>
        <v>0.1234704925393105</v>
      </c>
      <c r="G61" s="6">
        <f t="shared" si="2"/>
        <v>13.334971205071263</v>
      </c>
      <c r="H61" s="6">
        <f t="shared" si="3"/>
        <v>1</v>
      </c>
      <c r="I61" s="6">
        <f t="shared" si="4"/>
        <v>13.334971205071263</v>
      </c>
      <c r="J61" s="6">
        <f t="shared" si="5"/>
        <v>5.1124061268492227E-2</v>
      </c>
      <c r="K61" s="5">
        <f t="shared" si="6"/>
        <v>0.68173788490164289</v>
      </c>
      <c r="M61" s="78">
        <v>45031.322916666664</v>
      </c>
      <c r="N61" s="5">
        <v>2.4919956315754398E-2</v>
      </c>
      <c r="O61" s="5">
        <v>55.160894489999997</v>
      </c>
      <c r="P61" s="2">
        <v>36230</v>
      </c>
      <c r="Q61" s="7">
        <f t="shared" si="7"/>
        <v>603.83333333333337</v>
      </c>
      <c r="R61" s="6">
        <f t="shared" si="8"/>
        <v>15.047500288663032</v>
      </c>
      <c r="S61" s="6">
        <f t="shared" si="9"/>
        <v>140.1063728424686</v>
      </c>
      <c r="T61" s="2">
        <f t="shared" si="24"/>
        <v>1</v>
      </c>
      <c r="U61" s="6">
        <f t="shared" si="10"/>
        <v>140.1063728424686</v>
      </c>
      <c r="V61">
        <f>IF((R61-$AB$774)/($Z$773-$AB$774)&lt;0, 0, IF((R61-$AB$774)/($Z$773-$AB$774)&gt;1, 1, (R61-$AB$774)/($Z$773-$AB$774)))</f>
        <v>2.8226067901976407E-2</v>
      </c>
      <c r="W61" s="6">
        <f t="shared" si="11"/>
        <v>3.9546519933511419</v>
      </c>
      <c r="Y61" s="78">
        <v>45047.770833333336</v>
      </c>
      <c r="Z61">
        <v>6.6444217210182094E-2</v>
      </c>
      <c r="AA61" s="6">
        <v>90.484855949999996</v>
      </c>
      <c r="AB61" s="2">
        <v>12768</v>
      </c>
      <c r="AC61" s="7">
        <f t="shared" si="12"/>
        <v>212.8</v>
      </c>
      <c r="AD61" s="7">
        <f t="shared" si="13"/>
        <v>14.13932942232675</v>
      </c>
      <c r="AE61" s="7">
        <f t="shared" si="14"/>
        <v>140.1063728424686</v>
      </c>
      <c r="AF61" s="7">
        <f t="shared" si="15"/>
        <v>1</v>
      </c>
      <c r="AG61" s="6">
        <f t="shared" si="16"/>
        <v>140.1063728424686</v>
      </c>
      <c r="AH61" s="2">
        <f t="shared" si="17"/>
        <v>1</v>
      </c>
      <c r="AI61" s="7">
        <f t="shared" si="18"/>
        <v>140.1063728424686</v>
      </c>
      <c r="AK61" s="78">
        <v>45004.177083333336</v>
      </c>
      <c r="AL61" s="79">
        <v>3.5875203643383198E-3</v>
      </c>
      <c r="AM61" s="7">
        <v>46.186478979999997</v>
      </c>
      <c r="AN61" s="2">
        <v>2065</v>
      </c>
      <c r="AO61" s="6">
        <f t="shared" si="19"/>
        <v>34.416666666666664</v>
      </c>
      <c r="AP61" s="5">
        <f t="shared" si="20"/>
        <v>0.1234704925393105</v>
      </c>
      <c r="AQ61" s="6">
        <f t="shared" si="21"/>
        <v>13.334971205071263</v>
      </c>
      <c r="AR61" s="2">
        <f t="shared" si="22"/>
        <v>1</v>
      </c>
      <c r="AS61" s="2">
        <f t="shared" si="23"/>
        <v>13.334971205071263</v>
      </c>
    </row>
    <row r="62" spans="1:45" x14ac:dyDescent="0.3">
      <c r="A62" s="78">
        <v>45004.1875</v>
      </c>
      <c r="B62" s="79">
        <v>3.1436428318012098E-3</v>
      </c>
      <c r="C62" s="7">
        <v>46.174310370000001</v>
      </c>
      <c r="D62" s="2">
        <v>2191</v>
      </c>
      <c r="E62" s="6">
        <f t="shared" si="0"/>
        <v>36.516666666666666</v>
      </c>
      <c r="F62" s="6">
        <f t="shared" si="1"/>
        <v>0.11479535740794085</v>
      </c>
      <c r="G62" s="6">
        <f t="shared" si="2"/>
        <v>12.86762910666523</v>
      </c>
      <c r="H62" s="6">
        <f t="shared" si="3"/>
        <v>1</v>
      </c>
      <c r="I62" s="6">
        <f t="shared" si="4"/>
        <v>12.86762910666523</v>
      </c>
      <c r="J62" s="6">
        <f t="shared" si="5"/>
        <v>4.13465470974516E-2</v>
      </c>
      <c r="K62" s="5">
        <f t="shared" si="6"/>
        <v>0.53203203289127299</v>
      </c>
      <c r="M62" s="78">
        <v>45031.333333333336</v>
      </c>
      <c r="N62" s="5">
        <v>2.7264499359050998E-2</v>
      </c>
      <c r="O62" s="5">
        <v>58.466044660000001</v>
      </c>
      <c r="P62" s="2">
        <v>36419</v>
      </c>
      <c r="Q62" s="7">
        <f t="shared" si="7"/>
        <v>606.98333333333335</v>
      </c>
      <c r="R62" s="6">
        <f t="shared" si="8"/>
        <v>16.549096702621306</v>
      </c>
      <c r="S62" s="6">
        <f t="shared" si="9"/>
        <v>146.78692218304667</v>
      </c>
      <c r="T62" s="2">
        <f t="shared" si="24"/>
        <v>1</v>
      </c>
      <c r="U62" s="6">
        <f t="shared" si="10"/>
        <v>146.78692218304667</v>
      </c>
      <c r="V62">
        <f>IF((R62-$AB$774)/($Z$773-$AB$774)&lt;0, 0, IF((R62-$AB$774)/($Z$773-$AB$774)&gt;1, 1, (R62-$AB$774)/($Z$773-$AB$774)))</f>
        <v>0.303092481282346</v>
      </c>
      <c r="W62" s="6">
        <f t="shared" si="11"/>
        <v>44.49001246425825</v>
      </c>
      <c r="Y62" s="78">
        <v>45047.78125</v>
      </c>
      <c r="Z62">
        <v>6.8167556776378896E-2</v>
      </c>
      <c r="AA62" s="6">
        <v>87.058386479999996</v>
      </c>
      <c r="AB62" s="2">
        <v>12706</v>
      </c>
      <c r="AC62" s="7">
        <f t="shared" si="12"/>
        <v>211.76666666666668</v>
      </c>
      <c r="AD62" s="7">
        <f t="shared" si="13"/>
        <v>14.435616273344506</v>
      </c>
      <c r="AE62" s="7">
        <f t="shared" si="14"/>
        <v>146.78692218304667</v>
      </c>
      <c r="AF62" s="7">
        <f t="shared" si="15"/>
        <v>0.85879488829996842</v>
      </c>
      <c r="AG62" s="6">
        <f t="shared" si="16"/>
        <v>126.05985844008572</v>
      </c>
      <c r="AH62" s="2">
        <f t="shared" si="17"/>
        <v>1</v>
      </c>
      <c r="AI62" s="7">
        <f t="shared" si="18"/>
        <v>146.78692218304667</v>
      </c>
      <c r="AK62" s="78">
        <v>45004.1875</v>
      </c>
      <c r="AL62" s="79">
        <v>3.1436428318012098E-3</v>
      </c>
      <c r="AM62" s="7">
        <v>46.174310370000001</v>
      </c>
      <c r="AN62" s="2">
        <v>2191</v>
      </c>
      <c r="AO62" s="6">
        <f t="shared" si="19"/>
        <v>36.516666666666666</v>
      </c>
      <c r="AP62" s="5">
        <f t="shared" si="20"/>
        <v>0.11479535740794085</v>
      </c>
      <c r="AQ62" s="6">
        <f t="shared" si="21"/>
        <v>12.86762910666523</v>
      </c>
      <c r="AR62" s="2">
        <f t="shared" si="22"/>
        <v>1</v>
      </c>
      <c r="AS62" s="2">
        <f t="shared" si="23"/>
        <v>12.86762910666523</v>
      </c>
    </row>
    <row r="63" spans="1:45" x14ac:dyDescent="0.3">
      <c r="A63" s="78">
        <v>45004.197916666664</v>
      </c>
      <c r="B63" s="79">
        <v>3.5167947707026698E-3</v>
      </c>
      <c r="C63" s="7">
        <v>46.174310370000001</v>
      </c>
      <c r="D63" s="2">
        <v>1979</v>
      </c>
      <c r="E63" s="6">
        <f t="shared" si="0"/>
        <v>32.983333333333334</v>
      </c>
      <c r="F63" s="6">
        <f t="shared" si="1"/>
        <v>0.11599561418700972</v>
      </c>
      <c r="G63" s="6">
        <f t="shared" si="2"/>
        <v>12.933338040160587</v>
      </c>
      <c r="H63" s="6">
        <f t="shared" si="3"/>
        <v>1</v>
      </c>
      <c r="I63" s="6">
        <f t="shared" si="4"/>
        <v>12.933338040160587</v>
      </c>
      <c r="J63" s="6">
        <f t="shared" si="5"/>
        <v>4.2699324603337051E-2</v>
      </c>
      <c r="K63" s="5">
        <f t="shared" si="6"/>
        <v>0.55224479918150393</v>
      </c>
      <c r="M63" s="78">
        <v>45031.34375</v>
      </c>
      <c r="N63" s="5">
        <v>2.79547247666477E-2</v>
      </c>
      <c r="O63" s="5">
        <v>55.149392650000003</v>
      </c>
      <c r="P63" s="2">
        <v>35722</v>
      </c>
      <c r="Q63" s="7">
        <f t="shared" si="7"/>
        <v>595.36666666666667</v>
      </c>
      <c r="R63" s="6">
        <f t="shared" si="8"/>
        <v>16.643311301903154</v>
      </c>
      <c r="S63" s="6">
        <f t="shared" si="9"/>
        <v>147.19555371789323</v>
      </c>
      <c r="T63" s="2">
        <f t="shared" si="24"/>
        <v>1</v>
      </c>
      <c r="U63" s="6">
        <f t="shared" si="10"/>
        <v>147.19555371789323</v>
      </c>
      <c r="V63">
        <f>IF((R63-$AB$774)/($Z$773-$AB$774)&lt;0, 0, IF((R63-$AB$774)/($Z$773-$AB$774)&gt;1, 1, (R63-$AB$774)/($Z$773-$AB$774)))</f>
        <v>0.32033841284687753</v>
      </c>
      <c r="W63" s="6">
        <f t="shared" si="11"/>
        <v>47.152390056107222</v>
      </c>
      <c r="Y63" s="78">
        <v>45047.791666666664</v>
      </c>
      <c r="Z63">
        <v>7.4318266533230898E-2</v>
      </c>
      <c r="AA63" s="6">
        <v>86.192545629999998</v>
      </c>
      <c r="AB63" s="2">
        <v>12304</v>
      </c>
      <c r="AC63" s="7">
        <f t="shared" si="12"/>
        <v>205.06666666666666</v>
      </c>
      <c r="AD63" s="7">
        <f t="shared" si="13"/>
        <v>15.240199190414549</v>
      </c>
      <c r="AE63" s="7">
        <f t="shared" si="14"/>
        <v>147.19555371789323</v>
      </c>
      <c r="AF63" s="7">
        <f t="shared" si="15"/>
        <v>0.7641452306401989</v>
      </c>
      <c r="AG63" s="6">
        <f t="shared" si="16"/>
        <v>112.47878034497131</v>
      </c>
      <c r="AH63" s="2">
        <f t="shared" si="17"/>
        <v>1</v>
      </c>
      <c r="AI63" s="7">
        <f t="shared" si="18"/>
        <v>147.19555371789323</v>
      </c>
      <c r="AK63" s="78">
        <v>45004.197916666664</v>
      </c>
      <c r="AL63" s="79">
        <v>3.5167947707026698E-3</v>
      </c>
      <c r="AM63" s="7">
        <v>46.174310370000001</v>
      </c>
      <c r="AN63" s="2">
        <v>1979</v>
      </c>
      <c r="AO63" s="6">
        <f t="shared" si="19"/>
        <v>32.983333333333334</v>
      </c>
      <c r="AP63" s="5">
        <f t="shared" si="20"/>
        <v>0.11599561418700972</v>
      </c>
      <c r="AQ63" s="6">
        <f t="shared" si="21"/>
        <v>12.933338040160587</v>
      </c>
      <c r="AR63" s="2">
        <f t="shared" si="22"/>
        <v>1</v>
      </c>
      <c r="AS63" s="2">
        <f t="shared" si="23"/>
        <v>12.933338040160587</v>
      </c>
    </row>
    <row r="64" spans="1:45" x14ac:dyDescent="0.3">
      <c r="A64" s="78">
        <v>45004.208333333336</v>
      </c>
      <c r="B64" s="79">
        <v>3.3407830903298E-3</v>
      </c>
      <c r="C64" s="7">
        <v>46.174310370000001</v>
      </c>
      <c r="D64" s="2">
        <v>2069</v>
      </c>
      <c r="E64" s="6">
        <f t="shared" si="0"/>
        <v>34.483333333333334</v>
      </c>
      <c r="F64" s="6">
        <f t="shared" si="1"/>
        <v>0.11520133689820594</v>
      </c>
      <c r="G64" s="6">
        <f t="shared" si="2"/>
        <v>12.889893816616153</v>
      </c>
      <c r="H64" s="6">
        <f t="shared" si="3"/>
        <v>1</v>
      </c>
      <c r="I64" s="6">
        <f t="shared" si="4"/>
        <v>12.889893816616153</v>
      </c>
      <c r="J64" s="6">
        <f t="shared" si="5"/>
        <v>4.1804115787634308E-2</v>
      </c>
      <c r="K64" s="5">
        <f t="shared" si="6"/>
        <v>0.5388506136001332</v>
      </c>
      <c r="M64" s="78">
        <v>45031.354166666664</v>
      </c>
      <c r="N64" s="5">
        <v>2.7740897265797801E-2</v>
      </c>
      <c r="O64" s="5">
        <v>51.763919430000001</v>
      </c>
      <c r="P64" s="2">
        <v>36567</v>
      </c>
      <c r="Q64" s="7">
        <f t="shared" si="7"/>
        <v>609.45000000000005</v>
      </c>
      <c r="R64" s="6">
        <f t="shared" si="8"/>
        <v>16.906689838640471</v>
      </c>
      <c r="S64" s="6">
        <f t="shared" si="9"/>
        <v>148.33166852276665</v>
      </c>
      <c r="T64" s="2">
        <f t="shared" si="24"/>
        <v>1</v>
      </c>
      <c r="U64" s="6">
        <f t="shared" si="10"/>
        <v>148.33166852276665</v>
      </c>
      <c r="V64">
        <f>IF((R64-$AB$774)/($Z$773-$AB$774)&lt;0, 0, IF((R64-$AB$774)/($Z$773-$AB$774)&gt;1, 1, (R64-$AB$774)/($Z$773-$AB$774)))</f>
        <v>0.36854971188928987</v>
      </c>
      <c r="W64" s="6">
        <f t="shared" si="11"/>
        <v>54.667593698123298</v>
      </c>
      <c r="Y64" s="78">
        <v>45047.802083333336</v>
      </c>
      <c r="Z64">
        <v>7.1030706999229101E-2</v>
      </c>
      <c r="AA64" s="6">
        <v>87.487093729999998</v>
      </c>
      <c r="AB64" s="2">
        <v>12693</v>
      </c>
      <c r="AC64" s="7">
        <f t="shared" si="12"/>
        <v>211.55</v>
      </c>
      <c r="AD64" s="7">
        <f t="shared" si="13"/>
        <v>15.026546065686917</v>
      </c>
      <c r="AE64" s="7">
        <f t="shared" si="14"/>
        <v>148.33166852276665</v>
      </c>
      <c r="AF64" s="7">
        <f t="shared" si="15"/>
        <v>0.90565915261454943</v>
      </c>
      <c r="AG64" s="6">
        <f t="shared" si="16"/>
        <v>134.33793322023106</v>
      </c>
      <c r="AH64" s="2">
        <f t="shared" si="17"/>
        <v>1</v>
      </c>
      <c r="AI64" s="7">
        <f t="shared" si="18"/>
        <v>148.33166852276665</v>
      </c>
      <c r="AK64" s="78">
        <v>45004.208333333336</v>
      </c>
      <c r="AL64" s="79">
        <v>3.3407830903298E-3</v>
      </c>
      <c r="AM64" s="7">
        <v>46.174310370000001</v>
      </c>
      <c r="AN64" s="2">
        <v>2069</v>
      </c>
      <c r="AO64" s="6">
        <f t="shared" si="19"/>
        <v>34.483333333333334</v>
      </c>
      <c r="AP64" s="5">
        <f t="shared" si="20"/>
        <v>0.11520133689820594</v>
      </c>
      <c r="AQ64" s="6">
        <f t="shared" si="21"/>
        <v>12.889893816616153</v>
      </c>
      <c r="AR64" s="2">
        <f t="shared" si="22"/>
        <v>1</v>
      </c>
      <c r="AS64" s="2">
        <f t="shared" si="23"/>
        <v>12.889893816616153</v>
      </c>
    </row>
    <row r="65" spans="1:45" x14ac:dyDescent="0.3">
      <c r="A65" s="78">
        <v>45004.21875</v>
      </c>
      <c r="B65" s="79">
        <v>3.9129045337133904E-3</v>
      </c>
      <c r="C65" s="7">
        <v>49.691464410000002</v>
      </c>
      <c r="D65" s="2">
        <v>2096</v>
      </c>
      <c r="E65" s="6">
        <f t="shared" si="0"/>
        <v>34.93333333333333</v>
      </c>
      <c r="F65" s="6">
        <f t="shared" si="1"/>
        <v>0.13669079837772108</v>
      </c>
      <c r="G65" s="6">
        <f t="shared" si="2"/>
        <v>14.016033220058507</v>
      </c>
      <c r="H65" s="6">
        <f t="shared" si="3"/>
        <v>1</v>
      </c>
      <c r="I65" s="6">
        <f t="shared" si="4"/>
        <v>14.016033220058507</v>
      </c>
      <c r="J65" s="6">
        <f t="shared" si="5"/>
        <v>6.602431650637719E-2</v>
      </c>
      <c r="K65" s="5">
        <f t="shared" si="6"/>
        <v>0.92539901348503995</v>
      </c>
      <c r="M65" s="78">
        <v>45031.364583333336</v>
      </c>
      <c r="N65" s="5">
        <v>2.7534988389864901E-2</v>
      </c>
      <c r="O65" s="5">
        <v>55.149392650000003</v>
      </c>
      <c r="P65" s="2">
        <v>34814</v>
      </c>
      <c r="Q65" s="7">
        <f t="shared" si="7"/>
        <v>580.23333333333335</v>
      </c>
      <c r="R65" s="6">
        <f t="shared" si="8"/>
        <v>15.976718096745945</v>
      </c>
      <c r="S65" s="6">
        <f t="shared" si="9"/>
        <v>144.27844629490187</v>
      </c>
      <c r="T65" s="2">
        <f t="shared" si="24"/>
        <v>1</v>
      </c>
      <c r="U65" s="6">
        <f t="shared" si="10"/>
        <v>144.27844629490187</v>
      </c>
      <c r="V65">
        <f>IF((R65-$AB$774)/($Z$773-$AB$774)&lt;0, 0, IF((R65-$AB$774)/($Z$773-$AB$774)&gt;1, 1, (R65-$AB$774)/($Z$773-$AB$774)))</f>
        <v>0.19831888630691974</v>
      </c>
      <c r="W65" s="6">
        <f t="shared" si="11"/>
        <v>28.61314078729767</v>
      </c>
      <c r="Y65" s="78">
        <v>45047.8125</v>
      </c>
      <c r="Z65">
        <v>7.1587633956232702E-2</v>
      </c>
      <c r="AA65" s="6">
        <v>89.635700749999998</v>
      </c>
      <c r="AB65" s="2">
        <v>12252</v>
      </c>
      <c r="AC65" s="7">
        <f t="shared" si="12"/>
        <v>204.2</v>
      </c>
      <c r="AD65" s="7">
        <f t="shared" si="13"/>
        <v>14.618194853862716</v>
      </c>
      <c r="AE65" s="7">
        <f t="shared" si="14"/>
        <v>144.27844629490187</v>
      </c>
      <c r="AF65" s="7">
        <f t="shared" si="15"/>
        <v>1</v>
      </c>
      <c r="AG65" s="6">
        <f t="shared" si="16"/>
        <v>144.27844629490187</v>
      </c>
      <c r="AH65" s="2">
        <f t="shared" si="17"/>
        <v>1</v>
      </c>
      <c r="AI65" s="7">
        <f t="shared" si="18"/>
        <v>144.27844629490187</v>
      </c>
      <c r="AK65" s="78">
        <v>45004.21875</v>
      </c>
      <c r="AL65" s="79">
        <v>3.9129045337133904E-3</v>
      </c>
      <c r="AM65" s="7">
        <v>49.691464410000002</v>
      </c>
      <c r="AN65" s="2">
        <v>2096</v>
      </c>
      <c r="AO65" s="6">
        <f t="shared" si="19"/>
        <v>34.93333333333333</v>
      </c>
      <c r="AP65" s="5">
        <f t="shared" si="20"/>
        <v>0.13669079837772108</v>
      </c>
      <c r="AQ65" s="6">
        <f t="shared" si="21"/>
        <v>14.016033220058507</v>
      </c>
      <c r="AR65" s="2">
        <f t="shared" si="22"/>
        <v>1</v>
      </c>
      <c r="AS65" s="2">
        <f t="shared" si="23"/>
        <v>14.016033220058507</v>
      </c>
    </row>
    <row r="66" spans="1:45" x14ac:dyDescent="0.3">
      <c r="A66" s="78">
        <v>45004.229166666664</v>
      </c>
      <c r="B66" s="79">
        <v>3.6122484664937002E-3</v>
      </c>
      <c r="C66" s="7">
        <v>48.290232170000003</v>
      </c>
      <c r="D66" s="2">
        <v>2082</v>
      </c>
      <c r="E66" s="6">
        <f t="shared" si="0"/>
        <v>34.700000000000003</v>
      </c>
      <c r="F66" s="6">
        <f t="shared" si="1"/>
        <v>0.1253450217873314</v>
      </c>
      <c r="G66" s="6">
        <f t="shared" si="2"/>
        <v>13.433730601019509</v>
      </c>
      <c r="H66" s="6">
        <f t="shared" si="3"/>
        <v>1</v>
      </c>
      <c r="I66" s="6">
        <f t="shared" si="4"/>
        <v>13.433730601019509</v>
      </c>
      <c r="J66" s="6">
        <f t="shared" si="5"/>
        <v>5.323679334805128E-2</v>
      </c>
      <c r="K66" s="5">
        <f t="shared" si="6"/>
        <v>0.71516873989986829</v>
      </c>
      <c r="M66" s="78">
        <v>45031.375</v>
      </c>
      <c r="N66" s="5">
        <v>2.7054769147322601E-2</v>
      </c>
      <c r="O66" s="5">
        <v>57.158996520000002</v>
      </c>
      <c r="P66" s="2">
        <v>35336</v>
      </c>
      <c r="Q66" s="7">
        <f t="shared" si="7"/>
        <v>588.93333333333328</v>
      </c>
      <c r="R66" s="6">
        <f t="shared" si="8"/>
        <v>15.933455376496523</v>
      </c>
      <c r="S66" s="6">
        <f t="shared" si="9"/>
        <v>144.0869950580778</v>
      </c>
      <c r="T66" s="2">
        <f t="shared" si="24"/>
        <v>1</v>
      </c>
      <c r="U66" s="6">
        <f t="shared" si="10"/>
        <v>144.0869950580778</v>
      </c>
      <c r="V66">
        <f>IF((R66-$AB$774)/($Z$773-$AB$774)&lt;0, 0, IF((R66-$AB$774)/($Z$773-$AB$774)&gt;1, 1, (R66-$AB$774)/($Z$773-$AB$774)))</f>
        <v>0.19039966870790437</v>
      </c>
      <c r="W66" s="6">
        <f t="shared" si="11"/>
        <v>27.434116124175468</v>
      </c>
      <c r="Y66" s="78">
        <v>45047.822916666664</v>
      </c>
      <c r="Z66">
        <v>6.9607742166890502E-2</v>
      </c>
      <c r="AA66" s="6">
        <v>84.891986889999998</v>
      </c>
      <c r="AB66" s="2">
        <v>12192</v>
      </c>
      <c r="AC66" s="7">
        <f t="shared" si="12"/>
        <v>203.2</v>
      </c>
      <c r="AD66" s="7">
        <f t="shared" si="13"/>
        <v>14.144293208312149</v>
      </c>
      <c r="AE66" s="7">
        <f t="shared" si="14"/>
        <v>144.0869950580778</v>
      </c>
      <c r="AF66" s="7">
        <f t="shared" si="15"/>
        <v>0.62197425371364079</v>
      </c>
      <c r="AG66" s="6">
        <f t="shared" si="16"/>
        <v>89.618401221088988</v>
      </c>
      <c r="AH66" s="2">
        <f t="shared" si="17"/>
        <v>1</v>
      </c>
      <c r="AI66" s="7">
        <f t="shared" si="18"/>
        <v>144.0869950580778</v>
      </c>
      <c r="AK66" s="78">
        <v>45004.229166666664</v>
      </c>
      <c r="AL66" s="79">
        <v>3.6122484664937002E-3</v>
      </c>
      <c r="AM66" s="7">
        <v>48.290232170000003</v>
      </c>
      <c r="AN66" s="2">
        <v>2082</v>
      </c>
      <c r="AO66" s="6">
        <f t="shared" si="19"/>
        <v>34.700000000000003</v>
      </c>
      <c r="AP66" s="5">
        <f t="shared" si="20"/>
        <v>0.1253450217873314</v>
      </c>
      <c r="AQ66" s="6">
        <f t="shared" si="21"/>
        <v>13.433730601019509</v>
      </c>
      <c r="AR66" s="2">
        <f t="shared" si="22"/>
        <v>1</v>
      </c>
      <c r="AS66" s="2">
        <f t="shared" si="23"/>
        <v>13.433730601019509</v>
      </c>
    </row>
    <row r="67" spans="1:45" x14ac:dyDescent="0.3">
      <c r="A67" s="78">
        <v>45004.239583333336</v>
      </c>
      <c r="B67" s="79">
        <v>3.0994923524177201E-3</v>
      </c>
      <c r="C67" s="7">
        <v>44.034259820000003</v>
      </c>
      <c r="D67" s="2">
        <v>1820</v>
      </c>
      <c r="E67" s="6">
        <f t="shared" si="0"/>
        <v>30.333333333333332</v>
      </c>
      <c r="F67" s="6">
        <f t="shared" si="1"/>
        <v>9.4017934690004176E-2</v>
      </c>
      <c r="G67" s="6">
        <f t="shared" si="2"/>
        <v>11.669033208123569</v>
      </c>
      <c r="H67" s="6">
        <f t="shared" si="3"/>
        <v>1</v>
      </c>
      <c r="I67" s="6">
        <f t="shared" si="4"/>
        <v>11.669033208123569</v>
      </c>
      <c r="J67" s="6">
        <f t="shared" si="5"/>
        <v>1.7928866336753967E-2</v>
      </c>
      <c r="K67" s="5">
        <f t="shared" si="6"/>
        <v>0.20921253666759079</v>
      </c>
      <c r="M67" s="78">
        <v>45031.385416666664</v>
      </c>
      <c r="N67" s="5">
        <v>2.76922764271408E-2</v>
      </c>
      <c r="O67" s="5">
        <v>57.158996520000002</v>
      </c>
      <c r="P67" s="2">
        <v>35375</v>
      </c>
      <c r="Q67" s="7">
        <f t="shared" si="7"/>
        <v>589.58333333333337</v>
      </c>
      <c r="R67" s="6">
        <f t="shared" si="8"/>
        <v>16.326904643501763</v>
      </c>
      <c r="S67" s="6">
        <f t="shared" si="9"/>
        <v>145.81849485341687</v>
      </c>
      <c r="T67" s="2">
        <f t="shared" si="24"/>
        <v>1</v>
      </c>
      <c r="U67" s="6">
        <f t="shared" si="10"/>
        <v>145.81849485341687</v>
      </c>
      <c r="V67">
        <f>IF((R67-$AB$774)/($Z$773-$AB$774)&lt;0, 0, IF((R67-$AB$774)/($Z$773-$AB$774)&gt;1, 1, (R67-$AB$774)/($Z$773-$AB$774)))</f>
        <v>0.26242034474547432</v>
      </c>
      <c r="W67" s="6">
        <f t="shared" si="11"/>
        <v>38.265739689699828</v>
      </c>
      <c r="Y67" s="78">
        <v>45047.833333333336</v>
      </c>
      <c r="Z67">
        <v>7.0491915578508396E-2</v>
      </c>
      <c r="AA67" s="6">
        <v>87.494480339999996</v>
      </c>
      <c r="AB67" s="2">
        <v>12445</v>
      </c>
      <c r="AC67" s="7">
        <f t="shared" si="12"/>
        <v>207.41666666666666</v>
      </c>
      <c r="AD67" s="7">
        <f t="shared" si="13"/>
        <v>14.621198156242283</v>
      </c>
      <c r="AE67" s="7">
        <f t="shared" si="14"/>
        <v>145.81849485341687</v>
      </c>
      <c r="AF67" s="7">
        <f t="shared" si="15"/>
        <v>0.90646662214866303</v>
      </c>
      <c r="AG67" s="6">
        <f t="shared" si="16"/>
        <v>132.179598476579</v>
      </c>
      <c r="AH67" s="2">
        <f t="shared" si="17"/>
        <v>1</v>
      </c>
      <c r="AI67" s="7">
        <f t="shared" si="18"/>
        <v>145.81849485341687</v>
      </c>
      <c r="AK67" s="78">
        <v>45004.239583333336</v>
      </c>
      <c r="AL67" s="79">
        <v>3.0994923524177201E-3</v>
      </c>
      <c r="AM67" s="7">
        <v>44.034259820000003</v>
      </c>
      <c r="AN67" s="2">
        <v>1820</v>
      </c>
      <c r="AO67" s="6">
        <f t="shared" si="19"/>
        <v>30.333333333333332</v>
      </c>
      <c r="AP67" s="5">
        <f t="shared" si="20"/>
        <v>9.4017934690004176E-2</v>
      </c>
      <c r="AQ67" s="6">
        <f t="shared" si="21"/>
        <v>11.669033208123569</v>
      </c>
      <c r="AR67" s="2">
        <f t="shared" si="22"/>
        <v>0</v>
      </c>
      <c r="AS67" s="2">
        <f t="shared" si="23"/>
        <v>0</v>
      </c>
    </row>
    <row r="68" spans="1:45" x14ac:dyDescent="0.3">
      <c r="A68" s="78">
        <v>45004.25</v>
      </c>
      <c r="B68" s="79">
        <v>3.35997767983038E-3</v>
      </c>
      <c r="C68" s="7">
        <v>48.290232170000003</v>
      </c>
      <c r="D68" s="2">
        <v>2147</v>
      </c>
      <c r="E68" s="6">
        <f t="shared" ref="E68:E98" si="25">D68/60</f>
        <v>35.783333333333331</v>
      </c>
      <c r="F68" s="6">
        <f t="shared" ref="F68:F98" si="26">E68*B68</f>
        <v>0.12023120130993042</v>
      </c>
      <c r="G68" s="6">
        <f t="shared" ref="G68:G98" si="27">37.141*F68^0.4897</f>
        <v>13.162488625585084</v>
      </c>
      <c r="H68" s="6">
        <f t="shared" ref="H68:H98" si="28">IF((C68-$F$1)/($D$1-$F$1)&lt;0, 0, IF((C68-$F$1)/($D$1-$F$1)&gt;1, 1, (C68-$F$1)/($D$1-$F$1)))</f>
        <v>1</v>
      </c>
      <c r="I68" s="6">
        <f t="shared" ref="I68:I98" si="29">G68*H68</f>
        <v>13.162488625585084</v>
      </c>
      <c r="J68" s="6">
        <f t="shared" ref="J68:J98" si="30">IF((F68-$K$100)/($I$100-$K$100)&lt;0, 0, IF((F68-$K$100)/($I$100-$K$100)&gt;1, 1, (F68-$K$100)/($I$100-$K$100)))</f>
        <v>4.7473142243050964E-2</v>
      </c>
      <c r="K68" s="5">
        <f t="shared" ref="K68:K98" si="31">G68*J68</f>
        <v>0.62486469479494111</v>
      </c>
      <c r="M68" s="78">
        <v>45031.395833333336</v>
      </c>
      <c r="N68" s="5">
        <v>2.8547043984803899E-2</v>
      </c>
      <c r="O68" s="5">
        <v>62.315280379999997</v>
      </c>
      <c r="P68" s="2">
        <v>35860</v>
      </c>
      <c r="Q68" s="7">
        <f t="shared" ref="Q68:Q131" si="32">P68/60</f>
        <v>597.66666666666663</v>
      </c>
      <c r="R68" s="6">
        <f t="shared" ref="R68:R131" si="33">N68*Q68</f>
        <v>17.061616621584463</v>
      </c>
      <c r="S68" s="6">
        <f t="shared" ref="S68:S131" si="34">37.141*R68^0.4897</f>
        <v>148.99574784585872</v>
      </c>
      <c r="T68" s="2">
        <f t="shared" ref="T68:T131" si="35">IF((O68-$R$1)/($P$1-$R$1)&lt;0, 0, IF((O68-$R$1)/($P$1-$R$1)&gt;1, 1, (O68-$R$1)/($P$1-$R$1)))</f>
        <v>1</v>
      </c>
      <c r="U68" s="6">
        <f t="shared" ref="U68:U131" si="36">S68*T68</f>
        <v>148.99574784585872</v>
      </c>
      <c r="V68">
        <f>IF((R68-$AB$774)/($Z$773-$AB$774)&lt;0, 0, IF((R68-$AB$774)/($Z$773-$AB$774)&gt;1, 1, (R68-$AB$774)/($Z$773-$AB$774)))</f>
        <v>0.39690897591558066</v>
      </c>
      <c r="W68" s="6">
        <f t="shared" ref="W68:W131" si="37">S68*V68</f>
        <v>59.137749693275865</v>
      </c>
      <c r="Y68" s="78">
        <v>45047.84375</v>
      </c>
      <c r="Z68">
        <v>6.7018665161960297E-2</v>
      </c>
      <c r="AA68" s="6">
        <v>84.891986889999998</v>
      </c>
      <c r="AB68" s="2">
        <v>12340</v>
      </c>
      <c r="AC68" s="7">
        <f t="shared" ref="AC68:AC131" si="38">AB68/60</f>
        <v>205.66666666666666</v>
      </c>
      <c r="AD68" s="7">
        <f t="shared" ref="AD68:AD131" si="39">AC68*Z68</f>
        <v>13.783505468309833</v>
      </c>
      <c r="AE68" s="7">
        <f t="shared" ref="AE68:AE131" si="40">37.141*R68^0.4897</f>
        <v>148.99574784585872</v>
      </c>
      <c r="AF68" s="7">
        <f t="shared" ref="AF68:AF131" si="41">IF((AA68-$AD$1)/($AB$1-$AD$1)&lt;0, 0, IF((AA68-$AD$1)/($AB$1-$AD$1)&gt;1, 1, (AA68-$AD$1)/($AB$1-$AD$1)))</f>
        <v>0.62197425371364079</v>
      </c>
      <c r="AG68" s="6">
        <f t="shared" ref="AG68:AG131" si="42">AE68*AF68</f>
        <v>92.671519072933776</v>
      </c>
      <c r="AH68" s="2">
        <f t="shared" ref="AH68:AH131" si="43">IF((AD68-$AI$444)/($AG$444-$AI$444)&lt;0, 0, IF((AD68-$AI$444)/($AG$444-$AI$444)&gt;1, 1, (AD68-$AI$444)/($AG$444-$AI$444)))</f>
        <v>1</v>
      </c>
      <c r="AI68" s="7">
        <f t="shared" ref="AI68:AI131" si="44">AE68*AH68</f>
        <v>148.99574784585872</v>
      </c>
      <c r="AK68" s="78">
        <v>45004.25</v>
      </c>
      <c r="AL68" s="79">
        <v>3.35997767983038E-3</v>
      </c>
      <c r="AM68" s="7">
        <v>48.290232170000003</v>
      </c>
      <c r="AN68" s="2">
        <v>2147</v>
      </c>
      <c r="AO68" s="6">
        <f t="shared" ref="AO68:AO98" si="45">AN68/60</f>
        <v>35.783333333333331</v>
      </c>
      <c r="AP68" s="5">
        <f t="shared" ref="AP68:AP131" si="46">AO68*AL68</f>
        <v>0.12023120130993042</v>
      </c>
      <c r="AQ68" s="6">
        <f t="shared" ref="AQ68:AQ131" si="47">37.141*AP68^0.4897</f>
        <v>13.162488625585084</v>
      </c>
      <c r="AR68" s="2">
        <f t="shared" ref="AR68:AR131" si="48">IF((AM68-$AP$1)/($AN$1-$AP$1)&lt;0, 0, IF((AA68-$AP$1)/($AN$1-$AP$1)&gt;1, 1, (AA68-$AP$1)/($AN$1-$AP$1)))</f>
        <v>1</v>
      </c>
      <c r="AS68" s="2">
        <f t="shared" ref="AS68:AS131" si="49">AQ68*AR68</f>
        <v>13.162488625585084</v>
      </c>
    </row>
    <row r="69" spans="1:45" x14ac:dyDescent="0.3">
      <c r="A69" s="78">
        <v>45004.260416666664</v>
      </c>
      <c r="B69" s="79">
        <v>3.74339845710614E-3</v>
      </c>
      <c r="C69" s="7">
        <v>48.290232170000003</v>
      </c>
      <c r="D69" s="2">
        <v>1813</v>
      </c>
      <c r="E69" s="6">
        <f t="shared" si="25"/>
        <v>30.216666666666665</v>
      </c>
      <c r="F69" s="6">
        <f t="shared" si="26"/>
        <v>0.11311302337889052</v>
      </c>
      <c r="G69" s="6">
        <f t="shared" si="27"/>
        <v>12.774935561192176</v>
      </c>
      <c r="H69" s="6">
        <f t="shared" si="28"/>
        <v>1</v>
      </c>
      <c r="I69" s="6">
        <f t="shared" si="29"/>
        <v>12.774935561192176</v>
      </c>
      <c r="J69" s="6">
        <f t="shared" si="30"/>
        <v>3.9450433139527993E-2</v>
      </c>
      <c r="K69" s="5">
        <f t="shared" si="31"/>
        <v>0.50397674121859048</v>
      </c>
      <c r="M69" s="78">
        <v>45031.40625</v>
      </c>
      <c r="N69" s="5">
        <v>2.5607501113522901E-2</v>
      </c>
      <c r="O69" s="5">
        <v>49.691464410000002</v>
      </c>
      <c r="P69" s="2">
        <v>36247</v>
      </c>
      <c r="Q69" s="7">
        <f t="shared" si="32"/>
        <v>604.11666666666667</v>
      </c>
      <c r="R69" s="6">
        <f t="shared" si="33"/>
        <v>15.469918214364411</v>
      </c>
      <c r="S69" s="6">
        <f t="shared" si="34"/>
        <v>142.01881184966098</v>
      </c>
      <c r="T69" s="2">
        <f t="shared" si="35"/>
        <v>0.75252423063176832</v>
      </c>
      <c r="U69" s="6">
        <f t="shared" si="36"/>
        <v>106.87259712240399</v>
      </c>
      <c r="V69">
        <f>IF((R69-$AB$774)/($Z$773-$AB$774)&lt;0, 0, IF((R69-$AB$774)/($Z$773-$AB$774)&gt;1, 1, (R69-$AB$774)/($Z$773-$AB$774)))</f>
        <v>0.10554944128367369</v>
      </c>
      <c r="W69" s="6">
        <f t="shared" si="37"/>
        <v>14.990006242502892</v>
      </c>
      <c r="Y69" s="78">
        <v>45047.854166666664</v>
      </c>
      <c r="Z69">
        <v>6.7736316523859905E-2</v>
      </c>
      <c r="AA69" s="6">
        <v>84.027783200000002</v>
      </c>
      <c r="AB69" s="2">
        <v>12670</v>
      </c>
      <c r="AC69" s="7">
        <f t="shared" si="38"/>
        <v>211.16666666666666</v>
      </c>
      <c r="AD69" s="7">
        <f t="shared" si="39"/>
        <v>14.303652172621749</v>
      </c>
      <c r="AE69" s="7">
        <f t="shared" si="40"/>
        <v>142.01881184966098</v>
      </c>
      <c r="AF69" s="7">
        <f t="shared" si="41"/>
        <v>0.52750356270061061</v>
      </c>
      <c r="AG69" s="6">
        <f t="shared" si="42"/>
        <v>74.915429221203865</v>
      </c>
      <c r="AH69" s="2">
        <f t="shared" si="43"/>
        <v>1</v>
      </c>
      <c r="AI69" s="7">
        <f t="shared" si="44"/>
        <v>142.01881184966098</v>
      </c>
      <c r="AK69" s="78">
        <v>45004.260416666664</v>
      </c>
      <c r="AL69" s="79">
        <v>3.74339845710614E-3</v>
      </c>
      <c r="AM69" s="7">
        <v>48.290232170000003</v>
      </c>
      <c r="AN69" s="2">
        <v>1813</v>
      </c>
      <c r="AO69" s="6">
        <f t="shared" si="45"/>
        <v>30.216666666666665</v>
      </c>
      <c r="AP69" s="5">
        <f t="shared" si="46"/>
        <v>0.11311302337889052</v>
      </c>
      <c r="AQ69" s="6">
        <f t="shared" si="47"/>
        <v>12.774935561192176</v>
      </c>
      <c r="AR69" s="2">
        <f t="shared" si="48"/>
        <v>1</v>
      </c>
      <c r="AS69" s="2">
        <f t="shared" si="49"/>
        <v>12.774935561192176</v>
      </c>
    </row>
    <row r="70" spans="1:45" x14ac:dyDescent="0.3">
      <c r="A70" s="78">
        <v>45004.270833333336</v>
      </c>
      <c r="B70" s="79">
        <v>3.26637426436355E-3</v>
      </c>
      <c r="C70" s="7">
        <v>48.290232170000003</v>
      </c>
      <c r="D70" s="2">
        <v>1957</v>
      </c>
      <c r="E70" s="6">
        <f t="shared" si="25"/>
        <v>32.616666666666667</v>
      </c>
      <c r="F70" s="6">
        <f t="shared" si="26"/>
        <v>0.10653824058932446</v>
      </c>
      <c r="G70" s="6">
        <f t="shared" si="27"/>
        <v>12.40575059980481</v>
      </c>
      <c r="H70" s="6">
        <f t="shared" si="28"/>
        <v>1</v>
      </c>
      <c r="I70" s="6">
        <f t="shared" si="29"/>
        <v>12.40575059980481</v>
      </c>
      <c r="J70" s="6">
        <f t="shared" si="30"/>
        <v>3.2040170253358202E-2</v>
      </c>
      <c r="K70" s="5">
        <f t="shared" si="31"/>
        <v>0.39748236133844672</v>
      </c>
      <c r="M70" s="78">
        <v>45031.416666666664</v>
      </c>
      <c r="N70" s="5">
        <v>2.6999655973203598E-2</v>
      </c>
      <c r="O70" s="5">
        <v>51.763919430000001</v>
      </c>
      <c r="P70" s="2">
        <v>36064</v>
      </c>
      <c r="Q70" s="7">
        <f t="shared" si="32"/>
        <v>601.06666666666672</v>
      </c>
      <c r="R70" s="6">
        <f t="shared" si="33"/>
        <v>16.228593216960245</v>
      </c>
      <c r="S70" s="6">
        <f t="shared" si="34"/>
        <v>145.38785758818173</v>
      </c>
      <c r="T70" s="2">
        <f t="shared" si="35"/>
        <v>1</v>
      </c>
      <c r="U70" s="6">
        <f t="shared" si="36"/>
        <v>145.38785758818173</v>
      </c>
      <c r="V70">
        <f>IF((R70-$AB$774)/($Z$773-$AB$774)&lt;0, 0, IF((R70-$AB$774)/($Z$773-$AB$774)&gt;1, 1, (R70-$AB$774)/($Z$773-$AB$774)))</f>
        <v>0.24442449116152626</v>
      </c>
      <c r="W70" s="6">
        <f t="shared" si="37"/>
        <v>35.536353112055764</v>
      </c>
      <c r="Y70" s="78">
        <v>45047.864583333336</v>
      </c>
      <c r="Z70">
        <v>6.89322257681967E-2</v>
      </c>
      <c r="AA70" s="6">
        <v>84.027783200000002</v>
      </c>
      <c r="AB70" s="2">
        <v>12262</v>
      </c>
      <c r="AC70" s="7">
        <f t="shared" si="38"/>
        <v>204.36666666666667</v>
      </c>
      <c r="AD70" s="7">
        <f t="shared" si="39"/>
        <v>14.087449206160466</v>
      </c>
      <c r="AE70" s="7">
        <f t="shared" si="40"/>
        <v>145.38785758818173</v>
      </c>
      <c r="AF70" s="7">
        <f t="shared" si="41"/>
        <v>0.52750356270061061</v>
      </c>
      <c r="AG70" s="6">
        <f t="shared" si="42"/>
        <v>76.692612851174871</v>
      </c>
      <c r="AH70" s="2">
        <f t="shared" si="43"/>
        <v>1</v>
      </c>
      <c r="AI70" s="7">
        <f t="shared" si="44"/>
        <v>145.38785758818173</v>
      </c>
      <c r="AK70" s="78">
        <v>45004.270833333336</v>
      </c>
      <c r="AL70" s="79">
        <v>3.26637426436355E-3</v>
      </c>
      <c r="AM70" s="7">
        <v>48.290232170000003</v>
      </c>
      <c r="AN70" s="2">
        <v>1957</v>
      </c>
      <c r="AO70" s="6">
        <f t="shared" si="45"/>
        <v>32.616666666666667</v>
      </c>
      <c r="AP70" s="5">
        <f t="shared" si="46"/>
        <v>0.10653824058932446</v>
      </c>
      <c r="AQ70" s="6">
        <f t="shared" si="47"/>
        <v>12.40575059980481</v>
      </c>
      <c r="AR70" s="2">
        <f t="shared" si="48"/>
        <v>1</v>
      </c>
      <c r="AS70" s="2">
        <f t="shared" si="49"/>
        <v>12.40575059980481</v>
      </c>
    </row>
    <row r="71" spans="1:45" x14ac:dyDescent="0.3">
      <c r="A71" s="78">
        <v>45004.28125</v>
      </c>
      <c r="B71" s="79">
        <v>3.15974160053054E-3</v>
      </c>
      <c r="C71" s="7">
        <v>49.691464410000002</v>
      </c>
      <c r="D71" s="2">
        <v>1904</v>
      </c>
      <c r="E71" s="6">
        <f t="shared" si="25"/>
        <v>31.733333333333334</v>
      </c>
      <c r="F71" s="6">
        <f t="shared" si="26"/>
        <v>0.1002691334568358</v>
      </c>
      <c r="G71" s="6">
        <f t="shared" si="27"/>
        <v>12.042736966758747</v>
      </c>
      <c r="H71" s="6">
        <f t="shared" si="28"/>
        <v>1</v>
      </c>
      <c r="I71" s="6">
        <f t="shared" si="29"/>
        <v>12.042736966758747</v>
      </c>
      <c r="J71" s="6">
        <f t="shared" si="30"/>
        <v>2.4974426273644303E-2</v>
      </c>
      <c r="K71" s="5">
        <f t="shared" si="31"/>
        <v>0.30076044650920714</v>
      </c>
      <c r="M71" s="78">
        <v>45031.427083333336</v>
      </c>
      <c r="N71" s="5">
        <v>2.6055660454418698E-2</v>
      </c>
      <c r="O71" s="5">
        <v>48.290232170000003</v>
      </c>
      <c r="P71" s="2">
        <v>35969</v>
      </c>
      <c r="Q71" s="7">
        <f t="shared" si="32"/>
        <v>599.48333333333335</v>
      </c>
      <c r="R71" s="6">
        <f t="shared" si="33"/>
        <v>15.619934181416436</v>
      </c>
      <c r="S71" s="6">
        <f t="shared" si="34"/>
        <v>142.69156352201242</v>
      </c>
      <c r="T71" s="2">
        <f t="shared" si="35"/>
        <v>0.25014414861010376</v>
      </c>
      <c r="U71" s="6">
        <f t="shared" si="36"/>
        <v>35.693459671058335</v>
      </c>
      <c r="V71">
        <f>IF((R71-$AB$774)/($Z$773-$AB$774)&lt;0, 0, IF((R71-$AB$774)/($Z$773-$AB$774)&gt;1, 1, (R71-$AB$774)/($Z$773-$AB$774)))</f>
        <v>0.13300978311059808</v>
      </c>
      <c r="W71" s="6">
        <f t="shared" si="37"/>
        <v>18.979373915775</v>
      </c>
      <c r="Y71" s="78">
        <v>45047.875</v>
      </c>
      <c r="Z71">
        <v>6.7470114269237894E-2</v>
      </c>
      <c r="AA71" s="6">
        <v>84.899432570000002</v>
      </c>
      <c r="AB71" s="2">
        <v>12731</v>
      </c>
      <c r="AC71" s="7">
        <f t="shared" si="38"/>
        <v>212.18333333333334</v>
      </c>
      <c r="AD71" s="7">
        <f t="shared" si="39"/>
        <v>14.316033746027793</v>
      </c>
      <c r="AE71" s="7">
        <f t="shared" si="40"/>
        <v>142.69156352201242</v>
      </c>
      <c r="AF71" s="7">
        <f t="shared" si="41"/>
        <v>0.62278818050289375</v>
      </c>
      <c r="AG71" s="6">
        <f t="shared" si="42"/>
        <v>88.866619218987196</v>
      </c>
      <c r="AH71" s="2">
        <f t="shared" si="43"/>
        <v>1</v>
      </c>
      <c r="AI71" s="7">
        <f t="shared" si="44"/>
        <v>142.69156352201242</v>
      </c>
      <c r="AK71" s="78">
        <v>45004.28125</v>
      </c>
      <c r="AL71" s="79">
        <v>3.15974160053054E-3</v>
      </c>
      <c r="AM71" s="7">
        <v>49.691464410000002</v>
      </c>
      <c r="AN71" s="2">
        <v>1904</v>
      </c>
      <c r="AO71" s="6">
        <f t="shared" si="45"/>
        <v>31.733333333333334</v>
      </c>
      <c r="AP71" s="5">
        <f t="shared" si="46"/>
        <v>0.1002691334568358</v>
      </c>
      <c r="AQ71" s="6">
        <f t="shared" si="47"/>
        <v>12.042736966758747</v>
      </c>
      <c r="AR71" s="2">
        <f t="shared" si="48"/>
        <v>1</v>
      </c>
      <c r="AS71" s="2">
        <f t="shared" si="49"/>
        <v>12.042736966758747</v>
      </c>
    </row>
    <row r="72" spans="1:45" x14ac:dyDescent="0.3">
      <c r="A72" s="78">
        <v>45004.291666666664</v>
      </c>
      <c r="B72" s="79">
        <v>2.9561531111022099E-3</v>
      </c>
      <c r="C72" s="7">
        <v>47.592533240000002</v>
      </c>
      <c r="D72" s="2">
        <v>1771</v>
      </c>
      <c r="E72" s="6">
        <f t="shared" si="25"/>
        <v>29.516666666666666</v>
      </c>
      <c r="F72" s="6">
        <f t="shared" si="26"/>
        <v>8.7255785996033564E-2</v>
      </c>
      <c r="G72" s="6">
        <f t="shared" si="27"/>
        <v>11.250207418747348</v>
      </c>
      <c r="H72" s="6">
        <f t="shared" si="28"/>
        <v>1</v>
      </c>
      <c r="I72" s="6">
        <f t="shared" si="29"/>
        <v>11.250207418747348</v>
      </c>
      <c r="J72" s="6">
        <f t="shared" si="30"/>
        <v>1.0307428321004834E-2</v>
      </c>
      <c r="K72" s="5">
        <f t="shared" si="31"/>
        <v>0.1159607065651751</v>
      </c>
      <c r="M72" s="78">
        <v>45031.4375</v>
      </c>
      <c r="N72" s="5">
        <v>2.9792871445015801E-2</v>
      </c>
      <c r="O72" s="5">
        <v>51.763919430000001</v>
      </c>
      <c r="P72" s="2">
        <v>35476</v>
      </c>
      <c r="Q72" s="7">
        <f t="shared" si="32"/>
        <v>591.26666666666665</v>
      </c>
      <c r="R72" s="6">
        <f t="shared" si="33"/>
        <v>17.615531789723008</v>
      </c>
      <c r="S72" s="6">
        <f t="shared" si="34"/>
        <v>151.34523276186351</v>
      </c>
      <c r="T72" s="2">
        <f t="shared" si="35"/>
        <v>1</v>
      </c>
      <c r="U72" s="6">
        <f t="shared" si="36"/>
        <v>151.34523276186351</v>
      </c>
      <c r="V72">
        <f>IF((R72-$AB$774)/($Z$773-$AB$774)&lt;0, 0, IF((R72-$AB$774)/($Z$773-$AB$774)&gt;1, 1, (R72-$AB$774)/($Z$773-$AB$774)))</f>
        <v>0.49830284857533319</v>
      </c>
      <c r="W72" s="6">
        <f t="shared" si="37"/>
        <v>75.415760603533428</v>
      </c>
      <c r="Y72" s="78">
        <v>45047.885416666664</v>
      </c>
      <c r="Z72">
        <v>6.7959156005615501E-2</v>
      </c>
      <c r="AA72" s="6">
        <v>82.718647970000006</v>
      </c>
      <c r="AB72" s="2">
        <v>12911</v>
      </c>
      <c r="AC72" s="7">
        <f t="shared" si="38"/>
        <v>215.18333333333334</v>
      </c>
      <c r="AD72" s="7">
        <f t="shared" si="39"/>
        <v>14.623677719808363</v>
      </c>
      <c r="AE72" s="7">
        <f t="shared" si="40"/>
        <v>151.34523276186351</v>
      </c>
      <c r="AF72" s="7">
        <f t="shared" si="41"/>
        <v>0.38439504414336823</v>
      </c>
      <c r="AG72" s="6">
        <f t="shared" si="42"/>
        <v>58.176357428384861</v>
      </c>
      <c r="AH72" s="2">
        <f t="shared" si="43"/>
        <v>1</v>
      </c>
      <c r="AI72" s="7">
        <f t="shared" si="44"/>
        <v>151.34523276186351</v>
      </c>
      <c r="AK72" s="78">
        <v>45004.291666666664</v>
      </c>
      <c r="AL72" s="79">
        <v>2.9561531111022099E-3</v>
      </c>
      <c r="AM72" s="7">
        <v>47.592533240000002</v>
      </c>
      <c r="AN72" s="2">
        <v>1771</v>
      </c>
      <c r="AO72" s="6">
        <f t="shared" si="45"/>
        <v>29.516666666666666</v>
      </c>
      <c r="AP72" s="5">
        <f t="shared" si="46"/>
        <v>8.7255785996033564E-2</v>
      </c>
      <c r="AQ72" s="6">
        <f t="shared" si="47"/>
        <v>11.250207418747348</v>
      </c>
      <c r="AR72" s="2">
        <f t="shared" si="48"/>
        <v>1</v>
      </c>
      <c r="AS72" s="2">
        <f t="shared" si="49"/>
        <v>11.250207418747348</v>
      </c>
    </row>
    <row r="73" spans="1:45" x14ac:dyDescent="0.3">
      <c r="A73" s="78">
        <v>45004.302083333336</v>
      </c>
      <c r="B73" s="79">
        <v>3.1966119738386701E-3</v>
      </c>
      <c r="C73" s="7">
        <v>51.763919430000001</v>
      </c>
      <c r="D73" s="2">
        <v>2139</v>
      </c>
      <c r="E73" s="6">
        <f t="shared" si="25"/>
        <v>35.65</v>
      </c>
      <c r="F73" s="6">
        <f t="shared" si="26"/>
        <v>0.11395921686734858</v>
      </c>
      <c r="G73" s="6">
        <f t="shared" si="27"/>
        <v>12.821646569842457</v>
      </c>
      <c r="H73" s="6">
        <f t="shared" si="28"/>
        <v>1</v>
      </c>
      <c r="I73" s="6">
        <f t="shared" si="29"/>
        <v>12.821646569842457</v>
      </c>
      <c r="J73" s="6">
        <f t="shared" si="30"/>
        <v>4.0404155323626664E-2</v>
      </c>
      <c r="K73" s="5">
        <f t="shared" si="31"/>
        <v>0.51804779951255964</v>
      </c>
      <c r="M73" s="78">
        <v>45031.447916666664</v>
      </c>
      <c r="N73" s="5">
        <v>2.6537359982651099E-2</v>
      </c>
      <c r="O73" s="5">
        <v>48.30225712</v>
      </c>
      <c r="P73" s="2">
        <v>36016</v>
      </c>
      <c r="Q73" s="7">
        <f t="shared" si="32"/>
        <v>600.26666666666665</v>
      </c>
      <c r="R73" s="6">
        <f t="shared" si="33"/>
        <v>15.929492618919365</v>
      </c>
      <c r="S73" s="6">
        <f t="shared" si="34"/>
        <v>144.06944534636659</v>
      </c>
      <c r="T73" s="2">
        <f t="shared" si="35"/>
        <v>0.25445542206988725</v>
      </c>
      <c r="U73" s="6">
        <f t="shared" si="36"/>
        <v>36.659251522984263</v>
      </c>
      <c r="V73">
        <f>IF((R73-$AB$774)/($Z$773-$AB$774)&lt;0, 0, IF((R73-$AB$774)/($Z$773-$AB$774)&gt;1, 1, (R73-$AB$774)/($Z$773-$AB$774)))</f>
        <v>0.1896742880715335</v>
      </c>
      <c r="W73" s="6">
        <f t="shared" si="37"/>
        <v>27.326269478932787</v>
      </c>
      <c r="Y73" s="78">
        <v>45047.895833333336</v>
      </c>
      <c r="Z73">
        <v>6.8463672932695896E-2</v>
      </c>
      <c r="AA73" s="6">
        <v>86.199962600000006</v>
      </c>
      <c r="AB73" s="2">
        <v>12777</v>
      </c>
      <c r="AC73" s="7">
        <f t="shared" si="38"/>
        <v>212.95</v>
      </c>
      <c r="AD73" s="7">
        <f t="shared" si="39"/>
        <v>14.57933915101759</v>
      </c>
      <c r="AE73" s="7">
        <f t="shared" si="40"/>
        <v>144.06944534636659</v>
      </c>
      <c r="AF73" s="7">
        <f t="shared" si="41"/>
        <v>0.7649560189870106</v>
      </c>
      <c r="AG73" s="6">
        <f t="shared" si="42"/>
        <v>110.20678936982328</v>
      </c>
      <c r="AH73" s="2">
        <f t="shared" si="43"/>
        <v>1</v>
      </c>
      <c r="AI73" s="7">
        <f t="shared" si="44"/>
        <v>144.06944534636659</v>
      </c>
      <c r="AK73" s="78">
        <v>45004.302083333336</v>
      </c>
      <c r="AL73" s="79">
        <v>3.1966119738386701E-3</v>
      </c>
      <c r="AM73" s="7">
        <v>51.763919430000001</v>
      </c>
      <c r="AN73" s="2">
        <v>2139</v>
      </c>
      <c r="AO73" s="6">
        <f t="shared" si="45"/>
        <v>35.65</v>
      </c>
      <c r="AP73" s="5">
        <f t="shared" si="46"/>
        <v>0.11395921686734858</v>
      </c>
      <c r="AQ73" s="6">
        <f t="shared" si="47"/>
        <v>12.821646569842457</v>
      </c>
      <c r="AR73" s="2">
        <f t="shared" si="48"/>
        <v>1</v>
      </c>
      <c r="AS73" s="2">
        <f t="shared" si="49"/>
        <v>12.821646569842457</v>
      </c>
    </row>
    <row r="74" spans="1:45" x14ac:dyDescent="0.3">
      <c r="A74" s="78">
        <v>45004.3125</v>
      </c>
      <c r="B74" s="79">
        <v>3.1110803561831598E-3</v>
      </c>
      <c r="C74" s="7">
        <v>47.592533240000002</v>
      </c>
      <c r="D74" s="2">
        <v>1886</v>
      </c>
      <c r="E74" s="6">
        <f t="shared" si="25"/>
        <v>31.433333333333334</v>
      </c>
      <c r="F74" s="6">
        <f t="shared" si="26"/>
        <v>9.7791625862690662E-2</v>
      </c>
      <c r="G74" s="6">
        <f t="shared" si="27"/>
        <v>11.896092127646789</v>
      </c>
      <c r="H74" s="6">
        <f t="shared" si="28"/>
        <v>1</v>
      </c>
      <c r="I74" s="6">
        <f t="shared" si="29"/>
        <v>11.896092127646789</v>
      </c>
      <c r="J74" s="6">
        <f t="shared" si="30"/>
        <v>2.2182093330838565E-2</v>
      </c>
      <c r="K74" s="5">
        <f t="shared" si="31"/>
        <v>0.26388022584771498</v>
      </c>
      <c r="M74" s="78">
        <v>45031.458333333336</v>
      </c>
      <c r="N74" s="5">
        <v>2.55504507994616E-2</v>
      </c>
      <c r="O74" s="5">
        <v>50.393595470000001</v>
      </c>
      <c r="P74" s="2">
        <v>35319</v>
      </c>
      <c r="Q74" s="7">
        <f t="shared" si="32"/>
        <v>588.65</v>
      </c>
      <c r="R74" s="6">
        <f t="shared" si="33"/>
        <v>15.04027286310307</v>
      </c>
      <c r="S74" s="6">
        <f t="shared" si="34"/>
        <v>140.07341486947786</v>
      </c>
      <c r="T74" s="2">
        <f t="shared" si="35"/>
        <v>1</v>
      </c>
      <c r="U74" s="6">
        <f t="shared" si="36"/>
        <v>140.07341486947786</v>
      </c>
      <c r="V74">
        <f>IF((R74-$AB$774)/($Z$773-$AB$774)&lt;0, 0, IF((R74-$AB$774)/($Z$773-$AB$774)&gt;1, 1, (R74-$AB$774)/($Z$773-$AB$774)))</f>
        <v>2.6903091552822875E-2</v>
      </c>
      <c r="W74" s="6">
        <f t="shared" si="37"/>
        <v>3.768407904350104</v>
      </c>
      <c r="Y74" s="78">
        <v>45047.90625</v>
      </c>
      <c r="Z74">
        <v>6.4694294394534099E-2</v>
      </c>
      <c r="AA74" s="6">
        <v>86.199962600000006</v>
      </c>
      <c r="AB74" s="2">
        <v>12998</v>
      </c>
      <c r="AC74" s="7">
        <f t="shared" si="38"/>
        <v>216.63333333333333</v>
      </c>
      <c r="AD74" s="7">
        <f t="shared" si="39"/>
        <v>14.014940642335903</v>
      </c>
      <c r="AE74" s="7">
        <f t="shared" si="40"/>
        <v>140.07341486947786</v>
      </c>
      <c r="AF74" s="7">
        <f t="shared" si="41"/>
        <v>0.7649560189870106</v>
      </c>
      <c r="AG74" s="6">
        <f t="shared" si="42"/>
        <v>107.15000180447171</v>
      </c>
      <c r="AH74" s="2">
        <f t="shared" si="43"/>
        <v>1</v>
      </c>
      <c r="AI74" s="7">
        <f t="shared" si="44"/>
        <v>140.07341486947786</v>
      </c>
      <c r="AK74" s="78">
        <v>45004.3125</v>
      </c>
      <c r="AL74" s="79">
        <v>3.1110803561831598E-3</v>
      </c>
      <c r="AM74" s="7">
        <v>47.592533240000002</v>
      </c>
      <c r="AN74" s="2">
        <v>1886</v>
      </c>
      <c r="AO74" s="6">
        <f t="shared" si="45"/>
        <v>31.433333333333334</v>
      </c>
      <c r="AP74" s="5">
        <f t="shared" si="46"/>
        <v>9.7791625862690662E-2</v>
      </c>
      <c r="AQ74" s="6">
        <f t="shared" si="47"/>
        <v>11.896092127646789</v>
      </c>
      <c r="AR74" s="2">
        <f t="shared" si="48"/>
        <v>1</v>
      </c>
      <c r="AS74" s="2">
        <f t="shared" si="49"/>
        <v>11.896092127646789</v>
      </c>
    </row>
    <row r="75" spans="1:45" x14ac:dyDescent="0.3">
      <c r="A75" s="78">
        <v>45004.322916666664</v>
      </c>
      <c r="B75" s="79">
        <v>3.1210035716564199E-3</v>
      </c>
      <c r="C75" s="7">
        <v>47.592533240000002</v>
      </c>
      <c r="D75" s="2">
        <v>1835</v>
      </c>
      <c r="E75" s="6">
        <f t="shared" si="25"/>
        <v>30.583333333333332</v>
      </c>
      <c r="F75" s="6">
        <f t="shared" si="26"/>
        <v>9.5450692566492176E-2</v>
      </c>
      <c r="G75" s="6">
        <f t="shared" si="27"/>
        <v>11.755778918853204</v>
      </c>
      <c r="H75" s="6">
        <f t="shared" si="28"/>
        <v>1</v>
      </c>
      <c r="I75" s="6">
        <f t="shared" si="29"/>
        <v>11.755778918853204</v>
      </c>
      <c r="J75" s="6">
        <f t="shared" si="30"/>
        <v>1.9543689648309662E-2</v>
      </c>
      <c r="K75" s="5">
        <f t="shared" si="31"/>
        <v>0.22975129476420833</v>
      </c>
      <c r="M75" s="78">
        <v>45031.46875</v>
      </c>
      <c r="N75" s="5">
        <v>2.5913018993059599E-2</v>
      </c>
      <c r="O75" s="5">
        <v>51.0808441</v>
      </c>
      <c r="P75" s="2">
        <v>34874</v>
      </c>
      <c r="Q75" s="7">
        <f t="shared" si="32"/>
        <v>581.23333333333335</v>
      </c>
      <c r="R75" s="6">
        <f t="shared" si="33"/>
        <v>15.061510406066008</v>
      </c>
      <c r="S75" s="6">
        <f t="shared" si="34"/>
        <v>140.17023774790081</v>
      </c>
      <c r="T75" s="2">
        <f t="shared" si="35"/>
        <v>1</v>
      </c>
      <c r="U75" s="6">
        <f t="shared" si="36"/>
        <v>140.17023774790081</v>
      </c>
      <c r="V75">
        <f>IF((R75-$AB$774)/($Z$773-$AB$774)&lt;0, 0, IF((R75-$AB$774)/($Z$773-$AB$774)&gt;1, 1, (R75-$AB$774)/($Z$773-$AB$774)))</f>
        <v>3.0790612333354294E-2</v>
      </c>
      <c r="W75" s="6">
        <f t="shared" si="37"/>
        <v>4.3159274511697188</v>
      </c>
      <c r="Y75" s="78">
        <v>45047.916666666664</v>
      </c>
      <c r="Z75">
        <v>9.4228698833576097E-2</v>
      </c>
      <c r="AA75" s="6">
        <v>87.494480339999996</v>
      </c>
      <c r="AB75" s="2">
        <v>8941</v>
      </c>
      <c r="AC75" s="7">
        <f t="shared" si="38"/>
        <v>149.01666666666668</v>
      </c>
      <c r="AD75" s="7">
        <f t="shared" si="39"/>
        <v>14.041646604516732</v>
      </c>
      <c r="AE75" s="7">
        <f t="shared" si="40"/>
        <v>140.17023774790081</v>
      </c>
      <c r="AF75" s="7">
        <f t="shared" si="41"/>
        <v>0.90646662214866303</v>
      </c>
      <c r="AG75" s="6">
        <f t="shared" si="42"/>
        <v>127.05964193711468</v>
      </c>
      <c r="AH75" s="2">
        <f t="shared" si="43"/>
        <v>1</v>
      </c>
      <c r="AI75" s="7">
        <f t="shared" si="44"/>
        <v>140.17023774790081</v>
      </c>
      <c r="AK75" s="78">
        <v>45004.322916666664</v>
      </c>
      <c r="AL75" s="79">
        <v>3.1210035716564199E-3</v>
      </c>
      <c r="AM75" s="7">
        <v>47.592533240000002</v>
      </c>
      <c r="AN75" s="2">
        <v>1835</v>
      </c>
      <c r="AO75" s="6">
        <f t="shared" si="45"/>
        <v>30.583333333333332</v>
      </c>
      <c r="AP75" s="5">
        <f t="shared" si="46"/>
        <v>9.5450692566492176E-2</v>
      </c>
      <c r="AQ75" s="6">
        <f t="shared" si="47"/>
        <v>11.755778918853204</v>
      </c>
      <c r="AR75" s="2">
        <f t="shared" si="48"/>
        <v>1</v>
      </c>
      <c r="AS75" s="2">
        <f t="shared" si="49"/>
        <v>11.755778918853204</v>
      </c>
    </row>
    <row r="76" spans="1:45" x14ac:dyDescent="0.3">
      <c r="A76" s="78">
        <v>45004.333333333336</v>
      </c>
      <c r="B76" s="79">
        <v>3.2505959948527902E-3</v>
      </c>
      <c r="C76" s="7">
        <v>42.537916889999998</v>
      </c>
      <c r="D76" s="2">
        <v>1701</v>
      </c>
      <c r="E76" s="6">
        <f t="shared" si="25"/>
        <v>28.35</v>
      </c>
      <c r="F76" s="6">
        <f t="shared" si="26"/>
        <v>9.2154396454076609E-2</v>
      </c>
      <c r="G76" s="6">
        <f t="shared" si="27"/>
        <v>11.555190424367634</v>
      </c>
      <c r="H76" s="6">
        <f t="shared" si="28"/>
        <v>0.99912265220144547</v>
      </c>
      <c r="I76" s="6">
        <f t="shared" si="29"/>
        <v>11.545052503486938</v>
      </c>
      <c r="J76" s="6">
        <f t="shared" si="30"/>
        <v>1.5828521934720303E-2</v>
      </c>
      <c r="K76" s="5">
        <f t="shared" si="31"/>
        <v>0.1829015850919731</v>
      </c>
      <c r="M76" s="78">
        <v>45031.479166666664</v>
      </c>
      <c r="N76" s="5">
        <v>2.6355641160223601E-2</v>
      </c>
      <c r="O76" s="5">
        <v>48.998295149999997</v>
      </c>
      <c r="P76" s="2">
        <v>34934</v>
      </c>
      <c r="Q76" s="7">
        <f t="shared" si="32"/>
        <v>582.23333333333335</v>
      </c>
      <c r="R76" s="6">
        <f t="shared" si="33"/>
        <v>15.345132804854188</v>
      </c>
      <c r="S76" s="6">
        <f t="shared" si="34"/>
        <v>141.45666688672671</v>
      </c>
      <c r="T76" s="2">
        <f t="shared" si="35"/>
        <v>0.50400409260404266</v>
      </c>
      <c r="U76" s="6">
        <f t="shared" si="36"/>
        <v>71.294739037037019</v>
      </c>
      <c r="V76">
        <f>IF((R76-$AB$774)/($Z$773-$AB$774)&lt;0, 0, IF((R76-$AB$774)/($Z$773-$AB$774)&gt;1, 1, (R76-$AB$774)/($Z$773-$AB$774)))</f>
        <v>8.2707539401488853E-2</v>
      </c>
      <c r="W76" s="6">
        <f t="shared" si="37"/>
        <v>11.699532850137233</v>
      </c>
      <c r="Y76" s="78">
        <v>45047.927083333336</v>
      </c>
      <c r="Z76">
        <v>9.0797821221923897E-2</v>
      </c>
      <c r="AA76" s="6">
        <v>86.199962600000006</v>
      </c>
      <c r="AB76" s="2">
        <v>8797</v>
      </c>
      <c r="AC76" s="7">
        <f t="shared" si="38"/>
        <v>146.61666666666667</v>
      </c>
      <c r="AD76" s="7">
        <f t="shared" si="39"/>
        <v>13.312473888154409</v>
      </c>
      <c r="AE76" s="7">
        <f t="shared" si="40"/>
        <v>141.45666688672671</v>
      </c>
      <c r="AF76" s="7">
        <f t="shared" si="41"/>
        <v>0.7649560189870106</v>
      </c>
      <c r="AG76" s="6">
        <f t="shared" si="42"/>
        <v>108.20812876084214</v>
      </c>
      <c r="AH76" s="2">
        <f t="shared" si="43"/>
        <v>0.19289870965290537</v>
      </c>
      <c r="AI76" s="7">
        <f t="shared" si="44"/>
        <v>27.286808514250449</v>
      </c>
      <c r="AK76" s="78">
        <v>45004.333333333336</v>
      </c>
      <c r="AL76" s="79">
        <v>3.2505959948527902E-3</v>
      </c>
      <c r="AM76" s="7">
        <v>42.537916889999998</v>
      </c>
      <c r="AN76" s="2">
        <v>1701</v>
      </c>
      <c r="AO76" s="6">
        <f t="shared" si="45"/>
        <v>28.35</v>
      </c>
      <c r="AP76" s="5">
        <f t="shared" si="46"/>
        <v>9.2154396454076609E-2</v>
      </c>
      <c r="AQ76" s="6">
        <f t="shared" si="47"/>
        <v>11.555190424367634</v>
      </c>
      <c r="AR76" s="2">
        <f t="shared" si="48"/>
        <v>0</v>
      </c>
      <c r="AS76" s="2">
        <f t="shared" si="49"/>
        <v>0</v>
      </c>
    </row>
    <row r="77" spans="1:45" x14ac:dyDescent="0.3">
      <c r="A77" s="78">
        <v>45004.34375</v>
      </c>
      <c r="B77" s="79">
        <v>3.1682482267660801E-3</v>
      </c>
      <c r="C77" s="7">
        <v>42.537916889999998</v>
      </c>
      <c r="D77" s="2">
        <v>1825</v>
      </c>
      <c r="E77" s="6">
        <f t="shared" si="25"/>
        <v>30.416666666666668</v>
      </c>
      <c r="F77" s="6">
        <f t="shared" si="26"/>
        <v>9.636755023080161E-2</v>
      </c>
      <c r="G77" s="6">
        <f t="shared" si="27"/>
        <v>11.810941398169666</v>
      </c>
      <c r="H77" s="6">
        <f t="shared" si="28"/>
        <v>0.99912265220144547</v>
      </c>
      <c r="I77" s="6">
        <f t="shared" si="29"/>
        <v>11.800579094735125</v>
      </c>
      <c r="J77" s="6">
        <f t="shared" si="30"/>
        <v>2.0577055546345806E-2</v>
      </c>
      <c r="K77" s="5">
        <f t="shared" si="31"/>
        <v>0.24303439720477241</v>
      </c>
      <c r="M77" s="78">
        <v>45031.489583333336</v>
      </c>
      <c r="N77" s="5">
        <v>2.5272069525542899E-2</v>
      </c>
      <c r="O77" s="5">
        <v>48.998295149999997</v>
      </c>
      <c r="P77" s="2">
        <v>35074</v>
      </c>
      <c r="Q77" s="7">
        <f t="shared" si="32"/>
        <v>584.56666666666672</v>
      </c>
      <c r="R77" s="6">
        <f t="shared" si="33"/>
        <v>14.773209442314862</v>
      </c>
      <c r="S77" s="6">
        <f t="shared" si="34"/>
        <v>138.84985455142453</v>
      </c>
      <c r="T77" s="2">
        <f t="shared" si="35"/>
        <v>0.50400409260404266</v>
      </c>
      <c r="U77" s="6">
        <f t="shared" si="36"/>
        <v>69.980894951394021</v>
      </c>
      <c r="V77">
        <f>IF((R77-$AB$774)/($Z$773-$AB$774)&lt;0, 0, IF((R77-$AB$774)/($Z$773-$AB$774)&gt;1, 1, (R77-$AB$774)/($Z$773-$AB$774)))</f>
        <v>0</v>
      </c>
      <c r="W77" s="6">
        <f t="shared" si="37"/>
        <v>0</v>
      </c>
      <c r="Y77" s="78">
        <v>45047.9375</v>
      </c>
      <c r="Z77">
        <v>9.6011472213576199E-2</v>
      </c>
      <c r="AA77" s="6">
        <v>82.718647970000006</v>
      </c>
      <c r="AB77" s="2">
        <v>8718</v>
      </c>
      <c r="AC77" s="7">
        <f t="shared" si="38"/>
        <v>145.30000000000001</v>
      </c>
      <c r="AD77" s="7">
        <f t="shared" si="39"/>
        <v>13.950466912632622</v>
      </c>
      <c r="AE77" s="7">
        <f t="shared" si="40"/>
        <v>138.84985455142453</v>
      </c>
      <c r="AF77" s="7">
        <f t="shared" si="41"/>
        <v>0.38439504414336823</v>
      </c>
      <c r="AG77" s="6">
        <f t="shared" si="42"/>
        <v>53.373195969595088</v>
      </c>
      <c r="AH77" s="2">
        <f t="shared" si="43"/>
        <v>1</v>
      </c>
      <c r="AI77" s="7">
        <f t="shared" si="44"/>
        <v>138.84985455142453</v>
      </c>
      <c r="AK77" s="78">
        <v>45004.34375</v>
      </c>
      <c r="AL77" s="79">
        <v>3.1682482267660801E-3</v>
      </c>
      <c r="AM77" s="7">
        <v>42.537916889999998</v>
      </c>
      <c r="AN77" s="2">
        <v>1825</v>
      </c>
      <c r="AO77" s="6">
        <f t="shared" si="45"/>
        <v>30.416666666666668</v>
      </c>
      <c r="AP77" s="5">
        <f t="shared" si="46"/>
        <v>9.636755023080161E-2</v>
      </c>
      <c r="AQ77" s="6">
        <f t="shared" si="47"/>
        <v>11.810941398169666</v>
      </c>
      <c r="AR77" s="2">
        <f t="shared" si="48"/>
        <v>0</v>
      </c>
      <c r="AS77" s="2">
        <f t="shared" si="49"/>
        <v>0</v>
      </c>
    </row>
    <row r="78" spans="1:45" x14ac:dyDescent="0.3">
      <c r="A78" s="78">
        <v>45004.354166666664</v>
      </c>
      <c r="B78" s="79">
        <v>3.4474404482541E-3</v>
      </c>
      <c r="C78" s="7">
        <v>40.310795710000001</v>
      </c>
      <c r="D78" s="2">
        <v>1843</v>
      </c>
      <c r="E78" s="6">
        <f t="shared" si="25"/>
        <v>30.716666666666665</v>
      </c>
      <c r="F78" s="6">
        <f t="shared" si="26"/>
        <v>0.1058938791022051</v>
      </c>
      <c r="G78" s="6">
        <f t="shared" si="27"/>
        <v>12.368950505405337</v>
      </c>
      <c r="H78" s="6">
        <f t="shared" si="28"/>
        <v>0.84863920345756538</v>
      </c>
      <c r="I78" s="6">
        <f t="shared" si="29"/>
        <v>10.496776304513237</v>
      </c>
      <c r="J78" s="6">
        <f t="shared" si="30"/>
        <v>3.1313927552100405E-2</v>
      </c>
      <c r="K78" s="5">
        <f t="shared" si="31"/>
        <v>0.38732042002177841</v>
      </c>
      <c r="M78" s="78">
        <v>45031.5</v>
      </c>
      <c r="N78" s="5">
        <v>2.4004757271361501E-2</v>
      </c>
      <c r="O78" s="5">
        <v>48.998295149999997</v>
      </c>
      <c r="P78" s="2">
        <v>37522</v>
      </c>
      <c r="Q78" s="7">
        <f t="shared" si="32"/>
        <v>625.36666666666667</v>
      </c>
      <c r="R78" s="6">
        <f t="shared" si="33"/>
        <v>15.01177503893377</v>
      </c>
      <c r="S78" s="6">
        <f t="shared" si="34"/>
        <v>139.94338236806948</v>
      </c>
      <c r="T78" s="2">
        <f t="shared" si="35"/>
        <v>0.50400409260404266</v>
      </c>
      <c r="U78" s="6">
        <f t="shared" si="36"/>
        <v>70.532037446359439</v>
      </c>
      <c r="V78">
        <f>IF((R78-$AB$774)/($Z$773-$AB$774)&lt;0, 0, IF((R78-$AB$774)/($Z$773-$AB$774)&gt;1, 1, (R78-$AB$774)/($Z$773-$AB$774)))</f>
        <v>2.1686580214792011E-2</v>
      </c>
      <c r="W78" s="6">
        <f t="shared" si="37"/>
        <v>3.0348933872544488</v>
      </c>
      <c r="Y78" s="78">
        <v>45047.947916666664</v>
      </c>
      <c r="Z78">
        <v>9.4553213138944797E-2</v>
      </c>
      <c r="AA78" s="6">
        <v>88.350109630000006</v>
      </c>
      <c r="AB78" s="2">
        <v>8807</v>
      </c>
      <c r="AC78" s="7">
        <f t="shared" si="38"/>
        <v>146.78333333333333</v>
      </c>
      <c r="AD78" s="7">
        <f t="shared" si="39"/>
        <v>13.878835801911446</v>
      </c>
      <c r="AE78" s="7">
        <f t="shared" si="40"/>
        <v>139.94338236806948</v>
      </c>
      <c r="AF78" s="7">
        <f t="shared" si="41"/>
        <v>1</v>
      </c>
      <c r="AG78" s="6">
        <f t="shared" si="42"/>
        <v>139.94338236806948</v>
      </c>
      <c r="AH78" s="2">
        <f t="shared" si="43"/>
        <v>1</v>
      </c>
      <c r="AI78" s="7">
        <f t="shared" si="44"/>
        <v>139.94338236806948</v>
      </c>
      <c r="AK78" s="78">
        <v>45004.354166666664</v>
      </c>
      <c r="AL78" s="79">
        <v>3.4474404482541E-3</v>
      </c>
      <c r="AM78" s="7">
        <v>40.310795710000001</v>
      </c>
      <c r="AN78" s="2">
        <v>1843</v>
      </c>
      <c r="AO78" s="6">
        <f t="shared" si="45"/>
        <v>30.716666666666665</v>
      </c>
      <c r="AP78" s="5">
        <f t="shared" si="46"/>
        <v>0.1058938791022051</v>
      </c>
      <c r="AQ78" s="6">
        <f t="shared" si="47"/>
        <v>12.368950505405337</v>
      </c>
      <c r="AR78" s="2">
        <f t="shared" si="48"/>
        <v>0</v>
      </c>
      <c r="AS78" s="2">
        <f t="shared" si="49"/>
        <v>0</v>
      </c>
    </row>
    <row r="79" spans="1:45" x14ac:dyDescent="0.3">
      <c r="A79" s="78">
        <v>45004.364583333336</v>
      </c>
      <c r="B79" s="79">
        <v>3.1735153550914402E-3</v>
      </c>
      <c r="C79" s="7">
        <v>44.034259820000003</v>
      </c>
      <c r="D79" s="2">
        <v>1554</v>
      </c>
      <c r="E79" s="6">
        <f t="shared" si="25"/>
        <v>25.9</v>
      </c>
      <c r="F79" s="6">
        <f t="shared" si="26"/>
        <v>8.2194047696868291E-2</v>
      </c>
      <c r="G79" s="6">
        <f t="shared" si="27"/>
        <v>10.925741498047156</v>
      </c>
      <c r="H79" s="6">
        <f t="shared" si="28"/>
        <v>1</v>
      </c>
      <c r="I79" s="6">
        <f t="shared" si="29"/>
        <v>10.925741498047156</v>
      </c>
      <c r="J79" s="6">
        <f t="shared" si="30"/>
        <v>4.6024776544468923E-3</v>
      </c>
      <c r="K79" s="5">
        <f t="shared" si="31"/>
        <v>5.0285481103025151E-2</v>
      </c>
      <c r="M79" s="78">
        <v>45031.510416666664</v>
      </c>
      <c r="N79" s="5">
        <v>2.5901283167464501E-2</v>
      </c>
      <c r="O79" s="5">
        <v>48.998295149999997</v>
      </c>
      <c r="P79" s="2">
        <v>37681</v>
      </c>
      <c r="Q79" s="7">
        <f t="shared" si="32"/>
        <v>628.01666666666665</v>
      </c>
      <c r="R79" s="6">
        <f t="shared" si="33"/>
        <v>16.266437517220499</v>
      </c>
      <c r="S79" s="6">
        <f t="shared" si="34"/>
        <v>145.55378558420549</v>
      </c>
      <c r="T79" s="2">
        <f t="shared" si="35"/>
        <v>0.50400409260404266</v>
      </c>
      <c r="U79" s="6">
        <f t="shared" si="36"/>
        <v>73.359703628450873</v>
      </c>
      <c r="V79">
        <f>IF((R79-$AB$774)/($Z$773-$AB$774)&lt;0, 0, IF((R79-$AB$774)/($Z$773-$AB$774)&gt;1, 1, (R79-$AB$774)/($Z$773-$AB$774)))</f>
        <v>0.25135186990506314</v>
      </c>
      <c r="W79" s="6">
        <f t="shared" si="37"/>
        <v>36.58521617835067</v>
      </c>
      <c r="Y79" s="78">
        <v>45047.958333333336</v>
      </c>
      <c r="Z79">
        <v>9.0670515392771003E-2</v>
      </c>
      <c r="AA79" s="6">
        <v>89.209976960000006</v>
      </c>
      <c r="AB79" s="2">
        <v>8684</v>
      </c>
      <c r="AC79" s="7">
        <f t="shared" si="38"/>
        <v>144.73333333333332</v>
      </c>
      <c r="AD79" s="7">
        <f t="shared" si="39"/>
        <v>13.123045927847055</v>
      </c>
      <c r="AE79" s="7">
        <f t="shared" si="40"/>
        <v>145.55378558420549</v>
      </c>
      <c r="AF79" s="7">
        <f t="shared" si="41"/>
        <v>1</v>
      </c>
      <c r="AG79" s="6">
        <f t="shared" si="42"/>
        <v>145.55378558420549</v>
      </c>
      <c r="AH79" s="2">
        <f t="shared" si="43"/>
        <v>0</v>
      </c>
      <c r="AI79" s="7">
        <f t="shared" si="44"/>
        <v>0</v>
      </c>
      <c r="AK79" s="78">
        <v>45004.364583333336</v>
      </c>
      <c r="AL79" s="79">
        <v>3.1735153550914402E-3</v>
      </c>
      <c r="AM79" s="7">
        <v>44.034259820000003</v>
      </c>
      <c r="AN79" s="2">
        <v>1554</v>
      </c>
      <c r="AO79" s="6">
        <f t="shared" si="45"/>
        <v>25.9</v>
      </c>
      <c r="AP79" s="5">
        <f t="shared" si="46"/>
        <v>8.2194047696868291E-2</v>
      </c>
      <c r="AQ79" s="6">
        <f t="shared" si="47"/>
        <v>10.925741498047156</v>
      </c>
      <c r="AR79" s="2">
        <f t="shared" si="48"/>
        <v>0</v>
      </c>
      <c r="AS79" s="2">
        <f t="shared" si="49"/>
        <v>0</v>
      </c>
    </row>
    <row r="80" spans="1:45" x14ac:dyDescent="0.3">
      <c r="A80" s="78">
        <v>45004.375</v>
      </c>
      <c r="B80" s="79">
        <v>3.25056844205224E-3</v>
      </c>
      <c r="C80" s="7">
        <v>40.323477179999998</v>
      </c>
      <c r="D80" s="2">
        <v>1587</v>
      </c>
      <c r="E80" s="6">
        <f t="shared" si="25"/>
        <v>26.45</v>
      </c>
      <c r="F80" s="6">
        <f t="shared" si="26"/>
        <v>8.5977535292281748E-2</v>
      </c>
      <c r="G80" s="6">
        <f t="shared" si="27"/>
        <v>11.169196275386893</v>
      </c>
      <c r="H80" s="6">
        <f t="shared" si="28"/>
        <v>0.84949607256638571</v>
      </c>
      <c r="I80" s="6">
        <f t="shared" si="29"/>
        <v>9.4881883696642699</v>
      </c>
      <c r="J80" s="6">
        <f t="shared" si="30"/>
        <v>8.8667459361411894E-3</v>
      </c>
      <c r="K80" s="5">
        <f t="shared" si="31"/>
        <v>9.9034425684750044E-2</v>
      </c>
      <c r="M80" s="78">
        <v>45031.520833333336</v>
      </c>
      <c r="N80" s="5">
        <v>2.71037544532922E-2</v>
      </c>
      <c r="O80" s="5">
        <v>48.998295149999997</v>
      </c>
      <c r="P80" s="2">
        <v>36386</v>
      </c>
      <c r="Q80" s="7">
        <f t="shared" si="32"/>
        <v>606.43333333333328</v>
      </c>
      <c r="R80" s="6">
        <f t="shared" si="33"/>
        <v>16.436620158958164</v>
      </c>
      <c r="S80" s="6">
        <f t="shared" si="34"/>
        <v>146.29752643259761</v>
      </c>
      <c r="T80" s="2">
        <f t="shared" si="35"/>
        <v>0.50400409260404266</v>
      </c>
      <c r="U80" s="6">
        <f t="shared" si="36"/>
        <v>73.734552059877302</v>
      </c>
      <c r="V80">
        <f>IF((R80-$AB$774)/($Z$773-$AB$774)&lt;0, 0, IF((R80-$AB$774)/($Z$773-$AB$774)&gt;1, 1, (R80-$AB$774)/($Z$773-$AB$774)))</f>
        <v>0.28250371065215224</v>
      </c>
      <c r="W80" s="6">
        <f t="shared" si="37"/>
        <v>41.329594076440145</v>
      </c>
      <c r="Y80" s="78">
        <v>45047.96875</v>
      </c>
      <c r="Z80">
        <v>9.2971148302521997E-2</v>
      </c>
      <c r="AA80" s="6">
        <v>82.718647970000006</v>
      </c>
      <c r="AB80" s="2">
        <v>8643</v>
      </c>
      <c r="AC80" s="7">
        <f t="shared" si="38"/>
        <v>144.05000000000001</v>
      </c>
      <c r="AD80" s="7">
        <f t="shared" si="39"/>
        <v>13.392493912978296</v>
      </c>
      <c r="AE80" s="7">
        <f t="shared" si="40"/>
        <v>146.29752643259761</v>
      </c>
      <c r="AF80" s="7">
        <f t="shared" si="41"/>
        <v>0.38439504414336823</v>
      </c>
      <c r="AG80" s="6">
        <f t="shared" si="42"/>
        <v>56.23604413112394</v>
      </c>
      <c r="AH80" s="2">
        <f t="shared" si="43"/>
        <v>0.447727460579119</v>
      </c>
      <c r="AI80" s="7">
        <f t="shared" si="44"/>
        <v>65.50141999867347</v>
      </c>
      <c r="AK80" s="78">
        <v>45004.375</v>
      </c>
      <c r="AL80" s="79">
        <v>3.25056844205224E-3</v>
      </c>
      <c r="AM80" s="7">
        <v>40.323477179999998</v>
      </c>
      <c r="AN80" s="2">
        <v>1587</v>
      </c>
      <c r="AO80" s="6">
        <f t="shared" si="45"/>
        <v>26.45</v>
      </c>
      <c r="AP80" s="5">
        <f t="shared" si="46"/>
        <v>8.5977535292281748E-2</v>
      </c>
      <c r="AQ80" s="6">
        <f t="shared" si="47"/>
        <v>11.169196275386893</v>
      </c>
      <c r="AR80" s="2">
        <f t="shared" si="48"/>
        <v>0</v>
      </c>
      <c r="AS80" s="2">
        <f t="shared" si="49"/>
        <v>0</v>
      </c>
    </row>
    <row r="81" spans="1:45" x14ac:dyDescent="0.3">
      <c r="A81" s="78">
        <v>45004.385416666664</v>
      </c>
      <c r="B81" s="79">
        <v>3.11933793408505E-3</v>
      </c>
      <c r="C81" s="7">
        <v>36.602484089999997</v>
      </c>
      <c r="D81" s="2">
        <v>1533</v>
      </c>
      <c r="E81" s="6">
        <f t="shared" si="25"/>
        <v>25.55</v>
      </c>
      <c r="F81" s="6">
        <f t="shared" si="26"/>
        <v>7.9699084215873031E-2</v>
      </c>
      <c r="G81" s="6">
        <f t="shared" si="27"/>
        <v>10.762057025978693</v>
      </c>
      <c r="H81" s="6">
        <f t="shared" si="28"/>
        <v>0.59807379794397486</v>
      </c>
      <c r="I81" s="6">
        <f t="shared" si="29"/>
        <v>6.4365043192167164</v>
      </c>
      <c r="J81" s="6">
        <f t="shared" si="30"/>
        <v>1.7904706456513383E-3</v>
      </c>
      <c r="K81" s="5">
        <f t="shared" si="31"/>
        <v>1.9269147191840592E-2</v>
      </c>
      <c r="M81" s="78">
        <v>45031.53125</v>
      </c>
      <c r="N81" s="5">
        <v>2.4721581323935302E-2</v>
      </c>
      <c r="O81" s="5">
        <v>51.0808441</v>
      </c>
      <c r="P81" s="2">
        <v>36183</v>
      </c>
      <c r="Q81" s="7">
        <f t="shared" si="32"/>
        <v>603.04999999999995</v>
      </c>
      <c r="R81" s="6">
        <f t="shared" si="33"/>
        <v>14.908349617399182</v>
      </c>
      <c r="S81" s="6">
        <f t="shared" si="34"/>
        <v>139.47040196460691</v>
      </c>
      <c r="T81" s="2">
        <f t="shared" si="35"/>
        <v>1</v>
      </c>
      <c r="U81" s="6">
        <f t="shared" si="36"/>
        <v>139.47040196460691</v>
      </c>
      <c r="V81">
        <f>IF((R81-$AB$774)/($Z$773-$AB$774)&lt;0, 0, IF((R81-$AB$774)/($Z$773-$AB$774)&gt;1, 1, (R81-$AB$774)/($Z$773-$AB$774)))</f>
        <v>2.7546126066467511E-3</v>
      </c>
      <c r="W81" s="6">
        <f t="shared" si="37"/>
        <v>0.38418692750579597</v>
      </c>
      <c r="Y81" s="78">
        <v>45047.979166666664</v>
      </c>
      <c r="Z81">
        <v>9.6160072508700095E-2</v>
      </c>
      <c r="AA81" s="6">
        <v>84.891986889999998</v>
      </c>
      <c r="AB81" s="2">
        <v>8851</v>
      </c>
      <c r="AC81" s="7">
        <f t="shared" si="38"/>
        <v>147.51666666666668</v>
      </c>
      <c r="AD81" s="7">
        <f t="shared" si="39"/>
        <v>14.18521336290841</v>
      </c>
      <c r="AE81" s="7">
        <f t="shared" si="40"/>
        <v>139.47040196460691</v>
      </c>
      <c r="AF81" s="7">
        <f t="shared" si="41"/>
        <v>0.62197425371364079</v>
      </c>
      <c r="AG81" s="6">
        <f t="shared" si="42"/>
        <v>86.746999177077882</v>
      </c>
      <c r="AH81" s="2">
        <f t="shared" si="43"/>
        <v>1</v>
      </c>
      <c r="AI81" s="7">
        <f t="shared" si="44"/>
        <v>139.47040196460691</v>
      </c>
      <c r="AK81" s="78">
        <v>45004.385416666664</v>
      </c>
      <c r="AL81" s="79">
        <v>3.11933793408505E-3</v>
      </c>
      <c r="AM81" s="7">
        <v>36.602484089999997</v>
      </c>
      <c r="AN81" s="2">
        <v>1533</v>
      </c>
      <c r="AO81" s="6">
        <f t="shared" si="45"/>
        <v>25.55</v>
      </c>
      <c r="AP81" s="5">
        <f t="shared" si="46"/>
        <v>7.9699084215873031E-2</v>
      </c>
      <c r="AQ81" s="6">
        <f t="shared" si="47"/>
        <v>10.762057025978693</v>
      </c>
      <c r="AR81" s="2">
        <f t="shared" si="48"/>
        <v>0</v>
      </c>
      <c r="AS81" s="2">
        <f t="shared" si="49"/>
        <v>0</v>
      </c>
    </row>
    <row r="82" spans="1:45" x14ac:dyDescent="0.3">
      <c r="A82" s="78">
        <v>45004.395833333336</v>
      </c>
      <c r="B82" s="79">
        <v>3.4734325696922602E-3</v>
      </c>
      <c r="C82" s="7">
        <v>34.564746730000003</v>
      </c>
      <c r="D82" s="2">
        <v>1519</v>
      </c>
      <c r="E82" s="6">
        <f t="shared" si="25"/>
        <v>25.316666666666666</v>
      </c>
      <c r="F82" s="6">
        <f t="shared" si="26"/>
        <v>8.793573455604238E-2</v>
      </c>
      <c r="G82" s="6">
        <f t="shared" si="27"/>
        <v>11.293053536441684</v>
      </c>
      <c r="H82" s="6">
        <f t="shared" si="28"/>
        <v>0.46038674780912364</v>
      </c>
      <c r="I82" s="6">
        <f t="shared" si="29"/>
        <v>5.1991721904767099</v>
      </c>
      <c r="J82" s="6">
        <f t="shared" si="30"/>
        <v>1.1073780266005055E-2</v>
      </c>
      <c r="K82" s="5">
        <f t="shared" si="31"/>
        <v>0.12505679339478651</v>
      </c>
      <c r="M82" s="78">
        <v>45031.541666666664</v>
      </c>
      <c r="N82" s="5">
        <v>2.6205212725922598E-2</v>
      </c>
      <c r="O82" s="5">
        <v>48.998295149999997</v>
      </c>
      <c r="P82" s="2">
        <v>36060</v>
      </c>
      <c r="Q82" s="7">
        <f t="shared" si="32"/>
        <v>601</v>
      </c>
      <c r="R82" s="6">
        <f t="shared" si="33"/>
        <v>15.749332848279481</v>
      </c>
      <c r="S82" s="6">
        <f t="shared" si="34"/>
        <v>143.26921232024179</v>
      </c>
      <c r="T82" s="2">
        <f t="shared" si="35"/>
        <v>0.50400409260404266</v>
      </c>
      <c r="U82" s="6">
        <f t="shared" si="36"/>
        <v>72.208269353559388</v>
      </c>
      <c r="V82">
        <f>IF((R82-$AB$774)/($Z$773-$AB$774)&lt;0, 0, IF((R82-$AB$774)/($Z$773-$AB$774)&gt;1, 1, (R82-$AB$774)/($Z$773-$AB$774)))</f>
        <v>0.15669613926210843</v>
      </c>
      <c r="W82" s="6">
        <f t="shared" si="37"/>
        <v>22.449732445705187</v>
      </c>
      <c r="Y82" s="78">
        <v>45047.989583333336</v>
      </c>
      <c r="Z82">
        <v>9.3865753165205304E-2</v>
      </c>
      <c r="AA82" s="6">
        <v>88.350109630000006</v>
      </c>
      <c r="AB82" s="2">
        <v>8480</v>
      </c>
      <c r="AC82" s="7">
        <f t="shared" si="38"/>
        <v>141.33333333333334</v>
      </c>
      <c r="AD82" s="7">
        <f t="shared" si="39"/>
        <v>13.26635978068235</v>
      </c>
      <c r="AE82" s="7">
        <f t="shared" si="40"/>
        <v>143.26921232024179</v>
      </c>
      <c r="AF82" s="7">
        <f t="shared" si="41"/>
        <v>1</v>
      </c>
      <c r="AG82" s="6">
        <f t="shared" si="42"/>
        <v>143.26921232024179</v>
      </c>
      <c r="AH82" s="2">
        <f t="shared" si="43"/>
        <v>4.6045463443036637E-2</v>
      </c>
      <c r="AI82" s="7">
        <f t="shared" si="44"/>
        <v>6.5968972784043478</v>
      </c>
      <c r="AK82" s="78">
        <v>45004.395833333336</v>
      </c>
      <c r="AL82" s="79">
        <v>3.4734325696922602E-3</v>
      </c>
      <c r="AM82" s="7">
        <v>34.564746730000003</v>
      </c>
      <c r="AN82" s="2">
        <v>1519</v>
      </c>
      <c r="AO82" s="6">
        <f t="shared" si="45"/>
        <v>25.316666666666666</v>
      </c>
      <c r="AP82" s="5">
        <f t="shared" si="46"/>
        <v>8.793573455604238E-2</v>
      </c>
      <c r="AQ82" s="6">
        <f t="shared" si="47"/>
        <v>11.293053536441684</v>
      </c>
      <c r="AR82" s="2">
        <f t="shared" si="48"/>
        <v>0</v>
      </c>
      <c r="AS82" s="2">
        <f t="shared" si="49"/>
        <v>0</v>
      </c>
    </row>
    <row r="83" spans="1:45" x14ac:dyDescent="0.3">
      <c r="A83" s="78">
        <v>45004.40625</v>
      </c>
      <c r="B83" s="79">
        <v>3.12744279620454E-3</v>
      </c>
      <c r="C83" s="7">
        <v>34.564746730000003</v>
      </c>
      <c r="D83" s="2">
        <v>1459</v>
      </c>
      <c r="E83" s="6">
        <f t="shared" si="25"/>
        <v>24.316666666666666</v>
      </c>
      <c r="F83" s="6">
        <f t="shared" si="26"/>
        <v>7.6048983994373737E-2</v>
      </c>
      <c r="G83" s="6">
        <f t="shared" si="27"/>
        <v>10.51780315740697</v>
      </c>
      <c r="H83" s="6">
        <f t="shared" si="28"/>
        <v>0.46038674780912364</v>
      </c>
      <c r="I83" s="6">
        <f t="shared" si="29"/>
        <v>4.8422571897351272</v>
      </c>
      <c r="J83" s="6">
        <f t="shared" si="30"/>
        <v>0</v>
      </c>
      <c r="K83" s="5">
        <f t="shared" si="31"/>
        <v>0</v>
      </c>
      <c r="M83" s="78">
        <v>45031.552083333336</v>
      </c>
      <c r="N83" s="5">
        <v>2.6305132186526099E-2</v>
      </c>
      <c r="O83" s="5">
        <v>52.445143710000004</v>
      </c>
      <c r="P83" s="2">
        <v>35853</v>
      </c>
      <c r="Q83" s="7">
        <f t="shared" si="32"/>
        <v>597.54999999999995</v>
      </c>
      <c r="R83" s="6">
        <f t="shared" si="33"/>
        <v>15.718631738058669</v>
      </c>
      <c r="S83" s="6">
        <f t="shared" si="34"/>
        <v>143.13237925245491</v>
      </c>
      <c r="T83" s="2">
        <f t="shared" si="35"/>
        <v>1</v>
      </c>
      <c r="U83" s="6">
        <f t="shared" si="36"/>
        <v>143.13237925245491</v>
      </c>
      <c r="V83">
        <f>IF((R83-$AB$774)/($Z$773-$AB$774)&lt;0, 0, IF((R83-$AB$774)/($Z$773-$AB$774)&gt;1, 1, (R83-$AB$774)/($Z$773-$AB$774)))</f>
        <v>0.15107631760114337</v>
      </c>
      <c r="W83" s="6">
        <f t="shared" si="37"/>
        <v>21.623912786951184</v>
      </c>
      <c r="Y83" s="78">
        <v>45048</v>
      </c>
      <c r="Z83">
        <v>9.6245677000997995E-2</v>
      </c>
      <c r="AA83" s="6">
        <v>89.635700749999998</v>
      </c>
      <c r="AB83" s="2">
        <v>8600</v>
      </c>
      <c r="AC83" s="7">
        <f t="shared" si="38"/>
        <v>143.33333333333334</v>
      </c>
      <c r="AD83" s="7">
        <f t="shared" si="39"/>
        <v>13.79521370347638</v>
      </c>
      <c r="AE83" s="7">
        <f t="shared" si="40"/>
        <v>143.13237925245491</v>
      </c>
      <c r="AF83" s="7">
        <f t="shared" si="41"/>
        <v>1</v>
      </c>
      <c r="AG83" s="6">
        <f t="shared" si="42"/>
        <v>143.13237925245491</v>
      </c>
      <c r="AH83" s="2">
        <f t="shared" si="43"/>
        <v>1</v>
      </c>
      <c r="AI83" s="7">
        <f t="shared" si="44"/>
        <v>143.13237925245491</v>
      </c>
      <c r="AK83" s="78">
        <v>45004.40625</v>
      </c>
      <c r="AL83" s="79">
        <v>3.12744279620454E-3</v>
      </c>
      <c r="AM83" s="7">
        <v>34.564746730000003</v>
      </c>
      <c r="AN83" s="2">
        <v>1459</v>
      </c>
      <c r="AO83" s="6">
        <f t="shared" si="45"/>
        <v>24.316666666666666</v>
      </c>
      <c r="AP83" s="5">
        <f t="shared" si="46"/>
        <v>7.6048983994373737E-2</v>
      </c>
      <c r="AQ83" s="6">
        <f t="shared" si="47"/>
        <v>10.51780315740697</v>
      </c>
      <c r="AR83" s="2">
        <f t="shared" si="48"/>
        <v>0</v>
      </c>
      <c r="AS83" s="2">
        <f t="shared" si="49"/>
        <v>0</v>
      </c>
    </row>
    <row r="84" spans="1:45" x14ac:dyDescent="0.3">
      <c r="A84" s="78">
        <v>45004.416666666664</v>
      </c>
      <c r="B84" s="79">
        <v>3.2087851529623299E-3</v>
      </c>
      <c r="C84" s="7">
        <v>34.564746730000003</v>
      </c>
      <c r="D84" s="2">
        <v>1583</v>
      </c>
      <c r="E84" s="6">
        <f t="shared" si="25"/>
        <v>26.383333333333333</v>
      </c>
      <c r="F84" s="6">
        <f t="shared" si="26"/>
        <v>8.4658448285656135E-2</v>
      </c>
      <c r="G84" s="6">
        <f t="shared" si="27"/>
        <v>11.084950051816898</v>
      </c>
      <c r="H84" s="6">
        <f t="shared" si="28"/>
        <v>0.46038674780912364</v>
      </c>
      <c r="I84" s="6">
        <f t="shared" si="29"/>
        <v>5.1033641039825586</v>
      </c>
      <c r="J84" s="6">
        <f t="shared" si="30"/>
        <v>7.3800380399748249E-3</v>
      </c>
      <c r="K84" s="5">
        <f t="shared" si="31"/>
        <v>8.1807353053629614E-2</v>
      </c>
      <c r="M84" s="78">
        <v>45031.5625</v>
      </c>
      <c r="N84" s="5">
        <v>2.9166413553427799E-2</v>
      </c>
      <c r="O84" s="5">
        <v>50.381720729999998</v>
      </c>
      <c r="P84" s="2">
        <v>35629</v>
      </c>
      <c r="Q84" s="7">
        <f t="shared" si="32"/>
        <v>593.81666666666672</v>
      </c>
      <c r="R84" s="6">
        <f t="shared" si="33"/>
        <v>17.319502474917986</v>
      </c>
      <c r="S84" s="6">
        <f t="shared" si="34"/>
        <v>150.0943636966075</v>
      </c>
      <c r="T84" s="2">
        <f t="shared" si="35"/>
        <v>1</v>
      </c>
      <c r="U84" s="6">
        <f t="shared" si="36"/>
        <v>150.0943636966075</v>
      </c>
      <c r="V84">
        <f>IF((R84-$AB$774)/($Z$773-$AB$774)&lt;0, 0, IF((R84-$AB$774)/($Z$773-$AB$774)&gt;1, 1, (R84-$AB$774)/($Z$773-$AB$774)))</f>
        <v>0.44411484222453629</v>
      </c>
      <c r="W84" s="6">
        <f t="shared" si="37"/>
        <v>66.659134651911003</v>
      </c>
      <c r="Y84" s="78">
        <v>45048.010416666664</v>
      </c>
      <c r="Z84">
        <v>9.5184118581330301E-2</v>
      </c>
      <c r="AA84" s="6">
        <v>89.635700749999998</v>
      </c>
      <c r="AB84" s="2">
        <v>8551</v>
      </c>
      <c r="AC84" s="7">
        <f t="shared" si="38"/>
        <v>142.51666666666668</v>
      </c>
      <c r="AD84" s="7">
        <f t="shared" si="39"/>
        <v>13.565323299815924</v>
      </c>
      <c r="AE84" s="7">
        <f t="shared" si="40"/>
        <v>150.0943636966075</v>
      </c>
      <c r="AF84" s="7">
        <f t="shared" si="41"/>
        <v>1</v>
      </c>
      <c r="AG84" s="6">
        <f t="shared" si="42"/>
        <v>150.0943636966075</v>
      </c>
      <c r="AH84" s="2">
        <f t="shared" si="43"/>
        <v>0.9981134029492551</v>
      </c>
      <c r="AI84" s="7">
        <f t="shared" si="44"/>
        <v>149.81119611272405</v>
      </c>
      <c r="AK84" s="78">
        <v>45004.416666666664</v>
      </c>
      <c r="AL84" s="79">
        <v>3.2087851529623299E-3</v>
      </c>
      <c r="AM84" s="7">
        <v>34.564746730000003</v>
      </c>
      <c r="AN84" s="2">
        <v>1583</v>
      </c>
      <c r="AO84" s="6">
        <f t="shared" si="45"/>
        <v>26.383333333333333</v>
      </c>
      <c r="AP84" s="5">
        <f t="shared" si="46"/>
        <v>8.4658448285656135E-2</v>
      </c>
      <c r="AQ84" s="6">
        <f t="shared" si="47"/>
        <v>11.084950051816898</v>
      </c>
      <c r="AR84" s="2">
        <f t="shared" si="48"/>
        <v>0</v>
      </c>
      <c r="AS84" s="2">
        <f t="shared" si="49"/>
        <v>0</v>
      </c>
    </row>
    <row r="85" spans="1:45" x14ac:dyDescent="0.3">
      <c r="A85" s="78">
        <v>45004.427083333336</v>
      </c>
      <c r="B85" s="79">
        <v>3.1776366993914902E-3</v>
      </c>
      <c r="C85" s="7">
        <v>29.54055151</v>
      </c>
      <c r="D85" s="2">
        <v>1327</v>
      </c>
      <c r="E85" s="6">
        <f t="shared" si="25"/>
        <v>22.116666666666667</v>
      </c>
      <c r="F85" s="6">
        <f t="shared" si="26"/>
        <v>7.0278731668208458E-2</v>
      </c>
      <c r="G85" s="6">
        <f t="shared" si="27"/>
        <v>10.1191320646981</v>
      </c>
      <c r="H85" s="6">
        <f t="shared" si="28"/>
        <v>0.12090893642747319</v>
      </c>
      <c r="I85" s="6">
        <f t="shared" si="29"/>
        <v>1.223493495511788</v>
      </c>
      <c r="J85" s="6">
        <f t="shared" si="30"/>
        <v>0</v>
      </c>
      <c r="K85" s="5">
        <f t="shared" si="31"/>
        <v>0</v>
      </c>
      <c r="M85" s="78">
        <v>45031.572916666664</v>
      </c>
      <c r="N85" s="5">
        <v>7.5896657893646705E-2</v>
      </c>
      <c r="O85" s="5">
        <v>50.381720729999998</v>
      </c>
      <c r="P85" s="2">
        <v>35701</v>
      </c>
      <c r="Q85" s="7">
        <f t="shared" si="32"/>
        <v>595.01666666666665</v>
      </c>
      <c r="R85" s="6">
        <f t="shared" si="33"/>
        <v>45.159776391018013</v>
      </c>
      <c r="S85" s="6">
        <f t="shared" si="34"/>
        <v>239.98579754352036</v>
      </c>
      <c r="T85" s="2">
        <f t="shared" si="35"/>
        <v>1</v>
      </c>
      <c r="U85" s="6">
        <f t="shared" si="36"/>
        <v>239.98579754352036</v>
      </c>
      <c r="V85">
        <f>IF((R85-$AB$774)/($Z$773-$AB$774)&lt;0, 0, IF((R85-$AB$774)/($Z$773-$AB$774)&gt;1, 1, (R85-$AB$774)/($Z$773-$AB$774)))</f>
        <v>1</v>
      </c>
      <c r="W85" s="6">
        <f t="shared" si="37"/>
        <v>239.98579754352036</v>
      </c>
      <c r="Y85" s="78">
        <v>45048.020833333336</v>
      </c>
      <c r="Z85">
        <v>9.5099304026644099E-2</v>
      </c>
      <c r="AA85" s="6">
        <v>88.350109630000006</v>
      </c>
      <c r="AB85" s="2">
        <v>8559</v>
      </c>
      <c r="AC85" s="7">
        <f t="shared" si="38"/>
        <v>142.65</v>
      </c>
      <c r="AD85" s="7">
        <f t="shared" si="39"/>
        <v>13.565915719400781</v>
      </c>
      <c r="AE85" s="7">
        <f t="shared" si="40"/>
        <v>239.98579754352036</v>
      </c>
      <c r="AF85" s="7">
        <f t="shared" si="41"/>
        <v>1</v>
      </c>
      <c r="AG85" s="6">
        <f t="shared" si="42"/>
        <v>239.98579754352036</v>
      </c>
      <c r="AH85" s="2">
        <f t="shared" si="43"/>
        <v>1</v>
      </c>
      <c r="AI85" s="7">
        <f t="shared" si="44"/>
        <v>239.98579754352036</v>
      </c>
      <c r="AK85" s="78">
        <v>45004.427083333336</v>
      </c>
      <c r="AL85" s="79">
        <v>3.1776366993914902E-3</v>
      </c>
      <c r="AM85" s="7">
        <v>29.54055151</v>
      </c>
      <c r="AN85" s="2">
        <v>1327</v>
      </c>
      <c r="AO85" s="6">
        <f t="shared" si="45"/>
        <v>22.116666666666667</v>
      </c>
      <c r="AP85" s="5">
        <f t="shared" si="46"/>
        <v>7.0278731668208458E-2</v>
      </c>
      <c r="AQ85" s="6">
        <f t="shared" si="47"/>
        <v>10.1191320646981</v>
      </c>
      <c r="AR85" s="2">
        <f t="shared" si="48"/>
        <v>0</v>
      </c>
      <c r="AS85" s="2">
        <f t="shared" si="49"/>
        <v>0</v>
      </c>
    </row>
    <row r="86" spans="1:45" x14ac:dyDescent="0.3">
      <c r="A86" s="78">
        <v>45004.4375</v>
      </c>
      <c r="B86" s="79">
        <v>3.1877380520082999E-3</v>
      </c>
      <c r="C86" s="7">
        <v>22.886721250000001</v>
      </c>
      <c r="D86" s="2">
        <v>1130</v>
      </c>
      <c r="E86" s="6">
        <f t="shared" si="25"/>
        <v>18.833333333333332</v>
      </c>
      <c r="F86" s="6">
        <f t="shared" si="26"/>
        <v>6.0035733312822977E-2</v>
      </c>
      <c r="G86" s="6">
        <f t="shared" si="27"/>
        <v>9.3678705631924863</v>
      </c>
      <c r="H86" s="6">
        <f t="shared" si="28"/>
        <v>0</v>
      </c>
      <c r="I86" s="6">
        <f t="shared" si="29"/>
        <v>0</v>
      </c>
      <c r="J86" s="6">
        <f t="shared" si="30"/>
        <v>0</v>
      </c>
      <c r="K86" s="5">
        <f t="shared" si="31"/>
        <v>0</v>
      </c>
      <c r="M86" s="78">
        <v>45031.583333333336</v>
      </c>
      <c r="N86" s="5">
        <v>2.4860977061819799E-2</v>
      </c>
      <c r="O86" s="5">
        <v>46.878741779999999</v>
      </c>
      <c r="P86" s="2">
        <v>36293</v>
      </c>
      <c r="Q86" s="7">
        <f t="shared" si="32"/>
        <v>604.88333333333333</v>
      </c>
      <c r="R86" s="6">
        <f t="shared" si="33"/>
        <v>15.037990675077099</v>
      </c>
      <c r="S86" s="6">
        <f t="shared" si="34"/>
        <v>140.06300612510921</v>
      </c>
      <c r="T86" s="2">
        <f t="shared" si="35"/>
        <v>0</v>
      </c>
      <c r="U86" s="6">
        <f t="shared" si="36"/>
        <v>0</v>
      </c>
      <c r="V86">
        <f>IF((R86-$AB$774)/($Z$773-$AB$774)&lt;0, 0, IF((R86-$AB$774)/($Z$773-$AB$774)&gt;1, 1, (R86-$AB$774)/($Z$773-$AB$774)))</f>
        <v>2.6485338266036135E-2</v>
      </c>
      <c r="W86" s="6">
        <f t="shared" si="37"/>
        <v>3.7096160957814086</v>
      </c>
      <c r="Y86" s="78">
        <v>45048.03125</v>
      </c>
      <c r="Z86">
        <v>9.1934797084491898E-2</v>
      </c>
      <c r="AA86" s="6">
        <v>87.058386479999996</v>
      </c>
      <c r="AB86" s="2">
        <v>8639</v>
      </c>
      <c r="AC86" s="7">
        <f t="shared" si="38"/>
        <v>143.98333333333332</v>
      </c>
      <c r="AD86" s="7">
        <f t="shared" si="39"/>
        <v>13.237078533548758</v>
      </c>
      <c r="AE86" s="7">
        <f t="shared" si="40"/>
        <v>140.06300612510921</v>
      </c>
      <c r="AF86" s="7">
        <f t="shared" si="41"/>
        <v>0.85879488829996842</v>
      </c>
      <c r="AG86" s="6">
        <f t="shared" si="42"/>
        <v>120.28539370017096</v>
      </c>
      <c r="AH86" s="2">
        <f t="shared" si="43"/>
        <v>0</v>
      </c>
      <c r="AI86" s="7">
        <f t="shared" si="44"/>
        <v>0</v>
      </c>
      <c r="AK86" s="78">
        <v>45004.4375</v>
      </c>
      <c r="AL86" s="79">
        <v>3.1877380520082999E-3</v>
      </c>
      <c r="AM86" s="7">
        <v>22.886721250000001</v>
      </c>
      <c r="AN86" s="2">
        <v>1130</v>
      </c>
      <c r="AO86" s="6">
        <f t="shared" si="45"/>
        <v>18.833333333333332</v>
      </c>
      <c r="AP86" s="5">
        <f t="shared" si="46"/>
        <v>6.0035733312822977E-2</v>
      </c>
      <c r="AQ86" s="6">
        <f t="shared" si="47"/>
        <v>9.3678705631924863</v>
      </c>
      <c r="AR86" s="2">
        <f t="shared" si="48"/>
        <v>0</v>
      </c>
      <c r="AS86" s="2">
        <f t="shared" si="49"/>
        <v>0</v>
      </c>
    </row>
    <row r="87" spans="1:45" x14ac:dyDescent="0.3">
      <c r="A87" s="78">
        <v>45004.447916666664</v>
      </c>
      <c r="B87" s="79">
        <v>3.1240122427217201E-3</v>
      </c>
      <c r="C87" s="7">
        <v>28.246536679999998</v>
      </c>
      <c r="D87" s="2">
        <v>1390</v>
      </c>
      <c r="E87" s="6">
        <f t="shared" si="25"/>
        <v>23.166666666666668</v>
      </c>
      <c r="F87" s="6">
        <f t="shared" si="26"/>
        <v>7.2372950289719851E-2</v>
      </c>
      <c r="G87" s="6">
        <f t="shared" si="27"/>
        <v>10.265688820911175</v>
      </c>
      <c r="H87" s="6">
        <f t="shared" si="28"/>
        <v>3.3474172619907851E-2</v>
      </c>
      <c r="I87" s="6">
        <f t="shared" si="29"/>
        <v>0.34363543965343896</v>
      </c>
      <c r="J87" s="6">
        <f t="shared" si="30"/>
        <v>0</v>
      </c>
      <c r="K87" s="5">
        <f t="shared" si="31"/>
        <v>0</v>
      </c>
      <c r="M87" s="78">
        <v>45031.59375</v>
      </c>
      <c r="N87" s="5">
        <v>4.2467529622773198E-2</v>
      </c>
      <c r="O87" s="5">
        <v>46.878741779999999</v>
      </c>
      <c r="P87" s="2">
        <v>35853</v>
      </c>
      <c r="Q87" s="7">
        <f t="shared" si="32"/>
        <v>597.54999999999995</v>
      </c>
      <c r="R87" s="6">
        <f t="shared" si="33"/>
        <v>25.376472326088123</v>
      </c>
      <c r="S87" s="6">
        <f t="shared" si="34"/>
        <v>180.96874532261265</v>
      </c>
      <c r="T87" s="2">
        <f t="shared" si="35"/>
        <v>0</v>
      </c>
      <c r="U87" s="6">
        <f t="shared" si="36"/>
        <v>0</v>
      </c>
      <c r="V87">
        <f>IF((R87-$AB$774)/($Z$773-$AB$774)&lt;0, 0, IF((R87-$AB$774)/($Z$773-$AB$774)&gt;1, 1, (R87-$AB$774)/($Z$773-$AB$774)))</f>
        <v>1</v>
      </c>
      <c r="W87" s="6">
        <f t="shared" si="37"/>
        <v>180.96874532261265</v>
      </c>
      <c r="Y87" s="78">
        <v>45048.041666666664</v>
      </c>
      <c r="Z87">
        <v>8.80023712935189E-2</v>
      </c>
      <c r="AA87" s="6">
        <v>89.635700749999998</v>
      </c>
      <c r="AB87" s="2">
        <v>8804</v>
      </c>
      <c r="AC87" s="7">
        <f t="shared" si="38"/>
        <v>146.73333333333332</v>
      </c>
      <c r="AD87" s="7">
        <f t="shared" si="39"/>
        <v>12.912881281135672</v>
      </c>
      <c r="AE87" s="7">
        <f t="shared" si="40"/>
        <v>180.96874532261265</v>
      </c>
      <c r="AF87" s="7">
        <f t="shared" si="41"/>
        <v>1</v>
      </c>
      <c r="AG87" s="6">
        <f t="shared" si="42"/>
        <v>180.96874532261265</v>
      </c>
      <c r="AH87" s="2">
        <f t="shared" si="43"/>
        <v>0</v>
      </c>
      <c r="AI87" s="7">
        <f t="shared" si="44"/>
        <v>0</v>
      </c>
      <c r="AK87" s="78">
        <v>45004.447916666664</v>
      </c>
      <c r="AL87" s="79">
        <v>3.1240122427217201E-3</v>
      </c>
      <c r="AM87" s="7">
        <v>28.246536679999998</v>
      </c>
      <c r="AN87" s="2">
        <v>1390</v>
      </c>
      <c r="AO87" s="6">
        <f t="shared" si="45"/>
        <v>23.166666666666668</v>
      </c>
      <c r="AP87" s="5">
        <f t="shared" si="46"/>
        <v>7.2372950289719851E-2</v>
      </c>
      <c r="AQ87" s="6">
        <f t="shared" si="47"/>
        <v>10.265688820911175</v>
      </c>
      <c r="AR87" s="2">
        <f t="shared" si="48"/>
        <v>0</v>
      </c>
      <c r="AS87" s="2">
        <f t="shared" si="49"/>
        <v>0</v>
      </c>
    </row>
    <row r="88" spans="1:45" x14ac:dyDescent="0.3">
      <c r="A88" s="78">
        <v>45004.458333333336</v>
      </c>
      <c r="B88" s="79">
        <v>2.93198423096946E-3</v>
      </c>
      <c r="C88" s="7">
        <v>28.246536679999998</v>
      </c>
      <c r="D88" s="2">
        <v>1423</v>
      </c>
      <c r="E88" s="6">
        <f t="shared" si="25"/>
        <v>23.716666666666665</v>
      </c>
      <c r="F88" s="6">
        <f t="shared" si="26"/>
        <v>6.9536892677825687E-2</v>
      </c>
      <c r="G88" s="6">
        <f t="shared" si="27"/>
        <v>10.066683518731056</v>
      </c>
      <c r="H88" s="6">
        <f t="shared" si="28"/>
        <v>3.3474172619907851E-2</v>
      </c>
      <c r="I88" s="6">
        <f t="shared" si="29"/>
        <v>0.33697390181598474</v>
      </c>
      <c r="J88" s="6">
        <f t="shared" si="30"/>
        <v>0</v>
      </c>
      <c r="K88" s="5">
        <f t="shared" si="31"/>
        <v>0</v>
      </c>
      <c r="M88" s="78">
        <v>45031.604166666664</v>
      </c>
      <c r="N88" s="5">
        <v>3.0070852739606701E-2</v>
      </c>
      <c r="O88" s="5">
        <v>48.986318830000002</v>
      </c>
      <c r="P88" s="2">
        <v>35670</v>
      </c>
      <c r="Q88" s="7">
        <f t="shared" si="32"/>
        <v>594.5</v>
      </c>
      <c r="R88" s="6">
        <f t="shared" si="33"/>
        <v>17.877121953696182</v>
      </c>
      <c r="S88" s="6">
        <f t="shared" si="34"/>
        <v>152.44168086757588</v>
      </c>
      <c r="T88" s="2">
        <f t="shared" si="35"/>
        <v>0.49971025432930011</v>
      </c>
      <c r="U88" s="6">
        <f t="shared" si="36"/>
        <v>76.176671116722346</v>
      </c>
      <c r="V88">
        <f>IF((R88-$AB$774)/($Z$773-$AB$774)&lt;0, 0, IF((R88-$AB$774)/($Z$773-$AB$774)&gt;1, 1, (R88-$AB$774)/($Z$773-$AB$774)))</f>
        <v>0.54618678694819567</v>
      </c>
      <c r="W88" s="6">
        <f t="shared" si="37"/>
        <v>83.261631870043502</v>
      </c>
      <c r="Y88" s="78">
        <v>45048.052083333336</v>
      </c>
      <c r="Z88">
        <v>9.1216954270555595E-2</v>
      </c>
      <c r="AA88" s="6">
        <v>93.038532979999999</v>
      </c>
      <c r="AB88" s="2">
        <v>8775</v>
      </c>
      <c r="AC88" s="7">
        <f t="shared" si="38"/>
        <v>146.25</v>
      </c>
      <c r="AD88" s="7">
        <f t="shared" si="39"/>
        <v>13.340479562068756</v>
      </c>
      <c r="AE88" s="7">
        <f t="shared" si="40"/>
        <v>152.44168086757588</v>
      </c>
      <c r="AF88" s="7">
        <f t="shared" si="41"/>
        <v>1</v>
      </c>
      <c r="AG88" s="6">
        <f t="shared" si="42"/>
        <v>152.44168086757588</v>
      </c>
      <c r="AH88" s="2">
        <f t="shared" si="43"/>
        <v>0.28208452180613441</v>
      </c>
      <c r="AI88" s="7">
        <f t="shared" si="44"/>
        <v>43.001438650853494</v>
      </c>
      <c r="AK88" s="78">
        <v>45004.458333333336</v>
      </c>
      <c r="AL88" s="79">
        <v>2.93198423096946E-3</v>
      </c>
      <c r="AM88" s="7">
        <v>28.246536679999998</v>
      </c>
      <c r="AN88" s="2">
        <v>1423</v>
      </c>
      <c r="AO88" s="6">
        <f t="shared" si="45"/>
        <v>23.716666666666665</v>
      </c>
      <c r="AP88" s="5">
        <f t="shared" si="46"/>
        <v>6.9536892677825687E-2</v>
      </c>
      <c r="AQ88" s="6">
        <f t="shared" si="47"/>
        <v>10.066683518731056</v>
      </c>
      <c r="AR88" s="2">
        <f t="shared" si="48"/>
        <v>0</v>
      </c>
      <c r="AS88" s="2">
        <f t="shared" si="49"/>
        <v>0</v>
      </c>
    </row>
    <row r="89" spans="1:45" x14ac:dyDescent="0.3">
      <c r="A89" s="78">
        <v>45004.46875</v>
      </c>
      <c r="B89" s="79">
        <v>3.06339227004264E-3</v>
      </c>
      <c r="C89" s="7">
        <v>31.45854044</v>
      </c>
      <c r="D89" s="2">
        <v>1494</v>
      </c>
      <c r="E89" s="6">
        <f t="shared" si="25"/>
        <v>24.9</v>
      </c>
      <c r="F89" s="6">
        <f t="shared" si="26"/>
        <v>7.6278467524061727E-2</v>
      </c>
      <c r="G89" s="6">
        <f t="shared" si="27"/>
        <v>10.533333436050894</v>
      </c>
      <c r="H89" s="6">
        <f t="shared" si="28"/>
        <v>0.25050475340901024</v>
      </c>
      <c r="I89" s="6">
        <f t="shared" si="29"/>
        <v>2.6386500949728116</v>
      </c>
      <c r="J89" s="6">
        <f t="shared" si="30"/>
        <v>0</v>
      </c>
      <c r="K89" s="5">
        <f t="shared" si="31"/>
        <v>0</v>
      </c>
      <c r="M89" s="78">
        <v>45031.614583333336</v>
      </c>
      <c r="N89" s="5">
        <v>2.78487060492951E-2</v>
      </c>
      <c r="O89" s="5">
        <v>45.467224760000001</v>
      </c>
      <c r="P89" s="2">
        <v>36133</v>
      </c>
      <c r="Q89" s="7">
        <f t="shared" si="32"/>
        <v>602.2166666666667</v>
      </c>
      <c r="R89" s="6">
        <f t="shared" si="33"/>
        <v>16.770954927986331</v>
      </c>
      <c r="S89" s="6">
        <f t="shared" si="34"/>
        <v>147.74729666142326</v>
      </c>
      <c r="T89" s="2">
        <f t="shared" si="35"/>
        <v>0</v>
      </c>
      <c r="U89" s="6">
        <f t="shared" si="36"/>
        <v>0</v>
      </c>
      <c r="V89">
        <f>IF((R89-$AB$774)/($Z$773-$AB$774)&lt;0, 0, IF((R89-$AB$774)/($Z$773-$AB$774)&gt;1, 1, (R89-$AB$774)/($Z$773-$AB$774)))</f>
        <v>0.34370350973057512</v>
      </c>
      <c r="W89" s="6">
        <f t="shared" si="37"/>
        <v>50.781264415735656</v>
      </c>
      <c r="Y89" s="78">
        <v>45048.0625</v>
      </c>
      <c r="Z89">
        <v>8.8115111818959604E-2</v>
      </c>
      <c r="AA89" s="6">
        <v>87.058386479999996</v>
      </c>
      <c r="AB89" s="2">
        <v>8713</v>
      </c>
      <c r="AC89" s="7">
        <f t="shared" si="38"/>
        <v>145.21666666666667</v>
      </c>
      <c r="AD89" s="7">
        <f t="shared" si="39"/>
        <v>12.795782821309917</v>
      </c>
      <c r="AE89" s="7">
        <f t="shared" si="40"/>
        <v>147.74729666142326</v>
      </c>
      <c r="AF89" s="7">
        <f t="shared" si="41"/>
        <v>0.85879488829996842</v>
      </c>
      <c r="AG89" s="6">
        <f t="shared" si="42"/>
        <v>126.88462313296928</v>
      </c>
      <c r="AH89" s="2">
        <f t="shared" si="43"/>
        <v>0</v>
      </c>
      <c r="AI89" s="7">
        <f t="shared" si="44"/>
        <v>0</v>
      </c>
      <c r="AK89" s="78">
        <v>45004.46875</v>
      </c>
      <c r="AL89" s="79">
        <v>3.06339227004264E-3</v>
      </c>
      <c r="AM89" s="7">
        <v>31.45854044</v>
      </c>
      <c r="AN89" s="2">
        <v>1494</v>
      </c>
      <c r="AO89" s="6">
        <f t="shared" si="45"/>
        <v>24.9</v>
      </c>
      <c r="AP89" s="5">
        <f t="shared" si="46"/>
        <v>7.6278467524061727E-2</v>
      </c>
      <c r="AQ89" s="6">
        <f t="shared" si="47"/>
        <v>10.533333436050894</v>
      </c>
      <c r="AR89" s="2">
        <f t="shared" si="48"/>
        <v>0</v>
      </c>
      <c r="AS89" s="2">
        <f t="shared" si="49"/>
        <v>0</v>
      </c>
    </row>
    <row r="90" spans="1:45" x14ac:dyDescent="0.3">
      <c r="A90" s="78">
        <v>45004.479166666664</v>
      </c>
      <c r="B90" s="79">
        <v>3.4563620546241699E-3</v>
      </c>
      <c r="C90" s="7">
        <v>31.45854044</v>
      </c>
      <c r="D90" s="2">
        <v>1470</v>
      </c>
      <c r="E90" s="6">
        <f t="shared" si="25"/>
        <v>24.5</v>
      </c>
      <c r="F90" s="6">
        <f t="shared" si="26"/>
        <v>8.4680870338292163E-2</v>
      </c>
      <c r="G90" s="6">
        <f t="shared" si="27"/>
        <v>11.08638765677796</v>
      </c>
      <c r="H90" s="6">
        <f t="shared" si="28"/>
        <v>0.25050475340901024</v>
      </c>
      <c r="I90" s="6">
        <f t="shared" si="29"/>
        <v>2.7771928061578577</v>
      </c>
      <c r="J90" s="6">
        <f t="shared" si="30"/>
        <v>7.4053093393923793E-3</v>
      </c>
      <c r="K90" s="5">
        <f t="shared" si="31"/>
        <v>8.2098130054862231E-2</v>
      </c>
      <c r="M90" s="78">
        <v>45031.625</v>
      </c>
      <c r="N90" s="5">
        <v>2.65680367536042E-2</v>
      </c>
      <c r="O90" s="5">
        <v>50.381720729999998</v>
      </c>
      <c r="P90" s="2">
        <v>35617</v>
      </c>
      <c r="Q90" s="7">
        <f t="shared" si="32"/>
        <v>593.61666666666667</v>
      </c>
      <c r="R90" s="6">
        <f t="shared" si="33"/>
        <v>15.771229417552012</v>
      </c>
      <c r="S90" s="6">
        <f t="shared" si="34"/>
        <v>143.36672091781185</v>
      </c>
      <c r="T90" s="2">
        <f t="shared" si="35"/>
        <v>1</v>
      </c>
      <c r="U90" s="6">
        <f t="shared" si="36"/>
        <v>143.36672091781185</v>
      </c>
      <c r="V90">
        <f>IF((R90-$AB$774)/($Z$773-$AB$774)&lt;0, 0, IF((R90-$AB$774)/($Z$773-$AB$774)&gt;1, 1, (R90-$AB$774)/($Z$773-$AB$774)))</f>
        <v>0.16070429445302961</v>
      </c>
      <c r="W90" s="6">
        <f t="shared" si="37"/>
        <v>23.039647733141354</v>
      </c>
      <c r="Y90" s="78">
        <v>45048.072916666664</v>
      </c>
      <c r="Z90">
        <v>9.0662433817662993E-2</v>
      </c>
      <c r="AA90" s="6">
        <v>89.635700749999998</v>
      </c>
      <c r="AB90" s="2">
        <v>8842</v>
      </c>
      <c r="AC90" s="7">
        <f t="shared" si="38"/>
        <v>147.36666666666667</v>
      </c>
      <c r="AD90" s="7">
        <f t="shared" si="39"/>
        <v>13.36062066359627</v>
      </c>
      <c r="AE90" s="7">
        <f t="shared" si="40"/>
        <v>143.36672091781185</v>
      </c>
      <c r="AF90" s="7">
        <f t="shared" si="41"/>
        <v>1</v>
      </c>
      <c r="AG90" s="6">
        <f t="shared" si="42"/>
        <v>143.36672091781185</v>
      </c>
      <c r="AH90" s="2">
        <f t="shared" si="43"/>
        <v>0.34622511356214203</v>
      </c>
      <c r="AI90" s="7">
        <f t="shared" si="44"/>
        <v>49.637159230801331</v>
      </c>
      <c r="AK90" s="78">
        <v>45004.479166666664</v>
      </c>
      <c r="AL90" s="79">
        <v>3.4563620546241699E-3</v>
      </c>
      <c r="AM90" s="7">
        <v>31.45854044</v>
      </c>
      <c r="AN90" s="2">
        <v>1470</v>
      </c>
      <c r="AO90" s="6">
        <f t="shared" si="45"/>
        <v>24.5</v>
      </c>
      <c r="AP90" s="5">
        <f t="shared" si="46"/>
        <v>8.4680870338292163E-2</v>
      </c>
      <c r="AQ90" s="6">
        <f t="shared" si="47"/>
        <v>11.08638765677796</v>
      </c>
      <c r="AR90" s="2">
        <f t="shared" si="48"/>
        <v>0</v>
      </c>
      <c r="AS90" s="2">
        <f t="shared" si="49"/>
        <v>0</v>
      </c>
    </row>
    <row r="91" spans="1:45" x14ac:dyDescent="0.3">
      <c r="A91" s="78">
        <v>45004.489583333336</v>
      </c>
      <c r="B91" s="79">
        <v>3.0670092579756199E-3</v>
      </c>
      <c r="C91" s="7">
        <v>33.335473370000003</v>
      </c>
      <c r="D91" s="2">
        <v>1497</v>
      </c>
      <c r="E91" s="6">
        <f t="shared" si="25"/>
        <v>24.95</v>
      </c>
      <c r="F91" s="6">
        <f t="shared" si="26"/>
        <v>7.6521880986491708E-2</v>
      </c>
      <c r="G91" s="6">
        <f t="shared" si="27"/>
        <v>10.549780386573349</v>
      </c>
      <c r="H91" s="6">
        <f t="shared" si="28"/>
        <v>0.37732647415945292</v>
      </c>
      <c r="I91" s="6">
        <f t="shared" si="29"/>
        <v>3.980711436422272</v>
      </c>
      <c r="J91" s="6">
        <f t="shared" si="30"/>
        <v>0</v>
      </c>
      <c r="K91" s="5">
        <f t="shared" si="31"/>
        <v>0</v>
      </c>
      <c r="M91" s="78">
        <v>45031.635416666664</v>
      </c>
      <c r="N91" s="5">
        <v>2.82688080558458E-2</v>
      </c>
      <c r="O91" s="5">
        <v>54.493389659999998</v>
      </c>
      <c r="P91" s="2">
        <v>35237</v>
      </c>
      <c r="Q91" s="7">
        <f t="shared" si="32"/>
        <v>587.2833333333333</v>
      </c>
      <c r="R91" s="6">
        <f t="shared" si="33"/>
        <v>16.601799824397308</v>
      </c>
      <c r="S91" s="6">
        <f t="shared" si="34"/>
        <v>147.01565424489038</v>
      </c>
      <c r="T91" s="2">
        <f t="shared" si="35"/>
        <v>1</v>
      </c>
      <c r="U91" s="6">
        <f t="shared" si="36"/>
        <v>147.01565424489038</v>
      </c>
      <c r="V91">
        <f>IF((R91-$AB$774)/($Z$773-$AB$774)&lt;0, 0, IF((R91-$AB$774)/($Z$773-$AB$774)&gt;1, 1, (R91-$AB$774)/($Z$773-$AB$774)))</f>
        <v>0.31273975928718084</v>
      </c>
      <c r="W91" s="6">
        <f t="shared" si="37"/>
        <v>45.977640319994428</v>
      </c>
      <c r="Y91" s="78">
        <v>45048.083333333336</v>
      </c>
      <c r="Z91">
        <v>8.6893018159726498E-2</v>
      </c>
      <c r="AA91" s="6">
        <v>84.891986889999998</v>
      </c>
      <c r="AB91" s="2">
        <v>8945</v>
      </c>
      <c r="AC91" s="7">
        <f t="shared" si="38"/>
        <v>149.08333333333334</v>
      </c>
      <c r="AD91" s="7">
        <f t="shared" si="39"/>
        <v>12.954300790645894</v>
      </c>
      <c r="AE91" s="7">
        <f t="shared" si="40"/>
        <v>147.01565424489038</v>
      </c>
      <c r="AF91" s="7">
        <f t="shared" si="41"/>
        <v>0.62197425371364079</v>
      </c>
      <c r="AG91" s="6">
        <f t="shared" si="42"/>
        <v>91.439951833188346</v>
      </c>
      <c r="AH91" s="2">
        <f t="shared" si="43"/>
        <v>0</v>
      </c>
      <c r="AI91" s="7">
        <f t="shared" si="44"/>
        <v>0</v>
      </c>
      <c r="AK91" s="78">
        <v>45004.489583333336</v>
      </c>
      <c r="AL91" s="79">
        <v>3.0670092579756199E-3</v>
      </c>
      <c r="AM91" s="7">
        <v>33.335473370000003</v>
      </c>
      <c r="AN91" s="2">
        <v>1497</v>
      </c>
      <c r="AO91" s="6">
        <f t="shared" si="45"/>
        <v>24.95</v>
      </c>
      <c r="AP91" s="5">
        <f t="shared" si="46"/>
        <v>7.6521880986491708E-2</v>
      </c>
      <c r="AQ91" s="6">
        <f t="shared" si="47"/>
        <v>10.549780386573349</v>
      </c>
      <c r="AR91" s="2">
        <f t="shared" si="48"/>
        <v>0</v>
      </c>
      <c r="AS91" s="2">
        <f t="shared" si="49"/>
        <v>0</v>
      </c>
    </row>
    <row r="92" spans="1:45" x14ac:dyDescent="0.3">
      <c r="A92" s="78">
        <v>45004.5</v>
      </c>
      <c r="B92" s="79">
        <v>3.13521927963839E-3</v>
      </c>
      <c r="C92" s="7">
        <v>33.335473370000003</v>
      </c>
      <c r="D92" s="2">
        <v>1700</v>
      </c>
      <c r="E92" s="6">
        <f t="shared" si="25"/>
        <v>28.333333333333332</v>
      </c>
      <c r="F92" s="6">
        <f t="shared" si="26"/>
        <v>8.883121292308771E-2</v>
      </c>
      <c r="G92" s="6">
        <f t="shared" si="27"/>
        <v>11.349223878897707</v>
      </c>
      <c r="H92" s="6">
        <f t="shared" si="28"/>
        <v>0.37732647415945292</v>
      </c>
      <c r="I92" s="6">
        <f t="shared" si="29"/>
        <v>4.2823626306707414</v>
      </c>
      <c r="J92" s="6">
        <f t="shared" si="30"/>
        <v>1.2083050126480839E-2</v>
      </c>
      <c r="K92" s="5">
        <f t="shared" si="31"/>
        <v>0.1371332410253743</v>
      </c>
      <c r="M92" s="78">
        <v>45031.645833333336</v>
      </c>
      <c r="N92" s="5">
        <v>2.89204268700557E-2</v>
      </c>
      <c r="O92" s="5">
        <v>54.493389659999998</v>
      </c>
      <c r="P92" s="2">
        <v>35110</v>
      </c>
      <c r="Q92" s="7">
        <f t="shared" si="32"/>
        <v>585.16666666666663</v>
      </c>
      <c r="R92" s="6">
        <f t="shared" si="33"/>
        <v>16.923269790127591</v>
      </c>
      <c r="S92" s="6">
        <f t="shared" si="34"/>
        <v>148.40288492459135</v>
      </c>
      <c r="T92" s="2">
        <f t="shared" si="35"/>
        <v>1</v>
      </c>
      <c r="U92" s="6">
        <f t="shared" si="36"/>
        <v>148.40288492459135</v>
      </c>
      <c r="V92">
        <f>IF((R92-$AB$774)/($Z$773-$AB$774)&lt;0, 0, IF((R92-$AB$774)/($Z$773-$AB$774)&gt;1, 1, (R92-$AB$774)/($Z$773-$AB$774)))</f>
        <v>0.37158466306320226</v>
      </c>
      <c r="W92" s="6">
        <f t="shared" si="37"/>
        <v>55.144235992311451</v>
      </c>
      <c r="Y92" s="78">
        <v>45048.09375</v>
      </c>
      <c r="Z92">
        <v>9.06291838086907E-2</v>
      </c>
      <c r="AA92" s="6">
        <v>86.192545629999998</v>
      </c>
      <c r="AB92" s="2">
        <v>8922</v>
      </c>
      <c r="AC92" s="7">
        <f t="shared" si="38"/>
        <v>148.69999999999999</v>
      </c>
      <c r="AD92" s="7">
        <f t="shared" si="39"/>
        <v>13.476559632352306</v>
      </c>
      <c r="AE92" s="7">
        <f t="shared" si="40"/>
        <v>148.40288492459135</v>
      </c>
      <c r="AF92" s="7">
        <f t="shared" si="41"/>
        <v>0.7641452306401989</v>
      </c>
      <c r="AG92" s="6">
        <f t="shared" si="42"/>
        <v>113.40135672837275</v>
      </c>
      <c r="AH92" s="2">
        <f t="shared" si="43"/>
        <v>0.7154399776764383</v>
      </c>
      <c r="AI92" s="7">
        <f t="shared" si="44"/>
        <v>106.17335667756868</v>
      </c>
      <c r="AK92" s="78">
        <v>45004.5</v>
      </c>
      <c r="AL92" s="79">
        <v>3.13521927963839E-3</v>
      </c>
      <c r="AM92" s="7">
        <v>33.335473370000003</v>
      </c>
      <c r="AN92" s="2">
        <v>1700</v>
      </c>
      <c r="AO92" s="6">
        <f t="shared" si="45"/>
        <v>28.333333333333332</v>
      </c>
      <c r="AP92" s="5">
        <f t="shared" si="46"/>
        <v>8.883121292308771E-2</v>
      </c>
      <c r="AQ92" s="6">
        <f t="shared" si="47"/>
        <v>11.349223878897707</v>
      </c>
      <c r="AR92" s="2">
        <f t="shared" si="48"/>
        <v>0</v>
      </c>
      <c r="AS92" s="2">
        <f t="shared" si="49"/>
        <v>0</v>
      </c>
    </row>
    <row r="93" spans="1:45" x14ac:dyDescent="0.3">
      <c r="A93" s="78">
        <v>45004.510416666664</v>
      </c>
      <c r="B93" s="79">
        <v>3.0960610106418002E-3</v>
      </c>
      <c r="C93" s="7">
        <v>33.335473370000003</v>
      </c>
      <c r="D93" s="2">
        <v>1628</v>
      </c>
      <c r="E93" s="6">
        <f t="shared" si="25"/>
        <v>27.133333333333333</v>
      </c>
      <c r="F93" s="6">
        <f t="shared" si="26"/>
        <v>8.4006455422080836E-2</v>
      </c>
      <c r="G93" s="6">
        <f t="shared" si="27"/>
        <v>11.043061797341158</v>
      </c>
      <c r="H93" s="6">
        <f t="shared" si="28"/>
        <v>0.37732647415945292</v>
      </c>
      <c r="I93" s="6">
        <f t="shared" si="29"/>
        <v>4.1668395719156903</v>
      </c>
      <c r="J93" s="6">
        <f t="shared" si="30"/>
        <v>6.6451942171998866E-3</v>
      </c>
      <c r="K93" s="5">
        <f t="shared" si="31"/>
        <v>7.338329039587245E-2</v>
      </c>
      <c r="M93" s="78">
        <v>45031.65625</v>
      </c>
      <c r="N93" s="5">
        <v>2.8859744529486701E-2</v>
      </c>
      <c r="O93" s="5">
        <v>53.134964160000003</v>
      </c>
      <c r="P93" s="2">
        <v>35747</v>
      </c>
      <c r="Q93" s="7">
        <f t="shared" si="32"/>
        <v>595.7833333333333</v>
      </c>
      <c r="R93" s="6">
        <f t="shared" si="33"/>
        <v>17.194154794926018</v>
      </c>
      <c r="S93" s="6">
        <f t="shared" si="34"/>
        <v>149.56142219489908</v>
      </c>
      <c r="T93" s="2">
        <f t="shared" si="35"/>
        <v>1</v>
      </c>
      <c r="U93" s="6">
        <f t="shared" si="36"/>
        <v>149.56142219489908</v>
      </c>
      <c r="V93">
        <f>IF((R93-$AB$774)/($Z$773-$AB$774)&lt;0, 0, IF((R93-$AB$774)/($Z$773-$AB$774)&gt;1, 1, (R93-$AB$774)/($Z$773-$AB$774)))</f>
        <v>0.42117001703404405</v>
      </c>
      <c r="W93" s="6">
        <f t="shared" si="37"/>
        <v>62.990786733461498</v>
      </c>
      <c r="Y93" s="78">
        <v>45048.104166666664</v>
      </c>
      <c r="Z93">
        <v>9.0593260858147895E-2</v>
      </c>
      <c r="AA93" s="6">
        <v>89.635700749999998</v>
      </c>
      <c r="AB93" s="2">
        <v>8749</v>
      </c>
      <c r="AC93" s="7">
        <f t="shared" si="38"/>
        <v>145.81666666666666</v>
      </c>
      <c r="AD93" s="7">
        <f t="shared" si="39"/>
        <v>13.210007320798931</v>
      </c>
      <c r="AE93" s="7">
        <f t="shared" si="40"/>
        <v>149.56142219489908</v>
      </c>
      <c r="AF93" s="7">
        <f t="shared" si="41"/>
        <v>1</v>
      </c>
      <c r="AG93" s="6">
        <f t="shared" si="42"/>
        <v>149.56142219489908</v>
      </c>
      <c r="AH93" s="2">
        <f t="shared" si="43"/>
        <v>0</v>
      </c>
      <c r="AI93" s="7">
        <f t="shared" si="44"/>
        <v>0</v>
      </c>
      <c r="AK93" s="78">
        <v>45004.510416666664</v>
      </c>
      <c r="AL93" s="79">
        <v>3.0960610106418002E-3</v>
      </c>
      <c r="AM93" s="7">
        <v>33.335473370000003</v>
      </c>
      <c r="AN93" s="2">
        <v>1628</v>
      </c>
      <c r="AO93" s="6">
        <f t="shared" si="45"/>
        <v>27.133333333333333</v>
      </c>
      <c r="AP93" s="5">
        <f t="shared" si="46"/>
        <v>8.4006455422080836E-2</v>
      </c>
      <c r="AQ93" s="6">
        <f t="shared" si="47"/>
        <v>11.043061797341158</v>
      </c>
      <c r="AR93" s="2">
        <f t="shared" si="48"/>
        <v>0</v>
      </c>
      <c r="AS93" s="2">
        <f t="shared" si="49"/>
        <v>0</v>
      </c>
    </row>
    <row r="94" spans="1:45" x14ac:dyDescent="0.3">
      <c r="A94" s="78">
        <v>45004.520833333336</v>
      </c>
      <c r="B94" s="79">
        <v>3.3801022190652701E-3</v>
      </c>
      <c r="C94" s="7">
        <v>29.54055151</v>
      </c>
      <c r="D94" s="2">
        <v>1465</v>
      </c>
      <c r="E94" s="6">
        <f t="shared" si="25"/>
        <v>24.416666666666668</v>
      </c>
      <c r="F94" s="6">
        <f t="shared" si="26"/>
        <v>8.253082918217701E-2</v>
      </c>
      <c r="G94" s="6">
        <f t="shared" si="27"/>
        <v>10.947641065105573</v>
      </c>
      <c r="H94" s="6">
        <f t="shared" si="28"/>
        <v>0.12090893642747319</v>
      </c>
      <c r="I94" s="6">
        <f t="shared" si="29"/>
        <v>1.3236676375716447</v>
      </c>
      <c r="J94" s="6">
        <f t="shared" si="30"/>
        <v>4.9820551129285354E-3</v>
      </c>
      <c r="K94" s="5">
        <f t="shared" si="31"/>
        <v>5.4541751142915616E-2</v>
      </c>
      <c r="M94" s="78">
        <v>45031.666666666664</v>
      </c>
      <c r="N94" s="5">
        <v>2.6957562282668299E-2</v>
      </c>
      <c r="O94" s="5">
        <v>52.456862080000001</v>
      </c>
      <c r="P94" s="2">
        <v>35192</v>
      </c>
      <c r="Q94" s="7">
        <f t="shared" si="32"/>
        <v>586.5333333333333</v>
      </c>
      <c r="R94" s="6">
        <f t="shared" si="33"/>
        <v>15.811508864194378</v>
      </c>
      <c r="S94" s="6">
        <f t="shared" si="34"/>
        <v>143.54591087527217</v>
      </c>
      <c r="T94" s="2">
        <f t="shared" si="35"/>
        <v>1</v>
      </c>
      <c r="U94" s="6">
        <f t="shared" si="36"/>
        <v>143.54591087527217</v>
      </c>
      <c r="V94">
        <f>IF((R94-$AB$774)/($Z$773-$AB$774)&lt;0, 0, IF((R94-$AB$774)/($Z$773-$AB$774)&gt;1, 1, (R94-$AB$774)/($Z$773-$AB$774)))</f>
        <v>0.16807742542791532</v>
      </c>
      <c r="W94" s="6">
        <f t="shared" si="37"/>
        <v>24.126827130620736</v>
      </c>
      <c r="Y94" s="78">
        <v>45048.114583333336</v>
      </c>
      <c r="Z94">
        <v>9.2713622530752396E-2</v>
      </c>
      <c r="AA94" s="6">
        <v>93.038532979999999</v>
      </c>
      <c r="AB94" s="2">
        <v>8770</v>
      </c>
      <c r="AC94" s="7">
        <f t="shared" si="38"/>
        <v>146.16666666666666</v>
      </c>
      <c r="AD94" s="7">
        <f t="shared" si="39"/>
        <v>13.551641159911641</v>
      </c>
      <c r="AE94" s="7">
        <f t="shared" si="40"/>
        <v>143.54591087527217</v>
      </c>
      <c r="AF94" s="7">
        <f t="shared" si="41"/>
        <v>1</v>
      </c>
      <c r="AG94" s="6">
        <f t="shared" si="42"/>
        <v>143.54591087527217</v>
      </c>
      <c r="AH94" s="2">
        <f t="shared" si="43"/>
        <v>0.95454177660347839</v>
      </c>
      <c r="AI94" s="7">
        <f t="shared" si="44"/>
        <v>137.02056879104686</v>
      </c>
      <c r="AK94" s="78">
        <v>45004.520833333336</v>
      </c>
      <c r="AL94" s="79">
        <v>3.3801022190652701E-3</v>
      </c>
      <c r="AM94" s="7">
        <v>29.54055151</v>
      </c>
      <c r="AN94" s="2">
        <v>1465</v>
      </c>
      <c r="AO94" s="6">
        <f t="shared" si="45"/>
        <v>24.416666666666668</v>
      </c>
      <c r="AP94" s="5">
        <f t="shared" si="46"/>
        <v>8.253082918217701E-2</v>
      </c>
      <c r="AQ94" s="6">
        <f t="shared" si="47"/>
        <v>10.947641065105573</v>
      </c>
      <c r="AR94" s="2">
        <f t="shared" si="48"/>
        <v>0</v>
      </c>
      <c r="AS94" s="2">
        <f t="shared" si="49"/>
        <v>0</v>
      </c>
    </row>
    <row r="95" spans="1:45" x14ac:dyDescent="0.3">
      <c r="A95" s="78">
        <v>45004.53125</v>
      </c>
      <c r="B95" s="79">
        <v>2.7801823142940799E-3</v>
      </c>
      <c r="C95" s="7">
        <v>26.264895790000001</v>
      </c>
      <c r="D95" s="2">
        <v>1331</v>
      </c>
      <c r="E95" s="6">
        <f t="shared" si="25"/>
        <v>22.183333333333334</v>
      </c>
      <c r="F95" s="6">
        <f t="shared" si="26"/>
        <v>6.1673711005423675E-2</v>
      </c>
      <c r="G95" s="6">
        <f t="shared" si="27"/>
        <v>9.4921720750947145</v>
      </c>
      <c r="H95" s="6">
        <f t="shared" si="28"/>
        <v>0</v>
      </c>
      <c r="I95" s="6">
        <f t="shared" si="29"/>
        <v>0</v>
      </c>
      <c r="J95" s="6">
        <f t="shared" si="30"/>
        <v>0</v>
      </c>
      <c r="K95" s="5">
        <f t="shared" si="31"/>
        <v>0</v>
      </c>
      <c r="M95" s="78">
        <v>45031.677083333336</v>
      </c>
      <c r="N95" s="5">
        <v>2.4945668857781898E-2</v>
      </c>
      <c r="O95" s="5">
        <v>54.493389659999998</v>
      </c>
      <c r="P95" s="2">
        <v>36321</v>
      </c>
      <c r="Q95" s="7">
        <f t="shared" si="32"/>
        <v>605.35</v>
      </c>
      <c r="R95" s="6">
        <f t="shared" si="33"/>
        <v>15.100860643058272</v>
      </c>
      <c r="S95" s="6">
        <f t="shared" si="34"/>
        <v>140.34945322684547</v>
      </c>
      <c r="T95" s="2">
        <f t="shared" si="35"/>
        <v>1</v>
      </c>
      <c r="U95" s="6">
        <f t="shared" si="36"/>
        <v>140.34945322684547</v>
      </c>
      <c r="V95">
        <f>IF((R95-$AB$774)/($Z$773-$AB$774)&lt;0, 0, IF((R95-$AB$774)/($Z$773-$AB$774)&gt;1, 1, (R95-$AB$774)/($Z$773-$AB$774)))</f>
        <v>3.7993651983149232E-2</v>
      </c>
      <c r="W95" s="6">
        <f t="shared" si="37"/>
        <v>5.3323882819260477</v>
      </c>
      <c r="Y95" s="78">
        <v>45048.125</v>
      </c>
      <c r="Z95">
        <v>9.0849932077533904E-2</v>
      </c>
      <c r="AA95" s="6">
        <v>89.635700749999998</v>
      </c>
      <c r="AB95" s="2">
        <v>8795</v>
      </c>
      <c r="AC95" s="7">
        <f t="shared" si="38"/>
        <v>146.58333333333334</v>
      </c>
      <c r="AD95" s="7">
        <f t="shared" si="39"/>
        <v>13.317085877031845</v>
      </c>
      <c r="AE95" s="7">
        <f t="shared" si="40"/>
        <v>140.34945322684547</v>
      </c>
      <c r="AF95" s="7">
        <f t="shared" si="41"/>
        <v>1</v>
      </c>
      <c r="AG95" s="6">
        <f t="shared" si="42"/>
        <v>140.34945322684547</v>
      </c>
      <c r="AH95" s="2">
        <f t="shared" si="43"/>
        <v>0.20758587536560197</v>
      </c>
      <c r="AI95" s="7">
        <f t="shared" si="44"/>
        <v>29.134564105178328</v>
      </c>
      <c r="AK95" s="78">
        <v>45004.53125</v>
      </c>
      <c r="AL95" s="79">
        <v>2.7801823142940799E-3</v>
      </c>
      <c r="AM95" s="7">
        <v>26.264895790000001</v>
      </c>
      <c r="AN95" s="2">
        <v>1331</v>
      </c>
      <c r="AO95" s="6">
        <f t="shared" si="45"/>
        <v>22.183333333333334</v>
      </c>
      <c r="AP95" s="5">
        <f t="shared" si="46"/>
        <v>6.1673711005423675E-2</v>
      </c>
      <c r="AQ95" s="6">
        <f t="shared" si="47"/>
        <v>9.4921720750947145</v>
      </c>
      <c r="AR95" s="2">
        <f t="shared" si="48"/>
        <v>0</v>
      </c>
      <c r="AS95" s="2">
        <f t="shared" si="49"/>
        <v>0</v>
      </c>
    </row>
    <row r="96" spans="1:45" x14ac:dyDescent="0.3">
      <c r="A96" s="78">
        <v>45004.541666666664</v>
      </c>
      <c r="B96" s="79">
        <v>2.960977840099E-3</v>
      </c>
      <c r="C96" s="7">
        <v>26.253465819999999</v>
      </c>
      <c r="D96" s="2">
        <v>1452</v>
      </c>
      <c r="E96" s="6">
        <f t="shared" si="25"/>
        <v>24.2</v>
      </c>
      <c r="F96" s="6">
        <f t="shared" si="26"/>
        <v>7.1655663730395794E-2</v>
      </c>
      <c r="G96" s="6">
        <f t="shared" si="27"/>
        <v>10.215738651340915</v>
      </c>
      <c r="H96" s="6">
        <f t="shared" si="28"/>
        <v>0</v>
      </c>
      <c r="I96" s="6">
        <f t="shared" si="29"/>
        <v>0</v>
      </c>
      <c r="J96" s="6">
        <f t="shared" si="30"/>
        <v>0</v>
      </c>
      <c r="K96" s="5">
        <f t="shared" si="31"/>
        <v>0</v>
      </c>
      <c r="M96" s="78">
        <v>45031.6875</v>
      </c>
      <c r="N96" s="5">
        <v>2.5985487735128699E-2</v>
      </c>
      <c r="O96" s="5">
        <v>54.493389659999998</v>
      </c>
      <c r="P96" s="2">
        <v>36060</v>
      </c>
      <c r="Q96" s="7">
        <f t="shared" si="32"/>
        <v>601</v>
      </c>
      <c r="R96" s="6">
        <f t="shared" si="33"/>
        <v>15.617278128812348</v>
      </c>
      <c r="S96" s="6">
        <f t="shared" si="34"/>
        <v>142.67968110699334</v>
      </c>
      <c r="T96" s="2">
        <f t="shared" si="35"/>
        <v>1</v>
      </c>
      <c r="U96" s="6">
        <f t="shared" si="36"/>
        <v>142.67968110699334</v>
      </c>
      <c r="V96">
        <f>IF((R96-$AB$774)/($Z$773-$AB$774)&lt;0, 0, IF((R96-$AB$774)/($Z$773-$AB$774)&gt;1, 1, (R96-$AB$774)/($Z$773-$AB$774)))</f>
        <v>0.13252359411450768</v>
      </c>
      <c r="W96" s="6">
        <f t="shared" si="37"/>
        <v>18.908424147410575</v>
      </c>
      <c r="Y96" s="78">
        <v>45048.135416666664</v>
      </c>
      <c r="Z96">
        <v>8.8658303360015497E-2</v>
      </c>
      <c r="AA96" s="6">
        <v>85.762083380000007</v>
      </c>
      <c r="AB96" s="2">
        <v>9154</v>
      </c>
      <c r="AC96" s="7">
        <f t="shared" si="38"/>
        <v>152.56666666666666</v>
      </c>
      <c r="AD96" s="7">
        <f t="shared" si="39"/>
        <v>13.526301815959698</v>
      </c>
      <c r="AE96" s="7">
        <f t="shared" si="40"/>
        <v>142.67968110699334</v>
      </c>
      <c r="AF96" s="7">
        <f t="shared" si="41"/>
        <v>0.71708911796319441</v>
      </c>
      <c r="AG96" s="6">
        <f t="shared" si="42"/>
        <v>102.31404667628371</v>
      </c>
      <c r="AH96" s="2">
        <f t="shared" si="43"/>
        <v>0.87384705821548958</v>
      </c>
      <c r="AI96" s="7">
        <f t="shared" si="44"/>
        <v>124.6802196024703</v>
      </c>
      <c r="AK96" s="78">
        <v>45004.541666666664</v>
      </c>
      <c r="AL96" s="79">
        <v>2.960977840099E-3</v>
      </c>
      <c r="AM96" s="7">
        <v>26.253465819999999</v>
      </c>
      <c r="AN96" s="2">
        <v>1452</v>
      </c>
      <c r="AO96" s="6">
        <f t="shared" si="45"/>
        <v>24.2</v>
      </c>
      <c r="AP96" s="5">
        <f t="shared" si="46"/>
        <v>7.1655663730395794E-2</v>
      </c>
      <c r="AQ96" s="6">
        <f t="shared" si="47"/>
        <v>10.215738651340915</v>
      </c>
      <c r="AR96" s="2">
        <f t="shared" si="48"/>
        <v>0</v>
      </c>
      <c r="AS96" s="2">
        <f t="shared" si="49"/>
        <v>0</v>
      </c>
    </row>
    <row r="97" spans="1:45" x14ac:dyDescent="0.3">
      <c r="A97" s="78">
        <v>45004.552083333336</v>
      </c>
      <c r="B97" s="79">
        <v>2.1384346645964201E-2</v>
      </c>
      <c r="C97" s="7">
        <v>25.588736650000001</v>
      </c>
      <c r="D97" s="2">
        <v>1813</v>
      </c>
      <c r="E97" s="6">
        <f t="shared" si="25"/>
        <v>30.216666666666665</v>
      </c>
      <c r="F97" s="6">
        <f t="shared" si="26"/>
        <v>0.64616367448555156</v>
      </c>
      <c r="G97" s="6">
        <f t="shared" si="27"/>
        <v>29.990129031846763</v>
      </c>
      <c r="H97" s="6">
        <f t="shared" si="28"/>
        <v>0</v>
      </c>
      <c r="I97" s="6">
        <f t="shared" si="29"/>
        <v>0</v>
      </c>
      <c r="J97" s="6">
        <f t="shared" si="30"/>
        <v>0.640237650416562</v>
      </c>
      <c r="K97" s="5">
        <f t="shared" si="31"/>
        <v>19.200809747039095</v>
      </c>
      <c r="M97" s="78">
        <v>45031.697916666664</v>
      </c>
      <c r="N97" s="5">
        <v>2.6384995945276601E-2</v>
      </c>
      <c r="O97" s="5">
        <v>51.0808441</v>
      </c>
      <c r="P97" s="2">
        <v>36628</v>
      </c>
      <c r="Q97" s="7">
        <f t="shared" si="32"/>
        <v>610.4666666666667</v>
      </c>
      <c r="R97" s="6">
        <f t="shared" si="33"/>
        <v>16.107160524726524</v>
      </c>
      <c r="S97" s="6">
        <f t="shared" si="34"/>
        <v>144.85409948070773</v>
      </c>
      <c r="T97" s="2">
        <f t="shared" si="35"/>
        <v>1</v>
      </c>
      <c r="U97" s="6">
        <f t="shared" si="36"/>
        <v>144.85409948070773</v>
      </c>
      <c r="V97">
        <f>IF((R97-$AB$774)/($Z$773-$AB$774)&lt;0, 0, IF((R97-$AB$774)/($Z$773-$AB$774)&gt;1, 1, (R97-$AB$774)/($Z$773-$AB$774)))</f>
        <v>0.22219630236782767</v>
      </c>
      <c r="W97" s="6">
        <f t="shared" si="37"/>
        <v>32.186045287434723</v>
      </c>
      <c r="Y97" s="78">
        <v>45048.145833333336</v>
      </c>
      <c r="Z97">
        <v>8.7540918300834394E-2</v>
      </c>
      <c r="AA97" s="6">
        <v>87.058386479999996</v>
      </c>
      <c r="AB97" s="2">
        <v>8930</v>
      </c>
      <c r="AC97" s="7">
        <f t="shared" si="38"/>
        <v>148.83333333333334</v>
      </c>
      <c r="AD97" s="7">
        <f t="shared" si="39"/>
        <v>13.029006673774186</v>
      </c>
      <c r="AE97" s="7">
        <f t="shared" si="40"/>
        <v>144.85409948070773</v>
      </c>
      <c r="AF97" s="7">
        <f t="shared" si="41"/>
        <v>0.85879488829996842</v>
      </c>
      <c r="AG97" s="6">
        <f t="shared" si="42"/>
        <v>124.39996018332691</v>
      </c>
      <c r="AH97" s="2">
        <f t="shared" si="43"/>
        <v>0</v>
      </c>
      <c r="AI97" s="7">
        <f t="shared" si="44"/>
        <v>0</v>
      </c>
      <c r="AK97" s="78">
        <v>45004.552083333336</v>
      </c>
      <c r="AL97" s="79">
        <v>2.1384346645964201E-2</v>
      </c>
      <c r="AM97" s="7">
        <v>25.588736650000001</v>
      </c>
      <c r="AN97" s="2">
        <v>1813</v>
      </c>
      <c r="AO97" s="6">
        <f t="shared" si="45"/>
        <v>30.216666666666665</v>
      </c>
      <c r="AP97" s="5">
        <f t="shared" si="46"/>
        <v>0.64616367448555156</v>
      </c>
      <c r="AQ97" s="6">
        <f t="shared" si="47"/>
        <v>29.990129031846763</v>
      </c>
      <c r="AR97" s="2">
        <f t="shared" si="48"/>
        <v>0</v>
      </c>
      <c r="AS97" s="2">
        <f t="shared" si="49"/>
        <v>0</v>
      </c>
    </row>
    <row r="98" spans="1:45" x14ac:dyDescent="0.3">
      <c r="A98" s="78">
        <v>45004.5625</v>
      </c>
      <c r="B98" s="79">
        <v>3.05170445143645E-3</v>
      </c>
      <c r="C98" s="7">
        <v>26.264895790000001</v>
      </c>
      <c r="D98" s="2">
        <v>1293</v>
      </c>
      <c r="E98" s="6">
        <f t="shared" si="25"/>
        <v>21.55</v>
      </c>
      <c r="F98" s="6">
        <f t="shared" si="26"/>
        <v>6.57642309284555E-2</v>
      </c>
      <c r="G98" s="6">
        <f t="shared" si="27"/>
        <v>9.7954224606134517</v>
      </c>
      <c r="H98" s="6">
        <f t="shared" si="28"/>
        <v>0</v>
      </c>
      <c r="I98" s="6">
        <f t="shared" si="29"/>
        <v>0</v>
      </c>
      <c r="J98" s="6">
        <f t="shared" si="30"/>
        <v>0</v>
      </c>
      <c r="K98" s="5">
        <f t="shared" si="31"/>
        <v>0</v>
      </c>
      <c r="M98" s="78">
        <v>45031.708333333336</v>
      </c>
      <c r="N98" s="5">
        <v>2.71277077504E-2</v>
      </c>
      <c r="O98" s="5">
        <v>51.0808441</v>
      </c>
      <c r="P98" s="2">
        <v>36433</v>
      </c>
      <c r="Q98" s="7">
        <f t="shared" si="32"/>
        <v>607.2166666666667</v>
      </c>
      <c r="R98" s="6">
        <f t="shared" si="33"/>
        <v>16.472396274505389</v>
      </c>
      <c r="S98" s="6">
        <f t="shared" si="34"/>
        <v>146.45337641557882</v>
      </c>
      <c r="T98" s="2">
        <f t="shared" si="35"/>
        <v>1</v>
      </c>
      <c r="U98" s="6">
        <f t="shared" si="36"/>
        <v>146.45337641557882</v>
      </c>
      <c r="V98">
        <f>IF((R98-$AB$774)/($Z$773-$AB$774)&lt;0, 0, IF((R98-$AB$774)/($Z$773-$AB$774)&gt;1, 1, (R98-$AB$774)/($Z$773-$AB$774)))</f>
        <v>0.28905250929986981</v>
      </c>
      <c r="W98" s="6">
        <f t="shared" si="37"/>
        <v>42.332715948361432</v>
      </c>
      <c r="Y98" s="78">
        <v>45048.15625</v>
      </c>
      <c r="Z98">
        <v>9.1263812126798599E-2</v>
      </c>
      <c r="AA98" s="6">
        <v>87.922589900000006</v>
      </c>
      <c r="AB98" s="2">
        <v>8892</v>
      </c>
      <c r="AC98" s="7">
        <f t="shared" si="38"/>
        <v>148.19999999999999</v>
      </c>
      <c r="AD98" s="7">
        <f t="shared" si="39"/>
        <v>13.525296957191552</v>
      </c>
      <c r="AE98" s="7">
        <f t="shared" si="40"/>
        <v>146.45337641557882</v>
      </c>
      <c r="AF98" s="7">
        <f t="shared" si="41"/>
        <v>0.95326554979786737</v>
      </c>
      <c r="AG98" s="6">
        <f t="shared" si="42"/>
        <v>139.60895838855077</v>
      </c>
      <c r="AH98" s="2">
        <f t="shared" si="43"/>
        <v>0.8706470229079829</v>
      </c>
      <c r="AI98" s="7">
        <f t="shared" si="44"/>
        <v>127.50919617104589</v>
      </c>
      <c r="AK98" s="78">
        <v>45004.5625</v>
      </c>
      <c r="AL98" s="79">
        <v>3.05170445143645E-3</v>
      </c>
      <c r="AM98" s="7">
        <v>26.264895790000001</v>
      </c>
      <c r="AN98" s="2">
        <v>1293</v>
      </c>
      <c r="AO98" s="6">
        <f t="shared" si="45"/>
        <v>21.55</v>
      </c>
      <c r="AP98" s="5">
        <f t="shared" si="46"/>
        <v>6.57642309284555E-2</v>
      </c>
      <c r="AQ98" s="6">
        <f t="shared" si="47"/>
        <v>9.7954224606134517</v>
      </c>
      <c r="AR98" s="2">
        <f t="shared" si="48"/>
        <v>0</v>
      </c>
      <c r="AS98" s="2">
        <f t="shared" si="49"/>
        <v>0</v>
      </c>
    </row>
    <row r="99" spans="1:45" x14ac:dyDescent="0.3">
      <c r="M99" s="78">
        <v>45031.71875</v>
      </c>
      <c r="N99" s="5">
        <v>2.5271022044193299E-2</v>
      </c>
      <c r="O99" s="5">
        <v>48.998295149999997</v>
      </c>
      <c r="P99" s="2">
        <v>36337</v>
      </c>
      <c r="Q99" s="7">
        <f t="shared" si="32"/>
        <v>605.61666666666667</v>
      </c>
      <c r="R99" s="6">
        <f t="shared" si="33"/>
        <v>15.304552133664199</v>
      </c>
      <c r="S99" s="6">
        <f t="shared" si="34"/>
        <v>141.27335297205235</v>
      </c>
      <c r="T99" s="2">
        <f t="shared" si="35"/>
        <v>0.50400409260404266</v>
      </c>
      <c r="U99" s="6">
        <f t="shared" si="36"/>
        <v>71.202348073809873</v>
      </c>
      <c r="V99">
        <f>IF((R99-$AB$774)/($Z$773-$AB$774)&lt;0, 0, IF((R99-$AB$774)/($Z$773-$AB$774)&gt;1, 1, (R99-$AB$774)/($Z$773-$AB$774)))</f>
        <v>7.5279269435688051E-2</v>
      </c>
      <c r="W99" s="6">
        <f t="shared" si="37"/>
        <v>10.63495480246619</v>
      </c>
      <c r="Y99" s="78">
        <v>45048.166666666664</v>
      </c>
      <c r="Z99">
        <v>9.0284575355063804E-2</v>
      </c>
      <c r="AA99" s="6">
        <v>84.899432570000002</v>
      </c>
      <c r="AB99" s="2">
        <v>9005</v>
      </c>
      <c r="AC99" s="7">
        <f t="shared" si="38"/>
        <v>150.08333333333334</v>
      </c>
      <c r="AD99" s="7">
        <f t="shared" si="39"/>
        <v>13.550210017872493</v>
      </c>
      <c r="AE99" s="7">
        <f t="shared" si="40"/>
        <v>141.27335297205235</v>
      </c>
      <c r="AF99" s="7">
        <f t="shared" si="41"/>
        <v>0.62278818050289375</v>
      </c>
      <c r="AG99" s="6">
        <f t="shared" si="42"/>
        <v>87.983374451007563</v>
      </c>
      <c r="AH99" s="2">
        <f t="shared" si="43"/>
        <v>0.94998421567998592</v>
      </c>
      <c r="AI99" s="7">
        <f t="shared" si="44"/>
        <v>134.20745541963697</v>
      </c>
      <c r="AK99" s="78">
        <v>45030.71875</v>
      </c>
      <c r="AL99" s="5">
        <v>3.32244547323199E-2</v>
      </c>
      <c r="AM99" s="5">
        <v>53.134964160000003</v>
      </c>
      <c r="AN99" s="2">
        <v>33004</v>
      </c>
      <c r="AO99" s="7">
        <f>AN99/60</f>
        <v>550.06666666666672</v>
      </c>
      <c r="AP99" s="5">
        <f t="shared" si="46"/>
        <v>18.275665066424768</v>
      </c>
      <c r="AQ99" s="6">
        <f t="shared" si="47"/>
        <v>154.09654232025309</v>
      </c>
      <c r="AR99" s="2">
        <f t="shared" si="48"/>
        <v>1</v>
      </c>
      <c r="AS99" s="2">
        <f t="shared" si="49"/>
        <v>154.09654232025309</v>
      </c>
    </row>
    <row r="100" spans="1:45" x14ac:dyDescent="0.3">
      <c r="H100" s="113" t="s">
        <v>54</v>
      </c>
      <c r="I100" s="114">
        <f>INDEX(F3:F98, MATCH(MAX(G3:G98), G3:G98, 0))</f>
        <v>0.96536413210894412</v>
      </c>
      <c r="J100" s="113" t="s">
        <v>55</v>
      </c>
      <c r="K100" s="115">
        <f>_xlfn.PERCENTILE.INC(F3:F98, 0.1)</f>
        <v>7.8110482601182363E-2</v>
      </c>
      <c r="M100" s="78">
        <v>45031.729166666664</v>
      </c>
      <c r="N100" s="5">
        <v>2.5657234944234299E-2</v>
      </c>
      <c r="O100" s="5">
        <v>48.998295149999997</v>
      </c>
      <c r="P100" s="2">
        <v>35508</v>
      </c>
      <c r="Q100" s="7">
        <f t="shared" si="32"/>
        <v>591.79999999999995</v>
      </c>
      <c r="R100" s="6">
        <f t="shared" si="33"/>
        <v>15.183951639997858</v>
      </c>
      <c r="S100" s="6">
        <f t="shared" si="34"/>
        <v>140.72709900489664</v>
      </c>
      <c r="T100" s="2">
        <f t="shared" si="35"/>
        <v>0.50400409260404266</v>
      </c>
      <c r="U100" s="6">
        <f t="shared" si="36"/>
        <v>70.927033838762213</v>
      </c>
      <c r="V100">
        <f>IF((R100-$AB$774)/($Z$773-$AB$774)&lt;0, 0, IF((R100-$AB$774)/($Z$773-$AB$774)&gt;1, 1, (R100-$AB$774)/($Z$773-$AB$774)))</f>
        <v>5.3203414140731063E-2</v>
      </c>
      <c r="W100" s="6">
        <f t="shared" si="37"/>
        <v>7.4871621291811783</v>
      </c>
      <c r="Y100" s="78">
        <v>45048.177083333336</v>
      </c>
      <c r="Z100">
        <v>9.0662401653771402E-2</v>
      </c>
      <c r="AA100" s="6">
        <v>92.610732819999996</v>
      </c>
      <c r="AB100" s="2">
        <v>8708</v>
      </c>
      <c r="AC100" s="7">
        <f t="shared" si="38"/>
        <v>145.13333333333333</v>
      </c>
      <c r="AD100" s="7">
        <f t="shared" si="39"/>
        <v>13.158136560017356</v>
      </c>
      <c r="AE100" s="7">
        <f t="shared" si="40"/>
        <v>140.72709900489664</v>
      </c>
      <c r="AF100" s="7">
        <f t="shared" si="41"/>
        <v>1</v>
      </c>
      <c r="AG100" s="6">
        <f t="shared" si="42"/>
        <v>140.72709900489664</v>
      </c>
      <c r="AH100" s="2">
        <f t="shared" si="43"/>
        <v>0</v>
      </c>
      <c r="AI100" s="7">
        <f t="shared" si="44"/>
        <v>0</v>
      </c>
      <c r="AK100" s="78">
        <v>45030.729166666664</v>
      </c>
      <c r="AL100" s="5">
        <v>2.8760369616172302E-2</v>
      </c>
      <c r="AM100" s="5">
        <v>62.315280379999997</v>
      </c>
      <c r="AN100" s="2">
        <v>32399</v>
      </c>
      <c r="AO100" s="7">
        <f t="shared" ref="AO100:AO163" si="50">AN100/60</f>
        <v>539.98333333333335</v>
      </c>
      <c r="AP100" s="5">
        <f t="shared" si="46"/>
        <v>15.53012025323944</v>
      </c>
      <c r="AQ100" s="6">
        <f t="shared" si="47"/>
        <v>142.28918811590063</v>
      </c>
      <c r="AR100" s="2">
        <f t="shared" si="48"/>
        <v>1</v>
      </c>
      <c r="AS100" s="2">
        <f t="shared" si="49"/>
        <v>142.28918811590063</v>
      </c>
    </row>
    <row r="101" spans="1:45" x14ac:dyDescent="0.3">
      <c r="M101" s="78">
        <v>45031.739583333336</v>
      </c>
      <c r="N101" s="5">
        <v>2.4472762608936102E-2</v>
      </c>
      <c r="O101" s="5">
        <v>53.134964160000003</v>
      </c>
      <c r="P101" s="2">
        <v>36107</v>
      </c>
      <c r="Q101" s="7">
        <f t="shared" si="32"/>
        <v>601.7833333333333</v>
      </c>
      <c r="R101" s="6">
        <f t="shared" si="33"/>
        <v>14.72730065868093</v>
      </c>
      <c r="S101" s="6">
        <f t="shared" si="34"/>
        <v>138.63838822643635</v>
      </c>
      <c r="T101" s="2">
        <f t="shared" si="35"/>
        <v>1</v>
      </c>
      <c r="U101" s="6">
        <f t="shared" si="36"/>
        <v>138.63838822643635</v>
      </c>
      <c r="V101">
        <f>IF((R101-$AB$774)/($Z$773-$AB$774)&lt;0, 0, IF((R101-$AB$774)/($Z$773-$AB$774)&gt;1, 1, (R101-$AB$774)/($Z$773-$AB$774)))</f>
        <v>0</v>
      </c>
      <c r="W101" s="6">
        <f t="shared" si="37"/>
        <v>0</v>
      </c>
      <c r="Y101" s="78">
        <v>45048.1875</v>
      </c>
      <c r="Z101">
        <v>9.2904304669193805E-2</v>
      </c>
      <c r="AA101" s="6">
        <v>84.891986889999998</v>
      </c>
      <c r="AB101" s="2">
        <v>8969</v>
      </c>
      <c r="AC101" s="7">
        <f t="shared" si="38"/>
        <v>149.48333333333332</v>
      </c>
      <c r="AD101" s="7">
        <f t="shared" si="39"/>
        <v>13.887645142966653</v>
      </c>
      <c r="AE101" s="7">
        <f t="shared" si="40"/>
        <v>138.63838822643635</v>
      </c>
      <c r="AF101" s="7">
        <f t="shared" si="41"/>
        <v>0.62197425371364079</v>
      </c>
      <c r="AG101" s="6">
        <f t="shared" si="42"/>
        <v>86.229508053199751</v>
      </c>
      <c r="AH101" s="2">
        <f t="shared" si="43"/>
        <v>1</v>
      </c>
      <c r="AI101" s="7">
        <f t="shared" si="44"/>
        <v>138.63838822643635</v>
      </c>
      <c r="AK101" s="78">
        <v>45030.739583333336</v>
      </c>
      <c r="AL101" s="5">
        <v>2.9321784230363301E-2</v>
      </c>
      <c r="AM101" s="5">
        <v>55.160894489999997</v>
      </c>
      <c r="AN101" s="2">
        <v>32934</v>
      </c>
      <c r="AO101" s="7">
        <f t="shared" si="50"/>
        <v>548.9</v>
      </c>
      <c r="AP101" s="5">
        <f t="shared" si="46"/>
        <v>16.094727364046417</v>
      </c>
      <c r="AQ101" s="6">
        <f t="shared" si="47"/>
        <v>144.79933373399157</v>
      </c>
      <c r="AR101" s="2">
        <f t="shared" si="48"/>
        <v>1</v>
      </c>
      <c r="AS101" s="2">
        <f t="shared" si="49"/>
        <v>144.79933373399157</v>
      </c>
    </row>
    <row r="102" spans="1:45" x14ac:dyDescent="0.3">
      <c r="M102" s="78">
        <v>45031.75</v>
      </c>
      <c r="N102" s="5">
        <v>2.8957190859761998E-2</v>
      </c>
      <c r="O102" s="5">
        <v>53.134964160000003</v>
      </c>
      <c r="P102" s="2">
        <v>35111</v>
      </c>
      <c r="Q102" s="7">
        <f t="shared" si="32"/>
        <v>585.18333333333328</v>
      </c>
      <c r="R102" s="6">
        <f t="shared" si="33"/>
        <v>16.945265471285058</v>
      </c>
      <c r="S102" s="6">
        <f t="shared" si="34"/>
        <v>148.49730875894022</v>
      </c>
      <c r="T102" s="2">
        <f t="shared" si="35"/>
        <v>1</v>
      </c>
      <c r="U102" s="6">
        <f t="shared" si="36"/>
        <v>148.49730875894022</v>
      </c>
      <c r="V102">
        <f>IF((R102-$AB$774)/($Z$773-$AB$774)&lt;0, 0, IF((R102-$AB$774)/($Z$773-$AB$774)&gt;1, 1, (R102-$AB$774)/($Z$773-$AB$774)))</f>
        <v>0.37561096063118454</v>
      </c>
      <c r="W102" s="6">
        <f t="shared" si="37"/>
        <v>55.777216794091153</v>
      </c>
      <c r="Y102" s="78">
        <v>45048.197916666664</v>
      </c>
      <c r="Z102">
        <v>8.9747547171867406E-2</v>
      </c>
      <c r="AA102" s="6">
        <v>84.891986889999998</v>
      </c>
      <c r="AB102" s="2">
        <v>9272</v>
      </c>
      <c r="AC102" s="7">
        <f t="shared" si="38"/>
        <v>154.53333333333333</v>
      </c>
      <c r="AD102" s="7">
        <f t="shared" si="39"/>
        <v>13.868987622959242</v>
      </c>
      <c r="AE102" s="7">
        <f t="shared" si="40"/>
        <v>148.49730875894022</v>
      </c>
      <c r="AF102" s="7">
        <f t="shared" si="41"/>
        <v>0.62197425371364079</v>
      </c>
      <c r="AG102" s="6">
        <f t="shared" si="42"/>
        <v>92.361502793825935</v>
      </c>
      <c r="AH102" s="2">
        <f t="shared" si="43"/>
        <v>1</v>
      </c>
      <c r="AI102" s="7">
        <f t="shared" si="44"/>
        <v>148.49730875894022</v>
      </c>
      <c r="AK102" s="78">
        <v>45030.75</v>
      </c>
      <c r="AL102" s="5">
        <v>3.04007705165938E-2</v>
      </c>
      <c r="AM102" s="5">
        <v>60.419666749999998</v>
      </c>
      <c r="AN102" s="2">
        <v>32953</v>
      </c>
      <c r="AO102" s="7">
        <f t="shared" si="50"/>
        <v>549.2166666666667</v>
      </c>
      <c r="AP102" s="5">
        <f t="shared" si="46"/>
        <v>16.696609847221925</v>
      </c>
      <c r="AQ102" s="6">
        <f t="shared" si="47"/>
        <v>147.42619974740472</v>
      </c>
      <c r="AR102" s="2">
        <f t="shared" si="48"/>
        <v>1</v>
      </c>
      <c r="AS102" s="2">
        <f t="shared" si="49"/>
        <v>147.42619974740472</v>
      </c>
    </row>
    <row r="103" spans="1:45" x14ac:dyDescent="0.3">
      <c r="M103" s="78">
        <v>45031.760416666664</v>
      </c>
      <c r="N103" s="5">
        <v>2.9784227493091099E-2</v>
      </c>
      <c r="O103" s="5">
        <v>54.48183384</v>
      </c>
      <c r="P103" s="2">
        <v>35641</v>
      </c>
      <c r="Q103" s="7">
        <f t="shared" si="32"/>
        <v>594.01666666666665</v>
      </c>
      <c r="R103" s="6">
        <f t="shared" si="33"/>
        <v>17.692327534687664</v>
      </c>
      <c r="S103" s="6">
        <f t="shared" si="34"/>
        <v>151.66797659745433</v>
      </c>
      <c r="T103" s="2">
        <f t="shared" si="35"/>
        <v>1</v>
      </c>
      <c r="U103" s="6">
        <f t="shared" si="36"/>
        <v>151.66797659745433</v>
      </c>
      <c r="V103">
        <f>IF((R103-$AB$774)/($Z$773-$AB$774)&lt;0, 0, IF((R103-$AB$774)/($Z$773-$AB$774)&gt;1, 1, (R103-$AB$774)/($Z$773-$AB$774)))</f>
        <v>0.51236026825554237</v>
      </c>
      <c r="W103" s="6">
        <f t="shared" si="37"/>
        <v>77.708645175247028</v>
      </c>
      <c r="Y103" s="78">
        <v>45048.208333333336</v>
      </c>
      <c r="Z103">
        <v>8.7177533982742694E-2</v>
      </c>
      <c r="AA103" s="6">
        <v>85.762083380000007</v>
      </c>
      <c r="AB103" s="2">
        <v>9159</v>
      </c>
      <c r="AC103" s="7">
        <f t="shared" si="38"/>
        <v>152.65</v>
      </c>
      <c r="AD103" s="7">
        <f t="shared" si="39"/>
        <v>13.307650562465673</v>
      </c>
      <c r="AE103" s="7">
        <f t="shared" si="40"/>
        <v>151.66797659745433</v>
      </c>
      <c r="AF103" s="7">
        <f t="shared" si="41"/>
        <v>0.71708911796319441</v>
      </c>
      <c r="AG103" s="6">
        <f t="shared" si="42"/>
        <v>108.75945556153094</v>
      </c>
      <c r="AH103" s="2">
        <f t="shared" si="43"/>
        <v>0.17753852870724623</v>
      </c>
      <c r="AI103" s="7">
        <f t="shared" si="44"/>
        <v>26.926909417117095</v>
      </c>
      <c r="AK103" s="78">
        <v>45030.760416666664</v>
      </c>
      <c r="AL103" s="5">
        <v>3.1026848561462501E-2</v>
      </c>
      <c r="AM103" s="5">
        <v>60.419666749999998</v>
      </c>
      <c r="AN103" s="2">
        <v>33356</v>
      </c>
      <c r="AO103" s="7">
        <f t="shared" si="50"/>
        <v>555.93333333333328</v>
      </c>
      <c r="AP103" s="5">
        <f t="shared" si="46"/>
        <v>17.248859343602383</v>
      </c>
      <c r="AQ103" s="6">
        <f t="shared" si="47"/>
        <v>149.79425285357459</v>
      </c>
      <c r="AR103" s="2">
        <f t="shared" si="48"/>
        <v>1</v>
      </c>
      <c r="AS103" s="2">
        <f t="shared" si="49"/>
        <v>149.79425285357459</v>
      </c>
    </row>
    <row r="104" spans="1:45" x14ac:dyDescent="0.3">
      <c r="M104" s="78">
        <v>45031.770833333336</v>
      </c>
      <c r="N104" s="5">
        <v>2.7510791085592901E-2</v>
      </c>
      <c r="O104" s="5">
        <v>54.48183384</v>
      </c>
      <c r="P104" s="2">
        <v>36544</v>
      </c>
      <c r="Q104" s="7">
        <f t="shared" si="32"/>
        <v>609.06666666666672</v>
      </c>
      <c r="R104" s="6">
        <f t="shared" si="33"/>
        <v>16.755905823865117</v>
      </c>
      <c r="S104" s="6">
        <f t="shared" si="34"/>
        <v>147.6823582037581</v>
      </c>
      <c r="T104" s="2">
        <f t="shared" si="35"/>
        <v>1</v>
      </c>
      <c r="U104" s="6">
        <f t="shared" si="36"/>
        <v>147.6823582037581</v>
      </c>
      <c r="V104">
        <f>IF((R104-$AB$774)/($Z$773-$AB$774)&lt;0, 0, IF((R104-$AB$774)/($Z$773-$AB$774)&gt;1, 1, (R104-$AB$774)/($Z$773-$AB$774)))</f>
        <v>0.3409487793410147</v>
      </c>
      <c r="W104" s="6">
        <f t="shared" si="37"/>
        <v>50.352119759773814</v>
      </c>
      <c r="Y104" s="78">
        <v>45048.21875</v>
      </c>
      <c r="Z104">
        <v>8.8066029506402896E-2</v>
      </c>
      <c r="AA104" s="6">
        <v>87.915213519999995</v>
      </c>
      <c r="AB104" s="2">
        <v>8815</v>
      </c>
      <c r="AC104" s="7">
        <f t="shared" si="38"/>
        <v>146.91666666666666</v>
      </c>
      <c r="AD104" s="7">
        <f t="shared" si="39"/>
        <v>12.938367501649024</v>
      </c>
      <c r="AE104" s="7">
        <f t="shared" si="40"/>
        <v>147.6823582037581</v>
      </c>
      <c r="AF104" s="7">
        <f t="shared" si="41"/>
        <v>0.95245919855933503</v>
      </c>
      <c r="AG104" s="6">
        <f t="shared" si="42"/>
        <v>140.66142053610409</v>
      </c>
      <c r="AH104" s="2">
        <f t="shared" si="43"/>
        <v>0</v>
      </c>
      <c r="AI104" s="7">
        <f t="shared" si="44"/>
        <v>0</v>
      </c>
      <c r="AK104" s="78">
        <v>45030.770833333336</v>
      </c>
      <c r="AL104" s="5">
        <v>3.1686725500140699E-2</v>
      </c>
      <c r="AM104" s="5">
        <v>59.125991390000003</v>
      </c>
      <c r="AN104" s="2">
        <v>32585</v>
      </c>
      <c r="AO104" s="7">
        <f t="shared" si="50"/>
        <v>543.08333333333337</v>
      </c>
      <c r="AP104" s="5">
        <f t="shared" si="46"/>
        <v>17.208532507034747</v>
      </c>
      <c r="AQ104" s="6">
        <f t="shared" si="47"/>
        <v>149.62265244186753</v>
      </c>
      <c r="AR104" s="2">
        <f t="shared" si="48"/>
        <v>1</v>
      </c>
      <c r="AS104" s="2">
        <f t="shared" si="49"/>
        <v>149.62265244186753</v>
      </c>
    </row>
    <row r="105" spans="1:45" x14ac:dyDescent="0.3">
      <c r="M105" s="78">
        <v>45031.78125</v>
      </c>
      <c r="N105" s="5">
        <v>2.7859356002394801E-2</v>
      </c>
      <c r="O105" s="5">
        <v>54.48183384</v>
      </c>
      <c r="P105" s="2">
        <v>36242</v>
      </c>
      <c r="Q105" s="7">
        <f t="shared" si="32"/>
        <v>604.0333333333333</v>
      </c>
      <c r="R105" s="6">
        <f t="shared" si="33"/>
        <v>16.827979670646538</v>
      </c>
      <c r="S105" s="6">
        <f t="shared" si="34"/>
        <v>147.99309497131469</v>
      </c>
      <c r="T105" s="2">
        <f t="shared" si="35"/>
        <v>1</v>
      </c>
      <c r="U105" s="6">
        <f t="shared" si="36"/>
        <v>147.99309497131469</v>
      </c>
      <c r="V105">
        <f>IF((R105-$AB$774)/($Z$773-$AB$774)&lt;0, 0, IF((R105-$AB$774)/($Z$773-$AB$774)&gt;1, 1, (R105-$AB$774)/($Z$773-$AB$774)))</f>
        <v>0.35414185810650922</v>
      </c>
      <c r="W105" s="6">
        <f t="shared" si="37"/>
        <v>52.410549640074471</v>
      </c>
      <c r="Y105" s="78">
        <v>45048.229166666664</v>
      </c>
      <c r="Z105">
        <v>8.3413232150416003E-2</v>
      </c>
      <c r="AA105" s="6">
        <v>87.058386479999996</v>
      </c>
      <c r="AB105" s="2">
        <v>9104</v>
      </c>
      <c r="AC105" s="7">
        <f t="shared" si="38"/>
        <v>151.73333333333332</v>
      </c>
      <c r="AD105" s="7">
        <f t="shared" si="39"/>
        <v>12.656567758289787</v>
      </c>
      <c r="AE105" s="7">
        <f t="shared" si="40"/>
        <v>147.99309497131469</v>
      </c>
      <c r="AF105" s="7">
        <f t="shared" si="41"/>
        <v>0.85879488829996842</v>
      </c>
      <c r="AG105" s="6">
        <f t="shared" si="42"/>
        <v>127.09571346505682</v>
      </c>
      <c r="AH105" s="2">
        <f t="shared" si="43"/>
        <v>0</v>
      </c>
      <c r="AI105" s="7">
        <f t="shared" si="44"/>
        <v>0</v>
      </c>
      <c r="AK105" s="78">
        <v>45030.78125</v>
      </c>
      <c r="AL105" s="5">
        <v>3.0532367002330901E-2</v>
      </c>
      <c r="AM105" s="5">
        <v>62.315280379999997</v>
      </c>
      <c r="AN105" s="2">
        <v>32735</v>
      </c>
      <c r="AO105" s="7">
        <f t="shared" si="50"/>
        <v>545.58333333333337</v>
      </c>
      <c r="AP105" s="5">
        <f t="shared" si="46"/>
        <v>16.657950563688367</v>
      </c>
      <c r="AQ105" s="6">
        <f t="shared" si="47"/>
        <v>147.25894168167457</v>
      </c>
      <c r="AR105" s="2">
        <f t="shared" si="48"/>
        <v>1</v>
      </c>
      <c r="AS105" s="2">
        <f t="shared" si="49"/>
        <v>147.25894168167457</v>
      </c>
    </row>
    <row r="106" spans="1:45" x14ac:dyDescent="0.3">
      <c r="M106" s="78">
        <v>45031.791666666664</v>
      </c>
      <c r="N106" s="5">
        <v>2.5332304475681099E-2</v>
      </c>
      <c r="O106" s="5">
        <v>54.48183384</v>
      </c>
      <c r="P106" s="2">
        <v>36193</v>
      </c>
      <c r="Q106" s="7">
        <f t="shared" si="32"/>
        <v>603.2166666666667</v>
      </c>
      <c r="R106" s="6">
        <f t="shared" si="33"/>
        <v>15.280868264805434</v>
      </c>
      <c r="S106" s="6">
        <f t="shared" si="34"/>
        <v>141.16625186533523</v>
      </c>
      <c r="T106" s="2">
        <f t="shared" si="35"/>
        <v>1</v>
      </c>
      <c r="U106" s="6">
        <f t="shared" si="36"/>
        <v>141.16625186533523</v>
      </c>
      <c r="V106">
        <f>IF((R106-$AB$774)/($Z$773-$AB$774)&lt;0, 0, IF((R106-$AB$774)/($Z$773-$AB$774)&gt;1, 1, (R106-$AB$774)/($Z$773-$AB$774)))</f>
        <v>7.0943950019854291E-2</v>
      </c>
      <c r="W106" s="6">
        <f t="shared" si="37"/>
        <v>10.014891516824505</v>
      </c>
      <c r="Y106" s="78">
        <v>45048.239583333336</v>
      </c>
      <c r="Z106">
        <v>8.7572658875317302E-2</v>
      </c>
      <c r="AA106" s="6">
        <v>86.199962600000006</v>
      </c>
      <c r="AB106" s="2">
        <v>9423</v>
      </c>
      <c r="AC106" s="7">
        <f t="shared" si="38"/>
        <v>157.05000000000001</v>
      </c>
      <c r="AD106" s="7">
        <f t="shared" si="39"/>
        <v>13.753286076368584</v>
      </c>
      <c r="AE106" s="7">
        <f t="shared" si="40"/>
        <v>141.16625186533523</v>
      </c>
      <c r="AF106" s="7">
        <f t="shared" si="41"/>
        <v>0.7649560189870106</v>
      </c>
      <c r="AG106" s="6">
        <f t="shared" si="42"/>
        <v>107.9859740422245</v>
      </c>
      <c r="AH106" s="2">
        <f t="shared" si="43"/>
        <v>1</v>
      </c>
      <c r="AI106" s="7">
        <f t="shared" si="44"/>
        <v>141.16625186533523</v>
      </c>
      <c r="AK106" s="78">
        <v>45030.791666666664</v>
      </c>
      <c r="AL106" s="5">
        <v>3.2365972760316698E-2</v>
      </c>
      <c r="AM106" s="5">
        <v>62.3045732</v>
      </c>
      <c r="AN106" s="2">
        <v>32522</v>
      </c>
      <c r="AO106" s="7">
        <f t="shared" si="50"/>
        <v>542.0333333333333</v>
      </c>
      <c r="AP106" s="5">
        <f t="shared" si="46"/>
        <v>17.543436101850325</v>
      </c>
      <c r="AQ106" s="6">
        <f t="shared" si="47"/>
        <v>151.04158743822563</v>
      </c>
      <c r="AR106" s="2">
        <f t="shared" si="48"/>
        <v>1</v>
      </c>
      <c r="AS106" s="2">
        <f t="shared" si="49"/>
        <v>151.04158743822563</v>
      </c>
    </row>
    <row r="107" spans="1:45" x14ac:dyDescent="0.3">
      <c r="M107" s="78">
        <v>45031.802083333336</v>
      </c>
      <c r="N107" s="5">
        <v>2.6505014381298202E-2</v>
      </c>
      <c r="O107" s="5">
        <v>56.488631689999998</v>
      </c>
      <c r="P107" s="2">
        <v>36255</v>
      </c>
      <c r="Q107" s="7">
        <f t="shared" si="32"/>
        <v>604.25</v>
      </c>
      <c r="R107" s="6">
        <f t="shared" si="33"/>
        <v>16.015654939899438</v>
      </c>
      <c r="S107" s="6">
        <f t="shared" si="34"/>
        <v>144.45052808603464</v>
      </c>
      <c r="T107" s="2">
        <f t="shared" si="35"/>
        <v>1</v>
      </c>
      <c r="U107" s="6">
        <f t="shared" si="36"/>
        <v>144.45052808603464</v>
      </c>
      <c r="V107">
        <f>IF((R107-$AB$774)/($Z$773-$AB$774)&lt;0, 0, IF((R107-$AB$774)/($Z$773-$AB$774)&gt;1, 1, (R107-$AB$774)/($Z$773-$AB$774)))</f>
        <v>0.20544625443757653</v>
      </c>
      <c r="W107" s="6">
        <f t="shared" si="37"/>
        <v>29.676819946805765</v>
      </c>
      <c r="Y107" s="78">
        <v>45048.25</v>
      </c>
      <c r="Z107">
        <v>8.5869905900389204E-2</v>
      </c>
      <c r="AA107" s="6">
        <v>87.915213519999995</v>
      </c>
      <c r="AB107" s="2">
        <v>9344</v>
      </c>
      <c r="AC107" s="7">
        <f t="shared" si="38"/>
        <v>155.73333333333332</v>
      </c>
      <c r="AD107" s="7">
        <f t="shared" si="39"/>
        <v>13.372806678887278</v>
      </c>
      <c r="AE107" s="7">
        <f t="shared" si="40"/>
        <v>144.45052808603464</v>
      </c>
      <c r="AF107" s="7">
        <f t="shared" si="41"/>
        <v>0.95245919855933503</v>
      </c>
      <c r="AG107" s="6">
        <f t="shared" si="42"/>
        <v>137.58323421229727</v>
      </c>
      <c r="AH107" s="2">
        <f t="shared" si="43"/>
        <v>0.38503223793144359</v>
      </c>
      <c r="AI107" s="7">
        <f t="shared" si="44"/>
        <v>55.618110099344761</v>
      </c>
      <c r="AK107" s="78">
        <v>45030.802083333336</v>
      </c>
      <c r="AL107" s="5">
        <v>3.2133792973250197E-2</v>
      </c>
      <c r="AM107" s="5">
        <v>57.147661589999998</v>
      </c>
      <c r="AN107" s="2">
        <v>32697</v>
      </c>
      <c r="AO107" s="7">
        <f t="shared" si="50"/>
        <v>544.95000000000005</v>
      </c>
      <c r="AP107" s="5">
        <f t="shared" si="46"/>
        <v>17.511310480772696</v>
      </c>
      <c r="AQ107" s="6">
        <f t="shared" si="47"/>
        <v>150.90607892678455</v>
      </c>
      <c r="AR107" s="2">
        <f t="shared" si="48"/>
        <v>1</v>
      </c>
      <c r="AS107" s="2">
        <f t="shared" si="49"/>
        <v>150.90607892678455</v>
      </c>
    </row>
    <row r="108" spans="1:45" x14ac:dyDescent="0.3">
      <c r="M108" s="78">
        <v>45031.8125</v>
      </c>
      <c r="N108" s="5">
        <v>2.5213020847354599E-2</v>
      </c>
      <c r="O108" s="5">
        <v>58.466044660000001</v>
      </c>
      <c r="P108" s="2">
        <v>35621</v>
      </c>
      <c r="Q108" s="7">
        <f t="shared" si="32"/>
        <v>593.68333333333328</v>
      </c>
      <c r="R108" s="6">
        <f t="shared" si="33"/>
        <v>14.968550260060301</v>
      </c>
      <c r="S108" s="6">
        <f t="shared" si="34"/>
        <v>139.74591169112992</v>
      </c>
      <c r="T108" s="2">
        <f t="shared" si="35"/>
        <v>1</v>
      </c>
      <c r="U108" s="6">
        <f t="shared" si="36"/>
        <v>139.74591169112992</v>
      </c>
      <c r="V108">
        <f>IF((R108-$AB$774)/($Z$773-$AB$774)&lt;0, 0, IF((R108-$AB$774)/($Z$773-$AB$774)&gt;1, 1, (R108-$AB$774)/($Z$773-$AB$774)))</f>
        <v>1.3774307764173193E-2</v>
      </c>
      <c r="W108" s="6">
        <f t="shared" si="37"/>
        <v>1.9249031964185923</v>
      </c>
      <c r="Y108" s="78">
        <v>45048.260416666664</v>
      </c>
      <c r="Z108">
        <v>8.8364361996603705E-2</v>
      </c>
      <c r="AA108" s="6">
        <v>84.460540300000005</v>
      </c>
      <c r="AB108" s="2">
        <v>9549</v>
      </c>
      <c r="AC108" s="7">
        <f t="shared" si="38"/>
        <v>159.15</v>
      </c>
      <c r="AD108" s="7">
        <f t="shared" si="39"/>
        <v>14.06318821175948</v>
      </c>
      <c r="AE108" s="7">
        <f t="shared" si="40"/>
        <v>139.74591169112992</v>
      </c>
      <c r="AF108" s="7">
        <f t="shared" si="41"/>
        <v>0.57481053760810663</v>
      </c>
      <c r="AG108" s="6">
        <f t="shared" si="42"/>
        <v>80.327422627713389</v>
      </c>
      <c r="AH108" s="2">
        <f t="shared" si="43"/>
        <v>1</v>
      </c>
      <c r="AI108" s="7">
        <f t="shared" si="44"/>
        <v>139.74591169112992</v>
      </c>
      <c r="AK108" s="78">
        <v>45030.8125</v>
      </c>
      <c r="AL108" s="5">
        <v>3.0556921860209502E-2</v>
      </c>
      <c r="AM108" s="5">
        <v>58.466044660000001</v>
      </c>
      <c r="AN108" s="2">
        <v>33154</v>
      </c>
      <c r="AO108" s="7">
        <f t="shared" si="50"/>
        <v>552.56666666666672</v>
      </c>
      <c r="AP108" s="5">
        <f t="shared" si="46"/>
        <v>16.884736455889765</v>
      </c>
      <c r="AQ108" s="6">
        <f t="shared" si="47"/>
        <v>148.2373165885771</v>
      </c>
      <c r="AR108" s="2">
        <f t="shared" si="48"/>
        <v>1</v>
      </c>
      <c r="AS108" s="2">
        <f t="shared" si="49"/>
        <v>148.2373165885771</v>
      </c>
    </row>
    <row r="109" spans="1:45" x14ac:dyDescent="0.3">
      <c r="M109" s="78">
        <v>45031.822916666664</v>
      </c>
      <c r="N109" s="5">
        <v>2.4450774437797598E-2</v>
      </c>
      <c r="O109" s="5">
        <v>57.814717760000001</v>
      </c>
      <c r="P109" s="2">
        <v>36219</v>
      </c>
      <c r="Q109" s="7">
        <f t="shared" si="32"/>
        <v>603.65</v>
      </c>
      <c r="R109" s="6">
        <f t="shared" si="33"/>
        <v>14.759709989376519</v>
      </c>
      <c r="S109" s="6">
        <f t="shared" si="34"/>
        <v>138.78770784200404</v>
      </c>
      <c r="T109" s="2">
        <f t="shared" si="35"/>
        <v>1</v>
      </c>
      <c r="U109" s="6">
        <f t="shared" si="36"/>
        <v>138.78770784200404</v>
      </c>
      <c r="V109">
        <f>IF((R109-$AB$774)/($Z$773-$AB$774)&lt;0, 0, IF((R109-$AB$774)/($Z$773-$AB$774)&gt;1, 1, (R109-$AB$774)/($Z$773-$AB$774)))</f>
        <v>0</v>
      </c>
      <c r="W109" s="6">
        <f t="shared" si="37"/>
        <v>0</v>
      </c>
      <c r="Y109" s="78">
        <v>45048.270833333336</v>
      </c>
      <c r="Z109">
        <v>8.4048406490252803E-2</v>
      </c>
      <c r="AA109" s="6">
        <v>88.350109630000006</v>
      </c>
      <c r="AB109" s="2">
        <v>9525</v>
      </c>
      <c r="AC109" s="7">
        <f t="shared" si="38"/>
        <v>158.75</v>
      </c>
      <c r="AD109" s="7">
        <f t="shared" si="39"/>
        <v>13.342684530327633</v>
      </c>
      <c r="AE109" s="7">
        <f t="shared" si="40"/>
        <v>138.78770784200404</v>
      </c>
      <c r="AF109" s="7">
        <f t="shared" si="41"/>
        <v>1</v>
      </c>
      <c r="AG109" s="6">
        <f t="shared" si="42"/>
        <v>138.78770784200404</v>
      </c>
      <c r="AH109" s="2">
        <f t="shared" si="43"/>
        <v>0.2891063805031055</v>
      </c>
      <c r="AI109" s="7">
        <f t="shared" si="44"/>
        <v>40.124411872524256</v>
      </c>
      <c r="AK109" s="78">
        <v>45030.822916666664</v>
      </c>
      <c r="AL109" s="5">
        <v>3.19395783911334E-2</v>
      </c>
      <c r="AM109" s="5">
        <v>62.3045732</v>
      </c>
      <c r="AN109" s="2">
        <v>32320</v>
      </c>
      <c r="AO109" s="7">
        <f t="shared" si="50"/>
        <v>538.66666666666663</v>
      </c>
      <c r="AP109" s="5">
        <f t="shared" si="46"/>
        <v>17.204786226690523</v>
      </c>
      <c r="AQ109" s="6">
        <f t="shared" si="47"/>
        <v>149.6067007035771</v>
      </c>
      <c r="AR109" s="2">
        <f t="shared" si="48"/>
        <v>1</v>
      </c>
      <c r="AS109" s="2">
        <f t="shared" si="49"/>
        <v>149.6067007035771</v>
      </c>
    </row>
    <row r="110" spans="1:45" x14ac:dyDescent="0.3">
      <c r="M110" s="78">
        <v>45031.833333333336</v>
      </c>
      <c r="N110" s="5">
        <v>2.67817514128929E-2</v>
      </c>
      <c r="O110" s="5">
        <v>56.488631689999998</v>
      </c>
      <c r="P110" s="2">
        <v>36359</v>
      </c>
      <c r="Q110" s="7">
        <f t="shared" si="32"/>
        <v>605.98333333333335</v>
      </c>
      <c r="R110" s="6">
        <f t="shared" si="33"/>
        <v>16.22929499368955</v>
      </c>
      <c r="S110" s="6">
        <f t="shared" si="34"/>
        <v>145.39093631771536</v>
      </c>
      <c r="T110" s="2">
        <f t="shared" si="35"/>
        <v>1</v>
      </c>
      <c r="U110" s="6">
        <f t="shared" si="36"/>
        <v>145.39093631771536</v>
      </c>
      <c r="V110">
        <f>IF((R110-$AB$774)/($Z$773-$AB$774)&lt;0, 0, IF((R110-$AB$774)/($Z$773-$AB$774)&gt;1, 1, (R110-$AB$774)/($Z$773-$AB$774)))</f>
        <v>0.24455295101317787</v>
      </c>
      <c r="W110" s="6">
        <f t="shared" si="37"/>
        <v>35.555782527066306</v>
      </c>
      <c r="Y110" s="78">
        <v>45048.28125</v>
      </c>
      <c r="Z110">
        <v>8.2629113742888796E-2</v>
      </c>
      <c r="AA110" s="6">
        <v>84.891986889999998</v>
      </c>
      <c r="AB110" s="2">
        <v>9628</v>
      </c>
      <c r="AC110" s="7">
        <f t="shared" si="38"/>
        <v>160.46666666666667</v>
      </c>
      <c r="AD110" s="7">
        <f t="shared" si="39"/>
        <v>13.259218451942223</v>
      </c>
      <c r="AE110" s="7">
        <f t="shared" si="40"/>
        <v>145.39093631771536</v>
      </c>
      <c r="AF110" s="7">
        <f t="shared" si="41"/>
        <v>0.62197425371364079</v>
      </c>
      <c r="AG110" s="6">
        <f t="shared" si="42"/>
        <v>90.42941911293849</v>
      </c>
      <c r="AH110" s="2">
        <f t="shared" si="43"/>
        <v>2.3303457466341205E-2</v>
      </c>
      <c r="AI110" s="7">
        <f t="shared" si="44"/>
        <v>3.3881115004714024</v>
      </c>
      <c r="AK110" s="78">
        <v>45030.833333333336</v>
      </c>
      <c r="AL110" s="5">
        <v>3.3053927046259798E-2</v>
      </c>
      <c r="AM110" s="5">
        <v>64.455596909999997</v>
      </c>
      <c r="AN110" s="2">
        <v>32692</v>
      </c>
      <c r="AO110" s="7">
        <f t="shared" si="50"/>
        <v>544.86666666666667</v>
      </c>
      <c r="AP110" s="5">
        <f t="shared" si="46"/>
        <v>18.009983049938757</v>
      </c>
      <c r="AQ110" s="6">
        <f t="shared" si="47"/>
        <v>152.99542969694221</v>
      </c>
      <c r="AR110" s="2">
        <f t="shared" si="48"/>
        <v>1</v>
      </c>
      <c r="AS110" s="2">
        <f t="shared" si="49"/>
        <v>152.99542969694221</v>
      </c>
    </row>
    <row r="111" spans="1:45" x14ac:dyDescent="0.3">
      <c r="M111" s="78">
        <v>45031.84375</v>
      </c>
      <c r="N111" s="5">
        <v>2.7219728960166199E-2</v>
      </c>
      <c r="O111" s="5">
        <v>56.488631689999998</v>
      </c>
      <c r="P111" s="2">
        <v>37391</v>
      </c>
      <c r="Q111" s="7">
        <f t="shared" si="32"/>
        <v>623.18333333333328</v>
      </c>
      <c r="R111" s="6">
        <f t="shared" si="33"/>
        <v>16.962881425826236</v>
      </c>
      <c r="S111" s="6">
        <f t="shared" si="34"/>
        <v>148.57288605320321</v>
      </c>
      <c r="T111" s="2">
        <f t="shared" si="35"/>
        <v>1</v>
      </c>
      <c r="U111" s="6">
        <f t="shared" si="36"/>
        <v>148.57288605320321</v>
      </c>
      <c r="V111">
        <f>IF((R111-$AB$774)/($Z$773-$AB$774)&lt;0, 0, IF((R111-$AB$774)/($Z$773-$AB$774)&gt;1, 1, (R111-$AB$774)/($Z$773-$AB$774)))</f>
        <v>0.37883555160516091</v>
      </c>
      <c r="W111" s="6">
        <f t="shared" si="37"/>
        <v>56.284691241535953</v>
      </c>
      <c r="Y111" s="78">
        <v>45048.291666666664</v>
      </c>
      <c r="Z111">
        <v>8.3925798059494294E-2</v>
      </c>
      <c r="AA111" s="6">
        <v>84.891986889999998</v>
      </c>
      <c r="AB111" s="2">
        <v>9773</v>
      </c>
      <c r="AC111" s="7">
        <f t="shared" si="38"/>
        <v>162.88333333333333</v>
      </c>
      <c r="AD111" s="7">
        <f t="shared" si="39"/>
        <v>13.670113740590628</v>
      </c>
      <c r="AE111" s="7">
        <f t="shared" si="40"/>
        <v>148.57288605320321</v>
      </c>
      <c r="AF111" s="7">
        <f t="shared" si="41"/>
        <v>0.62197425371364079</v>
      </c>
      <c r="AG111" s="6">
        <f t="shared" si="42"/>
        <v>92.408509925022855</v>
      </c>
      <c r="AH111" s="2">
        <f t="shared" si="43"/>
        <v>1</v>
      </c>
      <c r="AI111" s="7">
        <f t="shared" si="44"/>
        <v>148.57288605320321</v>
      </c>
      <c r="AK111" s="78">
        <v>45030.84375</v>
      </c>
      <c r="AL111" s="5">
        <v>2.7957979290168099E-2</v>
      </c>
      <c r="AM111" s="5">
        <v>62.3045732</v>
      </c>
      <c r="AN111" s="2">
        <v>33323</v>
      </c>
      <c r="AO111" s="7">
        <f t="shared" si="50"/>
        <v>555.38333333333333</v>
      </c>
      <c r="AP111" s="5">
        <f t="shared" si="46"/>
        <v>15.52739573143786</v>
      </c>
      <c r="AQ111" s="6">
        <f t="shared" si="47"/>
        <v>142.27696345234244</v>
      </c>
      <c r="AR111" s="2">
        <f t="shared" si="48"/>
        <v>1</v>
      </c>
      <c r="AS111" s="2">
        <f t="shared" si="49"/>
        <v>142.27696345234244</v>
      </c>
    </row>
    <row r="112" spans="1:45" x14ac:dyDescent="0.3">
      <c r="M112" s="78">
        <v>45031.854166666664</v>
      </c>
      <c r="N112" s="5">
        <v>2.4936220497263701E-2</v>
      </c>
      <c r="O112" s="5">
        <v>62.315280379999997</v>
      </c>
      <c r="P112" s="2">
        <v>37542</v>
      </c>
      <c r="Q112" s="7">
        <f t="shared" si="32"/>
        <v>625.70000000000005</v>
      </c>
      <c r="R112" s="6">
        <f t="shared" si="33"/>
        <v>15.602593165137899</v>
      </c>
      <c r="S112" s="6">
        <f t="shared" si="34"/>
        <v>142.61396618483059</v>
      </c>
      <c r="T112" s="2">
        <f t="shared" si="35"/>
        <v>1</v>
      </c>
      <c r="U112" s="6">
        <f t="shared" si="36"/>
        <v>142.61396618483059</v>
      </c>
      <c r="V112">
        <f>IF((R112-$AB$774)/($Z$773-$AB$774)&lt;0, 0, IF((R112-$AB$774)/($Z$773-$AB$774)&gt;1, 1, (R112-$AB$774)/($Z$773-$AB$774)))</f>
        <v>0.12983551943725349</v>
      </c>
      <c r="W112" s="6">
        <f t="shared" si="37"/>
        <v>18.516358378614385</v>
      </c>
      <c r="Y112" s="78">
        <v>45048.302083333336</v>
      </c>
      <c r="Z112">
        <v>7.7612350936066707E-2</v>
      </c>
      <c r="AA112" s="6">
        <v>83.586986100000004</v>
      </c>
      <c r="AB112" s="2">
        <v>9779</v>
      </c>
      <c r="AC112" s="7">
        <f t="shared" si="38"/>
        <v>162.98333333333332</v>
      </c>
      <c r="AD112" s="7">
        <f t="shared" si="39"/>
        <v>12.649519663396605</v>
      </c>
      <c r="AE112" s="7">
        <f t="shared" si="40"/>
        <v>142.61396618483059</v>
      </c>
      <c r="AF112" s="7">
        <f t="shared" si="41"/>
        <v>0.47931769273106706</v>
      </c>
      <c r="AG112" s="6">
        <f t="shared" si="42"/>
        <v>68.357397222939412</v>
      </c>
      <c r="AH112" s="2">
        <f t="shared" si="43"/>
        <v>0</v>
      </c>
      <c r="AI112" s="7">
        <f t="shared" si="44"/>
        <v>0</v>
      </c>
      <c r="AK112" s="78">
        <v>45030.854166666664</v>
      </c>
      <c r="AL112" s="5">
        <v>2.93140126937569E-2</v>
      </c>
      <c r="AM112" s="5">
        <v>55.149392650000003</v>
      </c>
      <c r="AN112" s="2">
        <v>32976</v>
      </c>
      <c r="AO112" s="7">
        <f t="shared" si="50"/>
        <v>549.6</v>
      </c>
      <c r="AP112" s="5">
        <f t="shared" si="46"/>
        <v>16.110981376488791</v>
      </c>
      <c r="AQ112" s="6">
        <f t="shared" si="47"/>
        <v>144.87092528421593</v>
      </c>
      <c r="AR112" s="2">
        <f t="shared" si="48"/>
        <v>1</v>
      </c>
      <c r="AS112" s="2">
        <f t="shared" si="49"/>
        <v>144.87092528421593</v>
      </c>
    </row>
    <row r="113" spans="13:45" x14ac:dyDescent="0.3">
      <c r="M113" s="78">
        <v>45031.864583333336</v>
      </c>
      <c r="N113" s="5">
        <v>2.5562632309731499E-2</v>
      </c>
      <c r="O113" s="5">
        <v>62.315280379999997</v>
      </c>
      <c r="P113" s="2">
        <v>37349</v>
      </c>
      <c r="Q113" s="7">
        <f t="shared" si="32"/>
        <v>622.48333333333335</v>
      </c>
      <c r="R113" s="6">
        <f t="shared" si="33"/>
        <v>15.912312568936029</v>
      </c>
      <c r="S113" s="6">
        <f t="shared" si="34"/>
        <v>143.99333494255001</v>
      </c>
      <c r="T113" s="2">
        <f t="shared" si="35"/>
        <v>1</v>
      </c>
      <c r="U113" s="6">
        <f t="shared" si="36"/>
        <v>143.99333494255001</v>
      </c>
      <c r="V113">
        <f>IF((R113-$AB$774)/($Z$773-$AB$774)&lt;0, 0, IF((R113-$AB$774)/($Z$773-$AB$774)&gt;1, 1, (R113-$AB$774)/($Z$773-$AB$774)))</f>
        <v>0.18652948919167525</v>
      </c>
      <c r="W113" s="6">
        <f t="shared" si="37"/>
        <v>26.859003213839657</v>
      </c>
      <c r="Y113" s="78">
        <v>45048.3125</v>
      </c>
      <c r="Z113">
        <v>8.3326713487075599E-2</v>
      </c>
      <c r="AA113" s="6">
        <v>84.891986889999998</v>
      </c>
      <c r="AB113" s="2">
        <v>9680</v>
      </c>
      <c r="AC113" s="7">
        <f t="shared" si="38"/>
        <v>161.33333333333334</v>
      </c>
      <c r="AD113" s="7">
        <f t="shared" si="39"/>
        <v>13.443376442581531</v>
      </c>
      <c r="AE113" s="7">
        <f t="shared" si="40"/>
        <v>143.99333494255001</v>
      </c>
      <c r="AF113" s="7">
        <f t="shared" si="41"/>
        <v>0.62197425371364079</v>
      </c>
      <c r="AG113" s="6">
        <f t="shared" si="42"/>
        <v>89.560147040630852</v>
      </c>
      <c r="AH113" s="2">
        <f t="shared" si="43"/>
        <v>0.60976604393742007</v>
      </c>
      <c r="AI113" s="7">
        <f t="shared" si="44"/>
        <v>87.802246201274585</v>
      </c>
      <c r="AK113" s="78">
        <v>45030.864583333336</v>
      </c>
      <c r="AL113" s="5">
        <v>2.9317474613765899E-2</v>
      </c>
      <c r="AM113" s="5">
        <v>57.158996520000002</v>
      </c>
      <c r="AN113" s="2">
        <v>33279</v>
      </c>
      <c r="AO113" s="7">
        <f t="shared" si="50"/>
        <v>554.65</v>
      </c>
      <c r="AP113" s="5">
        <f t="shared" si="46"/>
        <v>16.260937294525256</v>
      </c>
      <c r="AQ113" s="6">
        <f t="shared" si="47"/>
        <v>145.52968215096445</v>
      </c>
      <c r="AR113" s="2">
        <f t="shared" si="48"/>
        <v>1</v>
      </c>
      <c r="AS113" s="2">
        <f t="shared" si="49"/>
        <v>145.52968215096445</v>
      </c>
    </row>
    <row r="114" spans="13:45" x14ac:dyDescent="0.3">
      <c r="M114" s="78">
        <v>45031.875</v>
      </c>
      <c r="N114" s="5">
        <v>2.4981784826850501E-2</v>
      </c>
      <c r="O114" s="5">
        <v>55.160894489999997</v>
      </c>
      <c r="P114" s="2">
        <v>37537</v>
      </c>
      <c r="Q114" s="7">
        <f t="shared" si="32"/>
        <v>625.61666666666667</v>
      </c>
      <c r="R114" s="6">
        <f t="shared" si="33"/>
        <v>15.629020950758122</v>
      </c>
      <c r="S114" s="6">
        <f t="shared" si="34"/>
        <v>142.73220731740571</v>
      </c>
      <c r="T114" s="2">
        <f t="shared" si="35"/>
        <v>1</v>
      </c>
      <c r="U114" s="6">
        <f t="shared" si="36"/>
        <v>142.73220731740571</v>
      </c>
      <c r="V114">
        <f>IF((R114-$AB$774)/($Z$773-$AB$774)&lt;0, 0, IF((R114-$AB$774)/($Z$773-$AB$774)&gt;1, 1, (R114-$AB$774)/($Z$773-$AB$774)))</f>
        <v>0.13467311133577667</v>
      </c>
      <c r="W114" s="6">
        <f t="shared" si="37"/>
        <v>19.222190447258136</v>
      </c>
      <c r="Y114" s="78">
        <v>45048.322916666664</v>
      </c>
      <c r="Z114">
        <v>8.4801985082220893E-2</v>
      </c>
      <c r="AA114" s="6">
        <v>84.460540300000005</v>
      </c>
      <c r="AB114" s="2">
        <v>9648</v>
      </c>
      <c r="AC114" s="7">
        <f t="shared" si="38"/>
        <v>160.80000000000001</v>
      </c>
      <c r="AD114" s="7">
        <f t="shared" si="39"/>
        <v>13.636159201221121</v>
      </c>
      <c r="AE114" s="7">
        <f t="shared" si="40"/>
        <v>142.73220731740571</v>
      </c>
      <c r="AF114" s="7">
        <f t="shared" si="41"/>
        <v>0.57481053760810663</v>
      </c>
      <c r="AG114" s="6">
        <f t="shared" si="42"/>
        <v>82.043976822109713</v>
      </c>
      <c r="AH114" s="2">
        <f t="shared" si="43"/>
        <v>1</v>
      </c>
      <c r="AI114" s="7">
        <f t="shared" si="44"/>
        <v>142.73220731740571</v>
      </c>
      <c r="AK114" s="78">
        <v>45030.875</v>
      </c>
      <c r="AL114" s="5">
        <v>2.99039083209547E-2</v>
      </c>
      <c r="AM114" s="5">
        <v>61.053401999999998</v>
      </c>
      <c r="AN114" s="2">
        <v>33106</v>
      </c>
      <c r="AO114" s="7">
        <f t="shared" si="50"/>
        <v>551.76666666666665</v>
      </c>
      <c r="AP114" s="5">
        <f t="shared" si="46"/>
        <v>16.49997981455877</v>
      </c>
      <c r="AQ114" s="6">
        <f t="shared" si="47"/>
        <v>146.57341953573834</v>
      </c>
      <c r="AR114" s="2">
        <f t="shared" si="48"/>
        <v>1</v>
      </c>
      <c r="AS114" s="2">
        <f t="shared" si="49"/>
        <v>146.57341953573834</v>
      </c>
    </row>
    <row r="115" spans="13:45" x14ac:dyDescent="0.3">
      <c r="M115" s="78">
        <v>45031.885416666664</v>
      </c>
      <c r="N115" s="5">
        <v>2.92641085444116E-2</v>
      </c>
      <c r="O115" s="5">
        <v>58.477264509999998</v>
      </c>
      <c r="P115" s="2">
        <v>37152</v>
      </c>
      <c r="Q115" s="7">
        <f t="shared" si="32"/>
        <v>619.20000000000005</v>
      </c>
      <c r="R115" s="6">
        <f t="shared" si="33"/>
        <v>18.120336010699663</v>
      </c>
      <c r="S115" s="6">
        <f t="shared" si="34"/>
        <v>153.45378455183717</v>
      </c>
      <c r="T115" s="2">
        <f t="shared" si="35"/>
        <v>1</v>
      </c>
      <c r="U115" s="6">
        <f t="shared" si="36"/>
        <v>153.45378455183717</v>
      </c>
      <c r="V115">
        <f>IF((R115-$AB$774)/($Z$773-$AB$774)&lt;0, 0, IF((R115-$AB$774)/($Z$773-$AB$774)&gt;1, 1, (R115-$AB$774)/($Z$773-$AB$774)))</f>
        <v>0.59070698885518647</v>
      </c>
      <c r="W115" s="6">
        <f t="shared" si="37"/>
        <v>90.64622300104827</v>
      </c>
      <c r="Y115" s="78">
        <v>45048.333333333336</v>
      </c>
      <c r="Z115">
        <v>8.6549833753727004E-2</v>
      </c>
      <c r="AA115" s="6">
        <v>82.711152870000006</v>
      </c>
      <c r="AB115" s="2">
        <v>9494</v>
      </c>
      <c r="AC115" s="7">
        <f t="shared" si="38"/>
        <v>158.23333333333332</v>
      </c>
      <c r="AD115" s="7">
        <f t="shared" si="39"/>
        <v>13.695068694298069</v>
      </c>
      <c r="AE115" s="7">
        <f t="shared" si="40"/>
        <v>153.45378455183717</v>
      </c>
      <c r="AF115" s="7">
        <f t="shared" si="41"/>
        <v>0.38357571499168208</v>
      </c>
      <c r="AG115" s="6">
        <f t="shared" si="42"/>
        <v>58.861145127650481</v>
      </c>
      <c r="AH115" s="2">
        <f t="shared" si="43"/>
        <v>1</v>
      </c>
      <c r="AI115" s="7">
        <f t="shared" si="44"/>
        <v>153.45378455183717</v>
      </c>
      <c r="AK115" s="78">
        <v>45030.885416666664</v>
      </c>
      <c r="AL115" s="5">
        <v>3.5996731777225899E-2</v>
      </c>
      <c r="AM115" s="5">
        <v>55.160894489999997</v>
      </c>
      <c r="AN115" s="2">
        <v>33538</v>
      </c>
      <c r="AO115" s="7">
        <f t="shared" si="50"/>
        <v>558.9666666666667</v>
      </c>
      <c r="AP115" s="5">
        <f t="shared" si="46"/>
        <v>20.120973172410039</v>
      </c>
      <c r="AQ115" s="6">
        <f t="shared" si="47"/>
        <v>161.52899804575961</v>
      </c>
      <c r="AR115" s="2">
        <f t="shared" si="48"/>
        <v>1</v>
      </c>
      <c r="AS115" s="2">
        <f t="shared" si="49"/>
        <v>161.52899804575961</v>
      </c>
    </row>
    <row r="116" spans="13:45" x14ac:dyDescent="0.3">
      <c r="M116" s="78">
        <v>45031.895833333336</v>
      </c>
      <c r="N116" s="5">
        <v>2.80540205519152E-2</v>
      </c>
      <c r="O116" s="5">
        <v>55.160894489999997</v>
      </c>
      <c r="P116" s="2">
        <v>36916</v>
      </c>
      <c r="Q116" s="7">
        <f t="shared" si="32"/>
        <v>615.26666666666665</v>
      </c>
      <c r="R116" s="6">
        <f t="shared" si="33"/>
        <v>17.260703711575026</v>
      </c>
      <c r="S116" s="6">
        <f t="shared" si="34"/>
        <v>149.84461458987363</v>
      </c>
      <c r="T116" s="2">
        <f t="shared" si="35"/>
        <v>1</v>
      </c>
      <c r="U116" s="6">
        <f t="shared" si="36"/>
        <v>149.84461458987363</v>
      </c>
      <c r="V116">
        <f>IF((R116-$AB$774)/($Z$773-$AB$774)&lt;0, 0, IF((R116-$AB$774)/($Z$773-$AB$774)&gt;1, 1, (R116-$AB$774)/($Z$773-$AB$774)))</f>
        <v>0.4333517603198071</v>
      </c>
      <c r="W116" s="6">
        <f t="shared" si="37"/>
        <v>64.935427506964785</v>
      </c>
      <c r="Y116" s="78">
        <v>45048.34375</v>
      </c>
      <c r="Z116">
        <v>8.3874605222193005E-2</v>
      </c>
      <c r="AA116" s="6">
        <v>89.635700749999998</v>
      </c>
      <c r="AB116" s="2">
        <v>9423</v>
      </c>
      <c r="AC116" s="7">
        <f t="shared" si="38"/>
        <v>157.05000000000001</v>
      </c>
      <c r="AD116" s="7">
        <f t="shared" si="39"/>
        <v>13.172506750145413</v>
      </c>
      <c r="AE116" s="7">
        <f t="shared" si="40"/>
        <v>149.84461458987363</v>
      </c>
      <c r="AF116" s="7">
        <f t="shared" si="41"/>
        <v>1</v>
      </c>
      <c r="AG116" s="6">
        <f t="shared" si="42"/>
        <v>149.84461458987363</v>
      </c>
      <c r="AH116" s="2">
        <f t="shared" si="43"/>
        <v>0</v>
      </c>
      <c r="AI116" s="7">
        <f t="shared" si="44"/>
        <v>0</v>
      </c>
      <c r="AK116" s="78">
        <v>45030.895833333336</v>
      </c>
      <c r="AL116" s="5">
        <v>2.8428150255669801E-2</v>
      </c>
      <c r="AM116" s="5">
        <v>59.125991390000003</v>
      </c>
      <c r="AN116" s="2">
        <v>33473</v>
      </c>
      <c r="AO116" s="7">
        <f t="shared" si="50"/>
        <v>557.88333333333333</v>
      </c>
      <c r="AP116" s="5">
        <f t="shared" si="46"/>
        <v>15.85959122513392</v>
      </c>
      <c r="AQ116" s="6">
        <f t="shared" si="47"/>
        <v>143.75950869309409</v>
      </c>
      <c r="AR116" s="2">
        <f t="shared" si="48"/>
        <v>1</v>
      </c>
      <c r="AS116" s="2">
        <f t="shared" si="49"/>
        <v>143.75950869309409</v>
      </c>
    </row>
    <row r="117" spans="13:45" x14ac:dyDescent="0.3">
      <c r="M117" s="78">
        <v>45031.90625</v>
      </c>
      <c r="N117" s="5">
        <v>2.63147145689074E-2</v>
      </c>
      <c r="O117" s="5">
        <v>53.134964160000003</v>
      </c>
      <c r="P117" s="2">
        <v>37105</v>
      </c>
      <c r="Q117" s="7">
        <f t="shared" si="32"/>
        <v>618.41666666666663</v>
      </c>
      <c r="R117" s="6">
        <f t="shared" si="33"/>
        <v>16.273458067988482</v>
      </c>
      <c r="S117" s="6">
        <f t="shared" si="34"/>
        <v>145.58454545638173</v>
      </c>
      <c r="T117" s="2">
        <f t="shared" si="35"/>
        <v>1</v>
      </c>
      <c r="U117" s="6">
        <f t="shared" si="36"/>
        <v>145.58454545638173</v>
      </c>
      <c r="V117">
        <f>IF((R117-$AB$774)/($Z$773-$AB$774)&lt;0, 0, IF((R117-$AB$774)/($Z$773-$AB$774)&gt;1, 1, (R117-$AB$774)/($Z$773-$AB$774)))</f>
        <v>0.25263697793516521</v>
      </c>
      <c r="W117" s="6">
        <f t="shared" si="37"/>
        <v>36.780039598164969</v>
      </c>
      <c r="Y117" s="78">
        <v>45048.354166666664</v>
      </c>
      <c r="Z117">
        <v>8.8471124178845603E-2</v>
      </c>
      <c r="AA117" s="6">
        <v>85.762083380000007</v>
      </c>
      <c r="AB117" s="2">
        <v>9511</v>
      </c>
      <c r="AC117" s="7">
        <f t="shared" si="38"/>
        <v>158.51666666666668</v>
      </c>
      <c r="AD117" s="7">
        <f t="shared" si="39"/>
        <v>14.024147701083344</v>
      </c>
      <c r="AE117" s="7">
        <f t="shared" si="40"/>
        <v>145.58454545638173</v>
      </c>
      <c r="AF117" s="7">
        <f t="shared" si="41"/>
        <v>0.71708911796319441</v>
      </c>
      <c r="AG117" s="6">
        <f t="shared" si="42"/>
        <v>104.39709329038936</v>
      </c>
      <c r="AH117" s="2">
        <f t="shared" si="43"/>
        <v>1</v>
      </c>
      <c r="AI117" s="7">
        <f t="shared" si="44"/>
        <v>145.58454545638173</v>
      </c>
      <c r="AK117" s="78">
        <v>45030.90625</v>
      </c>
      <c r="AL117" s="5">
        <v>2.8755694713475E-2</v>
      </c>
      <c r="AM117" s="5">
        <v>55.826367980000001</v>
      </c>
      <c r="AN117" s="2">
        <v>33878</v>
      </c>
      <c r="AO117" s="7">
        <f t="shared" si="50"/>
        <v>564.63333333333333</v>
      </c>
      <c r="AP117" s="5">
        <f t="shared" si="46"/>
        <v>16.236423758385101</v>
      </c>
      <c r="AQ117" s="6">
        <f t="shared" si="47"/>
        <v>145.42220671488329</v>
      </c>
      <c r="AR117" s="2">
        <f t="shared" si="48"/>
        <v>1</v>
      </c>
      <c r="AS117" s="2">
        <f t="shared" si="49"/>
        <v>145.42220671488329</v>
      </c>
    </row>
    <row r="118" spans="13:45" x14ac:dyDescent="0.3">
      <c r="M118" s="78">
        <v>45031.916666666664</v>
      </c>
      <c r="N118" s="5">
        <v>2.76902795630217E-2</v>
      </c>
      <c r="O118" s="5">
        <v>59.114847349999998</v>
      </c>
      <c r="P118" s="2">
        <v>36719</v>
      </c>
      <c r="Q118" s="7">
        <f t="shared" si="32"/>
        <v>611.98333333333335</v>
      </c>
      <c r="R118" s="6">
        <f t="shared" si="33"/>
        <v>16.945989587909896</v>
      </c>
      <c r="S118" s="6">
        <f t="shared" si="34"/>
        <v>148.50041620853816</v>
      </c>
      <c r="T118" s="2">
        <f t="shared" si="35"/>
        <v>1</v>
      </c>
      <c r="U118" s="6">
        <f t="shared" si="36"/>
        <v>148.50041620853816</v>
      </c>
      <c r="V118">
        <f>IF((R118-$AB$774)/($Z$773-$AB$774)&lt;0, 0, IF((R118-$AB$774)/($Z$773-$AB$774)&gt;1, 1, (R118-$AB$774)/($Z$773-$AB$774)))</f>
        <v>0.37574350978865995</v>
      </c>
      <c r="W118" s="6">
        <f t="shared" si="37"/>
        <v>55.798067591272932</v>
      </c>
      <c r="Y118" s="78">
        <v>45048.364583333336</v>
      </c>
      <c r="Z118">
        <v>8.3761057044793294E-2</v>
      </c>
      <c r="AA118" s="6">
        <v>85.762083380000007</v>
      </c>
      <c r="AB118" s="2">
        <v>9653</v>
      </c>
      <c r="AC118" s="7">
        <f t="shared" si="38"/>
        <v>160.88333333333333</v>
      </c>
      <c r="AD118" s="7">
        <f t="shared" si="39"/>
        <v>13.475758060889827</v>
      </c>
      <c r="AE118" s="7">
        <f t="shared" si="40"/>
        <v>148.50041620853816</v>
      </c>
      <c r="AF118" s="7">
        <f t="shared" si="41"/>
        <v>0.71708911796319441</v>
      </c>
      <c r="AG118" s="6">
        <f t="shared" si="42"/>
        <v>106.48803247614788</v>
      </c>
      <c r="AH118" s="2">
        <f t="shared" si="43"/>
        <v>0.71288732345006189</v>
      </c>
      <c r="AI118" s="7">
        <f t="shared" si="44"/>
        <v>105.86406424212495</v>
      </c>
      <c r="AK118" s="78">
        <v>45030.916666666664</v>
      </c>
      <c r="AL118" s="5">
        <v>2.90242257250731E-2</v>
      </c>
      <c r="AM118" s="5">
        <v>59.125991390000003</v>
      </c>
      <c r="AN118" s="2">
        <v>33481</v>
      </c>
      <c r="AO118" s="7">
        <f t="shared" si="50"/>
        <v>558.01666666666665</v>
      </c>
      <c r="AP118" s="5">
        <f t="shared" si="46"/>
        <v>16.196001691686206</v>
      </c>
      <c r="AQ118" s="6">
        <f t="shared" si="47"/>
        <v>145.24480202277019</v>
      </c>
      <c r="AR118" s="2">
        <f t="shared" si="48"/>
        <v>1</v>
      </c>
      <c r="AS118" s="2">
        <f t="shared" si="49"/>
        <v>145.24480202277019</v>
      </c>
    </row>
    <row r="119" spans="13:45" x14ac:dyDescent="0.3">
      <c r="M119" s="78">
        <v>45031.927083333336</v>
      </c>
      <c r="N119" s="5">
        <v>2.67643103883821E-2</v>
      </c>
      <c r="O119" s="5">
        <v>57.147661589999998</v>
      </c>
      <c r="P119" s="2">
        <v>37379</v>
      </c>
      <c r="Q119" s="7">
        <f t="shared" si="32"/>
        <v>622.98333333333335</v>
      </c>
      <c r="R119" s="6">
        <f t="shared" si="33"/>
        <v>16.673719300122244</v>
      </c>
      <c r="S119" s="6">
        <f t="shared" si="34"/>
        <v>147.32718847441882</v>
      </c>
      <c r="T119" s="2">
        <f t="shared" si="35"/>
        <v>1</v>
      </c>
      <c r="U119" s="6">
        <f t="shared" si="36"/>
        <v>147.32718847441882</v>
      </c>
      <c r="V119">
        <f>IF((R119-$AB$774)/($Z$773-$AB$774)&lt;0, 0, IF((R119-$AB$774)/($Z$773-$AB$774)&gt;1, 1, (R119-$AB$774)/($Z$773-$AB$774)))</f>
        <v>0.3259045805140775</v>
      </c>
      <c r="W119" s="6">
        <f t="shared" si="37"/>
        <v>48.014605558073896</v>
      </c>
      <c r="Y119" s="78">
        <v>45048.375</v>
      </c>
      <c r="Z119">
        <v>8.3582359163388104E-2</v>
      </c>
      <c r="AA119" s="6">
        <v>84.891986889999998</v>
      </c>
      <c r="AB119" s="2">
        <v>9846</v>
      </c>
      <c r="AC119" s="7">
        <f t="shared" si="38"/>
        <v>164.1</v>
      </c>
      <c r="AD119" s="7">
        <f t="shared" si="39"/>
        <v>13.715865138711987</v>
      </c>
      <c r="AE119" s="7">
        <f t="shared" si="40"/>
        <v>147.32718847441882</v>
      </c>
      <c r="AF119" s="7">
        <f t="shared" si="41"/>
        <v>0.62197425371364079</v>
      </c>
      <c r="AG119" s="6">
        <f t="shared" si="42"/>
        <v>91.633718103105551</v>
      </c>
      <c r="AH119" s="2">
        <f t="shared" si="43"/>
        <v>1</v>
      </c>
      <c r="AI119" s="7">
        <f t="shared" si="44"/>
        <v>147.32718847441882</v>
      </c>
      <c r="AK119" s="78">
        <v>45030.927083333336</v>
      </c>
      <c r="AL119" s="5">
        <v>2.9034363438499401E-2</v>
      </c>
      <c r="AM119" s="5">
        <v>59.769842060000002</v>
      </c>
      <c r="AN119" s="2">
        <v>33195</v>
      </c>
      <c r="AO119" s="7">
        <f t="shared" si="50"/>
        <v>553.25</v>
      </c>
      <c r="AP119" s="5">
        <f t="shared" si="46"/>
        <v>16.063261572349795</v>
      </c>
      <c r="AQ119" s="6">
        <f t="shared" si="47"/>
        <v>144.66063627520552</v>
      </c>
      <c r="AR119" s="2">
        <f t="shared" si="48"/>
        <v>1</v>
      </c>
      <c r="AS119" s="2">
        <f t="shared" si="49"/>
        <v>144.66063627520552</v>
      </c>
    </row>
    <row r="120" spans="13:45" x14ac:dyDescent="0.3">
      <c r="M120" s="78">
        <v>45031.9375</v>
      </c>
      <c r="N120" s="5">
        <v>2.56458792252326E-2</v>
      </c>
      <c r="O120" s="5">
        <v>55.149392650000003</v>
      </c>
      <c r="P120" s="2">
        <v>37260</v>
      </c>
      <c r="Q120" s="7">
        <f t="shared" si="32"/>
        <v>621</v>
      </c>
      <c r="R120" s="6">
        <f t="shared" si="33"/>
        <v>15.926090998869444</v>
      </c>
      <c r="S120" s="6">
        <f t="shared" si="34"/>
        <v>144.05437894570593</v>
      </c>
      <c r="T120" s="2">
        <f t="shared" si="35"/>
        <v>1</v>
      </c>
      <c r="U120" s="6">
        <f t="shared" si="36"/>
        <v>144.05437894570593</v>
      </c>
      <c r="V120">
        <f>IF((R120-$AB$774)/($Z$773-$AB$774)&lt;0, 0, IF((R120-$AB$774)/($Z$773-$AB$774)&gt;1, 1, (R120-$AB$774)/($Z$773-$AB$774)))</f>
        <v>0.18905162335675846</v>
      </c>
      <c r="W120" s="6">
        <f t="shared" si="37"/>
        <v>27.233714191335356</v>
      </c>
      <c r="Y120" s="78">
        <v>45048.385416666664</v>
      </c>
      <c r="Z120">
        <v>8.6069874354267203E-2</v>
      </c>
      <c r="AA120" s="6">
        <v>85.762083380000007</v>
      </c>
      <c r="AB120" s="2">
        <v>9443</v>
      </c>
      <c r="AC120" s="7">
        <f t="shared" si="38"/>
        <v>157.38333333333333</v>
      </c>
      <c r="AD120" s="7">
        <f t="shared" si="39"/>
        <v>13.545963725455753</v>
      </c>
      <c r="AE120" s="7">
        <f t="shared" si="40"/>
        <v>144.05437894570593</v>
      </c>
      <c r="AF120" s="7">
        <f t="shared" si="41"/>
        <v>0.71708911796319441</v>
      </c>
      <c r="AG120" s="6">
        <f t="shared" si="42"/>
        <v>103.29982753691203</v>
      </c>
      <c r="AH120" s="2">
        <f t="shared" si="43"/>
        <v>0.93646163311384956</v>
      </c>
      <c r="AI120" s="7">
        <f t="shared" si="44"/>
        <v>134.90139896469714</v>
      </c>
      <c r="AK120" s="78">
        <v>45030.9375</v>
      </c>
      <c r="AL120" s="5">
        <v>2.8874111954835299E-2</v>
      </c>
      <c r="AM120" s="5">
        <v>59.769842060000002</v>
      </c>
      <c r="AN120" s="2">
        <v>33681</v>
      </c>
      <c r="AO120" s="7">
        <f t="shared" si="50"/>
        <v>561.35</v>
      </c>
      <c r="AP120" s="5">
        <f t="shared" si="46"/>
        <v>16.208482745846794</v>
      </c>
      <c r="AQ120" s="6">
        <f t="shared" si="47"/>
        <v>145.29960306129425</v>
      </c>
      <c r="AR120" s="2">
        <f t="shared" si="48"/>
        <v>1</v>
      </c>
      <c r="AS120" s="2">
        <f t="shared" si="49"/>
        <v>145.29960306129425</v>
      </c>
    </row>
    <row r="121" spans="13:45" x14ac:dyDescent="0.3">
      <c r="M121" s="78">
        <v>45031.947916666664</v>
      </c>
      <c r="N121" s="5">
        <v>2.38614921582374E-2</v>
      </c>
      <c r="O121" s="5">
        <v>59.125991390000003</v>
      </c>
      <c r="P121" s="2">
        <v>38029</v>
      </c>
      <c r="Q121" s="7">
        <f t="shared" si="32"/>
        <v>633.81666666666672</v>
      </c>
      <c r="R121" s="6">
        <f t="shared" si="33"/>
        <v>15.123811421426836</v>
      </c>
      <c r="S121" s="6">
        <f t="shared" si="34"/>
        <v>140.45386951041425</v>
      </c>
      <c r="T121" s="2">
        <f t="shared" si="35"/>
        <v>1</v>
      </c>
      <c r="U121" s="6">
        <f t="shared" si="36"/>
        <v>140.45386951041425</v>
      </c>
      <c r="V121">
        <f>IF((R121-$AB$774)/($Z$773-$AB$774)&lt;0, 0, IF((R121-$AB$774)/($Z$773-$AB$774)&gt;1, 1, (R121-$AB$774)/($Z$773-$AB$774)))</f>
        <v>4.2194779580294842E-2</v>
      </c>
      <c r="W121" s="6">
        <f t="shared" si="37"/>
        <v>5.9264200651914232</v>
      </c>
      <c r="Y121" s="78">
        <v>45048.395833333336</v>
      </c>
      <c r="Z121">
        <v>8.5530296535878902E-2</v>
      </c>
      <c r="AA121" s="6">
        <v>80.079324720000002</v>
      </c>
      <c r="AB121" s="2">
        <v>9714</v>
      </c>
      <c r="AC121" s="7">
        <f t="shared" si="38"/>
        <v>161.9</v>
      </c>
      <c r="AD121" s="7">
        <f t="shared" si="39"/>
        <v>13.847355009158795</v>
      </c>
      <c r="AE121" s="7">
        <f t="shared" si="40"/>
        <v>140.45386951041425</v>
      </c>
      <c r="AF121" s="7">
        <f t="shared" si="41"/>
        <v>9.5876614843143831E-2</v>
      </c>
      <c r="AG121" s="6">
        <f t="shared" si="42"/>
        <v>13.46624155027917</v>
      </c>
      <c r="AH121" s="2">
        <f t="shared" si="43"/>
        <v>1</v>
      </c>
      <c r="AI121" s="7">
        <f t="shared" si="44"/>
        <v>140.45386951041425</v>
      </c>
      <c r="AK121" s="78">
        <v>45030.947916666664</v>
      </c>
      <c r="AL121" s="5">
        <v>3.0490002369226599E-2</v>
      </c>
      <c r="AM121" s="5">
        <v>55.826367980000001</v>
      </c>
      <c r="AN121" s="2">
        <v>33710</v>
      </c>
      <c r="AO121" s="7">
        <f t="shared" si="50"/>
        <v>561.83333333333337</v>
      </c>
      <c r="AP121" s="5">
        <f t="shared" si="46"/>
        <v>17.130299664443811</v>
      </c>
      <c r="AQ121" s="6">
        <f t="shared" si="47"/>
        <v>149.28916663721046</v>
      </c>
      <c r="AR121" s="2">
        <f t="shared" si="48"/>
        <v>1</v>
      </c>
      <c r="AS121" s="2">
        <f t="shared" si="49"/>
        <v>149.28916663721046</v>
      </c>
    </row>
    <row r="122" spans="13:45" x14ac:dyDescent="0.3">
      <c r="M122" s="78">
        <v>45031.958333333336</v>
      </c>
      <c r="N122" s="5">
        <v>2.63495700298533E-2</v>
      </c>
      <c r="O122" s="5">
        <v>59.114847349999998</v>
      </c>
      <c r="P122" s="2">
        <v>36472</v>
      </c>
      <c r="Q122" s="7">
        <f t="shared" si="32"/>
        <v>607.86666666666667</v>
      </c>
      <c r="R122" s="6">
        <f t="shared" si="33"/>
        <v>16.017025302146827</v>
      </c>
      <c r="S122" s="6">
        <f t="shared" si="34"/>
        <v>144.45658052528674</v>
      </c>
      <c r="T122" s="2">
        <f t="shared" si="35"/>
        <v>1</v>
      </c>
      <c r="U122" s="6">
        <f t="shared" si="36"/>
        <v>144.45658052528674</v>
      </c>
      <c r="V122">
        <f>IF((R122-$AB$774)/($Z$773-$AB$774)&lt;0, 0, IF((R122-$AB$774)/($Z$773-$AB$774)&gt;1, 1, (R122-$AB$774)/($Z$773-$AB$774)))</f>
        <v>0.20569709850757453</v>
      </c>
      <c r="W122" s="6">
        <f t="shared" si="37"/>
        <v>29.714299474377277</v>
      </c>
      <c r="Y122" s="78">
        <v>45048.40625</v>
      </c>
      <c r="Z122">
        <v>8.2411260125793806E-2</v>
      </c>
      <c r="AA122" s="6">
        <v>85.762083380000007</v>
      </c>
      <c r="AB122" s="2">
        <v>9587</v>
      </c>
      <c r="AC122" s="7">
        <f t="shared" si="38"/>
        <v>159.78333333333333</v>
      </c>
      <c r="AD122" s="7">
        <f t="shared" si="39"/>
        <v>13.167945847099753</v>
      </c>
      <c r="AE122" s="7">
        <f t="shared" si="40"/>
        <v>144.45658052528674</v>
      </c>
      <c r="AF122" s="7">
        <f t="shared" si="41"/>
        <v>0.71708911796319441</v>
      </c>
      <c r="AG122" s="6">
        <f t="shared" si="42"/>
        <v>103.58824191285703</v>
      </c>
      <c r="AH122" s="2">
        <f t="shared" si="43"/>
        <v>0</v>
      </c>
      <c r="AI122" s="7">
        <f t="shared" si="44"/>
        <v>0</v>
      </c>
      <c r="AK122" s="78">
        <v>45030.958333333336</v>
      </c>
      <c r="AL122" s="5">
        <v>3.05504570361009E-2</v>
      </c>
      <c r="AM122" s="5">
        <v>59.114847349999998</v>
      </c>
      <c r="AN122" s="2">
        <v>33886</v>
      </c>
      <c r="AO122" s="7">
        <f t="shared" si="50"/>
        <v>564.76666666666665</v>
      </c>
      <c r="AP122" s="5">
        <f t="shared" si="46"/>
        <v>17.253879785421919</v>
      </c>
      <c r="AQ122" s="6">
        <f t="shared" si="47"/>
        <v>149.81560170742358</v>
      </c>
      <c r="AR122" s="2">
        <f t="shared" si="48"/>
        <v>1</v>
      </c>
      <c r="AS122" s="2">
        <f t="shared" si="49"/>
        <v>149.81560170742358</v>
      </c>
    </row>
    <row r="123" spans="13:45" x14ac:dyDescent="0.3">
      <c r="M123" s="78">
        <v>45031.96875</v>
      </c>
      <c r="N123" s="5">
        <v>2.83600111611465E-2</v>
      </c>
      <c r="O123" s="5">
        <v>57.147661589999998</v>
      </c>
      <c r="P123" s="2">
        <v>37335</v>
      </c>
      <c r="Q123" s="7">
        <f t="shared" si="32"/>
        <v>622.25</v>
      </c>
      <c r="R123" s="6">
        <f t="shared" si="33"/>
        <v>17.64701694502341</v>
      </c>
      <c r="S123" s="6">
        <f t="shared" si="34"/>
        <v>151.47763978054894</v>
      </c>
      <c r="T123" s="2">
        <f t="shared" si="35"/>
        <v>1</v>
      </c>
      <c r="U123" s="6">
        <f t="shared" si="36"/>
        <v>151.47763978054894</v>
      </c>
      <c r="V123">
        <f>IF((R123-$AB$774)/($Z$773-$AB$774)&lt;0, 0, IF((R123-$AB$774)/($Z$773-$AB$774)&gt;1, 1, (R123-$AB$774)/($Z$773-$AB$774)))</f>
        <v>0.50406618926508118</v>
      </c>
      <c r="W123" s="6">
        <f t="shared" si="37"/>
        <v>76.354756643049967</v>
      </c>
      <c r="Y123" s="78">
        <v>45048.416666666664</v>
      </c>
      <c r="Z123">
        <v>8.4745082914981298E-2</v>
      </c>
      <c r="AA123" s="6">
        <v>84.899432570000002</v>
      </c>
      <c r="AB123" s="2">
        <v>9498</v>
      </c>
      <c r="AC123" s="7">
        <f t="shared" si="38"/>
        <v>158.30000000000001</v>
      </c>
      <c r="AD123" s="7">
        <f t="shared" si="39"/>
        <v>13.41514662544154</v>
      </c>
      <c r="AE123" s="7">
        <f t="shared" si="40"/>
        <v>151.47763978054894</v>
      </c>
      <c r="AF123" s="7">
        <f t="shared" si="41"/>
        <v>0.62278818050289375</v>
      </c>
      <c r="AG123" s="6">
        <f t="shared" si="42"/>
        <v>94.338483665800837</v>
      </c>
      <c r="AH123" s="2">
        <f t="shared" si="43"/>
        <v>0.51986643372745278</v>
      </c>
      <c r="AI123" s="7">
        <f t="shared" si="44"/>
        <v>78.748140382165715</v>
      </c>
      <c r="AK123" s="78">
        <v>45030.96875</v>
      </c>
      <c r="AL123" s="5">
        <v>2.9946251597556501E-2</v>
      </c>
      <c r="AM123" s="5">
        <v>61.042518610000002</v>
      </c>
      <c r="AN123" s="2">
        <v>33910</v>
      </c>
      <c r="AO123" s="7">
        <f t="shared" si="50"/>
        <v>565.16666666666663</v>
      </c>
      <c r="AP123" s="5">
        <f t="shared" si="46"/>
        <v>16.924623194552346</v>
      </c>
      <c r="AQ123" s="6">
        <f t="shared" si="47"/>
        <v>148.40869667426762</v>
      </c>
      <c r="AR123" s="2">
        <f t="shared" si="48"/>
        <v>1</v>
      </c>
      <c r="AS123" s="2">
        <f t="shared" si="49"/>
        <v>148.40869667426762</v>
      </c>
    </row>
    <row r="124" spans="13:45" x14ac:dyDescent="0.3">
      <c r="M124" s="78">
        <v>45031.979166666664</v>
      </c>
      <c r="N124" s="5">
        <v>2.6346853409236402E-2</v>
      </c>
      <c r="O124" s="5">
        <v>51.069020549999998</v>
      </c>
      <c r="P124" s="2">
        <v>37278</v>
      </c>
      <c r="Q124" s="7">
        <f t="shared" si="32"/>
        <v>621.29999999999995</v>
      </c>
      <c r="R124" s="6">
        <f t="shared" si="33"/>
        <v>16.369300023158576</v>
      </c>
      <c r="S124" s="6">
        <f t="shared" si="34"/>
        <v>146.0037925120856</v>
      </c>
      <c r="T124" s="2">
        <f t="shared" si="35"/>
        <v>1</v>
      </c>
      <c r="U124" s="6">
        <f t="shared" si="36"/>
        <v>146.0037925120856</v>
      </c>
      <c r="V124">
        <f>IF((R124-$AB$774)/($Z$773-$AB$774)&lt;0, 0, IF((R124-$AB$774)/($Z$773-$AB$774)&gt;1, 1, (R124-$AB$774)/($Z$773-$AB$774)))</f>
        <v>0.27018079611699131</v>
      </c>
      <c r="W124" s="6">
        <f t="shared" si="37"/>
        <v>39.447420897015299</v>
      </c>
      <c r="Y124" s="78">
        <v>45048.427083333336</v>
      </c>
      <c r="Z124">
        <v>8.4755978489292103E-2</v>
      </c>
      <c r="AA124" s="6">
        <v>83.594462070000006</v>
      </c>
      <c r="AB124" s="2">
        <v>9580</v>
      </c>
      <c r="AC124" s="7">
        <f t="shared" si="38"/>
        <v>159.66666666666666</v>
      </c>
      <c r="AD124" s="7">
        <f t="shared" si="39"/>
        <v>13.532704565456971</v>
      </c>
      <c r="AE124" s="7">
        <f t="shared" si="40"/>
        <v>146.0037925120856</v>
      </c>
      <c r="AF124" s="7">
        <f t="shared" si="41"/>
        <v>0.48013493068094532</v>
      </c>
      <c r="AG124" s="6">
        <f t="shared" si="42"/>
        <v>70.101520796945337</v>
      </c>
      <c r="AH124" s="2">
        <f t="shared" si="43"/>
        <v>0.89423701261095989</v>
      </c>
      <c r="AI124" s="7">
        <f t="shared" si="44"/>
        <v>130.56199524587785</v>
      </c>
      <c r="AK124" s="78">
        <v>45030.979166666664</v>
      </c>
      <c r="AL124" s="5">
        <v>2.9663758817046901E-2</v>
      </c>
      <c r="AM124" s="5">
        <v>57.814717760000001</v>
      </c>
      <c r="AN124" s="2">
        <v>34219</v>
      </c>
      <c r="AO124" s="7">
        <f t="shared" si="50"/>
        <v>570.31666666666672</v>
      </c>
      <c r="AP124" s="5">
        <f t="shared" si="46"/>
        <v>16.917736049342132</v>
      </c>
      <c r="AQ124" s="6">
        <f t="shared" si="47"/>
        <v>148.37911962903473</v>
      </c>
      <c r="AR124" s="2">
        <f t="shared" si="48"/>
        <v>1</v>
      </c>
      <c r="AS124" s="2">
        <f t="shared" si="49"/>
        <v>148.37911962903473</v>
      </c>
    </row>
    <row r="125" spans="13:45" x14ac:dyDescent="0.3">
      <c r="M125" s="78">
        <v>45031.989583333336</v>
      </c>
      <c r="N125" s="5">
        <v>2.5109089451213901E-2</v>
      </c>
      <c r="O125" s="5">
        <v>55.149392650000003</v>
      </c>
      <c r="P125" s="2">
        <v>37596</v>
      </c>
      <c r="Q125" s="7">
        <f t="shared" si="32"/>
        <v>626.6</v>
      </c>
      <c r="R125" s="6">
        <f t="shared" si="33"/>
        <v>15.733355450130631</v>
      </c>
      <c r="S125" s="6">
        <f t="shared" si="34"/>
        <v>143.19801898629868</v>
      </c>
      <c r="T125" s="2">
        <f t="shared" si="35"/>
        <v>1</v>
      </c>
      <c r="U125" s="6">
        <f t="shared" si="36"/>
        <v>143.19801898629868</v>
      </c>
      <c r="V125">
        <f>IF((R125-$AB$774)/($Z$773-$AB$774)&lt;0, 0, IF((R125-$AB$774)/($Z$773-$AB$774)&gt;1, 1, (R125-$AB$774)/($Z$773-$AB$774)))</f>
        <v>0.15377148515165537</v>
      </c>
      <c r="W125" s="6">
        <f t="shared" si="37"/>
        <v>22.019772050298091</v>
      </c>
      <c r="Y125" s="78">
        <v>45048.4375</v>
      </c>
      <c r="Z125">
        <v>8.2461723996205702E-2</v>
      </c>
      <c r="AA125" s="6">
        <v>80.086877509999994</v>
      </c>
      <c r="AB125" s="2">
        <v>9643</v>
      </c>
      <c r="AC125" s="7">
        <f t="shared" si="38"/>
        <v>160.71666666666667</v>
      </c>
      <c r="AD125" s="7">
        <f t="shared" si="39"/>
        <v>13.25297340825686</v>
      </c>
      <c r="AE125" s="7">
        <f t="shared" si="40"/>
        <v>143.19801898629868</v>
      </c>
      <c r="AF125" s="7">
        <f t="shared" si="41"/>
        <v>9.670225039484516E-2</v>
      </c>
      <c r="AG125" s="6">
        <f t="shared" si="42"/>
        <v>13.847570688058846</v>
      </c>
      <c r="AH125" s="2">
        <f t="shared" si="43"/>
        <v>3.4157270473226939E-3</v>
      </c>
      <c r="AI125" s="7">
        <f t="shared" si="44"/>
        <v>0.48912534657452905</v>
      </c>
      <c r="AK125" s="78">
        <v>45030.989583333336</v>
      </c>
      <c r="AL125" s="5">
        <v>2.92677733437798E-2</v>
      </c>
      <c r="AM125" s="5">
        <v>62.923032710000001</v>
      </c>
      <c r="AN125" s="2">
        <v>33296</v>
      </c>
      <c r="AO125" s="7">
        <f t="shared" si="50"/>
        <v>554.93333333333328</v>
      </c>
      <c r="AP125" s="5">
        <f t="shared" si="46"/>
        <v>16.241663020908202</v>
      </c>
      <c r="AQ125" s="6">
        <f t="shared" si="47"/>
        <v>145.44518432545286</v>
      </c>
      <c r="AR125" s="2">
        <f t="shared" si="48"/>
        <v>1</v>
      </c>
      <c r="AS125" s="2">
        <f t="shared" si="49"/>
        <v>145.44518432545286</v>
      </c>
    </row>
    <row r="126" spans="13:45" x14ac:dyDescent="0.3">
      <c r="M126" s="78">
        <v>45032</v>
      </c>
      <c r="N126" s="5">
        <v>2.72394941395591E-2</v>
      </c>
      <c r="O126" s="5">
        <v>59.114847349999998</v>
      </c>
      <c r="P126" s="2">
        <v>36779</v>
      </c>
      <c r="Q126" s="7">
        <f t="shared" si="32"/>
        <v>612.98333333333335</v>
      </c>
      <c r="R126" s="6">
        <f t="shared" si="33"/>
        <v>16.697355915980737</v>
      </c>
      <c r="S126" s="6">
        <f t="shared" si="34"/>
        <v>147.42942564353021</v>
      </c>
      <c r="T126" s="2">
        <f t="shared" si="35"/>
        <v>1</v>
      </c>
      <c r="U126" s="6">
        <f t="shared" si="36"/>
        <v>147.42942564353021</v>
      </c>
      <c r="V126">
        <f>IF((R126-$AB$774)/($Z$773-$AB$774)&lt;0, 0, IF((R126-$AB$774)/($Z$773-$AB$774)&gt;1, 1, (R126-$AB$774)/($Z$773-$AB$774)))</f>
        <v>0.33023125029370715</v>
      </c>
      <c r="W126" s="6">
        <f t="shared" si="37"/>
        <v>48.685803560346109</v>
      </c>
      <c r="Y126" s="78">
        <v>45048.447916666664</v>
      </c>
      <c r="Z126">
        <v>8.95563363257742E-2</v>
      </c>
      <c r="AA126" s="6">
        <v>85.762083380000007</v>
      </c>
      <c r="AB126" s="2">
        <v>9347</v>
      </c>
      <c r="AC126" s="7">
        <f t="shared" si="38"/>
        <v>155.78333333333333</v>
      </c>
      <c r="AD126" s="7">
        <f t="shared" si="39"/>
        <v>13.951384593950191</v>
      </c>
      <c r="AE126" s="7">
        <f t="shared" si="40"/>
        <v>147.42942564353021</v>
      </c>
      <c r="AF126" s="7">
        <f t="shared" si="41"/>
        <v>0.71708911796319441</v>
      </c>
      <c r="AG126" s="6">
        <f t="shared" si="42"/>
        <v>105.72003679653943</v>
      </c>
      <c r="AH126" s="2">
        <f t="shared" si="43"/>
        <v>1</v>
      </c>
      <c r="AI126" s="7">
        <f t="shared" si="44"/>
        <v>147.42942564353021</v>
      </c>
      <c r="AK126" s="78">
        <v>45031</v>
      </c>
      <c r="AL126" s="5">
        <v>2.82344446173639E-2</v>
      </c>
      <c r="AM126" s="5">
        <v>57.814717760000001</v>
      </c>
      <c r="AN126" s="2">
        <v>34291</v>
      </c>
      <c r="AO126" s="7">
        <f t="shared" si="50"/>
        <v>571.51666666666665</v>
      </c>
      <c r="AP126" s="5">
        <f t="shared" si="46"/>
        <v>16.136455672900425</v>
      </c>
      <c r="AQ126" s="6">
        <f t="shared" si="47"/>
        <v>144.98305389299176</v>
      </c>
      <c r="AR126" s="2">
        <f t="shared" si="48"/>
        <v>1</v>
      </c>
      <c r="AS126" s="2">
        <f t="shared" si="49"/>
        <v>144.98305389299176</v>
      </c>
    </row>
    <row r="127" spans="13:45" x14ac:dyDescent="0.3">
      <c r="M127" s="78">
        <v>45032.010416666664</v>
      </c>
      <c r="N127" s="5">
        <v>2.6576642304790499E-2</v>
      </c>
      <c r="O127" s="5">
        <v>62.3045732</v>
      </c>
      <c r="P127" s="2">
        <v>37144</v>
      </c>
      <c r="Q127" s="7">
        <f t="shared" si="32"/>
        <v>619.06666666666672</v>
      </c>
      <c r="R127" s="6">
        <f t="shared" si="33"/>
        <v>16.452713362818972</v>
      </c>
      <c r="S127" s="6">
        <f t="shared" si="34"/>
        <v>146.36765397603983</v>
      </c>
      <c r="T127" s="2">
        <f t="shared" si="35"/>
        <v>1</v>
      </c>
      <c r="U127" s="6">
        <f t="shared" si="36"/>
        <v>146.36765397603983</v>
      </c>
      <c r="V127">
        <f>IF((R127-$AB$774)/($Z$773-$AB$774)&lt;0, 0, IF((R127-$AB$774)/($Z$773-$AB$774)&gt;1, 1, (R127-$AB$774)/($Z$773-$AB$774)))</f>
        <v>0.28544956293569568</v>
      </c>
      <c r="W127" s="6">
        <f t="shared" si="37"/>
        <v>41.780582855383713</v>
      </c>
      <c r="Y127" s="78">
        <v>45048.458333333336</v>
      </c>
      <c r="Z127">
        <v>9.0091763001789296E-2</v>
      </c>
      <c r="AA127" s="6">
        <v>80.086877509999994</v>
      </c>
      <c r="AB127" s="2">
        <v>9334</v>
      </c>
      <c r="AC127" s="7">
        <f t="shared" si="38"/>
        <v>155.56666666666666</v>
      </c>
      <c r="AD127" s="7">
        <f t="shared" si="39"/>
        <v>14.015275264311688</v>
      </c>
      <c r="AE127" s="7">
        <f t="shared" si="40"/>
        <v>146.36765397603983</v>
      </c>
      <c r="AF127" s="7">
        <f t="shared" si="41"/>
        <v>9.670225039484516E-2</v>
      </c>
      <c r="AG127" s="6">
        <f t="shared" si="42"/>
        <v>14.154081524497057</v>
      </c>
      <c r="AH127" s="2">
        <f t="shared" si="43"/>
        <v>1</v>
      </c>
      <c r="AI127" s="7">
        <f t="shared" si="44"/>
        <v>146.36765397603983</v>
      </c>
      <c r="AK127" s="78">
        <v>45031.010416666664</v>
      </c>
      <c r="AL127" s="5">
        <v>2.9857948346077301E-2</v>
      </c>
      <c r="AM127" s="5">
        <v>61.042518610000002</v>
      </c>
      <c r="AN127" s="2">
        <v>34135</v>
      </c>
      <c r="AO127" s="7">
        <f t="shared" si="50"/>
        <v>568.91666666666663</v>
      </c>
      <c r="AP127" s="5">
        <f t="shared" si="46"/>
        <v>16.98668444655581</v>
      </c>
      <c r="AQ127" s="6">
        <f t="shared" si="47"/>
        <v>148.67494397032303</v>
      </c>
      <c r="AR127" s="2">
        <f t="shared" si="48"/>
        <v>1</v>
      </c>
      <c r="AS127" s="2">
        <f t="shared" si="49"/>
        <v>148.67494397032303</v>
      </c>
    </row>
    <row r="128" spans="13:45" x14ac:dyDescent="0.3">
      <c r="M128" s="78">
        <v>45032.020833333336</v>
      </c>
      <c r="N128" s="5">
        <v>2.4689142766172099E-2</v>
      </c>
      <c r="O128" s="5">
        <v>59.114847349999998</v>
      </c>
      <c r="P128" s="2">
        <v>37960</v>
      </c>
      <c r="Q128" s="7">
        <f t="shared" si="32"/>
        <v>632.66666666666663</v>
      </c>
      <c r="R128" s="6">
        <f t="shared" si="33"/>
        <v>15.619997656731547</v>
      </c>
      <c r="S128" s="6">
        <f t="shared" si="34"/>
        <v>142.69184747969058</v>
      </c>
      <c r="T128" s="2">
        <f t="shared" si="35"/>
        <v>1</v>
      </c>
      <c r="U128" s="6">
        <f t="shared" si="36"/>
        <v>142.69184747969058</v>
      </c>
      <c r="V128">
        <f>IF((R128-$AB$774)/($Z$773-$AB$774)&lt;0, 0, IF((R128-$AB$774)/($Z$773-$AB$774)&gt;1, 1, (R128-$AB$774)/($Z$773-$AB$774)))</f>
        <v>0.13302140223278064</v>
      </c>
      <c r="W128" s="6">
        <f t="shared" si="37"/>
        <v>18.981069638934507</v>
      </c>
      <c r="Y128" s="78">
        <v>45048.46875</v>
      </c>
      <c r="Z128">
        <v>8.0749233628608003E-2</v>
      </c>
      <c r="AA128" s="6">
        <v>81.405228940000001</v>
      </c>
      <c r="AB128" s="2">
        <v>9493</v>
      </c>
      <c r="AC128" s="7">
        <f t="shared" si="38"/>
        <v>158.21666666666667</v>
      </c>
      <c r="AD128" s="7">
        <f t="shared" si="39"/>
        <v>12.775874580606263</v>
      </c>
      <c r="AE128" s="7">
        <f t="shared" si="40"/>
        <v>142.69184747969058</v>
      </c>
      <c r="AF128" s="7">
        <f t="shared" si="41"/>
        <v>0.24081824067731861</v>
      </c>
      <c r="AG128" s="6">
        <f t="shared" si="42"/>
        <v>34.362799669055363</v>
      </c>
      <c r="AH128" s="2">
        <f t="shared" si="43"/>
        <v>0</v>
      </c>
      <c r="AI128" s="7">
        <f t="shared" si="44"/>
        <v>0</v>
      </c>
      <c r="AK128" s="78">
        <v>45031.020833333336</v>
      </c>
      <c r="AL128" s="5">
        <v>2.9226293961819201E-2</v>
      </c>
      <c r="AM128" s="5">
        <v>57.147661589999998</v>
      </c>
      <c r="AN128" s="2">
        <v>34586</v>
      </c>
      <c r="AO128" s="7">
        <f t="shared" si="50"/>
        <v>576.43333333333328</v>
      </c>
      <c r="AP128" s="5">
        <f t="shared" si="46"/>
        <v>16.847010049391312</v>
      </c>
      <c r="AQ128" s="6">
        <f t="shared" si="47"/>
        <v>148.07502851714619</v>
      </c>
      <c r="AR128" s="2">
        <f t="shared" si="48"/>
        <v>1</v>
      </c>
      <c r="AS128" s="2">
        <f t="shared" si="49"/>
        <v>148.07502851714619</v>
      </c>
    </row>
    <row r="129" spans="13:45" x14ac:dyDescent="0.3">
      <c r="M129" s="78">
        <v>45032.03125</v>
      </c>
      <c r="N129" s="5">
        <v>2.91870014234187E-2</v>
      </c>
      <c r="O129" s="5">
        <v>57.147661589999998</v>
      </c>
      <c r="P129" s="2">
        <v>37181</v>
      </c>
      <c r="Q129" s="7">
        <f t="shared" si="32"/>
        <v>619.68333333333328</v>
      </c>
      <c r="R129" s="6">
        <f t="shared" si="33"/>
        <v>18.086698332068842</v>
      </c>
      <c r="S129" s="6">
        <f t="shared" si="34"/>
        <v>153.31422057877131</v>
      </c>
      <c r="T129" s="2">
        <f t="shared" si="35"/>
        <v>1</v>
      </c>
      <c r="U129" s="6">
        <f t="shared" si="36"/>
        <v>153.31422057877131</v>
      </c>
      <c r="V129">
        <f>IF((R129-$AB$774)/($Z$773-$AB$774)&lt;0, 0, IF((R129-$AB$774)/($Z$773-$AB$774)&gt;1, 1, (R129-$AB$774)/($Z$773-$AB$774)))</f>
        <v>0.58454962993121107</v>
      </c>
      <c r="W129" s="6">
        <f t="shared" si="37"/>
        <v>89.61977090251284</v>
      </c>
      <c r="Y129" s="78">
        <v>45048.479166666664</v>
      </c>
      <c r="Z129">
        <v>8.3930438963235404E-2</v>
      </c>
      <c r="AA129" s="6">
        <v>79.202259850000004</v>
      </c>
      <c r="AB129" s="2">
        <v>9610</v>
      </c>
      <c r="AC129" s="7">
        <f t="shared" si="38"/>
        <v>160.16666666666666</v>
      </c>
      <c r="AD129" s="7">
        <f t="shared" si="39"/>
        <v>13.442858640611536</v>
      </c>
      <c r="AE129" s="7">
        <f t="shared" si="40"/>
        <v>153.31422057877131</v>
      </c>
      <c r="AF129" s="7">
        <f t="shared" si="41"/>
        <v>0</v>
      </c>
      <c r="AG129" s="6">
        <f t="shared" si="42"/>
        <v>0</v>
      </c>
      <c r="AH129" s="2">
        <f t="shared" si="43"/>
        <v>0.60811707132673543</v>
      </c>
      <c r="AI129" s="7">
        <f t="shared" si="44"/>
        <v>93.232994811103524</v>
      </c>
      <c r="AK129" s="78">
        <v>45031.03125</v>
      </c>
      <c r="AL129" s="5">
        <v>3.1737681013915602E-2</v>
      </c>
      <c r="AM129" s="5">
        <v>61.042518610000002</v>
      </c>
      <c r="AN129" s="2">
        <v>34528</v>
      </c>
      <c r="AO129" s="7">
        <f t="shared" si="50"/>
        <v>575.4666666666667</v>
      </c>
      <c r="AP129" s="5">
        <f t="shared" si="46"/>
        <v>18.263977500807965</v>
      </c>
      <c r="AQ129" s="6">
        <f t="shared" si="47"/>
        <v>154.0482759375908</v>
      </c>
      <c r="AR129" s="2">
        <f t="shared" si="48"/>
        <v>1</v>
      </c>
      <c r="AS129" s="2">
        <f t="shared" si="49"/>
        <v>154.0482759375908</v>
      </c>
    </row>
    <row r="130" spans="13:45" x14ac:dyDescent="0.3">
      <c r="M130" s="78">
        <v>45032.041666666664</v>
      </c>
      <c r="N130" s="5">
        <v>2.5923524259414101E-2</v>
      </c>
      <c r="O130" s="5">
        <v>58.466044660000001</v>
      </c>
      <c r="P130" s="2">
        <v>37402</v>
      </c>
      <c r="Q130" s="7">
        <f t="shared" si="32"/>
        <v>623.36666666666667</v>
      </c>
      <c r="R130" s="6">
        <f t="shared" si="33"/>
        <v>16.159860905843438</v>
      </c>
      <c r="S130" s="6">
        <f t="shared" si="34"/>
        <v>145.08599563851342</v>
      </c>
      <c r="T130" s="2">
        <f t="shared" si="35"/>
        <v>1</v>
      </c>
      <c r="U130" s="6">
        <f t="shared" si="36"/>
        <v>145.08599563851342</v>
      </c>
      <c r="V130">
        <f>IF((R130-$AB$774)/($Z$773-$AB$774)&lt;0, 0, IF((R130-$AB$774)/($Z$773-$AB$774)&gt;1, 1, (R130-$AB$774)/($Z$773-$AB$774)))</f>
        <v>0.23184307869649515</v>
      </c>
      <c r="W130" s="6">
        <f t="shared" si="37"/>
        <v>33.637183904579217</v>
      </c>
      <c r="Y130" s="78">
        <v>45048.489583333336</v>
      </c>
      <c r="Z130">
        <v>8.7261747153624794E-2</v>
      </c>
      <c r="AA130" s="6">
        <v>81.405228940000001</v>
      </c>
      <c r="AB130" s="2">
        <v>9384</v>
      </c>
      <c r="AC130" s="7">
        <f t="shared" si="38"/>
        <v>156.4</v>
      </c>
      <c r="AD130" s="7">
        <f t="shared" si="39"/>
        <v>13.647737254826918</v>
      </c>
      <c r="AE130" s="7">
        <f t="shared" si="40"/>
        <v>145.08599563851342</v>
      </c>
      <c r="AF130" s="7">
        <f t="shared" si="41"/>
        <v>0.24081824067731861</v>
      </c>
      <c r="AG130" s="6">
        <f t="shared" si="42"/>
        <v>34.939354216583922</v>
      </c>
      <c r="AH130" s="2">
        <f t="shared" si="43"/>
        <v>1</v>
      </c>
      <c r="AI130" s="7">
        <f t="shared" si="44"/>
        <v>145.08599563851342</v>
      </c>
      <c r="AK130" s="78">
        <v>45031.041666666664</v>
      </c>
      <c r="AL130" s="5">
        <v>2.7827700495630301E-2</v>
      </c>
      <c r="AM130" s="5">
        <v>59.114847349999998</v>
      </c>
      <c r="AN130" s="2">
        <v>34775</v>
      </c>
      <c r="AO130" s="7">
        <f t="shared" si="50"/>
        <v>579.58333333333337</v>
      </c>
      <c r="AP130" s="5">
        <f t="shared" si="46"/>
        <v>16.128471412259064</v>
      </c>
      <c r="AQ130" s="6">
        <f t="shared" si="47"/>
        <v>144.94791980030888</v>
      </c>
      <c r="AR130" s="2">
        <f t="shared" si="48"/>
        <v>1</v>
      </c>
      <c r="AS130" s="2">
        <f t="shared" si="49"/>
        <v>144.94791980030888</v>
      </c>
    </row>
    <row r="131" spans="13:45" x14ac:dyDescent="0.3">
      <c r="M131" s="78">
        <v>45032.052083333336</v>
      </c>
      <c r="N131" s="5">
        <v>2.4571877327554999E-2</v>
      </c>
      <c r="O131" s="5">
        <v>59.114847349999998</v>
      </c>
      <c r="P131" s="2">
        <v>37582</v>
      </c>
      <c r="Q131" s="7">
        <f t="shared" si="32"/>
        <v>626.36666666666667</v>
      </c>
      <c r="R131" s="6">
        <f t="shared" si="33"/>
        <v>15.391004895402867</v>
      </c>
      <c r="S131" s="6">
        <f t="shared" si="34"/>
        <v>141.66358596078061</v>
      </c>
      <c r="T131" s="2">
        <f t="shared" si="35"/>
        <v>1</v>
      </c>
      <c r="U131" s="6">
        <f t="shared" si="36"/>
        <v>141.66358596078061</v>
      </c>
      <c r="V131">
        <f>IF((R131-$AB$774)/($Z$773-$AB$774)&lt;0, 0, IF((R131-$AB$774)/($Z$773-$AB$774)&gt;1, 1, (R131-$AB$774)/($Z$773-$AB$774)))</f>
        <v>9.1104400825883086E-2</v>
      </c>
      <c r="W131" s="6">
        <f t="shared" si="37"/>
        <v>12.9061761178029</v>
      </c>
      <c r="Y131" s="78">
        <v>45048.5</v>
      </c>
      <c r="Z131">
        <v>8.4209075689070295E-2</v>
      </c>
      <c r="AA131" s="6">
        <v>83.594462070000006</v>
      </c>
      <c r="AB131" s="2">
        <v>9280</v>
      </c>
      <c r="AC131" s="7">
        <f t="shared" si="38"/>
        <v>154.66666666666666</v>
      </c>
      <c r="AD131" s="7">
        <f t="shared" si="39"/>
        <v>13.024337039909538</v>
      </c>
      <c r="AE131" s="7">
        <f t="shared" si="40"/>
        <v>141.66358596078061</v>
      </c>
      <c r="AF131" s="7">
        <f t="shared" si="41"/>
        <v>0.48013493068094532</v>
      </c>
      <c r="AG131" s="6">
        <f t="shared" si="42"/>
        <v>68.017636025293541</v>
      </c>
      <c r="AH131" s="2">
        <f t="shared" si="43"/>
        <v>0</v>
      </c>
      <c r="AI131" s="7">
        <f t="shared" si="44"/>
        <v>0</v>
      </c>
      <c r="AK131" s="78">
        <v>45031.052083333336</v>
      </c>
      <c r="AL131" s="5">
        <v>2.87469833585242E-2</v>
      </c>
      <c r="AM131" s="5">
        <v>59.769842060000002</v>
      </c>
      <c r="AN131" s="2">
        <v>34126</v>
      </c>
      <c r="AO131" s="7">
        <f t="shared" si="50"/>
        <v>568.76666666666665</v>
      </c>
      <c r="AP131" s="5">
        <f t="shared" si="46"/>
        <v>16.350325901549947</v>
      </c>
      <c r="AQ131" s="6">
        <f t="shared" si="47"/>
        <v>145.92089255394461</v>
      </c>
      <c r="AR131" s="2">
        <f t="shared" si="48"/>
        <v>1</v>
      </c>
      <c r="AS131" s="2">
        <f t="shared" si="49"/>
        <v>145.92089255394461</v>
      </c>
    </row>
    <row r="132" spans="13:45" x14ac:dyDescent="0.3">
      <c r="M132" s="78">
        <v>45032.0625</v>
      </c>
      <c r="N132" s="5">
        <v>2.5664024162233501E-2</v>
      </c>
      <c r="O132" s="5">
        <v>57.147661589999998</v>
      </c>
      <c r="P132" s="2">
        <v>37417</v>
      </c>
      <c r="Q132" s="7">
        <f t="shared" ref="Q132:Q195" si="51">P132/60</f>
        <v>623.61666666666667</v>
      </c>
      <c r="R132" s="6">
        <f t="shared" ref="R132:R195" si="52">N132*Q132</f>
        <v>16.004513201304849</v>
      </c>
      <c r="S132" s="6">
        <f t="shared" ref="S132:S195" si="53">37.141*R132^0.4897</f>
        <v>144.40130887952319</v>
      </c>
      <c r="T132" s="2">
        <f t="shared" ref="T132:T195" si="54">IF((O132-$R$1)/($P$1-$R$1)&lt;0, 0, IF((O132-$R$1)/($P$1-$R$1)&gt;1, 1, (O132-$R$1)/($P$1-$R$1)))</f>
        <v>1</v>
      </c>
      <c r="U132" s="6">
        <f t="shared" ref="U132:U195" si="55">S132*T132</f>
        <v>144.40130887952319</v>
      </c>
      <c r="V132">
        <f>IF((R132-$AB$774)/($Z$773-$AB$774)&lt;0, 0, IF((R132-$AB$774)/($Z$773-$AB$774)&gt;1, 1, (R132-$AB$774)/($Z$773-$AB$774)))</f>
        <v>0.20340676519942411</v>
      </c>
      <c r="W132" s="6">
        <f t="shared" ref="W132:W195" si="56">S132*V132</f>
        <v>29.372203129746687</v>
      </c>
      <c r="Y132" s="78">
        <v>45048.510416666664</v>
      </c>
      <c r="Z132">
        <v>8.4210862025282093E-2</v>
      </c>
      <c r="AA132" s="6">
        <v>83.586986100000004</v>
      </c>
      <c r="AB132" s="2">
        <v>9352</v>
      </c>
      <c r="AC132" s="7">
        <f t="shared" ref="AC132:AC195" si="57">AB132/60</f>
        <v>155.86666666666667</v>
      </c>
      <c r="AD132" s="7">
        <f t="shared" ref="AD132:AD195" si="58">AC132*Z132</f>
        <v>13.125666361007303</v>
      </c>
      <c r="AE132" s="7">
        <f t="shared" ref="AE132:AE195" si="59">37.141*R132^0.4897</f>
        <v>144.40130887952319</v>
      </c>
      <c r="AF132" s="7">
        <f t="shared" ref="AF132:AF195" si="60">IF((AA132-$AD$1)/($AB$1-$AD$1)&lt;0, 0, IF((AA132-$AD$1)/($AB$1-$AD$1)&gt;1, 1, (AA132-$AD$1)/($AB$1-$AD$1)))</f>
        <v>0.47931769273106706</v>
      </c>
      <c r="AG132" s="6">
        <f t="shared" ref="AG132:AG195" si="61">AE132*AF132</f>
        <v>69.2141021994792</v>
      </c>
      <c r="AH132" s="2">
        <f t="shared" ref="AH132:AH195" si="62">IF((AD132-$AI$444)/($AG$444-$AI$444)&lt;0, 0, IF((AD132-$AI$444)/($AG$444-$AI$444)&gt;1, 1, (AD132-$AI$444)/($AG$444-$AI$444)))</f>
        <v>0</v>
      </c>
      <c r="AI132" s="7">
        <f t="shared" ref="AI132:AI195" si="63">AE132*AH132</f>
        <v>0</v>
      </c>
      <c r="AK132" s="78">
        <v>45031.0625</v>
      </c>
      <c r="AL132" s="5">
        <v>3.0526152754216E-2</v>
      </c>
      <c r="AM132" s="5">
        <v>59.769842060000002</v>
      </c>
      <c r="AN132" s="2">
        <v>33863</v>
      </c>
      <c r="AO132" s="7">
        <f t="shared" si="50"/>
        <v>564.38333333333333</v>
      </c>
      <c r="AP132" s="5">
        <f t="shared" ref="AP132:AP195" si="64">AO132*AL132</f>
        <v>17.228451845266939</v>
      </c>
      <c r="AQ132" s="6">
        <f t="shared" ref="AQ132:AQ195" si="65">37.141*AP132^0.4897</f>
        <v>149.70743964566802</v>
      </c>
      <c r="AR132" s="2">
        <f t="shared" ref="AR132:AR195" si="66">IF((AM132-$AP$1)/($AN$1-$AP$1)&lt;0, 0, IF((AA132-$AP$1)/($AN$1-$AP$1)&gt;1, 1, (AA132-$AP$1)/($AN$1-$AP$1)))</f>
        <v>1</v>
      </c>
      <c r="AS132" s="2">
        <f t="shared" ref="AS132:AS195" si="67">AQ132*AR132</f>
        <v>149.70743964566802</v>
      </c>
    </row>
    <row r="133" spans="13:45" x14ac:dyDescent="0.3">
      <c r="M133" s="78">
        <v>45032.072916666664</v>
      </c>
      <c r="N133" s="5">
        <v>2.5961856199085798E-2</v>
      </c>
      <c r="O133" s="5">
        <v>60.40869618</v>
      </c>
      <c r="P133" s="2">
        <v>38133</v>
      </c>
      <c r="Q133" s="7">
        <f t="shared" si="51"/>
        <v>635.54999999999995</v>
      </c>
      <c r="R133" s="6">
        <f t="shared" si="52"/>
        <v>16.500057707328978</v>
      </c>
      <c r="S133" s="6">
        <f t="shared" si="53"/>
        <v>146.57375837875347</v>
      </c>
      <c r="T133" s="2">
        <f t="shared" si="54"/>
        <v>1</v>
      </c>
      <c r="U133" s="6">
        <f t="shared" si="55"/>
        <v>146.57375837875347</v>
      </c>
      <c r="V133">
        <f>IF((R133-$AB$774)/($Z$773-$AB$774)&lt;0, 0, IF((R133-$AB$774)/($Z$773-$AB$774)&gt;1, 1, (R133-$AB$774)/($Z$773-$AB$774)))</f>
        <v>0.29411591965334788</v>
      </c>
      <c r="W133" s="6">
        <f t="shared" si="56"/>
        <v>43.109675742614684</v>
      </c>
      <c r="Y133" s="78">
        <v>45048.520833333336</v>
      </c>
      <c r="Z133">
        <v>8.7281093477810504E-2</v>
      </c>
      <c r="AA133" s="6">
        <v>84.020316870000002</v>
      </c>
      <c r="AB133" s="2">
        <v>9456</v>
      </c>
      <c r="AC133" s="7">
        <f t="shared" si="57"/>
        <v>157.6</v>
      </c>
      <c r="AD133" s="7">
        <f t="shared" si="58"/>
        <v>13.755500332102935</v>
      </c>
      <c r="AE133" s="7">
        <f t="shared" si="59"/>
        <v>146.57375837875347</v>
      </c>
      <c r="AF133" s="7">
        <f t="shared" si="60"/>
        <v>0.52668737855028447</v>
      </c>
      <c r="AG133" s="6">
        <f t="shared" si="61"/>
        <v>77.198548564768458</v>
      </c>
      <c r="AH133" s="2">
        <f t="shared" si="62"/>
        <v>1</v>
      </c>
      <c r="AI133" s="7">
        <f t="shared" si="63"/>
        <v>146.57375837875347</v>
      </c>
      <c r="AK133" s="78">
        <v>45031.072916666664</v>
      </c>
      <c r="AL133" s="5">
        <v>2.9303144829977801E-2</v>
      </c>
      <c r="AM133" s="5">
        <v>61.042518610000002</v>
      </c>
      <c r="AN133" s="2">
        <v>34705</v>
      </c>
      <c r="AO133" s="7">
        <f t="shared" si="50"/>
        <v>578.41666666666663</v>
      </c>
      <c r="AP133" s="5">
        <f t="shared" si="64"/>
        <v>16.949427355406325</v>
      </c>
      <c r="AQ133" s="6">
        <f t="shared" si="65"/>
        <v>148.51516800334389</v>
      </c>
      <c r="AR133" s="2">
        <f t="shared" si="66"/>
        <v>1</v>
      </c>
      <c r="AS133" s="2">
        <f t="shared" si="67"/>
        <v>148.51516800334389</v>
      </c>
    </row>
    <row r="134" spans="13:45" x14ac:dyDescent="0.3">
      <c r="M134" s="78">
        <v>45032.083333333336</v>
      </c>
      <c r="N134" s="5">
        <v>2.4347527539202399E-2</v>
      </c>
      <c r="O134" s="5">
        <v>53.134964160000003</v>
      </c>
      <c r="P134" s="2">
        <v>38398</v>
      </c>
      <c r="Q134" s="7">
        <f t="shared" si="51"/>
        <v>639.9666666666667</v>
      </c>
      <c r="R134" s="6">
        <f t="shared" si="52"/>
        <v>15.58160604083823</v>
      </c>
      <c r="S134" s="6">
        <f t="shared" si="53"/>
        <v>142.51999440789976</v>
      </c>
      <c r="T134" s="2">
        <f t="shared" si="54"/>
        <v>1</v>
      </c>
      <c r="U134" s="6">
        <f t="shared" si="55"/>
        <v>142.51999440789976</v>
      </c>
      <c r="V134">
        <f>IF((R134-$AB$774)/($Z$773-$AB$774)&lt;0, 0, IF((R134-$AB$774)/($Z$773-$AB$774)&gt;1, 1, (R134-$AB$774)/($Z$773-$AB$774)))</f>
        <v>0.12599383765791863</v>
      </c>
      <c r="W134" s="6">
        <f t="shared" si="56"/>
        <v>17.956641038436395</v>
      </c>
      <c r="Y134" s="78">
        <v>45048.53125</v>
      </c>
      <c r="Z134">
        <v>9.0357470218111594E-2</v>
      </c>
      <c r="AA134" s="6">
        <v>80.079324720000002</v>
      </c>
      <c r="AB134" s="2">
        <v>9385</v>
      </c>
      <c r="AC134" s="7">
        <f t="shared" si="57"/>
        <v>156.41666666666666</v>
      </c>
      <c r="AD134" s="7">
        <f t="shared" si="58"/>
        <v>14.133414299949621</v>
      </c>
      <c r="AE134" s="7">
        <f t="shared" si="59"/>
        <v>142.51999440789976</v>
      </c>
      <c r="AF134" s="7">
        <f t="shared" si="60"/>
        <v>9.5876614843143831E-2</v>
      </c>
      <c r="AG134" s="6">
        <f t="shared" si="61"/>
        <v>13.664334611293217</v>
      </c>
      <c r="AH134" s="2">
        <f t="shared" si="62"/>
        <v>1</v>
      </c>
      <c r="AI134" s="7">
        <f t="shared" si="63"/>
        <v>142.51999440789976</v>
      </c>
      <c r="AK134" s="78">
        <v>45031.083333333336</v>
      </c>
      <c r="AL134" s="5">
        <v>2.7343298975907E-2</v>
      </c>
      <c r="AM134" s="5">
        <v>65.243074859999993</v>
      </c>
      <c r="AN134" s="2">
        <v>34073</v>
      </c>
      <c r="AO134" s="7">
        <f t="shared" si="50"/>
        <v>567.88333333333333</v>
      </c>
      <c r="AP134" s="5">
        <f t="shared" si="64"/>
        <v>15.527803766767986</v>
      </c>
      <c r="AQ134" s="6">
        <f t="shared" si="65"/>
        <v>142.27879433675275</v>
      </c>
      <c r="AR134" s="2">
        <f t="shared" si="66"/>
        <v>1</v>
      </c>
      <c r="AS134" s="2">
        <f t="shared" si="67"/>
        <v>142.27879433675275</v>
      </c>
    </row>
    <row r="135" spans="13:45" x14ac:dyDescent="0.3">
      <c r="M135" s="78">
        <v>45032.09375</v>
      </c>
      <c r="N135" s="5">
        <v>2.79371456355006E-2</v>
      </c>
      <c r="O135" s="5">
        <v>60.40869618</v>
      </c>
      <c r="P135" s="2">
        <v>38179</v>
      </c>
      <c r="Q135" s="7">
        <f t="shared" si="51"/>
        <v>636.31666666666672</v>
      </c>
      <c r="R135" s="6">
        <f t="shared" si="52"/>
        <v>17.776871386962959</v>
      </c>
      <c r="S135" s="6">
        <f t="shared" si="53"/>
        <v>152.02245721531077</v>
      </c>
      <c r="T135" s="2">
        <f t="shared" si="54"/>
        <v>1</v>
      </c>
      <c r="U135" s="6">
        <f t="shared" si="55"/>
        <v>152.02245721531077</v>
      </c>
      <c r="V135">
        <f>IF((R135-$AB$774)/($Z$773-$AB$774)&lt;0, 0, IF((R135-$AB$774)/($Z$773-$AB$774)&gt;1, 1, (R135-$AB$774)/($Z$773-$AB$774)))</f>
        <v>0.52783597479842981</v>
      </c>
      <c r="W135" s="6">
        <f t="shared" si="56"/>
        <v>80.242921895496153</v>
      </c>
      <c r="Y135" s="78">
        <v>45048.541666666664</v>
      </c>
      <c r="Z135">
        <v>9.0928312889350105E-2</v>
      </c>
      <c r="AA135" s="6">
        <v>81.397704649999994</v>
      </c>
      <c r="AB135" s="2">
        <v>9375</v>
      </c>
      <c r="AC135" s="7">
        <f t="shared" si="57"/>
        <v>156.25</v>
      </c>
      <c r="AD135" s="7">
        <f t="shared" si="58"/>
        <v>14.207548888960954</v>
      </c>
      <c r="AE135" s="7">
        <f t="shared" si="59"/>
        <v>152.02245721531077</v>
      </c>
      <c r="AF135" s="7">
        <f t="shared" si="60"/>
        <v>0.23999572061184302</v>
      </c>
      <c r="AG135" s="6">
        <f t="shared" si="61"/>
        <v>36.484739168571579</v>
      </c>
      <c r="AH135" s="2">
        <f t="shared" si="62"/>
        <v>1</v>
      </c>
      <c r="AI135" s="7">
        <f t="shared" si="63"/>
        <v>152.02245721531077</v>
      </c>
      <c r="AK135" s="78">
        <v>45031.09375</v>
      </c>
      <c r="AL135" s="5">
        <v>3.0447075232519299E-2</v>
      </c>
      <c r="AM135" s="5">
        <v>61.053401999999998</v>
      </c>
      <c r="AN135" s="2">
        <v>34049</v>
      </c>
      <c r="AO135" s="7">
        <f t="shared" si="50"/>
        <v>567.48333333333335</v>
      </c>
      <c r="AP135" s="5">
        <f t="shared" si="64"/>
        <v>17.278207743200827</v>
      </c>
      <c r="AQ135" s="6">
        <f t="shared" si="65"/>
        <v>149.91900869174569</v>
      </c>
      <c r="AR135" s="2">
        <f t="shared" si="66"/>
        <v>1</v>
      </c>
      <c r="AS135" s="2">
        <f t="shared" si="67"/>
        <v>149.91900869174569</v>
      </c>
    </row>
    <row r="136" spans="13:45" x14ac:dyDescent="0.3">
      <c r="M136" s="78">
        <v>45032.104166666664</v>
      </c>
      <c r="N136" s="5">
        <v>2.65192637480769E-2</v>
      </c>
      <c r="O136" s="5">
        <v>61.680991169999999</v>
      </c>
      <c r="P136" s="2">
        <v>38046</v>
      </c>
      <c r="Q136" s="7">
        <f t="shared" si="51"/>
        <v>634.1</v>
      </c>
      <c r="R136" s="6">
        <f t="shared" si="52"/>
        <v>16.815865142655564</v>
      </c>
      <c r="S136" s="6">
        <f t="shared" si="53"/>
        <v>147.94091235257326</v>
      </c>
      <c r="T136" s="2">
        <f t="shared" si="54"/>
        <v>1</v>
      </c>
      <c r="U136" s="6">
        <f t="shared" si="55"/>
        <v>147.94091235257326</v>
      </c>
      <c r="V136">
        <f>IF((R136-$AB$774)/($Z$773-$AB$774)&lt;0, 0, IF((R136-$AB$774)/($Z$773-$AB$774)&gt;1, 1, (R136-$AB$774)/($Z$773-$AB$774)))</f>
        <v>0.35192430029422234</v>
      </c>
      <c r="W136" s="6">
        <f t="shared" si="56"/>
        <v>52.064002064568221</v>
      </c>
      <c r="Y136" s="78">
        <v>45048.552083333336</v>
      </c>
      <c r="Z136">
        <v>9.0382250104590806E-2</v>
      </c>
      <c r="AA136" s="6">
        <v>85.762083380000007</v>
      </c>
      <c r="AB136" s="2">
        <v>9244</v>
      </c>
      <c r="AC136" s="7">
        <f t="shared" si="57"/>
        <v>154.06666666666666</v>
      </c>
      <c r="AD136" s="7">
        <f t="shared" si="58"/>
        <v>13.92489199944729</v>
      </c>
      <c r="AE136" s="7">
        <f t="shared" si="59"/>
        <v>147.94091235257326</v>
      </c>
      <c r="AF136" s="7">
        <f t="shared" si="60"/>
        <v>0.71708911796319441</v>
      </c>
      <c r="AG136" s="6">
        <f t="shared" si="61"/>
        <v>106.08681834957702</v>
      </c>
      <c r="AH136" s="2">
        <f t="shared" si="62"/>
        <v>1</v>
      </c>
      <c r="AI136" s="7">
        <f t="shared" si="63"/>
        <v>147.94091235257326</v>
      </c>
      <c r="AK136" s="78">
        <v>45031.104166666664</v>
      </c>
      <c r="AL136" s="5">
        <v>2.64587673740895E-2</v>
      </c>
      <c r="AM136" s="5">
        <v>57.814717760000001</v>
      </c>
      <c r="AN136" s="2">
        <v>34830</v>
      </c>
      <c r="AO136" s="7">
        <f t="shared" si="50"/>
        <v>580.5</v>
      </c>
      <c r="AP136" s="5">
        <f t="shared" si="64"/>
        <v>15.359314460658954</v>
      </c>
      <c r="AQ136" s="6">
        <f t="shared" si="65"/>
        <v>141.52067093453738</v>
      </c>
      <c r="AR136" s="2">
        <f t="shared" si="66"/>
        <v>1</v>
      </c>
      <c r="AS136" s="2">
        <f t="shared" si="67"/>
        <v>141.52067093453738</v>
      </c>
    </row>
    <row r="137" spans="13:45" x14ac:dyDescent="0.3">
      <c r="M137" s="78">
        <v>45032.114583333336</v>
      </c>
      <c r="N137" s="5">
        <v>2.5381443809624701E-2</v>
      </c>
      <c r="O137" s="5">
        <v>58.477264509999998</v>
      </c>
      <c r="P137" s="2">
        <v>38418</v>
      </c>
      <c r="Q137" s="7">
        <f t="shared" si="51"/>
        <v>640.29999999999995</v>
      </c>
      <c r="R137" s="6">
        <f t="shared" si="52"/>
        <v>16.251738471302694</v>
      </c>
      <c r="S137" s="6">
        <f t="shared" si="53"/>
        <v>145.48936117074641</v>
      </c>
      <c r="T137" s="2">
        <f t="shared" si="54"/>
        <v>1</v>
      </c>
      <c r="U137" s="6">
        <f t="shared" si="55"/>
        <v>145.48936117074641</v>
      </c>
      <c r="V137">
        <f>IF((R137-$AB$774)/($Z$773-$AB$774)&lt;0, 0, IF((R137-$AB$774)/($Z$773-$AB$774)&gt;1, 1, (R137-$AB$774)/($Z$773-$AB$774)))</f>
        <v>0.24866121748076087</v>
      </c>
      <c r="W137" s="6">
        <f t="shared" si="56"/>
        <v>36.177561679215934</v>
      </c>
      <c r="Y137" s="78">
        <v>45048.5625</v>
      </c>
      <c r="Z137">
        <v>9.0125132355848903E-2</v>
      </c>
      <c r="AA137" s="6">
        <v>81.405228940000001</v>
      </c>
      <c r="AB137" s="2">
        <v>8847</v>
      </c>
      <c r="AC137" s="7">
        <f t="shared" si="57"/>
        <v>147.44999999999999</v>
      </c>
      <c r="AD137" s="7">
        <f t="shared" si="58"/>
        <v>13.28895076586992</v>
      </c>
      <c r="AE137" s="7">
        <f t="shared" si="59"/>
        <v>145.48936117074641</v>
      </c>
      <c r="AF137" s="7">
        <f t="shared" si="60"/>
        <v>0.24081824067731861</v>
      </c>
      <c r="AG137" s="6">
        <f t="shared" si="61"/>
        <v>35.036491994406141</v>
      </c>
      <c r="AH137" s="2">
        <f t="shared" si="62"/>
        <v>0.11798786223897635</v>
      </c>
      <c r="AI137" s="7">
        <f t="shared" si="63"/>
        <v>17.165978703050701</v>
      </c>
      <c r="AK137" s="78">
        <v>45031.114583333336</v>
      </c>
      <c r="AL137" s="5">
        <v>2.8838667964646101E-2</v>
      </c>
      <c r="AM137" s="5">
        <v>62.93364991</v>
      </c>
      <c r="AN137" s="2">
        <v>34536</v>
      </c>
      <c r="AO137" s="7">
        <f t="shared" si="50"/>
        <v>575.6</v>
      </c>
      <c r="AP137" s="5">
        <f t="shared" si="64"/>
        <v>16.599537280450296</v>
      </c>
      <c r="AQ137" s="6">
        <f t="shared" si="65"/>
        <v>147.00584240081989</v>
      </c>
      <c r="AR137" s="2">
        <f t="shared" si="66"/>
        <v>1</v>
      </c>
      <c r="AS137" s="2">
        <f t="shared" si="67"/>
        <v>147.00584240081989</v>
      </c>
    </row>
    <row r="138" spans="13:45" x14ac:dyDescent="0.3">
      <c r="M138" s="78">
        <v>45032.125</v>
      </c>
      <c r="N138" s="5">
        <v>2.4357358473997299E-2</v>
      </c>
      <c r="O138" s="5">
        <v>61.680991169999999</v>
      </c>
      <c r="P138" s="2">
        <v>38337</v>
      </c>
      <c r="Q138" s="7">
        <f t="shared" si="51"/>
        <v>638.95000000000005</v>
      </c>
      <c r="R138" s="6">
        <f t="shared" si="52"/>
        <v>15.563134196960576</v>
      </c>
      <c r="S138" s="6">
        <f t="shared" si="53"/>
        <v>142.43723157393057</v>
      </c>
      <c r="T138" s="2">
        <f t="shared" si="54"/>
        <v>1</v>
      </c>
      <c r="U138" s="6">
        <f t="shared" si="55"/>
        <v>142.43723157393057</v>
      </c>
      <c r="V138">
        <f>IF((R138-$AB$774)/($Z$773-$AB$774)&lt;0, 0, IF((R138-$AB$774)/($Z$773-$AB$774)&gt;1, 1, (R138-$AB$774)/($Z$773-$AB$774)))</f>
        <v>0.12261257660270014</v>
      </c>
      <c r="W138" s="6">
        <f t="shared" si="56"/>
        <v>17.464595967435102</v>
      </c>
      <c r="Y138" s="78">
        <v>45048.572916666664</v>
      </c>
      <c r="Z138">
        <v>8.8979469753410007E-2</v>
      </c>
      <c r="AA138" s="6">
        <v>81.405228940000001</v>
      </c>
      <c r="AB138" s="2">
        <v>8887</v>
      </c>
      <c r="AC138" s="7">
        <f t="shared" si="57"/>
        <v>148.11666666666667</v>
      </c>
      <c r="AD138" s="7">
        <f t="shared" si="58"/>
        <v>13.17934246164258</v>
      </c>
      <c r="AE138" s="7">
        <f t="shared" si="59"/>
        <v>142.43723157393057</v>
      </c>
      <c r="AF138" s="7">
        <f t="shared" si="60"/>
        <v>0.24081824067731861</v>
      </c>
      <c r="AG138" s="6">
        <f t="shared" si="61"/>
        <v>34.301483514581776</v>
      </c>
      <c r="AH138" s="2">
        <f t="shared" si="62"/>
        <v>0</v>
      </c>
      <c r="AI138" s="7">
        <f t="shared" si="63"/>
        <v>0</v>
      </c>
      <c r="AK138" s="78">
        <v>45031.125</v>
      </c>
      <c r="AL138" s="5">
        <v>2.4734189036710999E-2</v>
      </c>
      <c r="AM138" s="5">
        <v>59.125991390000003</v>
      </c>
      <c r="AN138" s="2">
        <v>35966</v>
      </c>
      <c r="AO138" s="7">
        <f t="shared" si="50"/>
        <v>599.43333333333328</v>
      </c>
      <c r="AP138" s="5">
        <f t="shared" si="64"/>
        <v>14.826497381572462</v>
      </c>
      <c r="AQ138" s="6">
        <f t="shared" si="65"/>
        <v>139.09489086199329</v>
      </c>
      <c r="AR138" s="2">
        <f t="shared" si="66"/>
        <v>1</v>
      </c>
      <c r="AS138" s="2">
        <f t="shared" si="67"/>
        <v>139.09489086199329</v>
      </c>
    </row>
    <row r="139" spans="13:45" x14ac:dyDescent="0.3">
      <c r="M139" s="78">
        <v>45032.135416666664</v>
      </c>
      <c r="N139" s="5">
        <v>2.38246184525246E-2</v>
      </c>
      <c r="O139" s="5">
        <v>60.419666749999998</v>
      </c>
      <c r="P139" s="2">
        <v>38015</v>
      </c>
      <c r="Q139" s="7">
        <f t="shared" si="51"/>
        <v>633.58333333333337</v>
      </c>
      <c r="R139" s="6">
        <f t="shared" si="52"/>
        <v>15.094881174545378</v>
      </c>
      <c r="S139" s="6">
        <f t="shared" si="53"/>
        <v>140.32223589198512</v>
      </c>
      <c r="T139" s="2">
        <f t="shared" si="54"/>
        <v>1</v>
      </c>
      <c r="U139" s="6">
        <f t="shared" si="55"/>
        <v>140.32223589198512</v>
      </c>
      <c r="V139">
        <f>IF((R139-$AB$774)/($Z$773-$AB$774)&lt;0, 0, IF((R139-$AB$774)/($Z$773-$AB$774)&gt;1, 1, (R139-$AB$774)/($Z$773-$AB$774)))</f>
        <v>3.6899113498119425E-2</v>
      </c>
      <c r="W139" s="6">
        <f t="shared" si="56"/>
        <v>5.177766108488246</v>
      </c>
      <c r="Y139" s="78">
        <v>45048.583333333336</v>
      </c>
      <c r="Z139">
        <v>8.8235327578982906E-2</v>
      </c>
      <c r="AA139" s="6">
        <v>86.192545629999998</v>
      </c>
      <c r="AB139" s="2">
        <v>8763</v>
      </c>
      <c r="AC139" s="7">
        <f t="shared" si="57"/>
        <v>146.05000000000001</v>
      </c>
      <c r="AD139" s="7">
        <f t="shared" si="58"/>
        <v>12.886769592910454</v>
      </c>
      <c r="AE139" s="7">
        <f t="shared" si="59"/>
        <v>140.32223589198512</v>
      </c>
      <c r="AF139" s="7">
        <f t="shared" si="60"/>
        <v>0.7641452306401989</v>
      </c>
      <c r="AG139" s="6">
        <f t="shared" si="61"/>
        <v>107.22656730962936</v>
      </c>
      <c r="AH139" s="2">
        <f t="shared" si="62"/>
        <v>0</v>
      </c>
      <c r="AI139" s="7">
        <f t="shared" si="63"/>
        <v>0</v>
      </c>
      <c r="AK139" s="78">
        <v>45031.135416666664</v>
      </c>
      <c r="AL139" s="5">
        <v>2.7880365606587E-2</v>
      </c>
      <c r="AM139" s="5">
        <v>59.769842060000002</v>
      </c>
      <c r="AN139" s="2">
        <v>34980</v>
      </c>
      <c r="AO139" s="7">
        <f t="shared" si="50"/>
        <v>583</v>
      </c>
      <c r="AP139" s="5">
        <f t="shared" si="64"/>
        <v>16.25425314864022</v>
      </c>
      <c r="AQ139" s="6">
        <f t="shared" si="65"/>
        <v>145.50038485179044</v>
      </c>
      <c r="AR139" s="2">
        <f t="shared" si="66"/>
        <v>1</v>
      </c>
      <c r="AS139" s="2">
        <f t="shared" si="67"/>
        <v>145.50038485179044</v>
      </c>
    </row>
    <row r="140" spans="13:45" x14ac:dyDescent="0.3">
      <c r="M140" s="78">
        <v>45032.145833333336</v>
      </c>
      <c r="N140" s="5">
        <v>2.55332314114434E-2</v>
      </c>
      <c r="O140" s="5">
        <v>62.315280379999997</v>
      </c>
      <c r="P140" s="2">
        <v>38061</v>
      </c>
      <c r="Q140" s="7">
        <f t="shared" si="51"/>
        <v>634.35</v>
      </c>
      <c r="R140" s="6">
        <f t="shared" si="52"/>
        <v>16.197005345849121</v>
      </c>
      <c r="S140" s="6">
        <f t="shared" si="53"/>
        <v>145.24920960185057</v>
      </c>
      <c r="T140" s="2">
        <f t="shared" si="54"/>
        <v>1</v>
      </c>
      <c r="U140" s="6">
        <f t="shared" si="55"/>
        <v>145.24920960185057</v>
      </c>
      <c r="V140">
        <f>IF((R140-$AB$774)/($Z$773-$AB$774)&lt;0, 0, IF((R140-$AB$774)/($Z$773-$AB$774)&gt;1, 1, (R140-$AB$774)/($Z$773-$AB$774)))</f>
        <v>0.23864234839804635</v>
      </c>
      <c r="W140" s="6">
        <f t="shared" si="56"/>
        <v>34.662612482345679</v>
      </c>
      <c r="Y140" s="78">
        <v>45048.59375</v>
      </c>
      <c r="Z140">
        <v>8.9062384704187106E-2</v>
      </c>
      <c r="AA140" s="6">
        <v>83.586986100000004</v>
      </c>
      <c r="AB140" s="2">
        <v>8938</v>
      </c>
      <c r="AC140" s="7">
        <f t="shared" si="57"/>
        <v>148.96666666666667</v>
      </c>
      <c r="AD140" s="7">
        <f t="shared" si="58"/>
        <v>13.267326574767072</v>
      </c>
      <c r="AE140" s="7">
        <f t="shared" si="59"/>
        <v>145.24920960185057</v>
      </c>
      <c r="AF140" s="7">
        <f t="shared" si="60"/>
        <v>0.47931769273106706</v>
      </c>
      <c r="AG140" s="6">
        <f t="shared" si="61"/>
        <v>69.620516017370164</v>
      </c>
      <c r="AH140" s="2">
        <f t="shared" si="62"/>
        <v>4.9124279396351674E-2</v>
      </c>
      <c r="AI140" s="7">
        <f t="shared" si="63"/>
        <v>7.1352627545805536</v>
      </c>
      <c r="AK140" s="78">
        <v>45031.145833333336</v>
      </c>
      <c r="AL140" s="5">
        <v>2.7483367212618199E-2</v>
      </c>
      <c r="AM140" s="5">
        <v>59.769842060000002</v>
      </c>
      <c r="AN140" s="2">
        <v>35274</v>
      </c>
      <c r="AO140" s="7">
        <f t="shared" si="50"/>
        <v>587.9</v>
      </c>
      <c r="AP140" s="5">
        <f t="shared" si="64"/>
        <v>16.157471584298239</v>
      </c>
      <c r="AQ140" s="6">
        <f t="shared" si="65"/>
        <v>145.07549032629595</v>
      </c>
      <c r="AR140" s="2">
        <f t="shared" si="66"/>
        <v>1</v>
      </c>
      <c r="AS140" s="2">
        <f t="shared" si="67"/>
        <v>145.07549032629595</v>
      </c>
    </row>
    <row r="141" spans="13:45" x14ac:dyDescent="0.3">
      <c r="M141" s="78">
        <v>45032.15625</v>
      </c>
      <c r="N141" s="5">
        <v>2.8001357490785701E-2</v>
      </c>
      <c r="O141" s="5">
        <v>57.158996520000002</v>
      </c>
      <c r="P141" s="2">
        <v>37551</v>
      </c>
      <c r="Q141" s="7">
        <f t="shared" si="51"/>
        <v>625.85</v>
      </c>
      <c r="R141" s="6">
        <f t="shared" si="52"/>
        <v>17.52464958560823</v>
      </c>
      <c r="S141" s="6">
        <f t="shared" si="53"/>
        <v>150.96235975653298</v>
      </c>
      <c r="T141" s="2">
        <f t="shared" si="54"/>
        <v>1</v>
      </c>
      <c r="U141" s="6">
        <f t="shared" si="55"/>
        <v>150.96235975653298</v>
      </c>
      <c r="V141">
        <f>IF((R141-$AB$774)/($Z$773-$AB$774)&lt;0, 0, IF((R141-$AB$774)/($Z$773-$AB$774)&gt;1, 1, (R141-$AB$774)/($Z$773-$AB$774)))</f>
        <v>0.48166691014812163</v>
      </c>
      <c r="W141" s="6">
        <f t="shared" si="56"/>
        <v>72.713573372598375</v>
      </c>
      <c r="Y141" s="78">
        <v>45048.604166666664</v>
      </c>
      <c r="Z141">
        <v>8.8734637146339196E-2</v>
      </c>
      <c r="AA141" s="6">
        <v>84.891986889999998</v>
      </c>
      <c r="AB141" s="2">
        <v>8689</v>
      </c>
      <c r="AC141" s="7">
        <f t="shared" si="57"/>
        <v>144.81666666666666</v>
      </c>
      <c r="AD141" s="7">
        <f t="shared" si="58"/>
        <v>12.85025436940902</v>
      </c>
      <c r="AE141" s="7">
        <f t="shared" si="59"/>
        <v>150.96235975653298</v>
      </c>
      <c r="AF141" s="7">
        <f t="shared" si="60"/>
        <v>0.62197425371364079</v>
      </c>
      <c r="AG141" s="6">
        <f t="shared" si="61"/>
        <v>93.894701048419762</v>
      </c>
      <c r="AH141" s="2">
        <f t="shared" si="62"/>
        <v>0</v>
      </c>
      <c r="AI141" s="7">
        <f t="shared" si="63"/>
        <v>0</v>
      </c>
      <c r="AK141" s="78">
        <v>45031.15625</v>
      </c>
      <c r="AL141" s="5">
        <v>2.7753252916712701E-2</v>
      </c>
      <c r="AM141" s="5">
        <v>57.814717760000001</v>
      </c>
      <c r="AN141" s="2">
        <v>34953</v>
      </c>
      <c r="AO141" s="7">
        <f t="shared" si="50"/>
        <v>582.54999999999995</v>
      </c>
      <c r="AP141" s="5">
        <f t="shared" si="64"/>
        <v>16.167657486630983</v>
      </c>
      <c r="AQ141" s="6">
        <f t="shared" si="65"/>
        <v>145.12026994776599</v>
      </c>
      <c r="AR141" s="2">
        <f t="shared" si="66"/>
        <v>1</v>
      </c>
      <c r="AS141" s="2">
        <f t="shared" si="67"/>
        <v>145.12026994776599</v>
      </c>
    </row>
    <row r="142" spans="13:45" x14ac:dyDescent="0.3">
      <c r="M142" s="78">
        <v>45032.166666666664</v>
      </c>
      <c r="N142" s="5">
        <v>2.4605399116629002E-2</v>
      </c>
      <c r="O142" s="5">
        <v>60.419666749999998</v>
      </c>
      <c r="P142" s="2">
        <v>38050</v>
      </c>
      <c r="Q142" s="7">
        <f t="shared" si="51"/>
        <v>634.16666666666663</v>
      </c>
      <c r="R142" s="6">
        <f t="shared" si="52"/>
        <v>15.603923939795557</v>
      </c>
      <c r="S142" s="6">
        <f t="shared" si="53"/>
        <v>142.61992267526313</v>
      </c>
      <c r="T142" s="2">
        <f t="shared" si="54"/>
        <v>1</v>
      </c>
      <c r="U142" s="6">
        <f t="shared" si="55"/>
        <v>142.61992267526313</v>
      </c>
      <c r="V142">
        <f>IF((R142-$AB$774)/($Z$773-$AB$774)&lt;0, 0, IF((R142-$AB$774)/($Z$773-$AB$774)&gt;1, 1, (R142-$AB$774)/($Z$773-$AB$774)))</f>
        <v>0.13007911702031097</v>
      </c>
      <c r="W142" s="6">
        <f t="shared" si="56"/>
        <v>18.551873611103254</v>
      </c>
      <c r="Y142" s="78">
        <v>45048.614583333336</v>
      </c>
      <c r="Z142">
        <v>9.1160792766572005E-2</v>
      </c>
      <c r="AA142" s="6">
        <v>80.523852189999999</v>
      </c>
      <c r="AB142" s="2">
        <v>8606</v>
      </c>
      <c r="AC142" s="7">
        <f t="shared" si="57"/>
        <v>143.43333333333334</v>
      </c>
      <c r="AD142" s="7">
        <f t="shared" si="58"/>
        <v>13.075496375818645</v>
      </c>
      <c r="AE142" s="7">
        <f t="shared" si="59"/>
        <v>142.61992267526313</v>
      </c>
      <c r="AF142" s="7">
        <f t="shared" si="60"/>
        <v>0.14447027135156945</v>
      </c>
      <c r="AG142" s="6">
        <f t="shared" si="61"/>
        <v>20.604338929035116</v>
      </c>
      <c r="AH142" s="2">
        <f t="shared" si="62"/>
        <v>0</v>
      </c>
      <c r="AI142" s="7">
        <f t="shared" si="63"/>
        <v>0</v>
      </c>
      <c r="AK142" s="78">
        <v>45031.166666666664</v>
      </c>
      <c r="AL142" s="5">
        <v>2.7875253069318401E-2</v>
      </c>
      <c r="AM142" s="5">
        <v>62.93364991</v>
      </c>
      <c r="AN142" s="2">
        <v>34799</v>
      </c>
      <c r="AO142" s="7">
        <f t="shared" si="50"/>
        <v>579.98333333333335</v>
      </c>
      <c r="AP142" s="5">
        <f t="shared" si="64"/>
        <v>16.167182192653517</v>
      </c>
      <c r="AQ142" s="6">
        <f t="shared" si="65"/>
        <v>145.11818076396156</v>
      </c>
      <c r="AR142" s="2">
        <f t="shared" si="66"/>
        <v>1</v>
      </c>
      <c r="AS142" s="2">
        <f t="shared" si="67"/>
        <v>145.11818076396156</v>
      </c>
    </row>
    <row r="143" spans="13:45" x14ac:dyDescent="0.3">
      <c r="M143" s="78">
        <v>45032.177083333336</v>
      </c>
      <c r="N143" s="5">
        <v>2.6334334143521598E-2</v>
      </c>
      <c r="O143" s="5">
        <v>57.158996520000002</v>
      </c>
      <c r="P143" s="2">
        <v>37866</v>
      </c>
      <c r="Q143" s="7">
        <f t="shared" si="51"/>
        <v>631.1</v>
      </c>
      <c r="R143" s="6">
        <f t="shared" si="52"/>
        <v>16.619598277976483</v>
      </c>
      <c r="S143" s="6">
        <f t="shared" si="53"/>
        <v>147.09281598846175</v>
      </c>
      <c r="T143" s="2">
        <f t="shared" si="54"/>
        <v>1</v>
      </c>
      <c r="U143" s="6">
        <f t="shared" si="55"/>
        <v>147.09281598846175</v>
      </c>
      <c r="V143">
        <f>IF((R143-$AB$774)/($Z$773-$AB$774)&lt;0, 0, IF((R143-$AB$774)/($Z$773-$AB$774)&gt;1, 1, (R143-$AB$774)/($Z$773-$AB$774)))</f>
        <v>0.31599775661159429</v>
      </c>
      <c r="W143" s="6">
        <f t="shared" si="56"/>
        <v>46.480999866035965</v>
      </c>
      <c r="Y143" s="78">
        <v>45048.625</v>
      </c>
      <c r="Z143">
        <v>9.1277705386221597E-2</v>
      </c>
      <c r="AA143" s="6">
        <v>84.027783200000002</v>
      </c>
      <c r="AB143" s="2">
        <v>8325</v>
      </c>
      <c r="AC143" s="7">
        <f t="shared" si="57"/>
        <v>138.75</v>
      </c>
      <c r="AD143" s="7">
        <f t="shared" si="58"/>
        <v>12.664781622338246</v>
      </c>
      <c r="AE143" s="7">
        <f t="shared" si="59"/>
        <v>147.09281598846175</v>
      </c>
      <c r="AF143" s="7">
        <f t="shared" si="60"/>
        <v>0.52750356270061061</v>
      </c>
      <c r="AG143" s="6">
        <f t="shared" si="61"/>
        <v>77.591984481578905</v>
      </c>
      <c r="AH143" s="2">
        <f t="shared" si="62"/>
        <v>0</v>
      </c>
      <c r="AI143" s="7">
        <f t="shared" si="63"/>
        <v>0</v>
      </c>
      <c r="AK143" s="78">
        <v>45031.177083333336</v>
      </c>
      <c r="AL143" s="5">
        <v>2.71469256834143E-2</v>
      </c>
      <c r="AM143" s="5">
        <v>58.466044660000001</v>
      </c>
      <c r="AN143" s="2">
        <v>34736</v>
      </c>
      <c r="AO143" s="7">
        <f t="shared" si="50"/>
        <v>578.93333333333328</v>
      </c>
      <c r="AP143" s="5">
        <f t="shared" si="64"/>
        <v>15.716260175651318</v>
      </c>
      <c r="AQ143" s="6">
        <f t="shared" si="65"/>
        <v>143.12180366423661</v>
      </c>
      <c r="AR143" s="2">
        <f t="shared" si="66"/>
        <v>1</v>
      </c>
      <c r="AS143" s="2">
        <f t="shared" si="67"/>
        <v>143.12180366423661</v>
      </c>
    </row>
    <row r="144" spans="13:45" x14ac:dyDescent="0.3">
      <c r="M144" s="78">
        <v>45032.1875</v>
      </c>
      <c r="N144" s="5">
        <v>2.3416542055345799E-2</v>
      </c>
      <c r="O144" s="5">
        <v>56.500021050000001</v>
      </c>
      <c r="P144" s="2">
        <v>38818</v>
      </c>
      <c r="Q144" s="7">
        <f t="shared" si="51"/>
        <v>646.9666666666667</v>
      </c>
      <c r="R144" s="6">
        <f t="shared" si="52"/>
        <v>15.149722158406888</v>
      </c>
      <c r="S144" s="6">
        <f t="shared" si="53"/>
        <v>140.57165521991476</v>
      </c>
      <c r="T144" s="2">
        <f t="shared" si="54"/>
        <v>1</v>
      </c>
      <c r="U144" s="6">
        <f t="shared" si="55"/>
        <v>140.57165521991476</v>
      </c>
      <c r="V144">
        <f>IF((R144-$AB$774)/($Z$773-$AB$774)&lt;0, 0, IF((R144-$AB$774)/($Z$773-$AB$774)&gt;1, 1, (R144-$AB$774)/($Z$773-$AB$774)))</f>
        <v>4.6937726004211144E-2</v>
      </c>
      <c r="W144" s="6">
        <f t="shared" si="56"/>
        <v>6.5981138366707963</v>
      </c>
      <c r="Y144" s="78">
        <v>45048.635416666664</v>
      </c>
      <c r="Z144">
        <v>9.9972797855203105E-2</v>
      </c>
      <c r="AA144" s="6">
        <v>93.884261949999996</v>
      </c>
      <c r="AB144" s="2">
        <v>8245</v>
      </c>
      <c r="AC144" s="7">
        <f t="shared" si="57"/>
        <v>137.41666666666666</v>
      </c>
      <c r="AD144" s="7">
        <f t="shared" si="58"/>
        <v>13.737928638602492</v>
      </c>
      <c r="AE144" s="7">
        <f t="shared" si="59"/>
        <v>140.57165521991476</v>
      </c>
      <c r="AF144" s="7">
        <f t="shared" si="60"/>
        <v>1</v>
      </c>
      <c r="AG144" s="6">
        <f t="shared" si="61"/>
        <v>140.57165521991476</v>
      </c>
      <c r="AH144" s="2">
        <f t="shared" si="62"/>
        <v>1</v>
      </c>
      <c r="AI144" s="7">
        <f t="shared" si="63"/>
        <v>140.57165521991476</v>
      </c>
      <c r="AK144" s="78">
        <v>45031.1875</v>
      </c>
      <c r="AL144" s="5">
        <v>2.86471302455732E-2</v>
      </c>
      <c r="AM144" s="5">
        <v>59.769842060000002</v>
      </c>
      <c r="AN144" s="2">
        <v>34581</v>
      </c>
      <c r="AO144" s="7">
        <f t="shared" si="50"/>
        <v>576.35</v>
      </c>
      <c r="AP144" s="5">
        <f t="shared" si="64"/>
        <v>16.510773517036114</v>
      </c>
      <c r="AQ144" s="6">
        <f t="shared" si="65"/>
        <v>146.62036567509179</v>
      </c>
      <c r="AR144" s="2">
        <f t="shared" si="66"/>
        <v>1</v>
      </c>
      <c r="AS144" s="2">
        <f t="shared" si="67"/>
        <v>146.62036567509179</v>
      </c>
    </row>
    <row r="145" spans="13:45" x14ac:dyDescent="0.3">
      <c r="M145" s="78">
        <v>45032.197916666664</v>
      </c>
      <c r="N145" s="5">
        <v>2.54533504162896E-2</v>
      </c>
      <c r="O145" s="5">
        <v>54.493389659999998</v>
      </c>
      <c r="P145" s="2">
        <v>37993</v>
      </c>
      <c r="Q145" s="7">
        <f t="shared" si="51"/>
        <v>633.2166666666667</v>
      </c>
      <c r="R145" s="6">
        <f t="shared" si="52"/>
        <v>16.117485706101512</v>
      </c>
      <c r="S145" s="6">
        <f t="shared" si="53"/>
        <v>144.89956357893894</v>
      </c>
      <c r="T145" s="2">
        <f t="shared" si="54"/>
        <v>1</v>
      </c>
      <c r="U145" s="6">
        <f t="shared" si="55"/>
        <v>144.89956357893894</v>
      </c>
      <c r="V145">
        <f>IF((R145-$AB$774)/($Z$773-$AB$774)&lt;0, 0, IF((R145-$AB$774)/($Z$773-$AB$774)&gt;1, 1, (R145-$AB$774)/($Z$773-$AB$774)))</f>
        <v>0.22408632124751018</v>
      </c>
      <c r="W145" s="6">
        <f t="shared" si="56"/>
        <v>32.470010152774137</v>
      </c>
      <c r="Y145" s="78">
        <v>45048.645833333336</v>
      </c>
      <c r="Z145">
        <v>9.8214457056985394E-2</v>
      </c>
      <c r="AA145" s="6">
        <v>89.635700749999998</v>
      </c>
      <c r="AB145" s="2">
        <v>7741</v>
      </c>
      <c r="AC145" s="7">
        <f t="shared" si="57"/>
        <v>129.01666666666668</v>
      </c>
      <c r="AD145" s="7">
        <f t="shared" si="58"/>
        <v>12.671301867968733</v>
      </c>
      <c r="AE145" s="7">
        <f t="shared" si="59"/>
        <v>144.89956357893894</v>
      </c>
      <c r="AF145" s="7">
        <f t="shared" si="60"/>
        <v>1</v>
      </c>
      <c r="AG145" s="6">
        <f t="shared" si="61"/>
        <v>144.89956357893894</v>
      </c>
      <c r="AH145" s="2">
        <f t="shared" si="62"/>
        <v>0</v>
      </c>
      <c r="AI145" s="7">
        <f t="shared" si="63"/>
        <v>0</v>
      </c>
      <c r="AK145" s="78">
        <v>45031.197916666664</v>
      </c>
      <c r="AL145" s="5">
        <v>2.5397278714772899E-2</v>
      </c>
      <c r="AM145" s="5">
        <v>59.769842060000002</v>
      </c>
      <c r="AN145" s="2">
        <v>35505</v>
      </c>
      <c r="AO145" s="7">
        <f t="shared" si="50"/>
        <v>591.75</v>
      </c>
      <c r="AP145" s="5">
        <f t="shared" si="64"/>
        <v>15.028839679466863</v>
      </c>
      <c r="AQ145" s="6">
        <f t="shared" si="65"/>
        <v>140.02126159956836</v>
      </c>
      <c r="AR145" s="2">
        <f t="shared" si="66"/>
        <v>1</v>
      </c>
      <c r="AS145" s="2">
        <f t="shared" si="67"/>
        <v>140.02126159956836</v>
      </c>
    </row>
    <row r="146" spans="13:45" x14ac:dyDescent="0.3">
      <c r="M146" s="78">
        <v>45032.208333333336</v>
      </c>
      <c r="N146" s="5">
        <v>2.3697051391556E-2</v>
      </c>
      <c r="O146" s="5">
        <v>55.160894489999997</v>
      </c>
      <c r="P146" s="2">
        <v>38717</v>
      </c>
      <c r="Q146" s="7">
        <f t="shared" si="51"/>
        <v>645.2833333333333</v>
      </c>
      <c r="R146" s="6">
        <f t="shared" si="52"/>
        <v>15.29131231211456</v>
      </c>
      <c r="S146" s="6">
        <f t="shared" si="53"/>
        <v>141.21349144996458</v>
      </c>
      <c r="T146" s="2">
        <f t="shared" si="54"/>
        <v>1</v>
      </c>
      <c r="U146" s="6">
        <f t="shared" si="55"/>
        <v>141.21349144996458</v>
      </c>
      <c r="V146">
        <f>IF((R146-$AB$774)/($Z$773-$AB$774)&lt;0, 0, IF((R146-$AB$774)/($Z$773-$AB$774)&gt;1, 1, (R146-$AB$774)/($Z$773-$AB$774)))</f>
        <v>7.2855727244645868E-2</v>
      </c>
      <c r="W146" s="6">
        <f t="shared" si="56"/>
        <v>10.288211616342751</v>
      </c>
      <c r="Y146" s="78">
        <v>45048.65625</v>
      </c>
      <c r="Z146">
        <v>0.103325005157724</v>
      </c>
      <c r="AA146" s="6">
        <v>86.199962600000006</v>
      </c>
      <c r="AB146" s="2">
        <v>7949</v>
      </c>
      <c r="AC146" s="7">
        <f t="shared" si="57"/>
        <v>132.48333333333332</v>
      </c>
      <c r="AD146" s="7">
        <f t="shared" si="58"/>
        <v>13.688841099979133</v>
      </c>
      <c r="AE146" s="7">
        <f t="shared" si="59"/>
        <v>141.21349144996458</v>
      </c>
      <c r="AF146" s="7">
        <f t="shared" si="60"/>
        <v>0.7649560189870106</v>
      </c>
      <c r="AG146" s="6">
        <f t="shared" si="61"/>
        <v>108.02211024682116</v>
      </c>
      <c r="AH146" s="2">
        <f t="shared" si="62"/>
        <v>1</v>
      </c>
      <c r="AI146" s="7">
        <f t="shared" si="63"/>
        <v>141.21349144996458</v>
      </c>
      <c r="AK146" s="78">
        <v>45031.208333333336</v>
      </c>
      <c r="AL146" s="5">
        <v>2.7574935431684999E-2</v>
      </c>
      <c r="AM146" s="5">
        <v>62.923032710000001</v>
      </c>
      <c r="AN146" s="2">
        <v>35448</v>
      </c>
      <c r="AO146" s="7">
        <f t="shared" si="50"/>
        <v>590.79999999999995</v>
      </c>
      <c r="AP146" s="5">
        <f t="shared" si="64"/>
        <v>16.291271853039497</v>
      </c>
      <c r="AQ146" s="6">
        <f t="shared" si="65"/>
        <v>145.66256447595254</v>
      </c>
      <c r="AR146" s="2">
        <f t="shared" si="66"/>
        <v>1</v>
      </c>
      <c r="AS146" s="2">
        <f t="shared" si="67"/>
        <v>145.66256447595254</v>
      </c>
    </row>
    <row r="147" spans="13:45" x14ac:dyDescent="0.3">
      <c r="M147" s="78">
        <v>45032.21875</v>
      </c>
      <c r="N147" s="5">
        <v>2.5032409291821E-2</v>
      </c>
      <c r="O147" s="5">
        <v>55.160894489999997</v>
      </c>
      <c r="P147" s="2">
        <v>38553</v>
      </c>
      <c r="Q147" s="7">
        <f t="shared" si="51"/>
        <v>642.54999999999995</v>
      </c>
      <c r="R147" s="6">
        <f t="shared" si="52"/>
        <v>16.084574590459582</v>
      </c>
      <c r="S147" s="6">
        <f t="shared" si="53"/>
        <v>144.75459665116344</v>
      </c>
      <c r="T147" s="2">
        <f t="shared" si="54"/>
        <v>1</v>
      </c>
      <c r="U147" s="6">
        <f t="shared" si="55"/>
        <v>144.75459665116344</v>
      </c>
      <c r="V147">
        <f>IF((R147-$AB$774)/($Z$773-$AB$774)&lt;0, 0, IF((R147-$AB$774)/($Z$773-$AB$774)&gt;1, 1, (R147-$AB$774)/($Z$773-$AB$774)))</f>
        <v>0.21806195928663025</v>
      </c>
      <c r="W147" s="6">
        <f t="shared" si="56"/>
        <v>31.565470961498583</v>
      </c>
      <c r="Y147" s="78">
        <v>45048.666666666664</v>
      </c>
      <c r="Z147">
        <v>0.102243578816422</v>
      </c>
      <c r="AA147" s="6">
        <v>90.915794009999999</v>
      </c>
      <c r="AB147" s="2">
        <v>7771</v>
      </c>
      <c r="AC147" s="7">
        <f t="shared" si="57"/>
        <v>129.51666666666668</v>
      </c>
      <c r="AD147" s="7">
        <f t="shared" si="58"/>
        <v>13.24224751637359</v>
      </c>
      <c r="AE147" s="7">
        <f t="shared" si="59"/>
        <v>144.75459665116344</v>
      </c>
      <c r="AF147" s="7">
        <f t="shared" si="60"/>
        <v>1</v>
      </c>
      <c r="AG147" s="6">
        <f t="shared" si="61"/>
        <v>144.75459665116344</v>
      </c>
      <c r="AH147" s="2">
        <f t="shared" si="62"/>
        <v>0</v>
      </c>
      <c r="AI147" s="7">
        <f t="shared" si="63"/>
        <v>0</v>
      </c>
      <c r="AK147" s="78">
        <v>45031.21875</v>
      </c>
      <c r="AL147" s="5">
        <v>2.89778288974352E-2</v>
      </c>
      <c r="AM147" s="5">
        <v>62.923032710000001</v>
      </c>
      <c r="AN147" s="2">
        <v>35323</v>
      </c>
      <c r="AO147" s="7">
        <f t="shared" si="50"/>
        <v>588.7166666666667</v>
      </c>
      <c r="AP147" s="5">
        <f t="shared" si="64"/>
        <v>17.05973083573506</v>
      </c>
      <c r="AQ147" s="6">
        <f t="shared" si="65"/>
        <v>148.98768314208178</v>
      </c>
      <c r="AR147" s="2">
        <f t="shared" si="66"/>
        <v>1</v>
      </c>
      <c r="AS147" s="2">
        <f t="shared" si="67"/>
        <v>148.98768314208178</v>
      </c>
    </row>
    <row r="148" spans="13:45" x14ac:dyDescent="0.3">
      <c r="M148" s="78">
        <v>45032.229166666664</v>
      </c>
      <c r="N148" s="5">
        <v>2.29200269244253E-2</v>
      </c>
      <c r="O148" s="5">
        <v>55.160894489999997</v>
      </c>
      <c r="P148" s="2">
        <v>39081</v>
      </c>
      <c r="Q148" s="7">
        <f t="shared" si="51"/>
        <v>651.35</v>
      </c>
      <c r="R148" s="6">
        <f t="shared" si="52"/>
        <v>14.92895953722442</v>
      </c>
      <c r="S148" s="6">
        <f t="shared" si="53"/>
        <v>139.56478757329498</v>
      </c>
      <c r="T148" s="2">
        <f t="shared" si="54"/>
        <v>1</v>
      </c>
      <c r="U148" s="6">
        <f t="shared" si="55"/>
        <v>139.56478757329498</v>
      </c>
      <c r="V148">
        <f>IF((R148-$AB$774)/($Z$773-$AB$774)&lt;0, 0, IF((R148-$AB$774)/($Z$773-$AB$774)&gt;1, 1, (R148-$AB$774)/($Z$773-$AB$774)))</f>
        <v>6.527247310459853E-3</v>
      </c>
      <c r="W148" s="6">
        <f t="shared" si="56"/>
        <v>0.91097388432269033</v>
      </c>
      <c r="Y148" s="78">
        <v>45048.677083333336</v>
      </c>
      <c r="Z148">
        <v>9.49351880898157E-2</v>
      </c>
      <c r="AA148" s="6">
        <v>88.350109630000006</v>
      </c>
      <c r="AB148" s="2">
        <v>7926</v>
      </c>
      <c r="AC148" s="7">
        <f t="shared" si="57"/>
        <v>132.1</v>
      </c>
      <c r="AD148" s="7">
        <f t="shared" si="58"/>
        <v>12.540938346664653</v>
      </c>
      <c r="AE148" s="7">
        <f t="shared" si="59"/>
        <v>139.56478757329498</v>
      </c>
      <c r="AF148" s="7">
        <f t="shared" si="60"/>
        <v>1</v>
      </c>
      <c r="AG148" s="6">
        <f t="shared" si="61"/>
        <v>139.56478757329498</v>
      </c>
      <c r="AH148" s="2">
        <f t="shared" si="62"/>
        <v>0</v>
      </c>
      <c r="AI148" s="7">
        <f t="shared" si="63"/>
        <v>0</v>
      </c>
      <c r="AK148" s="78">
        <v>45031.229166666664</v>
      </c>
      <c r="AL148" s="5">
        <v>2.8071159582785301E-2</v>
      </c>
      <c r="AM148" s="5">
        <v>57.814717760000001</v>
      </c>
      <c r="AN148" s="2">
        <v>35424</v>
      </c>
      <c r="AO148" s="7">
        <f t="shared" si="50"/>
        <v>590.4</v>
      </c>
      <c r="AP148" s="5">
        <f t="shared" si="64"/>
        <v>16.57321261767644</v>
      </c>
      <c r="AQ148" s="6">
        <f t="shared" si="65"/>
        <v>146.89163154951436</v>
      </c>
      <c r="AR148" s="2">
        <f t="shared" si="66"/>
        <v>1</v>
      </c>
      <c r="AS148" s="2">
        <f t="shared" si="67"/>
        <v>146.89163154951436</v>
      </c>
    </row>
    <row r="149" spans="13:45" x14ac:dyDescent="0.3">
      <c r="M149" s="78">
        <v>45032.239583333336</v>
      </c>
      <c r="N149" s="5">
        <v>2.4163361985035599E-2</v>
      </c>
      <c r="O149" s="5">
        <v>56.500021050000001</v>
      </c>
      <c r="P149" s="2">
        <v>39486</v>
      </c>
      <c r="Q149" s="7">
        <f t="shared" si="51"/>
        <v>658.1</v>
      </c>
      <c r="R149" s="6">
        <f t="shared" si="52"/>
        <v>15.901908522351929</v>
      </c>
      <c r="S149" s="6">
        <f t="shared" si="53"/>
        <v>143.94722294343725</v>
      </c>
      <c r="T149" s="2">
        <f t="shared" si="54"/>
        <v>1</v>
      </c>
      <c r="U149" s="6">
        <f t="shared" si="55"/>
        <v>143.94722294343725</v>
      </c>
      <c r="V149">
        <f>IF((R149-$AB$774)/($Z$773-$AB$774)&lt;0, 0, IF((R149-$AB$774)/($Z$773-$AB$774)&gt;1, 1, (R149-$AB$774)/($Z$773-$AB$774)))</f>
        <v>0.18462503407801698</v>
      </c>
      <c r="W149" s="6">
        <f t="shared" si="56"/>
        <v>26.576260941368009</v>
      </c>
      <c r="Y149" s="78">
        <v>45048.6875</v>
      </c>
      <c r="Z149">
        <v>9.6357896651456207E-2</v>
      </c>
      <c r="AA149" s="6">
        <v>91.767774239999994</v>
      </c>
      <c r="AB149" s="2">
        <v>7747</v>
      </c>
      <c r="AC149" s="7">
        <f t="shared" si="57"/>
        <v>129.11666666666667</v>
      </c>
      <c r="AD149" s="7">
        <f t="shared" si="58"/>
        <v>12.441410422647188</v>
      </c>
      <c r="AE149" s="7">
        <f t="shared" si="59"/>
        <v>143.94722294343725</v>
      </c>
      <c r="AF149" s="7">
        <f t="shared" si="60"/>
        <v>1</v>
      </c>
      <c r="AG149" s="6">
        <f t="shared" si="61"/>
        <v>143.94722294343725</v>
      </c>
      <c r="AH149" s="2">
        <f t="shared" si="62"/>
        <v>0</v>
      </c>
      <c r="AI149" s="7">
        <f t="shared" si="63"/>
        <v>0</v>
      </c>
      <c r="AK149" s="78">
        <v>45031.239583333336</v>
      </c>
      <c r="AL149" s="5">
        <v>3.0234851204922399E-2</v>
      </c>
      <c r="AM149" s="5">
        <v>59.769842060000002</v>
      </c>
      <c r="AN149" s="2">
        <v>35410</v>
      </c>
      <c r="AO149" s="7">
        <f t="shared" si="50"/>
        <v>590.16666666666663</v>
      </c>
      <c r="AP149" s="5">
        <f t="shared" si="64"/>
        <v>17.843601352771699</v>
      </c>
      <c r="AQ149" s="6">
        <f t="shared" si="65"/>
        <v>152.30163962757581</v>
      </c>
      <c r="AR149" s="2">
        <f t="shared" si="66"/>
        <v>1</v>
      </c>
      <c r="AS149" s="2">
        <f t="shared" si="67"/>
        <v>152.30163962757581</v>
      </c>
    </row>
    <row r="150" spans="13:45" x14ac:dyDescent="0.3">
      <c r="M150" s="78">
        <v>45032.25</v>
      </c>
      <c r="N150" s="5">
        <v>2.4606822022565301E-2</v>
      </c>
      <c r="O150" s="5">
        <v>60.419666749999998</v>
      </c>
      <c r="P150" s="2">
        <v>38231</v>
      </c>
      <c r="Q150" s="7">
        <f t="shared" si="51"/>
        <v>637.18333333333328</v>
      </c>
      <c r="R150" s="6">
        <f t="shared" si="52"/>
        <v>15.679056879078232</v>
      </c>
      <c r="S150" s="6">
        <f t="shared" si="53"/>
        <v>142.95579503585688</v>
      </c>
      <c r="T150" s="2">
        <f t="shared" si="54"/>
        <v>1</v>
      </c>
      <c r="U150" s="6">
        <f t="shared" si="55"/>
        <v>142.95579503585688</v>
      </c>
      <c r="V150">
        <f>IF((R150-$AB$774)/($Z$773-$AB$774)&lt;0, 0, IF((R150-$AB$774)/($Z$773-$AB$774)&gt;1, 1, (R150-$AB$774)/($Z$773-$AB$774)))</f>
        <v>0.14383216101760954</v>
      </c>
      <c r="W150" s="6">
        <f t="shared" si="56"/>
        <v>20.561640929997754</v>
      </c>
      <c r="Y150" s="78">
        <v>45048.697916666664</v>
      </c>
      <c r="Z150">
        <v>0.10132743780932101</v>
      </c>
      <c r="AA150" s="6">
        <v>96.393321510000007</v>
      </c>
      <c r="AB150" s="2">
        <v>7608</v>
      </c>
      <c r="AC150" s="7">
        <f t="shared" si="57"/>
        <v>126.8</v>
      </c>
      <c r="AD150" s="7">
        <f t="shared" si="58"/>
        <v>12.848319114221903</v>
      </c>
      <c r="AE150" s="7">
        <f t="shared" si="59"/>
        <v>142.95579503585688</v>
      </c>
      <c r="AF150" s="7">
        <f t="shared" si="60"/>
        <v>1</v>
      </c>
      <c r="AG150" s="6">
        <f t="shared" si="61"/>
        <v>142.95579503585688</v>
      </c>
      <c r="AH150" s="2">
        <f t="shared" si="62"/>
        <v>0</v>
      </c>
      <c r="AI150" s="7">
        <f t="shared" si="63"/>
        <v>0</v>
      </c>
      <c r="AK150" s="78">
        <v>45031.25</v>
      </c>
      <c r="AL150" s="5">
        <v>3.2730494057517302E-2</v>
      </c>
      <c r="AM150" s="5">
        <v>58.466044660000001</v>
      </c>
      <c r="AN150" s="2">
        <v>35145</v>
      </c>
      <c r="AO150" s="7">
        <f t="shared" si="50"/>
        <v>585.75</v>
      </c>
      <c r="AP150" s="5">
        <f t="shared" si="64"/>
        <v>19.171886894190759</v>
      </c>
      <c r="AQ150" s="6">
        <f t="shared" si="65"/>
        <v>157.75189093712638</v>
      </c>
      <c r="AR150" s="2">
        <f t="shared" si="66"/>
        <v>1</v>
      </c>
      <c r="AS150" s="2">
        <f t="shared" si="67"/>
        <v>157.75189093712638</v>
      </c>
    </row>
    <row r="151" spans="13:45" x14ac:dyDescent="0.3">
      <c r="M151" s="78">
        <v>45032.260416666664</v>
      </c>
      <c r="N151" s="5">
        <v>2.3433723724787799E-2</v>
      </c>
      <c r="O151" s="5">
        <v>55.160894489999997</v>
      </c>
      <c r="P151" s="2">
        <v>38690</v>
      </c>
      <c r="Q151" s="7">
        <f t="shared" si="51"/>
        <v>644.83333333333337</v>
      </c>
      <c r="R151" s="6">
        <f t="shared" si="52"/>
        <v>15.110846181867334</v>
      </c>
      <c r="S151" s="6">
        <f t="shared" si="53"/>
        <v>140.39489312794748</v>
      </c>
      <c r="T151" s="2">
        <f t="shared" si="54"/>
        <v>1</v>
      </c>
      <c r="U151" s="6">
        <f t="shared" si="55"/>
        <v>140.39489312794748</v>
      </c>
      <c r="V151">
        <f>IF((R151-$AB$774)/($Z$773-$AB$774)&lt;0, 0, IF((R151-$AB$774)/($Z$773-$AB$774)&gt;1, 1, (R151-$AB$774)/($Z$773-$AB$774)))</f>
        <v>3.9821499474395013E-2</v>
      </c>
      <c r="W151" s="6">
        <f t="shared" si="56"/>
        <v>5.5907351629023045</v>
      </c>
      <c r="Y151" s="78">
        <v>45048.708333333336</v>
      </c>
      <c r="Z151">
        <v>0.103324284078888</v>
      </c>
      <c r="AA151" s="6">
        <v>102.9873886</v>
      </c>
      <c r="AB151" s="2">
        <v>7457</v>
      </c>
      <c r="AC151" s="7">
        <f t="shared" si="57"/>
        <v>124.28333333333333</v>
      </c>
      <c r="AD151" s="7">
        <f t="shared" si="58"/>
        <v>12.841486439604463</v>
      </c>
      <c r="AE151" s="7">
        <f t="shared" si="59"/>
        <v>140.39489312794748</v>
      </c>
      <c r="AF151" s="7">
        <f t="shared" si="60"/>
        <v>1</v>
      </c>
      <c r="AG151" s="6">
        <f t="shared" si="61"/>
        <v>140.39489312794748</v>
      </c>
      <c r="AH151" s="2">
        <f t="shared" si="62"/>
        <v>0</v>
      </c>
      <c r="AI151" s="7">
        <f t="shared" si="63"/>
        <v>0</v>
      </c>
      <c r="AK151" s="78">
        <v>45031.260416666664</v>
      </c>
      <c r="AL151" s="5">
        <v>2.87752462959882E-2</v>
      </c>
      <c r="AM151" s="5">
        <v>59.769842060000002</v>
      </c>
      <c r="AN151" s="2">
        <v>34812</v>
      </c>
      <c r="AO151" s="7">
        <f t="shared" si="50"/>
        <v>580.20000000000005</v>
      </c>
      <c r="AP151" s="5">
        <f t="shared" si="64"/>
        <v>16.695397900932356</v>
      </c>
      <c r="AQ151" s="6">
        <f t="shared" si="65"/>
        <v>147.42095930571878</v>
      </c>
      <c r="AR151" s="2">
        <f t="shared" si="66"/>
        <v>1</v>
      </c>
      <c r="AS151" s="2">
        <f t="shared" si="67"/>
        <v>147.42095930571878</v>
      </c>
    </row>
    <row r="152" spans="13:45" x14ac:dyDescent="0.3">
      <c r="M152" s="78">
        <v>45032.270833333336</v>
      </c>
      <c r="N152" s="5">
        <v>2.2339979637383399E-2</v>
      </c>
      <c r="O152" s="5">
        <v>58.477264509999998</v>
      </c>
      <c r="P152" s="2">
        <v>39657</v>
      </c>
      <c r="Q152" s="7">
        <f t="shared" si="51"/>
        <v>660.95</v>
      </c>
      <c r="R152" s="6">
        <f t="shared" si="52"/>
        <v>14.765609541328558</v>
      </c>
      <c r="S152" s="6">
        <f t="shared" si="53"/>
        <v>138.81487086041668</v>
      </c>
      <c r="T152" s="2">
        <f t="shared" si="54"/>
        <v>1</v>
      </c>
      <c r="U152" s="6">
        <f t="shared" si="55"/>
        <v>138.81487086041668</v>
      </c>
      <c r="V152">
        <f>IF((R152-$AB$774)/($Z$773-$AB$774)&lt;0, 0, IF((R152-$AB$774)/($Z$773-$AB$774)&gt;1, 1, (R152-$AB$774)/($Z$773-$AB$774)))</f>
        <v>0</v>
      </c>
      <c r="W152" s="6">
        <f t="shared" si="56"/>
        <v>0</v>
      </c>
      <c r="Y152" s="78">
        <v>45048.71875</v>
      </c>
      <c r="Z152">
        <v>0.105601713214922</v>
      </c>
      <c r="AA152" s="6">
        <v>99.297599469999994</v>
      </c>
      <c r="AB152" s="2">
        <v>7573</v>
      </c>
      <c r="AC152" s="7">
        <f t="shared" si="57"/>
        <v>126.21666666666667</v>
      </c>
      <c r="AD152" s="7">
        <f t="shared" si="58"/>
        <v>13.328696236276738</v>
      </c>
      <c r="AE152" s="7">
        <f t="shared" si="59"/>
        <v>138.81487086041668</v>
      </c>
      <c r="AF152" s="7">
        <f t="shared" si="60"/>
        <v>1</v>
      </c>
      <c r="AG152" s="6">
        <f t="shared" si="61"/>
        <v>138.81487086041668</v>
      </c>
      <c r="AH152" s="2">
        <f t="shared" si="62"/>
        <v>0.24455978721694438</v>
      </c>
      <c r="AI152" s="7">
        <f t="shared" si="63"/>
        <v>33.948535280171114</v>
      </c>
      <c r="AK152" s="78">
        <v>45031.270833333336</v>
      </c>
      <c r="AL152" s="5">
        <v>2.6070655159954499E-2</v>
      </c>
      <c r="AM152" s="5">
        <v>56.488631689999998</v>
      </c>
      <c r="AN152" s="2">
        <v>35424</v>
      </c>
      <c r="AO152" s="7">
        <f t="shared" si="50"/>
        <v>590.4</v>
      </c>
      <c r="AP152" s="5">
        <f t="shared" si="64"/>
        <v>15.392114806437135</v>
      </c>
      <c r="AQ152" s="6">
        <f t="shared" si="65"/>
        <v>141.66858862710845</v>
      </c>
      <c r="AR152" s="2">
        <f t="shared" si="66"/>
        <v>1</v>
      </c>
      <c r="AS152" s="2">
        <f t="shared" si="67"/>
        <v>141.66858862710845</v>
      </c>
    </row>
    <row r="153" spans="13:45" x14ac:dyDescent="0.3">
      <c r="M153" s="78">
        <v>45032.28125</v>
      </c>
      <c r="N153" s="5">
        <v>2.3813168120814101E-2</v>
      </c>
      <c r="O153" s="5">
        <v>53.134964160000003</v>
      </c>
      <c r="P153" s="2">
        <v>38653</v>
      </c>
      <c r="Q153" s="7">
        <f t="shared" si="51"/>
        <v>644.2166666666667</v>
      </c>
      <c r="R153" s="6">
        <f t="shared" si="52"/>
        <v>15.340839789563791</v>
      </c>
      <c r="S153" s="6">
        <f t="shared" si="53"/>
        <v>141.43728588087959</v>
      </c>
      <c r="T153" s="2">
        <f t="shared" si="54"/>
        <v>1</v>
      </c>
      <c r="U153" s="6">
        <f t="shared" si="55"/>
        <v>141.43728588087959</v>
      </c>
      <c r="V153">
        <f>IF((R153-$AB$774)/($Z$773-$AB$774)&lt;0, 0, IF((R153-$AB$774)/($Z$773-$AB$774)&gt;1, 1, (R153-$AB$774)/($Z$773-$AB$774)))</f>
        <v>8.192170526890194E-2</v>
      </c>
      <c r="W153" s="6">
        <f t="shared" si="56"/>
        <v>11.586783647966843</v>
      </c>
      <c r="Y153" s="78">
        <v>45048.729166666664</v>
      </c>
      <c r="Z153">
        <v>9.8412100089446106E-2</v>
      </c>
      <c r="AA153" s="6">
        <v>110.9974619</v>
      </c>
      <c r="AB153" s="2">
        <v>7905</v>
      </c>
      <c r="AC153" s="7">
        <f t="shared" si="57"/>
        <v>131.75</v>
      </c>
      <c r="AD153" s="7">
        <f t="shared" si="58"/>
        <v>12.965794186784525</v>
      </c>
      <c r="AE153" s="7">
        <f t="shared" si="59"/>
        <v>141.43728588087959</v>
      </c>
      <c r="AF153" s="7">
        <f t="shared" si="60"/>
        <v>1</v>
      </c>
      <c r="AG153" s="6">
        <f t="shared" si="61"/>
        <v>141.43728588087959</v>
      </c>
      <c r="AH153" s="2">
        <f t="shared" si="62"/>
        <v>0</v>
      </c>
      <c r="AI153" s="7">
        <f t="shared" si="63"/>
        <v>0</v>
      </c>
      <c r="AK153" s="78">
        <v>45031.28125</v>
      </c>
      <c r="AL153" s="5">
        <v>2.5251250640371401E-2</v>
      </c>
      <c r="AM153" s="5">
        <v>51.069020549999998</v>
      </c>
      <c r="AN153" s="2">
        <v>36237</v>
      </c>
      <c r="AO153" s="7">
        <f t="shared" si="50"/>
        <v>603.95000000000005</v>
      </c>
      <c r="AP153" s="5">
        <f t="shared" si="64"/>
        <v>15.250492824252309</v>
      </c>
      <c r="AQ153" s="6">
        <f t="shared" si="65"/>
        <v>141.0287666570654</v>
      </c>
      <c r="AR153" s="2">
        <f t="shared" si="66"/>
        <v>1</v>
      </c>
      <c r="AS153" s="2">
        <f t="shared" si="67"/>
        <v>141.0287666570654</v>
      </c>
    </row>
    <row r="154" spans="13:45" x14ac:dyDescent="0.3">
      <c r="M154" s="78">
        <v>45032.291666666664</v>
      </c>
      <c r="N154" s="5">
        <v>2.61745628395046E-2</v>
      </c>
      <c r="O154" s="5">
        <v>57.158996520000002</v>
      </c>
      <c r="P154" s="2">
        <v>38959</v>
      </c>
      <c r="Q154" s="7">
        <f t="shared" si="51"/>
        <v>649.31666666666672</v>
      </c>
      <c r="R154" s="6">
        <f t="shared" si="52"/>
        <v>16.995579894404329</v>
      </c>
      <c r="S154" s="6">
        <f t="shared" si="53"/>
        <v>148.71306539031957</v>
      </c>
      <c r="T154" s="2">
        <f t="shared" si="54"/>
        <v>1</v>
      </c>
      <c r="U154" s="6">
        <f t="shared" si="55"/>
        <v>148.71306539031957</v>
      </c>
      <c r="V154">
        <f>IF((R154-$AB$774)/($Z$773-$AB$774)&lt;0, 0, IF((R154-$AB$774)/($Z$773-$AB$774)&gt;1, 1, (R154-$AB$774)/($Z$773-$AB$774)))</f>
        <v>0.38482098863574049</v>
      </c>
      <c r="W154" s="6">
        <f t="shared" si="56"/>
        <v>57.2279088465543</v>
      </c>
      <c r="Y154" s="78">
        <v>45048.739583333336</v>
      </c>
      <c r="Z154">
        <v>0.102103033573226</v>
      </c>
      <c r="AA154" s="6">
        <v>122.1341827</v>
      </c>
      <c r="AB154" s="2">
        <v>7361</v>
      </c>
      <c r="AC154" s="7">
        <f t="shared" si="57"/>
        <v>122.68333333333334</v>
      </c>
      <c r="AD154" s="7">
        <f t="shared" si="58"/>
        <v>12.52634050220861</v>
      </c>
      <c r="AE154" s="7">
        <f t="shared" si="59"/>
        <v>148.71306539031957</v>
      </c>
      <c r="AF154" s="7">
        <f t="shared" si="60"/>
        <v>1</v>
      </c>
      <c r="AG154" s="6">
        <f t="shared" si="61"/>
        <v>148.71306539031957</v>
      </c>
      <c r="AH154" s="2">
        <f t="shared" si="62"/>
        <v>0</v>
      </c>
      <c r="AI154" s="7">
        <f t="shared" si="63"/>
        <v>0</v>
      </c>
      <c r="AK154" s="78">
        <v>45031.291666666664</v>
      </c>
      <c r="AL154" s="5">
        <v>2.7745849738331999E-2</v>
      </c>
      <c r="AM154" s="5">
        <v>52.445143710000004</v>
      </c>
      <c r="AN154" s="2">
        <v>35951</v>
      </c>
      <c r="AO154" s="7">
        <f t="shared" si="50"/>
        <v>599.18333333333328</v>
      </c>
      <c r="AP154" s="5">
        <f t="shared" si="64"/>
        <v>16.62485073237956</v>
      </c>
      <c r="AQ154" s="6">
        <f t="shared" si="65"/>
        <v>147.11557892664581</v>
      </c>
      <c r="AR154" s="2">
        <f t="shared" si="66"/>
        <v>1</v>
      </c>
      <c r="AS154" s="2">
        <f t="shared" si="67"/>
        <v>147.11557892664581</v>
      </c>
    </row>
    <row r="155" spans="13:45" x14ac:dyDescent="0.3">
      <c r="M155" s="78">
        <v>45032.302083333336</v>
      </c>
      <c r="N155" s="5">
        <v>2.2760204066703101E-2</v>
      </c>
      <c r="O155" s="5">
        <v>51.0808441</v>
      </c>
      <c r="P155" s="2">
        <v>38850</v>
      </c>
      <c r="Q155" s="7">
        <f t="shared" si="51"/>
        <v>647.5</v>
      </c>
      <c r="R155" s="6">
        <f t="shared" si="52"/>
        <v>14.737232133190258</v>
      </c>
      <c r="S155" s="6">
        <f t="shared" si="53"/>
        <v>138.6841633449213</v>
      </c>
      <c r="T155" s="2">
        <f t="shared" si="54"/>
        <v>1</v>
      </c>
      <c r="U155" s="6">
        <f t="shared" si="55"/>
        <v>138.6841633449213</v>
      </c>
      <c r="V155">
        <f>IF((R155-$AB$774)/($Z$773-$AB$774)&lt;0, 0, IF((R155-$AB$774)/($Z$773-$AB$774)&gt;1, 1, (R155-$AB$774)/($Z$773-$AB$774)))</f>
        <v>0</v>
      </c>
      <c r="W155" s="6">
        <f t="shared" si="56"/>
        <v>0</v>
      </c>
      <c r="Y155" s="78">
        <v>45048.75</v>
      </c>
      <c r="Z155">
        <v>0.10132636221946301</v>
      </c>
      <c r="AA155" s="6">
        <v>113.3544048</v>
      </c>
      <c r="AB155" s="2">
        <v>7543</v>
      </c>
      <c r="AC155" s="7">
        <f t="shared" si="57"/>
        <v>125.71666666666667</v>
      </c>
      <c r="AD155" s="7">
        <f t="shared" si="58"/>
        <v>12.738412503690158</v>
      </c>
      <c r="AE155" s="7">
        <f t="shared" si="59"/>
        <v>138.6841633449213</v>
      </c>
      <c r="AF155" s="7">
        <f t="shared" si="60"/>
        <v>1</v>
      </c>
      <c r="AG155" s="6">
        <f t="shared" si="61"/>
        <v>138.6841633449213</v>
      </c>
      <c r="AH155" s="2">
        <f t="shared" si="62"/>
        <v>0</v>
      </c>
      <c r="AI155" s="7">
        <f t="shared" si="63"/>
        <v>0</v>
      </c>
      <c r="AK155" s="78">
        <v>45031.302083333336</v>
      </c>
      <c r="AL155" s="5">
        <v>2.7056534715442799E-2</v>
      </c>
      <c r="AM155" s="5">
        <v>53.134964160000003</v>
      </c>
      <c r="AN155" s="2">
        <v>35747</v>
      </c>
      <c r="AO155" s="7">
        <f t="shared" si="50"/>
        <v>595.7833333333333</v>
      </c>
      <c r="AP155" s="5">
        <f t="shared" si="64"/>
        <v>16.119832441215561</v>
      </c>
      <c r="AQ155" s="6">
        <f t="shared" si="65"/>
        <v>144.90989470893146</v>
      </c>
      <c r="AR155" s="2">
        <f t="shared" si="66"/>
        <v>1</v>
      </c>
      <c r="AS155" s="2">
        <f t="shared" si="67"/>
        <v>144.90989470893146</v>
      </c>
    </row>
    <row r="156" spans="13:45" x14ac:dyDescent="0.3">
      <c r="M156" s="78">
        <v>45032.3125</v>
      </c>
      <c r="N156" s="5">
        <v>2.4139693231717201E-2</v>
      </c>
      <c r="O156" s="5">
        <v>53.809964399999998</v>
      </c>
      <c r="P156" s="2">
        <v>38681</v>
      </c>
      <c r="Q156" s="7">
        <f t="shared" si="51"/>
        <v>644.68333333333328</v>
      </c>
      <c r="R156" s="6">
        <f t="shared" si="52"/>
        <v>15.562457898267549</v>
      </c>
      <c r="S156" s="6">
        <f t="shared" si="53"/>
        <v>142.43420047627026</v>
      </c>
      <c r="T156" s="2">
        <f t="shared" si="54"/>
        <v>1</v>
      </c>
      <c r="U156" s="6">
        <f t="shared" si="55"/>
        <v>142.43420047627026</v>
      </c>
      <c r="V156">
        <f>IF((R156-$AB$774)/($Z$773-$AB$774)&lt;0, 0, IF((R156-$AB$774)/($Z$773-$AB$774)&gt;1, 1, (R156-$AB$774)/($Z$773-$AB$774)))</f>
        <v>0.12248878049184241</v>
      </c>
      <c r="W156" s="6">
        <f t="shared" si="56"/>
        <v>17.446591516668942</v>
      </c>
      <c r="Y156" s="78">
        <v>45048.760416666664</v>
      </c>
      <c r="Z156">
        <v>0.110540875032604</v>
      </c>
      <c r="AA156" s="6">
        <v>118.36070239999999</v>
      </c>
      <c r="AB156" s="2">
        <v>7557</v>
      </c>
      <c r="AC156" s="7">
        <f t="shared" si="57"/>
        <v>125.95</v>
      </c>
      <c r="AD156" s="7">
        <f t="shared" si="58"/>
        <v>13.922623210356473</v>
      </c>
      <c r="AE156" s="7">
        <f t="shared" si="59"/>
        <v>142.43420047627026</v>
      </c>
      <c r="AF156" s="7">
        <f t="shared" si="60"/>
        <v>1</v>
      </c>
      <c r="AG156" s="6">
        <f t="shared" si="61"/>
        <v>142.43420047627026</v>
      </c>
      <c r="AH156" s="2">
        <f t="shared" si="62"/>
        <v>1</v>
      </c>
      <c r="AI156" s="7">
        <f t="shared" si="63"/>
        <v>142.43420047627026</v>
      </c>
      <c r="AK156" s="78">
        <v>45031.3125</v>
      </c>
      <c r="AL156" s="5">
        <v>2.5561044784915301E-2</v>
      </c>
      <c r="AM156" s="5">
        <v>51.763919430000001</v>
      </c>
      <c r="AN156" s="2">
        <v>36025</v>
      </c>
      <c r="AO156" s="7">
        <f t="shared" si="50"/>
        <v>600.41666666666663</v>
      </c>
      <c r="AP156" s="5">
        <f t="shared" si="64"/>
        <v>15.347277306276228</v>
      </c>
      <c r="AQ156" s="6">
        <f t="shared" si="65"/>
        <v>141.46634729617355</v>
      </c>
      <c r="AR156" s="2">
        <f t="shared" si="66"/>
        <v>1</v>
      </c>
      <c r="AS156" s="2">
        <f t="shared" si="67"/>
        <v>141.46634729617355</v>
      </c>
    </row>
    <row r="157" spans="13:45" x14ac:dyDescent="0.3">
      <c r="M157" s="78">
        <v>45032.322916666664</v>
      </c>
      <c r="N157" s="5">
        <v>2.1987797604334999E-2</v>
      </c>
      <c r="O157" s="5">
        <v>53.123299129999999</v>
      </c>
      <c r="P157" s="2">
        <v>38972</v>
      </c>
      <c r="Q157" s="7">
        <f t="shared" si="51"/>
        <v>649.5333333333333</v>
      </c>
      <c r="R157" s="6">
        <f t="shared" si="52"/>
        <v>14.281807470602391</v>
      </c>
      <c r="S157" s="6">
        <f t="shared" si="53"/>
        <v>136.56861751913053</v>
      </c>
      <c r="T157" s="2">
        <f t="shared" si="54"/>
        <v>1</v>
      </c>
      <c r="U157" s="6">
        <f t="shared" si="55"/>
        <v>136.56861751913053</v>
      </c>
      <c r="V157">
        <f>IF((R157-$AB$774)/($Z$773-$AB$774)&lt;0, 0, IF((R157-$AB$774)/($Z$773-$AB$774)&gt;1, 1, (R157-$AB$774)/($Z$773-$AB$774)))</f>
        <v>0</v>
      </c>
      <c r="W157" s="6">
        <f t="shared" si="56"/>
        <v>0</v>
      </c>
      <c r="Y157" s="78">
        <v>45048.770833333336</v>
      </c>
      <c r="Z157">
        <v>0.10120429884024799</v>
      </c>
      <c r="AA157" s="6">
        <v>114.9053189</v>
      </c>
      <c r="AB157" s="2">
        <v>7634</v>
      </c>
      <c r="AC157" s="7">
        <f t="shared" si="57"/>
        <v>127.23333333333333</v>
      </c>
      <c r="AD157" s="7">
        <f t="shared" si="58"/>
        <v>12.876560289107553</v>
      </c>
      <c r="AE157" s="7">
        <f t="shared" si="59"/>
        <v>136.56861751913053</v>
      </c>
      <c r="AF157" s="7">
        <f t="shared" si="60"/>
        <v>1</v>
      </c>
      <c r="AG157" s="6">
        <f t="shared" si="61"/>
        <v>136.56861751913053</v>
      </c>
      <c r="AH157" s="2">
        <f t="shared" si="62"/>
        <v>0</v>
      </c>
      <c r="AI157" s="7">
        <f t="shared" si="63"/>
        <v>0</v>
      </c>
      <c r="AK157" s="78">
        <v>45031.322916666664</v>
      </c>
      <c r="AL157" s="5">
        <v>2.4919956315754398E-2</v>
      </c>
      <c r="AM157" s="5">
        <v>55.160894489999997</v>
      </c>
      <c r="AN157" s="2">
        <v>36230</v>
      </c>
      <c r="AO157" s="7">
        <f t="shared" si="50"/>
        <v>603.83333333333337</v>
      </c>
      <c r="AP157" s="5">
        <f t="shared" si="64"/>
        <v>15.047500288663032</v>
      </c>
      <c r="AQ157" s="6">
        <f t="shared" si="65"/>
        <v>140.1063728424686</v>
      </c>
      <c r="AR157" s="2">
        <f t="shared" si="66"/>
        <v>1</v>
      </c>
      <c r="AS157" s="2">
        <f t="shared" si="67"/>
        <v>140.1063728424686</v>
      </c>
    </row>
    <row r="158" spans="13:45" x14ac:dyDescent="0.3">
      <c r="M158" s="78">
        <v>45032.333333333336</v>
      </c>
      <c r="N158" s="5">
        <v>2.58416694679496E-2</v>
      </c>
      <c r="O158" s="5">
        <v>57.147661589999998</v>
      </c>
      <c r="P158" s="2">
        <v>39650</v>
      </c>
      <c r="Q158" s="7">
        <f t="shared" si="51"/>
        <v>660.83333333333337</v>
      </c>
      <c r="R158" s="6">
        <f t="shared" si="52"/>
        <v>17.077036573403362</v>
      </c>
      <c r="S158" s="6">
        <f t="shared" si="53"/>
        <v>149.06167536021232</v>
      </c>
      <c r="T158" s="2">
        <f t="shared" si="54"/>
        <v>1</v>
      </c>
      <c r="U158" s="6">
        <f t="shared" si="55"/>
        <v>149.06167536021232</v>
      </c>
      <c r="V158">
        <f>IF((R158-$AB$774)/($Z$773-$AB$774)&lt;0, 0, IF((R158-$AB$774)/($Z$773-$AB$774)&gt;1, 1, (R158-$AB$774)/($Z$773-$AB$774)))</f>
        <v>0.3997315897761094</v>
      </c>
      <c r="W158" s="6">
        <f t="shared" si="56"/>
        <v>59.584660466427984</v>
      </c>
      <c r="Y158" s="78">
        <v>45048.78125</v>
      </c>
      <c r="Z158">
        <v>0.104289677408879</v>
      </c>
      <c r="AA158" s="6">
        <v>119.12362779999999</v>
      </c>
      <c r="AB158" s="2">
        <v>7801</v>
      </c>
      <c r="AC158" s="7">
        <f t="shared" si="57"/>
        <v>130.01666666666668</v>
      </c>
      <c r="AD158" s="7">
        <f t="shared" si="58"/>
        <v>13.559396224444418</v>
      </c>
      <c r="AE158" s="7">
        <f t="shared" si="59"/>
        <v>149.06167536021232</v>
      </c>
      <c r="AF158" s="7">
        <f t="shared" si="60"/>
        <v>1</v>
      </c>
      <c r="AG158" s="6">
        <f t="shared" si="61"/>
        <v>149.06167536021232</v>
      </c>
      <c r="AH158" s="2">
        <f t="shared" si="62"/>
        <v>0.97923826242173573</v>
      </c>
      <c r="AI158" s="7">
        <f t="shared" si="63"/>
        <v>145.96689597340716</v>
      </c>
      <c r="AK158" s="78">
        <v>45031.333333333336</v>
      </c>
      <c r="AL158" s="5">
        <v>2.7264499359050998E-2</v>
      </c>
      <c r="AM158" s="5">
        <v>58.466044660000001</v>
      </c>
      <c r="AN158" s="2">
        <v>36419</v>
      </c>
      <c r="AO158" s="7">
        <f t="shared" si="50"/>
        <v>606.98333333333335</v>
      </c>
      <c r="AP158" s="5">
        <f t="shared" si="64"/>
        <v>16.549096702621306</v>
      </c>
      <c r="AQ158" s="6">
        <f t="shared" si="65"/>
        <v>146.78692218304667</v>
      </c>
      <c r="AR158" s="2">
        <f t="shared" si="66"/>
        <v>1</v>
      </c>
      <c r="AS158" s="2">
        <f t="shared" si="67"/>
        <v>146.78692218304667</v>
      </c>
    </row>
    <row r="159" spans="13:45" x14ac:dyDescent="0.3">
      <c r="M159" s="78">
        <v>45032.34375</v>
      </c>
      <c r="N159" s="5">
        <v>2.3175477954300201E-2</v>
      </c>
      <c r="O159" s="5">
        <v>53.809964399999998</v>
      </c>
      <c r="P159" s="2">
        <v>38875</v>
      </c>
      <c r="Q159" s="7">
        <f t="shared" si="51"/>
        <v>647.91666666666663</v>
      </c>
      <c r="R159" s="6">
        <f t="shared" si="52"/>
        <v>15.015778424557004</v>
      </c>
      <c r="S159" s="6">
        <f t="shared" si="53"/>
        <v>139.96165698574359</v>
      </c>
      <c r="T159" s="2">
        <f t="shared" si="54"/>
        <v>1</v>
      </c>
      <c r="U159" s="6">
        <f t="shared" si="55"/>
        <v>139.96165698574359</v>
      </c>
      <c r="V159">
        <f>IF((R159-$AB$774)/($Z$773-$AB$774)&lt;0, 0, IF((R159-$AB$774)/($Z$773-$AB$774)&gt;1, 1, (R159-$AB$774)/($Z$773-$AB$774)))</f>
        <v>2.2419397793075984E-2</v>
      </c>
      <c r="W159" s="6">
        <f t="shared" si="56"/>
        <v>3.1378560637414377</v>
      </c>
      <c r="Y159" s="78">
        <v>45048.791666666664</v>
      </c>
      <c r="Z159">
        <v>9.9754898197001896E-2</v>
      </c>
      <c r="AA159" s="6">
        <v>116.4455014</v>
      </c>
      <c r="AB159" s="2">
        <v>7712</v>
      </c>
      <c r="AC159" s="7">
        <f t="shared" si="57"/>
        <v>128.53333333333333</v>
      </c>
      <c r="AD159" s="7">
        <f t="shared" si="58"/>
        <v>12.821829581587977</v>
      </c>
      <c r="AE159" s="7">
        <f t="shared" si="59"/>
        <v>139.96165698574359</v>
      </c>
      <c r="AF159" s="7">
        <f t="shared" si="60"/>
        <v>1</v>
      </c>
      <c r="AG159" s="6">
        <f t="shared" si="61"/>
        <v>139.96165698574359</v>
      </c>
      <c r="AH159" s="2">
        <f t="shared" si="62"/>
        <v>0</v>
      </c>
      <c r="AI159" s="7">
        <f t="shared" si="63"/>
        <v>0</v>
      </c>
      <c r="AK159" s="78">
        <v>45031.34375</v>
      </c>
      <c r="AL159" s="5">
        <v>2.79547247666477E-2</v>
      </c>
      <c r="AM159" s="5">
        <v>55.149392650000003</v>
      </c>
      <c r="AN159" s="2">
        <v>35722</v>
      </c>
      <c r="AO159" s="7">
        <f t="shared" si="50"/>
        <v>595.36666666666667</v>
      </c>
      <c r="AP159" s="5">
        <f t="shared" si="64"/>
        <v>16.643311301903154</v>
      </c>
      <c r="AQ159" s="6">
        <f t="shared" si="65"/>
        <v>147.19555371789323</v>
      </c>
      <c r="AR159" s="2">
        <f t="shared" si="66"/>
        <v>1</v>
      </c>
      <c r="AS159" s="2">
        <f t="shared" si="67"/>
        <v>147.19555371789323</v>
      </c>
    </row>
    <row r="160" spans="13:45" x14ac:dyDescent="0.3">
      <c r="M160" s="78">
        <v>45032.354166666664</v>
      </c>
      <c r="N160" s="5">
        <v>2.2460247272687299E-2</v>
      </c>
      <c r="O160" s="5">
        <v>49.691464410000002</v>
      </c>
      <c r="P160" s="2">
        <v>40451</v>
      </c>
      <c r="Q160" s="7">
        <f t="shared" si="51"/>
        <v>674.18333333333328</v>
      </c>
      <c r="R160" s="6">
        <f t="shared" si="52"/>
        <v>15.142324373791231</v>
      </c>
      <c r="S160" s="6">
        <f t="shared" si="53"/>
        <v>140.53803666842256</v>
      </c>
      <c r="T160" s="2">
        <f t="shared" si="54"/>
        <v>0.75252423063176832</v>
      </c>
      <c r="U160" s="6">
        <f t="shared" si="55"/>
        <v>105.75827791840393</v>
      </c>
      <c r="V160">
        <f>IF((R160-$AB$774)/($Z$773-$AB$774)&lt;0, 0, IF((R160-$AB$774)/($Z$773-$AB$774)&gt;1, 1, (R160-$AB$774)/($Z$773-$AB$774)))</f>
        <v>4.5583565521830939E-2</v>
      </c>
      <c r="W160" s="6">
        <f t="shared" si="56"/>
        <v>6.4062248027845188</v>
      </c>
      <c r="Y160" s="78">
        <v>45048.802083333336</v>
      </c>
      <c r="Z160">
        <v>9.7742235806576497E-2</v>
      </c>
      <c r="AA160" s="6">
        <v>112.18199679999999</v>
      </c>
      <c r="AB160" s="2">
        <v>7759</v>
      </c>
      <c r="AC160" s="7">
        <f t="shared" si="57"/>
        <v>129.31666666666666</v>
      </c>
      <c r="AD160" s="7">
        <f t="shared" si="58"/>
        <v>12.639700127053784</v>
      </c>
      <c r="AE160" s="7">
        <f t="shared" si="59"/>
        <v>140.53803666842256</v>
      </c>
      <c r="AF160" s="7">
        <f t="shared" si="60"/>
        <v>1</v>
      </c>
      <c r="AG160" s="6">
        <f t="shared" si="61"/>
        <v>140.53803666842256</v>
      </c>
      <c r="AH160" s="2">
        <f t="shared" si="62"/>
        <v>0</v>
      </c>
      <c r="AI160" s="7">
        <f t="shared" si="63"/>
        <v>0</v>
      </c>
      <c r="AK160" s="78">
        <v>45031.354166666664</v>
      </c>
      <c r="AL160" s="5">
        <v>2.7740897265797801E-2</v>
      </c>
      <c r="AM160" s="5">
        <v>51.763919430000001</v>
      </c>
      <c r="AN160" s="2">
        <v>36567</v>
      </c>
      <c r="AO160" s="7">
        <f t="shared" si="50"/>
        <v>609.45000000000005</v>
      </c>
      <c r="AP160" s="5">
        <f t="shared" si="64"/>
        <v>16.906689838640471</v>
      </c>
      <c r="AQ160" s="6">
        <f t="shared" si="65"/>
        <v>148.33166852276665</v>
      </c>
      <c r="AR160" s="2">
        <f t="shared" si="66"/>
        <v>1</v>
      </c>
      <c r="AS160" s="2">
        <f t="shared" si="67"/>
        <v>148.33166852276665</v>
      </c>
    </row>
    <row r="161" spans="13:45" x14ac:dyDescent="0.3">
      <c r="M161" s="78">
        <v>45032.364583333336</v>
      </c>
      <c r="N161" s="5">
        <v>2.22363754449873E-2</v>
      </c>
      <c r="O161" s="5">
        <v>50.393595470000001</v>
      </c>
      <c r="P161" s="2">
        <v>39351</v>
      </c>
      <c r="Q161" s="7">
        <f t="shared" si="51"/>
        <v>655.85</v>
      </c>
      <c r="R161" s="6">
        <f t="shared" si="52"/>
        <v>14.583726835594922</v>
      </c>
      <c r="S161" s="6">
        <f t="shared" si="53"/>
        <v>137.97487441750067</v>
      </c>
      <c r="T161" s="2">
        <f t="shared" si="54"/>
        <v>1</v>
      </c>
      <c r="U161" s="6">
        <f t="shared" si="55"/>
        <v>137.97487441750067</v>
      </c>
      <c r="V161">
        <f>IF((R161-$AB$774)/($Z$773-$AB$774)&lt;0, 0, IF((R161-$AB$774)/($Z$773-$AB$774)&gt;1, 1, (R161-$AB$774)/($Z$773-$AB$774)))</f>
        <v>0</v>
      </c>
      <c r="W161" s="6">
        <f t="shared" si="56"/>
        <v>0</v>
      </c>
      <c r="Y161" s="78">
        <v>45048.8125</v>
      </c>
      <c r="Z161">
        <v>0.102391251100252</v>
      </c>
      <c r="AA161" s="6">
        <v>129.48707379999999</v>
      </c>
      <c r="AB161" s="2">
        <v>7612</v>
      </c>
      <c r="AC161" s="7">
        <f t="shared" si="57"/>
        <v>126.86666666666666</v>
      </c>
      <c r="AD161" s="7">
        <f t="shared" si="58"/>
        <v>12.990036722918637</v>
      </c>
      <c r="AE161" s="7">
        <f t="shared" si="59"/>
        <v>137.97487441750067</v>
      </c>
      <c r="AF161" s="7">
        <f t="shared" si="60"/>
        <v>1</v>
      </c>
      <c r="AG161" s="6">
        <f t="shared" si="61"/>
        <v>137.97487441750067</v>
      </c>
      <c r="AH161" s="2">
        <f t="shared" si="62"/>
        <v>0</v>
      </c>
      <c r="AI161" s="7">
        <f t="shared" si="63"/>
        <v>0</v>
      </c>
      <c r="AK161" s="78">
        <v>45031.364583333336</v>
      </c>
      <c r="AL161" s="5">
        <v>2.7534988389864901E-2</v>
      </c>
      <c r="AM161" s="5">
        <v>55.149392650000003</v>
      </c>
      <c r="AN161" s="2">
        <v>34814</v>
      </c>
      <c r="AO161" s="7">
        <f t="shared" si="50"/>
        <v>580.23333333333335</v>
      </c>
      <c r="AP161" s="5">
        <f t="shared" si="64"/>
        <v>15.976718096745945</v>
      </c>
      <c r="AQ161" s="6">
        <f t="shared" si="65"/>
        <v>144.27844629490187</v>
      </c>
      <c r="AR161" s="2">
        <f t="shared" si="66"/>
        <v>1</v>
      </c>
      <c r="AS161" s="2">
        <f t="shared" si="67"/>
        <v>144.27844629490187</v>
      </c>
    </row>
    <row r="162" spans="13:45" x14ac:dyDescent="0.3">
      <c r="M162" s="78">
        <v>45032.375</v>
      </c>
      <c r="N162" s="5">
        <v>2.1317893405521302E-2</v>
      </c>
      <c r="O162" s="5">
        <v>51.763919430000001</v>
      </c>
      <c r="P162" s="2">
        <v>39720</v>
      </c>
      <c r="Q162" s="7">
        <f t="shared" si="51"/>
        <v>662</v>
      </c>
      <c r="R162" s="6">
        <f t="shared" si="52"/>
        <v>14.112445434455102</v>
      </c>
      <c r="S162" s="6">
        <f t="shared" si="53"/>
        <v>135.77312910670634</v>
      </c>
      <c r="T162" s="2">
        <f t="shared" si="54"/>
        <v>1</v>
      </c>
      <c r="U162" s="6">
        <f t="shared" si="55"/>
        <v>135.77312910670634</v>
      </c>
      <c r="V162">
        <f>IF((R162-$AB$774)/($Z$773-$AB$774)&lt;0, 0, IF((R162-$AB$774)/($Z$773-$AB$774)&gt;1, 1, (R162-$AB$774)/($Z$773-$AB$774)))</f>
        <v>0</v>
      </c>
      <c r="W162" s="6">
        <f t="shared" si="56"/>
        <v>0</v>
      </c>
      <c r="Y162" s="78">
        <v>45048.822916666664</v>
      </c>
      <c r="Z162">
        <v>0.103003685369567</v>
      </c>
      <c r="AA162" s="6">
        <v>125.108964</v>
      </c>
      <c r="AB162" s="2">
        <v>7740</v>
      </c>
      <c r="AC162" s="7">
        <f t="shared" si="57"/>
        <v>129</v>
      </c>
      <c r="AD162" s="7">
        <f t="shared" si="58"/>
        <v>13.287475412674143</v>
      </c>
      <c r="AE162" s="7">
        <f t="shared" si="59"/>
        <v>135.77312910670634</v>
      </c>
      <c r="AF162" s="7">
        <f t="shared" si="60"/>
        <v>1</v>
      </c>
      <c r="AG162" s="6">
        <f t="shared" si="61"/>
        <v>135.77312910670634</v>
      </c>
      <c r="AH162" s="2">
        <f t="shared" si="62"/>
        <v>0.11328950813470738</v>
      </c>
      <c r="AI162" s="7">
        <f t="shared" si="63"/>
        <v>15.381671014408884</v>
      </c>
      <c r="AK162" s="78">
        <v>45031.375</v>
      </c>
      <c r="AL162" s="5">
        <v>2.7054769147322601E-2</v>
      </c>
      <c r="AM162" s="5">
        <v>57.158996520000002</v>
      </c>
      <c r="AN162" s="2">
        <v>35336</v>
      </c>
      <c r="AO162" s="7">
        <f t="shared" si="50"/>
        <v>588.93333333333328</v>
      </c>
      <c r="AP162" s="5">
        <f t="shared" si="64"/>
        <v>15.933455376496523</v>
      </c>
      <c r="AQ162" s="6">
        <f t="shared" si="65"/>
        <v>144.0869950580778</v>
      </c>
      <c r="AR162" s="2">
        <f t="shared" si="66"/>
        <v>1</v>
      </c>
      <c r="AS162" s="2">
        <f t="shared" si="67"/>
        <v>144.0869950580778</v>
      </c>
    </row>
    <row r="163" spans="13:45" x14ac:dyDescent="0.3">
      <c r="M163" s="78">
        <v>45032.385416666664</v>
      </c>
      <c r="N163" s="5">
        <v>2.1650377633546599E-2</v>
      </c>
      <c r="O163" s="5">
        <v>48.290232170000003</v>
      </c>
      <c r="P163" s="2">
        <v>38908</v>
      </c>
      <c r="Q163" s="7">
        <f t="shared" si="51"/>
        <v>648.4666666666667</v>
      </c>
      <c r="R163" s="6">
        <f t="shared" si="52"/>
        <v>14.039548216100519</v>
      </c>
      <c r="S163" s="6">
        <f t="shared" si="53"/>
        <v>135.42923390842381</v>
      </c>
      <c r="T163" s="2">
        <f t="shared" si="54"/>
        <v>0.25014414861010376</v>
      </c>
      <c r="U163" s="6">
        <f t="shared" si="55"/>
        <v>33.876830412941267</v>
      </c>
      <c r="V163">
        <f>IF((R163-$AB$774)/($Z$773-$AB$774)&lt;0, 0, IF((R163-$AB$774)/($Z$773-$AB$774)&gt;1, 1, (R163-$AB$774)/($Z$773-$AB$774)))</f>
        <v>0</v>
      </c>
      <c r="W163" s="6">
        <f t="shared" si="56"/>
        <v>0</v>
      </c>
      <c r="Y163" s="78">
        <v>45048.833333333336</v>
      </c>
      <c r="Z163">
        <v>0.100152906219518</v>
      </c>
      <c r="AA163" s="6">
        <v>117.9749527</v>
      </c>
      <c r="AB163" s="2">
        <v>7785</v>
      </c>
      <c r="AC163" s="7">
        <f t="shared" si="57"/>
        <v>129.75</v>
      </c>
      <c r="AD163" s="7">
        <f t="shared" si="58"/>
        <v>12.994839581982461</v>
      </c>
      <c r="AE163" s="7">
        <f t="shared" si="59"/>
        <v>135.42923390842381</v>
      </c>
      <c r="AF163" s="7">
        <f t="shared" si="60"/>
        <v>1</v>
      </c>
      <c r="AG163" s="6">
        <f t="shared" si="61"/>
        <v>135.42923390842381</v>
      </c>
      <c r="AH163" s="2">
        <f t="shared" si="62"/>
        <v>0</v>
      </c>
      <c r="AI163" s="7">
        <f t="shared" si="63"/>
        <v>0</v>
      </c>
      <c r="AK163" s="78">
        <v>45031.385416666664</v>
      </c>
      <c r="AL163" s="5">
        <v>2.76922764271408E-2</v>
      </c>
      <c r="AM163" s="5">
        <v>57.158996520000002</v>
      </c>
      <c r="AN163" s="2">
        <v>35375</v>
      </c>
      <c r="AO163" s="7">
        <f t="shared" si="50"/>
        <v>589.58333333333337</v>
      </c>
      <c r="AP163" s="5">
        <f t="shared" si="64"/>
        <v>16.326904643501763</v>
      </c>
      <c r="AQ163" s="6">
        <f t="shared" si="65"/>
        <v>145.81849485341687</v>
      </c>
      <c r="AR163" s="2">
        <f t="shared" si="66"/>
        <v>1</v>
      </c>
      <c r="AS163" s="2">
        <f t="shared" si="67"/>
        <v>145.81849485341687</v>
      </c>
    </row>
    <row r="164" spans="13:45" x14ac:dyDescent="0.3">
      <c r="M164" s="78">
        <v>45032.395833333336</v>
      </c>
      <c r="N164" s="5">
        <v>3.0270396767460701E-2</v>
      </c>
      <c r="O164" s="5">
        <v>53.809964399999998</v>
      </c>
      <c r="P164" s="2">
        <v>38878</v>
      </c>
      <c r="Q164" s="7">
        <f t="shared" si="51"/>
        <v>647.9666666666667</v>
      </c>
      <c r="R164" s="6">
        <f t="shared" si="52"/>
        <v>19.614208092088951</v>
      </c>
      <c r="S164" s="6">
        <f t="shared" si="53"/>
        <v>159.52380608277446</v>
      </c>
      <c r="T164" s="2">
        <f t="shared" si="54"/>
        <v>1</v>
      </c>
      <c r="U164" s="6">
        <f t="shared" si="55"/>
        <v>159.52380608277446</v>
      </c>
      <c r="V164">
        <f>IF((R164-$AB$774)/($Z$773-$AB$774)&lt;0, 0, IF((R164-$AB$774)/($Z$773-$AB$774)&gt;1, 1, (R164-$AB$774)/($Z$773-$AB$774)))</f>
        <v>0.86415946732650983</v>
      </c>
      <c r="W164" s="6">
        <f t="shared" si="56"/>
        <v>137.85400729038781</v>
      </c>
      <c r="Y164" s="78">
        <v>45048.84375</v>
      </c>
      <c r="Z164">
        <v>9.5971309918892994E-2</v>
      </c>
      <c r="AA164" s="6">
        <v>104.61473460000001</v>
      </c>
      <c r="AB164" s="2">
        <v>8257</v>
      </c>
      <c r="AC164" s="7">
        <f t="shared" si="57"/>
        <v>137.61666666666667</v>
      </c>
      <c r="AD164" s="7">
        <f t="shared" si="58"/>
        <v>13.207251766671659</v>
      </c>
      <c r="AE164" s="7">
        <f t="shared" si="59"/>
        <v>159.52380608277446</v>
      </c>
      <c r="AF164" s="7">
        <f t="shared" si="60"/>
        <v>1</v>
      </c>
      <c r="AG164" s="6">
        <f t="shared" si="61"/>
        <v>159.52380608277446</v>
      </c>
      <c r="AH164" s="2">
        <f t="shared" si="62"/>
        <v>0</v>
      </c>
      <c r="AI164" s="7">
        <f t="shared" si="63"/>
        <v>0</v>
      </c>
      <c r="AK164" s="78">
        <v>45031.395833333336</v>
      </c>
      <c r="AL164" s="5">
        <v>2.8547043984803899E-2</v>
      </c>
      <c r="AM164" s="5">
        <v>62.315280379999997</v>
      </c>
      <c r="AN164" s="2">
        <v>35860</v>
      </c>
      <c r="AO164" s="7">
        <f t="shared" ref="AO164:AO227" si="68">AN164/60</f>
        <v>597.66666666666663</v>
      </c>
      <c r="AP164" s="5">
        <f t="shared" si="64"/>
        <v>17.061616621584463</v>
      </c>
      <c r="AQ164" s="6">
        <f t="shared" si="65"/>
        <v>148.99574784585872</v>
      </c>
      <c r="AR164" s="2">
        <f t="shared" si="66"/>
        <v>1</v>
      </c>
      <c r="AS164" s="2">
        <f t="shared" si="67"/>
        <v>148.99574784585872</v>
      </c>
    </row>
    <row r="165" spans="13:45" x14ac:dyDescent="0.3">
      <c r="M165" s="78">
        <v>45032.40625</v>
      </c>
      <c r="N165" s="5">
        <v>2.01986373642551E-2</v>
      </c>
      <c r="O165" s="5">
        <v>52.445143710000004</v>
      </c>
      <c r="P165" s="2">
        <v>39442</v>
      </c>
      <c r="Q165" s="7">
        <f t="shared" si="51"/>
        <v>657.36666666666667</v>
      </c>
      <c r="R165" s="6">
        <f t="shared" si="52"/>
        <v>13.27791091534916</v>
      </c>
      <c r="S165" s="6">
        <f t="shared" si="53"/>
        <v>131.78022099637857</v>
      </c>
      <c r="T165" s="2">
        <f t="shared" si="54"/>
        <v>1</v>
      </c>
      <c r="U165" s="6">
        <f t="shared" si="55"/>
        <v>131.78022099637857</v>
      </c>
      <c r="V165">
        <f>IF((R165-$AB$774)/($Z$773-$AB$774)&lt;0, 0, IF((R165-$AB$774)/($Z$773-$AB$774)&gt;1, 1, (R165-$AB$774)/($Z$773-$AB$774)))</f>
        <v>0</v>
      </c>
      <c r="W165" s="6">
        <f t="shared" si="56"/>
        <v>0</v>
      </c>
      <c r="Y165" s="78">
        <v>45048.854166666664</v>
      </c>
      <c r="Z165">
        <v>9.4456611912506705E-2</v>
      </c>
      <c r="AA165" s="6">
        <v>100.12409340000001</v>
      </c>
      <c r="AB165" s="2">
        <v>8138</v>
      </c>
      <c r="AC165" s="7">
        <f t="shared" si="57"/>
        <v>135.63333333333333</v>
      </c>
      <c r="AD165" s="7">
        <f t="shared" si="58"/>
        <v>12.811465129066326</v>
      </c>
      <c r="AE165" s="7">
        <f t="shared" si="59"/>
        <v>131.78022099637857</v>
      </c>
      <c r="AF165" s="7">
        <f t="shared" si="60"/>
        <v>1</v>
      </c>
      <c r="AG165" s="6">
        <f t="shared" si="61"/>
        <v>131.78022099637857</v>
      </c>
      <c r="AH165" s="2">
        <f t="shared" si="62"/>
        <v>0</v>
      </c>
      <c r="AI165" s="7">
        <f t="shared" si="63"/>
        <v>0</v>
      </c>
      <c r="AK165" s="78">
        <v>45031.40625</v>
      </c>
      <c r="AL165" s="5">
        <v>2.5607501113522901E-2</v>
      </c>
      <c r="AM165" s="5">
        <v>49.691464410000002</v>
      </c>
      <c r="AN165" s="2">
        <v>36247</v>
      </c>
      <c r="AO165" s="7">
        <f t="shared" si="68"/>
        <v>604.11666666666667</v>
      </c>
      <c r="AP165" s="5">
        <f t="shared" si="64"/>
        <v>15.469918214364411</v>
      </c>
      <c r="AQ165" s="6">
        <f t="shared" si="65"/>
        <v>142.01881184966098</v>
      </c>
      <c r="AR165" s="2">
        <f t="shared" si="66"/>
        <v>1</v>
      </c>
      <c r="AS165" s="2">
        <f t="shared" si="67"/>
        <v>142.01881184966098</v>
      </c>
    </row>
    <row r="166" spans="13:45" x14ac:dyDescent="0.3">
      <c r="M166" s="78">
        <v>45032.416666666664</v>
      </c>
      <c r="N166" s="5">
        <v>2.1264430737880299E-2</v>
      </c>
      <c r="O166" s="5">
        <v>46.174310370000001</v>
      </c>
      <c r="P166" s="2">
        <v>39364</v>
      </c>
      <c r="Q166" s="7">
        <f t="shared" si="51"/>
        <v>656.06666666666672</v>
      </c>
      <c r="R166" s="6">
        <f t="shared" si="52"/>
        <v>13.950884192765336</v>
      </c>
      <c r="S166" s="6">
        <f t="shared" si="53"/>
        <v>135.0097277942005</v>
      </c>
      <c r="T166" s="2">
        <f t="shared" si="54"/>
        <v>0</v>
      </c>
      <c r="U166" s="6">
        <f t="shared" si="55"/>
        <v>0</v>
      </c>
      <c r="V166">
        <f>IF((R166-$AB$774)/($Z$773-$AB$774)&lt;0, 0, IF((R166-$AB$774)/($Z$773-$AB$774)&gt;1, 1, (R166-$AB$774)/($Z$773-$AB$774)))</f>
        <v>0</v>
      </c>
      <c r="W166" s="6">
        <f t="shared" si="56"/>
        <v>0</v>
      </c>
      <c r="Y166" s="78">
        <v>45048.864583333336</v>
      </c>
      <c r="Z166">
        <v>9.3622983248821304E-2</v>
      </c>
      <c r="AA166" s="6">
        <v>103.80204430000001</v>
      </c>
      <c r="AB166" s="2">
        <v>8307</v>
      </c>
      <c r="AC166" s="7">
        <f t="shared" si="57"/>
        <v>138.44999999999999</v>
      </c>
      <c r="AD166" s="7">
        <f t="shared" si="58"/>
        <v>12.962102030799308</v>
      </c>
      <c r="AE166" s="7">
        <f t="shared" si="59"/>
        <v>135.0097277942005</v>
      </c>
      <c r="AF166" s="7">
        <f t="shared" si="60"/>
        <v>1</v>
      </c>
      <c r="AG166" s="6">
        <f t="shared" si="61"/>
        <v>135.0097277942005</v>
      </c>
      <c r="AH166" s="2">
        <f t="shared" si="62"/>
        <v>0</v>
      </c>
      <c r="AI166" s="7">
        <f t="shared" si="63"/>
        <v>0</v>
      </c>
      <c r="AK166" s="78">
        <v>45031.416666666664</v>
      </c>
      <c r="AL166" s="5">
        <v>2.6999655973203598E-2</v>
      </c>
      <c r="AM166" s="5">
        <v>51.763919430000001</v>
      </c>
      <c r="AN166" s="2">
        <v>36064</v>
      </c>
      <c r="AO166" s="7">
        <f t="shared" si="68"/>
        <v>601.06666666666672</v>
      </c>
      <c r="AP166" s="5">
        <f t="shared" si="64"/>
        <v>16.228593216960245</v>
      </c>
      <c r="AQ166" s="6">
        <f t="shared" si="65"/>
        <v>145.38785758818173</v>
      </c>
      <c r="AR166" s="2">
        <f t="shared" si="66"/>
        <v>1</v>
      </c>
      <c r="AS166" s="2">
        <f t="shared" si="67"/>
        <v>145.38785758818173</v>
      </c>
    </row>
    <row r="167" spans="13:45" x14ac:dyDescent="0.3">
      <c r="M167" s="78">
        <v>45032.427083333336</v>
      </c>
      <c r="N167" s="5">
        <v>2.3385628863429202E-2</v>
      </c>
      <c r="O167" s="5">
        <v>44.034259820000003</v>
      </c>
      <c r="P167" s="2">
        <v>39641</v>
      </c>
      <c r="Q167" s="7">
        <f t="shared" si="51"/>
        <v>660.68333333333328</v>
      </c>
      <c r="R167" s="6">
        <f t="shared" si="52"/>
        <v>15.450495229586615</v>
      </c>
      <c r="S167" s="6">
        <f t="shared" si="53"/>
        <v>141.93146582928333</v>
      </c>
      <c r="T167" s="2">
        <f t="shared" si="54"/>
        <v>0</v>
      </c>
      <c r="U167" s="6">
        <f t="shared" si="55"/>
        <v>0</v>
      </c>
      <c r="V167">
        <f>IF((R167-$AB$774)/($Z$773-$AB$774)&lt;0, 0, IF((R167-$AB$774)/($Z$773-$AB$774)&gt;1, 1, (R167-$AB$774)/($Z$773-$AB$774)))</f>
        <v>0.10199407439987758</v>
      </c>
      <c r="W167" s="6">
        <f t="shared" si="56"/>
        <v>14.476168485475606</v>
      </c>
      <c r="Y167" s="78">
        <v>45048.875</v>
      </c>
      <c r="Z167">
        <v>9.3267755042865705E-2</v>
      </c>
      <c r="AA167" s="6">
        <v>102.5822131</v>
      </c>
      <c r="AB167" s="2">
        <v>8365</v>
      </c>
      <c r="AC167" s="7">
        <f t="shared" si="57"/>
        <v>139.41666666666666</v>
      </c>
      <c r="AD167" s="7">
        <f t="shared" si="58"/>
        <v>13.003079515559525</v>
      </c>
      <c r="AE167" s="7">
        <f t="shared" si="59"/>
        <v>141.93146582928333</v>
      </c>
      <c r="AF167" s="7">
        <f t="shared" si="60"/>
        <v>1</v>
      </c>
      <c r="AG167" s="6">
        <f t="shared" si="61"/>
        <v>141.93146582928333</v>
      </c>
      <c r="AH167" s="2">
        <f t="shared" si="62"/>
        <v>0</v>
      </c>
      <c r="AI167" s="7">
        <f t="shared" si="63"/>
        <v>0</v>
      </c>
      <c r="AK167" s="78">
        <v>45031.427083333336</v>
      </c>
      <c r="AL167" s="5">
        <v>2.6055660454418698E-2</v>
      </c>
      <c r="AM167" s="5">
        <v>48.290232170000003</v>
      </c>
      <c r="AN167" s="2">
        <v>35969</v>
      </c>
      <c r="AO167" s="7">
        <f t="shared" si="68"/>
        <v>599.48333333333335</v>
      </c>
      <c r="AP167" s="5">
        <f t="shared" si="64"/>
        <v>15.619934181416436</v>
      </c>
      <c r="AQ167" s="6">
        <f t="shared" si="65"/>
        <v>142.69156352201242</v>
      </c>
      <c r="AR167" s="2">
        <f t="shared" si="66"/>
        <v>1</v>
      </c>
      <c r="AS167" s="2">
        <f t="shared" si="67"/>
        <v>142.69156352201242</v>
      </c>
    </row>
    <row r="168" spans="13:45" x14ac:dyDescent="0.3">
      <c r="M168" s="78">
        <v>45032.4375</v>
      </c>
      <c r="N168" s="5">
        <v>2.15042221200995E-2</v>
      </c>
      <c r="O168" s="5">
        <v>44.034259820000003</v>
      </c>
      <c r="P168" s="2">
        <v>39439</v>
      </c>
      <c r="Q168" s="7">
        <f t="shared" si="51"/>
        <v>657.31666666666672</v>
      </c>
      <c r="R168" s="6">
        <f t="shared" si="52"/>
        <v>14.135083603243404</v>
      </c>
      <c r="S168" s="6">
        <f t="shared" si="53"/>
        <v>135.87974091319353</v>
      </c>
      <c r="T168" s="2">
        <f t="shared" si="54"/>
        <v>0</v>
      </c>
      <c r="U168" s="6">
        <f t="shared" si="55"/>
        <v>0</v>
      </c>
      <c r="V168">
        <f>IF((R168-$AB$774)/($Z$773-$AB$774)&lt;0, 0, IF((R168-$AB$774)/($Z$773-$AB$774)&gt;1, 1, (R168-$AB$774)/($Z$773-$AB$774)))</f>
        <v>0</v>
      </c>
      <c r="W168" s="6">
        <f t="shared" si="56"/>
        <v>0</v>
      </c>
      <c r="Y168" s="78">
        <v>45048.885416666664</v>
      </c>
      <c r="Z168">
        <v>9.4881656114100404E-2</v>
      </c>
      <c r="AA168" s="6">
        <v>101.36348099999999</v>
      </c>
      <c r="AB168" s="2">
        <v>8322</v>
      </c>
      <c r="AC168" s="7">
        <f t="shared" si="57"/>
        <v>138.69999999999999</v>
      </c>
      <c r="AD168" s="7">
        <f t="shared" si="58"/>
        <v>13.160085703025725</v>
      </c>
      <c r="AE168" s="7">
        <f t="shared" si="59"/>
        <v>135.87974091319353</v>
      </c>
      <c r="AF168" s="7">
        <f t="shared" si="60"/>
        <v>1</v>
      </c>
      <c r="AG168" s="6">
        <f t="shared" si="61"/>
        <v>135.87974091319353</v>
      </c>
      <c r="AH168" s="2">
        <f t="shared" si="62"/>
        <v>0</v>
      </c>
      <c r="AI168" s="7">
        <f t="shared" si="63"/>
        <v>0</v>
      </c>
      <c r="AK168" s="78">
        <v>45031.4375</v>
      </c>
      <c r="AL168" s="5">
        <v>2.9792871445015801E-2</v>
      </c>
      <c r="AM168" s="5">
        <v>51.763919430000001</v>
      </c>
      <c r="AN168" s="2">
        <v>35476</v>
      </c>
      <c r="AO168" s="7">
        <f t="shared" si="68"/>
        <v>591.26666666666665</v>
      </c>
      <c r="AP168" s="5">
        <f t="shared" si="64"/>
        <v>17.615531789723008</v>
      </c>
      <c r="AQ168" s="6">
        <f t="shared" si="65"/>
        <v>151.34523276186351</v>
      </c>
      <c r="AR168" s="2">
        <f t="shared" si="66"/>
        <v>1</v>
      </c>
      <c r="AS168" s="2">
        <f t="shared" si="67"/>
        <v>151.34523276186351</v>
      </c>
    </row>
    <row r="169" spans="13:45" x14ac:dyDescent="0.3">
      <c r="M169" s="78">
        <v>45032.447916666664</v>
      </c>
      <c r="N169" s="5">
        <v>2.2726757814064299E-2</v>
      </c>
      <c r="O169" s="5">
        <v>46.174310370000001</v>
      </c>
      <c r="P169" s="2">
        <v>38899</v>
      </c>
      <c r="Q169" s="7">
        <f t="shared" si="51"/>
        <v>648.31666666666672</v>
      </c>
      <c r="R169" s="6">
        <f t="shared" si="52"/>
        <v>14.734135870154788</v>
      </c>
      <c r="S169" s="6">
        <f t="shared" si="53"/>
        <v>138.66989406093427</v>
      </c>
      <c r="T169" s="2">
        <f t="shared" si="54"/>
        <v>0</v>
      </c>
      <c r="U169" s="6">
        <f t="shared" si="55"/>
        <v>0</v>
      </c>
      <c r="V169">
        <f>IF((R169-$AB$774)/($Z$773-$AB$774)&lt;0, 0, IF((R169-$AB$774)/($Z$773-$AB$774)&gt;1, 1, (R169-$AB$774)/($Z$773-$AB$774)))</f>
        <v>0</v>
      </c>
      <c r="W169" s="6">
        <f t="shared" si="56"/>
        <v>0</v>
      </c>
      <c r="Y169" s="78">
        <v>45048.895833333336</v>
      </c>
      <c r="Z169">
        <v>9.2281356461081904E-2</v>
      </c>
      <c r="AA169" s="6">
        <v>101.36348099999999</v>
      </c>
      <c r="AB169" s="2">
        <v>8411</v>
      </c>
      <c r="AC169" s="7">
        <f t="shared" si="57"/>
        <v>140.18333333333334</v>
      </c>
      <c r="AD169" s="7">
        <f t="shared" si="58"/>
        <v>12.936308153235998</v>
      </c>
      <c r="AE169" s="7">
        <f t="shared" si="59"/>
        <v>138.66989406093427</v>
      </c>
      <c r="AF169" s="7">
        <f t="shared" si="60"/>
        <v>1</v>
      </c>
      <c r="AG169" s="6">
        <f t="shared" si="61"/>
        <v>138.66989406093427</v>
      </c>
      <c r="AH169" s="2">
        <f t="shared" si="62"/>
        <v>0</v>
      </c>
      <c r="AI169" s="7">
        <f t="shared" si="63"/>
        <v>0</v>
      </c>
      <c r="AK169" s="78">
        <v>45031.447916666664</v>
      </c>
      <c r="AL169" s="5">
        <v>2.6537359982651099E-2</v>
      </c>
      <c r="AM169" s="5">
        <v>48.30225712</v>
      </c>
      <c r="AN169" s="2">
        <v>36016</v>
      </c>
      <c r="AO169" s="7">
        <f t="shared" si="68"/>
        <v>600.26666666666665</v>
      </c>
      <c r="AP169" s="5">
        <f t="shared" si="64"/>
        <v>15.929492618919365</v>
      </c>
      <c r="AQ169" s="6">
        <f t="shared" si="65"/>
        <v>144.06944534636659</v>
      </c>
      <c r="AR169" s="2">
        <f t="shared" si="66"/>
        <v>1</v>
      </c>
      <c r="AS169" s="2">
        <f t="shared" si="67"/>
        <v>144.06944534636659</v>
      </c>
    </row>
    <row r="170" spans="13:45" x14ac:dyDescent="0.3">
      <c r="M170" s="78">
        <v>45032.458333333336</v>
      </c>
      <c r="N170" s="5">
        <v>2.2552019502189002E-2</v>
      </c>
      <c r="O170" s="5">
        <v>48.290232170000003</v>
      </c>
      <c r="P170" s="2">
        <v>38776</v>
      </c>
      <c r="Q170" s="7">
        <f t="shared" si="51"/>
        <v>646.26666666666665</v>
      </c>
      <c r="R170" s="6">
        <f t="shared" si="52"/>
        <v>14.574618470281345</v>
      </c>
      <c r="S170" s="6">
        <f t="shared" si="53"/>
        <v>137.93266870320815</v>
      </c>
      <c r="T170" s="2">
        <f t="shared" si="54"/>
        <v>0.25014414861010376</v>
      </c>
      <c r="U170" s="6">
        <f t="shared" si="55"/>
        <v>34.503049978283507</v>
      </c>
      <c r="V170">
        <f>IF((R170-$AB$774)/($Z$773-$AB$774)&lt;0, 0, IF((R170-$AB$774)/($Z$773-$AB$774)&gt;1, 1, (R170-$AB$774)/($Z$773-$AB$774)))</f>
        <v>0</v>
      </c>
      <c r="W170" s="6">
        <f t="shared" si="56"/>
        <v>0</v>
      </c>
      <c r="Y170" s="78">
        <v>45048.90625</v>
      </c>
      <c r="Z170">
        <v>9.6486237909513495E-2</v>
      </c>
      <c r="AA170" s="6">
        <v>96.815355729999993</v>
      </c>
      <c r="AB170" s="2">
        <v>8896</v>
      </c>
      <c r="AC170" s="7">
        <f t="shared" si="57"/>
        <v>148.26666666666668</v>
      </c>
      <c r="AD170" s="7">
        <f t="shared" si="58"/>
        <v>14.305692874050536</v>
      </c>
      <c r="AE170" s="7">
        <f t="shared" si="59"/>
        <v>137.93266870320815</v>
      </c>
      <c r="AF170" s="7">
        <f t="shared" si="60"/>
        <v>1</v>
      </c>
      <c r="AG170" s="6">
        <f t="shared" si="61"/>
        <v>137.93266870320815</v>
      </c>
      <c r="AH170" s="2">
        <f t="shared" si="62"/>
        <v>1</v>
      </c>
      <c r="AI170" s="7">
        <f t="shared" si="63"/>
        <v>137.93266870320815</v>
      </c>
      <c r="AK170" s="78">
        <v>45031.458333333336</v>
      </c>
      <c r="AL170" s="5">
        <v>2.55504507994616E-2</v>
      </c>
      <c r="AM170" s="5">
        <v>50.393595470000001</v>
      </c>
      <c r="AN170" s="2">
        <v>35319</v>
      </c>
      <c r="AO170" s="7">
        <f t="shared" si="68"/>
        <v>588.65</v>
      </c>
      <c r="AP170" s="5">
        <f t="shared" si="64"/>
        <v>15.04027286310307</v>
      </c>
      <c r="AQ170" s="6">
        <f t="shared" si="65"/>
        <v>140.07341486947786</v>
      </c>
      <c r="AR170" s="2">
        <f t="shared" si="66"/>
        <v>1</v>
      </c>
      <c r="AS170" s="2">
        <f t="shared" si="67"/>
        <v>140.07341486947786</v>
      </c>
    </row>
    <row r="171" spans="13:45" x14ac:dyDescent="0.3">
      <c r="M171" s="78">
        <v>45032.46875</v>
      </c>
      <c r="N171" s="5">
        <v>2.2975690869926301E-2</v>
      </c>
      <c r="O171" s="5">
        <v>42.550901439999997</v>
      </c>
      <c r="P171" s="2">
        <v>38600</v>
      </c>
      <c r="Q171" s="7">
        <f t="shared" si="51"/>
        <v>643.33333333333337</v>
      </c>
      <c r="R171" s="6">
        <f t="shared" si="52"/>
        <v>14.78102779298592</v>
      </c>
      <c r="S171" s="6">
        <f t="shared" si="53"/>
        <v>138.88583422277094</v>
      </c>
      <c r="T171" s="2">
        <f t="shared" si="54"/>
        <v>0</v>
      </c>
      <c r="U171" s="6">
        <f t="shared" si="55"/>
        <v>0</v>
      </c>
      <c r="V171">
        <f>IF((R171-$AB$774)/($Z$773-$AB$774)&lt;0, 0, IF((R171-$AB$774)/($Z$773-$AB$774)&gt;1, 1, (R171-$AB$774)/($Z$773-$AB$774)))</f>
        <v>0</v>
      </c>
      <c r="W171" s="6">
        <f t="shared" si="56"/>
        <v>0</v>
      </c>
      <c r="Y171" s="78">
        <v>45048.916666666664</v>
      </c>
      <c r="Z171">
        <v>9.5716247443404498E-2</v>
      </c>
      <c r="AA171" s="6">
        <v>94.720978599999995</v>
      </c>
      <c r="AB171" s="2">
        <v>8691</v>
      </c>
      <c r="AC171" s="7">
        <f t="shared" si="57"/>
        <v>144.85</v>
      </c>
      <c r="AD171" s="7">
        <f t="shared" si="58"/>
        <v>13.86449844217714</v>
      </c>
      <c r="AE171" s="7">
        <f t="shared" si="59"/>
        <v>138.88583422277094</v>
      </c>
      <c r="AF171" s="7">
        <f t="shared" si="60"/>
        <v>1</v>
      </c>
      <c r="AG171" s="6">
        <f t="shared" si="61"/>
        <v>138.88583422277094</v>
      </c>
      <c r="AH171" s="2">
        <f t="shared" si="62"/>
        <v>1</v>
      </c>
      <c r="AI171" s="7">
        <f t="shared" si="63"/>
        <v>138.88583422277094</v>
      </c>
      <c r="AK171" s="78">
        <v>45031.46875</v>
      </c>
      <c r="AL171" s="5">
        <v>2.5913018993059599E-2</v>
      </c>
      <c r="AM171" s="5">
        <v>51.0808441</v>
      </c>
      <c r="AN171" s="2">
        <v>34874</v>
      </c>
      <c r="AO171" s="7">
        <f t="shared" si="68"/>
        <v>581.23333333333335</v>
      </c>
      <c r="AP171" s="5">
        <f t="shared" si="64"/>
        <v>15.061510406066008</v>
      </c>
      <c r="AQ171" s="6">
        <f t="shared" si="65"/>
        <v>140.17023774790081</v>
      </c>
      <c r="AR171" s="2">
        <f t="shared" si="66"/>
        <v>1</v>
      </c>
      <c r="AS171" s="2">
        <f t="shared" si="67"/>
        <v>140.17023774790081</v>
      </c>
    </row>
    <row r="172" spans="13:45" x14ac:dyDescent="0.3">
      <c r="M172" s="78">
        <v>45032.479166666664</v>
      </c>
      <c r="N172" s="5">
        <v>2.2799662786772298E-2</v>
      </c>
      <c r="O172" s="5">
        <v>44.034259820000003</v>
      </c>
      <c r="P172" s="2">
        <v>38547</v>
      </c>
      <c r="Q172" s="7">
        <f t="shared" si="51"/>
        <v>642.45000000000005</v>
      </c>
      <c r="R172" s="6">
        <f t="shared" si="52"/>
        <v>14.647643357361865</v>
      </c>
      <c r="S172" s="6">
        <f t="shared" si="53"/>
        <v>138.27066876501937</v>
      </c>
      <c r="T172" s="2">
        <f t="shared" si="54"/>
        <v>0</v>
      </c>
      <c r="U172" s="6">
        <f t="shared" si="55"/>
        <v>0</v>
      </c>
      <c r="V172">
        <f>IF((R172-$AB$774)/($Z$773-$AB$774)&lt;0, 0, IF((R172-$AB$774)/($Z$773-$AB$774)&gt;1, 1, (R172-$AB$774)/($Z$773-$AB$774)))</f>
        <v>0</v>
      </c>
      <c r="W172" s="6">
        <f t="shared" si="56"/>
        <v>0</v>
      </c>
      <c r="Y172" s="78">
        <v>45048.927083333336</v>
      </c>
      <c r="Z172">
        <v>9.2684406172247005E-2</v>
      </c>
      <c r="AA172" s="6">
        <v>100.9486689</v>
      </c>
      <c r="AB172" s="2">
        <v>8853</v>
      </c>
      <c r="AC172" s="7">
        <f t="shared" si="57"/>
        <v>147.55000000000001</v>
      </c>
      <c r="AD172" s="7">
        <f t="shared" si="58"/>
        <v>13.675584130715047</v>
      </c>
      <c r="AE172" s="7">
        <f t="shared" si="59"/>
        <v>138.27066876501937</v>
      </c>
      <c r="AF172" s="7">
        <f t="shared" si="60"/>
        <v>1</v>
      </c>
      <c r="AG172" s="6">
        <f t="shared" si="61"/>
        <v>138.27066876501937</v>
      </c>
      <c r="AH172" s="2">
        <f t="shared" si="62"/>
        <v>1</v>
      </c>
      <c r="AI172" s="7">
        <f t="shared" si="63"/>
        <v>138.27066876501937</v>
      </c>
      <c r="AK172" s="78">
        <v>45031.479166666664</v>
      </c>
      <c r="AL172" s="5">
        <v>2.6355641160223601E-2</v>
      </c>
      <c r="AM172" s="5">
        <v>48.998295149999997</v>
      </c>
      <c r="AN172" s="2">
        <v>34934</v>
      </c>
      <c r="AO172" s="7">
        <f t="shared" si="68"/>
        <v>582.23333333333335</v>
      </c>
      <c r="AP172" s="5">
        <f t="shared" si="64"/>
        <v>15.345132804854188</v>
      </c>
      <c r="AQ172" s="6">
        <f t="shared" si="65"/>
        <v>141.45666688672671</v>
      </c>
      <c r="AR172" s="2">
        <f t="shared" si="66"/>
        <v>1</v>
      </c>
      <c r="AS172" s="2">
        <f t="shared" si="67"/>
        <v>141.45666688672671</v>
      </c>
    </row>
    <row r="173" spans="13:45" x14ac:dyDescent="0.3">
      <c r="M173" s="78">
        <v>45032.489583333336</v>
      </c>
      <c r="N173" s="5">
        <v>2.4727751543963099E-2</v>
      </c>
      <c r="O173" s="5">
        <v>42.550901439999997</v>
      </c>
      <c r="P173" s="2">
        <v>38050</v>
      </c>
      <c r="Q173" s="7">
        <f t="shared" si="51"/>
        <v>634.16666666666663</v>
      </c>
      <c r="R173" s="6">
        <f t="shared" si="52"/>
        <v>15.681515770796597</v>
      </c>
      <c r="S173" s="6">
        <f t="shared" si="53"/>
        <v>142.96677330720198</v>
      </c>
      <c r="T173" s="2">
        <f t="shared" si="54"/>
        <v>0</v>
      </c>
      <c r="U173" s="6">
        <f t="shared" si="55"/>
        <v>0</v>
      </c>
      <c r="V173">
        <f>IF((R173-$AB$774)/($Z$773-$AB$774)&lt;0, 0, IF((R173-$AB$774)/($Z$773-$AB$774)&gt;1, 1, (R173-$AB$774)/($Z$773-$AB$774)))</f>
        <v>0.14428225981994766</v>
      </c>
      <c r="W173" s="6">
        <f t="shared" si="56"/>
        <v>20.627569131929274</v>
      </c>
      <c r="Y173" s="78">
        <v>45048.9375</v>
      </c>
      <c r="Z173">
        <v>9.0311246614523097E-2</v>
      </c>
      <c r="AA173" s="6">
        <v>97.229596529999995</v>
      </c>
      <c r="AB173" s="2">
        <v>8825</v>
      </c>
      <c r="AC173" s="7">
        <f t="shared" si="57"/>
        <v>147.08333333333334</v>
      </c>
      <c r="AD173" s="7">
        <f t="shared" si="58"/>
        <v>13.283279189552774</v>
      </c>
      <c r="AE173" s="7">
        <f t="shared" si="59"/>
        <v>142.96677330720198</v>
      </c>
      <c r="AF173" s="7">
        <f t="shared" si="60"/>
        <v>1</v>
      </c>
      <c r="AG173" s="6">
        <f t="shared" si="61"/>
        <v>142.96677330720198</v>
      </c>
      <c r="AH173" s="2">
        <f t="shared" si="62"/>
        <v>9.992637435688688E-2</v>
      </c>
      <c r="AI173" s="7">
        <f t="shared" si="63"/>
        <v>14.286151310091647</v>
      </c>
      <c r="AK173" s="78">
        <v>45031.489583333336</v>
      </c>
      <c r="AL173" s="5">
        <v>2.5272069525542899E-2</v>
      </c>
      <c r="AM173" s="5">
        <v>48.998295149999997</v>
      </c>
      <c r="AN173" s="2">
        <v>35074</v>
      </c>
      <c r="AO173" s="7">
        <f t="shared" si="68"/>
        <v>584.56666666666672</v>
      </c>
      <c r="AP173" s="5">
        <f t="shared" si="64"/>
        <v>14.773209442314862</v>
      </c>
      <c r="AQ173" s="6">
        <f t="shared" si="65"/>
        <v>138.84985455142453</v>
      </c>
      <c r="AR173" s="2">
        <f t="shared" si="66"/>
        <v>1</v>
      </c>
      <c r="AS173" s="2">
        <f t="shared" si="67"/>
        <v>138.84985455142453</v>
      </c>
    </row>
    <row r="174" spans="13:45" x14ac:dyDescent="0.3">
      <c r="M174" s="78">
        <v>45032.5</v>
      </c>
      <c r="N174" s="5">
        <v>2.43109967031594E-2</v>
      </c>
      <c r="O174" s="5">
        <v>44.757542890000003</v>
      </c>
      <c r="P174" s="2">
        <v>37933</v>
      </c>
      <c r="Q174" s="7">
        <f t="shared" si="51"/>
        <v>632.2166666666667</v>
      </c>
      <c r="R174" s="6">
        <f t="shared" si="52"/>
        <v>15.369817299015759</v>
      </c>
      <c r="S174" s="6">
        <f t="shared" si="53"/>
        <v>141.56805246435667</v>
      </c>
      <c r="T174" s="2">
        <f t="shared" si="54"/>
        <v>0</v>
      </c>
      <c r="U174" s="6">
        <f t="shared" si="55"/>
        <v>0</v>
      </c>
      <c r="V174">
        <f>IF((R174-$AB$774)/($Z$773-$AB$774)&lt;0, 0, IF((R174-$AB$774)/($Z$773-$AB$774)&gt;1, 1, (R174-$AB$774)/($Z$773-$AB$774)))</f>
        <v>8.7226022739108372E-2</v>
      </c>
      <c r="W174" s="6">
        <f t="shared" si="56"/>
        <v>12.348418163387262</v>
      </c>
      <c r="Y174" s="78">
        <v>45048.947916666664</v>
      </c>
      <c r="Z174">
        <v>9.2121978680520897E-2</v>
      </c>
      <c r="AA174" s="6">
        <v>102.9943694</v>
      </c>
      <c r="AB174" s="2">
        <v>8497</v>
      </c>
      <c r="AC174" s="7">
        <f t="shared" si="57"/>
        <v>141.61666666666667</v>
      </c>
      <c r="AD174" s="7">
        <f t="shared" si="58"/>
        <v>13.046007547473101</v>
      </c>
      <c r="AE174" s="7">
        <f t="shared" si="59"/>
        <v>141.56805246435667</v>
      </c>
      <c r="AF174" s="7">
        <f t="shared" si="60"/>
        <v>1</v>
      </c>
      <c r="AG174" s="6">
        <f t="shared" si="61"/>
        <v>141.56805246435667</v>
      </c>
      <c r="AH174" s="2">
        <f t="shared" si="62"/>
        <v>0</v>
      </c>
      <c r="AI174" s="7">
        <f t="shared" si="63"/>
        <v>0</v>
      </c>
      <c r="AK174" s="78">
        <v>45031.5</v>
      </c>
      <c r="AL174" s="5">
        <v>2.4004757271361501E-2</v>
      </c>
      <c r="AM174" s="5">
        <v>48.998295149999997</v>
      </c>
      <c r="AN174" s="2">
        <v>37522</v>
      </c>
      <c r="AO174" s="7">
        <f t="shared" si="68"/>
        <v>625.36666666666667</v>
      </c>
      <c r="AP174" s="5">
        <f t="shared" si="64"/>
        <v>15.01177503893377</v>
      </c>
      <c r="AQ174" s="6">
        <f t="shared" si="65"/>
        <v>139.94338236806948</v>
      </c>
      <c r="AR174" s="2">
        <f t="shared" si="66"/>
        <v>1</v>
      </c>
      <c r="AS174" s="2">
        <f t="shared" si="67"/>
        <v>139.94338236806948</v>
      </c>
    </row>
    <row r="175" spans="13:45" x14ac:dyDescent="0.3">
      <c r="M175" s="78">
        <v>45032.510416666664</v>
      </c>
      <c r="N175" s="5">
        <v>2.5887795166138799E-2</v>
      </c>
      <c r="O175" s="5">
        <v>46.186478979999997</v>
      </c>
      <c r="P175" s="2">
        <v>38553</v>
      </c>
      <c r="Q175" s="7">
        <f t="shared" si="51"/>
        <v>642.54999999999995</v>
      </c>
      <c r="R175" s="6">
        <f t="shared" si="52"/>
        <v>16.634202784002483</v>
      </c>
      <c r="S175" s="6">
        <f t="shared" si="53"/>
        <v>147.15609950062395</v>
      </c>
      <c r="T175" s="2">
        <f t="shared" si="54"/>
        <v>0</v>
      </c>
      <c r="U175" s="6">
        <f t="shared" si="55"/>
        <v>0</v>
      </c>
      <c r="V175">
        <f>IF((R175-$AB$774)/($Z$773-$AB$774)&lt;0, 0, IF((R175-$AB$774)/($Z$773-$AB$774)&gt;1, 1, (R175-$AB$774)/($Z$773-$AB$774)))</f>
        <v>0.31867110355971118</v>
      </c>
      <c r="W175" s="6">
        <f t="shared" si="56"/>
        <v>46.8943966234065</v>
      </c>
      <c r="Y175" s="78">
        <v>45048.958333333336</v>
      </c>
      <c r="Z175">
        <v>9.3270159029743505E-2</v>
      </c>
      <c r="AA175" s="6">
        <v>95.561650760000006</v>
      </c>
      <c r="AB175" s="2">
        <v>9027</v>
      </c>
      <c r="AC175" s="7">
        <f t="shared" si="57"/>
        <v>150.44999999999999</v>
      </c>
      <c r="AD175" s="7">
        <f t="shared" si="58"/>
        <v>14.032495426024909</v>
      </c>
      <c r="AE175" s="7">
        <f t="shared" si="59"/>
        <v>147.15609950062395</v>
      </c>
      <c r="AF175" s="7">
        <f t="shared" si="60"/>
        <v>1</v>
      </c>
      <c r="AG175" s="6">
        <f t="shared" si="61"/>
        <v>147.15609950062395</v>
      </c>
      <c r="AH175" s="2">
        <f t="shared" si="62"/>
        <v>1</v>
      </c>
      <c r="AI175" s="7">
        <f t="shared" si="63"/>
        <v>147.15609950062395</v>
      </c>
      <c r="AK175" s="78">
        <v>45031.510416666664</v>
      </c>
      <c r="AL175" s="5">
        <v>2.5901283167464501E-2</v>
      </c>
      <c r="AM175" s="5">
        <v>48.998295149999997</v>
      </c>
      <c r="AN175" s="2">
        <v>37681</v>
      </c>
      <c r="AO175" s="7">
        <f t="shared" si="68"/>
        <v>628.01666666666665</v>
      </c>
      <c r="AP175" s="5">
        <f t="shared" si="64"/>
        <v>16.266437517220499</v>
      </c>
      <c r="AQ175" s="6">
        <f t="shared" si="65"/>
        <v>145.55378558420549</v>
      </c>
      <c r="AR175" s="2">
        <f t="shared" si="66"/>
        <v>1</v>
      </c>
      <c r="AS175" s="2">
        <f t="shared" si="67"/>
        <v>145.55378558420549</v>
      </c>
    </row>
    <row r="176" spans="13:45" x14ac:dyDescent="0.3">
      <c r="M176" s="78">
        <v>45032.520833333336</v>
      </c>
      <c r="N176" s="5">
        <v>2.2746144081683399E-2</v>
      </c>
      <c r="O176" s="5">
        <v>47.592533240000002</v>
      </c>
      <c r="P176" s="2">
        <v>37281</v>
      </c>
      <c r="Q176" s="7">
        <f t="shared" si="51"/>
        <v>621.35</v>
      </c>
      <c r="R176" s="6">
        <f t="shared" si="52"/>
        <v>14.133316625153981</v>
      </c>
      <c r="S176" s="6">
        <f t="shared" si="53"/>
        <v>135.87142267313658</v>
      </c>
      <c r="T176" s="2">
        <f t="shared" si="54"/>
        <v>0</v>
      </c>
      <c r="U176" s="6">
        <f t="shared" si="55"/>
        <v>0</v>
      </c>
      <c r="V176">
        <f>IF((R176-$AB$774)/($Z$773-$AB$774)&lt;0, 0, IF((R176-$AB$774)/($Z$773-$AB$774)&gt;1, 1, (R176-$AB$774)/($Z$773-$AB$774)))</f>
        <v>0</v>
      </c>
      <c r="W176" s="6">
        <f t="shared" si="56"/>
        <v>0</v>
      </c>
      <c r="Y176" s="78">
        <v>45048.96875</v>
      </c>
      <c r="Z176">
        <v>8.5774989570864699E-2</v>
      </c>
      <c r="AA176" s="6">
        <v>93.877037450000003</v>
      </c>
      <c r="AB176" s="2">
        <v>9206</v>
      </c>
      <c r="AC176" s="7">
        <f t="shared" si="57"/>
        <v>153.43333333333334</v>
      </c>
      <c r="AD176" s="7">
        <f t="shared" si="58"/>
        <v>13.160742566489674</v>
      </c>
      <c r="AE176" s="7">
        <f t="shared" si="59"/>
        <v>135.87142267313658</v>
      </c>
      <c r="AF176" s="7">
        <f t="shared" si="60"/>
        <v>1</v>
      </c>
      <c r="AG176" s="6">
        <f t="shared" si="61"/>
        <v>135.87142267313658</v>
      </c>
      <c r="AH176" s="2">
        <f t="shared" si="62"/>
        <v>0</v>
      </c>
      <c r="AI176" s="7">
        <f t="shared" si="63"/>
        <v>0</v>
      </c>
      <c r="AK176" s="78">
        <v>45031.520833333336</v>
      </c>
      <c r="AL176" s="5">
        <v>2.71037544532922E-2</v>
      </c>
      <c r="AM176" s="5">
        <v>48.998295149999997</v>
      </c>
      <c r="AN176" s="2">
        <v>36386</v>
      </c>
      <c r="AO176" s="7">
        <f t="shared" si="68"/>
        <v>606.43333333333328</v>
      </c>
      <c r="AP176" s="5">
        <f t="shared" si="64"/>
        <v>16.436620158958164</v>
      </c>
      <c r="AQ176" s="6">
        <f t="shared" si="65"/>
        <v>146.29752643259761</v>
      </c>
      <c r="AR176" s="2">
        <f t="shared" si="66"/>
        <v>1</v>
      </c>
      <c r="AS176" s="2">
        <f t="shared" si="67"/>
        <v>146.29752643259761</v>
      </c>
    </row>
    <row r="177" spans="13:45" x14ac:dyDescent="0.3">
      <c r="M177" s="78">
        <v>45032.53125</v>
      </c>
      <c r="N177" s="5">
        <v>2.7652777141045901E-2</v>
      </c>
      <c r="O177" s="5">
        <v>48.30225712</v>
      </c>
      <c r="P177" s="2">
        <v>37575</v>
      </c>
      <c r="Q177" s="7">
        <f t="shared" si="51"/>
        <v>626.25</v>
      </c>
      <c r="R177" s="6">
        <f t="shared" si="52"/>
        <v>17.317551684579996</v>
      </c>
      <c r="S177" s="6">
        <f t="shared" si="53"/>
        <v>150.08608461519074</v>
      </c>
      <c r="T177" s="2">
        <f t="shared" si="54"/>
        <v>0.25445542206988725</v>
      </c>
      <c r="U177" s="6">
        <f t="shared" si="55"/>
        <v>38.190218007575169</v>
      </c>
      <c r="V177">
        <f>IF((R177-$AB$774)/($Z$773-$AB$774)&lt;0, 0, IF((R177-$AB$774)/($Z$773-$AB$774)&gt;1, 1, (R177-$AB$774)/($Z$773-$AB$774)))</f>
        <v>0.44375775110572707</v>
      </c>
      <c r="W177" s="6">
        <f t="shared" si="56"/>
        <v>66.601863381100912</v>
      </c>
      <c r="Y177" s="78">
        <v>45048.979166666664</v>
      </c>
      <c r="Z177">
        <v>9.0322903679903699E-2</v>
      </c>
      <c r="AA177" s="6">
        <v>93.877037450000003</v>
      </c>
      <c r="AB177" s="2">
        <v>8459</v>
      </c>
      <c r="AC177" s="7">
        <f t="shared" si="57"/>
        <v>140.98333333333332</v>
      </c>
      <c r="AD177" s="7">
        <f t="shared" si="58"/>
        <v>12.734024037138422</v>
      </c>
      <c r="AE177" s="7">
        <f t="shared" si="59"/>
        <v>150.08608461519074</v>
      </c>
      <c r="AF177" s="7">
        <f t="shared" si="60"/>
        <v>1</v>
      </c>
      <c r="AG177" s="6">
        <f t="shared" si="61"/>
        <v>150.08608461519074</v>
      </c>
      <c r="AH177" s="2">
        <f t="shared" si="62"/>
        <v>0</v>
      </c>
      <c r="AI177" s="7">
        <f t="shared" si="63"/>
        <v>0</v>
      </c>
      <c r="AK177" s="78">
        <v>45031.53125</v>
      </c>
      <c r="AL177" s="5">
        <v>2.4721581323935302E-2</v>
      </c>
      <c r="AM177" s="5">
        <v>51.0808441</v>
      </c>
      <c r="AN177" s="2">
        <v>36183</v>
      </c>
      <c r="AO177" s="7">
        <f t="shared" si="68"/>
        <v>603.04999999999995</v>
      </c>
      <c r="AP177" s="5">
        <f t="shared" si="64"/>
        <v>14.908349617399182</v>
      </c>
      <c r="AQ177" s="6">
        <f t="shared" si="65"/>
        <v>139.47040196460691</v>
      </c>
      <c r="AR177" s="2">
        <f t="shared" si="66"/>
        <v>1</v>
      </c>
      <c r="AS177" s="2">
        <f t="shared" si="67"/>
        <v>139.47040196460691</v>
      </c>
    </row>
    <row r="178" spans="13:45" x14ac:dyDescent="0.3">
      <c r="M178" s="78">
        <v>45032.541666666664</v>
      </c>
      <c r="N178" s="5">
        <v>2.6112360378262801E-2</v>
      </c>
      <c r="O178" s="5">
        <v>48.30225712</v>
      </c>
      <c r="P178" s="2">
        <v>37190</v>
      </c>
      <c r="Q178" s="7">
        <f t="shared" si="51"/>
        <v>619.83333333333337</v>
      </c>
      <c r="R178" s="6">
        <f t="shared" si="52"/>
        <v>16.185311374459893</v>
      </c>
      <c r="S178" s="6">
        <f t="shared" si="53"/>
        <v>145.19784650414783</v>
      </c>
      <c r="T178" s="2">
        <f t="shared" si="54"/>
        <v>0.25445542206988725</v>
      </c>
      <c r="U178" s="6">
        <f t="shared" si="55"/>
        <v>36.946379315851637</v>
      </c>
      <c r="V178">
        <f>IF((R178-$AB$774)/($Z$773-$AB$774)&lt;0, 0, IF((R178-$AB$774)/($Z$773-$AB$774)&gt;1, 1, (R178-$AB$774)/($Z$773-$AB$774)))</f>
        <v>0.23650177324479546</v>
      </c>
      <c r="W178" s="6">
        <f t="shared" si="56"/>
        <v>34.339548169556586</v>
      </c>
      <c r="Y178" s="78">
        <v>45048.989583333336</v>
      </c>
      <c r="Z178">
        <v>8.6814732776948594E-2</v>
      </c>
      <c r="AA178" s="6">
        <v>92.610732819999996</v>
      </c>
      <c r="AB178" s="2">
        <v>9500</v>
      </c>
      <c r="AC178" s="7">
        <f t="shared" si="57"/>
        <v>158.33333333333334</v>
      </c>
      <c r="AD178" s="7">
        <f t="shared" si="58"/>
        <v>13.745666023016861</v>
      </c>
      <c r="AE178" s="7">
        <f t="shared" si="59"/>
        <v>145.19784650414783</v>
      </c>
      <c r="AF178" s="7">
        <f t="shared" si="60"/>
        <v>1</v>
      </c>
      <c r="AG178" s="6">
        <f t="shared" si="61"/>
        <v>145.19784650414783</v>
      </c>
      <c r="AH178" s="2">
        <f t="shared" si="62"/>
        <v>1</v>
      </c>
      <c r="AI178" s="7">
        <f t="shared" si="63"/>
        <v>145.19784650414783</v>
      </c>
      <c r="AK178" s="78">
        <v>45031.541666666664</v>
      </c>
      <c r="AL178" s="5">
        <v>2.6205212725922598E-2</v>
      </c>
      <c r="AM178" s="5">
        <v>48.998295149999997</v>
      </c>
      <c r="AN178" s="2">
        <v>36060</v>
      </c>
      <c r="AO178" s="7">
        <f t="shared" si="68"/>
        <v>601</v>
      </c>
      <c r="AP178" s="5">
        <f t="shared" si="64"/>
        <v>15.749332848279481</v>
      </c>
      <c r="AQ178" s="6">
        <f t="shared" si="65"/>
        <v>143.26921232024179</v>
      </c>
      <c r="AR178" s="2">
        <f t="shared" si="66"/>
        <v>1</v>
      </c>
      <c r="AS178" s="2">
        <f t="shared" si="67"/>
        <v>143.26921232024179</v>
      </c>
    </row>
    <row r="179" spans="13:45" x14ac:dyDescent="0.3">
      <c r="M179" s="78">
        <v>45032.552083333336</v>
      </c>
      <c r="N179" s="5">
        <v>3.09535003259978E-2</v>
      </c>
      <c r="O179" s="5">
        <v>51.763919430000001</v>
      </c>
      <c r="P179" s="2">
        <v>36329</v>
      </c>
      <c r="Q179" s="7">
        <f t="shared" si="51"/>
        <v>605.48333333333335</v>
      </c>
      <c r="R179" s="6">
        <f t="shared" si="52"/>
        <v>18.741828555719568</v>
      </c>
      <c r="S179" s="6">
        <f t="shared" si="53"/>
        <v>156.00898448073622</v>
      </c>
      <c r="T179" s="2">
        <f t="shared" si="54"/>
        <v>1</v>
      </c>
      <c r="U179" s="6">
        <f t="shared" si="55"/>
        <v>156.00898448073622</v>
      </c>
      <c r="V179">
        <f>IF((R179-$AB$774)/($Z$773-$AB$774)&lt;0, 0, IF((R179-$AB$774)/($Z$773-$AB$774)&gt;1, 1, (R179-$AB$774)/($Z$773-$AB$774)))</f>
        <v>0.70447086389132252</v>
      </c>
      <c r="W179" s="6">
        <f t="shared" si="56"/>
        <v>109.90378407195217</v>
      </c>
      <c r="Y179" s="78">
        <v>45049</v>
      </c>
      <c r="Z179">
        <v>8.8087878352272594E-2</v>
      </c>
      <c r="AA179" s="6">
        <v>93.457733590000004</v>
      </c>
      <c r="AB179" s="2">
        <v>9688</v>
      </c>
      <c r="AC179" s="7">
        <f t="shared" si="57"/>
        <v>161.46666666666667</v>
      </c>
      <c r="AD179" s="7">
        <f t="shared" si="58"/>
        <v>14.223256091280282</v>
      </c>
      <c r="AE179" s="7">
        <f t="shared" si="59"/>
        <v>156.00898448073622</v>
      </c>
      <c r="AF179" s="7">
        <f t="shared" si="60"/>
        <v>1</v>
      </c>
      <c r="AG179" s="6">
        <f t="shared" si="61"/>
        <v>156.00898448073622</v>
      </c>
      <c r="AH179" s="2">
        <f t="shared" si="62"/>
        <v>1</v>
      </c>
      <c r="AI179" s="7">
        <f t="shared" si="63"/>
        <v>156.00898448073622</v>
      </c>
      <c r="AK179" s="78">
        <v>45031.552083333336</v>
      </c>
      <c r="AL179" s="5">
        <v>2.6305132186526099E-2</v>
      </c>
      <c r="AM179" s="5">
        <v>52.445143710000004</v>
      </c>
      <c r="AN179" s="2">
        <v>35853</v>
      </c>
      <c r="AO179" s="7">
        <f t="shared" si="68"/>
        <v>597.54999999999995</v>
      </c>
      <c r="AP179" s="5">
        <f t="shared" si="64"/>
        <v>15.718631738058669</v>
      </c>
      <c r="AQ179" s="6">
        <f t="shared" si="65"/>
        <v>143.13237925245491</v>
      </c>
      <c r="AR179" s="2">
        <f t="shared" si="66"/>
        <v>1</v>
      </c>
      <c r="AS179" s="2">
        <f t="shared" si="67"/>
        <v>143.13237925245491</v>
      </c>
    </row>
    <row r="180" spans="13:45" x14ac:dyDescent="0.3">
      <c r="M180" s="78">
        <v>45032.5625</v>
      </c>
      <c r="N180" s="5">
        <v>2.3434567475717E-2</v>
      </c>
      <c r="O180" s="5">
        <v>47.592533240000002</v>
      </c>
      <c r="P180" s="2">
        <v>36396</v>
      </c>
      <c r="Q180" s="7">
        <f t="shared" si="51"/>
        <v>606.6</v>
      </c>
      <c r="R180" s="6">
        <f t="shared" si="52"/>
        <v>14.215408630769932</v>
      </c>
      <c r="S180" s="6">
        <f t="shared" si="53"/>
        <v>136.25732089246875</v>
      </c>
      <c r="T180" s="2">
        <f t="shared" si="54"/>
        <v>0</v>
      </c>
      <c r="U180" s="6">
        <f t="shared" si="55"/>
        <v>0</v>
      </c>
      <c r="V180">
        <f>IF((R180-$AB$774)/($Z$773-$AB$774)&lt;0, 0, IF((R180-$AB$774)/($Z$773-$AB$774)&gt;1, 1, (R180-$AB$774)/($Z$773-$AB$774)))</f>
        <v>0</v>
      </c>
      <c r="W180" s="6">
        <f t="shared" si="56"/>
        <v>0</v>
      </c>
      <c r="Y180" s="78">
        <v>45049.010416666664</v>
      </c>
      <c r="Z180">
        <v>8.2821686569018102E-2</v>
      </c>
      <c r="AA180" s="6">
        <v>92.610732819999996</v>
      </c>
      <c r="AB180" s="2">
        <v>9797</v>
      </c>
      <c r="AC180" s="7">
        <f t="shared" si="57"/>
        <v>163.28333333333333</v>
      </c>
      <c r="AD180" s="7">
        <f t="shared" si="58"/>
        <v>13.523401055277839</v>
      </c>
      <c r="AE180" s="7">
        <f t="shared" si="59"/>
        <v>136.25732089246875</v>
      </c>
      <c r="AF180" s="7">
        <f t="shared" si="60"/>
        <v>1</v>
      </c>
      <c r="AG180" s="6">
        <f t="shared" si="61"/>
        <v>136.25732089246875</v>
      </c>
      <c r="AH180" s="2">
        <f t="shared" si="62"/>
        <v>0.8646094052289911</v>
      </c>
      <c r="AI180" s="7">
        <f t="shared" si="63"/>
        <v>117.80936117493319</v>
      </c>
      <c r="AK180" s="78">
        <v>45031.5625</v>
      </c>
      <c r="AL180" s="5">
        <v>2.9166413553427799E-2</v>
      </c>
      <c r="AM180" s="5">
        <v>50.381720729999998</v>
      </c>
      <c r="AN180" s="2">
        <v>35629</v>
      </c>
      <c r="AO180" s="7">
        <f t="shared" si="68"/>
        <v>593.81666666666672</v>
      </c>
      <c r="AP180" s="5">
        <f t="shared" si="64"/>
        <v>17.319502474917986</v>
      </c>
      <c r="AQ180" s="6">
        <f t="shared" si="65"/>
        <v>150.0943636966075</v>
      </c>
      <c r="AR180" s="2">
        <f t="shared" si="66"/>
        <v>1</v>
      </c>
      <c r="AS180" s="2">
        <f t="shared" si="67"/>
        <v>150.0943636966075</v>
      </c>
    </row>
    <row r="181" spans="13:45" x14ac:dyDescent="0.3">
      <c r="M181" s="78">
        <v>45032.572916666664</v>
      </c>
      <c r="N181" s="5">
        <v>2.4940105615221E-2</v>
      </c>
      <c r="O181" s="5">
        <v>47.592533240000002</v>
      </c>
      <c r="P181" s="2">
        <v>36175</v>
      </c>
      <c r="Q181" s="7">
        <f t="shared" si="51"/>
        <v>602.91666666666663</v>
      </c>
      <c r="R181" s="6">
        <f t="shared" si="52"/>
        <v>15.03680534384366</v>
      </c>
      <c r="S181" s="6">
        <f t="shared" si="53"/>
        <v>140.05759967501024</v>
      </c>
      <c r="T181" s="2">
        <f t="shared" si="54"/>
        <v>0</v>
      </c>
      <c r="U181" s="6">
        <f t="shared" si="55"/>
        <v>0</v>
      </c>
      <c r="V181">
        <f>IF((R181-$AB$774)/($Z$773-$AB$774)&lt;0, 0, IF((R181-$AB$774)/($Z$773-$AB$774)&gt;1, 1, (R181-$AB$774)/($Z$773-$AB$774)))</f>
        <v>2.6268364023307282E-2</v>
      </c>
      <c r="W181" s="6">
        <f t="shared" si="56"/>
        <v>3.6790840124938127</v>
      </c>
      <c r="Y181" s="78">
        <v>45049.020833333336</v>
      </c>
      <c r="Z181">
        <v>9.05321829186084E-2</v>
      </c>
      <c r="AA181" s="6">
        <v>98.886564129999996</v>
      </c>
      <c r="AB181" s="2">
        <v>9362</v>
      </c>
      <c r="AC181" s="7">
        <f t="shared" si="57"/>
        <v>156.03333333333333</v>
      </c>
      <c r="AD181" s="7">
        <f t="shared" si="58"/>
        <v>14.126038274733531</v>
      </c>
      <c r="AE181" s="7">
        <f t="shared" si="59"/>
        <v>140.05759967501024</v>
      </c>
      <c r="AF181" s="7">
        <f t="shared" si="60"/>
        <v>1</v>
      </c>
      <c r="AG181" s="6">
        <f t="shared" si="61"/>
        <v>140.05759967501024</v>
      </c>
      <c r="AH181" s="2">
        <f t="shared" si="62"/>
        <v>1</v>
      </c>
      <c r="AI181" s="7">
        <f t="shared" si="63"/>
        <v>140.05759967501024</v>
      </c>
      <c r="AK181" s="78">
        <v>45031.572916666664</v>
      </c>
      <c r="AL181" s="5">
        <v>7.5896657893646705E-2</v>
      </c>
      <c r="AM181" s="5">
        <v>50.381720729999998</v>
      </c>
      <c r="AN181" s="2">
        <v>35701</v>
      </c>
      <c r="AO181" s="7">
        <f t="shared" si="68"/>
        <v>595.01666666666665</v>
      </c>
      <c r="AP181" s="5">
        <f t="shared" si="64"/>
        <v>45.159776391018013</v>
      </c>
      <c r="AQ181" s="6">
        <f t="shared" si="65"/>
        <v>239.98579754352036</v>
      </c>
      <c r="AR181" s="2">
        <f t="shared" si="66"/>
        <v>1</v>
      </c>
      <c r="AS181" s="2">
        <f t="shared" si="67"/>
        <v>239.98579754352036</v>
      </c>
    </row>
    <row r="182" spans="13:45" x14ac:dyDescent="0.3">
      <c r="M182" s="78">
        <v>45032.583333333336</v>
      </c>
      <c r="N182" s="5">
        <v>2.4625809391907099E-2</v>
      </c>
      <c r="O182" s="5">
        <v>47.592533240000002</v>
      </c>
      <c r="P182" s="2">
        <v>36062</v>
      </c>
      <c r="Q182" s="7">
        <f t="shared" si="51"/>
        <v>601.0333333333333</v>
      </c>
      <c r="R182" s="6">
        <f t="shared" si="52"/>
        <v>14.80093230484923</v>
      </c>
      <c r="S182" s="6">
        <f t="shared" si="53"/>
        <v>138.97739001168253</v>
      </c>
      <c r="T182" s="2">
        <f t="shared" si="54"/>
        <v>0</v>
      </c>
      <c r="U182" s="6">
        <f t="shared" si="55"/>
        <v>0</v>
      </c>
      <c r="V182">
        <f>IF((R182-$AB$774)/($Z$773-$AB$774)&lt;0, 0, IF((R182-$AB$774)/($Z$773-$AB$774)&gt;1, 1, (R182-$AB$774)/($Z$773-$AB$774)))</f>
        <v>0</v>
      </c>
      <c r="W182" s="6">
        <f t="shared" si="56"/>
        <v>0</v>
      </c>
      <c r="Y182" s="78">
        <v>45049.03125</v>
      </c>
      <c r="Z182">
        <v>8.8418640146508895E-2</v>
      </c>
      <c r="AA182" s="6">
        <v>102.17638460000001</v>
      </c>
      <c r="AB182" s="2">
        <v>9120</v>
      </c>
      <c r="AC182" s="7">
        <f t="shared" si="57"/>
        <v>152</v>
      </c>
      <c r="AD182" s="7">
        <f t="shared" si="58"/>
        <v>13.439633302269351</v>
      </c>
      <c r="AE182" s="7">
        <f t="shared" si="59"/>
        <v>138.97739001168253</v>
      </c>
      <c r="AF182" s="7">
        <f t="shared" si="60"/>
        <v>1</v>
      </c>
      <c r="AG182" s="6">
        <f t="shared" si="61"/>
        <v>138.97739001168253</v>
      </c>
      <c r="AH182" s="2">
        <f t="shared" si="62"/>
        <v>0.59784578057342297</v>
      </c>
      <c r="AI182" s="7">
        <f t="shared" si="63"/>
        <v>83.087046213591378</v>
      </c>
      <c r="AK182" s="78">
        <v>45031.583333333336</v>
      </c>
      <c r="AL182" s="5">
        <v>2.4860977061819799E-2</v>
      </c>
      <c r="AM182" s="5">
        <v>46.878741779999999</v>
      </c>
      <c r="AN182" s="2">
        <v>36293</v>
      </c>
      <c r="AO182" s="7">
        <f t="shared" si="68"/>
        <v>604.88333333333333</v>
      </c>
      <c r="AP182" s="5">
        <f t="shared" si="64"/>
        <v>15.037990675077099</v>
      </c>
      <c r="AQ182" s="6">
        <f t="shared" si="65"/>
        <v>140.06300612510921</v>
      </c>
      <c r="AR182" s="2">
        <f t="shared" si="66"/>
        <v>1</v>
      </c>
      <c r="AS182" s="2">
        <f t="shared" si="67"/>
        <v>140.06300612510921</v>
      </c>
    </row>
    <row r="183" spans="13:45" x14ac:dyDescent="0.3">
      <c r="M183" s="78">
        <v>45032.59375</v>
      </c>
      <c r="N183" s="5">
        <v>2.8520253832179699E-2</v>
      </c>
      <c r="O183" s="5">
        <v>53.134964160000003</v>
      </c>
      <c r="P183" s="2">
        <v>35054</v>
      </c>
      <c r="Q183" s="7">
        <f t="shared" si="51"/>
        <v>584.23333333333335</v>
      </c>
      <c r="R183" s="6">
        <f t="shared" si="52"/>
        <v>16.662482963887118</v>
      </c>
      <c r="S183" s="6">
        <f t="shared" si="53"/>
        <v>147.27856119874676</v>
      </c>
      <c r="T183" s="2">
        <f t="shared" si="54"/>
        <v>1</v>
      </c>
      <c r="U183" s="6">
        <f t="shared" si="55"/>
        <v>147.27856119874676</v>
      </c>
      <c r="V183">
        <f>IF((R183-$AB$774)/($Z$773-$AB$774)&lt;0, 0, IF((R183-$AB$774)/($Z$773-$AB$774)&gt;1, 1, (R183-$AB$774)/($Z$773-$AB$774)))</f>
        <v>0.32384777522886549</v>
      </c>
      <c r="W183" s="6">
        <f t="shared" si="56"/>
        <v>47.695834383122452</v>
      </c>
      <c r="Y183" s="78">
        <v>45049.041666666664</v>
      </c>
      <c r="Z183">
        <v>0.120388681719321</v>
      </c>
      <c r="AA183" s="6">
        <v>97.229596529999995</v>
      </c>
      <c r="AB183" s="2">
        <v>8477</v>
      </c>
      <c r="AC183" s="7">
        <f t="shared" si="57"/>
        <v>141.28333333333333</v>
      </c>
      <c r="AD183" s="7">
        <f t="shared" si="58"/>
        <v>17.008914248911402</v>
      </c>
      <c r="AE183" s="7">
        <f t="shared" si="59"/>
        <v>147.27856119874676</v>
      </c>
      <c r="AF183" s="7">
        <f t="shared" si="60"/>
        <v>1</v>
      </c>
      <c r="AG183" s="6">
        <f t="shared" si="61"/>
        <v>147.27856119874676</v>
      </c>
      <c r="AH183" s="2">
        <f t="shared" si="62"/>
        <v>1</v>
      </c>
      <c r="AI183" s="7">
        <f t="shared" si="63"/>
        <v>147.27856119874676</v>
      </c>
      <c r="AK183" s="78">
        <v>45031.59375</v>
      </c>
      <c r="AL183" s="5">
        <v>4.2467529622773198E-2</v>
      </c>
      <c r="AM183" s="5">
        <v>46.878741779999999</v>
      </c>
      <c r="AN183" s="2">
        <v>35853</v>
      </c>
      <c r="AO183" s="7">
        <f t="shared" si="68"/>
        <v>597.54999999999995</v>
      </c>
      <c r="AP183" s="5">
        <f t="shared" si="64"/>
        <v>25.376472326088123</v>
      </c>
      <c r="AQ183" s="6">
        <f t="shared" si="65"/>
        <v>180.96874532261265</v>
      </c>
      <c r="AR183" s="2">
        <f t="shared" si="66"/>
        <v>1</v>
      </c>
      <c r="AS183" s="2">
        <f t="shared" si="67"/>
        <v>180.96874532261265</v>
      </c>
    </row>
    <row r="184" spans="13:45" x14ac:dyDescent="0.3">
      <c r="M184" s="78">
        <v>45032.604166666664</v>
      </c>
      <c r="N184" s="5">
        <v>2.8187425928393101E-2</v>
      </c>
      <c r="O184" s="5">
        <v>51.0808441</v>
      </c>
      <c r="P184" s="2">
        <v>35425</v>
      </c>
      <c r="Q184" s="7">
        <f t="shared" si="51"/>
        <v>590.41666666666663</v>
      </c>
      <c r="R184" s="6">
        <f t="shared" si="52"/>
        <v>16.642326058555426</v>
      </c>
      <c r="S184" s="6">
        <f t="shared" si="53"/>
        <v>147.19128659520101</v>
      </c>
      <c r="T184" s="2">
        <f t="shared" si="54"/>
        <v>1</v>
      </c>
      <c r="U184" s="6">
        <f t="shared" si="55"/>
        <v>147.19128659520101</v>
      </c>
      <c r="V184">
        <f>IF((R184-$AB$774)/($Z$773-$AB$774)&lt;0, 0, IF((R184-$AB$774)/($Z$773-$AB$774)&gt;1, 1, (R184-$AB$774)/($Z$773-$AB$774)))</f>
        <v>0.32015806458366952</v>
      </c>
      <c r="W184" s="6">
        <f t="shared" si="56"/>
        <v>47.124477439899771</v>
      </c>
      <c r="Y184" s="78">
        <v>45049.052083333336</v>
      </c>
      <c r="Z184">
        <v>9.7636990981604097E-2</v>
      </c>
      <c r="AA184" s="6">
        <v>95.561650760000006</v>
      </c>
      <c r="AB184" s="2">
        <v>8804</v>
      </c>
      <c r="AC184" s="7">
        <f t="shared" si="57"/>
        <v>146.73333333333332</v>
      </c>
      <c r="AD184" s="7">
        <f t="shared" si="58"/>
        <v>14.326601143367373</v>
      </c>
      <c r="AE184" s="7">
        <f t="shared" si="59"/>
        <v>147.19128659520101</v>
      </c>
      <c r="AF184" s="7">
        <f t="shared" si="60"/>
        <v>1</v>
      </c>
      <c r="AG184" s="6">
        <f t="shared" si="61"/>
        <v>147.19128659520101</v>
      </c>
      <c r="AH184" s="2">
        <f t="shared" si="62"/>
        <v>1</v>
      </c>
      <c r="AI184" s="7">
        <f t="shared" si="63"/>
        <v>147.19128659520101</v>
      </c>
      <c r="AK184" s="78">
        <v>45031.604166666664</v>
      </c>
      <c r="AL184" s="5">
        <v>3.0070852739606701E-2</v>
      </c>
      <c r="AM184" s="5">
        <v>48.986318830000002</v>
      </c>
      <c r="AN184" s="2">
        <v>35670</v>
      </c>
      <c r="AO184" s="7">
        <f t="shared" si="68"/>
        <v>594.5</v>
      </c>
      <c r="AP184" s="5">
        <f t="shared" si="64"/>
        <v>17.877121953696182</v>
      </c>
      <c r="AQ184" s="6">
        <f t="shared" si="65"/>
        <v>152.44168086757588</v>
      </c>
      <c r="AR184" s="2">
        <f t="shared" si="66"/>
        <v>1</v>
      </c>
      <c r="AS184" s="2">
        <f t="shared" si="67"/>
        <v>152.44168086757588</v>
      </c>
    </row>
    <row r="185" spans="13:45" x14ac:dyDescent="0.3">
      <c r="M185" s="78">
        <v>45032.614583333336</v>
      </c>
      <c r="N185" s="5">
        <v>3.0429123147823901E-2</v>
      </c>
      <c r="O185" s="5">
        <v>49.691464410000002</v>
      </c>
      <c r="P185" s="2">
        <v>34657</v>
      </c>
      <c r="Q185" s="7">
        <f t="shared" si="51"/>
        <v>577.61666666666667</v>
      </c>
      <c r="R185" s="6">
        <f t="shared" si="52"/>
        <v>17.57636868223555</v>
      </c>
      <c r="S185" s="6">
        <f t="shared" si="53"/>
        <v>151.18036839586793</v>
      </c>
      <c r="T185" s="2">
        <f t="shared" si="54"/>
        <v>0.75252423063176832</v>
      </c>
      <c r="U185" s="6">
        <f t="shared" si="55"/>
        <v>113.76689041372782</v>
      </c>
      <c r="V185">
        <f>IF((R185-$AB$774)/($Z$773-$AB$774)&lt;0, 0, IF((R185-$AB$774)/($Z$773-$AB$774)&gt;1, 1, (R185-$AB$774)/($Z$773-$AB$774)))</f>
        <v>0.49113406288042644</v>
      </c>
      <c r="W185" s="6">
        <f t="shared" si="56"/>
        <v>74.24982855802223</v>
      </c>
      <c r="Y185" s="78">
        <v>45049.0625</v>
      </c>
      <c r="Z185">
        <v>8.2724864488865998E-2</v>
      </c>
      <c r="AA185" s="6">
        <v>98.886564129999996</v>
      </c>
      <c r="AB185" s="2">
        <v>11935</v>
      </c>
      <c r="AC185" s="7">
        <f t="shared" si="57"/>
        <v>198.91666666666666</v>
      </c>
      <c r="AD185" s="7">
        <f t="shared" si="58"/>
        <v>16.455354294576928</v>
      </c>
      <c r="AE185" s="7">
        <f t="shared" si="59"/>
        <v>151.18036839586793</v>
      </c>
      <c r="AF185" s="7">
        <f t="shared" si="60"/>
        <v>1</v>
      </c>
      <c r="AG185" s="6">
        <f t="shared" si="61"/>
        <v>151.18036839586793</v>
      </c>
      <c r="AH185" s="2">
        <f t="shared" si="62"/>
        <v>1</v>
      </c>
      <c r="AI185" s="7">
        <f t="shared" si="63"/>
        <v>151.18036839586793</v>
      </c>
      <c r="AK185" s="78">
        <v>45031.614583333336</v>
      </c>
      <c r="AL185" s="5">
        <v>2.78487060492951E-2</v>
      </c>
      <c r="AM185" s="5">
        <v>45.467224760000001</v>
      </c>
      <c r="AN185" s="2">
        <v>36133</v>
      </c>
      <c r="AO185" s="7">
        <f t="shared" si="68"/>
        <v>602.2166666666667</v>
      </c>
      <c r="AP185" s="5">
        <f t="shared" si="64"/>
        <v>16.770954927986331</v>
      </c>
      <c r="AQ185" s="6">
        <f t="shared" si="65"/>
        <v>147.74729666142326</v>
      </c>
      <c r="AR185" s="2">
        <f t="shared" si="66"/>
        <v>1</v>
      </c>
      <c r="AS185" s="2">
        <f t="shared" si="67"/>
        <v>147.74729666142326</v>
      </c>
    </row>
    <row r="186" spans="13:45" x14ac:dyDescent="0.3">
      <c r="M186" s="78">
        <v>45032.625</v>
      </c>
      <c r="N186" s="5">
        <v>3.1270882221355802E-2</v>
      </c>
      <c r="O186" s="5">
        <v>53.134964160000003</v>
      </c>
      <c r="P186" s="2">
        <v>34800</v>
      </c>
      <c r="Q186" s="7">
        <f t="shared" si="51"/>
        <v>580</v>
      </c>
      <c r="R186" s="6">
        <f t="shared" si="52"/>
        <v>18.137111688386366</v>
      </c>
      <c r="S186" s="6">
        <f t="shared" si="53"/>
        <v>153.52333805083899</v>
      </c>
      <c r="T186" s="2">
        <f t="shared" si="54"/>
        <v>1</v>
      </c>
      <c r="U186" s="6">
        <f t="shared" si="55"/>
        <v>153.52333805083899</v>
      </c>
      <c r="V186">
        <f>IF((R186-$AB$774)/($Z$773-$AB$774)&lt;0, 0, IF((R186-$AB$774)/($Z$773-$AB$774)&gt;1, 1, (R186-$AB$774)/($Z$773-$AB$774)))</f>
        <v>0.59377776760432721</v>
      </c>
      <c r="W186" s="6">
        <f t="shared" si="56"/>
        <v>91.158744942991632</v>
      </c>
      <c r="Y186" s="78">
        <v>45049.072916666664</v>
      </c>
      <c r="Z186">
        <v>4.5186614586723003E-2</v>
      </c>
      <c r="AA186" s="6">
        <v>95.977802339999997</v>
      </c>
      <c r="AB186" s="2">
        <v>20674</v>
      </c>
      <c r="AC186" s="7">
        <f t="shared" si="57"/>
        <v>344.56666666666666</v>
      </c>
      <c r="AD186" s="7">
        <f t="shared" si="58"/>
        <v>15.569801166098523</v>
      </c>
      <c r="AE186" s="7">
        <f t="shared" si="59"/>
        <v>153.52333805083899</v>
      </c>
      <c r="AF186" s="7">
        <f t="shared" si="60"/>
        <v>1</v>
      </c>
      <c r="AG186" s="6">
        <f t="shared" si="61"/>
        <v>153.52333805083899</v>
      </c>
      <c r="AH186" s="2">
        <f t="shared" si="62"/>
        <v>1</v>
      </c>
      <c r="AI186" s="7">
        <f t="shared" si="63"/>
        <v>153.52333805083899</v>
      </c>
      <c r="AK186" s="78">
        <v>45031.625</v>
      </c>
      <c r="AL186" s="5">
        <v>2.65680367536042E-2</v>
      </c>
      <c r="AM186" s="5">
        <v>50.381720729999998</v>
      </c>
      <c r="AN186" s="2">
        <v>35617</v>
      </c>
      <c r="AO186" s="7">
        <f t="shared" si="68"/>
        <v>593.61666666666667</v>
      </c>
      <c r="AP186" s="5">
        <f t="shared" si="64"/>
        <v>15.771229417552012</v>
      </c>
      <c r="AQ186" s="6">
        <f t="shared" si="65"/>
        <v>143.36672091781185</v>
      </c>
      <c r="AR186" s="2">
        <f t="shared" si="66"/>
        <v>1</v>
      </c>
      <c r="AS186" s="2">
        <f t="shared" si="67"/>
        <v>143.36672091781185</v>
      </c>
    </row>
    <row r="187" spans="13:45" x14ac:dyDescent="0.3">
      <c r="M187" s="78">
        <v>45032.635416666664</v>
      </c>
      <c r="N187" s="5">
        <v>2.9386310062364501E-2</v>
      </c>
      <c r="O187" s="5">
        <v>55.160894489999997</v>
      </c>
      <c r="P187" s="2">
        <v>34505</v>
      </c>
      <c r="Q187" s="7">
        <f t="shared" si="51"/>
        <v>575.08333333333337</v>
      </c>
      <c r="R187" s="6">
        <f t="shared" si="52"/>
        <v>16.899577145031454</v>
      </c>
      <c r="S187" s="6">
        <f t="shared" si="53"/>
        <v>148.30110621623277</v>
      </c>
      <c r="T187" s="2">
        <f t="shared" si="54"/>
        <v>1</v>
      </c>
      <c r="U187" s="6">
        <f t="shared" si="55"/>
        <v>148.30110621623277</v>
      </c>
      <c r="V187">
        <f>IF((R187-$AB$774)/($Z$773-$AB$774)&lt;0, 0, IF((R187-$AB$774)/($Z$773-$AB$774)&gt;1, 1, (R187-$AB$774)/($Z$773-$AB$774)))</f>
        <v>0.36724773716185277</v>
      </c>
      <c r="W187" s="6">
        <f t="shared" si="56"/>
        <v>54.463245676511065</v>
      </c>
      <c r="Y187" s="78">
        <v>45049.083333333336</v>
      </c>
      <c r="Z187">
        <v>4.3902127618192302E-2</v>
      </c>
      <c r="AA187" s="6">
        <v>95.561650760000006</v>
      </c>
      <c r="AB187" s="2">
        <v>20701</v>
      </c>
      <c r="AC187" s="7">
        <f t="shared" si="57"/>
        <v>345.01666666666665</v>
      </c>
      <c r="AD187" s="7">
        <f t="shared" si="58"/>
        <v>15.146965730403313</v>
      </c>
      <c r="AE187" s="7">
        <f t="shared" si="59"/>
        <v>148.30110621623277</v>
      </c>
      <c r="AF187" s="7">
        <f t="shared" si="60"/>
        <v>1</v>
      </c>
      <c r="AG187" s="6">
        <f t="shared" si="61"/>
        <v>148.30110621623277</v>
      </c>
      <c r="AH187" s="2">
        <f t="shared" si="62"/>
        <v>1</v>
      </c>
      <c r="AI187" s="7">
        <f t="shared" si="63"/>
        <v>148.30110621623277</v>
      </c>
      <c r="AK187" s="78">
        <v>45031.635416666664</v>
      </c>
      <c r="AL187" s="5">
        <v>2.82688080558458E-2</v>
      </c>
      <c r="AM187" s="5">
        <v>54.493389659999998</v>
      </c>
      <c r="AN187" s="2">
        <v>35237</v>
      </c>
      <c r="AO187" s="7">
        <f t="shared" si="68"/>
        <v>587.2833333333333</v>
      </c>
      <c r="AP187" s="5">
        <f t="shared" si="64"/>
        <v>16.601799824397308</v>
      </c>
      <c r="AQ187" s="6">
        <f t="shared" si="65"/>
        <v>147.01565424489038</v>
      </c>
      <c r="AR187" s="2">
        <f t="shared" si="66"/>
        <v>1</v>
      </c>
      <c r="AS187" s="2">
        <f t="shared" si="67"/>
        <v>147.01565424489038</v>
      </c>
    </row>
    <row r="188" spans="13:45" x14ac:dyDescent="0.3">
      <c r="M188" s="78">
        <v>45032.645833333336</v>
      </c>
      <c r="N188" s="5">
        <v>3.2674663130545199E-2</v>
      </c>
      <c r="O188" s="5">
        <v>58.477264509999998</v>
      </c>
      <c r="P188" s="2">
        <v>33417</v>
      </c>
      <c r="Q188" s="7">
        <f t="shared" si="51"/>
        <v>556.95000000000005</v>
      </c>
      <c r="R188" s="6">
        <f t="shared" si="52"/>
        <v>18.198153630557151</v>
      </c>
      <c r="S188" s="6">
        <f t="shared" si="53"/>
        <v>153.77614688991233</v>
      </c>
      <c r="T188" s="2">
        <f t="shared" si="54"/>
        <v>1</v>
      </c>
      <c r="U188" s="6">
        <f t="shared" si="55"/>
        <v>153.77614688991233</v>
      </c>
      <c r="V188">
        <f>IF((R188-$AB$774)/($Z$773-$AB$774)&lt;0, 0, IF((R188-$AB$774)/($Z$773-$AB$774)&gt;1, 1, (R188-$AB$774)/($Z$773-$AB$774)))</f>
        <v>0.6049514621831702</v>
      </c>
      <c r="W188" s="6">
        <f t="shared" si="56"/>
        <v>93.027104909946416</v>
      </c>
      <c r="Y188" s="78">
        <v>45049.09375</v>
      </c>
      <c r="Z188">
        <v>4.3592218223829603E-2</v>
      </c>
      <c r="AA188" s="6">
        <v>93.457733590000004</v>
      </c>
      <c r="AB188" s="2">
        <v>20950</v>
      </c>
      <c r="AC188" s="7">
        <f t="shared" si="57"/>
        <v>349.16666666666669</v>
      </c>
      <c r="AD188" s="7">
        <f t="shared" si="58"/>
        <v>15.220949529820503</v>
      </c>
      <c r="AE188" s="7">
        <f t="shared" si="59"/>
        <v>153.77614688991233</v>
      </c>
      <c r="AF188" s="7">
        <f t="shared" si="60"/>
        <v>1</v>
      </c>
      <c r="AG188" s="6">
        <f t="shared" si="61"/>
        <v>153.77614688991233</v>
      </c>
      <c r="AH188" s="2">
        <f t="shared" si="62"/>
        <v>1</v>
      </c>
      <c r="AI188" s="7">
        <f t="shared" si="63"/>
        <v>153.77614688991233</v>
      </c>
      <c r="AK188" s="78">
        <v>45031.645833333336</v>
      </c>
      <c r="AL188" s="5">
        <v>2.89204268700557E-2</v>
      </c>
      <c r="AM188" s="5">
        <v>54.493389659999998</v>
      </c>
      <c r="AN188" s="2">
        <v>35110</v>
      </c>
      <c r="AO188" s="7">
        <f t="shared" si="68"/>
        <v>585.16666666666663</v>
      </c>
      <c r="AP188" s="5">
        <f t="shared" si="64"/>
        <v>16.923269790127591</v>
      </c>
      <c r="AQ188" s="6">
        <f t="shared" si="65"/>
        <v>148.40288492459135</v>
      </c>
      <c r="AR188" s="2">
        <f t="shared" si="66"/>
        <v>1</v>
      </c>
      <c r="AS188" s="2">
        <f t="shared" si="67"/>
        <v>148.40288492459135</v>
      </c>
    </row>
    <row r="189" spans="13:45" x14ac:dyDescent="0.3">
      <c r="M189" s="78">
        <v>45032.65625</v>
      </c>
      <c r="N189" s="5">
        <v>3.5496600238950897E-2</v>
      </c>
      <c r="O189" s="5">
        <v>55.160894489999997</v>
      </c>
      <c r="P189" s="2">
        <v>31654</v>
      </c>
      <c r="Q189" s="7">
        <f t="shared" si="51"/>
        <v>527.56666666666672</v>
      </c>
      <c r="R189" s="6">
        <f t="shared" si="52"/>
        <v>18.726823066062529</v>
      </c>
      <c r="S189" s="6">
        <f t="shared" si="53"/>
        <v>155.94780487541462</v>
      </c>
      <c r="T189" s="2">
        <f t="shared" si="54"/>
        <v>1</v>
      </c>
      <c r="U189" s="6">
        <f t="shared" si="55"/>
        <v>155.94780487541462</v>
      </c>
      <c r="V189">
        <f>IF((R189-$AB$774)/($Z$773-$AB$774)&lt;0, 0, IF((R189-$AB$774)/($Z$773-$AB$774)&gt;1, 1, (R189-$AB$774)/($Z$773-$AB$774)))</f>
        <v>0.70172411710589699</v>
      </c>
      <c r="W189" s="6">
        <f t="shared" si="56"/>
        <v>109.43233569080303</v>
      </c>
      <c r="Y189" s="78">
        <v>45049.104166666664</v>
      </c>
      <c r="Z189">
        <v>4.9577027964710703E-2</v>
      </c>
      <c r="AA189" s="6">
        <v>96.815355729999993</v>
      </c>
      <c r="AB189" s="2">
        <v>20070</v>
      </c>
      <c r="AC189" s="7">
        <f t="shared" si="57"/>
        <v>334.5</v>
      </c>
      <c r="AD189" s="7">
        <f t="shared" si="58"/>
        <v>16.583515854195731</v>
      </c>
      <c r="AE189" s="7">
        <f t="shared" si="59"/>
        <v>155.94780487541462</v>
      </c>
      <c r="AF189" s="7">
        <f t="shared" si="60"/>
        <v>1</v>
      </c>
      <c r="AG189" s="6">
        <f t="shared" si="61"/>
        <v>155.94780487541462</v>
      </c>
      <c r="AH189" s="2">
        <f t="shared" si="62"/>
        <v>1</v>
      </c>
      <c r="AI189" s="7">
        <f t="shared" si="63"/>
        <v>155.94780487541462</v>
      </c>
      <c r="AK189" s="78">
        <v>45031.65625</v>
      </c>
      <c r="AL189" s="5">
        <v>2.8859744529486701E-2</v>
      </c>
      <c r="AM189" s="5">
        <v>53.134964160000003</v>
      </c>
      <c r="AN189" s="2">
        <v>35747</v>
      </c>
      <c r="AO189" s="7">
        <f t="shared" si="68"/>
        <v>595.7833333333333</v>
      </c>
      <c r="AP189" s="5">
        <f t="shared" si="64"/>
        <v>17.194154794926018</v>
      </c>
      <c r="AQ189" s="6">
        <f t="shared" si="65"/>
        <v>149.56142219489908</v>
      </c>
      <c r="AR189" s="2">
        <f t="shared" si="66"/>
        <v>1</v>
      </c>
      <c r="AS189" s="2">
        <f t="shared" si="67"/>
        <v>149.56142219489908</v>
      </c>
    </row>
    <row r="190" spans="13:45" x14ac:dyDescent="0.3">
      <c r="M190" s="78">
        <v>45032.666666666664</v>
      </c>
      <c r="N190" s="5">
        <v>3.1340271120911901E-2</v>
      </c>
      <c r="O190" s="5">
        <v>57.158996520000002</v>
      </c>
      <c r="P190" s="2">
        <v>33259</v>
      </c>
      <c r="Q190" s="7">
        <f t="shared" si="51"/>
        <v>554.31666666666672</v>
      </c>
      <c r="R190" s="6">
        <f t="shared" si="52"/>
        <v>17.372434620173483</v>
      </c>
      <c r="S190" s="6">
        <f t="shared" si="53"/>
        <v>150.31882438979557</v>
      </c>
      <c r="T190" s="2">
        <f t="shared" si="54"/>
        <v>1</v>
      </c>
      <c r="U190" s="6">
        <f t="shared" si="55"/>
        <v>150.31882438979557</v>
      </c>
      <c r="V190">
        <f>IF((R190-$AB$774)/($Z$773-$AB$774)&lt;0, 0, IF((R190-$AB$774)/($Z$773-$AB$774)&gt;1, 1, (R190-$AB$774)/($Z$773-$AB$774)))</f>
        <v>0.45380404285372178</v>
      </c>
      <c r="W190" s="6">
        <f t="shared" si="56"/>
        <v>68.215290225107864</v>
      </c>
      <c r="Y190" s="78">
        <v>45049.114583333336</v>
      </c>
      <c r="Z190">
        <v>4.46450513418249E-2</v>
      </c>
      <c r="AA190" s="6">
        <v>100.1311515</v>
      </c>
      <c r="AB190" s="2">
        <v>20840</v>
      </c>
      <c r="AC190" s="7">
        <f t="shared" si="57"/>
        <v>347.33333333333331</v>
      </c>
      <c r="AD190" s="7">
        <f t="shared" si="58"/>
        <v>15.506714499393848</v>
      </c>
      <c r="AE190" s="7">
        <f t="shared" si="59"/>
        <v>150.31882438979557</v>
      </c>
      <c r="AF190" s="7">
        <f t="shared" si="60"/>
        <v>1</v>
      </c>
      <c r="AG190" s="6">
        <f t="shared" si="61"/>
        <v>150.31882438979557</v>
      </c>
      <c r="AH190" s="2">
        <f t="shared" si="62"/>
        <v>1</v>
      </c>
      <c r="AI190" s="7">
        <f t="shared" si="63"/>
        <v>150.31882438979557</v>
      </c>
      <c r="AK190" s="78">
        <v>45031.666666666664</v>
      </c>
      <c r="AL190" s="5">
        <v>2.6957562282668299E-2</v>
      </c>
      <c r="AM190" s="5">
        <v>52.456862080000001</v>
      </c>
      <c r="AN190" s="2">
        <v>35192</v>
      </c>
      <c r="AO190" s="7">
        <f t="shared" si="68"/>
        <v>586.5333333333333</v>
      </c>
      <c r="AP190" s="5">
        <f t="shared" si="64"/>
        <v>15.811508864194378</v>
      </c>
      <c r="AQ190" s="6">
        <f t="shared" si="65"/>
        <v>143.54591087527217</v>
      </c>
      <c r="AR190" s="2">
        <f t="shared" si="66"/>
        <v>1</v>
      </c>
      <c r="AS190" s="2">
        <f t="shared" si="67"/>
        <v>143.54591087527217</v>
      </c>
    </row>
    <row r="191" spans="13:45" x14ac:dyDescent="0.3">
      <c r="M191" s="78">
        <v>45032.677083333336</v>
      </c>
      <c r="N191" s="5">
        <v>3.3181410877078502E-2</v>
      </c>
      <c r="O191" s="5">
        <v>58.466044660000001</v>
      </c>
      <c r="P191" s="2">
        <v>31965</v>
      </c>
      <c r="Q191" s="7">
        <f t="shared" si="51"/>
        <v>532.75</v>
      </c>
      <c r="R191" s="6">
        <f t="shared" si="52"/>
        <v>17.677396644763572</v>
      </c>
      <c r="S191" s="6">
        <f t="shared" si="53"/>
        <v>151.60528371119918</v>
      </c>
      <c r="T191" s="2">
        <f t="shared" si="54"/>
        <v>1</v>
      </c>
      <c r="U191" s="6">
        <f t="shared" si="55"/>
        <v>151.60528371119918</v>
      </c>
      <c r="V191">
        <f>IF((R191-$AB$774)/($Z$773-$AB$774)&lt;0, 0, IF((R191-$AB$774)/($Z$773-$AB$774)&gt;1, 1, (R191-$AB$774)/($Z$773-$AB$774)))</f>
        <v>0.50962717691098214</v>
      </c>
      <c r="W191" s="6">
        <f t="shared" si="56"/>
        <v>77.262172742526943</v>
      </c>
      <c r="Y191" s="78">
        <v>45049.125</v>
      </c>
      <c r="Z191">
        <v>4.4693423682583097E-2</v>
      </c>
      <c r="AA191" s="6">
        <v>103.3988808</v>
      </c>
      <c r="AB191" s="2">
        <v>20707</v>
      </c>
      <c r="AC191" s="7">
        <f t="shared" si="57"/>
        <v>345.11666666666667</v>
      </c>
      <c r="AD191" s="7">
        <f t="shared" si="58"/>
        <v>15.424445403254136</v>
      </c>
      <c r="AE191" s="7">
        <f t="shared" si="59"/>
        <v>151.60528371119918</v>
      </c>
      <c r="AF191" s="7">
        <f t="shared" si="60"/>
        <v>1</v>
      </c>
      <c r="AG191" s="6">
        <f t="shared" si="61"/>
        <v>151.60528371119918</v>
      </c>
      <c r="AH191" s="2">
        <f t="shared" si="62"/>
        <v>1</v>
      </c>
      <c r="AI191" s="7">
        <f t="shared" si="63"/>
        <v>151.60528371119918</v>
      </c>
      <c r="AK191" s="78">
        <v>45031.677083333336</v>
      </c>
      <c r="AL191" s="5">
        <v>2.4945668857781898E-2</v>
      </c>
      <c r="AM191" s="5">
        <v>54.493389659999998</v>
      </c>
      <c r="AN191" s="2">
        <v>36321</v>
      </c>
      <c r="AO191" s="7">
        <f t="shared" si="68"/>
        <v>605.35</v>
      </c>
      <c r="AP191" s="5">
        <f t="shared" si="64"/>
        <v>15.100860643058272</v>
      </c>
      <c r="AQ191" s="6">
        <f t="shared" si="65"/>
        <v>140.34945322684547</v>
      </c>
      <c r="AR191" s="2">
        <f t="shared" si="66"/>
        <v>1</v>
      </c>
      <c r="AS191" s="2">
        <f t="shared" si="67"/>
        <v>140.34945322684547</v>
      </c>
    </row>
    <row r="192" spans="13:45" x14ac:dyDescent="0.3">
      <c r="M192" s="78">
        <v>45032.6875</v>
      </c>
      <c r="N192" s="5">
        <v>3.1452889891186803E-2</v>
      </c>
      <c r="O192" s="5">
        <v>62.3045732</v>
      </c>
      <c r="P192" s="2">
        <v>32439</v>
      </c>
      <c r="Q192" s="7">
        <f t="shared" si="51"/>
        <v>540.65</v>
      </c>
      <c r="R192" s="6">
        <f t="shared" si="52"/>
        <v>17.005004919670146</v>
      </c>
      <c r="S192" s="6">
        <f t="shared" si="53"/>
        <v>148.7534452055697</v>
      </c>
      <c r="T192" s="2">
        <f t="shared" si="54"/>
        <v>1</v>
      </c>
      <c r="U192" s="6">
        <f t="shared" si="55"/>
        <v>148.7534452055697</v>
      </c>
      <c r="V192">
        <f>IF((R192-$AB$774)/($Z$773-$AB$774)&lt;0, 0, IF((R192-$AB$774)/($Z$773-$AB$774)&gt;1, 1, (R192-$AB$774)/($Z$773-$AB$774)))</f>
        <v>0.38654623442532338</v>
      </c>
      <c r="W192" s="6">
        <f t="shared" si="56"/>
        <v>57.500084102006646</v>
      </c>
      <c r="Y192" s="78">
        <v>45049.135416666664</v>
      </c>
      <c r="Z192">
        <v>4.5602756846007397E-2</v>
      </c>
      <c r="AA192" s="6">
        <v>102.17638460000001</v>
      </c>
      <c r="AB192" s="2">
        <v>20335</v>
      </c>
      <c r="AC192" s="7">
        <f t="shared" si="57"/>
        <v>338.91666666666669</v>
      </c>
      <c r="AD192" s="7">
        <f t="shared" si="58"/>
        <v>15.455534341059341</v>
      </c>
      <c r="AE192" s="7">
        <f t="shared" si="59"/>
        <v>148.7534452055697</v>
      </c>
      <c r="AF192" s="7">
        <f t="shared" si="60"/>
        <v>1</v>
      </c>
      <c r="AG192" s="6">
        <f t="shared" si="61"/>
        <v>148.7534452055697</v>
      </c>
      <c r="AH192" s="2">
        <f t="shared" si="62"/>
        <v>1</v>
      </c>
      <c r="AI192" s="7">
        <f t="shared" si="63"/>
        <v>148.7534452055697</v>
      </c>
      <c r="AK192" s="78">
        <v>45031.6875</v>
      </c>
      <c r="AL192" s="5">
        <v>2.5985487735128699E-2</v>
      </c>
      <c r="AM192" s="5">
        <v>54.493389659999998</v>
      </c>
      <c r="AN192" s="2">
        <v>36060</v>
      </c>
      <c r="AO192" s="7">
        <f t="shared" si="68"/>
        <v>601</v>
      </c>
      <c r="AP192" s="5">
        <f t="shared" si="64"/>
        <v>15.617278128812348</v>
      </c>
      <c r="AQ192" s="6">
        <f t="shared" si="65"/>
        <v>142.67968110699334</v>
      </c>
      <c r="AR192" s="2">
        <f t="shared" si="66"/>
        <v>1</v>
      </c>
      <c r="AS192" s="2">
        <f t="shared" si="67"/>
        <v>142.67968110699334</v>
      </c>
    </row>
    <row r="193" spans="13:45" x14ac:dyDescent="0.3">
      <c r="M193" s="78">
        <v>45032.697916666664</v>
      </c>
      <c r="N193" s="5">
        <v>3.3580439017954301E-2</v>
      </c>
      <c r="O193" s="5">
        <v>60.40869618</v>
      </c>
      <c r="P193" s="2">
        <v>31200</v>
      </c>
      <c r="Q193" s="7">
        <f t="shared" si="51"/>
        <v>520</v>
      </c>
      <c r="R193" s="6">
        <f t="shared" si="52"/>
        <v>17.461828289336236</v>
      </c>
      <c r="S193" s="6">
        <f t="shared" si="53"/>
        <v>150.69711055047134</v>
      </c>
      <c r="T193" s="2">
        <f t="shared" si="54"/>
        <v>1</v>
      </c>
      <c r="U193" s="6">
        <f t="shared" si="55"/>
        <v>150.69711055047134</v>
      </c>
      <c r="V193">
        <f>IF((R193-$AB$774)/($Z$773-$AB$774)&lt;0, 0, IF((R193-$AB$774)/($Z$773-$AB$774)&gt;1, 1, (R193-$AB$774)/($Z$773-$AB$774)))</f>
        <v>0.4701675057611126</v>
      </c>
      <c r="W193" s="6">
        <f t="shared" si="56"/>
        <v>70.852884592921754</v>
      </c>
      <c r="Y193" s="78">
        <v>45049.145833333336</v>
      </c>
      <c r="Z193">
        <v>4.6587631816359901E-2</v>
      </c>
      <c r="AA193" s="6">
        <v>96.808208239999999</v>
      </c>
      <c r="AB193" s="2">
        <v>20066</v>
      </c>
      <c r="AC193" s="7">
        <f t="shared" si="57"/>
        <v>334.43333333333334</v>
      </c>
      <c r="AD193" s="7">
        <f t="shared" si="58"/>
        <v>15.580457000451297</v>
      </c>
      <c r="AE193" s="7">
        <f t="shared" si="59"/>
        <v>150.69711055047134</v>
      </c>
      <c r="AF193" s="7">
        <f t="shared" si="60"/>
        <v>1</v>
      </c>
      <c r="AG193" s="6">
        <f t="shared" si="61"/>
        <v>150.69711055047134</v>
      </c>
      <c r="AH193" s="2">
        <f t="shared" si="62"/>
        <v>1</v>
      </c>
      <c r="AI193" s="7">
        <f t="shared" si="63"/>
        <v>150.69711055047134</v>
      </c>
      <c r="AK193" s="78">
        <v>45031.697916666664</v>
      </c>
      <c r="AL193" s="5">
        <v>2.6384995945276601E-2</v>
      </c>
      <c r="AM193" s="5">
        <v>51.0808441</v>
      </c>
      <c r="AN193" s="2">
        <v>36628</v>
      </c>
      <c r="AO193" s="7">
        <f t="shared" si="68"/>
        <v>610.4666666666667</v>
      </c>
      <c r="AP193" s="5">
        <f t="shared" si="64"/>
        <v>16.107160524726524</v>
      </c>
      <c r="AQ193" s="6">
        <f t="shared" si="65"/>
        <v>144.85409948070773</v>
      </c>
      <c r="AR193" s="2">
        <f t="shared" si="66"/>
        <v>1</v>
      </c>
      <c r="AS193" s="2">
        <f t="shared" si="67"/>
        <v>144.85409948070773</v>
      </c>
    </row>
    <row r="194" spans="13:45" x14ac:dyDescent="0.3">
      <c r="M194" s="78">
        <v>45032.708333333336</v>
      </c>
      <c r="N194" s="5">
        <v>3.3040128626102602E-2</v>
      </c>
      <c r="O194" s="5">
        <v>61.680991169999999</v>
      </c>
      <c r="P194" s="2">
        <v>31520</v>
      </c>
      <c r="Q194" s="7">
        <f t="shared" si="51"/>
        <v>525.33333333333337</v>
      </c>
      <c r="R194" s="6">
        <f t="shared" si="52"/>
        <v>17.357080904912568</v>
      </c>
      <c r="S194" s="6">
        <f t="shared" si="53"/>
        <v>150.25375237747693</v>
      </c>
      <c r="T194" s="2">
        <f t="shared" si="54"/>
        <v>1</v>
      </c>
      <c r="U194" s="6">
        <f t="shared" si="55"/>
        <v>150.25375237747693</v>
      </c>
      <c r="V194">
        <f>IF((R194-$AB$774)/($Z$773-$AB$774)&lt;0, 0, IF((R194-$AB$774)/($Z$773-$AB$774)&gt;1, 1, (R194-$AB$774)/($Z$773-$AB$774)))</f>
        <v>0.45099355355939375</v>
      </c>
      <c r="W194" s="6">
        <f t="shared" si="56"/>
        <v>67.763473720351527</v>
      </c>
      <c r="Y194" s="78">
        <v>45049.15625</v>
      </c>
      <c r="Z194">
        <v>4.4645514006852099E-2</v>
      </c>
      <c r="AA194" s="6">
        <v>100.12409340000001</v>
      </c>
      <c r="AB194" s="2">
        <v>19671</v>
      </c>
      <c r="AC194" s="7">
        <f t="shared" si="57"/>
        <v>327.85</v>
      </c>
      <c r="AD194" s="7">
        <f t="shared" si="58"/>
        <v>14.637031767146462</v>
      </c>
      <c r="AE194" s="7">
        <f t="shared" si="59"/>
        <v>150.25375237747693</v>
      </c>
      <c r="AF194" s="7">
        <f t="shared" si="60"/>
        <v>1</v>
      </c>
      <c r="AG194" s="6">
        <f t="shared" si="61"/>
        <v>150.25375237747693</v>
      </c>
      <c r="AH194" s="2">
        <f t="shared" si="62"/>
        <v>1</v>
      </c>
      <c r="AI194" s="7">
        <f t="shared" si="63"/>
        <v>150.25375237747693</v>
      </c>
      <c r="AK194" s="78">
        <v>45031.708333333336</v>
      </c>
      <c r="AL194" s="5">
        <v>2.71277077504E-2</v>
      </c>
      <c r="AM194" s="5">
        <v>51.0808441</v>
      </c>
      <c r="AN194" s="2">
        <v>36433</v>
      </c>
      <c r="AO194" s="7">
        <f t="shared" si="68"/>
        <v>607.2166666666667</v>
      </c>
      <c r="AP194" s="5">
        <f t="shared" si="64"/>
        <v>16.472396274505389</v>
      </c>
      <c r="AQ194" s="6">
        <f t="shared" si="65"/>
        <v>146.45337641557882</v>
      </c>
      <c r="AR194" s="2">
        <f t="shared" si="66"/>
        <v>1</v>
      </c>
      <c r="AS194" s="2">
        <f t="shared" si="67"/>
        <v>146.45337641557882</v>
      </c>
    </row>
    <row r="195" spans="13:45" x14ac:dyDescent="0.3">
      <c r="M195" s="78">
        <v>45032.71875</v>
      </c>
      <c r="N195" s="5">
        <v>3.0926009199393499E-2</v>
      </c>
      <c r="O195" s="5">
        <v>54.48183384</v>
      </c>
      <c r="P195" s="2">
        <v>31908</v>
      </c>
      <c r="Q195" s="7">
        <f t="shared" si="51"/>
        <v>531.79999999999995</v>
      </c>
      <c r="R195" s="6">
        <f t="shared" si="52"/>
        <v>16.44645169223746</v>
      </c>
      <c r="S195" s="6">
        <f t="shared" si="53"/>
        <v>146.34037236081548</v>
      </c>
      <c r="T195" s="2">
        <f t="shared" si="54"/>
        <v>1</v>
      </c>
      <c r="U195" s="6">
        <f t="shared" si="55"/>
        <v>146.34037236081548</v>
      </c>
      <c r="V195">
        <f>IF((R195-$AB$774)/($Z$773-$AB$774)&lt;0, 0, IF((R195-$AB$774)/($Z$773-$AB$774)&gt;1, 1, (R195-$AB$774)/($Z$773-$AB$774)))</f>
        <v>0.28430336751426899</v>
      </c>
      <c r="W195" s="6">
        <f t="shared" si="56"/>
        <v>41.605060665471896</v>
      </c>
      <c r="Y195" s="78">
        <v>45049.166666666664</v>
      </c>
      <c r="Z195">
        <v>4.5242354444864699E-2</v>
      </c>
      <c r="AA195" s="6">
        <v>98.055454810000001</v>
      </c>
      <c r="AB195" s="2">
        <v>20310</v>
      </c>
      <c r="AC195" s="7">
        <f t="shared" si="57"/>
        <v>338.5</v>
      </c>
      <c r="AD195" s="7">
        <f t="shared" si="58"/>
        <v>15.3145369795867</v>
      </c>
      <c r="AE195" s="7">
        <f t="shared" si="59"/>
        <v>146.34037236081548</v>
      </c>
      <c r="AF195" s="7">
        <f t="shared" si="60"/>
        <v>1</v>
      </c>
      <c r="AG195" s="6">
        <f t="shared" si="61"/>
        <v>146.34037236081548</v>
      </c>
      <c r="AH195" s="2">
        <f t="shared" si="62"/>
        <v>1</v>
      </c>
      <c r="AI195" s="7">
        <f t="shared" si="63"/>
        <v>146.34037236081548</v>
      </c>
      <c r="AK195" s="78">
        <v>45031.71875</v>
      </c>
      <c r="AL195" s="5">
        <v>2.5271022044193299E-2</v>
      </c>
      <c r="AM195" s="5">
        <v>48.998295149999997</v>
      </c>
      <c r="AN195" s="2">
        <v>36337</v>
      </c>
      <c r="AO195" s="7">
        <f t="shared" si="68"/>
        <v>605.61666666666667</v>
      </c>
      <c r="AP195" s="5">
        <f t="shared" si="64"/>
        <v>15.304552133664199</v>
      </c>
      <c r="AQ195" s="6">
        <f t="shared" si="65"/>
        <v>141.27335297205235</v>
      </c>
      <c r="AR195" s="2">
        <f t="shared" si="66"/>
        <v>1</v>
      </c>
      <c r="AS195" s="2">
        <f t="shared" si="67"/>
        <v>141.27335297205235</v>
      </c>
    </row>
    <row r="196" spans="13:45" x14ac:dyDescent="0.3">
      <c r="M196" s="78">
        <v>45032.729166666664</v>
      </c>
      <c r="N196" s="5">
        <v>3.4254902852452702E-2</v>
      </c>
      <c r="O196" s="5">
        <v>57.814717760000001</v>
      </c>
      <c r="P196" s="2">
        <v>30810</v>
      </c>
      <c r="Q196" s="7">
        <f t="shared" ref="Q196:Q259" si="69">P196/60</f>
        <v>513.5</v>
      </c>
      <c r="R196" s="6">
        <f t="shared" ref="R196:R259" si="70">N196*Q196</f>
        <v>17.589892614734463</v>
      </c>
      <c r="S196" s="6">
        <f t="shared" ref="S196:S259" si="71">37.141*R196^0.4897</f>
        <v>151.23732106821566</v>
      </c>
      <c r="T196" s="2">
        <f t="shared" ref="T196:T259" si="72">IF((O196-$R$1)/($P$1-$R$1)&lt;0, 0, IF((O196-$R$1)/($P$1-$R$1)&gt;1, 1, (O196-$R$1)/($P$1-$R$1)))</f>
        <v>1</v>
      </c>
      <c r="U196" s="6">
        <f t="shared" ref="U196:U259" si="73">S196*T196</f>
        <v>151.23732106821566</v>
      </c>
      <c r="V196">
        <f>IF((R196-$AB$774)/($Z$773-$AB$774)&lt;0, 0, IF((R196-$AB$774)/($Z$773-$AB$774)&gt;1, 1, (R196-$AB$774)/($Z$773-$AB$774)))</f>
        <v>0.49360961142743948</v>
      </c>
      <c r="W196" s="6">
        <f t="shared" ref="W196:W259" si="74">S196*V196</f>
        <v>74.652195285808844</v>
      </c>
      <c r="Y196" s="78">
        <v>45049.177083333336</v>
      </c>
      <c r="Z196">
        <v>4.62213531487419E-2</v>
      </c>
      <c r="AA196" s="6">
        <v>103.3988808</v>
      </c>
      <c r="AB196" s="2">
        <v>20001</v>
      </c>
      <c r="AC196" s="7">
        <f t="shared" ref="AC196:AC259" si="75">AB196/60</f>
        <v>333.35</v>
      </c>
      <c r="AD196" s="7">
        <f t="shared" ref="AD196:AD259" si="76">AC196*Z196</f>
        <v>15.407888072133114</v>
      </c>
      <c r="AE196" s="7">
        <f t="shared" ref="AE196:AE259" si="77">37.141*R196^0.4897</f>
        <v>151.23732106821566</v>
      </c>
      <c r="AF196" s="7">
        <f t="shared" ref="AF196:AF259" si="78">IF((AA196-$AD$1)/($AB$1-$AD$1)&lt;0, 0, IF((AA196-$AD$1)/($AB$1-$AD$1)&gt;1, 1, (AA196-$AD$1)/($AB$1-$AD$1)))</f>
        <v>1</v>
      </c>
      <c r="AG196" s="6">
        <f t="shared" ref="AG196:AG259" si="79">AE196*AF196</f>
        <v>151.23732106821566</v>
      </c>
      <c r="AH196" s="2">
        <f t="shared" ref="AH196:AH259" si="80">IF((AD196-$AI$444)/($AG$444-$AI$444)&lt;0, 0, IF((AD196-$AI$444)/($AG$444-$AI$444)&gt;1, 1, (AD196-$AI$444)/($AG$444-$AI$444)))</f>
        <v>1</v>
      </c>
      <c r="AI196" s="7">
        <f t="shared" ref="AI196:AI259" si="81">AE196*AH196</f>
        <v>151.23732106821566</v>
      </c>
      <c r="AK196" s="78">
        <v>45031.729166666664</v>
      </c>
      <c r="AL196" s="5">
        <v>2.5657234944234299E-2</v>
      </c>
      <c r="AM196" s="5">
        <v>48.998295149999997</v>
      </c>
      <c r="AN196" s="2">
        <v>35508</v>
      </c>
      <c r="AO196" s="7">
        <f t="shared" si="68"/>
        <v>591.79999999999995</v>
      </c>
      <c r="AP196" s="5">
        <f t="shared" ref="AP196:AP259" si="82">AO196*AL196</f>
        <v>15.183951639997858</v>
      </c>
      <c r="AQ196" s="6">
        <f t="shared" ref="AQ196:AQ259" si="83">37.141*AP196^0.4897</f>
        <v>140.72709900489664</v>
      </c>
      <c r="AR196" s="2">
        <f t="shared" ref="AR196:AR259" si="84">IF((AM196-$AP$1)/($AN$1-$AP$1)&lt;0, 0, IF((AA196-$AP$1)/($AN$1-$AP$1)&gt;1, 1, (AA196-$AP$1)/($AN$1-$AP$1)))</f>
        <v>1</v>
      </c>
      <c r="AS196" s="2">
        <f t="shared" ref="AS196:AS259" si="85">AQ196*AR196</f>
        <v>140.72709900489664</v>
      </c>
    </row>
    <row r="197" spans="13:45" x14ac:dyDescent="0.3">
      <c r="M197" s="78">
        <v>45032.739583333336</v>
      </c>
      <c r="N197" s="5">
        <v>3.3297769152469799E-2</v>
      </c>
      <c r="O197" s="5">
        <v>54.48183384</v>
      </c>
      <c r="P197" s="2">
        <v>30692</v>
      </c>
      <c r="Q197" s="7">
        <f t="shared" si="69"/>
        <v>511.53333333333336</v>
      </c>
      <c r="R197" s="6">
        <f t="shared" si="70"/>
        <v>17.032918847126719</v>
      </c>
      <c r="S197" s="6">
        <f t="shared" si="71"/>
        <v>148.87297042133457</v>
      </c>
      <c r="T197" s="2">
        <f t="shared" si="72"/>
        <v>1</v>
      </c>
      <c r="U197" s="6">
        <f t="shared" si="73"/>
        <v>148.87297042133457</v>
      </c>
      <c r="V197">
        <f>IF((R197-$AB$774)/($Z$773-$AB$774)&lt;0, 0, IF((R197-$AB$774)/($Z$773-$AB$774)&gt;1, 1, (R197-$AB$774)/($Z$773-$AB$774)))</f>
        <v>0.39165586378513445</v>
      </c>
      <c r="W197" s="6">
        <f t="shared" si="74"/>
        <v>58.306971824626565</v>
      </c>
      <c r="Y197" s="78">
        <v>45049.1875</v>
      </c>
      <c r="Z197">
        <v>4.6907575576896503E-2</v>
      </c>
      <c r="AA197" s="6">
        <v>98.055454810000001</v>
      </c>
      <c r="AB197" s="2">
        <v>19808</v>
      </c>
      <c r="AC197" s="7">
        <f t="shared" si="75"/>
        <v>330.13333333333333</v>
      </c>
      <c r="AD197" s="7">
        <f t="shared" si="76"/>
        <v>15.485754283786099</v>
      </c>
      <c r="AE197" s="7">
        <f t="shared" si="77"/>
        <v>148.87297042133457</v>
      </c>
      <c r="AF197" s="7">
        <f t="shared" si="78"/>
        <v>1</v>
      </c>
      <c r="AG197" s="6">
        <f t="shared" si="79"/>
        <v>148.87297042133457</v>
      </c>
      <c r="AH197" s="2">
        <f t="shared" si="80"/>
        <v>1</v>
      </c>
      <c r="AI197" s="7">
        <f t="shared" si="81"/>
        <v>148.87297042133457</v>
      </c>
      <c r="AK197" s="78">
        <v>45031.739583333336</v>
      </c>
      <c r="AL197" s="5">
        <v>2.4472762608936102E-2</v>
      </c>
      <c r="AM197" s="5">
        <v>53.134964160000003</v>
      </c>
      <c r="AN197" s="2">
        <v>36107</v>
      </c>
      <c r="AO197" s="7">
        <f t="shared" si="68"/>
        <v>601.7833333333333</v>
      </c>
      <c r="AP197" s="5">
        <f t="shared" si="82"/>
        <v>14.72730065868093</v>
      </c>
      <c r="AQ197" s="6">
        <f t="shared" si="83"/>
        <v>138.63838822643635</v>
      </c>
      <c r="AR197" s="2">
        <f t="shared" si="84"/>
        <v>1</v>
      </c>
      <c r="AS197" s="2">
        <f t="shared" si="85"/>
        <v>138.63838822643635</v>
      </c>
    </row>
    <row r="198" spans="13:45" x14ac:dyDescent="0.3">
      <c r="M198" s="78">
        <v>45032.75</v>
      </c>
      <c r="N198" s="5">
        <v>3.5722869331668398E-2</v>
      </c>
      <c r="O198" s="5">
        <v>60.40869618</v>
      </c>
      <c r="P198" s="2">
        <v>30435</v>
      </c>
      <c r="Q198" s="7">
        <f t="shared" si="69"/>
        <v>507.25</v>
      </c>
      <c r="R198" s="6">
        <f t="shared" si="70"/>
        <v>18.120425468488794</v>
      </c>
      <c r="S198" s="6">
        <f t="shared" si="71"/>
        <v>153.45415553916456</v>
      </c>
      <c r="T198" s="2">
        <f t="shared" si="72"/>
        <v>1</v>
      </c>
      <c r="U198" s="6">
        <f t="shared" si="73"/>
        <v>153.45415553916456</v>
      </c>
      <c r="V198">
        <f>IF((R198-$AB$774)/($Z$773-$AB$774)&lt;0, 0, IF((R198-$AB$774)/($Z$773-$AB$774)&gt;1, 1, (R198-$AB$774)/($Z$773-$AB$774)))</f>
        <v>0.5907233640552193</v>
      </c>
      <c r="W198" s="6">
        <f t="shared" si="74"/>
        <v>90.648954988348152</v>
      </c>
      <c r="Y198" s="78">
        <v>45049.197916666664</v>
      </c>
      <c r="Z198">
        <v>4.4282566433040502E-2</v>
      </c>
      <c r="AA198" s="6">
        <v>93.457733590000004</v>
      </c>
      <c r="AB198" s="2">
        <v>20843</v>
      </c>
      <c r="AC198" s="7">
        <f t="shared" si="75"/>
        <v>347.38333333333333</v>
      </c>
      <c r="AD198" s="7">
        <f t="shared" si="76"/>
        <v>15.383025536064386</v>
      </c>
      <c r="AE198" s="7">
        <f t="shared" si="77"/>
        <v>153.45415553916456</v>
      </c>
      <c r="AF198" s="7">
        <f t="shared" si="78"/>
        <v>1</v>
      </c>
      <c r="AG198" s="6">
        <f t="shared" si="79"/>
        <v>153.45415553916456</v>
      </c>
      <c r="AH198" s="2">
        <f t="shared" si="80"/>
        <v>1</v>
      </c>
      <c r="AI198" s="7">
        <f t="shared" si="81"/>
        <v>153.45415553916456</v>
      </c>
      <c r="AK198" s="78">
        <v>45031.75</v>
      </c>
      <c r="AL198" s="5">
        <v>2.8957190859761998E-2</v>
      </c>
      <c r="AM198" s="5">
        <v>53.134964160000003</v>
      </c>
      <c r="AN198" s="2">
        <v>35111</v>
      </c>
      <c r="AO198" s="7">
        <f t="shared" si="68"/>
        <v>585.18333333333328</v>
      </c>
      <c r="AP198" s="5">
        <f t="shared" si="82"/>
        <v>16.945265471285058</v>
      </c>
      <c r="AQ198" s="6">
        <f t="shared" si="83"/>
        <v>148.49730875894022</v>
      </c>
      <c r="AR198" s="2">
        <f t="shared" si="84"/>
        <v>1</v>
      </c>
      <c r="AS198" s="2">
        <f t="shared" si="85"/>
        <v>148.49730875894022</v>
      </c>
    </row>
    <row r="199" spans="13:45" x14ac:dyDescent="0.3">
      <c r="M199" s="78">
        <v>45032.760416666664</v>
      </c>
      <c r="N199" s="5">
        <v>3.5605872053181997E-2</v>
      </c>
      <c r="O199" s="5">
        <v>56.488631689999998</v>
      </c>
      <c r="P199" s="2">
        <v>31362</v>
      </c>
      <c r="Q199" s="7">
        <f t="shared" si="69"/>
        <v>522.70000000000005</v>
      </c>
      <c r="R199" s="6">
        <f t="shared" si="70"/>
        <v>18.611189322198232</v>
      </c>
      <c r="S199" s="6">
        <f t="shared" si="71"/>
        <v>155.47550734959668</v>
      </c>
      <c r="T199" s="2">
        <f t="shared" si="72"/>
        <v>1</v>
      </c>
      <c r="U199" s="6">
        <f t="shared" si="73"/>
        <v>155.47550734959668</v>
      </c>
      <c r="V199">
        <f>IF((R199-$AB$774)/($Z$773-$AB$774)&lt;0, 0, IF((R199-$AB$774)/($Z$773-$AB$774)&gt;1, 1, (R199-$AB$774)/($Z$773-$AB$774)))</f>
        <v>0.68055742268236663</v>
      </c>
      <c r="W199" s="6">
        <f t="shared" si="74"/>
        <v>105.81001057207487</v>
      </c>
      <c r="Y199" s="78">
        <v>45049.208333333336</v>
      </c>
      <c r="Z199">
        <v>4.39665865914141E-2</v>
      </c>
      <c r="AA199" s="6">
        <v>95.977802339999997</v>
      </c>
      <c r="AB199" s="2">
        <v>21023</v>
      </c>
      <c r="AC199" s="7">
        <f t="shared" si="75"/>
        <v>350.38333333333333</v>
      </c>
      <c r="AD199" s="7">
        <f t="shared" si="76"/>
        <v>15.40515916518831</v>
      </c>
      <c r="AE199" s="7">
        <f t="shared" si="77"/>
        <v>155.47550734959668</v>
      </c>
      <c r="AF199" s="7">
        <f t="shared" si="78"/>
        <v>1</v>
      </c>
      <c r="AG199" s="6">
        <f t="shared" si="79"/>
        <v>155.47550734959668</v>
      </c>
      <c r="AH199" s="2">
        <f t="shared" si="80"/>
        <v>1</v>
      </c>
      <c r="AI199" s="7">
        <f t="shared" si="81"/>
        <v>155.47550734959668</v>
      </c>
      <c r="AK199" s="78">
        <v>45031.760416666664</v>
      </c>
      <c r="AL199" s="5">
        <v>2.9784227493091099E-2</v>
      </c>
      <c r="AM199" s="5">
        <v>54.48183384</v>
      </c>
      <c r="AN199" s="2">
        <v>35641</v>
      </c>
      <c r="AO199" s="7">
        <f t="shared" si="68"/>
        <v>594.01666666666665</v>
      </c>
      <c r="AP199" s="5">
        <f t="shared" si="82"/>
        <v>17.692327534687664</v>
      </c>
      <c r="AQ199" s="6">
        <f t="shared" si="83"/>
        <v>151.66797659745433</v>
      </c>
      <c r="AR199" s="2">
        <f t="shared" si="84"/>
        <v>1</v>
      </c>
      <c r="AS199" s="2">
        <f t="shared" si="85"/>
        <v>151.66797659745433</v>
      </c>
    </row>
    <row r="200" spans="13:45" x14ac:dyDescent="0.3">
      <c r="M200" s="78">
        <v>45032.770833333336</v>
      </c>
      <c r="N200" s="5">
        <v>3.3346149925074099E-2</v>
      </c>
      <c r="O200" s="5">
        <v>60.40869618</v>
      </c>
      <c r="P200" s="2">
        <v>30979</v>
      </c>
      <c r="Q200" s="7">
        <f t="shared" si="69"/>
        <v>516.31666666666672</v>
      </c>
      <c r="R200" s="6">
        <f t="shared" si="70"/>
        <v>17.217172975481176</v>
      </c>
      <c r="S200" s="6">
        <f t="shared" si="71"/>
        <v>149.65943697748801</v>
      </c>
      <c r="T200" s="2">
        <f t="shared" si="72"/>
        <v>1</v>
      </c>
      <c r="U200" s="6">
        <f t="shared" si="73"/>
        <v>149.65943697748801</v>
      </c>
      <c r="V200">
        <f>IF((R200-$AB$774)/($Z$773-$AB$774)&lt;0, 0, IF((R200-$AB$774)/($Z$773-$AB$774)&gt;1, 1, (R200-$AB$774)/($Z$773-$AB$774)))</f>
        <v>0.42538348256507863</v>
      </c>
      <c r="W200" s="6">
        <f t="shared" si="74"/>
        <v>63.662652500212758</v>
      </c>
      <c r="Y200" s="78">
        <v>45049.21875</v>
      </c>
      <c r="Z200">
        <v>4.2831952654501897E-2</v>
      </c>
      <c r="AA200" s="6">
        <v>98.886564129999996</v>
      </c>
      <c r="AB200" s="2">
        <v>20958</v>
      </c>
      <c r="AC200" s="7">
        <f t="shared" si="75"/>
        <v>349.3</v>
      </c>
      <c r="AD200" s="7">
        <f t="shared" si="76"/>
        <v>14.961201062217514</v>
      </c>
      <c r="AE200" s="7">
        <f t="shared" si="77"/>
        <v>149.65943697748801</v>
      </c>
      <c r="AF200" s="7">
        <f t="shared" si="78"/>
        <v>1</v>
      </c>
      <c r="AG200" s="6">
        <f t="shared" si="79"/>
        <v>149.65943697748801</v>
      </c>
      <c r="AH200" s="2">
        <f t="shared" si="80"/>
        <v>1</v>
      </c>
      <c r="AI200" s="7">
        <f t="shared" si="81"/>
        <v>149.65943697748801</v>
      </c>
      <c r="AK200" s="78">
        <v>45031.770833333336</v>
      </c>
      <c r="AL200" s="5">
        <v>2.7510791085592901E-2</v>
      </c>
      <c r="AM200" s="5">
        <v>54.48183384</v>
      </c>
      <c r="AN200" s="2">
        <v>36544</v>
      </c>
      <c r="AO200" s="7">
        <f t="shared" si="68"/>
        <v>609.06666666666672</v>
      </c>
      <c r="AP200" s="5">
        <f t="shared" si="82"/>
        <v>16.755905823865117</v>
      </c>
      <c r="AQ200" s="6">
        <f t="shared" si="83"/>
        <v>147.6823582037581</v>
      </c>
      <c r="AR200" s="2">
        <f t="shared" si="84"/>
        <v>1</v>
      </c>
      <c r="AS200" s="2">
        <f t="shared" si="85"/>
        <v>147.6823582037581</v>
      </c>
    </row>
    <row r="201" spans="13:45" x14ac:dyDescent="0.3">
      <c r="M201" s="78">
        <v>45032.78125</v>
      </c>
      <c r="N201" s="5">
        <v>3.4326274060011097E-2</v>
      </c>
      <c r="O201" s="5">
        <v>56.500021050000001</v>
      </c>
      <c r="P201" s="2">
        <v>31725</v>
      </c>
      <c r="Q201" s="7">
        <f t="shared" si="69"/>
        <v>528.75</v>
      </c>
      <c r="R201" s="6">
        <f t="shared" si="70"/>
        <v>18.150017409230866</v>
      </c>
      <c r="S201" s="6">
        <f t="shared" si="71"/>
        <v>153.5768240139783</v>
      </c>
      <c r="T201" s="2">
        <f t="shared" si="72"/>
        <v>1</v>
      </c>
      <c r="U201" s="6">
        <f t="shared" si="73"/>
        <v>153.5768240139783</v>
      </c>
      <c r="V201">
        <f>IF((R201-$AB$774)/($Z$773-$AB$774)&lt;0, 0, IF((R201-$AB$774)/($Z$773-$AB$774)&gt;1, 1, (R201-$AB$774)/($Z$773-$AB$774)))</f>
        <v>0.59614015284155952</v>
      </c>
      <c r="W201" s="6">
        <f t="shared" si="74"/>
        <v>91.553311340614314</v>
      </c>
      <c r="Y201" s="78">
        <v>45049.229166666664</v>
      </c>
      <c r="Z201">
        <v>4.41232455364413E-2</v>
      </c>
      <c r="AA201" s="6">
        <v>94.720978599999995</v>
      </c>
      <c r="AB201" s="2">
        <v>20668</v>
      </c>
      <c r="AC201" s="7">
        <f t="shared" si="75"/>
        <v>344.46666666666664</v>
      </c>
      <c r="AD201" s="7">
        <f t="shared" si="76"/>
        <v>15.198987312452811</v>
      </c>
      <c r="AE201" s="7">
        <f t="shared" si="77"/>
        <v>153.5768240139783</v>
      </c>
      <c r="AF201" s="7">
        <f t="shared" si="78"/>
        <v>1</v>
      </c>
      <c r="AG201" s="6">
        <f t="shared" si="79"/>
        <v>153.5768240139783</v>
      </c>
      <c r="AH201" s="2">
        <f t="shared" si="80"/>
        <v>1</v>
      </c>
      <c r="AI201" s="7">
        <f t="shared" si="81"/>
        <v>153.5768240139783</v>
      </c>
      <c r="AK201" s="78">
        <v>45031.78125</v>
      </c>
      <c r="AL201" s="5">
        <v>2.7859356002394801E-2</v>
      </c>
      <c r="AM201" s="5">
        <v>54.48183384</v>
      </c>
      <c r="AN201" s="2">
        <v>36242</v>
      </c>
      <c r="AO201" s="7">
        <f t="shared" si="68"/>
        <v>604.0333333333333</v>
      </c>
      <c r="AP201" s="5">
        <f t="shared" si="82"/>
        <v>16.827979670646538</v>
      </c>
      <c r="AQ201" s="6">
        <f t="shared" si="83"/>
        <v>147.99309497131469</v>
      </c>
      <c r="AR201" s="2">
        <f t="shared" si="84"/>
        <v>1</v>
      </c>
      <c r="AS201" s="2">
        <f t="shared" si="85"/>
        <v>147.99309497131469</v>
      </c>
    </row>
    <row r="202" spans="13:45" x14ac:dyDescent="0.3">
      <c r="M202" s="78">
        <v>45032.791666666664</v>
      </c>
      <c r="N202" s="5">
        <v>3.4628870840392303E-2</v>
      </c>
      <c r="O202" s="5">
        <v>56.500021050000001</v>
      </c>
      <c r="P202" s="2">
        <v>30910</v>
      </c>
      <c r="Q202" s="7">
        <f t="shared" si="69"/>
        <v>515.16666666666663</v>
      </c>
      <c r="R202" s="6">
        <f t="shared" si="70"/>
        <v>17.839639961275434</v>
      </c>
      <c r="S202" s="6">
        <f t="shared" si="71"/>
        <v>152.2850809923753</v>
      </c>
      <c r="T202" s="2">
        <f t="shared" si="72"/>
        <v>1</v>
      </c>
      <c r="U202" s="6">
        <f t="shared" si="73"/>
        <v>152.2850809923753</v>
      </c>
      <c r="V202">
        <f>IF((R202-$AB$774)/($Z$773-$AB$774)&lt;0, 0, IF((R202-$AB$774)/($Z$773-$AB$774)&gt;1, 1, (R202-$AB$774)/($Z$773-$AB$774)))</f>
        <v>0.53932572845919513</v>
      </c>
      <c r="W202" s="6">
        <f t="shared" si="74"/>
        <v>82.131262239680339</v>
      </c>
      <c r="Y202" s="78">
        <v>45049.239583333336</v>
      </c>
      <c r="Z202">
        <v>4.3202940603197799E-2</v>
      </c>
      <c r="AA202" s="6">
        <v>100.12409340000001</v>
      </c>
      <c r="AB202" s="2">
        <v>20883</v>
      </c>
      <c r="AC202" s="7">
        <f t="shared" si="75"/>
        <v>348.05</v>
      </c>
      <c r="AD202" s="7">
        <f t="shared" si="76"/>
        <v>15.036783476942995</v>
      </c>
      <c r="AE202" s="7">
        <f t="shared" si="77"/>
        <v>152.2850809923753</v>
      </c>
      <c r="AF202" s="7">
        <f t="shared" si="78"/>
        <v>1</v>
      </c>
      <c r="AG202" s="6">
        <f t="shared" si="79"/>
        <v>152.2850809923753</v>
      </c>
      <c r="AH202" s="2">
        <f t="shared" si="80"/>
        <v>1</v>
      </c>
      <c r="AI202" s="7">
        <f t="shared" si="81"/>
        <v>152.2850809923753</v>
      </c>
      <c r="AK202" s="78">
        <v>45031.791666666664</v>
      </c>
      <c r="AL202" s="5">
        <v>2.5332304475681099E-2</v>
      </c>
      <c r="AM202" s="5">
        <v>54.48183384</v>
      </c>
      <c r="AN202" s="2">
        <v>36193</v>
      </c>
      <c r="AO202" s="7">
        <f t="shared" si="68"/>
        <v>603.2166666666667</v>
      </c>
      <c r="AP202" s="5">
        <f t="shared" si="82"/>
        <v>15.280868264805434</v>
      </c>
      <c r="AQ202" s="6">
        <f t="shared" si="83"/>
        <v>141.16625186533523</v>
      </c>
      <c r="AR202" s="2">
        <f t="shared" si="84"/>
        <v>1</v>
      </c>
      <c r="AS202" s="2">
        <f t="shared" si="85"/>
        <v>141.16625186533523</v>
      </c>
    </row>
    <row r="203" spans="13:45" x14ac:dyDescent="0.3">
      <c r="M203" s="78">
        <v>45032.802083333336</v>
      </c>
      <c r="N203" s="5">
        <v>3.44127329604084E-2</v>
      </c>
      <c r="O203" s="5">
        <v>56.500021050000001</v>
      </c>
      <c r="P203" s="2">
        <v>29885</v>
      </c>
      <c r="Q203" s="7">
        <f t="shared" si="69"/>
        <v>498.08333333333331</v>
      </c>
      <c r="R203" s="6">
        <f t="shared" si="70"/>
        <v>17.140408742030083</v>
      </c>
      <c r="S203" s="6">
        <f t="shared" si="71"/>
        <v>149.3323026092929</v>
      </c>
      <c r="T203" s="2">
        <f t="shared" si="72"/>
        <v>1</v>
      </c>
      <c r="U203" s="6">
        <f t="shared" si="73"/>
        <v>149.3323026092929</v>
      </c>
      <c r="V203">
        <f>IF((R203-$AB$774)/($Z$773-$AB$774)&lt;0, 0, IF((R203-$AB$774)/($Z$773-$AB$774)&gt;1, 1, (R203-$AB$774)/($Z$773-$AB$774)))</f>
        <v>0.41133183105042476</v>
      </c>
      <c r="W203" s="6">
        <f t="shared" si="74"/>
        <v>61.425129467256568</v>
      </c>
      <c r="Y203" s="78">
        <v>45049.25</v>
      </c>
      <c r="Z203">
        <v>4.11701593223983E-2</v>
      </c>
      <c r="AA203" s="6">
        <v>98.886564129999996</v>
      </c>
      <c r="AB203" s="2">
        <v>21741</v>
      </c>
      <c r="AC203" s="7">
        <f t="shared" si="75"/>
        <v>362.35</v>
      </c>
      <c r="AD203" s="7">
        <f t="shared" si="76"/>
        <v>14.918007230471025</v>
      </c>
      <c r="AE203" s="7">
        <f t="shared" si="77"/>
        <v>149.3323026092929</v>
      </c>
      <c r="AF203" s="7">
        <f t="shared" si="78"/>
        <v>1</v>
      </c>
      <c r="AG203" s="6">
        <f t="shared" si="79"/>
        <v>149.3323026092929</v>
      </c>
      <c r="AH203" s="2">
        <f t="shared" si="80"/>
        <v>1</v>
      </c>
      <c r="AI203" s="7">
        <f t="shared" si="81"/>
        <v>149.3323026092929</v>
      </c>
      <c r="AK203" s="78">
        <v>45031.802083333336</v>
      </c>
      <c r="AL203" s="5">
        <v>2.6505014381298202E-2</v>
      </c>
      <c r="AM203" s="5">
        <v>56.488631689999998</v>
      </c>
      <c r="AN203" s="2">
        <v>36255</v>
      </c>
      <c r="AO203" s="7">
        <f t="shared" si="68"/>
        <v>604.25</v>
      </c>
      <c r="AP203" s="5">
        <f t="shared" si="82"/>
        <v>16.015654939899438</v>
      </c>
      <c r="AQ203" s="6">
        <f t="shared" si="83"/>
        <v>144.45052808603464</v>
      </c>
      <c r="AR203" s="2">
        <f t="shared" si="84"/>
        <v>1</v>
      </c>
      <c r="AS203" s="2">
        <f t="shared" si="85"/>
        <v>144.45052808603464</v>
      </c>
    </row>
    <row r="204" spans="13:45" x14ac:dyDescent="0.3">
      <c r="M204" s="78">
        <v>45032.8125</v>
      </c>
      <c r="N204" s="5">
        <v>4.3609919683735898E-2</v>
      </c>
      <c r="O204" s="5">
        <v>56.500021050000001</v>
      </c>
      <c r="P204" s="2">
        <v>28432</v>
      </c>
      <c r="Q204" s="7">
        <f t="shared" si="69"/>
        <v>473.86666666666667</v>
      </c>
      <c r="R204" s="6">
        <f t="shared" si="70"/>
        <v>20.665287274132986</v>
      </c>
      <c r="S204" s="6">
        <f t="shared" si="71"/>
        <v>163.6542654847311</v>
      </c>
      <c r="T204" s="2">
        <f t="shared" si="72"/>
        <v>1</v>
      </c>
      <c r="U204" s="6">
        <f t="shared" si="73"/>
        <v>163.6542654847311</v>
      </c>
      <c r="V204">
        <f>IF((R204-$AB$774)/($Z$773-$AB$774)&lt;0, 0, IF((R204-$AB$774)/($Z$773-$AB$774)&gt;1, 1, (R204-$AB$774)/($Z$773-$AB$774)))</f>
        <v>1</v>
      </c>
      <c r="W204" s="6">
        <f t="shared" si="74"/>
        <v>163.6542654847311</v>
      </c>
      <c r="Y204" s="78">
        <v>45049.260416666664</v>
      </c>
      <c r="Z204">
        <v>4.4266810525568398E-2</v>
      </c>
      <c r="AA204" s="6">
        <v>94.720978599999995</v>
      </c>
      <c r="AB204" s="2">
        <v>21636</v>
      </c>
      <c r="AC204" s="7">
        <f t="shared" si="75"/>
        <v>360.6</v>
      </c>
      <c r="AD204" s="7">
        <f t="shared" si="76"/>
        <v>15.962611875519965</v>
      </c>
      <c r="AE204" s="7">
        <f t="shared" si="77"/>
        <v>163.6542654847311</v>
      </c>
      <c r="AF204" s="7">
        <f t="shared" si="78"/>
        <v>1</v>
      </c>
      <c r="AG204" s="6">
        <f t="shared" si="79"/>
        <v>163.6542654847311</v>
      </c>
      <c r="AH204" s="2">
        <f t="shared" si="80"/>
        <v>1</v>
      </c>
      <c r="AI204" s="7">
        <f t="shared" si="81"/>
        <v>163.6542654847311</v>
      </c>
      <c r="AK204" s="78">
        <v>45031.8125</v>
      </c>
      <c r="AL204" s="5">
        <v>2.5213020847354599E-2</v>
      </c>
      <c r="AM204" s="5">
        <v>58.466044660000001</v>
      </c>
      <c r="AN204" s="2">
        <v>35621</v>
      </c>
      <c r="AO204" s="7">
        <f t="shared" si="68"/>
        <v>593.68333333333328</v>
      </c>
      <c r="AP204" s="5">
        <f t="shared" si="82"/>
        <v>14.968550260060301</v>
      </c>
      <c r="AQ204" s="6">
        <f t="shared" si="83"/>
        <v>139.74591169112992</v>
      </c>
      <c r="AR204" s="2">
        <f t="shared" si="84"/>
        <v>1</v>
      </c>
      <c r="AS204" s="2">
        <f t="shared" si="85"/>
        <v>139.74591169112992</v>
      </c>
    </row>
    <row r="205" spans="13:45" x14ac:dyDescent="0.3">
      <c r="M205" s="78">
        <v>45032.822916666664</v>
      </c>
      <c r="N205" s="5">
        <v>3.7462336560132599E-2</v>
      </c>
      <c r="O205" s="5">
        <v>61.680991169999999</v>
      </c>
      <c r="P205" s="2">
        <v>28657</v>
      </c>
      <c r="Q205" s="7">
        <f t="shared" si="69"/>
        <v>477.61666666666667</v>
      </c>
      <c r="R205" s="6">
        <f t="shared" si="70"/>
        <v>17.892636313395332</v>
      </c>
      <c r="S205" s="6">
        <f t="shared" si="71"/>
        <v>152.50645087589714</v>
      </c>
      <c r="T205" s="2">
        <f t="shared" si="72"/>
        <v>1</v>
      </c>
      <c r="U205" s="6">
        <f t="shared" si="73"/>
        <v>152.50645087589714</v>
      </c>
      <c r="V205">
        <f>IF((R205-$AB$774)/($Z$773-$AB$774)&lt;0, 0, IF((R205-$AB$774)/($Z$773-$AB$774)&gt;1, 1, (R205-$AB$774)/($Z$773-$AB$774)))</f>
        <v>0.54902668212026606</v>
      </c>
      <c r="W205" s="6">
        <f t="shared" si="74"/>
        <v>83.730110726331148</v>
      </c>
      <c r="Y205" s="78">
        <v>45049.270833333336</v>
      </c>
      <c r="Z205">
        <v>4.1512611787644899E-2</v>
      </c>
      <c r="AA205" s="6">
        <v>100.9486689</v>
      </c>
      <c r="AB205" s="2">
        <v>21234</v>
      </c>
      <c r="AC205" s="7">
        <f t="shared" si="75"/>
        <v>353.9</v>
      </c>
      <c r="AD205" s="7">
        <f t="shared" si="76"/>
        <v>14.691313311647528</v>
      </c>
      <c r="AE205" s="7">
        <f t="shared" si="77"/>
        <v>152.50645087589714</v>
      </c>
      <c r="AF205" s="7">
        <f t="shared" si="78"/>
        <v>1</v>
      </c>
      <c r="AG205" s="6">
        <f t="shared" si="79"/>
        <v>152.50645087589714</v>
      </c>
      <c r="AH205" s="2">
        <f t="shared" si="80"/>
        <v>1</v>
      </c>
      <c r="AI205" s="7">
        <f t="shared" si="81"/>
        <v>152.50645087589714</v>
      </c>
      <c r="AK205" s="78">
        <v>45031.822916666664</v>
      </c>
      <c r="AL205" s="5">
        <v>2.4450774437797598E-2</v>
      </c>
      <c r="AM205" s="5">
        <v>57.814717760000001</v>
      </c>
      <c r="AN205" s="2">
        <v>36219</v>
      </c>
      <c r="AO205" s="7">
        <f t="shared" si="68"/>
        <v>603.65</v>
      </c>
      <c r="AP205" s="5">
        <f t="shared" si="82"/>
        <v>14.759709989376519</v>
      </c>
      <c r="AQ205" s="6">
        <f t="shared" si="83"/>
        <v>138.78770784200404</v>
      </c>
      <c r="AR205" s="2">
        <f t="shared" si="84"/>
        <v>1</v>
      </c>
      <c r="AS205" s="2">
        <f t="shared" si="85"/>
        <v>138.78770784200404</v>
      </c>
    </row>
    <row r="206" spans="13:45" x14ac:dyDescent="0.3">
      <c r="M206" s="78">
        <v>45032.833333333336</v>
      </c>
      <c r="N206" s="5">
        <v>3.4439600220298301E-2</v>
      </c>
      <c r="O206" s="5">
        <v>61.042518610000002</v>
      </c>
      <c r="P206" s="2">
        <v>28941</v>
      </c>
      <c r="Q206" s="7">
        <f t="shared" si="69"/>
        <v>482.35</v>
      </c>
      <c r="R206" s="6">
        <f t="shared" si="70"/>
        <v>16.611941166260888</v>
      </c>
      <c r="S206" s="6">
        <f t="shared" si="71"/>
        <v>147.05962523664127</v>
      </c>
      <c r="T206" s="2">
        <f t="shared" si="72"/>
        <v>1</v>
      </c>
      <c r="U206" s="6">
        <f t="shared" si="73"/>
        <v>147.05962523664127</v>
      </c>
      <c r="V206">
        <f>IF((R206-$AB$774)/($Z$773-$AB$774)&lt;0, 0, IF((R206-$AB$774)/($Z$773-$AB$774)&gt;1, 1, (R206-$AB$774)/($Z$773-$AB$774)))</f>
        <v>0.31459612644349177</v>
      </c>
      <c r="W206" s="6">
        <f t="shared" si="74"/>
        <v>46.264388455678912</v>
      </c>
      <c r="Y206" s="78">
        <v>45049.28125</v>
      </c>
      <c r="Z206">
        <v>4.2109957625671199E-2</v>
      </c>
      <c r="AA206" s="6">
        <v>103.3988808</v>
      </c>
      <c r="AB206" s="2">
        <v>21676</v>
      </c>
      <c r="AC206" s="7">
        <f t="shared" si="75"/>
        <v>361.26666666666665</v>
      </c>
      <c r="AD206" s="7">
        <f t="shared" si="76"/>
        <v>15.212924024900815</v>
      </c>
      <c r="AE206" s="7">
        <f t="shared" si="77"/>
        <v>147.05962523664127</v>
      </c>
      <c r="AF206" s="7">
        <f t="shared" si="78"/>
        <v>1</v>
      </c>
      <c r="AG206" s="6">
        <f t="shared" si="79"/>
        <v>147.05962523664127</v>
      </c>
      <c r="AH206" s="2">
        <f t="shared" si="80"/>
        <v>1</v>
      </c>
      <c r="AI206" s="7">
        <f t="shared" si="81"/>
        <v>147.05962523664127</v>
      </c>
      <c r="AK206" s="78">
        <v>45031.833333333336</v>
      </c>
      <c r="AL206" s="5">
        <v>2.67817514128929E-2</v>
      </c>
      <c r="AM206" s="5">
        <v>56.488631689999998</v>
      </c>
      <c r="AN206" s="2">
        <v>36359</v>
      </c>
      <c r="AO206" s="7">
        <f t="shared" si="68"/>
        <v>605.98333333333335</v>
      </c>
      <c r="AP206" s="5">
        <f t="shared" si="82"/>
        <v>16.22929499368955</v>
      </c>
      <c r="AQ206" s="6">
        <f t="shared" si="83"/>
        <v>145.39093631771536</v>
      </c>
      <c r="AR206" s="2">
        <f t="shared" si="84"/>
        <v>1</v>
      </c>
      <c r="AS206" s="2">
        <f t="shared" si="85"/>
        <v>145.39093631771536</v>
      </c>
    </row>
    <row r="207" spans="13:45" x14ac:dyDescent="0.3">
      <c r="M207" s="78">
        <v>45032.84375</v>
      </c>
      <c r="N207" s="5">
        <v>3.7711011216116599E-2</v>
      </c>
      <c r="O207" s="5">
        <v>57.814717760000001</v>
      </c>
      <c r="P207" s="2">
        <v>29982</v>
      </c>
      <c r="Q207" s="7">
        <f t="shared" si="69"/>
        <v>499.7</v>
      </c>
      <c r="R207" s="6">
        <f t="shared" si="70"/>
        <v>18.844192304693465</v>
      </c>
      <c r="S207" s="6">
        <f t="shared" si="71"/>
        <v>156.42567148305025</v>
      </c>
      <c r="T207" s="2">
        <f t="shared" si="72"/>
        <v>1</v>
      </c>
      <c r="U207" s="6">
        <f t="shared" si="73"/>
        <v>156.42567148305025</v>
      </c>
      <c r="V207">
        <f>IF((R207-$AB$774)/($Z$773-$AB$774)&lt;0, 0, IF((R207-$AB$774)/($Z$773-$AB$774)&gt;1, 1, (R207-$AB$774)/($Z$773-$AB$774)))</f>
        <v>0.7232084929100645</v>
      </c>
      <c r="W207" s="6">
        <f t="shared" si="74"/>
        <v>113.12837412570163</v>
      </c>
      <c r="Y207" s="78">
        <v>45049.291666666664</v>
      </c>
      <c r="Z207">
        <v>4.3032442713890902E-2</v>
      </c>
      <c r="AA207" s="6">
        <v>108.62303609999999</v>
      </c>
      <c r="AB207" s="2">
        <v>21240</v>
      </c>
      <c r="AC207" s="7">
        <f t="shared" si="75"/>
        <v>354</v>
      </c>
      <c r="AD207" s="7">
        <f t="shared" si="76"/>
        <v>15.23348472071738</v>
      </c>
      <c r="AE207" s="7">
        <f t="shared" si="77"/>
        <v>156.42567148305025</v>
      </c>
      <c r="AF207" s="7">
        <f t="shared" si="78"/>
        <v>1</v>
      </c>
      <c r="AG207" s="6">
        <f t="shared" si="79"/>
        <v>156.42567148305025</v>
      </c>
      <c r="AH207" s="2">
        <f t="shared" si="80"/>
        <v>1</v>
      </c>
      <c r="AI207" s="7">
        <f t="shared" si="81"/>
        <v>156.42567148305025</v>
      </c>
      <c r="AK207" s="78">
        <v>45031.84375</v>
      </c>
      <c r="AL207" s="5">
        <v>2.7219728960166199E-2</v>
      </c>
      <c r="AM207" s="5">
        <v>56.488631689999998</v>
      </c>
      <c r="AN207" s="2">
        <v>37391</v>
      </c>
      <c r="AO207" s="7">
        <f t="shared" si="68"/>
        <v>623.18333333333328</v>
      </c>
      <c r="AP207" s="5">
        <f t="shared" si="82"/>
        <v>16.962881425826236</v>
      </c>
      <c r="AQ207" s="6">
        <f t="shared" si="83"/>
        <v>148.57288605320321</v>
      </c>
      <c r="AR207" s="2">
        <f t="shared" si="84"/>
        <v>1</v>
      </c>
      <c r="AS207" s="2">
        <f t="shared" si="85"/>
        <v>148.57288605320321</v>
      </c>
    </row>
    <row r="208" spans="13:45" x14ac:dyDescent="0.3">
      <c r="M208" s="78">
        <v>45032.854166666664</v>
      </c>
      <c r="N208" s="5">
        <v>4.0250312884533401E-2</v>
      </c>
      <c r="O208" s="5">
        <v>65.22973614</v>
      </c>
      <c r="P208" s="2">
        <v>30183</v>
      </c>
      <c r="Q208" s="7">
        <f t="shared" si="69"/>
        <v>503.05</v>
      </c>
      <c r="R208" s="6">
        <f t="shared" si="70"/>
        <v>20.247919896564529</v>
      </c>
      <c r="S208" s="6">
        <f t="shared" si="71"/>
        <v>162.02725761773482</v>
      </c>
      <c r="T208" s="2">
        <f t="shared" si="72"/>
        <v>1</v>
      </c>
      <c r="U208" s="6">
        <f t="shared" si="73"/>
        <v>162.02725761773482</v>
      </c>
      <c r="V208">
        <f>IF((R208-$AB$774)/($Z$773-$AB$774)&lt;0, 0, IF((R208-$AB$774)/($Z$773-$AB$774)&gt;1, 1, (R208-$AB$774)/($Z$773-$AB$774)))</f>
        <v>0.9801600712130375</v>
      </c>
      <c r="W208" s="6">
        <f t="shared" si="74"/>
        <v>158.81264836505213</v>
      </c>
      <c r="Y208" s="78">
        <v>45049.302083333336</v>
      </c>
      <c r="Z208">
        <v>4.0686098870163702E-2</v>
      </c>
      <c r="AA208" s="6">
        <v>93.457733590000004</v>
      </c>
      <c r="AB208" s="2">
        <v>21601</v>
      </c>
      <c r="AC208" s="7">
        <f t="shared" si="75"/>
        <v>360.01666666666665</v>
      </c>
      <c r="AD208" s="7">
        <f t="shared" si="76"/>
        <v>14.647673694906768</v>
      </c>
      <c r="AE208" s="7">
        <f t="shared" si="77"/>
        <v>162.02725761773482</v>
      </c>
      <c r="AF208" s="7">
        <f t="shared" si="78"/>
        <v>1</v>
      </c>
      <c r="AG208" s="6">
        <f t="shared" si="79"/>
        <v>162.02725761773482</v>
      </c>
      <c r="AH208" s="2">
        <f t="shared" si="80"/>
        <v>1</v>
      </c>
      <c r="AI208" s="7">
        <f t="shared" si="81"/>
        <v>162.02725761773482</v>
      </c>
      <c r="AK208" s="78">
        <v>45031.854166666664</v>
      </c>
      <c r="AL208" s="5">
        <v>2.4936220497263701E-2</v>
      </c>
      <c r="AM208" s="5">
        <v>62.315280379999997</v>
      </c>
      <c r="AN208" s="2">
        <v>37542</v>
      </c>
      <c r="AO208" s="7">
        <f t="shared" si="68"/>
        <v>625.70000000000005</v>
      </c>
      <c r="AP208" s="5">
        <f t="shared" si="82"/>
        <v>15.602593165137899</v>
      </c>
      <c r="AQ208" s="6">
        <f t="shared" si="83"/>
        <v>142.61396618483059</v>
      </c>
      <c r="AR208" s="2">
        <f t="shared" si="84"/>
        <v>1</v>
      </c>
      <c r="AS208" s="2">
        <f t="shared" si="85"/>
        <v>142.61396618483059</v>
      </c>
    </row>
    <row r="209" spans="13:45" x14ac:dyDescent="0.3">
      <c r="M209" s="78">
        <v>45032.864583333336</v>
      </c>
      <c r="N209" s="5">
        <v>3.6752613359467397E-2</v>
      </c>
      <c r="O209" s="5">
        <v>59.769842060000002</v>
      </c>
      <c r="P209" s="2">
        <v>29364</v>
      </c>
      <c r="Q209" s="7">
        <f t="shared" si="69"/>
        <v>489.4</v>
      </c>
      <c r="R209" s="6">
        <f t="shared" si="70"/>
        <v>17.986728978123342</v>
      </c>
      <c r="S209" s="6">
        <f t="shared" si="71"/>
        <v>152.89866043870359</v>
      </c>
      <c r="T209" s="2">
        <f t="shared" si="72"/>
        <v>1</v>
      </c>
      <c r="U209" s="6">
        <f t="shared" si="73"/>
        <v>152.89866043870359</v>
      </c>
      <c r="V209">
        <f>IF((R209-$AB$774)/($Z$773-$AB$774)&lt;0, 0, IF((R209-$AB$774)/($Z$773-$AB$774)&gt;1, 1, (R209-$AB$774)/($Z$773-$AB$774)))</f>
        <v>0.56625029363050794</v>
      </c>
      <c r="W209" s="6">
        <f t="shared" si="74"/>
        <v>86.578911369127241</v>
      </c>
      <c r="Y209" s="78">
        <v>45049.3125</v>
      </c>
      <c r="Z209">
        <v>4.1976496896095297E-2</v>
      </c>
      <c r="AA209" s="6">
        <v>98.893656829999998</v>
      </c>
      <c r="AB209" s="2">
        <v>21724</v>
      </c>
      <c r="AC209" s="7">
        <f t="shared" si="75"/>
        <v>362.06666666666666</v>
      </c>
      <c r="AD209" s="7">
        <f t="shared" si="76"/>
        <v>15.198290309512904</v>
      </c>
      <c r="AE209" s="7">
        <f t="shared" si="77"/>
        <v>152.89866043870359</v>
      </c>
      <c r="AF209" s="7">
        <f t="shared" si="78"/>
        <v>1</v>
      </c>
      <c r="AG209" s="6">
        <f t="shared" si="79"/>
        <v>152.89866043870359</v>
      </c>
      <c r="AH209" s="2">
        <f t="shared" si="80"/>
        <v>1</v>
      </c>
      <c r="AI209" s="7">
        <f t="shared" si="81"/>
        <v>152.89866043870359</v>
      </c>
      <c r="AK209" s="78">
        <v>45031.864583333336</v>
      </c>
      <c r="AL209" s="5">
        <v>2.5562632309731499E-2</v>
      </c>
      <c r="AM209" s="5">
        <v>62.315280379999997</v>
      </c>
      <c r="AN209" s="2">
        <v>37349</v>
      </c>
      <c r="AO209" s="7">
        <f t="shared" si="68"/>
        <v>622.48333333333335</v>
      </c>
      <c r="AP209" s="5">
        <f t="shared" si="82"/>
        <v>15.912312568936029</v>
      </c>
      <c r="AQ209" s="6">
        <f t="shared" si="83"/>
        <v>143.99333494255001</v>
      </c>
      <c r="AR209" s="2">
        <f t="shared" si="84"/>
        <v>1</v>
      </c>
      <c r="AS209" s="2">
        <f t="shared" si="85"/>
        <v>143.99333494255001</v>
      </c>
    </row>
    <row r="210" spans="13:45" x14ac:dyDescent="0.3">
      <c r="M210" s="78">
        <v>45032.875</v>
      </c>
      <c r="N210" s="5">
        <v>3.79383292423758E-2</v>
      </c>
      <c r="O210" s="5">
        <v>61.680991169999999</v>
      </c>
      <c r="P210" s="2">
        <v>29820</v>
      </c>
      <c r="Q210" s="7">
        <f t="shared" si="69"/>
        <v>497</v>
      </c>
      <c r="R210" s="6">
        <f t="shared" si="70"/>
        <v>18.855349633460772</v>
      </c>
      <c r="S210" s="6">
        <f t="shared" si="71"/>
        <v>156.47101918050674</v>
      </c>
      <c r="T210" s="2">
        <f t="shared" si="72"/>
        <v>1</v>
      </c>
      <c r="U210" s="6">
        <f t="shared" si="73"/>
        <v>156.47101918050674</v>
      </c>
      <c r="V210">
        <f>IF((R210-$AB$774)/($Z$773-$AB$774)&lt;0, 0, IF((R210-$AB$774)/($Z$773-$AB$774)&gt;1, 1, (R210-$AB$774)/($Z$773-$AB$774)))</f>
        <v>0.72525083592092143</v>
      </c>
      <c r="W210" s="6">
        <f t="shared" si="74"/>
        <v>113.48073745806104</v>
      </c>
      <c r="Y210" s="78">
        <v>45049.322916666664</v>
      </c>
      <c r="Z210">
        <v>4.17378334561051E-2</v>
      </c>
      <c r="AA210" s="6">
        <v>91.345373739999999</v>
      </c>
      <c r="AB210" s="2">
        <v>22046</v>
      </c>
      <c r="AC210" s="7">
        <f t="shared" si="75"/>
        <v>367.43333333333334</v>
      </c>
      <c r="AD210" s="7">
        <f t="shared" si="76"/>
        <v>15.335871272888218</v>
      </c>
      <c r="AE210" s="7">
        <f t="shared" si="77"/>
        <v>156.47101918050674</v>
      </c>
      <c r="AF210" s="7">
        <f t="shared" si="78"/>
        <v>1</v>
      </c>
      <c r="AG210" s="6">
        <f t="shared" si="79"/>
        <v>156.47101918050674</v>
      </c>
      <c r="AH210" s="2">
        <f t="shared" si="80"/>
        <v>1</v>
      </c>
      <c r="AI210" s="7">
        <f t="shared" si="81"/>
        <v>156.47101918050674</v>
      </c>
      <c r="AK210" s="78">
        <v>45031.875</v>
      </c>
      <c r="AL210" s="5">
        <v>2.4981784826850501E-2</v>
      </c>
      <c r="AM210" s="5">
        <v>55.160894489999997</v>
      </c>
      <c r="AN210" s="2">
        <v>37537</v>
      </c>
      <c r="AO210" s="7">
        <f t="shared" si="68"/>
        <v>625.61666666666667</v>
      </c>
      <c r="AP210" s="5">
        <f t="shared" si="82"/>
        <v>15.629020950758122</v>
      </c>
      <c r="AQ210" s="6">
        <f t="shared" si="83"/>
        <v>142.73220731740571</v>
      </c>
      <c r="AR210" s="2">
        <f t="shared" si="84"/>
        <v>1</v>
      </c>
      <c r="AS210" s="2">
        <f t="shared" si="85"/>
        <v>142.73220731740571</v>
      </c>
    </row>
    <row r="211" spans="13:45" x14ac:dyDescent="0.3">
      <c r="M211" s="78">
        <v>45032.885416666664</v>
      </c>
      <c r="N211" s="5">
        <v>3.46883243611898E-2</v>
      </c>
      <c r="O211" s="5">
        <v>61.680991169999999</v>
      </c>
      <c r="P211" s="2">
        <v>30877</v>
      </c>
      <c r="Q211" s="7">
        <f t="shared" si="69"/>
        <v>514.61666666666667</v>
      </c>
      <c r="R211" s="6">
        <f t="shared" si="70"/>
        <v>17.851189855007625</v>
      </c>
      <c r="S211" s="6">
        <f t="shared" si="71"/>
        <v>152.33335436496066</v>
      </c>
      <c r="T211" s="2">
        <f t="shared" si="72"/>
        <v>1</v>
      </c>
      <c r="U211" s="6">
        <f t="shared" si="73"/>
        <v>152.33335436496066</v>
      </c>
      <c r="V211">
        <f>IF((R211-$AB$774)/($Z$773-$AB$774)&lt;0, 0, IF((R211-$AB$774)/($Z$773-$AB$774)&gt;1, 1, (R211-$AB$774)/($Z$773-$AB$774)))</f>
        <v>0.54143993027506332</v>
      </c>
      <c r="W211" s="6">
        <f t="shared" si="74"/>
        <v>82.479360765930807</v>
      </c>
      <c r="Y211" s="78">
        <v>45049.333333333336</v>
      </c>
      <c r="Z211">
        <v>4.15743417177512E-2</v>
      </c>
      <c r="AA211" s="6">
        <v>94.720978599999995</v>
      </c>
      <c r="AB211" s="2">
        <v>21803</v>
      </c>
      <c r="AC211" s="7">
        <f t="shared" si="75"/>
        <v>363.38333333333333</v>
      </c>
      <c r="AD211" s="7">
        <f t="shared" si="76"/>
        <v>15.107422874535489</v>
      </c>
      <c r="AE211" s="7">
        <f t="shared" si="77"/>
        <v>152.33335436496066</v>
      </c>
      <c r="AF211" s="7">
        <f t="shared" si="78"/>
        <v>1</v>
      </c>
      <c r="AG211" s="6">
        <f t="shared" si="79"/>
        <v>152.33335436496066</v>
      </c>
      <c r="AH211" s="2">
        <f t="shared" si="80"/>
        <v>1</v>
      </c>
      <c r="AI211" s="7">
        <f t="shared" si="81"/>
        <v>152.33335436496066</v>
      </c>
      <c r="AK211" s="78">
        <v>45031.885416666664</v>
      </c>
      <c r="AL211" s="5">
        <v>2.92641085444116E-2</v>
      </c>
      <c r="AM211" s="5">
        <v>58.477264509999998</v>
      </c>
      <c r="AN211" s="2">
        <v>37152</v>
      </c>
      <c r="AO211" s="7">
        <f t="shared" si="68"/>
        <v>619.20000000000005</v>
      </c>
      <c r="AP211" s="5">
        <f t="shared" si="82"/>
        <v>18.120336010699663</v>
      </c>
      <c r="AQ211" s="6">
        <f t="shared" si="83"/>
        <v>153.45378455183717</v>
      </c>
      <c r="AR211" s="2">
        <f t="shared" si="84"/>
        <v>1</v>
      </c>
      <c r="AS211" s="2">
        <f t="shared" si="85"/>
        <v>153.45378455183717</v>
      </c>
    </row>
    <row r="212" spans="13:45" x14ac:dyDescent="0.3">
      <c r="M212" s="78">
        <v>45032.895833333336</v>
      </c>
      <c r="N212" s="5">
        <v>3.7185759739210199E-2</v>
      </c>
      <c r="O212" s="5">
        <v>61.680991169999999</v>
      </c>
      <c r="P212" s="2">
        <v>30636</v>
      </c>
      <c r="Q212" s="7">
        <f t="shared" si="69"/>
        <v>510.6</v>
      </c>
      <c r="R212" s="6">
        <f t="shared" si="70"/>
        <v>18.987048922840728</v>
      </c>
      <c r="S212" s="6">
        <f t="shared" si="71"/>
        <v>157.00526471763243</v>
      </c>
      <c r="T212" s="2">
        <f t="shared" si="72"/>
        <v>1</v>
      </c>
      <c r="U212" s="6">
        <f t="shared" si="73"/>
        <v>157.00526471763243</v>
      </c>
      <c r="V212">
        <f>IF((R212-$AB$774)/($Z$773-$AB$774)&lt;0, 0, IF((R212-$AB$774)/($Z$773-$AB$774)&gt;1, 1, (R212-$AB$774)/($Z$773-$AB$774)))</f>
        <v>0.74935831978283862</v>
      </c>
      <c r="W212" s="6">
        <f t="shared" si="74"/>
        <v>117.65320136586483</v>
      </c>
      <c r="Y212" s="78">
        <v>45049.34375</v>
      </c>
      <c r="Z212">
        <v>4.0892065156023297E-2</v>
      </c>
      <c r="AA212" s="6">
        <v>97.229596529999995</v>
      </c>
      <c r="AB212" s="2">
        <v>22156</v>
      </c>
      <c r="AC212" s="7">
        <f t="shared" si="75"/>
        <v>369.26666666666665</v>
      </c>
      <c r="AD212" s="7">
        <f t="shared" si="76"/>
        <v>15.100076593280869</v>
      </c>
      <c r="AE212" s="7">
        <f t="shared" si="77"/>
        <v>157.00526471763243</v>
      </c>
      <c r="AF212" s="7">
        <f t="shared" si="78"/>
        <v>1</v>
      </c>
      <c r="AG212" s="6">
        <f t="shared" si="79"/>
        <v>157.00526471763243</v>
      </c>
      <c r="AH212" s="2">
        <f t="shared" si="80"/>
        <v>1</v>
      </c>
      <c r="AI212" s="7">
        <f t="shared" si="81"/>
        <v>157.00526471763243</v>
      </c>
      <c r="AK212" s="78">
        <v>45031.895833333336</v>
      </c>
      <c r="AL212" s="5">
        <v>2.80540205519152E-2</v>
      </c>
      <c r="AM212" s="5">
        <v>55.160894489999997</v>
      </c>
      <c r="AN212" s="2">
        <v>36916</v>
      </c>
      <c r="AO212" s="7">
        <f t="shared" si="68"/>
        <v>615.26666666666665</v>
      </c>
      <c r="AP212" s="5">
        <f t="shared" si="82"/>
        <v>17.260703711575026</v>
      </c>
      <c r="AQ212" s="6">
        <f t="shared" si="83"/>
        <v>149.84461458987363</v>
      </c>
      <c r="AR212" s="2">
        <f t="shared" si="84"/>
        <v>1</v>
      </c>
      <c r="AS212" s="2">
        <f t="shared" si="85"/>
        <v>149.84461458987363</v>
      </c>
    </row>
    <row r="213" spans="13:45" x14ac:dyDescent="0.3">
      <c r="M213" s="78">
        <v>45032.90625</v>
      </c>
      <c r="N213" s="5">
        <v>3.2216838449039199E-2</v>
      </c>
      <c r="O213" s="5">
        <v>57.814717760000001</v>
      </c>
      <c r="P213" s="2">
        <v>31653</v>
      </c>
      <c r="Q213" s="7">
        <f t="shared" si="69"/>
        <v>527.54999999999995</v>
      </c>
      <c r="R213" s="6">
        <f t="shared" si="70"/>
        <v>16.99599312379063</v>
      </c>
      <c r="S213" s="6">
        <f t="shared" si="71"/>
        <v>148.7148360363347</v>
      </c>
      <c r="T213" s="2">
        <f t="shared" si="72"/>
        <v>1</v>
      </c>
      <c r="U213" s="6">
        <f t="shared" si="73"/>
        <v>148.7148360363347</v>
      </c>
      <c r="V213">
        <f>IF((R213-$AB$774)/($Z$773-$AB$774)&lt;0, 0, IF((R213-$AB$774)/($Z$773-$AB$774)&gt;1, 1, (R213-$AB$774)/($Z$773-$AB$774)))</f>
        <v>0.38489663005194252</v>
      </c>
      <c r="W213" s="6">
        <f t="shared" si="74"/>
        <v>57.239839229112405</v>
      </c>
      <c r="Y213" s="78">
        <v>45049.354166666664</v>
      </c>
      <c r="Z213">
        <v>4.0630072084136902E-2</v>
      </c>
      <c r="AA213" s="6">
        <v>91.338086169999997</v>
      </c>
      <c r="AB213" s="2">
        <v>22371</v>
      </c>
      <c r="AC213" s="7">
        <f t="shared" si="75"/>
        <v>372.85</v>
      </c>
      <c r="AD213" s="7">
        <f t="shared" si="76"/>
        <v>15.148922376570445</v>
      </c>
      <c r="AE213" s="7">
        <f t="shared" si="77"/>
        <v>148.7148360363347</v>
      </c>
      <c r="AF213" s="7">
        <f t="shared" si="78"/>
        <v>1</v>
      </c>
      <c r="AG213" s="6">
        <f t="shared" si="79"/>
        <v>148.7148360363347</v>
      </c>
      <c r="AH213" s="2">
        <f t="shared" si="80"/>
        <v>1</v>
      </c>
      <c r="AI213" s="7">
        <f t="shared" si="81"/>
        <v>148.7148360363347</v>
      </c>
      <c r="AK213" s="78">
        <v>45031.90625</v>
      </c>
      <c r="AL213" s="5">
        <v>2.63147145689074E-2</v>
      </c>
      <c r="AM213" s="5">
        <v>53.134964160000003</v>
      </c>
      <c r="AN213" s="2">
        <v>37105</v>
      </c>
      <c r="AO213" s="7">
        <f t="shared" si="68"/>
        <v>618.41666666666663</v>
      </c>
      <c r="AP213" s="5">
        <f t="shared" si="82"/>
        <v>16.273458067988482</v>
      </c>
      <c r="AQ213" s="6">
        <f t="shared" si="83"/>
        <v>145.58454545638173</v>
      </c>
      <c r="AR213" s="2">
        <f t="shared" si="84"/>
        <v>1</v>
      </c>
      <c r="AS213" s="2">
        <f t="shared" si="85"/>
        <v>145.58454545638173</v>
      </c>
    </row>
    <row r="214" spans="13:45" x14ac:dyDescent="0.3">
      <c r="M214" s="78">
        <v>45032.916666666664</v>
      </c>
      <c r="N214" s="5">
        <v>3.6658564241825897E-2</v>
      </c>
      <c r="O214" s="5">
        <v>63.680503559999998</v>
      </c>
      <c r="P214" s="2">
        <v>30187</v>
      </c>
      <c r="Q214" s="7">
        <f t="shared" si="69"/>
        <v>503.11666666666667</v>
      </c>
      <c r="R214" s="6">
        <f t="shared" si="70"/>
        <v>18.443534646133305</v>
      </c>
      <c r="S214" s="6">
        <f t="shared" si="71"/>
        <v>154.78806665712963</v>
      </c>
      <c r="T214" s="2">
        <f t="shared" si="72"/>
        <v>1</v>
      </c>
      <c r="U214" s="6">
        <f t="shared" si="73"/>
        <v>154.78806665712963</v>
      </c>
      <c r="V214">
        <f>IF((R214-$AB$774)/($Z$773-$AB$774)&lt;0, 0, IF((R214-$AB$774)/($Z$773-$AB$774)&gt;1, 1, (R214-$AB$774)/($Z$773-$AB$774)))</f>
        <v>0.64986832468769418</v>
      </c>
      <c r="W214" s="6">
        <f t="shared" si="74"/>
        <v>100.59186156011597</v>
      </c>
      <c r="Y214" s="78">
        <v>45049.364583333336</v>
      </c>
      <c r="Z214">
        <v>4.0249737676509502E-2</v>
      </c>
      <c r="AA214" s="6">
        <v>90.492164919999993</v>
      </c>
      <c r="AB214" s="2">
        <v>21922</v>
      </c>
      <c r="AC214" s="7">
        <f t="shared" si="75"/>
        <v>365.36666666666667</v>
      </c>
      <c r="AD214" s="7">
        <f t="shared" si="76"/>
        <v>14.705912489074022</v>
      </c>
      <c r="AE214" s="7">
        <f t="shared" si="77"/>
        <v>154.78806665712963</v>
      </c>
      <c r="AF214" s="7">
        <f t="shared" si="78"/>
        <v>1</v>
      </c>
      <c r="AG214" s="6">
        <f t="shared" si="79"/>
        <v>154.78806665712963</v>
      </c>
      <c r="AH214" s="2">
        <f t="shared" si="80"/>
        <v>1</v>
      </c>
      <c r="AI214" s="7">
        <f t="shared" si="81"/>
        <v>154.78806665712963</v>
      </c>
      <c r="AK214" s="78">
        <v>45031.916666666664</v>
      </c>
      <c r="AL214" s="5">
        <v>2.76902795630217E-2</v>
      </c>
      <c r="AM214" s="5">
        <v>59.114847349999998</v>
      </c>
      <c r="AN214" s="2">
        <v>36719</v>
      </c>
      <c r="AO214" s="7">
        <f t="shared" si="68"/>
        <v>611.98333333333335</v>
      </c>
      <c r="AP214" s="5">
        <f t="shared" si="82"/>
        <v>16.945989587909896</v>
      </c>
      <c r="AQ214" s="6">
        <f t="shared" si="83"/>
        <v>148.50041620853816</v>
      </c>
      <c r="AR214" s="2">
        <f t="shared" si="84"/>
        <v>1</v>
      </c>
      <c r="AS214" s="2">
        <f t="shared" si="85"/>
        <v>148.50041620853816</v>
      </c>
    </row>
    <row r="215" spans="13:45" x14ac:dyDescent="0.3">
      <c r="M215" s="78">
        <v>45032.927083333336</v>
      </c>
      <c r="N215" s="5">
        <v>3.7570352140055503E-2</v>
      </c>
      <c r="O215" s="5">
        <v>59.769842060000002</v>
      </c>
      <c r="P215" s="2">
        <v>30797</v>
      </c>
      <c r="Q215" s="7">
        <f t="shared" si="69"/>
        <v>513.2833333333333</v>
      </c>
      <c r="R215" s="6">
        <f t="shared" si="70"/>
        <v>19.284235580954821</v>
      </c>
      <c r="S215" s="6">
        <f t="shared" si="71"/>
        <v>158.20391326680428</v>
      </c>
      <c r="T215" s="2">
        <f t="shared" si="72"/>
        <v>1</v>
      </c>
      <c r="U215" s="6">
        <f t="shared" si="73"/>
        <v>158.20391326680428</v>
      </c>
      <c r="V215">
        <f>IF((R215-$AB$774)/($Z$773-$AB$774)&lt;0, 0, IF((R215-$AB$774)/($Z$773-$AB$774)&gt;1, 1, (R215-$AB$774)/($Z$773-$AB$774)))</f>
        <v>0.80375817720191001</v>
      </c>
      <c r="W215" s="6">
        <f t="shared" si="74"/>
        <v>127.15768895353567</v>
      </c>
      <c r="Y215" s="78">
        <v>45049.375</v>
      </c>
      <c r="Z215">
        <v>4.2156575667920401E-2</v>
      </c>
      <c r="AA215" s="6">
        <v>92.610732819999996</v>
      </c>
      <c r="AB215" s="2">
        <v>22098</v>
      </c>
      <c r="AC215" s="7">
        <f t="shared" si="75"/>
        <v>368.3</v>
      </c>
      <c r="AD215" s="7">
        <f t="shared" si="76"/>
        <v>15.526266818495085</v>
      </c>
      <c r="AE215" s="7">
        <f t="shared" si="77"/>
        <v>158.20391326680428</v>
      </c>
      <c r="AF215" s="7">
        <f t="shared" si="78"/>
        <v>1</v>
      </c>
      <c r="AG215" s="6">
        <f t="shared" si="79"/>
        <v>158.20391326680428</v>
      </c>
      <c r="AH215" s="2">
        <f t="shared" si="80"/>
        <v>1</v>
      </c>
      <c r="AI215" s="7">
        <f t="shared" si="81"/>
        <v>158.20391326680428</v>
      </c>
      <c r="AK215" s="78">
        <v>45031.927083333336</v>
      </c>
      <c r="AL215" s="5">
        <v>2.67643103883821E-2</v>
      </c>
      <c r="AM215" s="5">
        <v>57.147661589999998</v>
      </c>
      <c r="AN215" s="2">
        <v>37379</v>
      </c>
      <c r="AO215" s="7">
        <f t="shared" si="68"/>
        <v>622.98333333333335</v>
      </c>
      <c r="AP215" s="5">
        <f t="shared" si="82"/>
        <v>16.673719300122244</v>
      </c>
      <c r="AQ215" s="6">
        <f t="shared" si="83"/>
        <v>147.32718847441882</v>
      </c>
      <c r="AR215" s="2">
        <f t="shared" si="84"/>
        <v>1</v>
      </c>
      <c r="AS215" s="2">
        <f t="shared" si="85"/>
        <v>147.32718847441882</v>
      </c>
    </row>
    <row r="216" spans="13:45" x14ac:dyDescent="0.3">
      <c r="M216" s="78">
        <v>45032.9375</v>
      </c>
      <c r="N216" s="5">
        <v>3.6497698207776597E-2</v>
      </c>
      <c r="O216" s="5">
        <v>61.042518610000002</v>
      </c>
      <c r="P216" s="2">
        <v>31302</v>
      </c>
      <c r="Q216" s="7">
        <f t="shared" si="69"/>
        <v>521.70000000000005</v>
      </c>
      <c r="R216" s="6">
        <f t="shared" si="70"/>
        <v>19.040849154997051</v>
      </c>
      <c r="S216" s="6">
        <f t="shared" si="71"/>
        <v>157.22296417690896</v>
      </c>
      <c r="T216" s="2">
        <f t="shared" si="72"/>
        <v>1</v>
      </c>
      <c r="U216" s="6">
        <f t="shared" si="73"/>
        <v>157.22296417690896</v>
      </c>
      <c r="V216">
        <f>IF((R216-$AB$774)/($Z$773-$AB$774)&lt;0, 0, IF((R216-$AB$774)/($Z$773-$AB$774)&gt;1, 1, (R216-$AB$774)/($Z$773-$AB$774)))</f>
        <v>0.75920642325083931</v>
      </c>
      <c r="W216" s="6">
        <f t="shared" si="74"/>
        <v>119.36468428564589</v>
      </c>
      <c r="Y216" s="78">
        <v>45049.385416666664</v>
      </c>
      <c r="Z216">
        <v>3.9626630821816999E-2</v>
      </c>
      <c r="AA216" s="6">
        <v>87.058386479999996</v>
      </c>
      <c r="AB216" s="2">
        <v>21947</v>
      </c>
      <c r="AC216" s="7">
        <f t="shared" si="75"/>
        <v>365.78333333333336</v>
      </c>
      <c r="AD216" s="7">
        <f t="shared" si="76"/>
        <v>14.494761110773629</v>
      </c>
      <c r="AE216" s="7">
        <f t="shared" si="77"/>
        <v>157.22296417690896</v>
      </c>
      <c r="AF216" s="7">
        <f t="shared" si="78"/>
        <v>0.85879488829996842</v>
      </c>
      <c r="AG216" s="6">
        <f t="shared" si="79"/>
        <v>135.02227795849848</v>
      </c>
      <c r="AH216" s="2">
        <f t="shared" si="80"/>
        <v>1</v>
      </c>
      <c r="AI216" s="7">
        <f t="shared" si="81"/>
        <v>157.22296417690896</v>
      </c>
      <c r="AK216" s="78">
        <v>45031.9375</v>
      </c>
      <c r="AL216" s="5">
        <v>2.56458792252326E-2</v>
      </c>
      <c r="AM216" s="5">
        <v>55.149392650000003</v>
      </c>
      <c r="AN216" s="2">
        <v>37260</v>
      </c>
      <c r="AO216" s="7">
        <f t="shared" si="68"/>
        <v>621</v>
      </c>
      <c r="AP216" s="5">
        <f t="shared" si="82"/>
        <v>15.926090998869444</v>
      </c>
      <c r="AQ216" s="6">
        <f t="shared" si="83"/>
        <v>144.05437894570593</v>
      </c>
      <c r="AR216" s="2">
        <f t="shared" si="84"/>
        <v>1</v>
      </c>
      <c r="AS216" s="2">
        <f t="shared" si="85"/>
        <v>144.05437894570593</v>
      </c>
    </row>
    <row r="217" spans="13:45" x14ac:dyDescent="0.3">
      <c r="M217" s="78">
        <v>45032.947916666664</v>
      </c>
      <c r="N217" s="5">
        <v>3.33887094750525E-2</v>
      </c>
      <c r="O217" s="5">
        <v>55.826367980000001</v>
      </c>
      <c r="P217" s="2">
        <v>31625</v>
      </c>
      <c r="Q217" s="7">
        <f t="shared" si="69"/>
        <v>527.08333333333337</v>
      </c>
      <c r="R217" s="6">
        <f t="shared" si="70"/>
        <v>17.598632285808922</v>
      </c>
      <c r="S217" s="6">
        <f t="shared" si="71"/>
        <v>151.27411413028102</v>
      </c>
      <c r="T217" s="2">
        <f t="shared" si="72"/>
        <v>1</v>
      </c>
      <c r="U217" s="6">
        <f t="shared" si="73"/>
        <v>151.27411413028102</v>
      </c>
      <c r="V217">
        <f>IF((R217-$AB$774)/($Z$773-$AB$774)&lt;0, 0, IF((R217-$AB$774)/($Z$773-$AB$774)&gt;1, 1, (R217-$AB$774)/($Z$773-$AB$774)))</f>
        <v>0.49520940350208104</v>
      </c>
      <c r="W217" s="6">
        <f t="shared" si="74"/>
        <v>74.912363823762192</v>
      </c>
      <c r="Y217" s="78">
        <v>45049.395833333336</v>
      </c>
      <c r="Z217">
        <v>4.3425233825179203E-2</v>
      </c>
      <c r="AA217" s="6">
        <v>90.492164919999993</v>
      </c>
      <c r="AB217" s="2">
        <v>22048</v>
      </c>
      <c r="AC217" s="7">
        <f t="shared" si="75"/>
        <v>367.46666666666664</v>
      </c>
      <c r="AD217" s="7">
        <f t="shared" si="76"/>
        <v>15.957325922959184</v>
      </c>
      <c r="AE217" s="7">
        <f t="shared" si="77"/>
        <v>151.27411413028102</v>
      </c>
      <c r="AF217" s="7">
        <f t="shared" si="78"/>
        <v>1</v>
      </c>
      <c r="AG217" s="6">
        <f t="shared" si="79"/>
        <v>151.27411413028102</v>
      </c>
      <c r="AH217" s="2">
        <f t="shared" si="80"/>
        <v>1</v>
      </c>
      <c r="AI217" s="7">
        <f t="shared" si="81"/>
        <v>151.27411413028102</v>
      </c>
      <c r="AK217" s="78">
        <v>45031.947916666664</v>
      </c>
      <c r="AL217" s="5">
        <v>2.38614921582374E-2</v>
      </c>
      <c r="AM217" s="5">
        <v>59.125991390000003</v>
      </c>
      <c r="AN217" s="2">
        <v>38029</v>
      </c>
      <c r="AO217" s="7">
        <f t="shared" si="68"/>
        <v>633.81666666666672</v>
      </c>
      <c r="AP217" s="5">
        <f t="shared" si="82"/>
        <v>15.123811421426836</v>
      </c>
      <c r="AQ217" s="6">
        <f t="shared" si="83"/>
        <v>140.45386951041425</v>
      </c>
      <c r="AR217" s="2">
        <f t="shared" si="84"/>
        <v>1</v>
      </c>
      <c r="AS217" s="2">
        <f t="shared" si="85"/>
        <v>140.45386951041425</v>
      </c>
    </row>
    <row r="218" spans="13:45" x14ac:dyDescent="0.3">
      <c r="M218" s="78">
        <v>45032.958333333336</v>
      </c>
      <c r="N218" s="5">
        <v>3.3644852940840901E-2</v>
      </c>
      <c r="O218" s="5">
        <v>62.923032710000001</v>
      </c>
      <c r="P218" s="2">
        <v>31585</v>
      </c>
      <c r="Q218" s="7">
        <f t="shared" si="69"/>
        <v>526.41666666666663</v>
      </c>
      <c r="R218" s="6">
        <f t="shared" si="70"/>
        <v>17.711211335607665</v>
      </c>
      <c r="S218" s="6">
        <f t="shared" si="71"/>
        <v>151.74722859440919</v>
      </c>
      <c r="T218" s="2">
        <f t="shared" si="72"/>
        <v>1</v>
      </c>
      <c r="U218" s="6">
        <f t="shared" si="73"/>
        <v>151.74722859440919</v>
      </c>
      <c r="V218">
        <f>IF((R218-$AB$774)/($Z$773-$AB$774)&lt;0, 0, IF((R218-$AB$774)/($Z$773-$AB$774)&gt;1, 1, (R218-$AB$774)/($Z$773-$AB$774)))</f>
        <v>0.51581693782508886</v>
      </c>
      <c r="W218" s="6">
        <f t="shared" si="74"/>
        <v>78.273790777011911</v>
      </c>
      <c r="Y218" s="78">
        <v>45049.40625</v>
      </c>
      <c r="Z218">
        <v>4.0427074895175497E-2</v>
      </c>
      <c r="AA218" s="6">
        <v>90.492164919999993</v>
      </c>
      <c r="AB218" s="2">
        <v>21732</v>
      </c>
      <c r="AC218" s="7">
        <f t="shared" si="75"/>
        <v>362.2</v>
      </c>
      <c r="AD218" s="7">
        <f t="shared" si="76"/>
        <v>14.642686527032565</v>
      </c>
      <c r="AE218" s="7">
        <f t="shared" si="77"/>
        <v>151.74722859440919</v>
      </c>
      <c r="AF218" s="7">
        <f t="shared" si="78"/>
        <v>1</v>
      </c>
      <c r="AG218" s="6">
        <f t="shared" si="79"/>
        <v>151.74722859440919</v>
      </c>
      <c r="AH218" s="2">
        <f t="shared" si="80"/>
        <v>1</v>
      </c>
      <c r="AI218" s="7">
        <f t="shared" si="81"/>
        <v>151.74722859440919</v>
      </c>
      <c r="AK218" s="78">
        <v>45031.958333333336</v>
      </c>
      <c r="AL218" s="5">
        <v>2.63495700298533E-2</v>
      </c>
      <c r="AM218" s="5">
        <v>59.114847349999998</v>
      </c>
      <c r="AN218" s="2">
        <v>36472</v>
      </c>
      <c r="AO218" s="7">
        <f t="shared" si="68"/>
        <v>607.86666666666667</v>
      </c>
      <c r="AP218" s="5">
        <f t="shared" si="82"/>
        <v>16.017025302146827</v>
      </c>
      <c r="AQ218" s="6">
        <f t="shared" si="83"/>
        <v>144.45658052528674</v>
      </c>
      <c r="AR218" s="2">
        <f t="shared" si="84"/>
        <v>1</v>
      </c>
      <c r="AS218" s="2">
        <f t="shared" si="85"/>
        <v>144.45658052528674</v>
      </c>
    </row>
    <row r="219" spans="13:45" x14ac:dyDescent="0.3">
      <c r="M219" s="78">
        <v>45032.96875</v>
      </c>
      <c r="N219" s="5">
        <v>3.2515165680599097E-2</v>
      </c>
      <c r="O219" s="5">
        <v>59.769842060000002</v>
      </c>
      <c r="P219" s="2">
        <v>31253</v>
      </c>
      <c r="Q219" s="7">
        <f t="shared" si="69"/>
        <v>520.88333333333333</v>
      </c>
      <c r="R219" s="6">
        <f t="shared" si="70"/>
        <v>16.936607883596061</v>
      </c>
      <c r="S219" s="6">
        <f t="shared" si="71"/>
        <v>148.46015063025868</v>
      </c>
      <c r="T219" s="2">
        <f t="shared" si="72"/>
        <v>1</v>
      </c>
      <c r="U219" s="6">
        <f t="shared" si="73"/>
        <v>148.46015063025868</v>
      </c>
      <c r="V219">
        <f>IF((R219-$AB$774)/($Z$773-$AB$774)&lt;0, 0, IF((R219-$AB$774)/($Z$773-$AB$774)&gt;1, 1, (R219-$AB$774)/($Z$773-$AB$774)))</f>
        <v>0.37402619387596314</v>
      </c>
      <c r="W219" s="6">
        <f t="shared" si="74"/>
        <v>55.527985082487824</v>
      </c>
      <c r="Y219" s="78">
        <v>45049.416666666664</v>
      </c>
      <c r="Z219">
        <v>4.3893348339928598E-2</v>
      </c>
      <c r="AA219" s="6">
        <v>90.060609240000005</v>
      </c>
      <c r="AB219" s="2">
        <v>22431</v>
      </c>
      <c r="AC219" s="7">
        <f t="shared" si="75"/>
        <v>373.85</v>
      </c>
      <c r="AD219" s="7">
        <f t="shared" si="76"/>
        <v>16.409528276882309</v>
      </c>
      <c r="AE219" s="7">
        <f t="shared" si="77"/>
        <v>148.46015063025868</v>
      </c>
      <c r="AF219" s="7">
        <f t="shared" si="78"/>
        <v>1</v>
      </c>
      <c r="AG219" s="6">
        <f t="shared" si="79"/>
        <v>148.46015063025868</v>
      </c>
      <c r="AH219" s="2">
        <f t="shared" si="80"/>
        <v>1</v>
      </c>
      <c r="AI219" s="7">
        <f t="shared" si="81"/>
        <v>148.46015063025868</v>
      </c>
      <c r="AK219" s="78">
        <v>45031.96875</v>
      </c>
      <c r="AL219" s="5">
        <v>2.83600111611465E-2</v>
      </c>
      <c r="AM219" s="5">
        <v>57.147661589999998</v>
      </c>
      <c r="AN219" s="2">
        <v>37335</v>
      </c>
      <c r="AO219" s="7">
        <f t="shared" si="68"/>
        <v>622.25</v>
      </c>
      <c r="AP219" s="5">
        <f t="shared" si="82"/>
        <v>17.64701694502341</v>
      </c>
      <c r="AQ219" s="6">
        <f t="shared" si="83"/>
        <v>151.47763978054894</v>
      </c>
      <c r="AR219" s="2">
        <f t="shared" si="84"/>
        <v>1</v>
      </c>
      <c r="AS219" s="2">
        <f t="shared" si="85"/>
        <v>151.47763978054894</v>
      </c>
    </row>
    <row r="220" spans="13:45" x14ac:dyDescent="0.3">
      <c r="M220" s="78">
        <v>45032.979166666664</v>
      </c>
      <c r="N220" s="5">
        <v>3.1877393917889199E-2</v>
      </c>
      <c r="O220" s="5">
        <v>57.814717760000001</v>
      </c>
      <c r="P220" s="2">
        <v>32549</v>
      </c>
      <c r="Q220" s="7">
        <f t="shared" si="69"/>
        <v>542.48333333333335</v>
      </c>
      <c r="R220" s="6">
        <f t="shared" si="70"/>
        <v>17.292954910556258</v>
      </c>
      <c r="S220" s="6">
        <f t="shared" si="71"/>
        <v>149.98165596539695</v>
      </c>
      <c r="T220" s="2">
        <f t="shared" si="72"/>
        <v>1</v>
      </c>
      <c r="U220" s="6">
        <f t="shared" si="73"/>
        <v>149.98165596539695</v>
      </c>
      <c r="V220">
        <f>IF((R220-$AB$774)/($Z$773-$AB$774)&lt;0, 0, IF((R220-$AB$774)/($Z$773-$AB$774)&gt;1, 1, (R220-$AB$774)/($Z$773-$AB$774)))</f>
        <v>0.43925532489200797</v>
      </c>
      <c r="W220" s="6">
        <f t="shared" si="74"/>
        <v>65.880241018921808</v>
      </c>
      <c r="Y220" s="78">
        <v>45049.427083333336</v>
      </c>
      <c r="Z220">
        <v>4.2695793438102099E-2</v>
      </c>
      <c r="AA220" s="6">
        <v>91.338086169999997</v>
      </c>
      <c r="AB220" s="2">
        <v>22666</v>
      </c>
      <c r="AC220" s="7">
        <f t="shared" si="75"/>
        <v>377.76666666666665</v>
      </c>
      <c r="AD220" s="7">
        <f t="shared" si="76"/>
        <v>16.12904756780037</v>
      </c>
      <c r="AE220" s="7">
        <f t="shared" si="77"/>
        <v>149.98165596539695</v>
      </c>
      <c r="AF220" s="7">
        <f t="shared" si="78"/>
        <v>1</v>
      </c>
      <c r="AG220" s="6">
        <f t="shared" si="79"/>
        <v>149.98165596539695</v>
      </c>
      <c r="AH220" s="2">
        <f t="shared" si="80"/>
        <v>1</v>
      </c>
      <c r="AI220" s="7">
        <f t="shared" si="81"/>
        <v>149.98165596539695</v>
      </c>
      <c r="AK220" s="78">
        <v>45031.979166666664</v>
      </c>
      <c r="AL220" s="5">
        <v>2.6346853409236402E-2</v>
      </c>
      <c r="AM220" s="5">
        <v>51.069020549999998</v>
      </c>
      <c r="AN220" s="2">
        <v>37278</v>
      </c>
      <c r="AO220" s="7">
        <f t="shared" si="68"/>
        <v>621.29999999999995</v>
      </c>
      <c r="AP220" s="5">
        <f t="shared" si="82"/>
        <v>16.369300023158576</v>
      </c>
      <c r="AQ220" s="6">
        <f t="shared" si="83"/>
        <v>146.0037925120856</v>
      </c>
      <c r="AR220" s="2">
        <f t="shared" si="84"/>
        <v>1</v>
      </c>
      <c r="AS220" s="2">
        <f t="shared" si="85"/>
        <v>146.0037925120856</v>
      </c>
    </row>
    <row r="221" spans="13:45" x14ac:dyDescent="0.3">
      <c r="M221" s="78">
        <v>45032.989583333336</v>
      </c>
      <c r="N221" s="5">
        <v>3.70028394292964E-2</v>
      </c>
      <c r="O221" s="5">
        <v>55.826367980000001</v>
      </c>
      <c r="P221" s="2">
        <v>31973</v>
      </c>
      <c r="Q221" s="7">
        <f t="shared" si="69"/>
        <v>532.88333333333333</v>
      </c>
      <c r="R221" s="6">
        <f t="shared" si="70"/>
        <v>19.718196417881561</v>
      </c>
      <c r="S221" s="6">
        <f t="shared" si="71"/>
        <v>159.93740853115801</v>
      </c>
      <c r="T221" s="2">
        <f t="shared" si="72"/>
        <v>1</v>
      </c>
      <c r="U221" s="6">
        <f t="shared" si="73"/>
        <v>159.93740853115801</v>
      </c>
      <c r="V221">
        <f>IF((R221-$AB$774)/($Z$773-$AB$774)&lt;0, 0, IF((R221-$AB$774)/($Z$773-$AB$774)&gt;1, 1, (R221-$AB$774)/($Z$773-$AB$774)))</f>
        <v>0.8831944742553679</v>
      </c>
      <c r="W221" s="6">
        <f t="shared" si="74"/>
        <v>141.25583544144209</v>
      </c>
      <c r="Y221" s="78">
        <v>45049.4375</v>
      </c>
      <c r="Z221">
        <v>3.9679800260839497E-2</v>
      </c>
      <c r="AA221" s="6">
        <v>87.058386479999996</v>
      </c>
      <c r="AB221" s="2">
        <v>22523</v>
      </c>
      <c r="AC221" s="7">
        <f t="shared" si="75"/>
        <v>375.38333333333333</v>
      </c>
      <c r="AD221" s="7">
        <f t="shared" si="76"/>
        <v>14.895135687914799</v>
      </c>
      <c r="AE221" s="7">
        <f t="shared" si="77"/>
        <v>159.93740853115801</v>
      </c>
      <c r="AF221" s="7">
        <f t="shared" si="78"/>
        <v>0.85879488829996842</v>
      </c>
      <c r="AG221" s="6">
        <f t="shared" si="79"/>
        <v>137.35342889450226</v>
      </c>
      <c r="AH221" s="2">
        <f t="shared" si="80"/>
        <v>1</v>
      </c>
      <c r="AI221" s="7">
        <f t="shared" si="81"/>
        <v>159.93740853115801</v>
      </c>
      <c r="AK221" s="78">
        <v>45031.989583333336</v>
      </c>
      <c r="AL221" s="5">
        <v>2.5109089451213901E-2</v>
      </c>
      <c r="AM221" s="5">
        <v>55.149392650000003</v>
      </c>
      <c r="AN221" s="2">
        <v>37596</v>
      </c>
      <c r="AO221" s="7">
        <f t="shared" si="68"/>
        <v>626.6</v>
      </c>
      <c r="AP221" s="5">
        <f t="shared" si="82"/>
        <v>15.733355450130631</v>
      </c>
      <c r="AQ221" s="6">
        <f t="shared" si="83"/>
        <v>143.19801898629868</v>
      </c>
      <c r="AR221" s="2">
        <f t="shared" si="84"/>
        <v>1</v>
      </c>
      <c r="AS221" s="2">
        <f t="shared" si="85"/>
        <v>143.19801898629868</v>
      </c>
    </row>
    <row r="222" spans="13:45" x14ac:dyDescent="0.3">
      <c r="M222" s="78">
        <v>45033</v>
      </c>
      <c r="N222" s="5">
        <v>3.3144517049783301E-2</v>
      </c>
      <c r="O222" s="5">
        <v>53.809964399999998</v>
      </c>
      <c r="P222" s="2">
        <v>30765</v>
      </c>
      <c r="Q222" s="7">
        <f t="shared" si="69"/>
        <v>512.75</v>
      </c>
      <c r="R222" s="6">
        <f t="shared" si="70"/>
        <v>16.994851117276387</v>
      </c>
      <c r="S222" s="6">
        <f t="shared" si="71"/>
        <v>148.70994260069185</v>
      </c>
      <c r="T222" s="2">
        <f t="shared" si="72"/>
        <v>1</v>
      </c>
      <c r="U222" s="6">
        <f t="shared" si="73"/>
        <v>148.70994260069185</v>
      </c>
      <c r="V222">
        <f>IF((R222-$AB$774)/($Z$773-$AB$774)&lt;0, 0, IF((R222-$AB$774)/($Z$773-$AB$774)&gt;1, 1, (R222-$AB$774)/($Z$773-$AB$774)))</f>
        <v>0.38468758637568629</v>
      </c>
      <c r="W222" s="6">
        <f t="shared" si="74"/>
        <v>57.206868889126994</v>
      </c>
      <c r="Y222" s="78">
        <v>45049.447916666664</v>
      </c>
      <c r="Z222">
        <v>4.2279586296954198E-2</v>
      </c>
      <c r="AA222" s="6">
        <v>93.877037450000003</v>
      </c>
      <c r="AB222" s="2">
        <v>21918</v>
      </c>
      <c r="AC222" s="7">
        <f t="shared" si="75"/>
        <v>365.3</v>
      </c>
      <c r="AD222" s="7">
        <f t="shared" si="76"/>
        <v>15.444732874277369</v>
      </c>
      <c r="AE222" s="7">
        <f t="shared" si="77"/>
        <v>148.70994260069185</v>
      </c>
      <c r="AF222" s="7">
        <f t="shared" si="78"/>
        <v>1</v>
      </c>
      <c r="AG222" s="6">
        <f t="shared" si="79"/>
        <v>148.70994260069185</v>
      </c>
      <c r="AH222" s="2">
        <f t="shared" si="80"/>
        <v>1</v>
      </c>
      <c r="AI222" s="7">
        <f t="shared" si="81"/>
        <v>148.70994260069185</v>
      </c>
      <c r="AK222" s="78">
        <v>45032</v>
      </c>
      <c r="AL222" s="5">
        <v>2.72394941395591E-2</v>
      </c>
      <c r="AM222" s="5">
        <v>59.114847349999998</v>
      </c>
      <c r="AN222" s="2">
        <v>36779</v>
      </c>
      <c r="AO222" s="7">
        <f t="shared" si="68"/>
        <v>612.98333333333335</v>
      </c>
      <c r="AP222" s="5">
        <f t="shared" si="82"/>
        <v>16.697355915980737</v>
      </c>
      <c r="AQ222" s="6">
        <f t="shared" si="83"/>
        <v>147.42942564353021</v>
      </c>
      <c r="AR222" s="2">
        <f t="shared" si="84"/>
        <v>1</v>
      </c>
      <c r="AS222" s="2">
        <f t="shared" si="85"/>
        <v>147.42942564353021</v>
      </c>
    </row>
    <row r="223" spans="13:45" x14ac:dyDescent="0.3">
      <c r="M223" s="78">
        <v>45033.010416666664</v>
      </c>
      <c r="N223" s="5">
        <v>3.3500163539009399E-2</v>
      </c>
      <c r="O223" s="5">
        <v>54.48183384</v>
      </c>
      <c r="P223" s="2">
        <v>31858</v>
      </c>
      <c r="Q223" s="7">
        <f t="shared" si="69"/>
        <v>530.9666666666667</v>
      </c>
      <c r="R223" s="6">
        <f t="shared" si="70"/>
        <v>17.787470167096025</v>
      </c>
      <c r="S223" s="6">
        <f t="shared" si="71"/>
        <v>152.0668356881427</v>
      </c>
      <c r="T223" s="2">
        <f t="shared" si="72"/>
        <v>1</v>
      </c>
      <c r="U223" s="6">
        <f t="shared" si="73"/>
        <v>152.0668356881427</v>
      </c>
      <c r="V223">
        <f>IF((R223-$AB$774)/($Z$773-$AB$774)&lt;0, 0, IF((R223-$AB$774)/($Z$773-$AB$774)&gt;1, 1, (R223-$AB$774)/($Z$773-$AB$774)))</f>
        <v>0.52977607578315666</v>
      </c>
      <c r="W223" s="6">
        <f t="shared" si="74"/>
        <v>80.561371467626316</v>
      </c>
      <c r="Y223" s="78">
        <v>45049.458333333336</v>
      </c>
      <c r="Z223">
        <v>4.2044054453967902E-2</v>
      </c>
      <c r="AA223" s="6">
        <v>89.209976960000006</v>
      </c>
      <c r="AB223" s="2">
        <v>22378</v>
      </c>
      <c r="AC223" s="7">
        <f t="shared" si="75"/>
        <v>372.96666666666664</v>
      </c>
      <c r="AD223" s="7">
        <f t="shared" si="76"/>
        <v>15.681030842848228</v>
      </c>
      <c r="AE223" s="7">
        <f t="shared" si="77"/>
        <v>152.0668356881427</v>
      </c>
      <c r="AF223" s="7">
        <f t="shared" si="78"/>
        <v>1</v>
      </c>
      <c r="AG223" s="6">
        <f t="shared" si="79"/>
        <v>152.0668356881427</v>
      </c>
      <c r="AH223" s="2">
        <f t="shared" si="80"/>
        <v>1</v>
      </c>
      <c r="AI223" s="7">
        <f t="shared" si="81"/>
        <v>152.0668356881427</v>
      </c>
      <c r="AK223" s="78">
        <v>45032.010416666664</v>
      </c>
      <c r="AL223" s="5">
        <v>2.6576642304790499E-2</v>
      </c>
      <c r="AM223" s="5">
        <v>62.3045732</v>
      </c>
      <c r="AN223" s="2">
        <v>37144</v>
      </c>
      <c r="AO223" s="7">
        <f t="shared" si="68"/>
        <v>619.06666666666672</v>
      </c>
      <c r="AP223" s="5">
        <f t="shared" si="82"/>
        <v>16.452713362818972</v>
      </c>
      <c r="AQ223" s="6">
        <f t="shared" si="83"/>
        <v>146.36765397603983</v>
      </c>
      <c r="AR223" s="2">
        <f t="shared" si="84"/>
        <v>1</v>
      </c>
      <c r="AS223" s="2">
        <f t="shared" si="85"/>
        <v>146.36765397603983</v>
      </c>
    </row>
    <row r="224" spans="13:45" x14ac:dyDescent="0.3">
      <c r="M224" s="78">
        <v>45033.020833333336</v>
      </c>
      <c r="N224" s="5">
        <v>3.3250991620342903E-2</v>
      </c>
      <c r="O224" s="5">
        <v>49.691464410000002</v>
      </c>
      <c r="P224" s="2">
        <v>32268</v>
      </c>
      <c r="Q224" s="7">
        <f t="shared" si="69"/>
        <v>537.79999999999995</v>
      </c>
      <c r="R224" s="6">
        <f t="shared" si="70"/>
        <v>17.882383293420411</v>
      </c>
      <c r="S224" s="6">
        <f t="shared" si="71"/>
        <v>152.46364934542399</v>
      </c>
      <c r="T224" s="2">
        <f t="shared" si="72"/>
        <v>0.75252423063176832</v>
      </c>
      <c r="U224" s="6">
        <f t="shared" si="73"/>
        <v>114.7325904229769</v>
      </c>
      <c r="V224">
        <f>IF((R224-$AB$774)/($Z$773-$AB$774)&lt;0, 0, IF((R224-$AB$774)/($Z$773-$AB$774)&gt;1, 1, (R224-$AB$774)/($Z$773-$AB$774)))</f>
        <v>0.5471498723459306</v>
      </c>
      <c r="W224" s="6">
        <f t="shared" si="74"/>
        <v>83.420466276743454</v>
      </c>
      <c r="Y224" s="78">
        <v>45049.46875</v>
      </c>
      <c r="Z224">
        <v>4.0293971624522397E-2</v>
      </c>
      <c r="AA224" s="6">
        <v>91.338086169999997</v>
      </c>
      <c r="AB224" s="2">
        <v>22018</v>
      </c>
      <c r="AC224" s="7">
        <f t="shared" si="75"/>
        <v>366.96666666666664</v>
      </c>
      <c r="AD224" s="7">
        <f t="shared" si="76"/>
        <v>14.786544453812235</v>
      </c>
      <c r="AE224" s="7">
        <f t="shared" si="77"/>
        <v>152.46364934542399</v>
      </c>
      <c r="AF224" s="7">
        <f t="shared" si="78"/>
        <v>1</v>
      </c>
      <c r="AG224" s="6">
        <f t="shared" si="79"/>
        <v>152.46364934542399</v>
      </c>
      <c r="AH224" s="2">
        <f t="shared" si="80"/>
        <v>1</v>
      </c>
      <c r="AI224" s="7">
        <f t="shared" si="81"/>
        <v>152.46364934542399</v>
      </c>
      <c r="AK224" s="78">
        <v>45032.020833333336</v>
      </c>
      <c r="AL224" s="5">
        <v>2.4689142766172099E-2</v>
      </c>
      <c r="AM224" s="5">
        <v>59.114847349999998</v>
      </c>
      <c r="AN224" s="2">
        <v>37960</v>
      </c>
      <c r="AO224" s="7">
        <f t="shared" si="68"/>
        <v>632.66666666666663</v>
      </c>
      <c r="AP224" s="5">
        <f t="shared" si="82"/>
        <v>15.619997656731547</v>
      </c>
      <c r="AQ224" s="6">
        <f t="shared" si="83"/>
        <v>142.69184747969058</v>
      </c>
      <c r="AR224" s="2">
        <f t="shared" si="84"/>
        <v>1</v>
      </c>
      <c r="AS224" s="2">
        <f t="shared" si="85"/>
        <v>142.69184747969058</v>
      </c>
    </row>
    <row r="225" spans="13:45" x14ac:dyDescent="0.3">
      <c r="M225" s="78">
        <v>45033.03125</v>
      </c>
      <c r="N225" s="5">
        <v>3.2722286042373101E-2</v>
      </c>
      <c r="O225" s="5">
        <v>51.763919430000001</v>
      </c>
      <c r="P225" s="2">
        <v>32251</v>
      </c>
      <c r="Q225" s="7">
        <f t="shared" si="69"/>
        <v>537.51666666666665</v>
      </c>
      <c r="R225" s="6">
        <f t="shared" si="70"/>
        <v>17.588774119209582</v>
      </c>
      <c r="S225" s="6">
        <f t="shared" si="71"/>
        <v>151.23261165076292</v>
      </c>
      <c r="T225" s="2">
        <f t="shared" si="72"/>
        <v>1</v>
      </c>
      <c r="U225" s="6">
        <f t="shared" si="73"/>
        <v>151.23261165076292</v>
      </c>
      <c r="V225">
        <f>IF((R225-$AB$774)/($Z$773-$AB$774)&lt;0, 0, IF((R225-$AB$774)/($Z$773-$AB$774)&gt;1, 1, (R225-$AB$774)/($Z$773-$AB$774)))</f>
        <v>0.49340487142510042</v>
      </c>
      <c r="W225" s="6">
        <f t="shared" si="74"/>
        <v>74.618907306826827</v>
      </c>
      <c r="Y225" s="78">
        <v>45049.479166666664</v>
      </c>
      <c r="Z225">
        <v>3.77368251199202E-2</v>
      </c>
      <c r="AA225" s="6">
        <v>84.891986889999998</v>
      </c>
      <c r="AB225" s="2">
        <v>23144</v>
      </c>
      <c r="AC225" s="7">
        <f t="shared" si="75"/>
        <v>385.73333333333335</v>
      </c>
      <c r="AD225" s="7">
        <f t="shared" si="76"/>
        <v>14.556351342923886</v>
      </c>
      <c r="AE225" s="7">
        <f t="shared" si="77"/>
        <v>151.23261165076292</v>
      </c>
      <c r="AF225" s="7">
        <f t="shared" si="78"/>
        <v>0.62197425371364079</v>
      </c>
      <c r="AG225" s="6">
        <f t="shared" si="79"/>
        <v>94.062790768648128</v>
      </c>
      <c r="AH225" s="2">
        <f t="shared" si="80"/>
        <v>1</v>
      </c>
      <c r="AI225" s="7">
        <f t="shared" si="81"/>
        <v>151.23261165076292</v>
      </c>
      <c r="AK225" s="78">
        <v>45032.03125</v>
      </c>
      <c r="AL225" s="5">
        <v>2.91870014234187E-2</v>
      </c>
      <c r="AM225" s="5">
        <v>57.147661589999998</v>
      </c>
      <c r="AN225" s="2">
        <v>37181</v>
      </c>
      <c r="AO225" s="7">
        <f t="shared" si="68"/>
        <v>619.68333333333328</v>
      </c>
      <c r="AP225" s="5">
        <f t="shared" si="82"/>
        <v>18.086698332068842</v>
      </c>
      <c r="AQ225" s="6">
        <f t="shared" si="83"/>
        <v>153.31422057877131</v>
      </c>
      <c r="AR225" s="2">
        <f t="shared" si="84"/>
        <v>1</v>
      </c>
      <c r="AS225" s="2">
        <f t="shared" si="85"/>
        <v>153.31422057877131</v>
      </c>
    </row>
    <row r="226" spans="13:45" x14ac:dyDescent="0.3">
      <c r="M226" s="78">
        <v>45033.041666666664</v>
      </c>
      <c r="N226" s="5">
        <v>3.35825266545655E-2</v>
      </c>
      <c r="O226" s="5">
        <v>50.393595470000001</v>
      </c>
      <c r="P226" s="2">
        <v>32751</v>
      </c>
      <c r="Q226" s="7">
        <f t="shared" si="69"/>
        <v>545.85</v>
      </c>
      <c r="R226" s="6">
        <f t="shared" si="70"/>
        <v>18.33102217439458</v>
      </c>
      <c r="S226" s="6">
        <f t="shared" si="71"/>
        <v>154.32493802772314</v>
      </c>
      <c r="T226" s="2">
        <f t="shared" si="72"/>
        <v>1</v>
      </c>
      <c r="U226" s="6">
        <f t="shared" si="73"/>
        <v>154.32493802772314</v>
      </c>
      <c r="V226">
        <f>IF((R226-$AB$774)/($Z$773-$AB$774)&lt;0, 0, IF((R226-$AB$774)/($Z$773-$AB$774)&gt;1, 1, (R226-$AB$774)/($Z$773-$AB$774)))</f>
        <v>0.62927297744265009</v>
      </c>
      <c r="W226" s="6">
        <f t="shared" si="74"/>
        <v>97.112513246357793</v>
      </c>
      <c r="Y226" s="78">
        <v>45049.489583333336</v>
      </c>
      <c r="Z226">
        <v>4.1340485727669997E-2</v>
      </c>
      <c r="AA226" s="6">
        <v>87.058386479999996</v>
      </c>
      <c r="AB226" s="2">
        <v>22280</v>
      </c>
      <c r="AC226" s="7">
        <f t="shared" si="75"/>
        <v>371.33333333333331</v>
      </c>
      <c r="AD226" s="7">
        <f t="shared" si="76"/>
        <v>15.351100366874791</v>
      </c>
      <c r="AE226" s="7">
        <f t="shared" si="77"/>
        <v>154.32493802772314</v>
      </c>
      <c r="AF226" s="7">
        <f t="shared" si="78"/>
        <v>0.85879488829996842</v>
      </c>
      <c r="AG226" s="6">
        <f t="shared" si="79"/>
        <v>132.53346791541804</v>
      </c>
      <c r="AH226" s="2">
        <f t="shared" si="80"/>
        <v>1</v>
      </c>
      <c r="AI226" s="7">
        <f t="shared" si="81"/>
        <v>154.32493802772314</v>
      </c>
      <c r="AK226" s="78">
        <v>45032.041666666664</v>
      </c>
      <c r="AL226" s="5">
        <v>2.5923524259414101E-2</v>
      </c>
      <c r="AM226" s="5">
        <v>58.466044660000001</v>
      </c>
      <c r="AN226" s="2">
        <v>37402</v>
      </c>
      <c r="AO226" s="7">
        <f t="shared" si="68"/>
        <v>623.36666666666667</v>
      </c>
      <c r="AP226" s="5">
        <f t="shared" si="82"/>
        <v>16.159860905843438</v>
      </c>
      <c r="AQ226" s="6">
        <f t="shared" si="83"/>
        <v>145.08599563851342</v>
      </c>
      <c r="AR226" s="2">
        <f t="shared" si="84"/>
        <v>1</v>
      </c>
      <c r="AS226" s="2">
        <f t="shared" si="85"/>
        <v>145.08599563851342</v>
      </c>
    </row>
    <row r="227" spans="13:45" x14ac:dyDescent="0.3">
      <c r="M227" s="78">
        <v>45033.052083333336</v>
      </c>
      <c r="N227" s="5">
        <v>3.6057157176996799E-2</v>
      </c>
      <c r="O227" s="5">
        <v>48.30225712</v>
      </c>
      <c r="P227" s="2">
        <v>33263</v>
      </c>
      <c r="Q227" s="7">
        <f t="shared" si="69"/>
        <v>554.38333333333333</v>
      </c>
      <c r="R227" s="6">
        <f t="shared" si="70"/>
        <v>19.989486986307409</v>
      </c>
      <c r="S227" s="6">
        <f t="shared" si="71"/>
        <v>161.01122712541482</v>
      </c>
      <c r="T227" s="2">
        <f t="shared" si="72"/>
        <v>0.25445542206988725</v>
      </c>
      <c r="U227" s="6">
        <f t="shared" si="73"/>
        <v>40.970179756187903</v>
      </c>
      <c r="V227">
        <f>IF((R227-$AB$774)/($Z$773-$AB$774)&lt;0, 0, IF((R227-$AB$774)/($Z$773-$AB$774)&gt;1, 1, (R227-$AB$774)/($Z$773-$AB$774)))</f>
        <v>0.93285406642938495</v>
      </c>
      <c r="W227" s="6">
        <f t="shared" si="74"/>
        <v>150.1999779647285</v>
      </c>
      <c r="Y227" s="78">
        <v>45049.5</v>
      </c>
      <c r="Z227">
        <v>4.2677621099264602E-2</v>
      </c>
      <c r="AA227" s="6">
        <v>87.922589900000006</v>
      </c>
      <c r="AB227" s="2">
        <v>21854</v>
      </c>
      <c r="AC227" s="7">
        <f t="shared" si="75"/>
        <v>364.23333333333335</v>
      </c>
      <c r="AD227" s="7">
        <f t="shared" si="76"/>
        <v>15.544612191722145</v>
      </c>
      <c r="AE227" s="7">
        <f t="shared" si="77"/>
        <v>161.01122712541482</v>
      </c>
      <c r="AF227" s="7">
        <f t="shared" si="78"/>
        <v>0.95326554979786737</v>
      </c>
      <c r="AG227" s="6">
        <f t="shared" si="79"/>
        <v>153.48645594933785</v>
      </c>
      <c r="AH227" s="2">
        <f t="shared" si="80"/>
        <v>1</v>
      </c>
      <c r="AI227" s="7">
        <f t="shared" si="81"/>
        <v>161.01122712541482</v>
      </c>
      <c r="AK227" s="78">
        <v>45032.052083333336</v>
      </c>
      <c r="AL227" s="5">
        <v>2.4571877327554999E-2</v>
      </c>
      <c r="AM227" s="5">
        <v>59.114847349999998</v>
      </c>
      <c r="AN227" s="2">
        <v>37582</v>
      </c>
      <c r="AO227" s="7">
        <f t="shared" si="68"/>
        <v>626.36666666666667</v>
      </c>
      <c r="AP227" s="5">
        <f t="shared" si="82"/>
        <v>15.391004895402867</v>
      </c>
      <c r="AQ227" s="6">
        <f t="shared" si="83"/>
        <v>141.66358596078061</v>
      </c>
      <c r="AR227" s="2">
        <f t="shared" si="84"/>
        <v>1</v>
      </c>
      <c r="AS227" s="2">
        <f t="shared" si="85"/>
        <v>141.66358596078061</v>
      </c>
    </row>
    <row r="228" spans="13:45" x14ac:dyDescent="0.3">
      <c r="M228" s="78">
        <v>45033.0625</v>
      </c>
      <c r="N228" s="5">
        <v>3.70291376338968E-2</v>
      </c>
      <c r="O228" s="5">
        <v>57.814717760000001</v>
      </c>
      <c r="P228" s="2">
        <v>31488</v>
      </c>
      <c r="Q228" s="7">
        <f t="shared" si="69"/>
        <v>524.79999999999995</v>
      </c>
      <c r="R228" s="6">
        <f t="shared" si="70"/>
        <v>19.432891430269038</v>
      </c>
      <c r="S228" s="6">
        <f t="shared" si="71"/>
        <v>158.79995293549428</v>
      </c>
      <c r="T228" s="2">
        <f t="shared" si="72"/>
        <v>1</v>
      </c>
      <c r="U228" s="6">
        <f t="shared" si="73"/>
        <v>158.79995293549428</v>
      </c>
      <c r="V228">
        <f>IF((R228-$AB$774)/($Z$773-$AB$774)&lt;0, 0, IF((R228-$AB$774)/($Z$773-$AB$774)&gt;1, 1, (R228-$AB$774)/($Z$773-$AB$774)))</f>
        <v>0.83096955021078756</v>
      </c>
      <c r="W228" s="6">
        <f t="shared" si="74"/>
        <v>131.95792546430192</v>
      </c>
      <c r="Y228" s="78">
        <v>45049.510416666664</v>
      </c>
      <c r="Z228">
        <v>4.0204107757973298E-2</v>
      </c>
      <c r="AA228" s="6">
        <v>95.977802339999997</v>
      </c>
      <c r="AB228" s="2">
        <v>21463</v>
      </c>
      <c r="AC228" s="7">
        <f t="shared" si="75"/>
        <v>357.71666666666664</v>
      </c>
      <c r="AD228" s="7">
        <f t="shared" si="76"/>
        <v>14.38167941348968</v>
      </c>
      <c r="AE228" s="7">
        <f t="shared" si="77"/>
        <v>158.79995293549428</v>
      </c>
      <c r="AF228" s="7">
        <f t="shared" si="78"/>
        <v>1</v>
      </c>
      <c r="AG228" s="6">
        <f t="shared" si="79"/>
        <v>158.79995293549428</v>
      </c>
      <c r="AH228" s="2">
        <f t="shared" si="80"/>
        <v>1</v>
      </c>
      <c r="AI228" s="7">
        <f t="shared" si="81"/>
        <v>158.79995293549428</v>
      </c>
      <c r="AK228" s="78">
        <v>45032.0625</v>
      </c>
      <c r="AL228" s="5">
        <v>2.5664024162233501E-2</v>
      </c>
      <c r="AM228" s="5">
        <v>57.147661589999998</v>
      </c>
      <c r="AN228" s="2">
        <v>37417</v>
      </c>
      <c r="AO228" s="7">
        <f t="shared" ref="AO228:AO291" si="86">AN228/60</f>
        <v>623.61666666666667</v>
      </c>
      <c r="AP228" s="5">
        <f t="shared" si="82"/>
        <v>16.004513201304849</v>
      </c>
      <c r="AQ228" s="6">
        <f t="shared" si="83"/>
        <v>144.40130887952319</v>
      </c>
      <c r="AR228" s="2">
        <f t="shared" si="84"/>
        <v>1</v>
      </c>
      <c r="AS228" s="2">
        <f t="shared" si="85"/>
        <v>144.40130887952319</v>
      </c>
    </row>
    <row r="229" spans="13:45" x14ac:dyDescent="0.3">
      <c r="M229" s="78">
        <v>45033.072916666664</v>
      </c>
      <c r="N229" s="5">
        <v>3.5732805084904201E-2</v>
      </c>
      <c r="O229" s="5">
        <v>55.826367980000001</v>
      </c>
      <c r="P229" s="2">
        <v>32788</v>
      </c>
      <c r="Q229" s="7">
        <f t="shared" si="69"/>
        <v>546.4666666666667</v>
      </c>
      <c r="R229" s="6">
        <f t="shared" si="70"/>
        <v>19.526786885397318</v>
      </c>
      <c r="S229" s="6">
        <f t="shared" si="71"/>
        <v>159.17523099952157</v>
      </c>
      <c r="T229" s="2">
        <f t="shared" si="72"/>
        <v>1</v>
      </c>
      <c r="U229" s="6">
        <f t="shared" si="73"/>
        <v>159.17523099952157</v>
      </c>
      <c r="V229">
        <f>IF((R229-$AB$774)/($Z$773-$AB$774)&lt;0, 0, IF((R229-$AB$774)/($Z$773-$AB$774)&gt;1, 1, (R229-$AB$774)/($Z$773-$AB$774)))</f>
        <v>0.8481570626102044</v>
      </c>
      <c r="W229" s="6">
        <f t="shared" si="74"/>
        <v>135.00559636485497</v>
      </c>
      <c r="Y229" s="78">
        <v>45049.520833333336</v>
      </c>
      <c r="Z229">
        <v>4.1877807398415998E-2</v>
      </c>
      <c r="AA229" s="6">
        <v>92.617989059999999</v>
      </c>
      <c r="AB229" s="2">
        <v>21079</v>
      </c>
      <c r="AC229" s="7">
        <f t="shared" si="75"/>
        <v>351.31666666666666</v>
      </c>
      <c r="AD229" s="7">
        <f t="shared" si="76"/>
        <v>14.71237170252018</v>
      </c>
      <c r="AE229" s="7">
        <f t="shared" si="77"/>
        <v>159.17523099952157</v>
      </c>
      <c r="AF229" s="7">
        <f t="shared" si="78"/>
        <v>1</v>
      </c>
      <c r="AG229" s="6">
        <f t="shared" si="79"/>
        <v>159.17523099952157</v>
      </c>
      <c r="AH229" s="2">
        <f t="shared" si="80"/>
        <v>1</v>
      </c>
      <c r="AI229" s="7">
        <f t="shared" si="81"/>
        <v>159.17523099952157</v>
      </c>
      <c r="AK229" s="78">
        <v>45032.072916666664</v>
      </c>
      <c r="AL229" s="5">
        <v>2.5961856199085798E-2</v>
      </c>
      <c r="AM229" s="5">
        <v>60.40869618</v>
      </c>
      <c r="AN229" s="2">
        <v>38133</v>
      </c>
      <c r="AO229" s="7">
        <f t="shared" si="86"/>
        <v>635.54999999999995</v>
      </c>
      <c r="AP229" s="5">
        <f t="shared" si="82"/>
        <v>16.500057707328978</v>
      </c>
      <c r="AQ229" s="6">
        <f t="shared" si="83"/>
        <v>146.57375837875347</v>
      </c>
      <c r="AR229" s="2">
        <f t="shared" si="84"/>
        <v>1</v>
      </c>
      <c r="AS229" s="2">
        <f t="shared" si="85"/>
        <v>146.57375837875347</v>
      </c>
    </row>
    <row r="230" spans="13:45" x14ac:dyDescent="0.3">
      <c r="M230" s="78">
        <v>45033.083333333336</v>
      </c>
      <c r="N230" s="5">
        <v>3.2745658354101398E-2</v>
      </c>
      <c r="O230" s="5">
        <v>50.381720729999998</v>
      </c>
      <c r="P230" s="2">
        <v>33326</v>
      </c>
      <c r="Q230" s="7">
        <f t="shared" si="69"/>
        <v>555.43333333333328</v>
      </c>
      <c r="R230" s="6">
        <f t="shared" si="70"/>
        <v>18.18803017181305</v>
      </c>
      <c r="S230" s="6">
        <f t="shared" si="71"/>
        <v>153.73424994800527</v>
      </c>
      <c r="T230" s="2">
        <f t="shared" si="72"/>
        <v>1</v>
      </c>
      <c r="U230" s="6">
        <f t="shared" si="73"/>
        <v>153.73424994800527</v>
      </c>
      <c r="V230">
        <f>IF((R230-$AB$774)/($Z$773-$AB$774)&lt;0, 0, IF((R230-$AB$774)/($Z$773-$AB$774)&gt;1, 1, (R230-$AB$774)/($Z$773-$AB$774)))</f>
        <v>0.60309836852223098</v>
      </c>
      <c r="W230" s="6">
        <f t="shared" si="74"/>
        <v>92.716875329630852</v>
      </c>
      <c r="Y230" s="78">
        <v>45049.53125</v>
      </c>
      <c r="Z230">
        <v>4.0597543251292098E-2</v>
      </c>
      <c r="AA230" s="6">
        <v>91.767774239999994</v>
      </c>
      <c r="AB230" s="2">
        <v>21179</v>
      </c>
      <c r="AC230" s="7">
        <f t="shared" si="75"/>
        <v>352.98333333333335</v>
      </c>
      <c r="AD230" s="7">
        <f t="shared" si="76"/>
        <v>14.330256141985256</v>
      </c>
      <c r="AE230" s="7">
        <f t="shared" si="77"/>
        <v>153.73424994800527</v>
      </c>
      <c r="AF230" s="7">
        <f t="shared" si="78"/>
        <v>1</v>
      </c>
      <c r="AG230" s="6">
        <f t="shared" si="79"/>
        <v>153.73424994800527</v>
      </c>
      <c r="AH230" s="2">
        <f t="shared" si="80"/>
        <v>1</v>
      </c>
      <c r="AI230" s="7">
        <f t="shared" si="81"/>
        <v>153.73424994800527</v>
      </c>
      <c r="AK230" s="78">
        <v>45032.083333333336</v>
      </c>
      <c r="AL230" s="5">
        <v>2.4347527539202399E-2</v>
      </c>
      <c r="AM230" s="5">
        <v>53.134964160000003</v>
      </c>
      <c r="AN230" s="2">
        <v>38398</v>
      </c>
      <c r="AO230" s="7">
        <f t="shared" si="86"/>
        <v>639.9666666666667</v>
      </c>
      <c r="AP230" s="5">
        <f t="shared" si="82"/>
        <v>15.58160604083823</v>
      </c>
      <c r="AQ230" s="6">
        <f t="shared" si="83"/>
        <v>142.51999440789976</v>
      </c>
      <c r="AR230" s="2">
        <f t="shared" si="84"/>
        <v>1</v>
      </c>
      <c r="AS230" s="2">
        <f t="shared" si="85"/>
        <v>142.51999440789976</v>
      </c>
    </row>
    <row r="231" spans="13:45" x14ac:dyDescent="0.3">
      <c r="M231" s="78">
        <v>45033.09375</v>
      </c>
      <c r="N231" s="5">
        <v>3.0229246987560299E-2</v>
      </c>
      <c r="O231" s="5">
        <v>48.290232170000003</v>
      </c>
      <c r="P231" s="2">
        <v>33839</v>
      </c>
      <c r="Q231" s="7">
        <f t="shared" si="69"/>
        <v>563.98333333333335</v>
      </c>
      <c r="R231" s="6">
        <f t="shared" si="70"/>
        <v>17.048791480200883</v>
      </c>
      <c r="S231" s="6">
        <f t="shared" si="71"/>
        <v>148.9408911961836</v>
      </c>
      <c r="T231" s="2">
        <f t="shared" si="72"/>
        <v>0.25014414861010376</v>
      </c>
      <c r="U231" s="6">
        <f t="shared" si="73"/>
        <v>37.256692421499444</v>
      </c>
      <c r="V231">
        <f>IF((R231-$AB$774)/($Z$773-$AB$774)&lt;0, 0, IF((R231-$AB$774)/($Z$773-$AB$774)&gt;1, 1, (R231-$AB$774)/($Z$773-$AB$774)))</f>
        <v>0.39456134070519272</v>
      </c>
      <c r="W231" s="6">
        <f t="shared" si="74"/>
        <v>58.766317716192439</v>
      </c>
      <c r="Y231" s="78">
        <v>45049.541666666664</v>
      </c>
      <c r="Z231">
        <v>4.3571153036980399E-2</v>
      </c>
      <c r="AA231" s="6">
        <v>97.229596529999995</v>
      </c>
      <c r="AB231" s="2">
        <v>20533</v>
      </c>
      <c r="AC231" s="7">
        <f t="shared" si="75"/>
        <v>342.21666666666664</v>
      </c>
      <c r="AD231" s="7">
        <f t="shared" si="76"/>
        <v>14.910774755138641</v>
      </c>
      <c r="AE231" s="7">
        <f t="shared" si="77"/>
        <v>148.9408911961836</v>
      </c>
      <c r="AF231" s="7">
        <f t="shared" si="78"/>
        <v>1</v>
      </c>
      <c r="AG231" s="6">
        <f t="shared" si="79"/>
        <v>148.9408911961836</v>
      </c>
      <c r="AH231" s="2">
        <f t="shared" si="80"/>
        <v>1</v>
      </c>
      <c r="AI231" s="7">
        <f t="shared" si="81"/>
        <v>148.9408911961836</v>
      </c>
      <c r="AK231" s="78">
        <v>45032.09375</v>
      </c>
      <c r="AL231" s="5">
        <v>2.79371456355006E-2</v>
      </c>
      <c r="AM231" s="5">
        <v>60.40869618</v>
      </c>
      <c r="AN231" s="2">
        <v>38179</v>
      </c>
      <c r="AO231" s="7">
        <f t="shared" si="86"/>
        <v>636.31666666666672</v>
      </c>
      <c r="AP231" s="5">
        <f t="shared" si="82"/>
        <v>17.776871386962959</v>
      </c>
      <c r="AQ231" s="6">
        <f t="shared" si="83"/>
        <v>152.02245721531077</v>
      </c>
      <c r="AR231" s="2">
        <f t="shared" si="84"/>
        <v>1</v>
      </c>
      <c r="AS231" s="2">
        <f t="shared" si="85"/>
        <v>152.02245721531077</v>
      </c>
    </row>
    <row r="232" spans="13:45" x14ac:dyDescent="0.3">
      <c r="M232" s="78">
        <v>45033.104166666664</v>
      </c>
      <c r="N232" s="5">
        <v>3.2065215658289001E-2</v>
      </c>
      <c r="O232" s="5">
        <v>53.809964399999998</v>
      </c>
      <c r="P232" s="2">
        <v>33488</v>
      </c>
      <c r="Q232" s="7">
        <f t="shared" si="69"/>
        <v>558.13333333333333</v>
      </c>
      <c r="R232" s="6">
        <f t="shared" si="70"/>
        <v>17.896665699413035</v>
      </c>
      <c r="S232" s="6">
        <f t="shared" si="71"/>
        <v>152.52326823921746</v>
      </c>
      <c r="T232" s="2">
        <f t="shared" si="72"/>
        <v>1</v>
      </c>
      <c r="U232" s="6">
        <f t="shared" si="73"/>
        <v>152.52326823921746</v>
      </c>
      <c r="V232">
        <f>IF((R232-$AB$774)/($Z$773-$AB$774)&lt;0, 0, IF((R232-$AB$774)/($Z$773-$AB$774)&gt;1, 1, (R232-$AB$774)/($Z$773-$AB$774)))</f>
        <v>0.54976425905672888</v>
      </c>
      <c r="W232" s="6">
        <f t="shared" si="74"/>
        <v>83.8518415524441</v>
      </c>
      <c r="Y232" s="78">
        <v>45049.552083333336</v>
      </c>
      <c r="Z232">
        <v>4.3948286136784101E-2</v>
      </c>
      <c r="AA232" s="6">
        <v>93.877037450000003</v>
      </c>
      <c r="AB232" s="2">
        <v>20384</v>
      </c>
      <c r="AC232" s="7">
        <f t="shared" si="75"/>
        <v>339.73333333333335</v>
      </c>
      <c r="AD232" s="7">
        <f t="shared" si="76"/>
        <v>14.930697743536786</v>
      </c>
      <c r="AE232" s="7">
        <f t="shared" si="77"/>
        <v>152.52326823921746</v>
      </c>
      <c r="AF232" s="7">
        <f t="shared" si="78"/>
        <v>1</v>
      </c>
      <c r="AG232" s="6">
        <f t="shared" si="79"/>
        <v>152.52326823921746</v>
      </c>
      <c r="AH232" s="2">
        <f t="shared" si="80"/>
        <v>1</v>
      </c>
      <c r="AI232" s="7">
        <f t="shared" si="81"/>
        <v>152.52326823921746</v>
      </c>
      <c r="AK232" s="78">
        <v>45032.104166666664</v>
      </c>
      <c r="AL232" s="5">
        <v>2.65192637480769E-2</v>
      </c>
      <c r="AM232" s="5">
        <v>61.680991169999999</v>
      </c>
      <c r="AN232" s="2">
        <v>38046</v>
      </c>
      <c r="AO232" s="7">
        <f t="shared" si="86"/>
        <v>634.1</v>
      </c>
      <c r="AP232" s="5">
        <f t="shared" si="82"/>
        <v>16.815865142655564</v>
      </c>
      <c r="AQ232" s="6">
        <f t="shared" si="83"/>
        <v>147.94091235257326</v>
      </c>
      <c r="AR232" s="2">
        <f t="shared" si="84"/>
        <v>1</v>
      </c>
      <c r="AS232" s="2">
        <f t="shared" si="85"/>
        <v>147.94091235257326</v>
      </c>
    </row>
    <row r="233" spans="13:45" x14ac:dyDescent="0.3">
      <c r="M233" s="78">
        <v>45033.114583333336</v>
      </c>
      <c r="N233" s="5">
        <v>3.1480029937481897E-2</v>
      </c>
      <c r="O233" s="5">
        <v>53.809964399999998</v>
      </c>
      <c r="P233" s="2">
        <v>33007</v>
      </c>
      <c r="Q233" s="7">
        <f t="shared" si="69"/>
        <v>550.11666666666667</v>
      </c>
      <c r="R233" s="6">
        <f t="shared" si="70"/>
        <v>17.317689135774415</v>
      </c>
      <c r="S233" s="6">
        <f t="shared" si="71"/>
        <v>150.08666796851656</v>
      </c>
      <c r="T233" s="2">
        <f t="shared" si="72"/>
        <v>1</v>
      </c>
      <c r="U233" s="6">
        <f t="shared" si="73"/>
        <v>150.08666796851656</v>
      </c>
      <c r="V233">
        <f>IF((R233-$AB$774)/($Z$773-$AB$774)&lt;0, 0, IF((R233-$AB$774)/($Z$773-$AB$774)&gt;1, 1, (R233-$AB$774)/($Z$773-$AB$774)))</f>
        <v>0.44378291147270293</v>
      </c>
      <c r="W233" s="6">
        <f t="shared" si="74"/>
        <v>66.605898484305143</v>
      </c>
      <c r="Y233" s="78">
        <v>45049.5625</v>
      </c>
      <c r="Z233">
        <v>4.2911326208228802E-2</v>
      </c>
      <c r="AA233" s="6">
        <v>95.138397370000007</v>
      </c>
      <c r="AB233" s="2">
        <v>20070</v>
      </c>
      <c r="AC233" s="7">
        <f t="shared" si="75"/>
        <v>334.5</v>
      </c>
      <c r="AD233" s="7">
        <f t="shared" si="76"/>
        <v>14.353838616652535</v>
      </c>
      <c r="AE233" s="7">
        <f t="shared" si="77"/>
        <v>150.08666796851656</v>
      </c>
      <c r="AF233" s="7">
        <f t="shared" si="78"/>
        <v>1</v>
      </c>
      <c r="AG233" s="6">
        <f t="shared" si="79"/>
        <v>150.08666796851656</v>
      </c>
      <c r="AH233" s="2">
        <f t="shared" si="80"/>
        <v>1</v>
      </c>
      <c r="AI233" s="7">
        <f t="shared" si="81"/>
        <v>150.08666796851656</v>
      </c>
      <c r="AK233" s="78">
        <v>45032.114583333336</v>
      </c>
      <c r="AL233" s="5">
        <v>2.5381443809624701E-2</v>
      </c>
      <c r="AM233" s="5">
        <v>58.477264509999998</v>
      </c>
      <c r="AN233" s="2">
        <v>38418</v>
      </c>
      <c r="AO233" s="7">
        <f t="shared" si="86"/>
        <v>640.29999999999995</v>
      </c>
      <c r="AP233" s="5">
        <f t="shared" si="82"/>
        <v>16.251738471302694</v>
      </c>
      <c r="AQ233" s="6">
        <f t="shared" si="83"/>
        <v>145.48936117074641</v>
      </c>
      <c r="AR233" s="2">
        <f t="shared" si="84"/>
        <v>1</v>
      </c>
      <c r="AS233" s="2">
        <f t="shared" si="85"/>
        <v>145.48936117074641</v>
      </c>
    </row>
    <row r="234" spans="13:45" x14ac:dyDescent="0.3">
      <c r="M234" s="78">
        <v>45033.125</v>
      </c>
      <c r="N234" s="5">
        <v>3.1010899513340798E-2</v>
      </c>
      <c r="O234" s="5">
        <v>51.763919430000001</v>
      </c>
      <c r="P234" s="2">
        <v>33588</v>
      </c>
      <c r="Q234" s="7">
        <f t="shared" si="69"/>
        <v>559.79999999999995</v>
      </c>
      <c r="R234" s="6">
        <f t="shared" si="70"/>
        <v>17.359901547568178</v>
      </c>
      <c r="S234" s="6">
        <f t="shared" si="71"/>
        <v>150.26570900791145</v>
      </c>
      <c r="T234" s="2">
        <f t="shared" si="72"/>
        <v>1</v>
      </c>
      <c r="U234" s="6">
        <f t="shared" si="73"/>
        <v>150.26570900791145</v>
      </c>
      <c r="V234">
        <f>IF((R234-$AB$774)/($Z$773-$AB$774)&lt;0, 0, IF((R234-$AB$774)/($Z$773-$AB$774)&gt;1, 1, (R234-$AB$774)/($Z$773-$AB$774)))</f>
        <v>0.45150987067560983</v>
      </c>
      <c r="W234" s="6">
        <f t="shared" si="74"/>
        <v>67.846450841140921</v>
      </c>
      <c r="Y234" s="78">
        <v>45049.572916666664</v>
      </c>
      <c r="Z234">
        <v>4.3881602289142001E-2</v>
      </c>
      <c r="AA234" s="6">
        <v>93.877037450000003</v>
      </c>
      <c r="AB234" s="2">
        <v>19839</v>
      </c>
      <c r="AC234" s="7">
        <f t="shared" si="75"/>
        <v>330.65</v>
      </c>
      <c r="AD234" s="7">
        <f t="shared" si="76"/>
        <v>14.509451796904802</v>
      </c>
      <c r="AE234" s="7">
        <f t="shared" si="77"/>
        <v>150.26570900791145</v>
      </c>
      <c r="AF234" s="7">
        <f t="shared" si="78"/>
        <v>1</v>
      </c>
      <c r="AG234" s="6">
        <f t="shared" si="79"/>
        <v>150.26570900791145</v>
      </c>
      <c r="AH234" s="2">
        <f t="shared" si="80"/>
        <v>1</v>
      </c>
      <c r="AI234" s="7">
        <f t="shared" si="81"/>
        <v>150.26570900791145</v>
      </c>
      <c r="AK234" s="78">
        <v>45032.125</v>
      </c>
      <c r="AL234" s="5">
        <v>2.4357358473997299E-2</v>
      </c>
      <c r="AM234" s="5">
        <v>61.680991169999999</v>
      </c>
      <c r="AN234" s="2">
        <v>38337</v>
      </c>
      <c r="AO234" s="7">
        <f t="shared" si="86"/>
        <v>638.95000000000005</v>
      </c>
      <c r="AP234" s="5">
        <f t="shared" si="82"/>
        <v>15.563134196960576</v>
      </c>
      <c r="AQ234" s="6">
        <f t="shared" si="83"/>
        <v>142.43723157393057</v>
      </c>
      <c r="AR234" s="2">
        <f t="shared" si="84"/>
        <v>1</v>
      </c>
      <c r="AS234" s="2">
        <f t="shared" si="85"/>
        <v>142.43723157393057</v>
      </c>
    </row>
    <row r="235" spans="13:45" x14ac:dyDescent="0.3">
      <c r="M235" s="78">
        <v>45033.135416666664</v>
      </c>
      <c r="N235" s="5">
        <v>3.22659055333301E-2</v>
      </c>
      <c r="O235" s="5">
        <v>50.381720729999998</v>
      </c>
      <c r="P235" s="2">
        <v>33510</v>
      </c>
      <c r="Q235" s="7">
        <f t="shared" si="69"/>
        <v>558.5</v>
      </c>
      <c r="R235" s="6">
        <f t="shared" si="70"/>
        <v>18.020508240364862</v>
      </c>
      <c r="S235" s="6">
        <f t="shared" si="71"/>
        <v>153.03920815645134</v>
      </c>
      <c r="T235" s="2">
        <f t="shared" si="72"/>
        <v>1</v>
      </c>
      <c r="U235" s="6">
        <f t="shared" si="73"/>
        <v>153.03920815645134</v>
      </c>
      <c r="V235">
        <f>IF((R235-$AB$774)/($Z$773-$AB$774)&lt;0, 0, IF((R235-$AB$774)/($Z$773-$AB$774)&gt;1, 1, (R235-$AB$774)/($Z$773-$AB$774)))</f>
        <v>0.57243356935802947</v>
      </c>
      <c r="W235" s="6">
        <f t="shared" si="74"/>
        <v>87.604780176723892</v>
      </c>
      <c r="Y235" s="78">
        <v>45049.583333333336</v>
      </c>
      <c r="Z235">
        <v>4.6000371902851403E-2</v>
      </c>
      <c r="AA235" s="6">
        <v>95.977802339999997</v>
      </c>
      <c r="AB235" s="2">
        <v>19689</v>
      </c>
      <c r="AC235" s="7">
        <f t="shared" si="75"/>
        <v>328.15</v>
      </c>
      <c r="AD235" s="7">
        <f t="shared" si="76"/>
        <v>15.095022039920687</v>
      </c>
      <c r="AE235" s="7">
        <f t="shared" si="77"/>
        <v>153.03920815645134</v>
      </c>
      <c r="AF235" s="7">
        <f t="shared" si="78"/>
        <v>1</v>
      </c>
      <c r="AG235" s="6">
        <f t="shared" si="79"/>
        <v>153.03920815645134</v>
      </c>
      <c r="AH235" s="2">
        <f t="shared" si="80"/>
        <v>1</v>
      </c>
      <c r="AI235" s="7">
        <f t="shared" si="81"/>
        <v>153.03920815645134</v>
      </c>
      <c r="AK235" s="78">
        <v>45032.135416666664</v>
      </c>
      <c r="AL235" s="5">
        <v>2.38246184525246E-2</v>
      </c>
      <c r="AM235" s="5">
        <v>60.419666749999998</v>
      </c>
      <c r="AN235" s="2">
        <v>38015</v>
      </c>
      <c r="AO235" s="7">
        <f t="shared" si="86"/>
        <v>633.58333333333337</v>
      </c>
      <c r="AP235" s="5">
        <f t="shared" si="82"/>
        <v>15.094881174545378</v>
      </c>
      <c r="AQ235" s="6">
        <f t="shared" si="83"/>
        <v>140.32223589198512</v>
      </c>
      <c r="AR235" s="2">
        <f t="shared" si="84"/>
        <v>1</v>
      </c>
      <c r="AS235" s="2">
        <f t="shared" si="85"/>
        <v>140.32223589198512</v>
      </c>
    </row>
    <row r="236" spans="13:45" x14ac:dyDescent="0.3">
      <c r="M236" s="78">
        <v>45033.145833333336</v>
      </c>
      <c r="N236" s="5">
        <v>3.2868995376909897E-2</v>
      </c>
      <c r="O236" s="5">
        <v>51.763919430000001</v>
      </c>
      <c r="P236" s="2">
        <v>33070</v>
      </c>
      <c r="Q236" s="7">
        <f t="shared" si="69"/>
        <v>551.16666666666663</v>
      </c>
      <c r="R236" s="6">
        <f t="shared" si="70"/>
        <v>18.116294618573505</v>
      </c>
      <c r="S236" s="6">
        <f t="shared" si="71"/>
        <v>153.43702365827383</v>
      </c>
      <c r="T236" s="2">
        <f t="shared" si="72"/>
        <v>1</v>
      </c>
      <c r="U236" s="6">
        <f t="shared" si="73"/>
        <v>153.43702365827383</v>
      </c>
      <c r="V236">
        <f>IF((R236-$AB$774)/($Z$773-$AB$774)&lt;0, 0, IF((R236-$AB$774)/($Z$773-$AB$774)&gt;1, 1, (R236-$AB$774)/($Z$773-$AB$774)))</f>
        <v>0.58996721420704878</v>
      </c>
      <c r="W236" s="6">
        <f t="shared" si="74"/>
        <v>90.522813403892854</v>
      </c>
      <c r="Y236" s="78">
        <v>45049.59375</v>
      </c>
      <c r="Z236">
        <v>4.7069335980341298E-2</v>
      </c>
      <c r="AA236" s="6">
        <v>97.229596529999995</v>
      </c>
      <c r="AB236" s="2">
        <v>18828</v>
      </c>
      <c r="AC236" s="7">
        <f t="shared" si="75"/>
        <v>313.8</v>
      </c>
      <c r="AD236" s="7">
        <f t="shared" si="76"/>
        <v>14.7703576306311</v>
      </c>
      <c r="AE236" s="7">
        <f t="shared" si="77"/>
        <v>153.43702365827383</v>
      </c>
      <c r="AF236" s="7">
        <f t="shared" si="78"/>
        <v>1</v>
      </c>
      <c r="AG236" s="6">
        <f t="shared" si="79"/>
        <v>153.43702365827383</v>
      </c>
      <c r="AH236" s="2">
        <f t="shared" si="80"/>
        <v>1</v>
      </c>
      <c r="AI236" s="7">
        <f t="shared" si="81"/>
        <v>153.43702365827383</v>
      </c>
      <c r="AK236" s="78">
        <v>45032.145833333336</v>
      </c>
      <c r="AL236" s="5">
        <v>2.55332314114434E-2</v>
      </c>
      <c r="AM236" s="5">
        <v>62.315280379999997</v>
      </c>
      <c r="AN236" s="2">
        <v>38061</v>
      </c>
      <c r="AO236" s="7">
        <f t="shared" si="86"/>
        <v>634.35</v>
      </c>
      <c r="AP236" s="5">
        <f t="shared" si="82"/>
        <v>16.197005345849121</v>
      </c>
      <c r="AQ236" s="6">
        <f t="shared" si="83"/>
        <v>145.24920960185057</v>
      </c>
      <c r="AR236" s="2">
        <f t="shared" si="84"/>
        <v>1</v>
      </c>
      <c r="AS236" s="2">
        <f t="shared" si="85"/>
        <v>145.24920960185057</v>
      </c>
    </row>
    <row r="237" spans="13:45" x14ac:dyDescent="0.3">
      <c r="M237" s="78">
        <v>45033.15625</v>
      </c>
      <c r="N237" s="5">
        <v>3.1663509637585401E-2</v>
      </c>
      <c r="O237" s="5">
        <v>51.763919430000001</v>
      </c>
      <c r="P237" s="2">
        <v>33402</v>
      </c>
      <c r="Q237" s="7">
        <f t="shared" si="69"/>
        <v>556.70000000000005</v>
      </c>
      <c r="R237" s="6">
        <f t="shared" si="70"/>
        <v>17.627075815243796</v>
      </c>
      <c r="S237" s="6">
        <f t="shared" si="71"/>
        <v>151.39379377844247</v>
      </c>
      <c r="T237" s="2">
        <f t="shared" si="72"/>
        <v>1</v>
      </c>
      <c r="U237" s="6">
        <f t="shared" si="73"/>
        <v>151.39379377844247</v>
      </c>
      <c r="V237">
        <f>IF((R237-$AB$774)/($Z$773-$AB$774)&lt;0, 0, IF((R237-$AB$774)/($Z$773-$AB$774)&gt;1, 1, (R237-$AB$774)/($Z$773-$AB$774)))</f>
        <v>0.50041597621827028</v>
      </c>
      <c r="W237" s="6">
        <f t="shared" si="74"/>
        <v>75.759873107026777</v>
      </c>
      <c r="Y237" s="78">
        <v>45049.604166666664</v>
      </c>
      <c r="Z237">
        <v>4.9963919046796E-2</v>
      </c>
      <c r="AA237" s="6">
        <v>101.36348099999999</v>
      </c>
      <c r="AB237" s="2">
        <v>18369</v>
      </c>
      <c r="AC237" s="7">
        <f t="shared" si="75"/>
        <v>306.14999999999998</v>
      </c>
      <c r="AD237" s="7">
        <f t="shared" si="76"/>
        <v>15.296453816176594</v>
      </c>
      <c r="AE237" s="7">
        <f t="shared" si="77"/>
        <v>151.39379377844247</v>
      </c>
      <c r="AF237" s="7">
        <f t="shared" si="78"/>
        <v>1</v>
      </c>
      <c r="AG237" s="6">
        <f t="shared" si="79"/>
        <v>151.39379377844247</v>
      </c>
      <c r="AH237" s="2">
        <f t="shared" si="80"/>
        <v>1</v>
      </c>
      <c r="AI237" s="7">
        <f t="shared" si="81"/>
        <v>151.39379377844247</v>
      </c>
      <c r="AK237" s="78">
        <v>45032.15625</v>
      </c>
      <c r="AL237" s="5">
        <v>2.8001357490785701E-2</v>
      </c>
      <c r="AM237" s="5">
        <v>57.158996520000002</v>
      </c>
      <c r="AN237" s="2">
        <v>37551</v>
      </c>
      <c r="AO237" s="7">
        <f t="shared" si="86"/>
        <v>625.85</v>
      </c>
      <c r="AP237" s="5">
        <f t="shared" si="82"/>
        <v>17.52464958560823</v>
      </c>
      <c r="AQ237" s="6">
        <f t="shared" si="83"/>
        <v>150.96235975653298</v>
      </c>
      <c r="AR237" s="2">
        <f t="shared" si="84"/>
        <v>1</v>
      </c>
      <c r="AS237" s="2">
        <f t="shared" si="85"/>
        <v>150.96235975653298</v>
      </c>
    </row>
    <row r="238" spans="13:45" x14ac:dyDescent="0.3">
      <c r="M238" s="78">
        <v>45033.166666666664</v>
      </c>
      <c r="N238" s="5">
        <v>3.08253423362141E-2</v>
      </c>
      <c r="O238" s="5">
        <v>50.381720729999998</v>
      </c>
      <c r="P238" s="2">
        <v>33525</v>
      </c>
      <c r="Q238" s="7">
        <f t="shared" si="69"/>
        <v>558.75</v>
      </c>
      <c r="R238" s="6">
        <f t="shared" si="70"/>
        <v>17.223660030359628</v>
      </c>
      <c r="S238" s="6">
        <f t="shared" si="71"/>
        <v>149.68704772695801</v>
      </c>
      <c r="T238" s="2">
        <f t="shared" si="72"/>
        <v>1</v>
      </c>
      <c r="U238" s="6">
        <f t="shared" si="73"/>
        <v>149.68704772695801</v>
      </c>
      <c r="V238">
        <f>IF((R238-$AB$774)/($Z$773-$AB$774)&lt;0, 0, IF((R238-$AB$774)/($Z$773-$AB$774)&gt;1, 1, (R238-$AB$774)/($Z$773-$AB$774)))</f>
        <v>0.42657093446045269</v>
      </c>
      <c r="W238" s="6">
        <f t="shared" si="74"/>
        <v>63.852143825514858</v>
      </c>
      <c r="Y238" s="78">
        <v>45049.614583333336</v>
      </c>
      <c r="Z238">
        <v>5.3139610006208503E-2</v>
      </c>
      <c r="AA238" s="6">
        <v>99.714355679999997</v>
      </c>
      <c r="AB238" s="2">
        <v>17844</v>
      </c>
      <c r="AC238" s="7">
        <f t="shared" si="75"/>
        <v>297.39999999999998</v>
      </c>
      <c r="AD238" s="7">
        <f t="shared" si="76"/>
        <v>15.803720015846407</v>
      </c>
      <c r="AE238" s="7">
        <f t="shared" si="77"/>
        <v>149.68704772695801</v>
      </c>
      <c r="AF238" s="7">
        <f t="shared" si="78"/>
        <v>1</v>
      </c>
      <c r="AG238" s="6">
        <f t="shared" si="79"/>
        <v>149.68704772695801</v>
      </c>
      <c r="AH238" s="2">
        <f t="shared" si="80"/>
        <v>1</v>
      </c>
      <c r="AI238" s="7">
        <f t="shared" si="81"/>
        <v>149.68704772695801</v>
      </c>
      <c r="AK238" s="78">
        <v>45032.166666666664</v>
      </c>
      <c r="AL238" s="5">
        <v>2.4605399116629002E-2</v>
      </c>
      <c r="AM238" s="5">
        <v>60.419666749999998</v>
      </c>
      <c r="AN238" s="2">
        <v>38050</v>
      </c>
      <c r="AO238" s="7">
        <f t="shared" si="86"/>
        <v>634.16666666666663</v>
      </c>
      <c r="AP238" s="5">
        <f t="shared" si="82"/>
        <v>15.603923939795557</v>
      </c>
      <c r="AQ238" s="6">
        <f t="shared" si="83"/>
        <v>142.61992267526313</v>
      </c>
      <c r="AR238" s="2">
        <f t="shared" si="84"/>
        <v>1</v>
      </c>
      <c r="AS238" s="2">
        <f t="shared" si="85"/>
        <v>142.61992267526313</v>
      </c>
    </row>
    <row r="239" spans="13:45" x14ac:dyDescent="0.3">
      <c r="M239" s="78">
        <v>45033.177083333336</v>
      </c>
      <c r="N239" s="5">
        <v>3.3621815670259798E-2</v>
      </c>
      <c r="O239" s="5">
        <v>51.763919430000001</v>
      </c>
      <c r="P239" s="2">
        <v>33082</v>
      </c>
      <c r="Q239" s="7">
        <f t="shared" si="69"/>
        <v>551.36666666666667</v>
      </c>
      <c r="R239" s="6">
        <f t="shared" si="70"/>
        <v>18.537948433392245</v>
      </c>
      <c r="S239" s="6">
        <f t="shared" si="71"/>
        <v>155.17558537597549</v>
      </c>
      <c r="T239" s="2">
        <f t="shared" si="72"/>
        <v>1</v>
      </c>
      <c r="U239" s="6">
        <f t="shared" si="73"/>
        <v>155.17558537597549</v>
      </c>
      <c r="V239">
        <f>IF((R239-$AB$774)/($Z$773-$AB$774)&lt;0, 0, IF((R239-$AB$774)/($Z$773-$AB$774)&gt;1, 1, (R239-$AB$774)/($Z$773-$AB$774)))</f>
        <v>0.66715071750395938</v>
      </c>
      <c r="W239" s="6">
        <f t="shared" si="74"/>
        <v>103.52550312267896</v>
      </c>
      <c r="Y239" s="78">
        <v>45049.625</v>
      </c>
      <c r="Z239">
        <v>5.0757343447824101E-2</v>
      </c>
      <c r="AA239" s="6">
        <v>103.8090014</v>
      </c>
      <c r="AB239" s="2">
        <v>17120</v>
      </c>
      <c r="AC239" s="7">
        <f t="shared" si="75"/>
        <v>285.33333333333331</v>
      </c>
      <c r="AD239" s="7">
        <f t="shared" si="76"/>
        <v>14.482761997112476</v>
      </c>
      <c r="AE239" s="7">
        <f t="shared" si="77"/>
        <v>155.17558537597549</v>
      </c>
      <c r="AF239" s="7">
        <f t="shared" si="78"/>
        <v>1</v>
      </c>
      <c r="AG239" s="6">
        <f t="shared" si="79"/>
        <v>155.17558537597549</v>
      </c>
      <c r="AH239" s="2">
        <f t="shared" si="80"/>
        <v>1</v>
      </c>
      <c r="AI239" s="7">
        <f t="shared" si="81"/>
        <v>155.17558537597549</v>
      </c>
      <c r="AK239" s="78">
        <v>45032.177083333336</v>
      </c>
      <c r="AL239" s="5">
        <v>2.6334334143521598E-2</v>
      </c>
      <c r="AM239" s="5">
        <v>57.158996520000002</v>
      </c>
      <c r="AN239" s="2">
        <v>37866</v>
      </c>
      <c r="AO239" s="7">
        <f t="shared" si="86"/>
        <v>631.1</v>
      </c>
      <c r="AP239" s="5">
        <f t="shared" si="82"/>
        <v>16.619598277976483</v>
      </c>
      <c r="AQ239" s="6">
        <f t="shared" si="83"/>
        <v>147.09281598846175</v>
      </c>
      <c r="AR239" s="2">
        <f t="shared" si="84"/>
        <v>1</v>
      </c>
      <c r="AS239" s="2">
        <f t="shared" si="85"/>
        <v>147.09281598846175</v>
      </c>
    </row>
    <row r="240" spans="13:45" x14ac:dyDescent="0.3">
      <c r="M240" s="78">
        <v>45033.1875</v>
      </c>
      <c r="N240" s="5">
        <v>3.32898743898511E-2</v>
      </c>
      <c r="O240" s="5">
        <v>49.691464410000002</v>
      </c>
      <c r="P240" s="2">
        <v>33583</v>
      </c>
      <c r="Q240" s="7">
        <f t="shared" si="69"/>
        <v>559.7166666666667</v>
      </c>
      <c r="R240" s="6">
        <f t="shared" si="70"/>
        <v>18.632897527239493</v>
      </c>
      <c r="S240" s="6">
        <f t="shared" si="71"/>
        <v>155.56428684689638</v>
      </c>
      <c r="T240" s="2">
        <f t="shared" si="72"/>
        <v>0.75252423063176832</v>
      </c>
      <c r="U240" s="6">
        <f t="shared" si="73"/>
        <v>117.06589527324041</v>
      </c>
      <c r="V240">
        <f>IF((R240-$AB$774)/($Z$773-$AB$774)&lt;0, 0, IF((R240-$AB$774)/($Z$773-$AB$774)&gt;1, 1, (R240-$AB$774)/($Z$773-$AB$774)))</f>
        <v>0.68453109790238675</v>
      </c>
      <c r="W240" s="6">
        <f t="shared" si="74"/>
        <v>106.48859206970781</v>
      </c>
      <c r="Y240" s="78">
        <v>45049.635416666664</v>
      </c>
      <c r="Z240">
        <v>5.28829526689545E-2</v>
      </c>
      <c r="AA240" s="6">
        <v>103.8090014</v>
      </c>
      <c r="AB240" s="2">
        <v>17194</v>
      </c>
      <c r="AC240" s="7">
        <f t="shared" si="75"/>
        <v>286.56666666666666</v>
      </c>
      <c r="AD240" s="7">
        <f t="shared" si="76"/>
        <v>15.154491469833394</v>
      </c>
      <c r="AE240" s="7">
        <f t="shared" si="77"/>
        <v>155.56428684689638</v>
      </c>
      <c r="AF240" s="7">
        <f t="shared" si="78"/>
        <v>1</v>
      </c>
      <c r="AG240" s="6">
        <f t="shared" si="79"/>
        <v>155.56428684689638</v>
      </c>
      <c r="AH240" s="2">
        <f t="shared" si="80"/>
        <v>1</v>
      </c>
      <c r="AI240" s="7">
        <f t="shared" si="81"/>
        <v>155.56428684689638</v>
      </c>
      <c r="AK240" s="78">
        <v>45032.1875</v>
      </c>
      <c r="AL240" s="5">
        <v>2.3416542055345799E-2</v>
      </c>
      <c r="AM240" s="5">
        <v>56.500021050000001</v>
      </c>
      <c r="AN240" s="2">
        <v>38818</v>
      </c>
      <c r="AO240" s="7">
        <f t="shared" si="86"/>
        <v>646.9666666666667</v>
      </c>
      <c r="AP240" s="5">
        <f t="shared" si="82"/>
        <v>15.149722158406888</v>
      </c>
      <c r="AQ240" s="6">
        <f t="shared" si="83"/>
        <v>140.57165521991476</v>
      </c>
      <c r="AR240" s="2">
        <f t="shared" si="84"/>
        <v>1</v>
      </c>
      <c r="AS240" s="2">
        <f t="shared" si="85"/>
        <v>140.57165521991476</v>
      </c>
    </row>
    <row r="241" spans="13:45" x14ac:dyDescent="0.3">
      <c r="M241" s="78">
        <v>45033.197916666664</v>
      </c>
      <c r="N241" s="5">
        <v>3.2438467189871402E-2</v>
      </c>
      <c r="O241" s="5">
        <v>49.691464410000002</v>
      </c>
      <c r="P241" s="2">
        <v>32824</v>
      </c>
      <c r="Q241" s="7">
        <f t="shared" si="69"/>
        <v>547.06666666666672</v>
      </c>
      <c r="R241" s="6">
        <f t="shared" si="70"/>
        <v>17.746004117338984</v>
      </c>
      <c r="S241" s="6">
        <f t="shared" si="71"/>
        <v>151.89313495976671</v>
      </c>
      <c r="T241" s="2">
        <f t="shared" si="72"/>
        <v>0.75252423063176832</v>
      </c>
      <c r="U241" s="6">
        <f t="shared" si="73"/>
        <v>114.3032645238458</v>
      </c>
      <c r="V241">
        <f>IF((R241-$AB$774)/($Z$773-$AB$774)&lt;0, 0, IF((R241-$AB$774)/($Z$773-$AB$774)&gt;1, 1, (R241-$AB$774)/($Z$773-$AB$774)))</f>
        <v>0.52218573774836796</v>
      </c>
      <c r="W241" s="6">
        <f t="shared" si="74"/>
        <v>79.316428737878198</v>
      </c>
      <c r="Y241" s="78">
        <v>45049.645833333336</v>
      </c>
      <c r="Z241">
        <v>5.9361256668664202E-2</v>
      </c>
      <c r="AA241" s="6">
        <v>103.80204430000001</v>
      </c>
      <c r="AB241" s="2">
        <v>16853</v>
      </c>
      <c r="AC241" s="7">
        <f t="shared" si="75"/>
        <v>280.88333333333333</v>
      </c>
      <c r="AD241" s="7">
        <f t="shared" si="76"/>
        <v>16.673587643949961</v>
      </c>
      <c r="AE241" s="7">
        <f t="shared" si="77"/>
        <v>151.89313495976671</v>
      </c>
      <c r="AF241" s="7">
        <f t="shared" si="78"/>
        <v>1</v>
      </c>
      <c r="AG241" s="6">
        <f t="shared" si="79"/>
        <v>151.89313495976671</v>
      </c>
      <c r="AH241" s="2">
        <f t="shared" si="80"/>
        <v>1</v>
      </c>
      <c r="AI241" s="7">
        <f t="shared" si="81"/>
        <v>151.89313495976671</v>
      </c>
      <c r="AK241" s="78">
        <v>45032.197916666664</v>
      </c>
      <c r="AL241" s="5">
        <v>2.54533504162896E-2</v>
      </c>
      <c r="AM241" s="5">
        <v>54.493389659999998</v>
      </c>
      <c r="AN241" s="2">
        <v>37993</v>
      </c>
      <c r="AO241" s="7">
        <f t="shared" si="86"/>
        <v>633.2166666666667</v>
      </c>
      <c r="AP241" s="5">
        <f t="shared" si="82"/>
        <v>16.117485706101512</v>
      </c>
      <c r="AQ241" s="6">
        <f t="shared" si="83"/>
        <v>144.89956357893894</v>
      </c>
      <c r="AR241" s="2">
        <f t="shared" si="84"/>
        <v>1</v>
      </c>
      <c r="AS241" s="2">
        <f t="shared" si="85"/>
        <v>144.89956357893894</v>
      </c>
    </row>
    <row r="242" spans="13:45" x14ac:dyDescent="0.3">
      <c r="M242" s="78">
        <v>45033.208333333336</v>
      </c>
      <c r="N242" s="5">
        <v>3.2789374249448298E-2</v>
      </c>
      <c r="O242" s="5">
        <v>53.809964399999998</v>
      </c>
      <c r="P242" s="2">
        <v>33331</v>
      </c>
      <c r="Q242" s="7">
        <f t="shared" si="69"/>
        <v>555.51666666666665</v>
      </c>
      <c r="R242" s="6">
        <f t="shared" si="70"/>
        <v>18.215043885139352</v>
      </c>
      <c r="S242" s="6">
        <f t="shared" si="71"/>
        <v>153.84602242343186</v>
      </c>
      <c r="T242" s="2">
        <f t="shared" si="72"/>
        <v>1</v>
      </c>
      <c r="U242" s="6">
        <f t="shared" si="73"/>
        <v>153.84602242343186</v>
      </c>
      <c r="V242">
        <f>IF((R242-$AB$774)/($Z$773-$AB$774)&lt;0, 0, IF((R242-$AB$774)/($Z$773-$AB$774)&gt;1, 1, (R242-$AB$774)/($Z$773-$AB$774)))</f>
        <v>0.60804321417121132</v>
      </c>
      <c r="W242" s="6">
        <f t="shared" si="74"/>
        <v>93.545029961799756</v>
      </c>
      <c r="Y242" s="78">
        <v>45049.65625</v>
      </c>
      <c r="Z242">
        <v>5.7108910597253697E-2</v>
      </c>
      <c r="AA242" s="6">
        <v>102.9873886</v>
      </c>
      <c r="AB242" s="2">
        <v>16624</v>
      </c>
      <c r="AC242" s="7">
        <f t="shared" si="75"/>
        <v>277.06666666666666</v>
      </c>
      <c r="AD242" s="7">
        <f t="shared" si="76"/>
        <v>15.822975496145757</v>
      </c>
      <c r="AE242" s="7">
        <f t="shared" si="77"/>
        <v>153.84602242343186</v>
      </c>
      <c r="AF242" s="7">
        <f t="shared" si="78"/>
        <v>1</v>
      </c>
      <c r="AG242" s="6">
        <f t="shared" si="79"/>
        <v>153.84602242343186</v>
      </c>
      <c r="AH242" s="2">
        <f t="shared" si="80"/>
        <v>1</v>
      </c>
      <c r="AI242" s="7">
        <f t="shared" si="81"/>
        <v>153.84602242343186</v>
      </c>
      <c r="AK242" s="78">
        <v>45032.208333333336</v>
      </c>
      <c r="AL242" s="5">
        <v>2.3697051391556E-2</v>
      </c>
      <c r="AM242" s="5">
        <v>55.160894489999997</v>
      </c>
      <c r="AN242" s="2">
        <v>38717</v>
      </c>
      <c r="AO242" s="7">
        <f t="shared" si="86"/>
        <v>645.2833333333333</v>
      </c>
      <c r="AP242" s="5">
        <f t="shared" si="82"/>
        <v>15.29131231211456</v>
      </c>
      <c r="AQ242" s="6">
        <f t="shared" si="83"/>
        <v>141.21349144996458</v>
      </c>
      <c r="AR242" s="2">
        <f t="shared" si="84"/>
        <v>1</v>
      </c>
      <c r="AS242" s="2">
        <f t="shared" si="85"/>
        <v>141.21349144996458</v>
      </c>
    </row>
    <row r="243" spans="13:45" x14ac:dyDescent="0.3">
      <c r="M243" s="78">
        <v>45033.21875</v>
      </c>
      <c r="N243" s="5">
        <v>3.3491445559519703E-2</v>
      </c>
      <c r="O243" s="5">
        <v>53.809964399999998</v>
      </c>
      <c r="P243" s="2">
        <v>33024</v>
      </c>
      <c r="Q243" s="7">
        <f t="shared" si="69"/>
        <v>550.4</v>
      </c>
      <c r="R243" s="6">
        <f t="shared" si="70"/>
        <v>18.433691635959644</v>
      </c>
      <c r="S243" s="6">
        <f t="shared" si="71"/>
        <v>154.74760808910864</v>
      </c>
      <c r="T243" s="2">
        <f t="shared" si="72"/>
        <v>1</v>
      </c>
      <c r="U243" s="6">
        <f t="shared" si="73"/>
        <v>154.74760808910864</v>
      </c>
      <c r="V243">
        <f>IF((R243-$AB$774)/($Z$773-$AB$774)&lt;0, 0, IF((R243-$AB$774)/($Z$773-$AB$774)&gt;1, 1, (R243-$AB$774)/($Z$773-$AB$774)))</f>
        <v>0.64806656698625631</v>
      </c>
      <c r="W243" s="6">
        <f t="shared" si="74"/>
        <v>100.28675112364326</v>
      </c>
      <c r="Y243" s="78">
        <v>45049.666666666664</v>
      </c>
      <c r="Z243">
        <v>6.3555440436673702E-2</v>
      </c>
      <c r="AA243" s="6">
        <v>104.61473460000001</v>
      </c>
      <c r="AB243" s="2">
        <v>17121</v>
      </c>
      <c r="AC243" s="7">
        <f t="shared" si="75"/>
        <v>285.35000000000002</v>
      </c>
      <c r="AD243" s="7">
        <f t="shared" si="76"/>
        <v>18.135544928604844</v>
      </c>
      <c r="AE243" s="7">
        <f t="shared" si="77"/>
        <v>154.74760808910864</v>
      </c>
      <c r="AF243" s="7">
        <f t="shared" si="78"/>
        <v>1</v>
      </c>
      <c r="AG243" s="6">
        <f t="shared" si="79"/>
        <v>154.74760808910864</v>
      </c>
      <c r="AH243" s="2">
        <f t="shared" si="80"/>
        <v>1</v>
      </c>
      <c r="AI243" s="7">
        <f t="shared" si="81"/>
        <v>154.74760808910864</v>
      </c>
      <c r="AK243" s="78">
        <v>45032.21875</v>
      </c>
      <c r="AL243" s="5">
        <v>2.5032409291821E-2</v>
      </c>
      <c r="AM243" s="5">
        <v>55.160894489999997</v>
      </c>
      <c r="AN243" s="2">
        <v>38553</v>
      </c>
      <c r="AO243" s="7">
        <f t="shared" si="86"/>
        <v>642.54999999999995</v>
      </c>
      <c r="AP243" s="5">
        <f t="shared" si="82"/>
        <v>16.084574590459582</v>
      </c>
      <c r="AQ243" s="6">
        <f t="shared" si="83"/>
        <v>144.75459665116344</v>
      </c>
      <c r="AR243" s="2">
        <f t="shared" si="84"/>
        <v>1</v>
      </c>
      <c r="AS243" s="2">
        <f t="shared" si="85"/>
        <v>144.75459665116344</v>
      </c>
    </row>
    <row r="244" spans="13:45" x14ac:dyDescent="0.3">
      <c r="M244" s="78">
        <v>45033.229166666664</v>
      </c>
      <c r="N244" s="5">
        <v>3.3647451267651299E-2</v>
      </c>
      <c r="O244" s="5">
        <v>53.123299129999999</v>
      </c>
      <c r="P244" s="2">
        <v>33507</v>
      </c>
      <c r="Q244" s="7">
        <f t="shared" si="69"/>
        <v>558.45000000000005</v>
      </c>
      <c r="R244" s="6">
        <f t="shared" si="70"/>
        <v>18.790419160419869</v>
      </c>
      <c r="S244" s="6">
        <f t="shared" si="71"/>
        <v>156.20692424406965</v>
      </c>
      <c r="T244" s="2">
        <f t="shared" si="72"/>
        <v>1</v>
      </c>
      <c r="U244" s="6">
        <f t="shared" si="73"/>
        <v>156.20692424406965</v>
      </c>
      <c r="V244">
        <f>IF((R244-$AB$774)/($Z$773-$AB$774)&lt;0, 0, IF((R244-$AB$774)/($Z$773-$AB$774)&gt;1, 1, (R244-$AB$774)/($Z$773-$AB$774)))</f>
        <v>0.71336534786438188</v>
      </c>
      <c r="W244" s="6">
        <f t="shared" si="74"/>
        <v>111.4326068521959</v>
      </c>
      <c r="Y244" s="78">
        <v>45049.677083333336</v>
      </c>
      <c r="Z244">
        <v>5.1843035763933801E-2</v>
      </c>
      <c r="AA244" s="6">
        <v>106.2245245</v>
      </c>
      <c r="AB244" s="2">
        <v>16346</v>
      </c>
      <c r="AC244" s="7">
        <f t="shared" si="75"/>
        <v>272.43333333333334</v>
      </c>
      <c r="AD244" s="7">
        <f t="shared" si="76"/>
        <v>14.123771043287698</v>
      </c>
      <c r="AE244" s="7">
        <f t="shared" si="77"/>
        <v>156.20692424406965</v>
      </c>
      <c r="AF244" s="7">
        <f t="shared" si="78"/>
        <v>1</v>
      </c>
      <c r="AG244" s="6">
        <f t="shared" si="79"/>
        <v>156.20692424406965</v>
      </c>
      <c r="AH244" s="2">
        <f t="shared" si="80"/>
        <v>1</v>
      </c>
      <c r="AI244" s="7">
        <f t="shared" si="81"/>
        <v>156.20692424406965</v>
      </c>
      <c r="AK244" s="78">
        <v>45032.229166666664</v>
      </c>
      <c r="AL244" s="5">
        <v>2.29200269244253E-2</v>
      </c>
      <c r="AM244" s="5">
        <v>55.160894489999997</v>
      </c>
      <c r="AN244" s="2">
        <v>39081</v>
      </c>
      <c r="AO244" s="7">
        <f t="shared" si="86"/>
        <v>651.35</v>
      </c>
      <c r="AP244" s="5">
        <f t="shared" si="82"/>
        <v>14.92895953722442</v>
      </c>
      <c r="AQ244" s="6">
        <f t="shared" si="83"/>
        <v>139.56478757329498</v>
      </c>
      <c r="AR244" s="2">
        <f t="shared" si="84"/>
        <v>1</v>
      </c>
      <c r="AS244" s="2">
        <f t="shared" si="85"/>
        <v>139.56478757329498</v>
      </c>
    </row>
    <row r="245" spans="13:45" x14ac:dyDescent="0.3">
      <c r="M245" s="78">
        <v>45033.239583333336</v>
      </c>
      <c r="N245" s="5">
        <v>3.15920433021789E-2</v>
      </c>
      <c r="O245" s="5">
        <v>53.809964399999998</v>
      </c>
      <c r="P245" s="2">
        <v>32808</v>
      </c>
      <c r="Q245" s="7">
        <f t="shared" si="69"/>
        <v>546.79999999999995</v>
      </c>
      <c r="R245" s="6">
        <f t="shared" si="70"/>
        <v>17.274529277631419</v>
      </c>
      <c r="S245" s="6">
        <f t="shared" si="71"/>
        <v>149.90337799264239</v>
      </c>
      <c r="T245" s="2">
        <f t="shared" si="72"/>
        <v>1</v>
      </c>
      <c r="U245" s="6">
        <f t="shared" si="73"/>
        <v>149.90337799264239</v>
      </c>
      <c r="V245">
        <f>IF((R245-$AB$774)/($Z$773-$AB$774)&lt;0, 0, IF((R245-$AB$774)/($Z$773-$AB$774)&gt;1, 1, (R245-$AB$774)/($Z$773-$AB$774)))</f>
        <v>0.43588252272676892</v>
      </c>
      <c r="W245" s="6">
        <f t="shared" si="74"/>
        <v>65.340262564697383</v>
      </c>
      <c r="Y245" s="78">
        <v>45049.6875</v>
      </c>
      <c r="Z245">
        <v>0.106487179583</v>
      </c>
      <c r="AA245" s="6">
        <v>101.7699069</v>
      </c>
      <c r="AB245" s="2">
        <v>14263</v>
      </c>
      <c r="AC245" s="7">
        <f t="shared" si="75"/>
        <v>237.71666666666667</v>
      </c>
      <c r="AD245" s="7">
        <f t="shared" si="76"/>
        <v>25.313777373205482</v>
      </c>
      <c r="AE245" s="7">
        <f t="shared" si="77"/>
        <v>149.90337799264239</v>
      </c>
      <c r="AF245" s="7">
        <f t="shared" si="78"/>
        <v>1</v>
      </c>
      <c r="AG245" s="6">
        <f t="shared" si="79"/>
        <v>149.90337799264239</v>
      </c>
      <c r="AH245" s="2">
        <f t="shared" si="80"/>
        <v>1</v>
      </c>
      <c r="AI245" s="7">
        <f t="shared" si="81"/>
        <v>149.90337799264239</v>
      </c>
      <c r="AK245" s="78">
        <v>45032.239583333336</v>
      </c>
      <c r="AL245" s="5">
        <v>2.4163361985035599E-2</v>
      </c>
      <c r="AM245" s="5">
        <v>56.500021050000001</v>
      </c>
      <c r="AN245" s="2">
        <v>39486</v>
      </c>
      <c r="AO245" s="7">
        <f t="shared" si="86"/>
        <v>658.1</v>
      </c>
      <c r="AP245" s="5">
        <f t="shared" si="82"/>
        <v>15.901908522351929</v>
      </c>
      <c r="AQ245" s="6">
        <f t="shared" si="83"/>
        <v>143.94722294343725</v>
      </c>
      <c r="AR245" s="2">
        <f t="shared" si="84"/>
        <v>1</v>
      </c>
      <c r="AS245" s="2">
        <f t="shared" si="85"/>
        <v>143.94722294343725</v>
      </c>
    </row>
    <row r="246" spans="13:45" x14ac:dyDescent="0.3">
      <c r="M246" s="78">
        <v>45033.25</v>
      </c>
      <c r="N246" s="5">
        <v>3.1538871613913E-2</v>
      </c>
      <c r="O246" s="5">
        <v>53.123299129999999</v>
      </c>
      <c r="P246" s="2">
        <v>34165</v>
      </c>
      <c r="Q246" s="7">
        <f t="shared" si="69"/>
        <v>569.41666666666663</v>
      </c>
      <c r="R246" s="6">
        <f t="shared" si="70"/>
        <v>17.958759144822292</v>
      </c>
      <c r="S246" s="6">
        <f t="shared" si="71"/>
        <v>152.78218244395308</v>
      </c>
      <c r="T246" s="2">
        <f t="shared" si="72"/>
        <v>1</v>
      </c>
      <c r="U246" s="6">
        <f t="shared" si="73"/>
        <v>152.78218244395308</v>
      </c>
      <c r="V246">
        <f>IF((R246-$AB$774)/($Z$773-$AB$774)&lt;0, 0, IF((R246-$AB$774)/($Z$773-$AB$774)&gt;1, 1, (R246-$AB$774)/($Z$773-$AB$774)))</f>
        <v>0.56113043073602975</v>
      </c>
      <c r="W246" s="6">
        <f t="shared" si="74"/>
        <v>85.730731843566076</v>
      </c>
      <c r="Y246" s="78">
        <v>45049.697916666664</v>
      </c>
      <c r="Z246">
        <v>0.129393810097339</v>
      </c>
      <c r="AA246" s="6">
        <v>106.2245245</v>
      </c>
      <c r="AB246" s="2">
        <v>7070</v>
      </c>
      <c r="AC246" s="7">
        <f t="shared" si="75"/>
        <v>117.83333333333333</v>
      </c>
      <c r="AD246" s="7">
        <f t="shared" si="76"/>
        <v>15.246903956469778</v>
      </c>
      <c r="AE246" s="7">
        <f t="shared" si="77"/>
        <v>152.78218244395308</v>
      </c>
      <c r="AF246" s="7">
        <f t="shared" si="78"/>
        <v>1</v>
      </c>
      <c r="AG246" s="6">
        <f t="shared" si="79"/>
        <v>152.78218244395308</v>
      </c>
      <c r="AH246" s="2">
        <f t="shared" si="80"/>
        <v>1</v>
      </c>
      <c r="AI246" s="7">
        <f t="shared" si="81"/>
        <v>152.78218244395308</v>
      </c>
      <c r="AK246" s="78">
        <v>45032.25</v>
      </c>
      <c r="AL246" s="5">
        <v>2.4606822022565301E-2</v>
      </c>
      <c r="AM246" s="5">
        <v>60.419666749999998</v>
      </c>
      <c r="AN246" s="2">
        <v>38231</v>
      </c>
      <c r="AO246" s="7">
        <f t="shared" si="86"/>
        <v>637.18333333333328</v>
      </c>
      <c r="AP246" s="5">
        <f t="shared" si="82"/>
        <v>15.679056879078232</v>
      </c>
      <c r="AQ246" s="6">
        <f t="shared" si="83"/>
        <v>142.95579503585688</v>
      </c>
      <c r="AR246" s="2">
        <f t="shared" si="84"/>
        <v>1</v>
      </c>
      <c r="AS246" s="2">
        <f t="shared" si="85"/>
        <v>142.95579503585688</v>
      </c>
    </row>
    <row r="247" spans="13:45" x14ac:dyDescent="0.3">
      <c r="M247" s="78">
        <v>45033.260416666664</v>
      </c>
      <c r="N247" s="5">
        <v>3.2263333818659597E-2</v>
      </c>
      <c r="O247" s="5">
        <v>51.069020549999998</v>
      </c>
      <c r="P247" s="2">
        <v>34022</v>
      </c>
      <c r="Q247" s="7">
        <f t="shared" si="69"/>
        <v>567.0333333333333</v>
      </c>
      <c r="R247" s="6">
        <f t="shared" si="70"/>
        <v>18.294385719640612</v>
      </c>
      <c r="S247" s="6">
        <f t="shared" si="71"/>
        <v>154.17382058142161</v>
      </c>
      <c r="T247" s="2">
        <f t="shared" si="72"/>
        <v>1</v>
      </c>
      <c r="U247" s="6">
        <f t="shared" si="73"/>
        <v>154.17382058142161</v>
      </c>
      <c r="V247">
        <f>IF((R247-$AB$774)/($Z$773-$AB$774)&lt;0, 0, IF((R247-$AB$774)/($Z$773-$AB$774)&gt;1, 1, (R247-$AB$774)/($Z$773-$AB$774)))</f>
        <v>0.62256669416733912</v>
      </c>
      <c r="W247" s="6">
        <f t="shared" si="74"/>
        <v>95.983485806524115</v>
      </c>
      <c r="Y247" s="78">
        <v>45049.708333333336</v>
      </c>
      <c r="Z247">
        <v>0.12058399033685401</v>
      </c>
      <c r="AA247" s="6">
        <v>109.0251016</v>
      </c>
      <c r="AB247" s="2">
        <v>7913</v>
      </c>
      <c r="AC247" s="7">
        <f t="shared" si="75"/>
        <v>131.88333333333333</v>
      </c>
      <c r="AD247" s="7">
        <f t="shared" si="76"/>
        <v>15.903018592258761</v>
      </c>
      <c r="AE247" s="7">
        <f t="shared" si="77"/>
        <v>154.17382058142161</v>
      </c>
      <c r="AF247" s="7">
        <f t="shared" si="78"/>
        <v>1</v>
      </c>
      <c r="AG247" s="6">
        <f t="shared" si="79"/>
        <v>154.17382058142161</v>
      </c>
      <c r="AH247" s="2">
        <f t="shared" si="80"/>
        <v>1</v>
      </c>
      <c r="AI247" s="7">
        <f t="shared" si="81"/>
        <v>154.17382058142161</v>
      </c>
      <c r="AK247" s="78">
        <v>45032.260416666664</v>
      </c>
      <c r="AL247" s="5">
        <v>2.3433723724787799E-2</v>
      </c>
      <c r="AM247" s="5">
        <v>55.160894489999997</v>
      </c>
      <c r="AN247" s="2">
        <v>38690</v>
      </c>
      <c r="AO247" s="7">
        <f t="shared" si="86"/>
        <v>644.83333333333337</v>
      </c>
      <c r="AP247" s="5">
        <f t="shared" si="82"/>
        <v>15.110846181867334</v>
      </c>
      <c r="AQ247" s="6">
        <f t="shared" si="83"/>
        <v>140.39489312794748</v>
      </c>
      <c r="AR247" s="2">
        <f t="shared" si="84"/>
        <v>1</v>
      </c>
      <c r="AS247" s="2">
        <f t="shared" si="85"/>
        <v>140.39489312794748</v>
      </c>
    </row>
    <row r="248" spans="13:45" x14ac:dyDescent="0.3">
      <c r="M248" s="78">
        <v>45033.270833333336</v>
      </c>
      <c r="N248" s="5">
        <v>3.6436620229029298E-2</v>
      </c>
      <c r="O248" s="5">
        <v>57.147661589999998</v>
      </c>
      <c r="P248" s="2">
        <v>34435</v>
      </c>
      <c r="Q248" s="7">
        <f t="shared" si="69"/>
        <v>573.91666666666663</v>
      </c>
      <c r="R248" s="6">
        <f t="shared" si="70"/>
        <v>20.911583626443729</v>
      </c>
      <c r="S248" s="6">
        <f t="shared" si="71"/>
        <v>164.6065334331953</v>
      </c>
      <c r="T248" s="2">
        <f t="shared" si="72"/>
        <v>1</v>
      </c>
      <c r="U248" s="6">
        <f t="shared" si="73"/>
        <v>164.6065334331953</v>
      </c>
      <c r="V248">
        <f>IF((R248-$AB$774)/($Z$773-$AB$774)&lt;0, 0, IF((R248-$AB$774)/($Z$773-$AB$774)&gt;1, 1, (R248-$AB$774)/($Z$773-$AB$774)))</f>
        <v>1</v>
      </c>
      <c r="W248" s="6">
        <f t="shared" si="74"/>
        <v>164.6065334331953</v>
      </c>
      <c r="Y248" s="78">
        <v>45049.71875</v>
      </c>
      <c r="Z248">
        <v>0.13238184856675</v>
      </c>
      <c r="AA248" s="6">
        <v>112.18199679999999</v>
      </c>
      <c r="AB248" s="2">
        <v>7405</v>
      </c>
      <c r="AC248" s="7">
        <f t="shared" si="75"/>
        <v>123.41666666666667</v>
      </c>
      <c r="AD248" s="7">
        <f t="shared" si="76"/>
        <v>16.338126477279729</v>
      </c>
      <c r="AE248" s="7">
        <f t="shared" si="77"/>
        <v>164.6065334331953</v>
      </c>
      <c r="AF248" s="7">
        <f t="shared" si="78"/>
        <v>1</v>
      </c>
      <c r="AG248" s="6">
        <f t="shared" si="79"/>
        <v>164.6065334331953</v>
      </c>
      <c r="AH248" s="2">
        <f t="shared" si="80"/>
        <v>1</v>
      </c>
      <c r="AI248" s="7">
        <f t="shared" si="81"/>
        <v>164.6065334331953</v>
      </c>
      <c r="AK248" s="78">
        <v>45032.270833333336</v>
      </c>
      <c r="AL248" s="5">
        <v>2.2339979637383399E-2</v>
      </c>
      <c r="AM248" s="5">
        <v>58.477264509999998</v>
      </c>
      <c r="AN248" s="2">
        <v>39657</v>
      </c>
      <c r="AO248" s="7">
        <f t="shared" si="86"/>
        <v>660.95</v>
      </c>
      <c r="AP248" s="5">
        <f t="shared" si="82"/>
        <v>14.765609541328558</v>
      </c>
      <c r="AQ248" s="6">
        <f t="shared" si="83"/>
        <v>138.81487086041668</v>
      </c>
      <c r="AR248" s="2">
        <f t="shared" si="84"/>
        <v>1</v>
      </c>
      <c r="AS248" s="2">
        <f t="shared" si="85"/>
        <v>138.81487086041668</v>
      </c>
    </row>
    <row r="249" spans="13:45" x14ac:dyDescent="0.3">
      <c r="M249" s="78">
        <v>45033.28125</v>
      </c>
      <c r="N249" s="5">
        <v>3.1091177268140799E-2</v>
      </c>
      <c r="O249" s="5">
        <v>55.149392650000003</v>
      </c>
      <c r="P249" s="2">
        <v>33551</v>
      </c>
      <c r="Q249" s="7">
        <f t="shared" si="69"/>
        <v>559.18333333333328</v>
      </c>
      <c r="R249" s="6">
        <f t="shared" si="70"/>
        <v>17.385668142056531</v>
      </c>
      <c r="S249" s="6">
        <f t="shared" si="71"/>
        <v>150.3748870682189</v>
      </c>
      <c r="T249" s="2">
        <f t="shared" si="72"/>
        <v>1</v>
      </c>
      <c r="U249" s="6">
        <f t="shared" si="73"/>
        <v>150.3748870682189</v>
      </c>
      <c r="V249">
        <f>IF((R249-$AB$774)/($Z$773-$AB$774)&lt;0, 0, IF((R249-$AB$774)/($Z$773-$AB$774)&gt;1, 1, (R249-$AB$774)/($Z$773-$AB$774)))</f>
        <v>0.45622643189419348</v>
      </c>
      <c r="W249" s="6">
        <f t="shared" si="74"/>
        <v>68.604998173625802</v>
      </c>
      <c r="Y249" s="78">
        <v>45049.729166666664</v>
      </c>
      <c r="Z249">
        <v>0.121083942008165</v>
      </c>
      <c r="AA249" s="6">
        <v>105.0166174</v>
      </c>
      <c r="AB249" s="2">
        <v>8007</v>
      </c>
      <c r="AC249" s="7">
        <f t="shared" si="75"/>
        <v>133.44999999999999</v>
      </c>
      <c r="AD249" s="7">
        <f t="shared" si="76"/>
        <v>16.158652060989617</v>
      </c>
      <c r="AE249" s="7">
        <f t="shared" si="77"/>
        <v>150.3748870682189</v>
      </c>
      <c r="AF249" s="7">
        <f t="shared" si="78"/>
        <v>1</v>
      </c>
      <c r="AG249" s="6">
        <f t="shared" si="79"/>
        <v>150.3748870682189</v>
      </c>
      <c r="AH249" s="2">
        <f t="shared" si="80"/>
        <v>1</v>
      </c>
      <c r="AI249" s="7">
        <f t="shared" si="81"/>
        <v>150.3748870682189</v>
      </c>
      <c r="AK249" s="78">
        <v>45032.28125</v>
      </c>
      <c r="AL249" s="5">
        <v>2.3813168120814101E-2</v>
      </c>
      <c r="AM249" s="5">
        <v>53.134964160000003</v>
      </c>
      <c r="AN249" s="2">
        <v>38653</v>
      </c>
      <c r="AO249" s="7">
        <f t="shared" si="86"/>
        <v>644.2166666666667</v>
      </c>
      <c r="AP249" s="5">
        <f t="shared" si="82"/>
        <v>15.340839789563791</v>
      </c>
      <c r="AQ249" s="6">
        <f t="shared" si="83"/>
        <v>141.43728588087959</v>
      </c>
      <c r="AR249" s="2">
        <f t="shared" si="84"/>
        <v>1</v>
      </c>
      <c r="AS249" s="2">
        <f t="shared" si="85"/>
        <v>141.43728588087959</v>
      </c>
    </row>
    <row r="250" spans="13:45" x14ac:dyDescent="0.3">
      <c r="M250" s="78">
        <v>45033.291666666664</v>
      </c>
      <c r="N250" s="5">
        <v>2.9827433557963301E-2</v>
      </c>
      <c r="O250" s="5">
        <v>46.186478979999997</v>
      </c>
      <c r="P250" s="2">
        <v>34362</v>
      </c>
      <c r="Q250" s="7">
        <f t="shared" si="69"/>
        <v>572.70000000000005</v>
      </c>
      <c r="R250" s="6">
        <f t="shared" si="70"/>
        <v>17.082171198645582</v>
      </c>
      <c r="S250" s="6">
        <f t="shared" si="71"/>
        <v>149.08362154497107</v>
      </c>
      <c r="T250" s="2">
        <f t="shared" si="72"/>
        <v>0</v>
      </c>
      <c r="U250" s="6">
        <f t="shared" si="73"/>
        <v>0</v>
      </c>
      <c r="V250">
        <f>IF((R250-$AB$774)/($Z$773-$AB$774)&lt;0, 0, IF((R250-$AB$774)/($Z$773-$AB$774)&gt;1, 1, (R250-$AB$774)/($Z$773-$AB$774)))</f>
        <v>0.40067148015628229</v>
      </c>
      <c r="W250" s="6">
        <f t="shared" si="74"/>
        <v>59.733555311482576</v>
      </c>
      <c r="Y250" s="78">
        <v>45049.739583333336</v>
      </c>
      <c r="Z250">
        <v>0.12194762358990199</v>
      </c>
      <c r="AA250" s="6">
        <v>105.0166174</v>
      </c>
      <c r="AB250" s="2">
        <v>7479</v>
      </c>
      <c r="AC250" s="7">
        <f t="shared" si="75"/>
        <v>124.65</v>
      </c>
      <c r="AD250" s="7">
        <f t="shared" si="76"/>
        <v>15.200771280481284</v>
      </c>
      <c r="AE250" s="7">
        <f t="shared" si="77"/>
        <v>149.08362154497107</v>
      </c>
      <c r="AF250" s="7">
        <f t="shared" si="78"/>
        <v>1</v>
      </c>
      <c r="AG250" s="6">
        <f t="shared" si="79"/>
        <v>149.08362154497107</v>
      </c>
      <c r="AH250" s="2">
        <f t="shared" si="80"/>
        <v>1</v>
      </c>
      <c r="AI250" s="7">
        <f t="shared" si="81"/>
        <v>149.08362154497107</v>
      </c>
      <c r="AK250" s="78">
        <v>45032.291666666664</v>
      </c>
      <c r="AL250" s="5">
        <v>2.61745628395046E-2</v>
      </c>
      <c r="AM250" s="5">
        <v>57.158996520000002</v>
      </c>
      <c r="AN250" s="2">
        <v>38959</v>
      </c>
      <c r="AO250" s="7">
        <f t="shared" si="86"/>
        <v>649.31666666666672</v>
      </c>
      <c r="AP250" s="5">
        <f t="shared" si="82"/>
        <v>16.995579894404329</v>
      </c>
      <c r="AQ250" s="6">
        <f t="shared" si="83"/>
        <v>148.71306539031957</v>
      </c>
      <c r="AR250" s="2">
        <f t="shared" si="84"/>
        <v>1</v>
      </c>
      <c r="AS250" s="2">
        <f t="shared" si="85"/>
        <v>148.71306539031957</v>
      </c>
    </row>
    <row r="251" spans="13:45" x14ac:dyDescent="0.3">
      <c r="M251" s="78">
        <v>45033.302083333336</v>
      </c>
      <c r="N251" s="5">
        <v>2.96383041723534E-2</v>
      </c>
      <c r="O251" s="5">
        <v>47.592533240000002</v>
      </c>
      <c r="P251" s="2">
        <v>34631</v>
      </c>
      <c r="Q251" s="7">
        <f t="shared" si="69"/>
        <v>577.18333333333328</v>
      </c>
      <c r="R251" s="6">
        <f t="shared" si="70"/>
        <v>17.106735196546175</v>
      </c>
      <c r="S251" s="6">
        <f t="shared" si="71"/>
        <v>149.18856533911088</v>
      </c>
      <c r="T251" s="2">
        <f t="shared" si="72"/>
        <v>0</v>
      </c>
      <c r="U251" s="6">
        <f t="shared" si="73"/>
        <v>0</v>
      </c>
      <c r="V251">
        <f>IF((R251-$AB$774)/($Z$773-$AB$774)&lt;0, 0, IF((R251-$AB$774)/($Z$773-$AB$774)&gt;1, 1, (R251-$AB$774)/($Z$773-$AB$774)))</f>
        <v>0.40516790671834418</v>
      </c>
      <c r="W251" s="6">
        <f t="shared" si="74"/>
        <v>60.446418724760477</v>
      </c>
      <c r="Y251" s="78">
        <v>45049.75</v>
      </c>
      <c r="Z251">
        <v>0.124444274070785</v>
      </c>
      <c r="AA251" s="6">
        <v>109.0251016</v>
      </c>
      <c r="AB251" s="2">
        <v>7597</v>
      </c>
      <c r="AC251" s="7">
        <f t="shared" si="75"/>
        <v>126.61666666666666</v>
      </c>
      <c r="AD251" s="7">
        <f t="shared" si="76"/>
        <v>15.756719168595893</v>
      </c>
      <c r="AE251" s="7">
        <f t="shared" si="77"/>
        <v>149.18856533911088</v>
      </c>
      <c r="AF251" s="7">
        <f t="shared" si="78"/>
        <v>1</v>
      </c>
      <c r="AG251" s="6">
        <f t="shared" si="79"/>
        <v>149.18856533911088</v>
      </c>
      <c r="AH251" s="2">
        <f t="shared" si="80"/>
        <v>1</v>
      </c>
      <c r="AI251" s="7">
        <f t="shared" si="81"/>
        <v>149.18856533911088</v>
      </c>
      <c r="AK251" s="78">
        <v>45032.302083333336</v>
      </c>
      <c r="AL251" s="5">
        <v>2.2760204066703101E-2</v>
      </c>
      <c r="AM251" s="5">
        <v>51.0808441</v>
      </c>
      <c r="AN251" s="2">
        <v>38850</v>
      </c>
      <c r="AO251" s="7">
        <f t="shared" si="86"/>
        <v>647.5</v>
      </c>
      <c r="AP251" s="5">
        <f t="shared" si="82"/>
        <v>14.737232133190258</v>
      </c>
      <c r="AQ251" s="6">
        <f t="shared" si="83"/>
        <v>138.6841633449213</v>
      </c>
      <c r="AR251" s="2">
        <f t="shared" si="84"/>
        <v>1</v>
      </c>
      <c r="AS251" s="2">
        <f t="shared" si="85"/>
        <v>138.6841633449213</v>
      </c>
    </row>
    <row r="252" spans="13:45" x14ac:dyDescent="0.3">
      <c r="M252" s="78">
        <v>45033.3125</v>
      </c>
      <c r="N252" s="5">
        <v>3.2692684065438203E-2</v>
      </c>
      <c r="O252" s="5">
        <v>49.691464410000002</v>
      </c>
      <c r="P252" s="2">
        <v>33965</v>
      </c>
      <c r="Q252" s="7">
        <f t="shared" si="69"/>
        <v>566.08333333333337</v>
      </c>
      <c r="R252" s="6">
        <f t="shared" si="70"/>
        <v>18.506783571376811</v>
      </c>
      <c r="S252" s="6">
        <f t="shared" si="71"/>
        <v>155.047781672127</v>
      </c>
      <c r="T252" s="2">
        <f t="shared" si="72"/>
        <v>0.75252423063176832</v>
      </c>
      <c r="U252" s="6">
        <f t="shared" si="73"/>
        <v>116.67721261397976</v>
      </c>
      <c r="V252">
        <f>IF((R252-$AB$774)/($Z$773-$AB$774)&lt;0, 0, IF((R252-$AB$774)/($Z$773-$AB$774)&gt;1, 1, (R252-$AB$774)/($Z$773-$AB$774)))</f>
        <v>0.66144600632720885</v>
      </c>
      <c r="W252" s="6">
        <f t="shared" si="74"/>
        <v>102.55573597692141</v>
      </c>
      <c r="Y252" s="78">
        <v>45049.760416666664</v>
      </c>
      <c r="Z252">
        <v>0.11816017442341401</v>
      </c>
      <c r="AA252" s="6">
        <v>123.998997</v>
      </c>
      <c r="AB252" s="2">
        <v>7501</v>
      </c>
      <c r="AC252" s="7">
        <f t="shared" si="75"/>
        <v>125.01666666666667</v>
      </c>
      <c r="AD252" s="7">
        <f t="shared" si="76"/>
        <v>14.77199113916714</v>
      </c>
      <c r="AE252" s="7">
        <f t="shared" si="77"/>
        <v>155.047781672127</v>
      </c>
      <c r="AF252" s="7">
        <f t="shared" si="78"/>
        <v>1</v>
      </c>
      <c r="AG252" s="6">
        <f t="shared" si="79"/>
        <v>155.047781672127</v>
      </c>
      <c r="AH252" s="2">
        <f t="shared" si="80"/>
        <v>1</v>
      </c>
      <c r="AI252" s="7">
        <f t="shared" si="81"/>
        <v>155.047781672127</v>
      </c>
      <c r="AK252" s="78">
        <v>45032.3125</v>
      </c>
      <c r="AL252" s="5">
        <v>2.4139693231717201E-2</v>
      </c>
      <c r="AM252" s="5">
        <v>53.809964399999998</v>
      </c>
      <c r="AN252" s="2">
        <v>38681</v>
      </c>
      <c r="AO252" s="7">
        <f t="shared" si="86"/>
        <v>644.68333333333328</v>
      </c>
      <c r="AP252" s="5">
        <f t="shared" si="82"/>
        <v>15.562457898267549</v>
      </c>
      <c r="AQ252" s="6">
        <f t="shared" si="83"/>
        <v>142.43420047627026</v>
      </c>
      <c r="AR252" s="2">
        <f t="shared" si="84"/>
        <v>1</v>
      </c>
      <c r="AS252" s="2">
        <f t="shared" si="85"/>
        <v>142.43420047627026</v>
      </c>
    </row>
    <row r="253" spans="13:45" x14ac:dyDescent="0.3">
      <c r="M253" s="78">
        <v>45033.322916666664</v>
      </c>
      <c r="N253" s="5">
        <v>3.4077152111233099E-2</v>
      </c>
      <c r="O253" s="5">
        <v>42.550901439999997</v>
      </c>
      <c r="P253" s="2">
        <v>34326</v>
      </c>
      <c r="Q253" s="7">
        <f t="shared" si="69"/>
        <v>572.1</v>
      </c>
      <c r="R253" s="6">
        <f t="shared" si="70"/>
        <v>19.495538722836457</v>
      </c>
      <c r="S253" s="6">
        <f t="shared" si="71"/>
        <v>159.05044187872767</v>
      </c>
      <c r="T253" s="2">
        <f t="shared" si="72"/>
        <v>0</v>
      </c>
      <c r="U253" s="6">
        <f t="shared" si="73"/>
        <v>0</v>
      </c>
      <c r="V253">
        <f>IF((R253-$AB$774)/($Z$773-$AB$774)&lt;0, 0, IF((R253-$AB$774)/($Z$773-$AB$774)&gt;1, 1, (R253-$AB$774)/($Z$773-$AB$774)))</f>
        <v>0.8424371033135587</v>
      </c>
      <c r="W253" s="6">
        <f t="shared" si="74"/>
        <v>133.98999353705688</v>
      </c>
      <c r="Y253" s="78">
        <v>45049.770833333336</v>
      </c>
      <c r="Z253">
        <v>0.12446849881369799</v>
      </c>
      <c r="AA253" s="6">
        <v>126.9470365</v>
      </c>
      <c r="AB253" s="2">
        <v>7348</v>
      </c>
      <c r="AC253" s="7">
        <f t="shared" si="75"/>
        <v>122.46666666666667</v>
      </c>
      <c r="AD253" s="7">
        <f t="shared" si="76"/>
        <v>15.243242154717548</v>
      </c>
      <c r="AE253" s="7">
        <f t="shared" si="77"/>
        <v>159.05044187872767</v>
      </c>
      <c r="AF253" s="7">
        <f t="shared" si="78"/>
        <v>1</v>
      </c>
      <c r="AG253" s="6">
        <f t="shared" si="79"/>
        <v>159.05044187872767</v>
      </c>
      <c r="AH253" s="2">
        <f t="shared" si="80"/>
        <v>1</v>
      </c>
      <c r="AI253" s="7">
        <f t="shared" si="81"/>
        <v>159.05044187872767</v>
      </c>
      <c r="AK253" s="78">
        <v>45032.322916666664</v>
      </c>
      <c r="AL253" s="5">
        <v>2.1987797604334999E-2</v>
      </c>
      <c r="AM253" s="5">
        <v>53.123299129999999</v>
      </c>
      <c r="AN253" s="2">
        <v>38972</v>
      </c>
      <c r="AO253" s="7">
        <f t="shared" si="86"/>
        <v>649.5333333333333</v>
      </c>
      <c r="AP253" s="5">
        <f t="shared" si="82"/>
        <v>14.281807470602391</v>
      </c>
      <c r="AQ253" s="6">
        <f t="shared" si="83"/>
        <v>136.56861751913053</v>
      </c>
      <c r="AR253" s="2">
        <f t="shared" si="84"/>
        <v>1</v>
      </c>
      <c r="AS253" s="2">
        <f t="shared" si="85"/>
        <v>136.56861751913053</v>
      </c>
    </row>
    <row r="254" spans="13:45" x14ac:dyDescent="0.3">
      <c r="M254" s="78">
        <v>45033.333333333336</v>
      </c>
      <c r="N254" s="5">
        <v>3.0372599511145501E-2</v>
      </c>
      <c r="O254" s="5">
        <v>49.691464410000002</v>
      </c>
      <c r="P254" s="2">
        <v>34655</v>
      </c>
      <c r="Q254" s="7">
        <f t="shared" si="69"/>
        <v>577.58333333333337</v>
      </c>
      <c r="R254" s="6">
        <f t="shared" si="70"/>
        <v>17.542707267645792</v>
      </c>
      <c r="S254" s="6">
        <f t="shared" si="71"/>
        <v>151.03851456010119</v>
      </c>
      <c r="T254" s="2">
        <f t="shared" si="72"/>
        <v>0.75252423063176832</v>
      </c>
      <c r="U254" s="6">
        <f t="shared" si="73"/>
        <v>113.66014196510528</v>
      </c>
      <c r="V254">
        <f>IF((R254-$AB$774)/($Z$773-$AB$774)&lt;0, 0, IF((R254-$AB$774)/($Z$773-$AB$774)&gt;1, 1, (R254-$AB$774)/($Z$773-$AB$774)))</f>
        <v>0.4849723591019745</v>
      </c>
      <c r="W254" s="6">
        <f t="shared" si="74"/>
        <v>73.249504721470203</v>
      </c>
      <c r="Y254" s="78">
        <v>45049.78125</v>
      </c>
      <c r="Z254">
        <v>0.114808952347802</v>
      </c>
      <c r="AA254" s="6">
        <v>130.92322350000001</v>
      </c>
      <c r="AB254" s="2">
        <v>7811</v>
      </c>
      <c r="AC254" s="7">
        <f t="shared" si="75"/>
        <v>130.18333333333334</v>
      </c>
      <c r="AD254" s="7">
        <f t="shared" si="76"/>
        <v>14.946212113144691</v>
      </c>
      <c r="AE254" s="7">
        <f t="shared" si="77"/>
        <v>151.03851456010119</v>
      </c>
      <c r="AF254" s="7">
        <f t="shared" si="78"/>
        <v>1</v>
      </c>
      <c r="AG254" s="6">
        <f t="shared" si="79"/>
        <v>151.03851456010119</v>
      </c>
      <c r="AH254" s="2">
        <f t="shared" si="80"/>
        <v>1</v>
      </c>
      <c r="AI254" s="7">
        <f t="shared" si="81"/>
        <v>151.03851456010119</v>
      </c>
      <c r="AK254" s="78">
        <v>45032.333333333336</v>
      </c>
      <c r="AL254" s="5">
        <v>2.58416694679496E-2</v>
      </c>
      <c r="AM254" s="5">
        <v>57.147661589999998</v>
      </c>
      <c r="AN254" s="2">
        <v>39650</v>
      </c>
      <c r="AO254" s="7">
        <f t="shared" si="86"/>
        <v>660.83333333333337</v>
      </c>
      <c r="AP254" s="5">
        <f t="shared" si="82"/>
        <v>17.077036573403362</v>
      </c>
      <c r="AQ254" s="6">
        <f t="shared" si="83"/>
        <v>149.06167536021232</v>
      </c>
      <c r="AR254" s="2">
        <f t="shared" si="84"/>
        <v>1</v>
      </c>
      <c r="AS254" s="2">
        <f t="shared" si="85"/>
        <v>149.06167536021232</v>
      </c>
    </row>
    <row r="255" spans="13:45" x14ac:dyDescent="0.3">
      <c r="M255" s="78">
        <v>45033.34375</v>
      </c>
      <c r="N255" s="5">
        <v>2.79620721233148E-2</v>
      </c>
      <c r="O255" s="5">
        <v>44.034259820000003</v>
      </c>
      <c r="P255" s="2">
        <v>34615</v>
      </c>
      <c r="Q255" s="7">
        <f t="shared" si="69"/>
        <v>576.91666666666663</v>
      </c>
      <c r="R255" s="6">
        <f t="shared" si="70"/>
        <v>16.131785442475696</v>
      </c>
      <c r="S255" s="6">
        <f t="shared" si="71"/>
        <v>144.9625039992213</v>
      </c>
      <c r="T255" s="2">
        <f t="shared" si="72"/>
        <v>0</v>
      </c>
      <c r="U255" s="6">
        <f t="shared" si="73"/>
        <v>0</v>
      </c>
      <c r="V255">
        <f>IF((R255-$AB$774)/($Z$773-$AB$774)&lt;0, 0, IF((R255-$AB$774)/($Z$773-$AB$774)&gt;1, 1, (R255-$AB$774)/($Z$773-$AB$774)))</f>
        <v>0.22670388027530233</v>
      </c>
      <c r="W255" s="6">
        <f t="shared" si="74"/>
        <v>32.863562151047503</v>
      </c>
      <c r="Y255" s="78">
        <v>45049.791666666664</v>
      </c>
      <c r="Z255">
        <v>0.123896248757585</v>
      </c>
      <c r="AA255" s="6">
        <v>129.12778700000001</v>
      </c>
      <c r="AB255" s="2">
        <v>7426</v>
      </c>
      <c r="AC255" s="7">
        <f t="shared" si="75"/>
        <v>123.76666666666667</v>
      </c>
      <c r="AD255" s="7">
        <f t="shared" si="76"/>
        <v>15.334225721230435</v>
      </c>
      <c r="AE255" s="7">
        <f t="shared" si="77"/>
        <v>144.9625039992213</v>
      </c>
      <c r="AF255" s="7">
        <f t="shared" si="78"/>
        <v>1</v>
      </c>
      <c r="AG255" s="6">
        <f t="shared" si="79"/>
        <v>144.9625039992213</v>
      </c>
      <c r="AH255" s="2">
        <f t="shared" si="80"/>
        <v>1</v>
      </c>
      <c r="AI255" s="7">
        <f t="shared" si="81"/>
        <v>144.9625039992213</v>
      </c>
      <c r="AK255" s="78">
        <v>45032.34375</v>
      </c>
      <c r="AL255" s="5">
        <v>2.3175477954300201E-2</v>
      </c>
      <c r="AM255" s="5">
        <v>53.809964399999998</v>
      </c>
      <c r="AN255" s="2">
        <v>38875</v>
      </c>
      <c r="AO255" s="7">
        <f t="shared" si="86"/>
        <v>647.91666666666663</v>
      </c>
      <c r="AP255" s="5">
        <f t="shared" si="82"/>
        <v>15.015778424557004</v>
      </c>
      <c r="AQ255" s="6">
        <f t="shared" si="83"/>
        <v>139.96165698574359</v>
      </c>
      <c r="AR255" s="2">
        <f t="shared" si="84"/>
        <v>1</v>
      </c>
      <c r="AS255" s="2">
        <f t="shared" si="85"/>
        <v>139.96165698574359</v>
      </c>
    </row>
    <row r="256" spans="13:45" x14ac:dyDescent="0.3">
      <c r="M256" s="78">
        <v>45033.354166666664</v>
      </c>
      <c r="N256" s="5">
        <v>3.11333717567224E-2</v>
      </c>
      <c r="O256" s="5">
        <v>44.034259820000003</v>
      </c>
      <c r="P256" s="2">
        <v>34735</v>
      </c>
      <c r="Q256" s="7">
        <f t="shared" si="69"/>
        <v>578.91666666666663</v>
      </c>
      <c r="R256" s="6">
        <f t="shared" si="70"/>
        <v>18.023627799495873</v>
      </c>
      <c r="S256" s="6">
        <f t="shared" si="71"/>
        <v>153.05218113856498</v>
      </c>
      <c r="T256" s="2">
        <f t="shared" si="72"/>
        <v>0</v>
      </c>
      <c r="U256" s="6">
        <f t="shared" si="73"/>
        <v>0</v>
      </c>
      <c r="V256">
        <f>IF((R256-$AB$774)/($Z$773-$AB$774)&lt;0, 0, IF((R256-$AB$774)/($Z$773-$AB$774)&gt;1, 1, (R256-$AB$774)/($Z$773-$AB$774)))</f>
        <v>0.57300460297378564</v>
      </c>
      <c r="W256" s="6">
        <f t="shared" si="74"/>
        <v>87.69960428757534</v>
      </c>
      <c r="Y256" s="78">
        <v>45049.802083333336</v>
      </c>
      <c r="Z256">
        <v>0.13686665560375399</v>
      </c>
      <c r="AA256" s="6">
        <v>133.7707528</v>
      </c>
      <c r="AB256" s="2">
        <v>7309</v>
      </c>
      <c r="AC256" s="7">
        <f t="shared" si="75"/>
        <v>121.81666666666666</v>
      </c>
      <c r="AD256" s="7">
        <f t="shared" si="76"/>
        <v>16.672639763463966</v>
      </c>
      <c r="AE256" s="7">
        <f t="shared" si="77"/>
        <v>153.05218113856498</v>
      </c>
      <c r="AF256" s="7">
        <f t="shared" si="78"/>
        <v>1</v>
      </c>
      <c r="AG256" s="6">
        <f t="shared" si="79"/>
        <v>153.05218113856498</v>
      </c>
      <c r="AH256" s="2">
        <f t="shared" si="80"/>
        <v>1</v>
      </c>
      <c r="AI256" s="7">
        <f t="shared" si="81"/>
        <v>153.05218113856498</v>
      </c>
      <c r="AK256" s="78">
        <v>45032.354166666664</v>
      </c>
      <c r="AL256" s="5">
        <v>2.2460247272687299E-2</v>
      </c>
      <c r="AM256" s="5">
        <v>49.691464410000002</v>
      </c>
      <c r="AN256" s="2">
        <v>40451</v>
      </c>
      <c r="AO256" s="7">
        <f t="shared" si="86"/>
        <v>674.18333333333328</v>
      </c>
      <c r="AP256" s="5">
        <f t="shared" si="82"/>
        <v>15.142324373791231</v>
      </c>
      <c r="AQ256" s="6">
        <f t="shared" si="83"/>
        <v>140.53803666842256</v>
      </c>
      <c r="AR256" s="2">
        <f t="shared" si="84"/>
        <v>1</v>
      </c>
      <c r="AS256" s="2">
        <f t="shared" si="85"/>
        <v>140.53803666842256</v>
      </c>
    </row>
    <row r="257" spans="13:45" x14ac:dyDescent="0.3">
      <c r="M257" s="78">
        <v>45033.364583333336</v>
      </c>
      <c r="N257" s="5">
        <v>3.0287808188050401E-2</v>
      </c>
      <c r="O257" s="5">
        <v>48.290232170000003</v>
      </c>
      <c r="P257" s="2">
        <v>34063</v>
      </c>
      <c r="Q257" s="7">
        <f t="shared" si="69"/>
        <v>567.7166666666667</v>
      </c>
      <c r="R257" s="6">
        <f t="shared" si="70"/>
        <v>17.194893505159349</v>
      </c>
      <c r="S257" s="6">
        <f t="shared" si="71"/>
        <v>149.56456877080382</v>
      </c>
      <c r="T257" s="2">
        <f t="shared" si="72"/>
        <v>0.25014414861010376</v>
      </c>
      <c r="U257" s="6">
        <f t="shared" si="73"/>
        <v>37.41270171741003</v>
      </c>
      <c r="V257">
        <f>IF((R257-$AB$774)/($Z$773-$AB$774)&lt;0, 0, IF((R257-$AB$774)/($Z$773-$AB$774)&gt;1, 1, (R257-$AB$774)/($Z$773-$AB$774)))</f>
        <v>0.42130523754368027</v>
      </c>
      <c r="W257" s="6">
        <f t="shared" si="74"/>
        <v>63.012336174101605</v>
      </c>
      <c r="Y257" s="78">
        <v>45049.8125</v>
      </c>
      <c r="Z257">
        <v>0.118120804476795</v>
      </c>
      <c r="AA257" s="6">
        <v>131.64072830000001</v>
      </c>
      <c r="AB257" s="2">
        <v>7722</v>
      </c>
      <c r="AC257" s="7">
        <f t="shared" si="75"/>
        <v>128.69999999999999</v>
      </c>
      <c r="AD257" s="7">
        <f t="shared" si="76"/>
        <v>15.202147536163515</v>
      </c>
      <c r="AE257" s="7">
        <f t="shared" si="77"/>
        <v>149.56456877080382</v>
      </c>
      <c r="AF257" s="7">
        <f t="shared" si="78"/>
        <v>1</v>
      </c>
      <c r="AG257" s="6">
        <f t="shared" si="79"/>
        <v>149.56456877080382</v>
      </c>
      <c r="AH257" s="2">
        <f t="shared" si="80"/>
        <v>1</v>
      </c>
      <c r="AI257" s="7">
        <f t="shared" si="81"/>
        <v>149.56456877080382</v>
      </c>
      <c r="AK257" s="78">
        <v>45032.364583333336</v>
      </c>
      <c r="AL257" s="5">
        <v>2.22363754449873E-2</v>
      </c>
      <c r="AM257" s="5">
        <v>50.393595470000001</v>
      </c>
      <c r="AN257" s="2">
        <v>39351</v>
      </c>
      <c r="AO257" s="7">
        <f t="shared" si="86"/>
        <v>655.85</v>
      </c>
      <c r="AP257" s="5">
        <f t="shared" si="82"/>
        <v>14.583726835594922</v>
      </c>
      <c r="AQ257" s="6">
        <f t="shared" si="83"/>
        <v>137.97487441750067</v>
      </c>
      <c r="AR257" s="2">
        <f t="shared" si="84"/>
        <v>1</v>
      </c>
      <c r="AS257" s="2">
        <f t="shared" si="85"/>
        <v>137.97487441750067</v>
      </c>
    </row>
    <row r="258" spans="13:45" x14ac:dyDescent="0.3">
      <c r="M258" s="78">
        <v>45033.375</v>
      </c>
      <c r="N258" s="5">
        <v>3.1351112935509802E-2</v>
      </c>
      <c r="O258" s="5">
        <v>50.381720729999998</v>
      </c>
      <c r="P258" s="2">
        <v>34393</v>
      </c>
      <c r="Q258" s="7">
        <f t="shared" si="69"/>
        <v>573.2166666666667</v>
      </c>
      <c r="R258" s="6">
        <f t="shared" si="70"/>
        <v>17.970980453183145</v>
      </c>
      <c r="S258" s="6">
        <f t="shared" si="71"/>
        <v>152.83308842369095</v>
      </c>
      <c r="T258" s="2">
        <f t="shared" si="72"/>
        <v>1</v>
      </c>
      <c r="U258" s="6">
        <f t="shared" si="73"/>
        <v>152.83308842369095</v>
      </c>
      <c r="V258">
        <f>IF((R258-$AB$774)/($Z$773-$AB$774)&lt;0, 0, IF((R258-$AB$774)/($Z$773-$AB$774)&gt;1, 1, (R258-$AB$774)/($Z$773-$AB$774)))</f>
        <v>0.56336753463740907</v>
      </c>
      <c r="W258" s="6">
        <f t="shared" si="74"/>
        <v>86.101200236275915</v>
      </c>
      <c r="Y258" s="78">
        <v>45049.822916666664</v>
      </c>
      <c r="Z258">
        <v>0.119251797277837</v>
      </c>
      <c r="AA258" s="6">
        <v>126.9470365</v>
      </c>
      <c r="AB258" s="2">
        <v>7754</v>
      </c>
      <c r="AC258" s="7">
        <f t="shared" si="75"/>
        <v>129.23333333333332</v>
      </c>
      <c r="AD258" s="7">
        <f t="shared" si="76"/>
        <v>15.4113072682058</v>
      </c>
      <c r="AE258" s="7">
        <f t="shared" si="77"/>
        <v>152.83308842369095</v>
      </c>
      <c r="AF258" s="7">
        <f t="shared" si="78"/>
        <v>1</v>
      </c>
      <c r="AG258" s="6">
        <f t="shared" si="79"/>
        <v>152.83308842369095</v>
      </c>
      <c r="AH258" s="2">
        <f t="shared" si="80"/>
        <v>1</v>
      </c>
      <c r="AI258" s="7">
        <f t="shared" si="81"/>
        <v>152.83308842369095</v>
      </c>
      <c r="AK258" s="78">
        <v>45032.375</v>
      </c>
      <c r="AL258" s="5">
        <v>2.1317893405521302E-2</v>
      </c>
      <c r="AM258" s="5">
        <v>51.763919430000001</v>
      </c>
      <c r="AN258" s="2">
        <v>39720</v>
      </c>
      <c r="AO258" s="7">
        <f t="shared" si="86"/>
        <v>662</v>
      </c>
      <c r="AP258" s="5">
        <f t="shared" si="82"/>
        <v>14.112445434455102</v>
      </c>
      <c r="AQ258" s="6">
        <f t="shared" si="83"/>
        <v>135.77312910670634</v>
      </c>
      <c r="AR258" s="2">
        <f t="shared" si="84"/>
        <v>1</v>
      </c>
      <c r="AS258" s="2">
        <f t="shared" si="85"/>
        <v>135.77312910670634</v>
      </c>
    </row>
    <row r="259" spans="13:45" x14ac:dyDescent="0.3">
      <c r="M259" s="78">
        <v>45033.385416666664</v>
      </c>
      <c r="N259" s="5">
        <v>2.83720457067561E-2</v>
      </c>
      <c r="O259" s="5">
        <v>40.310795710000001</v>
      </c>
      <c r="P259" s="2">
        <v>34579</v>
      </c>
      <c r="Q259" s="7">
        <f t="shared" si="69"/>
        <v>576.31666666666672</v>
      </c>
      <c r="R259" s="6">
        <f t="shared" si="70"/>
        <v>16.351282808231989</v>
      </c>
      <c r="S259" s="6">
        <f t="shared" si="71"/>
        <v>145.92507455627063</v>
      </c>
      <c r="T259" s="2">
        <f t="shared" si="72"/>
        <v>0</v>
      </c>
      <c r="U259" s="6">
        <f t="shared" si="73"/>
        <v>0</v>
      </c>
      <c r="V259">
        <f>IF((R259-$AB$774)/($Z$773-$AB$774)&lt;0, 0, IF((R259-$AB$774)/($Z$773-$AB$774)&gt;1, 1, (R259-$AB$774)/($Z$773-$AB$774)))</f>
        <v>0.266882754645968</v>
      </c>
      <c r="W259" s="6">
        <f t="shared" si="74"/>
        <v>38.944885869495764</v>
      </c>
      <c r="Y259" s="78">
        <v>45049.833333333336</v>
      </c>
      <c r="Z259">
        <v>0.115329129033186</v>
      </c>
      <c r="AA259" s="6">
        <v>126.9470365</v>
      </c>
      <c r="AB259" s="2">
        <v>7880</v>
      </c>
      <c r="AC259" s="7">
        <f t="shared" si="75"/>
        <v>131.33333333333334</v>
      </c>
      <c r="AD259" s="7">
        <f t="shared" si="76"/>
        <v>15.146558946358429</v>
      </c>
      <c r="AE259" s="7">
        <f t="shared" si="77"/>
        <v>145.92507455627063</v>
      </c>
      <c r="AF259" s="7">
        <f t="shared" si="78"/>
        <v>1</v>
      </c>
      <c r="AG259" s="6">
        <f t="shared" si="79"/>
        <v>145.92507455627063</v>
      </c>
      <c r="AH259" s="2">
        <f t="shared" si="80"/>
        <v>1</v>
      </c>
      <c r="AI259" s="7">
        <f t="shared" si="81"/>
        <v>145.92507455627063</v>
      </c>
      <c r="AK259" s="78">
        <v>45032.385416666664</v>
      </c>
      <c r="AL259" s="5">
        <v>2.1650377633546599E-2</v>
      </c>
      <c r="AM259" s="5">
        <v>48.290232170000003</v>
      </c>
      <c r="AN259" s="2">
        <v>38908</v>
      </c>
      <c r="AO259" s="7">
        <f t="shared" si="86"/>
        <v>648.4666666666667</v>
      </c>
      <c r="AP259" s="5">
        <f t="shared" si="82"/>
        <v>14.039548216100519</v>
      </c>
      <c r="AQ259" s="6">
        <f t="shared" si="83"/>
        <v>135.42923390842381</v>
      </c>
      <c r="AR259" s="2">
        <f t="shared" si="84"/>
        <v>1</v>
      </c>
      <c r="AS259" s="2">
        <f t="shared" si="85"/>
        <v>135.42923390842381</v>
      </c>
    </row>
    <row r="260" spans="13:45" x14ac:dyDescent="0.3">
      <c r="M260" s="78">
        <v>45033.395833333336</v>
      </c>
      <c r="N260" s="5">
        <v>3.16619891353579E-2</v>
      </c>
      <c r="O260" s="5">
        <v>44.745284959999999</v>
      </c>
      <c r="P260" s="2">
        <v>33775</v>
      </c>
      <c r="Q260" s="7">
        <f t="shared" ref="Q260:Q323" si="87">P260/60</f>
        <v>562.91666666666663</v>
      </c>
      <c r="R260" s="6">
        <f t="shared" ref="R260:R323" si="88">N260*Q260</f>
        <v>17.823061384111885</v>
      </c>
      <c r="S260" s="6">
        <f t="shared" ref="S260:S323" si="89">37.141*R260^0.4897</f>
        <v>152.21576209505662</v>
      </c>
      <c r="T260" s="2">
        <f t="shared" ref="T260:T323" si="90">IF((O260-$R$1)/($P$1-$R$1)&lt;0, 0, IF((O260-$R$1)/($P$1-$R$1)&gt;1, 1, (O260-$R$1)/($P$1-$R$1)))</f>
        <v>0</v>
      </c>
      <c r="U260" s="6">
        <f t="shared" ref="U260:U323" si="91">S260*T260</f>
        <v>0</v>
      </c>
      <c r="V260">
        <f>IF((R260-$AB$774)/($Z$773-$AB$774)&lt;0, 0, IF((R260-$AB$774)/($Z$773-$AB$774)&gt;1, 1, (R260-$AB$774)/($Z$773-$AB$774)))</f>
        <v>0.53629102885447077</v>
      </c>
      <c r="W260" s="6">
        <f t="shared" ref="W260:W323" si="92">S260*V260</f>
        <v>81.631947661825265</v>
      </c>
      <c r="Y260" s="78">
        <v>45049.84375</v>
      </c>
      <c r="Z260">
        <v>0.12094300587033199</v>
      </c>
      <c r="AA260" s="6">
        <v>119.87671349999999</v>
      </c>
      <c r="AB260" s="2">
        <v>8236</v>
      </c>
      <c r="AC260" s="7">
        <f t="shared" ref="AC260:AC323" si="93">AB260/60</f>
        <v>137.26666666666668</v>
      </c>
      <c r="AD260" s="7">
        <f t="shared" ref="AD260:AD323" si="94">AC260*Z260</f>
        <v>16.601443272467574</v>
      </c>
      <c r="AE260" s="7">
        <f t="shared" ref="AE260:AE323" si="95">37.141*R260^0.4897</f>
        <v>152.21576209505662</v>
      </c>
      <c r="AF260" s="7">
        <f t="shared" ref="AF260:AF323" si="96">IF((AA260-$AD$1)/($AB$1-$AD$1)&lt;0, 0, IF((AA260-$AD$1)/($AB$1-$AD$1)&gt;1, 1, (AA260-$AD$1)/($AB$1-$AD$1)))</f>
        <v>1</v>
      </c>
      <c r="AG260" s="6">
        <f t="shared" ref="AG260:AG323" si="97">AE260*AF260</f>
        <v>152.21576209505662</v>
      </c>
      <c r="AH260" s="2">
        <f t="shared" ref="AH260:AH323" si="98">IF((AD260-$AI$444)/($AG$444-$AI$444)&lt;0, 0, IF((AD260-$AI$444)/($AG$444-$AI$444)&gt;1, 1, (AD260-$AI$444)/($AG$444-$AI$444)))</f>
        <v>1</v>
      </c>
      <c r="AI260" s="7">
        <f t="shared" ref="AI260:AI323" si="99">AE260*AH260</f>
        <v>152.21576209505662</v>
      </c>
      <c r="AK260" s="78">
        <v>45032.395833333336</v>
      </c>
      <c r="AL260" s="5">
        <v>3.0270396767460701E-2</v>
      </c>
      <c r="AM260" s="5">
        <v>53.809964399999998</v>
      </c>
      <c r="AN260" s="2">
        <v>38878</v>
      </c>
      <c r="AO260" s="7">
        <f t="shared" si="86"/>
        <v>647.9666666666667</v>
      </c>
      <c r="AP260" s="5">
        <f t="shared" ref="AP260:AP323" si="100">AO260*AL260</f>
        <v>19.614208092088951</v>
      </c>
      <c r="AQ260" s="6">
        <f t="shared" ref="AQ260:AQ323" si="101">37.141*AP260^0.4897</f>
        <v>159.52380608277446</v>
      </c>
      <c r="AR260" s="2">
        <f t="shared" ref="AR260:AR323" si="102">IF((AM260-$AP$1)/($AN$1-$AP$1)&lt;0, 0, IF((AA260-$AP$1)/($AN$1-$AP$1)&gt;1, 1, (AA260-$AP$1)/($AN$1-$AP$1)))</f>
        <v>1</v>
      </c>
      <c r="AS260" s="2">
        <f t="shared" ref="AS260:AS323" si="103">AQ260*AR260</f>
        <v>159.52380608277446</v>
      </c>
    </row>
    <row r="261" spans="13:45" x14ac:dyDescent="0.3">
      <c r="M261" s="78">
        <v>45033.40625</v>
      </c>
      <c r="N261" s="5">
        <v>2.7467298536428101E-2</v>
      </c>
      <c r="O261" s="5">
        <v>36.602484089999997</v>
      </c>
      <c r="P261" s="2">
        <v>35118</v>
      </c>
      <c r="Q261" s="7">
        <f t="shared" si="87"/>
        <v>585.29999999999995</v>
      </c>
      <c r="R261" s="6">
        <f t="shared" si="88"/>
        <v>16.076609833371368</v>
      </c>
      <c r="S261" s="6">
        <f t="shared" si="89"/>
        <v>144.71949073552858</v>
      </c>
      <c r="T261" s="2">
        <f t="shared" si="90"/>
        <v>0</v>
      </c>
      <c r="U261" s="6">
        <f t="shared" si="91"/>
        <v>0</v>
      </c>
      <c r="V261">
        <f>IF((R261-$AB$774)/($Z$773-$AB$774)&lt;0, 0, IF((R261-$AB$774)/($Z$773-$AB$774)&gt;1, 1, (R261-$AB$774)/($Z$773-$AB$774)))</f>
        <v>0.21660401479906169</v>
      </c>
      <c r="W261" s="6">
        <f t="shared" si="92"/>
        <v>31.346822712991102</v>
      </c>
      <c r="Y261" s="78">
        <v>45049.854166666664</v>
      </c>
      <c r="Z261">
        <v>0.112990920693855</v>
      </c>
      <c r="AA261" s="6">
        <v>132.70838019999999</v>
      </c>
      <c r="AB261" s="2">
        <v>8200</v>
      </c>
      <c r="AC261" s="7">
        <f t="shared" si="93"/>
        <v>136.66666666666666</v>
      </c>
      <c r="AD261" s="7">
        <f t="shared" si="94"/>
        <v>15.442092494826849</v>
      </c>
      <c r="AE261" s="7">
        <f t="shared" si="95"/>
        <v>144.71949073552858</v>
      </c>
      <c r="AF261" s="7">
        <f t="shared" si="96"/>
        <v>1</v>
      </c>
      <c r="AG261" s="6">
        <f t="shared" si="97"/>
        <v>144.71949073552858</v>
      </c>
      <c r="AH261" s="2">
        <f t="shared" si="98"/>
        <v>1</v>
      </c>
      <c r="AI261" s="7">
        <f t="shared" si="99"/>
        <v>144.71949073552858</v>
      </c>
      <c r="AK261" s="78">
        <v>45032.40625</v>
      </c>
      <c r="AL261" s="5">
        <v>2.01986373642551E-2</v>
      </c>
      <c r="AM261" s="5">
        <v>52.445143710000004</v>
      </c>
      <c r="AN261" s="2">
        <v>39442</v>
      </c>
      <c r="AO261" s="7">
        <f t="shared" si="86"/>
        <v>657.36666666666667</v>
      </c>
      <c r="AP261" s="5">
        <f t="shared" si="100"/>
        <v>13.27791091534916</v>
      </c>
      <c r="AQ261" s="6">
        <f t="shared" si="101"/>
        <v>131.78022099637857</v>
      </c>
      <c r="AR261" s="2">
        <f t="shared" si="102"/>
        <v>1</v>
      </c>
      <c r="AS261" s="2">
        <f t="shared" si="103"/>
        <v>131.78022099637857</v>
      </c>
    </row>
    <row r="262" spans="13:45" x14ac:dyDescent="0.3">
      <c r="M262" s="78">
        <v>45033.416666666664</v>
      </c>
      <c r="N262" s="5">
        <v>3.9571111645331301E-2</v>
      </c>
      <c r="O262" s="5">
        <v>40.323477179999998</v>
      </c>
      <c r="P262" s="2">
        <v>35238</v>
      </c>
      <c r="Q262" s="7">
        <f t="shared" si="87"/>
        <v>587.29999999999995</v>
      </c>
      <c r="R262" s="6">
        <f t="shared" si="88"/>
        <v>23.240113869303073</v>
      </c>
      <c r="S262" s="6">
        <f t="shared" si="89"/>
        <v>173.34066746071912</v>
      </c>
      <c r="T262" s="2">
        <f t="shared" si="90"/>
        <v>0</v>
      </c>
      <c r="U262" s="6">
        <f t="shared" si="91"/>
        <v>0</v>
      </c>
      <c r="V262">
        <f>IF((R262-$AB$774)/($Z$773-$AB$774)&lt;0, 0, IF((R262-$AB$774)/($Z$773-$AB$774)&gt;1, 1, (R262-$AB$774)/($Z$773-$AB$774)))</f>
        <v>1</v>
      </c>
      <c r="W262" s="6">
        <f t="shared" si="92"/>
        <v>173.34066746071912</v>
      </c>
      <c r="Y262" s="78">
        <v>45049.864583333336</v>
      </c>
      <c r="Z262">
        <v>0.11112230408431401</v>
      </c>
      <c r="AA262" s="6">
        <v>133.7707528</v>
      </c>
      <c r="AB262" s="2">
        <v>8102</v>
      </c>
      <c r="AC262" s="7">
        <f t="shared" si="93"/>
        <v>135.03333333333333</v>
      </c>
      <c r="AD262" s="7">
        <f t="shared" si="94"/>
        <v>15.005215128185201</v>
      </c>
      <c r="AE262" s="7">
        <f t="shared" si="95"/>
        <v>173.34066746071912</v>
      </c>
      <c r="AF262" s="7">
        <f t="shared" si="96"/>
        <v>1</v>
      </c>
      <c r="AG262" s="6">
        <f t="shared" si="97"/>
        <v>173.34066746071912</v>
      </c>
      <c r="AH262" s="2">
        <f t="shared" si="98"/>
        <v>1</v>
      </c>
      <c r="AI262" s="7">
        <f t="shared" si="99"/>
        <v>173.34066746071912</v>
      </c>
      <c r="AK262" s="78">
        <v>45032.416666666664</v>
      </c>
      <c r="AL262" s="5">
        <v>2.1264430737880299E-2</v>
      </c>
      <c r="AM262" s="5">
        <v>46.174310370000001</v>
      </c>
      <c r="AN262" s="2">
        <v>39364</v>
      </c>
      <c r="AO262" s="7">
        <f t="shared" si="86"/>
        <v>656.06666666666672</v>
      </c>
      <c r="AP262" s="5">
        <f t="shared" si="100"/>
        <v>13.950884192765336</v>
      </c>
      <c r="AQ262" s="6">
        <f t="shared" si="101"/>
        <v>135.0097277942005</v>
      </c>
      <c r="AR262" s="2">
        <f t="shared" si="102"/>
        <v>1</v>
      </c>
      <c r="AS262" s="2">
        <f t="shared" si="103"/>
        <v>135.0097277942005</v>
      </c>
    </row>
    <row r="263" spans="13:45" x14ac:dyDescent="0.3">
      <c r="M263" s="78">
        <v>45033.427083333336</v>
      </c>
      <c r="N263" s="5">
        <v>2.9384195256931998E-2</v>
      </c>
      <c r="O263" s="5">
        <v>38.096996799999999</v>
      </c>
      <c r="P263" s="2">
        <v>35131</v>
      </c>
      <c r="Q263" s="7">
        <f t="shared" si="87"/>
        <v>585.51666666666665</v>
      </c>
      <c r="R263" s="6">
        <f t="shared" si="88"/>
        <v>17.204936059521302</v>
      </c>
      <c r="S263" s="6">
        <f t="shared" si="89"/>
        <v>149.60733872885947</v>
      </c>
      <c r="T263" s="2">
        <f t="shared" si="90"/>
        <v>0</v>
      </c>
      <c r="U263" s="6">
        <f t="shared" si="91"/>
        <v>0</v>
      </c>
      <c r="V263">
        <f>IF((R263-$AB$774)/($Z$773-$AB$774)&lt;0, 0, IF((R263-$AB$774)/($Z$773-$AB$774)&gt;1, 1, (R263-$AB$774)/($Z$773-$AB$774)))</f>
        <v>0.42314352170111957</v>
      </c>
      <c r="W263" s="6">
        <f t="shared" si="92"/>
        <v>63.305376182061899</v>
      </c>
      <c r="Y263" s="78">
        <v>45049.875</v>
      </c>
      <c r="Z263">
        <v>0.13404061812728499</v>
      </c>
      <c r="AA263" s="6">
        <v>135.52973059999999</v>
      </c>
      <c r="AB263" s="2">
        <v>8463</v>
      </c>
      <c r="AC263" s="7">
        <f t="shared" si="93"/>
        <v>141.05000000000001</v>
      </c>
      <c r="AD263" s="7">
        <f t="shared" si="94"/>
        <v>18.906429186853551</v>
      </c>
      <c r="AE263" s="7">
        <f t="shared" si="95"/>
        <v>149.60733872885947</v>
      </c>
      <c r="AF263" s="7">
        <f t="shared" si="96"/>
        <v>1</v>
      </c>
      <c r="AG263" s="6">
        <f t="shared" si="97"/>
        <v>149.60733872885947</v>
      </c>
      <c r="AH263" s="2">
        <f t="shared" si="98"/>
        <v>1</v>
      </c>
      <c r="AI263" s="7">
        <f t="shared" si="99"/>
        <v>149.60733872885947</v>
      </c>
      <c r="AK263" s="78">
        <v>45032.427083333336</v>
      </c>
      <c r="AL263" s="5">
        <v>2.3385628863429202E-2</v>
      </c>
      <c r="AM263" s="5">
        <v>44.034259820000003</v>
      </c>
      <c r="AN263" s="2">
        <v>39641</v>
      </c>
      <c r="AO263" s="7">
        <f t="shared" si="86"/>
        <v>660.68333333333328</v>
      </c>
      <c r="AP263" s="5">
        <f t="shared" si="100"/>
        <v>15.450495229586615</v>
      </c>
      <c r="AQ263" s="6">
        <f t="shared" si="101"/>
        <v>141.93146582928333</v>
      </c>
      <c r="AR263" s="2">
        <f t="shared" si="102"/>
        <v>0</v>
      </c>
      <c r="AS263" s="2">
        <f t="shared" si="103"/>
        <v>0</v>
      </c>
    </row>
    <row r="264" spans="13:45" x14ac:dyDescent="0.3">
      <c r="M264" s="78">
        <v>45033.4375</v>
      </c>
      <c r="N264" s="5">
        <v>3.16100386015103E-2</v>
      </c>
      <c r="O264" s="5">
        <v>40.310795710000001</v>
      </c>
      <c r="P264" s="2">
        <v>34427</v>
      </c>
      <c r="Q264" s="7">
        <f t="shared" si="87"/>
        <v>573.7833333333333</v>
      </c>
      <c r="R264" s="6">
        <f t="shared" si="88"/>
        <v>18.137313315569916</v>
      </c>
      <c r="S264" s="6">
        <f t="shared" si="89"/>
        <v>153.52417381594145</v>
      </c>
      <c r="T264" s="2">
        <f t="shared" si="90"/>
        <v>0</v>
      </c>
      <c r="U264" s="6">
        <f t="shared" si="91"/>
        <v>0</v>
      </c>
      <c r="V264">
        <f>IF((R264-$AB$774)/($Z$773-$AB$774)&lt;0, 0, IF((R264-$AB$774)/($Z$773-$AB$774)&gt;1, 1, (R264-$AB$774)/($Z$773-$AB$774)))</f>
        <v>0.59381467535148691</v>
      </c>
      <c r="W264" s="6">
        <f t="shared" si="92"/>
        <v>91.164907433118515</v>
      </c>
      <c r="Y264" s="78">
        <v>45049.885416666664</v>
      </c>
      <c r="Z264">
        <v>0.12314697069593</v>
      </c>
      <c r="AA264" s="6">
        <v>129.12778700000001</v>
      </c>
      <c r="AB264" s="2">
        <v>7903</v>
      </c>
      <c r="AC264" s="7">
        <f t="shared" si="93"/>
        <v>131.71666666666667</v>
      </c>
      <c r="AD264" s="7">
        <f t="shared" si="94"/>
        <v>16.220508490165582</v>
      </c>
      <c r="AE264" s="7">
        <f t="shared" si="95"/>
        <v>153.52417381594145</v>
      </c>
      <c r="AF264" s="7">
        <f t="shared" si="96"/>
        <v>1</v>
      </c>
      <c r="AG264" s="6">
        <f t="shared" si="97"/>
        <v>153.52417381594145</v>
      </c>
      <c r="AH264" s="2">
        <f t="shared" si="98"/>
        <v>1</v>
      </c>
      <c r="AI264" s="7">
        <f t="shared" si="99"/>
        <v>153.52417381594145</v>
      </c>
      <c r="AK264" s="78">
        <v>45032.4375</v>
      </c>
      <c r="AL264" s="5">
        <v>2.15042221200995E-2</v>
      </c>
      <c r="AM264" s="5">
        <v>44.034259820000003</v>
      </c>
      <c r="AN264" s="2">
        <v>39439</v>
      </c>
      <c r="AO264" s="7">
        <f t="shared" si="86"/>
        <v>657.31666666666672</v>
      </c>
      <c r="AP264" s="5">
        <f t="shared" si="100"/>
        <v>14.135083603243404</v>
      </c>
      <c r="AQ264" s="6">
        <f t="shared" si="101"/>
        <v>135.87974091319353</v>
      </c>
      <c r="AR264" s="2">
        <f t="shared" si="102"/>
        <v>0</v>
      </c>
      <c r="AS264" s="2">
        <f t="shared" si="103"/>
        <v>0</v>
      </c>
    </row>
    <row r="265" spans="13:45" x14ac:dyDescent="0.3">
      <c r="M265" s="78">
        <v>45033.447916666664</v>
      </c>
      <c r="N265" s="5">
        <v>2.93685902050278E-2</v>
      </c>
      <c r="O265" s="5">
        <v>40.323477179999998</v>
      </c>
      <c r="P265" s="2">
        <v>34244</v>
      </c>
      <c r="Q265" s="7">
        <f t="shared" si="87"/>
        <v>570.73333333333335</v>
      </c>
      <c r="R265" s="6">
        <f t="shared" si="88"/>
        <v>16.7616333830162</v>
      </c>
      <c r="S265" s="6">
        <f t="shared" si="89"/>
        <v>147.7070767270618</v>
      </c>
      <c r="T265" s="2">
        <f t="shared" si="90"/>
        <v>0</v>
      </c>
      <c r="U265" s="6">
        <f t="shared" si="91"/>
        <v>0</v>
      </c>
      <c r="V265">
        <f>IF((R265-$AB$774)/($Z$773-$AB$774)&lt;0, 0, IF((R265-$AB$774)/($Z$773-$AB$774)&gt;1, 1, (R265-$AB$774)/($Z$773-$AB$774)))</f>
        <v>0.34199720595328403</v>
      </c>
      <c r="W265" s="6">
        <f t="shared" si="92"/>
        <v>50.51540754018248</v>
      </c>
      <c r="Y265" s="78">
        <v>45049.895833333336</v>
      </c>
      <c r="Z265">
        <v>0.112984239402302</v>
      </c>
      <c r="AA265" s="6">
        <v>119.87671349999999</v>
      </c>
      <c r="AB265" s="2">
        <v>8216</v>
      </c>
      <c r="AC265" s="7">
        <f t="shared" si="93"/>
        <v>136.93333333333334</v>
      </c>
      <c r="AD265" s="7">
        <f t="shared" si="94"/>
        <v>15.471308515488554</v>
      </c>
      <c r="AE265" s="7">
        <f t="shared" si="95"/>
        <v>147.7070767270618</v>
      </c>
      <c r="AF265" s="7">
        <f t="shared" si="96"/>
        <v>1</v>
      </c>
      <c r="AG265" s="6">
        <f t="shared" si="97"/>
        <v>147.7070767270618</v>
      </c>
      <c r="AH265" s="2">
        <f t="shared" si="98"/>
        <v>1</v>
      </c>
      <c r="AI265" s="7">
        <f t="shared" si="99"/>
        <v>147.7070767270618</v>
      </c>
      <c r="AK265" s="78">
        <v>45032.447916666664</v>
      </c>
      <c r="AL265" s="5">
        <v>2.2726757814064299E-2</v>
      </c>
      <c r="AM265" s="5">
        <v>46.174310370000001</v>
      </c>
      <c r="AN265" s="2">
        <v>38899</v>
      </c>
      <c r="AO265" s="7">
        <f t="shared" si="86"/>
        <v>648.31666666666672</v>
      </c>
      <c r="AP265" s="5">
        <f t="shared" si="100"/>
        <v>14.734135870154788</v>
      </c>
      <c r="AQ265" s="6">
        <f t="shared" si="101"/>
        <v>138.66989406093427</v>
      </c>
      <c r="AR265" s="2">
        <f t="shared" si="102"/>
        <v>1</v>
      </c>
      <c r="AS265" s="2">
        <f t="shared" si="103"/>
        <v>138.66989406093427</v>
      </c>
    </row>
    <row r="266" spans="13:45" x14ac:dyDescent="0.3">
      <c r="M266" s="78">
        <v>45033.458333333336</v>
      </c>
      <c r="N266" s="5">
        <v>3.2486735440361597E-2</v>
      </c>
      <c r="O266" s="5">
        <v>40.323477179999998</v>
      </c>
      <c r="P266" s="2">
        <v>34770</v>
      </c>
      <c r="Q266" s="7">
        <f t="shared" si="87"/>
        <v>579.5</v>
      </c>
      <c r="R266" s="6">
        <f t="shared" si="88"/>
        <v>18.826063187689545</v>
      </c>
      <c r="S266" s="6">
        <f t="shared" si="89"/>
        <v>156.35195851469601</v>
      </c>
      <c r="T266" s="2">
        <f t="shared" si="90"/>
        <v>0</v>
      </c>
      <c r="U266" s="6">
        <f t="shared" si="91"/>
        <v>0</v>
      </c>
      <c r="V266">
        <f>IF((R266-$AB$774)/($Z$773-$AB$774)&lt;0, 0, IF((R266-$AB$774)/($Z$773-$AB$774)&gt;1, 1, (R266-$AB$774)/($Z$773-$AB$774)))</f>
        <v>0.71988996782416292</v>
      </c>
      <c r="W266" s="6">
        <f t="shared" si="92"/>
        <v>112.55620638438937</v>
      </c>
      <c r="Y266" s="78">
        <v>45049.90625</v>
      </c>
      <c r="Z266">
        <v>0.13654690851342</v>
      </c>
      <c r="AA266" s="6">
        <v>130.567172</v>
      </c>
      <c r="AB266" s="2">
        <v>7793</v>
      </c>
      <c r="AC266" s="7">
        <f t="shared" si="93"/>
        <v>129.88333333333333</v>
      </c>
      <c r="AD266" s="7">
        <f t="shared" si="94"/>
        <v>17.7351676340847</v>
      </c>
      <c r="AE266" s="7">
        <f t="shared" si="95"/>
        <v>156.35195851469601</v>
      </c>
      <c r="AF266" s="7">
        <f t="shared" si="96"/>
        <v>1</v>
      </c>
      <c r="AG266" s="6">
        <f t="shared" si="97"/>
        <v>156.35195851469601</v>
      </c>
      <c r="AH266" s="2">
        <f t="shared" si="98"/>
        <v>1</v>
      </c>
      <c r="AI266" s="7">
        <f t="shared" si="99"/>
        <v>156.35195851469601</v>
      </c>
      <c r="AK266" s="78">
        <v>45032.458333333336</v>
      </c>
      <c r="AL266" s="5">
        <v>2.2552019502189002E-2</v>
      </c>
      <c r="AM266" s="5">
        <v>48.290232170000003</v>
      </c>
      <c r="AN266" s="2">
        <v>38776</v>
      </c>
      <c r="AO266" s="7">
        <f t="shared" si="86"/>
        <v>646.26666666666665</v>
      </c>
      <c r="AP266" s="5">
        <f t="shared" si="100"/>
        <v>14.574618470281345</v>
      </c>
      <c r="AQ266" s="6">
        <f t="shared" si="101"/>
        <v>137.93266870320815</v>
      </c>
      <c r="AR266" s="2">
        <f t="shared" si="102"/>
        <v>1</v>
      </c>
      <c r="AS266" s="2">
        <f t="shared" si="103"/>
        <v>137.93266870320815</v>
      </c>
    </row>
    <row r="267" spans="13:45" x14ac:dyDescent="0.3">
      <c r="M267" s="78">
        <v>45033.46875</v>
      </c>
      <c r="N267" s="5">
        <v>3.1308781121669703E-2</v>
      </c>
      <c r="O267" s="5">
        <v>38.096996799999999</v>
      </c>
      <c r="P267" s="2">
        <v>34738</v>
      </c>
      <c r="Q267" s="7">
        <f t="shared" si="87"/>
        <v>578.9666666666667</v>
      </c>
      <c r="R267" s="6">
        <f t="shared" si="88"/>
        <v>18.12674064340937</v>
      </c>
      <c r="S267" s="6">
        <f t="shared" si="89"/>
        <v>153.4803426229474</v>
      </c>
      <c r="T267" s="2">
        <f t="shared" si="90"/>
        <v>0</v>
      </c>
      <c r="U267" s="6">
        <f t="shared" si="91"/>
        <v>0</v>
      </c>
      <c r="V267">
        <f>IF((R267-$AB$774)/($Z$773-$AB$774)&lt;0, 0, IF((R267-$AB$774)/($Z$773-$AB$774)&gt;1, 1, (R267-$AB$774)/($Z$773-$AB$774)))</f>
        <v>0.59187935341704312</v>
      </c>
      <c r="W267" s="6">
        <f t="shared" si="92"/>
        <v>90.841845953896353</v>
      </c>
      <c r="Y267" s="78">
        <v>45049.916666666664</v>
      </c>
      <c r="Z267">
        <v>0.122822708584262</v>
      </c>
      <c r="AA267" s="6">
        <v>122.1341827</v>
      </c>
      <c r="AB267" s="2">
        <v>8033</v>
      </c>
      <c r="AC267" s="7">
        <f t="shared" si="93"/>
        <v>133.88333333333333</v>
      </c>
      <c r="AD267" s="7">
        <f t="shared" si="94"/>
        <v>16.443913634289611</v>
      </c>
      <c r="AE267" s="7">
        <f t="shared" si="95"/>
        <v>153.4803426229474</v>
      </c>
      <c r="AF267" s="7">
        <f t="shared" si="96"/>
        <v>1</v>
      </c>
      <c r="AG267" s="6">
        <f t="shared" si="97"/>
        <v>153.4803426229474</v>
      </c>
      <c r="AH267" s="2">
        <f t="shared" si="98"/>
        <v>1</v>
      </c>
      <c r="AI267" s="7">
        <f t="shared" si="99"/>
        <v>153.4803426229474</v>
      </c>
      <c r="AK267" s="78">
        <v>45032.46875</v>
      </c>
      <c r="AL267" s="5">
        <v>2.2975690869926301E-2</v>
      </c>
      <c r="AM267" s="5">
        <v>42.550901439999997</v>
      </c>
      <c r="AN267" s="2">
        <v>38600</v>
      </c>
      <c r="AO267" s="7">
        <f t="shared" si="86"/>
        <v>643.33333333333337</v>
      </c>
      <c r="AP267" s="5">
        <f t="shared" si="100"/>
        <v>14.78102779298592</v>
      </c>
      <c r="AQ267" s="6">
        <f t="shared" si="101"/>
        <v>138.88583422277094</v>
      </c>
      <c r="AR267" s="2">
        <f t="shared" si="102"/>
        <v>0</v>
      </c>
      <c r="AS267" s="2">
        <f t="shared" si="103"/>
        <v>0</v>
      </c>
    </row>
    <row r="268" spans="13:45" x14ac:dyDescent="0.3">
      <c r="M268" s="78">
        <v>45033.479166666664</v>
      </c>
      <c r="N268" s="5">
        <v>3.0597820105832799E-2</v>
      </c>
      <c r="O268" s="5">
        <v>42.550901439999997</v>
      </c>
      <c r="P268" s="2">
        <v>34066</v>
      </c>
      <c r="Q268" s="7">
        <f t="shared" si="87"/>
        <v>567.76666666666665</v>
      </c>
      <c r="R268" s="6">
        <f t="shared" si="88"/>
        <v>17.372422328755</v>
      </c>
      <c r="S268" s="6">
        <f t="shared" si="89"/>
        <v>150.31877230812907</v>
      </c>
      <c r="T268" s="2">
        <f t="shared" si="90"/>
        <v>0</v>
      </c>
      <c r="U268" s="6">
        <f t="shared" si="91"/>
        <v>0</v>
      </c>
      <c r="V268">
        <f>IF((R268-$AB$774)/($Z$773-$AB$774)&lt;0, 0, IF((R268-$AB$774)/($Z$773-$AB$774)&gt;1, 1, (R268-$AB$774)/($Z$773-$AB$774)))</f>
        <v>0.45380179291620054</v>
      </c>
      <c r="W268" s="6">
        <f t="shared" si="92"/>
        <v>68.214928382391093</v>
      </c>
      <c r="Y268" s="78">
        <v>45049.927083333336</v>
      </c>
      <c r="Z268">
        <v>0.119331664778523</v>
      </c>
      <c r="AA268" s="6">
        <v>136.5531871</v>
      </c>
      <c r="AB268" s="2">
        <v>7725</v>
      </c>
      <c r="AC268" s="7">
        <f t="shared" si="93"/>
        <v>128.75</v>
      </c>
      <c r="AD268" s="7">
        <f t="shared" si="94"/>
        <v>15.363951840234837</v>
      </c>
      <c r="AE268" s="7">
        <f t="shared" si="95"/>
        <v>150.31877230812907</v>
      </c>
      <c r="AF268" s="7">
        <f t="shared" si="96"/>
        <v>1</v>
      </c>
      <c r="AG268" s="6">
        <f t="shared" si="97"/>
        <v>150.31877230812907</v>
      </c>
      <c r="AH268" s="2">
        <f t="shared" si="98"/>
        <v>1</v>
      </c>
      <c r="AI268" s="7">
        <f t="shared" si="99"/>
        <v>150.31877230812907</v>
      </c>
      <c r="AK268" s="78">
        <v>45032.479166666664</v>
      </c>
      <c r="AL268" s="5">
        <v>2.2799662786772298E-2</v>
      </c>
      <c r="AM268" s="5">
        <v>44.034259820000003</v>
      </c>
      <c r="AN268" s="2">
        <v>38547</v>
      </c>
      <c r="AO268" s="7">
        <f t="shared" si="86"/>
        <v>642.45000000000005</v>
      </c>
      <c r="AP268" s="5">
        <f t="shared" si="100"/>
        <v>14.647643357361865</v>
      </c>
      <c r="AQ268" s="6">
        <f t="shared" si="101"/>
        <v>138.27066876501937</v>
      </c>
      <c r="AR268" s="2">
        <f t="shared" si="102"/>
        <v>0</v>
      </c>
      <c r="AS268" s="2">
        <f t="shared" si="103"/>
        <v>0</v>
      </c>
    </row>
    <row r="269" spans="13:45" x14ac:dyDescent="0.3">
      <c r="M269" s="78">
        <v>45033.489583333336</v>
      </c>
      <c r="N269" s="5">
        <v>3.0921047081593999E-2</v>
      </c>
      <c r="O269" s="5">
        <v>46.186478979999997</v>
      </c>
      <c r="P269" s="2">
        <v>33535</v>
      </c>
      <c r="Q269" s="7">
        <f t="shared" si="87"/>
        <v>558.91666666666663</v>
      </c>
      <c r="R269" s="6">
        <f t="shared" si="88"/>
        <v>17.28228856468758</v>
      </c>
      <c r="S269" s="6">
        <f t="shared" si="89"/>
        <v>149.93634711268672</v>
      </c>
      <c r="T269" s="2">
        <f t="shared" si="90"/>
        <v>0</v>
      </c>
      <c r="U269" s="6">
        <f t="shared" si="91"/>
        <v>0</v>
      </c>
      <c r="V269">
        <f>IF((R269-$AB$774)/($Z$773-$AB$774)&lt;0, 0, IF((R269-$AB$774)/($Z$773-$AB$774)&gt;1, 1, (R269-$AB$774)/($Z$773-$AB$774)))</f>
        <v>0.43730285603583258</v>
      </c>
      <c r="W269" s="6">
        <f t="shared" si="92"/>
        <v>65.567592815957866</v>
      </c>
      <c r="Y269" s="78">
        <v>45049.9375</v>
      </c>
      <c r="Z269">
        <v>0.123567674139276</v>
      </c>
      <c r="AA269" s="6">
        <v>131.9954343</v>
      </c>
      <c r="AB269" s="2">
        <v>8027</v>
      </c>
      <c r="AC269" s="7">
        <f t="shared" si="93"/>
        <v>133.78333333333333</v>
      </c>
      <c r="AD269" s="7">
        <f t="shared" si="94"/>
        <v>16.531295338599474</v>
      </c>
      <c r="AE269" s="7">
        <f t="shared" si="95"/>
        <v>149.93634711268672</v>
      </c>
      <c r="AF269" s="7">
        <f t="shared" si="96"/>
        <v>1</v>
      </c>
      <c r="AG269" s="6">
        <f t="shared" si="97"/>
        <v>149.93634711268672</v>
      </c>
      <c r="AH269" s="2">
        <f t="shared" si="98"/>
        <v>1</v>
      </c>
      <c r="AI269" s="7">
        <f t="shared" si="99"/>
        <v>149.93634711268672</v>
      </c>
      <c r="AK269" s="78">
        <v>45032.489583333336</v>
      </c>
      <c r="AL269" s="5">
        <v>2.4727751543963099E-2</v>
      </c>
      <c r="AM269" s="5">
        <v>42.550901439999997</v>
      </c>
      <c r="AN269" s="2">
        <v>38050</v>
      </c>
      <c r="AO269" s="7">
        <f t="shared" si="86"/>
        <v>634.16666666666663</v>
      </c>
      <c r="AP269" s="5">
        <f t="shared" si="100"/>
        <v>15.681515770796597</v>
      </c>
      <c r="AQ269" s="6">
        <f t="shared" si="101"/>
        <v>142.96677330720198</v>
      </c>
      <c r="AR269" s="2">
        <f t="shared" si="102"/>
        <v>0</v>
      </c>
      <c r="AS269" s="2">
        <f t="shared" si="103"/>
        <v>0</v>
      </c>
    </row>
    <row r="270" spans="13:45" x14ac:dyDescent="0.3">
      <c r="M270" s="78">
        <v>45033.5</v>
      </c>
      <c r="N270" s="5">
        <v>2.9896346468750602E-2</v>
      </c>
      <c r="O270" s="5">
        <v>41.802294430000003</v>
      </c>
      <c r="P270" s="2">
        <v>33464</v>
      </c>
      <c r="Q270" s="7">
        <f t="shared" si="87"/>
        <v>557.73333333333335</v>
      </c>
      <c r="R270" s="6">
        <f t="shared" si="88"/>
        <v>16.674188970504503</v>
      </c>
      <c r="S270" s="6">
        <f t="shared" si="89"/>
        <v>147.32922069372083</v>
      </c>
      <c r="T270" s="2">
        <f t="shared" si="90"/>
        <v>0</v>
      </c>
      <c r="U270" s="6">
        <f t="shared" si="91"/>
        <v>0</v>
      </c>
      <c r="V270">
        <f>IF((R270-$AB$774)/($Z$773-$AB$774)&lt;0, 0, IF((R270-$AB$774)/($Z$773-$AB$774)&gt;1, 1, (R270-$AB$774)/($Z$773-$AB$774)))</f>
        <v>0.32599055342413669</v>
      </c>
      <c r="W270" s="6">
        <f t="shared" si="92"/>
        <v>48.027934189492825</v>
      </c>
      <c r="Y270" s="78">
        <v>45049.947916666664</v>
      </c>
      <c r="Z270">
        <v>0.122356174175134</v>
      </c>
      <c r="AA270" s="6">
        <v>124.3675379</v>
      </c>
      <c r="AB270" s="2">
        <v>8112</v>
      </c>
      <c r="AC270" s="7">
        <f t="shared" si="93"/>
        <v>135.19999999999999</v>
      </c>
      <c r="AD270" s="7">
        <f t="shared" si="94"/>
        <v>16.542554748478114</v>
      </c>
      <c r="AE270" s="7">
        <f t="shared" si="95"/>
        <v>147.32922069372083</v>
      </c>
      <c r="AF270" s="7">
        <f t="shared" si="96"/>
        <v>1</v>
      </c>
      <c r="AG270" s="6">
        <f t="shared" si="97"/>
        <v>147.32922069372083</v>
      </c>
      <c r="AH270" s="2">
        <f t="shared" si="98"/>
        <v>1</v>
      </c>
      <c r="AI270" s="7">
        <f t="shared" si="99"/>
        <v>147.32922069372083</v>
      </c>
      <c r="AK270" s="78">
        <v>45032.5</v>
      </c>
      <c r="AL270" s="5">
        <v>2.43109967031594E-2</v>
      </c>
      <c r="AM270" s="5">
        <v>44.757542890000003</v>
      </c>
      <c r="AN270" s="2">
        <v>37933</v>
      </c>
      <c r="AO270" s="7">
        <f t="shared" si="86"/>
        <v>632.2166666666667</v>
      </c>
      <c r="AP270" s="5">
        <f t="shared" si="100"/>
        <v>15.369817299015759</v>
      </c>
      <c r="AQ270" s="6">
        <f t="shared" si="101"/>
        <v>141.56805246435667</v>
      </c>
      <c r="AR270" s="2">
        <f t="shared" si="102"/>
        <v>0</v>
      </c>
      <c r="AS270" s="2">
        <f t="shared" si="103"/>
        <v>0</v>
      </c>
    </row>
    <row r="271" spans="13:45" x14ac:dyDescent="0.3">
      <c r="M271" s="78">
        <v>45033.510416666664</v>
      </c>
      <c r="N271" s="5">
        <v>3.45932507163259E-2</v>
      </c>
      <c r="O271" s="5">
        <v>42.550901439999997</v>
      </c>
      <c r="P271" s="2">
        <v>33502</v>
      </c>
      <c r="Q271" s="7">
        <f t="shared" si="87"/>
        <v>558.36666666666667</v>
      </c>
      <c r="R271" s="6">
        <f t="shared" si="88"/>
        <v>19.315718091639173</v>
      </c>
      <c r="S271" s="6">
        <f t="shared" si="89"/>
        <v>158.3303384129776</v>
      </c>
      <c r="T271" s="2">
        <f t="shared" si="90"/>
        <v>0</v>
      </c>
      <c r="U271" s="6">
        <f t="shared" si="91"/>
        <v>0</v>
      </c>
      <c r="V271">
        <f>IF((R271-$AB$774)/($Z$773-$AB$774)&lt;0, 0, IF((R271-$AB$774)/($Z$773-$AB$774)&gt;1, 1, (R271-$AB$774)/($Z$773-$AB$774)))</f>
        <v>0.80952103379611695</v>
      </c>
      <c r="W271" s="6">
        <f t="shared" si="92"/>
        <v>128.17173923336267</v>
      </c>
      <c r="Y271" s="78">
        <v>45049.958333333336</v>
      </c>
      <c r="Z271">
        <v>0.125883498083213</v>
      </c>
      <c r="AA271" s="6">
        <v>124.3675379</v>
      </c>
      <c r="AB271" s="2">
        <v>8145</v>
      </c>
      <c r="AC271" s="7">
        <f t="shared" si="93"/>
        <v>135.75</v>
      </c>
      <c r="AD271" s="7">
        <f t="shared" si="94"/>
        <v>17.088684864796164</v>
      </c>
      <c r="AE271" s="7">
        <f t="shared" si="95"/>
        <v>158.3303384129776</v>
      </c>
      <c r="AF271" s="7">
        <f t="shared" si="96"/>
        <v>1</v>
      </c>
      <c r="AG271" s="6">
        <f t="shared" si="97"/>
        <v>158.3303384129776</v>
      </c>
      <c r="AH271" s="2">
        <f t="shared" si="98"/>
        <v>1</v>
      </c>
      <c r="AI271" s="7">
        <f t="shared" si="99"/>
        <v>158.3303384129776</v>
      </c>
      <c r="AK271" s="78">
        <v>45032.510416666664</v>
      </c>
      <c r="AL271" s="5">
        <v>2.5887795166138799E-2</v>
      </c>
      <c r="AM271" s="5">
        <v>46.186478979999997</v>
      </c>
      <c r="AN271" s="2">
        <v>38553</v>
      </c>
      <c r="AO271" s="7">
        <f t="shared" si="86"/>
        <v>642.54999999999995</v>
      </c>
      <c r="AP271" s="5">
        <f t="shared" si="100"/>
        <v>16.634202784002483</v>
      </c>
      <c r="AQ271" s="6">
        <f t="shared" si="101"/>
        <v>147.15609950062395</v>
      </c>
      <c r="AR271" s="2">
        <f t="shared" si="102"/>
        <v>1</v>
      </c>
      <c r="AS271" s="2">
        <f t="shared" si="103"/>
        <v>147.15609950062395</v>
      </c>
    </row>
    <row r="272" spans="13:45" x14ac:dyDescent="0.3">
      <c r="M272" s="78">
        <v>45033.520833333336</v>
      </c>
      <c r="N272" s="5">
        <v>3.4428990933111601E-2</v>
      </c>
      <c r="O272" s="5">
        <v>47.592533240000002</v>
      </c>
      <c r="P272" s="2">
        <v>32319</v>
      </c>
      <c r="Q272" s="7">
        <f t="shared" si="87"/>
        <v>538.65</v>
      </c>
      <c r="R272" s="6">
        <f t="shared" si="88"/>
        <v>18.545175966120564</v>
      </c>
      <c r="S272" s="6">
        <f t="shared" si="89"/>
        <v>155.20520903481176</v>
      </c>
      <c r="T272" s="2">
        <f t="shared" si="90"/>
        <v>0</v>
      </c>
      <c r="U272" s="6">
        <f t="shared" si="91"/>
        <v>0</v>
      </c>
      <c r="V272">
        <f>IF((R272-$AB$774)/($Z$773-$AB$774)&lt;0, 0, IF((R272-$AB$774)/($Z$773-$AB$774)&gt;1, 1, (R272-$AB$774)/($Z$773-$AB$774)))</f>
        <v>0.66847371347022266</v>
      </c>
      <c r="W272" s="6">
        <f t="shared" si="92"/>
        <v>103.75060243342277</v>
      </c>
      <c r="Y272" s="78">
        <v>45049.96875</v>
      </c>
      <c r="Z272">
        <v>0.116010547960554</v>
      </c>
      <c r="AA272" s="6">
        <v>129.12158679999999</v>
      </c>
      <c r="AB272" s="2">
        <v>8172</v>
      </c>
      <c r="AC272" s="7">
        <f t="shared" si="93"/>
        <v>136.19999999999999</v>
      </c>
      <c r="AD272" s="7">
        <f t="shared" si="94"/>
        <v>15.800636632227453</v>
      </c>
      <c r="AE272" s="7">
        <f t="shared" si="95"/>
        <v>155.20520903481176</v>
      </c>
      <c r="AF272" s="7">
        <f t="shared" si="96"/>
        <v>1</v>
      </c>
      <c r="AG272" s="6">
        <f t="shared" si="97"/>
        <v>155.20520903481176</v>
      </c>
      <c r="AH272" s="2">
        <f t="shared" si="98"/>
        <v>1</v>
      </c>
      <c r="AI272" s="7">
        <f t="shared" si="99"/>
        <v>155.20520903481176</v>
      </c>
      <c r="AK272" s="78">
        <v>45032.520833333336</v>
      </c>
      <c r="AL272" s="5">
        <v>2.2746144081683399E-2</v>
      </c>
      <c r="AM272" s="5">
        <v>47.592533240000002</v>
      </c>
      <c r="AN272" s="2">
        <v>37281</v>
      </c>
      <c r="AO272" s="7">
        <f t="shared" si="86"/>
        <v>621.35</v>
      </c>
      <c r="AP272" s="5">
        <f t="shared" si="100"/>
        <v>14.133316625153981</v>
      </c>
      <c r="AQ272" s="6">
        <f t="shared" si="101"/>
        <v>135.87142267313658</v>
      </c>
      <c r="AR272" s="2">
        <f t="shared" si="102"/>
        <v>1</v>
      </c>
      <c r="AS272" s="2">
        <f t="shared" si="103"/>
        <v>135.87142267313658</v>
      </c>
    </row>
    <row r="273" spans="13:45" x14ac:dyDescent="0.3">
      <c r="M273" s="78">
        <v>45033.53125</v>
      </c>
      <c r="N273" s="5">
        <v>3.2331326398139799E-2</v>
      </c>
      <c r="O273" s="5">
        <v>39.574432420000001</v>
      </c>
      <c r="P273" s="2">
        <v>31506</v>
      </c>
      <c r="Q273" s="7">
        <f t="shared" si="87"/>
        <v>525.1</v>
      </c>
      <c r="R273" s="6">
        <f t="shared" si="88"/>
        <v>16.977179491663211</v>
      </c>
      <c r="S273" s="6">
        <f t="shared" si="89"/>
        <v>148.63419924955866</v>
      </c>
      <c r="T273" s="2">
        <f t="shared" si="90"/>
        <v>0</v>
      </c>
      <c r="U273" s="6">
        <f t="shared" si="91"/>
        <v>0</v>
      </c>
      <c r="V273">
        <f>IF((R273-$AB$774)/($Z$773-$AB$774)&lt;0, 0, IF((R273-$AB$774)/($Z$773-$AB$774)&gt;1, 1, (R273-$AB$774)/($Z$773-$AB$774)))</f>
        <v>0.38145280484201832</v>
      </c>
      <c r="W273" s="6">
        <f t="shared" si="92"/>
        <v>56.696932199191565</v>
      </c>
      <c r="Y273" s="78">
        <v>45049.979166666664</v>
      </c>
      <c r="Z273">
        <v>0.136836784665468</v>
      </c>
      <c r="AA273" s="6">
        <v>124.3675379</v>
      </c>
      <c r="AB273" s="2">
        <v>8049</v>
      </c>
      <c r="AC273" s="7">
        <f t="shared" si="93"/>
        <v>134.15</v>
      </c>
      <c r="AD273" s="7">
        <f t="shared" si="94"/>
        <v>18.356654662872533</v>
      </c>
      <c r="AE273" s="7">
        <f t="shared" si="95"/>
        <v>148.63419924955866</v>
      </c>
      <c r="AF273" s="7">
        <f t="shared" si="96"/>
        <v>1</v>
      </c>
      <c r="AG273" s="6">
        <f t="shared" si="97"/>
        <v>148.63419924955866</v>
      </c>
      <c r="AH273" s="2">
        <f t="shared" si="98"/>
        <v>1</v>
      </c>
      <c r="AI273" s="7">
        <f t="shared" si="99"/>
        <v>148.63419924955866</v>
      </c>
      <c r="AK273" s="78">
        <v>45032.53125</v>
      </c>
      <c r="AL273" s="5">
        <v>2.7652777141045901E-2</v>
      </c>
      <c r="AM273" s="5">
        <v>48.30225712</v>
      </c>
      <c r="AN273" s="2">
        <v>37575</v>
      </c>
      <c r="AO273" s="7">
        <f t="shared" si="86"/>
        <v>626.25</v>
      </c>
      <c r="AP273" s="5">
        <f t="shared" si="100"/>
        <v>17.317551684579996</v>
      </c>
      <c r="AQ273" s="6">
        <f t="shared" si="101"/>
        <v>150.08608461519074</v>
      </c>
      <c r="AR273" s="2">
        <f t="shared" si="102"/>
        <v>1</v>
      </c>
      <c r="AS273" s="2">
        <f t="shared" si="103"/>
        <v>150.08608461519074</v>
      </c>
    </row>
    <row r="274" spans="13:45" x14ac:dyDescent="0.3">
      <c r="M274" s="78">
        <v>45033.541666666664</v>
      </c>
      <c r="N274" s="5">
        <v>3.3408921661336098E-2</v>
      </c>
      <c r="O274" s="5">
        <v>43.30328583</v>
      </c>
      <c r="P274" s="2">
        <v>31273</v>
      </c>
      <c r="Q274" s="7">
        <f t="shared" si="87"/>
        <v>521.2166666666667</v>
      </c>
      <c r="R274" s="6">
        <f t="shared" si="88"/>
        <v>17.413286785249397</v>
      </c>
      <c r="S274" s="6">
        <f t="shared" si="89"/>
        <v>150.49182097112845</v>
      </c>
      <c r="T274" s="2">
        <f t="shared" si="90"/>
        <v>0</v>
      </c>
      <c r="U274" s="6">
        <f t="shared" si="91"/>
        <v>0</v>
      </c>
      <c r="V274">
        <f>IF((R274-$AB$774)/($Z$773-$AB$774)&lt;0, 0, IF((R274-$AB$774)/($Z$773-$AB$774)&gt;1, 1, (R274-$AB$774)/($Z$773-$AB$774)))</f>
        <v>0.46128200962885524</v>
      </c>
      <c r="W274" s="6">
        <f t="shared" si="92"/>
        <v>69.419169610268028</v>
      </c>
      <c r="Y274" s="78">
        <v>45049.989583333336</v>
      </c>
      <c r="Z274">
        <v>0.12760263180091</v>
      </c>
      <c r="AA274" s="6">
        <v>124.3675379</v>
      </c>
      <c r="AB274" s="2">
        <v>7891</v>
      </c>
      <c r="AC274" s="7">
        <f t="shared" si="93"/>
        <v>131.51666666666668</v>
      </c>
      <c r="AD274" s="7">
        <f t="shared" si="94"/>
        <v>16.781872792349681</v>
      </c>
      <c r="AE274" s="7">
        <f t="shared" si="95"/>
        <v>150.49182097112845</v>
      </c>
      <c r="AF274" s="7">
        <f t="shared" si="96"/>
        <v>1</v>
      </c>
      <c r="AG274" s="6">
        <f t="shared" si="97"/>
        <v>150.49182097112845</v>
      </c>
      <c r="AH274" s="2">
        <f t="shared" si="98"/>
        <v>1</v>
      </c>
      <c r="AI274" s="7">
        <f t="shared" si="99"/>
        <v>150.49182097112845</v>
      </c>
      <c r="AK274" s="78">
        <v>45032.541666666664</v>
      </c>
      <c r="AL274" s="5">
        <v>2.6112360378262801E-2</v>
      </c>
      <c r="AM274" s="5">
        <v>48.30225712</v>
      </c>
      <c r="AN274" s="2">
        <v>37190</v>
      </c>
      <c r="AO274" s="7">
        <f t="shared" si="86"/>
        <v>619.83333333333337</v>
      </c>
      <c r="AP274" s="5">
        <f t="shared" si="100"/>
        <v>16.185311374459893</v>
      </c>
      <c r="AQ274" s="6">
        <f t="shared" si="101"/>
        <v>145.19784650414783</v>
      </c>
      <c r="AR274" s="2">
        <f t="shared" si="102"/>
        <v>1</v>
      </c>
      <c r="AS274" s="2">
        <f t="shared" si="103"/>
        <v>145.19784650414783</v>
      </c>
    </row>
    <row r="275" spans="13:45" x14ac:dyDescent="0.3">
      <c r="M275" s="78">
        <v>45033.552083333336</v>
      </c>
      <c r="N275" s="5">
        <v>3.5202399620806998E-2</v>
      </c>
      <c r="O275" s="5">
        <v>43.30328583</v>
      </c>
      <c r="P275" s="2">
        <v>30496</v>
      </c>
      <c r="Q275" s="7">
        <f t="shared" si="87"/>
        <v>508.26666666666665</v>
      </c>
      <c r="R275" s="6">
        <f t="shared" si="88"/>
        <v>17.892206313935503</v>
      </c>
      <c r="S275" s="6">
        <f t="shared" si="89"/>
        <v>152.50465608211272</v>
      </c>
      <c r="T275" s="2">
        <f t="shared" si="90"/>
        <v>0</v>
      </c>
      <c r="U275" s="6">
        <f t="shared" si="91"/>
        <v>0</v>
      </c>
      <c r="V275">
        <f>IF((R275-$AB$774)/($Z$773-$AB$774)&lt;0, 0, IF((R275-$AB$774)/($Z$773-$AB$774)&gt;1, 1, (R275-$AB$774)/($Z$773-$AB$774)))</f>
        <v>0.548947970951153</v>
      </c>
      <c r="W275" s="6">
        <f t="shared" si="92"/>
        <v>83.717121516879189</v>
      </c>
      <c r="Y275" s="78">
        <v>45050</v>
      </c>
      <c r="Z275">
        <v>0.116522238459079</v>
      </c>
      <c r="AA275" s="6">
        <v>118.36070239999999</v>
      </c>
      <c r="AB275" s="2">
        <v>8208</v>
      </c>
      <c r="AC275" s="7">
        <f t="shared" si="93"/>
        <v>136.80000000000001</v>
      </c>
      <c r="AD275" s="7">
        <f t="shared" si="94"/>
        <v>15.940242221202007</v>
      </c>
      <c r="AE275" s="7">
        <f t="shared" si="95"/>
        <v>152.50465608211272</v>
      </c>
      <c r="AF275" s="7">
        <f t="shared" si="96"/>
        <v>1</v>
      </c>
      <c r="AG275" s="6">
        <f t="shared" si="97"/>
        <v>152.50465608211272</v>
      </c>
      <c r="AH275" s="2">
        <f t="shared" si="98"/>
        <v>1</v>
      </c>
      <c r="AI275" s="7">
        <f t="shared" si="99"/>
        <v>152.50465608211272</v>
      </c>
      <c r="AK275" s="78">
        <v>45032.552083333336</v>
      </c>
      <c r="AL275" s="5">
        <v>3.09535003259978E-2</v>
      </c>
      <c r="AM275" s="5">
        <v>51.763919430000001</v>
      </c>
      <c r="AN275" s="2">
        <v>36329</v>
      </c>
      <c r="AO275" s="7">
        <f t="shared" si="86"/>
        <v>605.48333333333335</v>
      </c>
      <c r="AP275" s="5">
        <f t="shared" si="100"/>
        <v>18.741828555719568</v>
      </c>
      <c r="AQ275" s="6">
        <f t="shared" si="101"/>
        <v>156.00898448073622</v>
      </c>
      <c r="AR275" s="2">
        <f t="shared" si="102"/>
        <v>1</v>
      </c>
      <c r="AS275" s="2">
        <f t="shared" si="103"/>
        <v>156.00898448073622</v>
      </c>
    </row>
    <row r="276" spans="13:45" x14ac:dyDescent="0.3">
      <c r="M276" s="78">
        <v>45033.5625</v>
      </c>
      <c r="N276" s="5">
        <v>3.7832314402887701E-2</v>
      </c>
      <c r="O276" s="5">
        <v>47.592533240000002</v>
      </c>
      <c r="P276" s="2">
        <v>30272</v>
      </c>
      <c r="Q276" s="7">
        <f t="shared" si="87"/>
        <v>504.53333333333336</v>
      </c>
      <c r="R276" s="6">
        <f t="shared" si="88"/>
        <v>19.087663693403609</v>
      </c>
      <c r="S276" s="6">
        <f t="shared" si="89"/>
        <v>157.41214117351532</v>
      </c>
      <c r="T276" s="2">
        <f t="shared" si="90"/>
        <v>0</v>
      </c>
      <c r="U276" s="6">
        <f t="shared" si="91"/>
        <v>0</v>
      </c>
      <c r="V276">
        <f>IF((R276-$AB$774)/($Z$773-$AB$774)&lt;0, 0, IF((R276-$AB$774)/($Z$773-$AB$774)&gt;1, 1, (R276-$AB$774)/($Z$773-$AB$774)))</f>
        <v>0.76777579924711536</v>
      </c>
      <c r="W276" s="6">
        <f t="shared" si="92"/>
        <v>120.85723250069549</v>
      </c>
      <c r="Y276" s="78">
        <v>45050.010416666664</v>
      </c>
      <c r="Z276">
        <v>0.11892119586001899</v>
      </c>
      <c r="AA276" s="6">
        <v>120.2525852</v>
      </c>
      <c r="AB276" s="2">
        <v>8052</v>
      </c>
      <c r="AC276" s="7">
        <f t="shared" si="93"/>
        <v>134.19999999999999</v>
      </c>
      <c r="AD276" s="7">
        <f t="shared" si="94"/>
        <v>15.959224484414548</v>
      </c>
      <c r="AE276" s="7">
        <f t="shared" si="95"/>
        <v>157.41214117351532</v>
      </c>
      <c r="AF276" s="7">
        <f t="shared" si="96"/>
        <v>1</v>
      </c>
      <c r="AG276" s="6">
        <f t="shared" si="97"/>
        <v>157.41214117351532</v>
      </c>
      <c r="AH276" s="2">
        <f t="shared" si="98"/>
        <v>1</v>
      </c>
      <c r="AI276" s="7">
        <f t="shared" si="99"/>
        <v>157.41214117351532</v>
      </c>
      <c r="AK276" s="78">
        <v>45032.5625</v>
      </c>
      <c r="AL276" s="5">
        <v>2.3434567475717E-2</v>
      </c>
      <c r="AM276" s="5">
        <v>47.592533240000002</v>
      </c>
      <c r="AN276" s="2">
        <v>36396</v>
      </c>
      <c r="AO276" s="7">
        <f t="shared" si="86"/>
        <v>606.6</v>
      </c>
      <c r="AP276" s="5">
        <f t="shared" si="100"/>
        <v>14.215408630769932</v>
      </c>
      <c r="AQ276" s="6">
        <f t="shared" si="101"/>
        <v>136.25732089246875</v>
      </c>
      <c r="AR276" s="2">
        <f t="shared" si="102"/>
        <v>1</v>
      </c>
      <c r="AS276" s="2">
        <f t="shared" si="103"/>
        <v>136.25732089246875</v>
      </c>
    </row>
    <row r="277" spans="13:45" x14ac:dyDescent="0.3">
      <c r="M277" s="78">
        <v>45033.572916666664</v>
      </c>
      <c r="N277" s="5">
        <v>3.6995700694548897E-2</v>
      </c>
      <c r="O277" s="5">
        <v>44.034259820000003</v>
      </c>
      <c r="P277" s="2">
        <v>29565</v>
      </c>
      <c r="Q277" s="7">
        <f t="shared" si="87"/>
        <v>492.75</v>
      </c>
      <c r="R277" s="6">
        <f t="shared" si="88"/>
        <v>18.229631517238968</v>
      </c>
      <c r="S277" s="6">
        <f t="shared" si="89"/>
        <v>153.90634532732835</v>
      </c>
      <c r="T277" s="2">
        <f t="shared" si="90"/>
        <v>0</v>
      </c>
      <c r="U277" s="6">
        <f t="shared" si="91"/>
        <v>0</v>
      </c>
      <c r="V277">
        <f>IF((R277-$AB$774)/($Z$773-$AB$774)&lt;0, 0, IF((R277-$AB$774)/($Z$773-$AB$774)&gt;1, 1, (R277-$AB$774)/($Z$773-$AB$774)))</f>
        <v>0.61071347235620799</v>
      </c>
      <c r="W277" s="6">
        <f t="shared" si="92"/>
        <v>93.99267857250635</v>
      </c>
      <c r="Y277" s="78">
        <v>45050.020833333336</v>
      </c>
      <c r="Z277">
        <v>0.11385543864655</v>
      </c>
      <c r="AA277" s="6">
        <v>119.11711819999999</v>
      </c>
      <c r="AB277" s="2">
        <v>8351</v>
      </c>
      <c r="AC277" s="7">
        <f t="shared" si="93"/>
        <v>139.18333333333334</v>
      </c>
      <c r="AD277" s="7">
        <f t="shared" si="94"/>
        <v>15.846779468955651</v>
      </c>
      <c r="AE277" s="7">
        <f t="shared" si="95"/>
        <v>153.90634532732835</v>
      </c>
      <c r="AF277" s="7">
        <f t="shared" si="96"/>
        <v>1</v>
      </c>
      <c r="AG277" s="6">
        <f t="shared" si="97"/>
        <v>153.90634532732835</v>
      </c>
      <c r="AH277" s="2">
        <f t="shared" si="98"/>
        <v>1</v>
      </c>
      <c r="AI277" s="7">
        <f t="shared" si="99"/>
        <v>153.90634532732835</v>
      </c>
      <c r="AK277" s="78">
        <v>45032.572916666664</v>
      </c>
      <c r="AL277" s="5">
        <v>2.4940105615221E-2</v>
      </c>
      <c r="AM277" s="5">
        <v>47.592533240000002</v>
      </c>
      <c r="AN277" s="2">
        <v>36175</v>
      </c>
      <c r="AO277" s="7">
        <f t="shared" si="86"/>
        <v>602.91666666666663</v>
      </c>
      <c r="AP277" s="5">
        <f t="shared" si="100"/>
        <v>15.03680534384366</v>
      </c>
      <c r="AQ277" s="6">
        <f t="shared" si="101"/>
        <v>140.05759967501024</v>
      </c>
      <c r="AR277" s="2">
        <f t="shared" si="102"/>
        <v>1</v>
      </c>
      <c r="AS277" s="2">
        <f t="shared" si="103"/>
        <v>140.05759967501024</v>
      </c>
    </row>
    <row r="278" spans="13:45" x14ac:dyDescent="0.3">
      <c r="M278" s="78">
        <v>45033.583333333336</v>
      </c>
      <c r="N278" s="5">
        <v>3.6129562830428799E-2</v>
      </c>
      <c r="O278" s="5">
        <v>47.592533240000002</v>
      </c>
      <c r="P278" s="2">
        <v>28671</v>
      </c>
      <c r="Q278" s="7">
        <f t="shared" si="87"/>
        <v>477.85</v>
      </c>
      <c r="R278" s="6">
        <f t="shared" si="88"/>
        <v>17.264511598520404</v>
      </c>
      <c r="S278" s="6">
        <f t="shared" si="89"/>
        <v>149.86080181278493</v>
      </c>
      <c r="T278" s="2">
        <f t="shared" si="90"/>
        <v>0</v>
      </c>
      <c r="U278" s="6">
        <f t="shared" si="91"/>
        <v>0</v>
      </c>
      <c r="V278">
        <f>IF((R278-$AB$774)/($Z$773-$AB$774)&lt;0, 0, IF((R278-$AB$774)/($Z$773-$AB$774)&gt;1, 1, (R278-$AB$774)/($Z$773-$AB$774)))</f>
        <v>0.43404879197059193</v>
      </c>
      <c r="W278" s="6">
        <f t="shared" si="92"/>
        <v>65.046899990583597</v>
      </c>
      <c r="Y278" s="78">
        <v>45050.03125</v>
      </c>
      <c r="Z278">
        <v>0.13189527620025601</v>
      </c>
      <c r="AA278" s="6">
        <v>117.21518</v>
      </c>
      <c r="AB278" s="2">
        <v>8148</v>
      </c>
      <c r="AC278" s="7">
        <f t="shared" si="93"/>
        <v>135.80000000000001</v>
      </c>
      <c r="AD278" s="7">
        <f t="shared" si="94"/>
        <v>17.911378507994769</v>
      </c>
      <c r="AE278" s="7">
        <f t="shared" si="95"/>
        <v>149.86080181278493</v>
      </c>
      <c r="AF278" s="7">
        <f t="shared" si="96"/>
        <v>1</v>
      </c>
      <c r="AG278" s="6">
        <f t="shared" si="97"/>
        <v>149.86080181278493</v>
      </c>
      <c r="AH278" s="2">
        <f t="shared" si="98"/>
        <v>1</v>
      </c>
      <c r="AI278" s="7">
        <f t="shared" si="99"/>
        <v>149.86080181278493</v>
      </c>
      <c r="AK278" s="78">
        <v>45032.583333333336</v>
      </c>
      <c r="AL278" s="5">
        <v>2.4625809391907099E-2</v>
      </c>
      <c r="AM278" s="5">
        <v>47.592533240000002</v>
      </c>
      <c r="AN278" s="2">
        <v>36062</v>
      </c>
      <c r="AO278" s="7">
        <f t="shared" si="86"/>
        <v>601.0333333333333</v>
      </c>
      <c r="AP278" s="5">
        <f t="shared" si="100"/>
        <v>14.80093230484923</v>
      </c>
      <c r="AQ278" s="6">
        <f t="shared" si="101"/>
        <v>138.97739001168253</v>
      </c>
      <c r="AR278" s="2">
        <f t="shared" si="102"/>
        <v>1</v>
      </c>
      <c r="AS278" s="2">
        <f t="shared" si="103"/>
        <v>138.97739001168253</v>
      </c>
    </row>
    <row r="279" spans="13:45" x14ac:dyDescent="0.3">
      <c r="M279" s="78">
        <v>45033.59375</v>
      </c>
      <c r="N279" s="5">
        <v>4.3666640747130503E-2</v>
      </c>
      <c r="O279" s="5">
        <v>51.0808441</v>
      </c>
      <c r="P279" s="2">
        <v>27324</v>
      </c>
      <c r="Q279" s="7">
        <f t="shared" si="87"/>
        <v>455.4</v>
      </c>
      <c r="R279" s="6">
        <f t="shared" si="88"/>
        <v>19.885788196243229</v>
      </c>
      <c r="S279" s="6">
        <f t="shared" si="89"/>
        <v>160.60165133758281</v>
      </c>
      <c r="T279" s="2">
        <f t="shared" si="90"/>
        <v>1</v>
      </c>
      <c r="U279" s="6">
        <f t="shared" si="91"/>
        <v>160.60165133758281</v>
      </c>
      <c r="V279">
        <f>IF((R279-$AB$774)/($Z$773-$AB$774)&lt;0, 0, IF((R279-$AB$774)/($Z$773-$AB$774)&gt;1, 1, (R279-$AB$774)/($Z$773-$AB$774)))</f>
        <v>0.9138720588593956</v>
      </c>
      <c r="W279" s="6">
        <f t="shared" si="92"/>
        <v>146.76936176409561</v>
      </c>
      <c r="Y279" s="78">
        <v>45050.041666666664</v>
      </c>
      <c r="Z279">
        <v>0.11238013755266101</v>
      </c>
      <c r="AA279" s="6">
        <v>114.1275401</v>
      </c>
      <c r="AB279" s="2">
        <v>8378</v>
      </c>
      <c r="AC279" s="7">
        <f t="shared" si="93"/>
        <v>139.63333333333333</v>
      </c>
      <c r="AD279" s="7">
        <f t="shared" si="94"/>
        <v>15.692013206936565</v>
      </c>
      <c r="AE279" s="7">
        <f t="shared" si="95"/>
        <v>160.60165133758281</v>
      </c>
      <c r="AF279" s="7">
        <f t="shared" si="96"/>
        <v>1</v>
      </c>
      <c r="AG279" s="6">
        <f t="shared" si="97"/>
        <v>160.60165133758281</v>
      </c>
      <c r="AH279" s="2">
        <f t="shared" si="98"/>
        <v>1</v>
      </c>
      <c r="AI279" s="7">
        <f t="shared" si="99"/>
        <v>160.60165133758281</v>
      </c>
      <c r="AK279" s="78">
        <v>45032.59375</v>
      </c>
      <c r="AL279" s="5">
        <v>2.8520253832179699E-2</v>
      </c>
      <c r="AM279" s="5">
        <v>53.134964160000003</v>
      </c>
      <c r="AN279" s="2">
        <v>35054</v>
      </c>
      <c r="AO279" s="7">
        <f t="shared" si="86"/>
        <v>584.23333333333335</v>
      </c>
      <c r="AP279" s="5">
        <f t="shared" si="100"/>
        <v>16.662482963887118</v>
      </c>
      <c r="AQ279" s="6">
        <f t="shared" si="101"/>
        <v>147.27856119874676</v>
      </c>
      <c r="AR279" s="2">
        <f t="shared" si="102"/>
        <v>1</v>
      </c>
      <c r="AS279" s="2">
        <f t="shared" si="103"/>
        <v>147.27856119874676</v>
      </c>
    </row>
    <row r="280" spans="13:45" x14ac:dyDescent="0.3">
      <c r="M280" s="78">
        <v>45033.604166666664</v>
      </c>
      <c r="N280" s="5">
        <v>4.1210393473680301E-2</v>
      </c>
      <c r="O280" s="5">
        <v>55.160894489999997</v>
      </c>
      <c r="P280" s="2">
        <v>26268</v>
      </c>
      <c r="Q280" s="7">
        <f t="shared" si="87"/>
        <v>437.8</v>
      </c>
      <c r="R280" s="6">
        <f t="shared" si="88"/>
        <v>18.041910262777236</v>
      </c>
      <c r="S280" s="6">
        <f t="shared" si="89"/>
        <v>153.12818746943321</v>
      </c>
      <c r="T280" s="2">
        <f t="shared" si="90"/>
        <v>1</v>
      </c>
      <c r="U280" s="6">
        <f t="shared" si="91"/>
        <v>153.12818746943321</v>
      </c>
      <c r="V280">
        <f>IF((R280-$AB$774)/($Z$773-$AB$774)&lt;0, 0, IF((R280-$AB$774)/($Z$773-$AB$774)&gt;1, 1, (R280-$AB$774)/($Z$773-$AB$774)))</f>
        <v>0.57635119801303436</v>
      </c>
      <c r="W280" s="6">
        <f t="shared" si="92"/>
        <v>88.25561429757235</v>
      </c>
      <c r="Y280" s="78">
        <v>45050.052083333336</v>
      </c>
      <c r="Z280">
        <v>0.112368174421013</v>
      </c>
      <c r="AA280" s="6">
        <v>126.9470365</v>
      </c>
      <c r="AB280" s="2">
        <v>8230</v>
      </c>
      <c r="AC280" s="7">
        <f t="shared" si="93"/>
        <v>137.16666666666666</v>
      </c>
      <c r="AD280" s="7">
        <f t="shared" si="94"/>
        <v>15.413167924748949</v>
      </c>
      <c r="AE280" s="7">
        <f t="shared" si="95"/>
        <v>153.12818746943321</v>
      </c>
      <c r="AF280" s="7">
        <f t="shared" si="96"/>
        <v>1</v>
      </c>
      <c r="AG280" s="6">
        <f t="shared" si="97"/>
        <v>153.12818746943321</v>
      </c>
      <c r="AH280" s="2">
        <f t="shared" si="98"/>
        <v>1</v>
      </c>
      <c r="AI280" s="7">
        <f t="shared" si="99"/>
        <v>153.12818746943321</v>
      </c>
      <c r="AK280" s="78">
        <v>45032.604166666664</v>
      </c>
      <c r="AL280" s="5">
        <v>2.8187425928393101E-2</v>
      </c>
      <c r="AM280" s="5">
        <v>51.0808441</v>
      </c>
      <c r="AN280" s="2">
        <v>35425</v>
      </c>
      <c r="AO280" s="7">
        <f t="shared" si="86"/>
        <v>590.41666666666663</v>
      </c>
      <c r="AP280" s="5">
        <f t="shared" si="100"/>
        <v>16.642326058555426</v>
      </c>
      <c r="AQ280" s="6">
        <f t="shared" si="101"/>
        <v>147.19128659520101</v>
      </c>
      <c r="AR280" s="2">
        <f t="shared" si="102"/>
        <v>1</v>
      </c>
      <c r="AS280" s="2">
        <f t="shared" si="103"/>
        <v>147.19128659520101</v>
      </c>
    </row>
    <row r="281" spans="13:45" x14ac:dyDescent="0.3">
      <c r="M281" s="78">
        <v>45035.604166666664</v>
      </c>
      <c r="N281" s="5">
        <v>5.4597196622760698E-2</v>
      </c>
      <c r="O281" s="5">
        <v>79.63837719</v>
      </c>
      <c r="P281" s="2">
        <v>16336</v>
      </c>
      <c r="Q281" s="7">
        <f t="shared" si="87"/>
        <v>272.26666666666665</v>
      </c>
      <c r="R281" s="6">
        <f t="shared" si="88"/>
        <v>14.864996733823645</v>
      </c>
      <c r="S281" s="6">
        <f t="shared" si="89"/>
        <v>139.27164463111922</v>
      </c>
      <c r="T281" s="2">
        <f t="shared" si="90"/>
        <v>1</v>
      </c>
      <c r="U281" s="6">
        <f t="shared" si="91"/>
        <v>139.27164463111922</v>
      </c>
      <c r="V281">
        <f>IF((R281-$AB$774)/($Z$773-$AB$774)&lt;0, 0, IF((R281-$AB$774)/($Z$773-$AB$774)&gt;1, 1, (R281-$AB$774)/($Z$773-$AB$774)))</f>
        <v>0</v>
      </c>
      <c r="W281" s="6">
        <f t="shared" si="92"/>
        <v>0</v>
      </c>
      <c r="Y281" s="78">
        <v>45050.0625</v>
      </c>
      <c r="Z281">
        <v>0.12565869217425499</v>
      </c>
      <c r="AA281" s="6">
        <v>109.0251016</v>
      </c>
      <c r="AB281" s="2">
        <v>8472</v>
      </c>
      <c r="AC281" s="7">
        <f t="shared" si="93"/>
        <v>141.19999999999999</v>
      </c>
      <c r="AD281" s="7">
        <f t="shared" si="94"/>
        <v>17.743007335004801</v>
      </c>
      <c r="AE281" s="7">
        <f t="shared" si="95"/>
        <v>139.27164463111922</v>
      </c>
      <c r="AF281" s="7">
        <f t="shared" si="96"/>
        <v>1</v>
      </c>
      <c r="AG281" s="6">
        <f t="shared" si="97"/>
        <v>139.27164463111922</v>
      </c>
      <c r="AH281" s="2">
        <f t="shared" si="98"/>
        <v>1</v>
      </c>
      <c r="AI281" s="7">
        <f t="shared" si="99"/>
        <v>139.27164463111922</v>
      </c>
      <c r="AK281" s="78">
        <v>45032.614583333336</v>
      </c>
      <c r="AL281" s="5">
        <v>3.0429123147823901E-2</v>
      </c>
      <c r="AM281" s="5">
        <v>49.691464410000002</v>
      </c>
      <c r="AN281" s="2">
        <v>34657</v>
      </c>
      <c r="AO281" s="7">
        <f t="shared" si="86"/>
        <v>577.61666666666667</v>
      </c>
      <c r="AP281" s="5">
        <f t="shared" si="100"/>
        <v>17.57636868223555</v>
      </c>
      <c r="AQ281" s="6">
        <f t="shared" si="101"/>
        <v>151.18036839586793</v>
      </c>
      <c r="AR281" s="2">
        <f t="shared" si="102"/>
        <v>1</v>
      </c>
      <c r="AS281" s="2">
        <f t="shared" si="103"/>
        <v>151.18036839586793</v>
      </c>
    </row>
    <row r="282" spans="13:45" x14ac:dyDescent="0.3">
      <c r="M282" s="78">
        <v>45035.625</v>
      </c>
      <c r="N282" s="5">
        <v>5.3717210529632201E-2</v>
      </c>
      <c r="O282" s="5">
        <v>77.485665560000001</v>
      </c>
      <c r="P282" s="2">
        <v>16703</v>
      </c>
      <c r="Q282" s="7">
        <f t="shared" si="87"/>
        <v>278.38333333333333</v>
      </c>
      <c r="R282" s="6">
        <f t="shared" si="88"/>
        <v>14.953976124607443</v>
      </c>
      <c r="S282" s="6">
        <f t="shared" si="89"/>
        <v>139.6792647522438</v>
      </c>
      <c r="T282" s="2">
        <f t="shared" si="90"/>
        <v>1</v>
      </c>
      <c r="U282" s="6">
        <f t="shared" si="91"/>
        <v>139.6792647522438</v>
      </c>
      <c r="V282">
        <f>IF((R282-$AB$774)/($Z$773-$AB$774)&lt;0, 0, IF((R282-$AB$774)/($Z$773-$AB$774)&gt;1, 1, (R282-$AB$774)/($Z$773-$AB$774)))</f>
        <v>1.1106520133083435E-2</v>
      </c>
      <c r="W282" s="6">
        <f t="shared" si="92"/>
        <v>1.551350566145087</v>
      </c>
      <c r="Y282" s="78">
        <v>45050.072916666664</v>
      </c>
      <c r="Z282">
        <v>0.13549850155470999</v>
      </c>
      <c r="AA282" s="6">
        <v>121.00878899999999</v>
      </c>
      <c r="AB282" s="2">
        <v>8307</v>
      </c>
      <c r="AC282" s="7">
        <f t="shared" si="93"/>
        <v>138.44999999999999</v>
      </c>
      <c r="AD282" s="7">
        <f t="shared" si="94"/>
        <v>18.759767540249598</v>
      </c>
      <c r="AE282" s="7">
        <f t="shared" si="95"/>
        <v>139.6792647522438</v>
      </c>
      <c r="AF282" s="7">
        <f t="shared" si="96"/>
        <v>1</v>
      </c>
      <c r="AG282" s="6">
        <f t="shared" si="97"/>
        <v>139.6792647522438</v>
      </c>
      <c r="AH282" s="2">
        <f t="shared" si="98"/>
        <v>1</v>
      </c>
      <c r="AI282" s="7">
        <f t="shared" si="99"/>
        <v>139.6792647522438</v>
      </c>
      <c r="AK282" s="78">
        <v>45032.625</v>
      </c>
      <c r="AL282" s="5">
        <v>3.1270882221355802E-2</v>
      </c>
      <c r="AM282" s="5">
        <v>53.134964160000003</v>
      </c>
      <c r="AN282" s="2">
        <v>34800</v>
      </c>
      <c r="AO282" s="7">
        <f t="shared" si="86"/>
        <v>580</v>
      </c>
      <c r="AP282" s="5">
        <f t="shared" si="100"/>
        <v>18.137111688386366</v>
      </c>
      <c r="AQ282" s="6">
        <f t="shared" si="101"/>
        <v>153.52333805083899</v>
      </c>
      <c r="AR282" s="2">
        <f t="shared" si="102"/>
        <v>1</v>
      </c>
      <c r="AS282" s="2">
        <f t="shared" si="103"/>
        <v>153.52333805083899</v>
      </c>
    </row>
    <row r="283" spans="13:45" x14ac:dyDescent="0.3">
      <c r="M283" s="78">
        <v>45035.635416666664</v>
      </c>
      <c r="N283" s="5">
        <v>5.43258198628533E-2</v>
      </c>
      <c r="O283" s="5">
        <v>77.485665560000001</v>
      </c>
      <c r="P283" s="2">
        <v>17058</v>
      </c>
      <c r="Q283" s="7">
        <f t="shared" si="87"/>
        <v>284.3</v>
      </c>
      <c r="R283" s="6">
        <f t="shared" si="88"/>
        <v>15.444830587009195</v>
      </c>
      <c r="S283" s="6">
        <f t="shared" si="89"/>
        <v>141.90598112888699</v>
      </c>
      <c r="T283" s="2">
        <f t="shared" si="90"/>
        <v>1</v>
      </c>
      <c r="U283" s="6">
        <f t="shared" si="91"/>
        <v>141.90598112888699</v>
      </c>
      <c r="V283">
        <f>IF((R283-$AB$774)/($Z$773-$AB$774)&lt;0, 0, IF((R283-$AB$774)/($Z$773-$AB$774)&gt;1, 1, (R283-$AB$774)/($Z$773-$AB$774)))</f>
        <v>0.10095716463247023</v>
      </c>
      <c r="W283" s="6">
        <f t="shared" si="92"/>
        <v>14.326425499161259</v>
      </c>
      <c r="Y283" s="78">
        <v>45050.083333333336</v>
      </c>
      <c r="Z283">
        <v>0.13097763477393201</v>
      </c>
      <c r="AA283" s="6">
        <v>121.00878899999999</v>
      </c>
      <c r="AB283" s="2">
        <v>8181</v>
      </c>
      <c r="AC283" s="7">
        <f t="shared" si="93"/>
        <v>136.35</v>
      </c>
      <c r="AD283" s="7">
        <f t="shared" si="94"/>
        <v>17.85880050142563</v>
      </c>
      <c r="AE283" s="7">
        <f t="shared" si="95"/>
        <v>141.90598112888699</v>
      </c>
      <c r="AF283" s="7">
        <f t="shared" si="96"/>
        <v>1</v>
      </c>
      <c r="AG283" s="6">
        <f t="shared" si="97"/>
        <v>141.90598112888699</v>
      </c>
      <c r="AH283" s="2">
        <f t="shared" si="98"/>
        <v>1</v>
      </c>
      <c r="AI283" s="7">
        <f t="shared" si="99"/>
        <v>141.90598112888699</v>
      </c>
      <c r="AK283" s="78">
        <v>45032.635416666664</v>
      </c>
      <c r="AL283" s="5">
        <v>2.9386310062364501E-2</v>
      </c>
      <c r="AM283" s="5">
        <v>55.160894489999997</v>
      </c>
      <c r="AN283" s="2">
        <v>34505</v>
      </c>
      <c r="AO283" s="7">
        <f t="shared" si="86"/>
        <v>575.08333333333337</v>
      </c>
      <c r="AP283" s="5">
        <f t="shared" si="100"/>
        <v>16.899577145031454</v>
      </c>
      <c r="AQ283" s="6">
        <f t="shared" si="101"/>
        <v>148.30110621623277</v>
      </c>
      <c r="AR283" s="2">
        <f t="shared" si="102"/>
        <v>1</v>
      </c>
      <c r="AS283" s="2">
        <f t="shared" si="103"/>
        <v>148.30110621623277</v>
      </c>
    </row>
    <row r="284" spans="13:45" x14ac:dyDescent="0.3">
      <c r="M284" s="78">
        <v>45035.645833333336</v>
      </c>
      <c r="N284" s="5">
        <v>5.2933757533310297E-2</v>
      </c>
      <c r="O284" s="5">
        <v>78.205266870000003</v>
      </c>
      <c r="P284" s="2">
        <v>17421</v>
      </c>
      <c r="Q284" s="7">
        <f t="shared" si="87"/>
        <v>290.35000000000002</v>
      </c>
      <c r="R284" s="6">
        <f t="shared" si="88"/>
        <v>15.369316499796646</v>
      </c>
      <c r="S284" s="6">
        <f t="shared" si="89"/>
        <v>141.56579358045613</v>
      </c>
      <c r="T284" s="2">
        <f t="shared" si="90"/>
        <v>1</v>
      </c>
      <c r="U284" s="6">
        <f t="shared" si="91"/>
        <v>141.56579358045613</v>
      </c>
      <c r="V284">
        <f>IF((R284-$AB$774)/($Z$773-$AB$774)&lt;0, 0, IF((R284-$AB$774)/($Z$773-$AB$774)&gt;1, 1, (R284-$AB$774)/($Z$773-$AB$774)))</f>
        <v>8.7134351712258765E-2</v>
      </c>
      <c r="W284" s="6">
        <f t="shared" si="92"/>
        <v>12.335243648264488</v>
      </c>
      <c r="Y284" s="78">
        <v>45050.09375</v>
      </c>
      <c r="Z284">
        <v>0.125841618488513</v>
      </c>
      <c r="AA284" s="6">
        <v>115.2898797</v>
      </c>
      <c r="AB284" s="2">
        <v>8470</v>
      </c>
      <c r="AC284" s="7">
        <f t="shared" si="93"/>
        <v>141.16666666666666</v>
      </c>
      <c r="AD284" s="7">
        <f t="shared" si="94"/>
        <v>17.764641809961748</v>
      </c>
      <c r="AE284" s="7">
        <f t="shared" si="95"/>
        <v>141.56579358045613</v>
      </c>
      <c r="AF284" s="7">
        <f t="shared" si="96"/>
        <v>1</v>
      </c>
      <c r="AG284" s="6">
        <f t="shared" si="97"/>
        <v>141.56579358045613</v>
      </c>
      <c r="AH284" s="2">
        <f t="shared" si="98"/>
        <v>1</v>
      </c>
      <c r="AI284" s="7">
        <f t="shared" si="99"/>
        <v>141.56579358045613</v>
      </c>
      <c r="AK284" s="78">
        <v>45032.645833333336</v>
      </c>
      <c r="AL284" s="5">
        <v>3.2674663130545199E-2</v>
      </c>
      <c r="AM284" s="5">
        <v>58.477264509999998</v>
      </c>
      <c r="AN284" s="2">
        <v>33417</v>
      </c>
      <c r="AO284" s="7">
        <f t="shared" si="86"/>
        <v>556.95000000000005</v>
      </c>
      <c r="AP284" s="5">
        <f t="shared" si="100"/>
        <v>18.198153630557151</v>
      </c>
      <c r="AQ284" s="6">
        <f t="shared" si="101"/>
        <v>153.77614688991233</v>
      </c>
      <c r="AR284" s="2">
        <f t="shared" si="102"/>
        <v>1</v>
      </c>
      <c r="AS284" s="2">
        <f t="shared" si="103"/>
        <v>153.77614688991233</v>
      </c>
    </row>
    <row r="285" spans="13:45" x14ac:dyDescent="0.3">
      <c r="M285" s="78">
        <v>45035.65625</v>
      </c>
      <c r="N285" s="5">
        <v>6.0773057364586498E-2</v>
      </c>
      <c r="O285" s="5">
        <v>83.455571449999994</v>
      </c>
      <c r="P285" s="2">
        <v>15691</v>
      </c>
      <c r="Q285" s="7">
        <f t="shared" si="87"/>
        <v>261.51666666666665</v>
      </c>
      <c r="R285" s="6">
        <f t="shared" si="88"/>
        <v>15.893167385128779</v>
      </c>
      <c r="S285" s="6">
        <f t="shared" si="89"/>
        <v>143.90846925832912</v>
      </c>
      <c r="T285" s="2">
        <f t="shared" si="90"/>
        <v>1</v>
      </c>
      <c r="U285" s="6">
        <f t="shared" si="91"/>
        <v>143.90846925832912</v>
      </c>
      <c r="V285">
        <f>IF((R285-$AB$774)/($Z$773-$AB$774)&lt;0, 0, IF((R285-$AB$774)/($Z$773-$AB$774)&gt;1, 1, (R285-$AB$774)/($Z$773-$AB$774)))</f>
        <v>0.18302497362564843</v>
      </c>
      <c r="W285" s="6">
        <f t="shared" si="92"/>
        <v>26.338843790513124</v>
      </c>
      <c r="Y285" s="78">
        <v>45050.104166666664</v>
      </c>
      <c r="Z285">
        <v>0.114950815451243</v>
      </c>
      <c r="AA285" s="6">
        <v>116.4455014</v>
      </c>
      <c r="AB285" s="2">
        <v>8397</v>
      </c>
      <c r="AC285" s="7">
        <f t="shared" si="93"/>
        <v>139.94999999999999</v>
      </c>
      <c r="AD285" s="7">
        <f t="shared" si="94"/>
        <v>16.087366622401458</v>
      </c>
      <c r="AE285" s="7">
        <f t="shared" si="95"/>
        <v>143.90846925832912</v>
      </c>
      <c r="AF285" s="7">
        <f t="shared" si="96"/>
        <v>1</v>
      </c>
      <c r="AG285" s="6">
        <f t="shared" si="97"/>
        <v>143.90846925832912</v>
      </c>
      <c r="AH285" s="2">
        <f t="shared" si="98"/>
        <v>1</v>
      </c>
      <c r="AI285" s="7">
        <f t="shared" si="99"/>
        <v>143.90846925832912</v>
      </c>
      <c r="AK285" s="78">
        <v>45032.65625</v>
      </c>
      <c r="AL285" s="5">
        <v>3.5496600238950897E-2</v>
      </c>
      <c r="AM285" s="5">
        <v>55.160894489999997</v>
      </c>
      <c r="AN285" s="2">
        <v>31654</v>
      </c>
      <c r="AO285" s="7">
        <f t="shared" si="86"/>
        <v>527.56666666666672</v>
      </c>
      <c r="AP285" s="5">
        <f t="shared" si="100"/>
        <v>18.726823066062529</v>
      </c>
      <c r="AQ285" s="6">
        <f t="shared" si="101"/>
        <v>155.94780487541462</v>
      </c>
      <c r="AR285" s="2">
        <f t="shared" si="102"/>
        <v>1</v>
      </c>
      <c r="AS285" s="2">
        <f t="shared" si="103"/>
        <v>155.94780487541462</v>
      </c>
    </row>
    <row r="286" spans="13:45" x14ac:dyDescent="0.3">
      <c r="M286" s="78">
        <v>45035.666666666664</v>
      </c>
      <c r="N286" s="5">
        <v>8.8047310384380906E-2</v>
      </c>
      <c r="O286" s="5">
        <v>92.617989059999999</v>
      </c>
      <c r="P286" s="2">
        <v>15291</v>
      </c>
      <c r="Q286" s="7">
        <f t="shared" si="87"/>
        <v>254.85</v>
      </c>
      <c r="R286" s="6">
        <f t="shared" si="88"/>
        <v>22.438857051459472</v>
      </c>
      <c r="S286" s="6">
        <f t="shared" si="89"/>
        <v>170.3878610552573</v>
      </c>
      <c r="T286" s="2">
        <f t="shared" si="90"/>
        <v>1</v>
      </c>
      <c r="U286" s="6">
        <f t="shared" si="91"/>
        <v>170.3878610552573</v>
      </c>
      <c r="V286">
        <f>IF((R286-$AB$774)/($Z$773-$AB$774)&lt;0, 0, IF((R286-$AB$774)/($Z$773-$AB$774)&gt;1, 1, (R286-$AB$774)/($Z$773-$AB$774)))</f>
        <v>1</v>
      </c>
      <c r="W286" s="6">
        <f t="shared" si="92"/>
        <v>170.3878610552573</v>
      </c>
      <c r="Y286" s="78">
        <v>45050.114583333336</v>
      </c>
      <c r="Z286">
        <v>0.129121142751292</v>
      </c>
      <c r="AA286" s="6">
        <v>121.00878899999999</v>
      </c>
      <c r="AB286" s="2">
        <v>8259</v>
      </c>
      <c r="AC286" s="7">
        <f t="shared" si="93"/>
        <v>137.65</v>
      </c>
      <c r="AD286" s="7">
        <f t="shared" si="94"/>
        <v>17.773525299715345</v>
      </c>
      <c r="AE286" s="7">
        <f t="shared" si="95"/>
        <v>170.3878610552573</v>
      </c>
      <c r="AF286" s="7">
        <f t="shared" si="96"/>
        <v>1</v>
      </c>
      <c r="AG286" s="6">
        <f t="shared" si="97"/>
        <v>170.3878610552573</v>
      </c>
      <c r="AH286" s="2">
        <f t="shared" si="98"/>
        <v>1</v>
      </c>
      <c r="AI286" s="7">
        <f t="shared" si="99"/>
        <v>170.3878610552573</v>
      </c>
      <c r="AK286" s="78">
        <v>45032.666666666664</v>
      </c>
      <c r="AL286" s="5">
        <v>3.1340271120911901E-2</v>
      </c>
      <c r="AM286" s="5">
        <v>57.158996520000002</v>
      </c>
      <c r="AN286" s="2">
        <v>33259</v>
      </c>
      <c r="AO286" s="7">
        <f t="shared" si="86"/>
        <v>554.31666666666672</v>
      </c>
      <c r="AP286" s="5">
        <f t="shared" si="100"/>
        <v>17.372434620173483</v>
      </c>
      <c r="AQ286" s="6">
        <f t="shared" si="101"/>
        <v>150.31882438979557</v>
      </c>
      <c r="AR286" s="2">
        <f t="shared" si="102"/>
        <v>1</v>
      </c>
      <c r="AS286" s="2">
        <f t="shared" si="103"/>
        <v>150.31882438979557</v>
      </c>
    </row>
    <row r="287" spans="13:45" x14ac:dyDescent="0.3">
      <c r="M287" s="78">
        <v>45035.677083333336</v>
      </c>
      <c r="N287" s="5">
        <v>5.8478578147281503E-2</v>
      </c>
      <c r="O287" s="5">
        <v>90.492164919999993</v>
      </c>
      <c r="P287" s="2">
        <v>15477</v>
      </c>
      <c r="Q287" s="7">
        <f t="shared" si="87"/>
        <v>257.95</v>
      </c>
      <c r="R287" s="6">
        <f t="shared" si="88"/>
        <v>15.084549233091263</v>
      </c>
      <c r="S287" s="6">
        <f t="shared" si="89"/>
        <v>140.27519400832807</v>
      </c>
      <c r="T287" s="2">
        <f t="shared" si="90"/>
        <v>1</v>
      </c>
      <c r="U287" s="6">
        <f t="shared" si="91"/>
        <v>140.27519400832807</v>
      </c>
      <c r="V287">
        <f>IF((R287-$AB$774)/($Z$773-$AB$774)&lt;0, 0, IF((R287-$AB$774)/($Z$773-$AB$774)&gt;1, 1, (R287-$AB$774)/($Z$773-$AB$774)))</f>
        <v>3.500785718960004E-2</v>
      </c>
      <c r="W287" s="6">
        <f t="shared" si="92"/>
        <v>4.9107339590869881</v>
      </c>
      <c r="Y287" s="78">
        <v>45050.125</v>
      </c>
      <c r="Z287">
        <v>0.125221662559933</v>
      </c>
      <c r="AA287" s="6">
        <v>107.0292163</v>
      </c>
      <c r="AB287" s="2">
        <v>8251</v>
      </c>
      <c r="AC287" s="7">
        <f t="shared" si="93"/>
        <v>137.51666666666668</v>
      </c>
      <c r="AD287" s="7">
        <f t="shared" si="94"/>
        <v>17.220065629700123</v>
      </c>
      <c r="AE287" s="7">
        <f t="shared" si="95"/>
        <v>140.27519400832807</v>
      </c>
      <c r="AF287" s="7">
        <f t="shared" si="96"/>
        <v>1</v>
      </c>
      <c r="AG287" s="6">
        <f t="shared" si="97"/>
        <v>140.27519400832807</v>
      </c>
      <c r="AH287" s="2">
        <f t="shared" si="98"/>
        <v>1</v>
      </c>
      <c r="AI287" s="7">
        <f t="shared" si="99"/>
        <v>140.27519400832807</v>
      </c>
      <c r="AK287" s="78">
        <v>45032.677083333336</v>
      </c>
      <c r="AL287" s="5">
        <v>3.3181410877078502E-2</v>
      </c>
      <c r="AM287" s="5">
        <v>58.466044660000001</v>
      </c>
      <c r="AN287" s="2">
        <v>31965</v>
      </c>
      <c r="AO287" s="7">
        <f t="shared" si="86"/>
        <v>532.75</v>
      </c>
      <c r="AP287" s="5">
        <f t="shared" si="100"/>
        <v>17.677396644763572</v>
      </c>
      <c r="AQ287" s="6">
        <f t="shared" si="101"/>
        <v>151.60528371119918</v>
      </c>
      <c r="AR287" s="2">
        <f t="shared" si="102"/>
        <v>1</v>
      </c>
      <c r="AS287" s="2">
        <f t="shared" si="103"/>
        <v>151.60528371119918</v>
      </c>
    </row>
    <row r="288" spans="13:45" x14ac:dyDescent="0.3">
      <c r="M288" s="78">
        <v>45035.6875</v>
      </c>
      <c r="N288" s="5">
        <v>5.8962257152899197E-2</v>
      </c>
      <c r="O288" s="5">
        <v>94.720978599999995</v>
      </c>
      <c r="P288" s="2">
        <v>15239</v>
      </c>
      <c r="Q288" s="7">
        <f t="shared" si="87"/>
        <v>253.98333333333332</v>
      </c>
      <c r="R288" s="6">
        <f t="shared" si="88"/>
        <v>14.975430612550515</v>
      </c>
      <c r="S288" s="6">
        <f t="shared" si="89"/>
        <v>139.77736376146521</v>
      </c>
      <c r="T288" s="2">
        <f t="shared" si="90"/>
        <v>1</v>
      </c>
      <c r="U288" s="6">
        <f t="shared" si="91"/>
        <v>139.77736376146521</v>
      </c>
      <c r="V288">
        <f>IF((R288-$AB$774)/($Z$773-$AB$774)&lt;0, 0, IF((R288-$AB$774)/($Z$773-$AB$774)&gt;1, 1, (R288-$AB$774)/($Z$773-$AB$774)))</f>
        <v>1.5033752575174374E-2</v>
      </c>
      <c r="W288" s="6">
        <f t="shared" si="92"/>
        <v>2.101378302400013</v>
      </c>
      <c r="Y288" s="78">
        <v>45050.135416666664</v>
      </c>
      <c r="Z288">
        <v>0.116148512685152</v>
      </c>
      <c r="AA288" s="6">
        <v>126.9407683</v>
      </c>
      <c r="AB288" s="2">
        <v>8397</v>
      </c>
      <c r="AC288" s="7">
        <f t="shared" si="93"/>
        <v>139.94999999999999</v>
      </c>
      <c r="AD288" s="7">
        <f t="shared" si="94"/>
        <v>16.254984350287021</v>
      </c>
      <c r="AE288" s="7">
        <f t="shared" si="95"/>
        <v>139.77736376146521</v>
      </c>
      <c r="AF288" s="7">
        <f t="shared" si="96"/>
        <v>1</v>
      </c>
      <c r="AG288" s="6">
        <f t="shared" si="97"/>
        <v>139.77736376146521</v>
      </c>
      <c r="AH288" s="2">
        <f t="shared" si="98"/>
        <v>1</v>
      </c>
      <c r="AI288" s="7">
        <f t="shared" si="99"/>
        <v>139.77736376146521</v>
      </c>
      <c r="AK288" s="78">
        <v>45032.6875</v>
      </c>
      <c r="AL288" s="5">
        <v>3.1452889891186803E-2</v>
      </c>
      <c r="AM288" s="5">
        <v>62.3045732</v>
      </c>
      <c r="AN288" s="2">
        <v>32439</v>
      </c>
      <c r="AO288" s="7">
        <f t="shared" si="86"/>
        <v>540.65</v>
      </c>
      <c r="AP288" s="5">
        <f t="shared" si="100"/>
        <v>17.005004919670146</v>
      </c>
      <c r="AQ288" s="6">
        <f t="shared" si="101"/>
        <v>148.7534452055697</v>
      </c>
      <c r="AR288" s="2">
        <f t="shared" si="102"/>
        <v>1</v>
      </c>
      <c r="AS288" s="2">
        <f t="shared" si="103"/>
        <v>148.7534452055697</v>
      </c>
    </row>
    <row r="289" spans="13:45" x14ac:dyDescent="0.3">
      <c r="M289" s="78">
        <v>45035.697916666664</v>
      </c>
      <c r="N289" s="5">
        <v>6.16723662165043E-2</v>
      </c>
      <c r="O289" s="5">
        <v>91.345373739999999</v>
      </c>
      <c r="P289" s="2">
        <v>15014</v>
      </c>
      <c r="Q289" s="7">
        <f t="shared" si="87"/>
        <v>250.23333333333332</v>
      </c>
      <c r="R289" s="6">
        <f t="shared" si="88"/>
        <v>15.432481772909926</v>
      </c>
      <c r="S289" s="6">
        <f t="shared" si="89"/>
        <v>141.85040842436953</v>
      </c>
      <c r="T289" s="2">
        <f t="shared" si="90"/>
        <v>1</v>
      </c>
      <c r="U289" s="6">
        <f t="shared" si="91"/>
        <v>141.85040842436953</v>
      </c>
      <c r="V289">
        <f>IF((R289-$AB$774)/($Z$773-$AB$774)&lt;0, 0, IF((R289-$AB$774)/($Z$773-$AB$774)&gt;1, 1, (R289-$AB$774)/($Z$773-$AB$774)))</f>
        <v>9.8696720874470303E-2</v>
      </c>
      <c r="W289" s="6">
        <f t="shared" si="92"/>
        <v>14.00017016618961</v>
      </c>
      <c r="Y289" s="78">
        <v>45050.145833333336</v>
      </c>
      <c r="Z289">
        <v>0.122256374462352</v>
      </c>
      <c r="AA289" s="6">
        <v>110.21295859999999</v>
      </c>
      <c r="AB289" s="2">
        <v>8548</v>
      </c>
      <c r="AC289" s="7">
        <f t="shared" si="93"/>
        <v>142.46666666666667</v>
      </c>
      <c r="AD289" s="7">
        <f t="shared" si="94"/>
        <v>17.417458148403082</v>
      </c>
      <c r="AE289" s="7">
        <f t="shared" si="95"/>
        <v>141.85040842436953</v>
      </c>
      <c r="AF289" s="7">
        <f t="shared" si="96"/>
        <v>1</v>
      </c>
      <c r="AG289" s="6">
        <f t="shared" si="97"/>
        <v>141.85040842436953</v>
      </c>
      <c r="AH289" s="2">
        <f t="shared" si="98"/>
        <v>1</v>
      </c>
      <c r="AI289" s="7">
        <f t="shared" si="99"/>
        <v>141.85040842436953</v>
      </c>
      <c r="AK289" s="78">
        <v>45032.697916666664</v>
      </c>
      <c r="AL289" s="5">
        <v>3.3580439017954301E-2</v>
      </c>
      <c r="AM289" s="5">
        <v>60.40869618</v>
      </c>
      <c r="AN289" s="2">
        <v>31200</v>
      </c>
      <c r="AO289" s="7">
        <f t="shared" si="86"/>
        <v>520</v>
      </c>
      <c r="AP289" s="5">
        <f t="shared" si="100"/>
        <v>17.461828289336236</v>
      </c>
      <c r="AQ289" s="6">
        <f t="shared" si="101"/>
        <v>150.69711055047134</v>
      </c>
      <c r="AR289" s="2">
        <f t="shared" si="102"/>
        <v>1</v>
      </c>
      <c r="AS289" s="2">
        <f t="shared" si="103"/>
        <v>150.69711055047134</v>
      </c>
    </row>
    <row r="290" spans="13:45" x14ac:dyDescent="0.3">
      <c r="M290" s="78">
        <v>45035.708333333336</v>
      </c>
      <c r="N290" s="5">
        <v>5.9844633081452298E-2</v>
      </c>
      <c r="O290" s="5">
        <v>91.338086169999997</v>
      </c>
      <c r="P290" s="2">
        <v>14900</v>
      </c>
      <c r="Q290" s="7">
        <f t="shared" si="87"/>
        <v>248.33333333333334</v>
      </c>
      <c r="R290" s="6">
        <f t="shared" si="88"/>
        <v>14.861417215227322</v>
      </c>
      <c r="S290" s="6">
        <f t="shared" si="89"/>
        <v>139.25522061741438</v>
      </c>
      <c r="T290" s="2">
        <f t="shared" si="90"/>
        <v>1</v>
      </c>
      <c r="U290" s="6">
        <f t="shared" si="91"/>
        <v>139.25522061741438</v>
      </c>
      <c r="V290">
        <f>IF((R290-$AB$774)/($Z$773-$AB$774)&lt;0, 0, IF((R290-$AB$774)/($Z$773-$AB$774)&gt;1, 1, (R290-$AB$774)/($Z$773-$AB$774)))</f>
        <v>0</v>
      </c>
      <c r="W290" s="6">
        <f t="shared" si="92"/>
        <v>0</v>
      </c>
      <c r="Y290" s="78">
        <v>45050.15625</v>
      </c>
      <c r="Z290">
        <v>0.119916790121865</v>
      </c>
      <c r="AA290" s="6">
        <v>112.1752807</v>
      </c>
      <c r="AB290" s="2">
        <v>8608</v>
      </c>
      <c r="AC290" s="7">
        <f t="shared" si="93"/>
        <v>143.46666666666667</v>
      </c>
      <c r="AD290" s="7">
        <f t="shared" si="94"/>
        <v>17.204062156150233</v>
      </c>
      <c r="AE290" s="7">
        <f t="shared" si="95"/>
        <v>139.25522061741438</v>
      </c>
      <c r="AF290" s="7">
        <f t="shared" si="96"/>
        <v>1</v>
      </c>
      <c r="AG290" s="6">
        <f t="shared" si="97"/>
        <v>139.25522061741438</v>
      </c>
      <c r="AH290" s="2">
        <f t="shared" si="98"/>
        <v>1</v>
      </c>
      <c r="AI290" s="7">
        <f t="shared" si="99"/>
        <v>139.25522061741438</v>
      </c>
      <c r="AK290" s="78">
        <v>45032.708333333336</v>
      </c>
      <c r="AL290" s="5">
        <v>3.3040128626102602E-2</v>
      </c>
      <c r="AM290" s="5">
        <v>61.680991169999999</v>
      </c>
      <c r="AN290" s="2">
        <v>31520</v>
      </c>
      <c r="AO290" s="7">
        <f t="shared" si="86"/>
        <v>525.33333333333337</v>
      </c>
      <c r="AP290" s="5">
        <f t="shared" si="100"/>
        <v>17.357080904912568</v>
      </c>
      <c r="AQ290" s="6">
        <f t="shared" si="101"/>
        <v>150.25375237747693</v>
      </c>
      <c r="AR290" s="2">
        <f t="shared" si="102"/>
        <v>1</v>
      </c>
      <c r="AS290" s="2">
        <f t="shared" si="103"/>
        <v>150.25375237747693</v>
      </c>
    </row>
    <row r="291" spans="13:45" x14ac:dyDescent="0.3">
      <c r="M291" s="78">
        <v>45035.71875</v>
      </c>
      <c r="N291" s="5">
        <v>5.5608877457106701E-2</v>
      </c>
      <c r="O291" s="5">
        <v>91.338086169999997</v>
      </c>
      <c r="P291" s="2">
        <v>16649</v>
      </c>
      <c r="Q291" s="7">
        <f t="shared" si="87"/>
        <v>277.48333333333335</v>
      </c>
      <c r="R291" s="6">
        <f t="shared" si="88"/>
        <v>15.430536679722826</v>
      </c>
      <c r="S291" s="6">
        <f t="shared" si="89"/>
        <v>141.84165295764834</v>
      </c>
      <c r="T291" s="2">
        <f t="shared" si="90"/>
        <v>1</v>
      </c>
      <c r="U291" s="6">
        <f t="shared" si="91"/>
        <v>141.84165295764834</v>
      </c>
      <c r="V291">
        <f>IF((R291-$AB$774)/($Z$773-$AB$774)&lt;0, 0, IF((R291-$AB$774)/($Z$773-$AB$774)&gt;1, 1, (R291-$AB$774)/($Z$773-$AB$774)))</f>
        <v>9.8340672616057501E-2</v>
      </c>
      <c r="W291" s="6">
        <f t="shared" si="92"/>
        <v>13.948803556828539</v>
      </c>
      <c r="Y291" s="78">
        <v>45050.166666666664</v>
      </c>
      <c r="Z291">
        <v>0.120513265749927</v>
      </c>
      <c r="AA291" s="6">
        <v>112.1752807</v>
      </c>
      <c r="AB291" s="2">
        <v>8390</v>
      </c>
      <c r="AC291" s="7">
        <f t="shared" si="93"/>
        <v>139.83333333333334</v>
      </c>
      <c r="AD291" s="7">
        <f t="shared" si="94"/>
        <v>16.851771660698127</v>
      </c>
      <c r="AE291" s="7">
        <f t="shared" si="95"/>
        <v>141.84165295764834</v>
      </c>
      <c r="AF291" s="7">
        <f t="shared" si="96"/>
        <v>1</v>
      </c>
      <c r="AG291" s="6">
        <f t="shared" si="97"/>
        <v>141.84165295764834</v>
      </c>
      <c r="AH291" s="2">
        <f t="shared" si="98"/>
        <v>1</v>
      </c>
      <c r="AI291" s="7">
        <f t="shared" si="99"/>
        <v>141.84165295764834</v>
      </c>
      <c r="AK291" s="78">
        <v>45032.71875</v>
      </c>
      <c r="AL291" s="5">
        <v>3.0926009199393499E-2</v>
      </c>
      <c r="AM291" s="5">
        <v>54.48183384</v>
      </c>
      <c r="AN291" s="2">
        <v>31908</v>
      </c>
      <c r="AO291" s="7">
        <f t="shared" si="86"/>
        <v>531.79999999999995</v>
      </c>
      <c r="AP291" s="5">
        <f t="shared" si="100"/>
        <v>16.44645169223746</v>
      </c>
      <c r="AQ291" s="6">
        <f t="shared" si="101"/>
        <v>146.34037236081548</v>
      </c>
      <c r="AR291" s="2">
        <f t="shared" si="102"/>
        <v>1</v>
      </c>
      <c r="AS291" s="2">
        <f t="shared" si="103"/>
        <v>146.34037236081548</v>
      </c>
    </row>
    <row r="292" spans="13:45" x14ac:dyDescent="0.3">
      <c r="M292" s="78">
        <v>45035.729166666664</v>
      </c>
      <c r="N292" s="5">
        <v>5.49444319942336E-2</v>
      </c>
      <c r="O292" s="5">
        <v>96.815355729999993</v>
      </c>
      <c r="P292" s="2">
        <v>16729</v>
      </c>
      <c r="Q292" s="7">
        <f t="shared" si="87"/>
        <v>278.81666666666666</v>
      </c>
      <c r="R292" s="6">
        <f t="shared" si="88"/>
        <v>15.319423380525565</v>
      </c>
      <c r="S292" s="6">
        <f t="shared" si="89"/>
        <v>141.34055919386535</v>
      </c>
      <c r="T292" s="2">
        <f t="shared" si="90"/>
        <v>1</v>
      </c>
      <c r="U292" s="6">
        <f t="shared" si="91"/>
        <v>141.34055919386535</v>
      </c>
      <c r="V292">
        <f>IF((R292-$AB$774)/($Z$773-$AB$774)&lt;0, 0, IF((R292-$AB$774)/($Z$773-$AB$774)&gt;1, 1, (R292-$AB$774)/($Z$773-$AB$774)))</f>
        <v>7.8001443149797248E-2</v>
      </c>
      <c r="W292" s="6">
        <f t="shared" si="92"/>
        <v>11.02476759272084</v>
      </c>
      <c r="Y292" s="78">
        <v>45050.177083333336</v>
      </c>
      <c r="Z292">
        <v>0.11567342493522299</v>
      </c>
      <c r="AA292" s="6">
        <v>110.9974619</v>
      </c>
      <c r="AB292" s="2">
        <v>8248</v>
      </c>
      <c r="AC292" s="7">
        <f t="shared" si="93"/>
        <v>137.46666666666667</v>
      </c>
      <c r="AD292" s="7">
        <f t="shared" si="94"/>
        <v>15.901240147761987</v>
      </c>
      <c r="AE292" s="7">
        <f t="shared" si="95"/>
        <v>141.34055919386535</v>
      </c>
      <c r="AF292" s="7">
        <f t="shared" si="96"/>
        <v>1</v>
      </c>
      <c r="AG292" s="6">
        <f t="shared" si="97"/>
        <v>141.34055919386535</v>
      </c>
      <c r="AH292" s="2">
        <f t="shared" si="98"/>
        <v>1</v>
      </c>
      <c r="AI292" s="7">
        <f t="shared" si="99"/>
        <v>141.34055919386535</v>
      </c>
      <c r="AK292" s="78">
        <v>45032.729166666664</v>
      </c>
      <c r="AL292" s="5">
        <v>3.4254902852452702E-2</v>
      </c>
      <c r="AM292" s="5">
        <v>57.814717760000001</v>
      </c>
      <c r="AN292" s="2">
        <v>30810</v>
      </c>
      <c r="AO292" s="7">
        <f t="shared" ref="AO292:AO355" si="104">AN292/60</f>
        <v>513.5</v>
      </c>
      <c r="AP292" s="5">
        <f t="shared" si="100"/>
        <v>17.589892614734463</v>
      </c>
      <c r="AQ292" s="6">
        <f t="shared" si="101"/>
        <v>151.23732106821566</v>
      </c>
      <c r="AR292" s="2">
        <f t="shared" si="102"/>
        <v>1</v>
      </c>
      <c r="AS292" s="2">
        <f t="shared" si="103"/>
        <v>151.23732106821566</v>
      </c>
    </row>
    <row r="293" spans="13:45" x14ac:dyDescent="0.3">
      <c r="M293" s="78">
        <v>45035.739583333336</v>
      </c>
      <c r="N293" s="5">
        <v>4.7416071008945897E-2</v>
      </c>
      <c r="O293" s="5">
        <v>93.457733590000004</v>
      </c>
      <c r="P293" s="2">
        <v>17947</v>
      </c>
      <c r="Q293" s="7">
        <f t="shared" si="87"/>
        <v>299.11666666666667</v>
      </c>
      <c r="R293" s="6">
        <f t="shared" si="88"/>
        <v>14.182937106625868</v>
      </c>
      <c r="S293" s="6">
        <f t="shared" si="89"/>
        <v>136.10481500462865</v>
      </c>
      <c r="T293" s="2">
        <f t="shared" si="90"/>
        <v>1</v>
      </c>
      <c r="U293" s="6">
        <f t="shared" si="91"/>
        <v>136.10481500462865</v>
      </c>
      <c r="V293">
        <f>IF((R293-$AB$774)/($Z$773-$AB$774)&lt;0, 0, IF((R293-$AB$774)/($Z$773-$AB$774)&gt;1, 1, (R293-$AB$774)/($Z$773-$AB$774)))</f>
        <v>0</v>
      </c>
      <c r="W293" s="6">
        <f t="shared" si="92"/>
        <v>0</v>
      </c>
      <c r="Y293" s="78">
        <v>45050.1875</v>
      </c>
      <c r="Z293">
        <v>0.147470909317377</v>
      </c>
      <c r="AA293" s="6">
        <v>119.87671349999999</v>
      </c>
      <c r="AB293" s="2">
        <v>8169</v>
      </c>
      <c r="AC293" s="7">
        <f t="shared" si="93"/>
        <v>136.15</v>
      </c>
      <c r="AD293" s="7">
        <f t="shared" si="94"/>
        <v>20.078164303560879</v>
      </c>
      <c r="AE293" s="7">
        <f t="shared" si="95"/>
        <v>136.10481500462865</v>
      </c>
      <c r="AF293" s="7">
        <f t="shared" si="96"/>
        <v>1</v>
      </c>
      <c r="AG293" s="6">
        <f t="shared" si="97"/>
        <v>136.10481500462865</v>
      </c>
      <c r="AH293" s="2">
        <f t="shared" si="98"/>
        <v>1</v>
      </c>
      <c r="AI293" s="7">
        <f t="shared" si="99"/>
        <v>136.10481500462865</v>
      </c>
      <c r="AK293" s="78">
        <v>45032.739583333336</v>
      </c>
      <c r="AL293" s="5">
        <v>3.3297769152469799E-2</v>
      </c>
      <c r="AM293" s="5">
        <v>54.48183384</v>
      </c>
      <c r="AN293" s="2">
        <v>30692</v>
      </c>
      <c r="AO293" s="7">
        <f t="shared" si="104"/>
        <v>511.53333333333336</v>
      </c>
      <c r="AP293" s="5">
        <f t="shared" si="100"/>
        <v>17.032918847126719</v>
      </c>
      <c r="AQ293" s="6">
        <f t="shared" si="101"/>
        <v>148.87297042133457</v>
      </c>
      <c r="AR293" s="2">
        <f t="shared" si="102"/>
        <v>1</v>
      </c>
      <c r="AS293" s="2">
        <f t="shared" si="103"/>
        <v>148.87297042133457</v>
      </c>
    </row>
    <row r="294" spans="13:45" x14ac:dyDescent="0.3">
      <c r="M294" s="78">
        <v>45035.75</v>
      </c>
      <c r="N294" s="5">
        <v>5.1030119495811002E-2</v>
      </c>
      <c r="O294" s="5">
        <v>92.610732819999996</v>
      </c>
      <c r="P294" s="2">
        <v>18142</v>
      </c>
      <c r="Q294" s="7">
        <f t="shared" si="87"/>
        <v>302.36666666666667</v>
      </c>
      <c r="R294" s="6">
        <f t="shared" si="88"/>
        <v>15.429807131550053</v>
      </c>
      <c r="S294" s="6">
        <f t="shared" si="89"/>
        <v>141.83836889018806</v>
      </c>
      <c r="T294" s="2">
        <f t="shared" si="90"/>
        <v>1</v>
      </c>
      <c r="U294" s="6">
        <f t="shared" si="91"/>
        <v>141.83836889018806</v>
      </c>
      <c r="V294">
        <f>IF((R294-$AB$774)/($Z$773-$AB$774)&lt;0, 0, IF((R294-$AB$774)/($Z$773-$AB$774)&gt;1, 1, (R294-$AB$774)/($Z$773-$AB$774)))</f>
        <v>9.8207129216663233E-2</v>
      </c>
      <c r="W294" s="6">
        <f t="shared" si="92"/>
        <v>13.929539021479446</v>
      </c>
      <c r="Y294" s="78">
        <v>45050.197916666664</v>
      </c>
      <c r="Z294">
        <v>0.13477928885725299</v>
      </c>
      <c r="AA294" s="6">
        <v>114.8986831</v>
      </c>
      <c r="AB294" s="2">
        <v>8315</v>
      </c>
      <c r="AC294" s="7">
        <f t="shared" si="93"/>
        <v>138.58333333333334</v>
      </c>
      <c r="AD294" s="7">
        <f t="shared" si="94"/>
        <v>18.678163114134311</v>
      </c>
      <c r="AE294" s="7">
        <f t="shared" si="95"/>
        <v>141.83836889018806</v>
      </c>
      <c r="AF294" s="7">
        <f t="shared" si="96"/>
        <v>1</v>
      </c>
      <c r="AG294" s="6">
        <f t="shared" si="97"/>
        <v>141.83836889018806</v>
      </c>
      <c r="AH294" s="2">
        <f t="shared" si="98"/>
        <v>1</v>
      </c>
      <c r="AI294" s="7">
        <f t="shared" si="99"/>
        <v>141.83836889018806</v>
      </c>
      <c r="AK294" s="78">
        <v>45032.75</v>
      </c>
      <c r="AL294" s="5">
        <v>3.5722869331668398E-2</v>
      </c>
      <c r="AM294" s="5">
        <v>60.40869618</v>
      </c>
      <c r="AN294" s="2">
        <v>30435</v>
      </c>
      <c r="AO294" s="7">
        <f t="shared" si="104"/>
        <v>507.25</v>
      </c>
      <c r="AP294" s="5">
        <f t="shared" si="100"/>
        <v>18.120425468488794</v>
      </c>
      <c r="AQ294" s="6">
        <f t="shared" si="101"/>
        <v>153.45415553916456</v>
      </c>
      <c r="AR294" s="2">
        <f t="shared" si="102"/>
        <v>1</v>
      </c>
      <c r="AS294" s="2">
        <f t="shared" si="103"/>
        <v>153.45415553916456</v>
      </c>
    </row>
    <row r="295" spans="13:45" x14ac:dyDescent="0.3">
      <c r="M295" s="78">
        <v>45035.760416666664</v>
      </c>
      <c r="N295" s="5">
        <v>4.9680856317009699E-2</v>
      </c>
      <c r="O295" s="5">
        <v>93.457733590000004</v>
      </c>
      <c r="P295" s="2">
        <v>18320</v>
      </c>
      <c r="Q295" s="7">
        <f t="shared" si="87"/>
        <v>305.33333333333331</v>
      </c>
      <c r="R295" s="6">
        <f t="shared" si="88"/>
        <v>15.169221462126961</v>
      </c>
      <c r="S295" s="6">
        <f t="shared" si="89"/>
        <v>140.66022789119694</v>
      </c>
      <c r="T295" s="2">
        <f t="shared" si="90"/>
        <v>1</v>
      </c>
      <c r="U295" s="6">
        <f t="shared" si="91"/>
        <v>140.66022789119694</v>
      </c>
      <c r="V295">
        <f>IF((R295-$AB$774)/($Z$773-$AB$774)&lt;0, 0, IF((R295-$AB$774)/($Z$773-$AB$774)&gt;1, 1, (R295-$AB$774)/($Z$773-$AB$774)))</f>
        <v>5.0507063029212755E-2</v>
      </c>
      <c r="W295" s="6">
        <f t="shared" si="92"/>
        <v>7.1043349958041135</v>
      </c>
      <c r="Y295" s="78">
        <v>45050.208333333336</v>
      </c>
      <c r="Z295">
        <v>0.147720453050458</v>
      </c>
      <c r="AA295" s="6">
        <v>110.9974619</v>
      </c>
      <c r="AB295" s="2">
        <v>8455</v>
      </c>
      <c r="AC295" s="7">
        <f t="shared" si="93"/>
        <v>140.91666666666666</v>
      </c>
      <c r="AD295" s="7">
        <f t="shared" si="94"/>
        <v>20.816273842360371</v>
      </c>
      <c r="AE295" s="7">
        <f t="shared" si="95"/>
        <v>140.66022789119694</v>
      </c>
      <c r="AF295" s="7">
        <f t="shared" si="96"/>
        <v>1</v>
      </c>
      <c r="AG295" s="6">
        <f t="shared" si="97"/>
        <v>140.66022789119694</v>
      </c>
      <c r="AH295" s="2">
        <f t="shared" si="98"/>
        <v>1</v>
      </c>
      <c r="AI295" s="7">
        <f t="shared" si="99"/>
        <v>140.66022789119694</v>
      </c>
      <c r="AK295" s="78">
        <v>45032.760416666664</v>
      </c>
      <c r="AL295" s="5">
        <v>3.5605872053181997E-2</v>
      </c>
      <c r="AM295" s="5">
        <v>56.488631689999998</v>
      </c>
      <c r="AN295" s="2">
        <v>31362</v>
      </c>
      <c r="AO295" s="7">
        <f t="shared" si="104"/>
        <v>522.70000000000005</v>
      </c>
      <c r="AP295" s="5">
        <f t="shared" si="100"/>
        <v>18.611189322198232</v>
      </c>
      <c r="AQ295" s="6">
        <f t="shared" si="101"/>
        <v>155.47550734959668</v>
      </c>
      <c r="AR295" s="2">
        <f t="shared" si="102"/>
        <v>1</v>
      </c>
      <c r="AS295" s="2">
        <f t="shared" si="103"/>
        <v>155.47550734959668</v>
      </c>
    </row>
    <row r="296" spans="13:45" x14ac:dyDescent="0.3">
      <c r="M296" s="78">
        <v>45035.770833333336</v>
      </c>
      <c r="N296" s="5">
        <v>5.0760917475443298E-2</v>
      </c>
      <c r="O296" s="5">
        <v>93.457733590000004</v>
      </c>
      <c r="P296" s="2">
        <v>18871</v>
      </c>
      <c r="Q296" s="7">
        <f t="shared" si="87"/>
        <v>314.51666666666665</v>
      </c>
      <c r="R296" s="6">
        <f t="shared" si="88"/>
        <v>15.965154561318174</v>
      </c>
      <c r="S296" s="6">
        <f t="shared" si="89"/>
        <v>144.22729992122535</v>
      </c>
      <c r="T296" s="2">
        <f t="shared" si="90"/>
        <v>1</v>
      </c>
      <c r="U296" s="6">
        <f t="shared" si="91"/>
        <v>144.22729992122535</v>
      </c>
      <c r="V296">
        <f>IF((R296-$AB$774)/($Z$773-$AB$774)&lt;0, 0, IF((R296-$AB$774)/($Z$773-$AB$774)&gt;1, 1, (R296-$AB$774)/($Z$773-$AB$774)))</f>
        <v>0.1962021873860362</v>
      </c>
      <c r="W296" s="6">
        <f t="shared" si="92"/>
        <v>28.297711725326302</v>
      </c>
      <c r="Y296" s="78">
        <v>45050.21875</v>
      </c>
      <c r="Z296">
        <v>0.115925384579442</v>
      </c>
      <c r="AA296" s="6">
        <v>109.01829240000001</v>
      </c>
      <c r="AB296" s="2">
        <v>8601</v>
      </c>
      <c r="AC296" s="7">
        <f t="shared" si="93"/>
        <v>143.35</v>
      </c>
      <c r="AD296" s="7">
        <f t="shared" si="94"/>
        <v>16.617903879463011</v>
      </c>
      <c r="AE296" s="7">
        <f t="shared" si="95"/>
        <v>144.22729992122535</v>
      </c>
      <c r="AF296" s="7">
        <f t="shared" si="96"/>
        <v>1</v>
      </c>
      <c r="AG296" s="6">
        <f t="shared" si="97"/>
        <v>144.22729992122535</v>
      </c>
      <c r="AH296" s="2">
        <f t="shared" si="98"/>
        <v>1</v>
      </c>
      <c r="AI296" s="7">
        <f t="shared" si="99"/>
        <v>144.22729992122535</v>
      </c>
      <c r="AK296" s="78">
        <v>45032.770833333336</v>
      </c>
      <c r="AL296" s="5">
        <v>3.3346149925074099E-2</v>
      </c>
      <c r="AM296" s="5">
        <v>60.40869618</v>
      </c>
      <c r="AN296" s="2">
        <v>30979</v>
      </c>
      <c r="AO296" s="7">
        <f t="shared" si="104"/>
        <v>516.31666666666672</v>
      </c>
      <c r="AP296" s="5">
        <f t="shared" si="100"/>
        <v>17.217172975481176</v>
      </c>
      <c r="AQ296" s="6">
        <f t="shared" si="101"/>
        <v>149.65943697748801</v>
      </c>
      <c r="AR296" s="2">
        <f t="shared" si="102"/>
        <v>1</v>
      </c>
      <c r="AS296" s="2">
        <f t="shared" si="103"/>
        <v>149.65943697748801</v>
      </c>
    </row>
    <row r="297" spans="13:45" x14ac:dyDescent="0.3">
      <c r="M297" s="78">
        <v>45035.78125</v>
      </c>
      <c r="N297" s="5">
        <v>4.2477898732535102E-2</v>
      </c>
      <c r="O297" s="5">
        <v>88.777035049999995</v>
      </c>
      <c r="P297" s="2">
        <v>19957</v>
      </c>
      <c r="Q297" s="7">
        <f t="shared" si="87"/>
        <v>332.61666666666667</v>
      </c>
      <c r="R297" s="6">
        <f t="shared" si="88"/>
        <v>14.128857083420051</v>
      </c>
      <c r="S297" s="6">
        <f t="shared" si="89"/>
        <v>135.85042653896056</v>
      </c>
      <c r="T297" s="2">
        <f t="shared" si="90"/>
        <v>1</v>
      </c>
      <c r="U297" s="6">
        <f t="shared" si="91"/>
        <v>135.85042653896056</v>
      </c>
      <c r="V297">
        <f>IF((R297-$AB$774)/($Z$773-$AB$774)&lt;0, 0, IF((R297-$AB$774)/($Z$773-$AB$774)&gt;1, 1, (R297-$AB$774)/($Z$773-$AB$774)))</f>
        <v>0</v>
      </c>
      <c r="W297" s="6">
        <f t="shared" si="92"/>
        <v>0</v>
      </c>
      <c r="Y297" s="78">
        <v>45050.229166666664</v>
      </c>
      <c r="Z297">
        <v>0.116789910477303</v>
      </c>
      <c r="AA297" s="6">
        <v>107.8236938</v>
      </c>
      <c r="AB297" s="2">
        <v>8412</v>
      </c>
      <c r="AC297" s="7">
        <f t="shared" si="93"/>
        <v>140.19999999999999</v>
      </c>
      <c r="AD297" s="7">
        <f t="shared" si="94"/>
        <v>16.37394544891788</v>
      </c>
      <c r="AE297" s="7">
        <f t="shared" si="95"/>
        <v>135.85042653896056</v>
      </c>
      <c r="AF297" s="7">
        <f t="shared" si="96"/>
        <v>1</v>
      </c>
      <c r="AG297" s="6">
        <f t="shared" si="97"/>
        <v>135.85042653896056</v>
      </c>
      <c r="AH297" s="2">
        <f t="shared" si="98"/>
        <v>1</v>
      </c>
      <c r="AI297" s="7">
        <f t="shared" si="99"/>
        <v>135.85042653896056</v>
      </c>
      <c r="AK297" s="78">
        <v>45032.78125</v>
      </c>
      <c r="AL297" s="5">
        <v>3.4326274060011097E-2</v>
      </c>
      <c r="AM297" s="5">
        <v>56.500021050000001</v>
      </c>
      <c r="AN297" s="2">
        <v>31725</v>
      </c>
      <c r="AO297" s="7">
        <f t="shared" si="104"/>
        <v>528.75</v>
      </c>
      <c r="AP297" s="5">
        <f t="shared" si="100"/>
        <v>18.150017409230866</v>
      </c>
      <c r="AQ297" s="6">
        <f t="shared" si="101"/>
        <v>153.5768240139783</v>
      </c>
      <c r="AR297" s="2">
        <f t="shared" si="102"/>
        <v>1</v>
      </c>
      <c r="AS297" s="2">
        <f t="shared" si="103"/>
        <v>153.5768240139783</v>
      </c>
    </row>
    <row r="298" spans="13:45" x14ac:dyDescent="0.3">
      <c r="M298" s="78">
        <v>45035.791666666664</v>
      </c>
      <c r="N298" s="5">
        <v>4.1121641939483498E-2</v>
      </c>
      <c r="O298" s="5">
        <v>85.762083380000007</v>
      </c>
      <c r="P298" s="2">
        <v>20325</v>
      </c>
      <c r="Q298" s="7">
        <f t="shared" si="87"/>
        <v>338.75</v>
      </c>
      <c r="R298" s="6">
        <f t="shared" si="88"/>
        <v>13.929956207000036</v>
      </c>
      <c r="S298" s="6">
        <f t="shared" si="89"/>
        <v>134.91051054418185</v>
      </c>
      <c r="T298" s="2">
        <f t="shared" si="90"/>
        <v>1</v>
      </c>
      <c r="U298" s="6">
        <f t="shared" si="91"/>
        <v>134.91051054418185</v>
      </c>
      <c r="V298">
        <f>IF((R298-$AB$774)/($Z$773-$AB$774)&lt;0, 0, IF((R298-$AB$774)/($Z$773-$AB$774)&gt;1, 1, (R298-$AB$774)/($Z$773-$AB$774)))</f>
        <v>0</v>
      </c>
      <c r="W298" s="6">
        <f t="shared" si="92"/>
        <v>0</v>
      </c>
      <c r="Y298" s="78">
        <v>45050.239583333336</v>
      </c>
      <c r="Z298">
        <v>0.131094256511428</v>
      </c>
      <c r="AA298" s="6">
        <v>113.3477233</v>
      </c>
      <c r="AB298" s="2">
        <v>8296</v>
      </c>
      <c r="AC298" s="7">
        <f t="shared" si="93"/>
        <v>138.26666666666668</v>
      </c>
      <c r="AD298" s="7">
        <f t="shared" si="94"/>
        <v>18.125965866980113</v>
      </c>
      <c r="AE298" s="7">
        <f t="shared" si="95"/>
        <v>134.91051054418185</v>
      </c>
      <c r="AF298" s="7">
        <f t="shared" si="96"/>
        <v>1</v>
      </c>
      <c r="AG298" s="6">
        <f t="shared" si="97"/>
        <v>134.91051054418185</v>
      </c>
      <c r="AH298" s="2">
        <f t="shared" si="98"/>
        <v>1</v>
      </c>
      <c r="AI298" s="7">
        <f t="shared" si="99"/>
        <v>134.91051054418185</v>
      </c>
      <c r="AK298" s="78">
        <v>45032.791666666664</v>
      </c>
      <c r="AL298" s="5">
        <v>3.4628870840392303E-2</v>
      </c>
      <c r="AM298" s="5">
        <v>56.500021050000001</v>
      </c>
      <c r="AN298" s="2">
        <v>30910</v>
      </c>
      <c r="AO298" s="7">
        <f t="shared" si="104"/>
        <v>515.16666666666663</v>
      </c>
      <c r="AP298" s="5">
        <f t="shared" si="100"/>
        <v>17.839639961275434</v>
      </c>
      <c r="AQ298" s="6">
        <f t="shared" si="101"/>
        <v>152.2850809923753</v>
      </c>
      <c r="AR298" s="2">
        <f t="shared" si="102"/>
        <v>1</v>
      </c>
      <c r="AS298" s="2">
        <f t="shared" si="103"/>
        <v>152.2850809923753</v>
      </c>
    </row>
    <row r="299" spans="13:45" x14ac:dyDescent="0.3">
      <c r="M299" s="78">
        <v>45035.802083333336</v>
      </c>
      <c r="N299" s="5">
        <v>4.4395585952978302E-2</v>
      </c>
      <c r="O299" s="5">
        <v>84.460540300000005</v>
      </c>
      <c r="P299" s="2">
        <v>19623</v>
      </c>
      <c r="Q299" s="7">
        <f t="shared" si="87"/>
        <v>327.05</v>
      </c>
      <c r="R299" s="6">
        <f t="shared" si="88"/>
        <v>14.519576385921555</v>
      </c>
      <c r="S299" s="6">
        <f t="shared" si="89"/>
        <v>137.67733155835379</v>
      </c>
      <c r="T299" s="2">
        <f t="shared" si="90"/>
        <v>1</v>
      </c>
      <c r="U299" s="6">
        <f t="shared" si="91"/>
        <v>137.67733155835379</v>
      </c>
      <c r="V299">
        <f>IF((R299-$AB$774)/($Z$773-$AB$774)&lt;0, 0, IF((R299-$AB$774)/($Z$773-$AB$774)&gt;1, 1, (R299-$AB$774)/($Z$773-$AB$774)))</f>
        <v>0</v>
      </c>
      <c r="W299" s="6">
        <f t="shared" si="92"/>
        <v>0</v>
      </c>
      <c r="Y299" s="78">
        <v>45050.25</v>
      </c>
      <c r="Z299">
        <v>0.112137140839835</v>
      </c>
      <c r="AA299" s="6">
        <v>116.4455014</v>
      </c>
      <c r="AB299" s="2">
        <v>8575</v>
      </c>
      <c r="AC299" s="7">
        <f t="shared" si="93"/>
        <v>142.91666666666666</v>
      </c>
      <c r="AD299" s="7">
        <f t="shared" si="94"/>
        <v>16.02626637835975</v>
      </c>
      <c r="AE299" s="7">
        <f t="shared" si="95"/>
        <v>137.67733155835379</v>
      </c>
      <c r="AF299" s="7">
        <f t="shared" si="96"/>
        <v>1</v>
      </c>
      <c r="AG299" s="6">
        <f t="shared" si="97"/>
        <v>137.67733155835379</v>
      </c>
      <c r="AH299" s="2">
        <f t="shared" si="98"/>
        <v>1</v>
      </c>
      <c r="AI299" s="7">
        <f t="shared" si="99"/>
        <v>137.67733155835379</v>
      </c>
      <c r="AK299" s="78">
        <v>45032.802083333336</v>
      </c>
      <c r="AL299" s="5">
        <v>3.44127329604084E-2</v>
      </c>
      <c r="AM299" s="5">
        <v>56.500021050000001</v>
      </c>
      <c r="AN299" s="2">
        <v>29885</v>
      </c>
      <c r="AO299" s="7">
        <f t="shared" si="104"/>
        <v>498.08333333333331</v>
      </c>
      <c r="AP299" s="5">
        <f t="shared" si="100"/>
        <v>17.140408742030083</v>
      </c>
      <c r="AQ299" s="6">
        <f t="shared" si="101"/>
        <v>149.3323026092929</v>
      </c>
      <c r="AR299" s="2">
        <f t="shared" si="102"/>
        <v>1</v>
      </c>
      <c r="AS299" s="2">
        <f t="shared" si="103"/>
        <v>149.3323026092929</v>
      </c>
    </row>
    <row r="300" spans="13:45" x14ac:dyDescent="0.3">
      <c r="M300" s="78">
        <v>45035.8125</v>
      </c>
      <c r="N300" s="5">
        <v>4.3363813989695202E-2</v>
      </c>
      <c r="O300" s="5">
        <v>86.622428940000006</v>
      </c>
      <c r="P300" s="2">
        <v>20408</v>
      </c>
      <c r="Q300" s="7">
        <f t="shared" si="87"/>
        <v>340.13333333333333</v>
      </c>
      <c r="R300" s="6">
        <f t="shared" si="88"/>
        <v>14.749478598361661</v>
      </c>
      <c r="S300" s="6">
        <f t="shared" si="89"/>
        <v>138.74058680940757</v>
      </c>
      <c r="T300" s="2">
        <f t="shared" si="90"/>
        <v>1</v>
      </c>
      <c r="U300" s="6">
        <f t="shared" si="91"/>
        <v>138.74058680940757</v>
      </c>
      <c r="V300">
        <f>IF((R300-$AB$774)/($Z$773-$AB$774)&lt;0, 0, IF((R300-$AB$774)/($Z$773-$AB$774)&gt;1, 1, (R300-$AB$774)/($Z$773-$AB$774)))</f>
        <v>0</v>
      </c>
      <c r="W300" s="6">
        <f t="shared" si="92"/>
        <v>0</v>
      </c>
      <c r="Y300" s="78">
        <v>45050.260416666664</v>
      </c>
      <c r="Z300">
        <v>0.13900290306692401</v>
      </c>
      <c r="AA300" s="6">
        <v>111.7853645</v>
      </c>
      <c r="AB300" s="2">
        <v>8390</v>
      </c>
      <c r="AC300" s="7">
        <f t="shared" si="93"/>
        <v>139.83333333333334</v>
      </c>
      <c r="AD300" s="7">
        <f t="shared" si="94"/>
        <v>19.437239278858208</v>
      </c>
      <c r="AE300" s="7">
        <f t="shared" si="95"/>
        <v>138.74058680940757</v>
      </c>
      <c r="AF300" s="7">
        <f t="shared" si="96"/>
        <v>1</v>
      </c>
      <c r="AG300" s="6">
        <f t="shared" si="97"/>
        <v>138.74058680940757</v>
      </c>
      <c r="AH300" s="2">
        <f t="shared" si="98"/>
        <v>1</v>
      </c>
      <c r="AI300" s="7">
        <f t="shared" si="99"/>
        <v>138.74058680940757</v>
      </c>
      <c r="AK300" s="78">
        <v>45032.8125</v>
      </c>
      <c r="AL300" s="5">
        <v>4.3609919683735898E-2</v>
      </c>
      <c r="AM300" s="5">
        <v>56.500021050000001</v>
      </c>
      <c r="AN300" s="2">
        <v>28432</v>
      </c>
      <c r="AO300" s="7">
        <f t="shared" si="104"/>
        <v>473.86666666666667</v>
      </c>
      <c r="AP300" s="5">
        <f t="shared" si="100"/>
        <v>20.665287274132986</v>
      </c>
      <c r="AQ300" s="6">
        <f t="shared" si="101"/>
        <v>163.6542654847311</v>
      </c>
      <c r="AR300" s="2">
        <f t="shared" si="102"/>
        <v>1</v>
      </c>
      <c r="AS300" s="2">
        <f t="shared" si="103"/>
        <v>163.6542654847311</v>
      </c>
    </row>
    <row r="301" spans="13:45" x14ac:dyDescent="0.3">
      <c r="M301" s="78">
        <v>45035.822916666664</v>
      </c>
      <c r="N301" s="5">
        <v>4.3265204414402E-2</v>
      </c>
      <c r="O301" s="5">
        <v>84.460540300000005</v>
      </c>
      <c r="P301" s="2">
        <v>20320</v>
      </c>
      <c r="Q301" s="7">
        <f t="shared" si="87"/>
        <v>338.66666666666669</v>
      </c>
      <c r="R301" s="6">
        <f t="shared" si="88"/>
        <v>14.652482561677479</v>
      </c>
      <c r="S301" s="6">
        <f t="shared" si="89"/>
        <v>138.29303689947977</v>
      </c>
      <c r="T301" s="2">
        <f t="shared" si="90"/>
        <v>1</v>
      </c>
      <c r="U301" s="6">
        <f t="shared" si="91"/>
        <v>138.29303689947977</v>
      </c>
      <c r="V301">
        <f>IF((R301-$AB$774)/($Z$773-$AB$774)&lt;0, 0, IF((R301-$AB$774)/($Z$773-$AB$774)&gt;1, 1, (R301-$AB$774)/($Z$773-$AB$774)))</f>
        <v>0</v>
      </c>
      <c r="W301" s="6">
        <f t="shared" si="92"/>
        <v>0</v>
      </c>
      <c r="Y301" s="78">
        <v>45050.270833333336</v>
      </c>
      <c r="Z301">
        <v>0.11622427467045</v>
      </c>
      <c r="AA301" s="6">
        <v>109.0251016</v>
      </c>
      <c r="AB301" s="2">
        <v>8611</v>
      </c>
      <c r="AC301" s="7">
        <f t="shared" si="93"/>
        <v>143.51666666666668</v>
      </c>
      <c r="AD301" s="7">
        <f t="shared" si="94"/>
        <v>16.680120486454083</v>
      </c>
      <c r="AE301" s="7">
        <f t="shared" si="95"/>
        <v>138.29303689947977</v>
      </c>
      <c r="AF301" s="7">
        <f t="shared" si="96"/>
        <v>1</v>
      </c>
      <c r="AG301" s="6">
        <f t="shared" si="97"/>
        <v>138.29303689947977</v>
      </c>
      <c r="AH301" s="2">
        <f t="shared" si="98"/>
        <v>1</v>
      </c>
      <c r="AI301" s="7">
        <f t="shared" si="99"/>
        <v>138.29303689947977</v>
      </c>
      <c r="AK301" s="78">
        <v>45032.822916666664</v>
      </c>
      <c r="AL301" s="5">
        <v>3.7462336560132599E-2</v>
      </c>
      <c r="AM301" s="5">
        <v>61.680991169999999</v>
      </c>
      <c r="AN301" s="2">
        <v>28657</v>
      </c>
      <c r="AO301" s="7">
        <f t="shared" si="104"/>
        <v>477.61666666666667</v>
      </c>
      <c r="AP301" s="5">
        <f t="shared" si="100"/>
        <v>17.892636313395332</v>
      </c>
      <c r="AQ301" s="6">
        <f t="shared" si="101"/>
        <v>152.50645087589714</v>
      </c>
      <c r="AR301" s="2">
        <f t="shared" si="102"/>
        <v>1</v>
      </c>
      <c r="AS301" s="2">
        <f t="shared" si="103"/>
        <v>152.50645087589714</v>
      </c>
    </row>
    <row r="302" spans="13:45" x14ac:dyDescent="0.3">
      <c r="M302" s="78">
        <v>45035.833333333336</v>
      </c>
      <c r="N302" s="5">
        <v>4.4806393689452002E-2</v>
      </c>
      <c r="O302" s="5">
        <v>81.841333250000005</v>
      </c>
      <c r="P302" s="2">
        <v>19908</v>
      </c>
      <c r="Q302" s="7">
        <f t="shared" si="87"/>
        <v>331.8</v>
      </c>
      <c r="R302" s="6">
        <f t="shared" si="88"/>
        <v>14.866761426160174</v>
      </c>
      <c r="S302" s="6">
        <f t="shared" si="89"/>
        <v>139.2797408797295</v>
      </c>
      <c r="T302" s="2">
        <f t="shared" si="90"/>
        <v>1</v>
      </c>
      <c r="U302" s="6">
        <f t="shared" si="91"/>
        <v>139.2797408797295</v>
      </c>
      <c r="V302">
        <f>IF((R302-$AB$774)/($Z$773-$AB$774)&lt;0, 0, IF((R302-$AB$774)/($Z$773-$AB$774)&gt;1, 1, (R302-$AB$774)/($Z$773-$AB$774)))</f>
        <v>0</v>
      </c>
      <c r="W302" s="6">
        <f t="shared" si="92"/>
        <v>0</v>
      </c>
      <c r="Y302" s="78">
        <v>45050.28125</v>
      </c>
      <c r="Z302">
        <v>0.13888355002695499</v>
      </c>
      <c r="AA302" s="6">
        <v>103.3988808</v>
      </c>
      <c r="AB302" s="2">
        <v>8603</v>
      </c>
      <c r="AC302" s="7">
        <f t="shared" si="93"/>
        <v>143.38333333333333</v>
      </c>
      <c r="AD302" s="7">
        <f t="shared" si="94"/>
        <v>19.913586348031561</v>
      </c>
      <c r="AE302" s="7">
        <f t="shared" si="95"/>
        <v>139.2797408797295</v>
      </c>
      <c r="AF302" s="7">
        <f t="shared" si="96"/>
        <v>1</v>
      </c>
      <c r="AG302" s="6">
        <f t="shared" si="97"/>
        <v>139.2797408797295</v>
      </c>
      <c r="AH302" s="2">
        <f t="shared" si="98"/>
        <v>1</v>
      </c>
      <c r="AI302" s="7">
        <f t="shared" si="99"/>
        <v>139.2797408797295</v>
      </c>
      <c r="AK302" s="78">
        <v>45032.833333333336</v>
      </c>
      <c r="AL302" s="5">
        <v>3.4439600220298301E-2</v>
      </c>
      <c r="AM302" s="5">
        <v>61.042518610000002</v>
      </c>
      <c r="AN302" s="2">
        <v>28941</v>
      </c>
      <c r="AO302" s="7">
        <f t="shared" si="104"/>
        <v>482.35</v>
      </c>
      <c r="AP302" s="5">
        <f t="shared" si="100"/>
        <v>16.611941166260888</v>
      </c>
      <c r="AQ302" s="6">
        <f t="shared" si="101"/>
        <v>147.05962523664127</v>
      </c>
      <c r="AR302" s="2">
        <f t="shared" si="102"/>
        <v>1</v>
      </c>
      <c r="AS302" s="2">
        <f t="shared" si="103"/>
        <v>147.05962523664127</v>
      </c>
    </row>
    <row r="303" spans="13:45" x14ac:dyDescent="0.3">
      <c r="M303" s="78">
        <v>45035.84375</v>
      </c>
      <c r="N303" s="5">
        <v>4.3811108208220401E-2</v>
      </c>
      <c r="O303" s="5">
        <v>81.841333250000005</v>
      </c>
      <c r="P303" s="2">
        <v>20174</v>
      </c>
      <c r="Q303" s="7">
        <f t="shared" si="87"/>
        <v>336.23333333333335</v>
      </c>
      <c r="R303" s="6">
        <f t="shared" si="88"/>
        <v>14.730754949877307</v>
      </c>
      <c r="S303" s="6">
        <f t="shared" si="89"/>
        <v>138.65431117195658</v>
      </c>
      <c r="T303" s="2">
        <f t="shared" si="90"/>
        <v>1</v>
      </c>
      <c r="U303" s="6">
        <f t="shared" si="91"/>
        <v>138.65431117195658</v>
      </c>
      <c r="V303">
        <f>IF((R303-$AB$774)/($Z$773-$AB$774)&lt;0, 0, IF((R303-$AB$774)/($Z$773-$AB$774)&gt;1, 1, (R303-$AB$774)/($Z$773-$AB$774)))</f>
        <v>0</v>
      </c>
      <c r="W303" s="6">
        <f t="shared" si="92"/>
        <v>0</v>
      </c>
      <c r="Y303" s="78">
        <v>45050.291666666664</v>
      </c>
      <c r="Z303">
        <v>0.13808012745714501</v>
      </c>
      <c r="AA303" s="6">
        <v>107.0292163</v>
      </c>
      <c r="AB303" s="2">
        <v>8524</v>
      </c>
      <c r="AC303" s="7">
        <f t="shared" si="93"/>
        <v>142.06666666666666</v>
      </c>
      <c r="AD303" s="7">
        <f t="shared" si="94"/>
        <v>19.616583440745067</v>
      </c>
      <c r="AE303" s="7">
        <f t="shared" si="95"/>
        <v>138.65431117195658</v>
      </c>
      <c r="AF303" s="7">
        <f t="shared" si="96"/>
        <v>1</v>
      </c>
      <c r="AG303" s="6">
        <f t="shared" si="97"/>
        <v>138.65431117195658</v>
      </c>
      <c r="AH303" s="2">
        <f t="shared" si="98"/>
        <v>1</v>
      </c>
      <c r="AI303" s="7">
        <f t="shared" si="99"/>
        <v>138.65431117195658</v>
      </c>
      <c r="AK303" s="78">
        <v>45032.84375</v>
      </c>
      <c r="AL303" s="5">
        <v>3.7711011216116599E-2</v>
      </c>
      <c r="AM303" s="5">
        <v>57.814717760000001</v>
      </c>
      <c r="AN303" s="2">
        <v>29982</v>
      </c>
      <c r="AO303" s="7">
        <f t="shared" si="104"/>
        <v>499.7</v>
      </c>
      <c r="AP303" s="5">
        <f t="shared" si="100"/>
        <v>18.844192304693465</v>
      </c>
      <c r="AQ303" s="6">
        <f t="shared" si="101"/>
        <v>156.42567148305025</v>
      </c>
      <c r="AR303" s="2">
        <f t="shared" si="102"/>
        <v>1</v>
      </c>
      <c r="AS303" s="2">
        <f t="shared" si="103"/>
        <v>156.42567148305025</v>
      </c>
    </row>
    <row r="304" spans="13:45" x14ac:dyDescent="0.3">
      <c r="M304" s="78">
        <v>45035.854166666664</v>
      </c>
      <c r="N304" s="5">
        <v>4.4532274011042802E-2</v>
      </c>
      <c r="O304" s="5">
        <v>86.629835869999994</v>
      </c>
      <c r="P304" s="2">
        <v>19882</v>
      </c>
      <c r="Q304" s="7">
        <f t="shared" si="87"/>
        <v>331.36666666666667</v>
      </c>
      <c r="R304" s="6">
        <f t="shared" si="88"/>
        <v>14.756511198125883</v>
      </c>
      <c r="S304" s="6">
        <f t="shared" si="89"/>
        <v>138.77297748746841</v>
      </c>
      <c r="T304" s="2">
        <f t="shared" si="90"/>
        <v>1</v>
      </c>
      <c r="U304" s="6">
        <f t="shared" si="91"/>
        <v>138.77297748746841</v>
      </c>
      <c r="V304">
        <f>IF((R304-$AB$774)/($Z$773-$AB$774)&lt;0, 0, IF((R304-$AB$774)/($Z$773-$AB$774)&gt;1, 1, (R304-$AB$774)/($Z$773-$AB$774)))</f>
        <v>0</v>
      </c>
      <c r="W304" s="6">
        <f t="shared" si="92"/>
        <v>0</v>
      </c>
      <c r="Y304" s="78">
        <v>45050.302083333336</v>
      </c>
      <c r="Z304">
        <v>0.11504240641153</v>
      </c>
      <c r="AA304" s="6">
        <v>110.60554279999999</v>
      </c>
      <c r="AB304" s="2">
        <v>8243</v>
      </c>
      <c r="AC304" s="7">
        <f t="shared" si="93"/>
        <v>137.38333333333333</v>
      </c>
      <c r="AD304" s="7">
        <f t="shared" si="94"/>
        <v>15.80490926750403</v>
      </c>
      <c r="AE304" s="7">
        <f t="shared" si="95"/>
        <v>138.77297748746841</v>
      </c>
      <c r="AF304" s="7">
        <f t="shared" si="96"/>
        <v>1</v>
      </c>
      <c r="AG304" s="6">
        <f t="shared" si="97"/>
        <v>138.77297748746841</v>
      </c>
      <c r="AH304" s="2">
        <f t="shared" si="98"/>
        <v>1</v>
      </c>
      <c r="AI304" s="7">
        <f t="shared" si="99"/>
        <v>138.77297748746841</v>
      </c>
      <c r="AK304" s="78">
        <v>45032.854166666664</v>
      </c>
      <c r="AL304" s="5">
        <v>4.0250312884533401E-2</v>
      </c>
      <c r="AM304" s="5">
        <v>65.22973614</v>
      </c>
      <c r="AN304" s="2">
        <v>30183</v>
      </c>
      <c r="AO304" s="7">
        <f t="shared" si="104"/>
        <v>503.05</v>
      </c>
      <c r="AP304" s="5">
        <f t="shared" si="100"/>
        <v>20.247919896564529</v>
      </c>
      <c r="AQ304" s="6">
        <f t="shared" si="101"/>
        <v>162.02725761773482</v>
      </c>
      <c r="AR304" s="2">
        <f t="shared" si="102"/>
        <v>1</v>
      </c>
      <c r="AS304" s="2">
        <f t="shared" si="103"/>
        <v>162.02725761773482</v>
      </c>
    </row>
    <row r="305" spans="13:45" x14ac:dyDescent="0.3">
      <c r="M305" s="78">
        <v>45035.864583333336</v>
      </c>
      <c r="N305" s="5">
        <v>4.3703697590326003E-2</v>
      </c>
      <c r="O305" s="5">
        <v>86.629835869999994</v>
      </c>
      <c r="P305" s="2">
        <v>20076</v>
      </c>
      <c r="Q305" s="7">
        <f t="shared" si="87"/>
        <v>334.6</v>
      </c>
      <c r="R305" s="6">
        <f t="shared" si="88"/>
        <v>14.623257213723081</v>
      </c>
      <c r="S305" s="6">
        <f t="shared" si="89"/>
        <v>138.15789186936172</v>
      </c>
      <c r="T305" s="2">
        <f t="shared" si="90"/>
        <v>1</v>
      </c>
      <c r="U305" s="6">
        <f t="shared" si="91"/>
        <v>138.15789186936172</v>
      </c>
      <c r="V305">
        <f>IF((R305-$AB$774)/($Z$773-$AB$774)&lt;0, 0, IF((R305-$AB$774)/($Z$773-$AB$774)&gt;1, 1, (R305-$AB$774)/($Z$773-$AB$774)))</f>
        <v>0</v>
      </c>
      <c r="W305" s="6">
        <f t="shared" si="92"/>
        <v>0</v>
      </c>
      <c r="Y305" s="78">
        <v>45050.3125</v>
      </c>
      <c r="Z305">
        <v>0.126799094844642</v>
      </c>
      <c r="AA305" s="6">
        <v>104.61473460000001</v>
      </c>
      <c r="AB305" s="2">
        <v>8429</v>
      </c>
      <c r="AC305" s="7">
        <f t="shared" si="93"/>
        <v>140.48333333333332</v>
      </c>
      <c r="AD305" s="7">
        <f t="shared" si="94"/>
        <v>17.813159507424789</v>
      </c>
      <c r="AE305" s="7">
        <f t="shared" si="95"/>
        <v>138.15789186936172</v>
      </c>
      <c r="AF305" s="7">
        <f t="shared" si="96"/>
        <v>1</v>
      </c>
      <c r="AG305" s="6">
        <f t="shared" si="97"/>
        <v>138.15789186936172</v>
      </c>
      <c r="AH305" s="2">
        <f t="shared" si="98"/>
        <v>1</v>
      </c>
      <c r="AI305" s="7">
        <f t="shared" si="99"/>
        <v>138.15789186936172</v>
      </c>
      <c r="AK305" s="78">
        <v>45032.864583333336</v>
      </c>
      <c r="AL305" s="5">
        <v>3.6752613359467397E-2</v>
      </c>
      <c r="AM305" s="5">
        <v>59.769842060000002</v>
      </c>
      <c r="AN305" s="2">
        <v>29364</v>
      </c>
      <c r="AO305" s="7">
        <f t="shared" si="104"/>
        <v>489.4</v>
      </c>
      <c r="AP305" s="5">
        <f t="shared" si="100"/>
        <v>17.986728978123342</v>
      </c>
      <c r="AQ305" s="6">
        <f t="shared" si="101"/>
        <v>152.89866043870359</v>
      </c>
      <c r="AR305" s="2">
        <f t="shared" si="102"/>
        <v>1</v>
      </c>
      <c r="AS305" s="2">
        <f t="shared" si="103"/>
        <v>152.89866043870359</v>
      </c>
    </row>
    <row r="306" spans="13:45" x14ac:dyDescent="0.3">
      <c r="M306" s="78">
        <v>45035.875</v>
      </c>
      <c r="N306" s="5">
        <v>4.4727121253401801E-2</v>
      </c>
      <c r="O306" s="5">
        <v>81.841333250000005</v>
      </c>
      <c r="P306" s="2">
        <v>20285</v>
      </c>
      <c r="Q306" s="7">
        <f t="shared" si="87"/>
        <v>338.08333333333331</v>
      </c>
      <c r="R306" s="6">
        <f t="shared" si="88"/>
        <v>15.121494243754258</v>
      </c>
      <c r="S306" s="6">
        <f t="shared" si="89"/>
        <v>140.44333100864347</v>
      </c>
      <c r="T306" s="2">
        <f t="shared" si="90"/>
        <v>1</v>
      </c>
      <c r="U306" s="6">
        <f t="shared" si="91"/>
        <v>140.44333100864347</v>
      </c>
      <c r="V306">
        <f>IF((R306-$AB$774)/($Z$773-$AB$774)&lt;0, 0, IF((R306-$AB$774)/($Z$773-$AB$774)&gt;1, 1, (R306-$AB$774)/($Z$773-$AB$774)))</f>
        <v>4.177062145757543E-2</v>
      </c>
      <c r="W306" s="6">
        <f t="shared" si="92"/>
        <v>5.8664052158030113</v>
      </c>
      <c r="Y306" s="78">
        <v>45050.322916666664</v>
      </c>
      <c r="Z306">
        <v>0.133571234588482</v>
      </c>
      <c r="AA306" s="6">
        <v>107.8305381</v>
      </c>
      <c r="AB306" s="2">
        <v>8402</v>
      </c>
      <c r="AC306" s="7">
        <f t="shared" si="93"/>
        <v>140.03333333333333</v>
      </c>
      <c r="AD306" s="7">
        <f t="shared" si="94"/>
        <v>18.704425216873762</v>
      </c>
      <c r="AE306" s="7">
        <f t="shared" si="95"/>
        <v>140.44333100864347</v>
      </c>
      <c r="AF306" s="7">
        <f t="shared" si="96"/>
        <v>1</v>
      </c>
      <c r="AG306" s="6">
        <f t="shared" si="97"/>
        <v>140.44333100864347</v>
      </c>
      <c r="AH306" s="2">
        <f t="shared" si="98"/>
        <v>1</v>
      </c>
      <c r="AI306" s="7">
        <f t="shared" si="99"/>
        <v>140.44333100864347</v>
      </c>
      <c r="AK306" s="78">
        <v>45032.875</v>
      </c>
      <c r="AL306" s="5">
        <v>3.79383292423758E-2</v>
      </c>
      <c r="AM306" s="5">
        <v>61.680991169999999</v>
      </c>
      <c r="AN306" s="2">
        <v>29820</v>
      </c>
      <c r="AO306" s="7">
        <f t="shared" si="104"/>
        <v>497</v>
      </c>
      <c r="AP306" s="5">
        <f t="shared" si="100"/>
        <v>18.855349633460772</v>
      </c>
      <c r="AQ306" s="6">
        <f t="shared" si="101"/>
        <v>156.47101918050674</v>
      </c>
      <c r="AR306" s="2">
        <f t="shared" si="102"/>
        <v>1</v>
      </c>
      <c r="AS306" s="2">
        <f t="shared" si="103"/>
        <v>156.47101918050674</v>
      </c>
    </row>
    <row r="307" spans="13:45" x14ac:dyDescent="0.3">
      <c r="M307" s="78">
        <v>45035.885416666664</v>
      </c>
      <c r="N307" s="5">
        <v>4.5178112568525997E-2</v>
      </c>
      <c r="O307" s="5">
        <v>84.020316870000002</v>
      </c>
      <c r="P307" s="2">
        <v>19947</v>
      </c>
      <c r="Q307" s="7">
        <f t="shared" si="87"/>
        <v>332.45</v>
      </c>
      <c r="R307" s="6">
        <f t="shared" si="88"/>
        <v>15.019463523406467</v>
      </c>
      <c r="S307" s="6">
        <f t="shared" si="89"/>
        <v>139.97847649337223</v>
      </c>
      <c r="T307" s="2">
        <f t="shared" si="90"/>
        <v>1</v>
      </c>
      <c r="U307" s="6">
        <f t="shared" si="91"/>
        <v>139.97847649337223</v>
      </c>
      <c r="V307">
        <f>IF((R307-$AB$774)/($Z$773-$AB$774)&lt;0, 0, IF((R307-$AB$774)/($Z$773-$AB$774)&gt;1, 1, (R307-$AB$774)/($Z$773-$AB$774)))</f>
        <v>2.3093953149154578E-2</v>
      </c>
      <c r="W307" s="6">
        <f t="shared" si="92"/>
        <v>3.2326563780279738</v>
      </c>
      <c r="Y307" s="78">
        <v>45050.333333333336</v>
      </c>
      <c r="Z307">
        <v>0.117437127728584</v>
      </c>
      <c r="AA307" s="6">
        <v>99.304680700000006</v>
      </c>
      <c r="AB307" s="2">
        <v>8604</v>
      </c>
      <c r="AC307" s="7">
        <f t="shared" si="93"/>
        <v>143.4</v>
      </c>
      <c r="AD307" s="7">
        <f t="shared" si="94"/>
        <v>16.840484116278947</v>
      </c>
      <c r="AE307" s="7">
        <f t="shared" si="95"/>
        <v>139.97847649337223</v>
      </c>
      <c r="AF307" s="7">
        <f t="shared" si="96"/>
        <v>1</v>
      </c>
      <c r="AG307" s="6">
        <f t="shared" si="97"/>
        <v>139.97847649337223</v>
      </c>
      <c r="AH307" s="2">
        <f t="shared" si="98"/>
        <v>1</v>
      </c>
      <c r="AI307" s="7">
        <f t="shared" si="99"/>
        <v>139.97847649337223</v>
      </c>
      <c r="AK307" s="78">
        <v>45032.885416666664</v>
      </c>
      <c r="AL307" s="5">
        <v>3.46883243611898E-2</v>
      </c>
      <c r="AM307" s="5">
        <v>61.680991169999999</v>
      </c>
      <c r="AN307" s="2">
        <v>30877</v>
      </c>
      <c r="AO307" s="7">
        <f t="shared" si="104"/>
        <v>514.61666666666667</v>
      </c>
      <c r="AP307" s="5">
        <f t="shared" si="100"/>
        <v>17.851189855007625</v>
      </c>
      <c r="AQ307" s="6">
        <f t="shared" si="101"/>
        <v>152.33335436496066</v>
      </c>
      <c r="AR307" s="2">
        <f t="shared" si="102"/>
        <v>1</v>
      </c>
      <c r="AS307" s="2">
        <f t="shared" si="103"/>
        <v>152.33335436496066</v>
      </c>
    </row>
    <row r="308" spans="13:45" x14ac:dyDescent="0.3">
      <c r="M308" s="78">
        <v>45035.895833333336</v>
      </c>
      <c r="N308" s="5">
        <v>4.3771420532119201E-2</v>
      </c>
      <c r="O308" s="5">
        <v>86.629835869999994</v>
      </c>
      <c r="P308" s="2">
        <v>19705</v>
      </c>
      <c r="Q308" s="7">
        <f t="shared" si="87"/>
        <v>328.41666666666669</v>
      </c>
      <c r="R308" s="6">
        <f t="shared" si="88"/>
        <v>14.375264026423482</v>
      </c>
      <c r="S308" s="6">
        <f t="shared" si="89"/>
        <v>137.00551976521567</v>
      </c>
      <c r="T308" s="2">
        <f t="shared" si="90"/>
        <v>1</v>
      </c>
      <c r="U308" s="6">
        <f t="shared" si="91"/>
        <v>137.00551976521567</v>
      </c>
      <c r="V308">
        <f>IF((R308-$AB$774)/($Z$773-$AB$774)&lt;0, 0, IF((R308-$AB$774)/($Z$773-$AB$774)&gt;1, 1, (R308-$AB$774)/($Z$773-$AB$774)))</f>
        <v>0</v>
      </c>
      <c r="W308" s="6">
        <f t="shared" si="92"/>
        <v>0</v>
      </c>
      <c r="Y308" s="78">
        <v>45050.34375</v>
      </c>
      <c r="Z308">
        <v>0.149057833451717</v>
      </c>
      <c r="AA308" s="6">
        <v>104.61473460000001</v>
      </c>
      <c r="AB308" s="2">
        <v>8375</v>
      </c>
      <c r="AC308" s="7">
        <f t="shared" si="93"/>
        <v>139.58333333333334</v>
      </c>
      <c r="AD308" s="7">
        <f t="shared" si="94"/>
        <v>20.805989252635499</v>
      </c>
      <c r="AE308" s="7">
        <f t="shared" si="95"/>
        <v>137.00551976521567</v>
      </c>
      <c r="AF308" s="7">
        <f t="shared" si="96"/>
        <v>1</v>
      </c>
      <c r="AG308" s="6">
        <f t="shared" si="97"/>
        <v>137.00551976521567</v>
      </c>
      <c r="AH308" s="2">
        <f t="shared" si="98"/>
        <v>1</v>
      </c>
      <c r="AI308" s="7">
        <f t="shared" si="99"/>
        <v>137.00551976521567</v>
      </c>
      <c r="AK308" s="78">
        <v>45032.895833333336</v>
      </c>
      <c r="AL308" s="5">
        <v>3.7185759739210199E-2</v>
      </c>
      <c r="AM308" s="5">
        <v>61.680991169999999</v>
      </c>
      <c r="AN308" s="2">
        <v>30636</v>
      </c>
      <c r="AO308" s="7">
        <f t="shared" si="104"/>
        <v>510.6</v>
      </c>
      <c r="AP308" s="5">
        <f t="shared" si="100"/>
        <v>18.987048922840728</v>
      </c>
      <c r="AQ308" s="6">
        <f t="shared" si="101"/>
        <v>157.00526471763243</v>
      </c>
      <c r="AR308" s="2">
        <f t="shared" si="102"/>
        <v>1</v>
      </c>
      <c r="AS308" s="2">
        <f t="shared" si="103"/>
        <v>157.00526471763243</v>
      </c>
    </row>
    <row r="309" spans="13:45" x14ac:dyDescent="0.3">
      <c r="M309" s="78">
        <v>45035.90625</v>
      </c>
      <c r="N309" s="5">
        <v>4.4837499093094903E-2</v>
      </c>
      <c r="O309" s="5">
        <v>87.494480339999996</v>
      </c>
      <c r="P309" s="2">
        <v>19666</v>
      </c>
      <c r="Q309" s="7">
        <f t="shared" si="87"/>
        <v>327.76666666666665</v>
      </c>
      <c r="R309" s="6">
        <f t="shared" si="88"/>
        <v>14.696237619413406</v>
      </c>
      <c r="S309" s="6">
        <f t="shared" si="89"/>
        <v>138.49511392307735</v>
      </c>
      <c r="T309" s="2">
        <f t="shared" si="90"/>
        <v>1</v>
      </c>
      <c r="U309" s="6">
        <f t="shared" si="91"/>
        <v>138.49511392307735</v>
      </c>
      <c r="V309">
        <f>IF((R309-$AB$774)/($Z$773-$AB$774)&lt;0, 0, IF((R309-$AB$774)/($Z$773-$AB$774)&gt;1, 1, (R309-$AB$774)/($Z$773-$AB$774)))</f>
        <v>0</v>
      </c>
      <c r="W309" s="6">
        <f t="shared" si="92"/>
        <v>0</v>
      </c>
      <c r="Y309" s="78">
        <v>45050.354166666664</v>
      </c>
      <c r="Z309">
        <v>0.12912172736320801</v>
      </c>
      <c r="AA309" s="6">
        <v>104.61473460000001</v>
      </c>
      <c r="AB309" s="2">
        <v>8402</v>
      </c>
      <c r="AC309" s="7">
        <f t="shared" si="93"/>
        <v>140.03333333333333</v>
      </c>
      <c r="AD309" s="7">
        <f t="shared" si="94"/>
        <v>18.081345888427894</v>
      </c>
      <c r="AE309" s="7">
        <f t="shared" si="95"/>
        <v>138.49511392307735</v>
      </c>
      <c r="AF309" s="7">
        <f t="shared" si="96"/>
        <v>1</v>
      </c>
      <c r="AG309" s="6">
        <f t="shared" si="97"/>
        <v>138.49511392307735</v>
      </c>
      <c r="AH309" s="2">
        <f t="shared" si="98"/>
        <v>1</v>
      </c>
      <c r="AI309" s="7">
        <f t="shared" si="99"/>
        <v>138.49511392307735</v>
      </c>
      <c r="AK309" s="78">
        <v>45032.90625</v>
      </c>
      <c r="AL309" s="5">
        <v>3.2216838449039199E-2</v>
      </c>
      <c r="AM309" s="5">
        <v>57.814717760000001</v>
      </c>
      <c r="AN309" s="2">
        <v>31653</v>
      </c>
      <c r="AO309" s="7">
        <f t="shared" si="104"/>
        <v>527.54999999999995</v>
      </c>
      <c r="AP309" s="5">
        <f t="shared" si="100"/>
        <v>16.99599312379063</v>
      </c>
      <c r="AQ309" s="6">
        <f t="shared" si="101"/>
        <v>148.7148360363347</v>
      </c>
      <c r="AR309" s="2">
        <f t="shared" si="102"/>
        <v>1</v>
      </c>
      <c r="AS309" s="2">
        <f t="shared" si="103"/>
        <v>148.7148360363347</v>
      </c>
    </row>
    <row r="310" spans="13:45" x14ac:dyDescent="0.3">
      <c r="M310" s="78">
        <v>45035.916666666664</v>
      </c>
      <c r="N310" s="5">
        <v>4.4445836694896497E-2</v>
      </c>
      <c r="O310" s="5">
        <v>83.153095449999995</v>
      </c>
      <c r="P310" s="2">
        <v>20207</v>
      </c>
      <c r="Q310" s="7">
        <f t="shared" si="87"/>
        <v>336.78333333333336</v>
      </c>
      <c r="R310" s="6">
        <f t="shared" si="88"/>
        <v>14.968617034896226</v>
      </c>
      <c r="S310" s="6">
        <f t="shared" si="89"/>
        <v>139.74621697356042</v>
      </c>
      <c r="T310" s="2">
        <f t="shared" si="90"/>
        <v>1</v>
      </c>
      <c r="U310" s="6">
        <f t="shared" si="91"/>
        <v>139.74621697356042</v>
      </c>
      <c r="V310">
        <f>IF((R310-$AB$774)/($Z$773-$AB$774)&lt;0, 0, IF((R310-$AB$774)/($Z$773-$AB$774)&gt;1, 1, (R310-$AB$774)/($Z$773-$AB$774)))</f>
        <v>1.378653086186063E-2</v>
      </c>
      <c r="W310" s="6">
        <f t="shared" si="92"/>
        <v>1.9266155331342625</v>
      </c>
      <c r="Y310" s="78">
        <v>45050.364583333336</v>
      </c>
      <c r="Z310">
        <v>0.121170306943249</v>
      </c>
      <c r="AA310" s="6">
        <v>102.5822131</v>
      </c>
      <c r="AB310" s="2">
        <v>8396</v>
      </c>
      <c r="AC310" s="7">
        <f t="shared" si="93"/>
        <v>139.93333333333334</v>
      </c>
      <c r="AD310" s="7">
        <f t="shared" si="94"/>
        <v>16.955764951591977</v>
      </c>
      <c r="AE310" s="7">
        <f t="shared" si="95"/>
        <v>139.74621697356042</v>
      </c>
      <c r="AF310" s="7">
        <f t="shared" si="96"/>
        <v>1</v>
      </c>
      <c r="AG310" s="6">
        <f t="shared" si="97"/>
        <v>139.74621697356042</v>
      </c>
      <c r="AH310" s="2">
        <f t="shared" si="98"/>
        <v>1</v>
      </c>
      <c r="AI310" s="7">
        <f t="shared" si="99"/>
        <v>139.74621697356042</v>
      </c>
      <c r="AK310" s="78">
        <v>45032.916666666664</v>
      </c>
      <c r="AL310" s="5">
        <v>3.6658564241825897E-2</v>
      </c>
      <c r="AM310" s="5">
        <v>63.680503559999998</v>
      </c>
      <c r="AN310" s="2">
        <v>30187</v>
      </c>
      <c r="AO310" s="7">
        <f t="shared" si="104"/>
        <v>503.11666666666667</v>
      </c>
      <c r="AP310" s="5">
        <f t="shared" si="100"/>
        <v>18.443534646133305</v>
      </c>
      <c r="AQ310" s="6">
        <f t="shared" si="101"/>
        <v>154.78806665712963</v>
      </c>
      <c r="AR310" s="2">
        <f t="shared" si="102"/>
        <v>1</v>
      </c>
      <c r="AS310" s="2">
        <f t="shared" si="103"/>
        <v>154.78806665712963</v>
      </c>
    </row>
    <row r="311" spans="13:45" x14ac:dyDescent="0.3">
      <c r="M311" s="78">
        <v>45035.927083333336</v>
      </c>
      <c r="N311" s="5">
        <v>4.14477156421727E-2</v>
      </c>
      <c r="O311" s="5">
        <v>82.718647970000006</v>
      </c>
      <c r="P311" s="2">
        <v>20736</v>
      </c>
      <c r="Q311" s="7">
        <f t="shared" si="87"/>
        <v>345.6</v>
      </c>
      <c r="R311" s="6">
        <f t="shared" si="88"/>
        <v>14.324330525934887</v>
      </c>
      <c r="S311" s="6">
        <f t="shared" si="89"/>
        <v>136.76758987567555</v>
      </c>
      <c r="T311" s="2">
        <f t="shared" si="90"/>
        <v>1</v>
      </c>
      <c r="U311" s="6">
        <f t="shared" si="91"/>
        <v>136.76758987567555</v>
      </c>
      <c r="V311">
        <f>IF((R311-$AB$774)/($Z$773-$AB$774)&lt;0, 0, IF((R311-$AB$774)/($Z$773-$AB$774)&gt;1, 1, (R311-$AB$774)/($Z$773-$AB$774)))</f>
        <v>0</v>
      </c>
      <c r="W311" s="6">
        <f t="shared" si="92"/>
        <v>0</v>
      </c>
      <c r="Y311" s="78">
        <v>45050.375</v>
      </c>
      <c r="Z311">
        <v>0.13734024413947299</v>
      </c>
      <c r="AA311" s="6">
        <v>110.9974619</v>
      </c>
      <c r="AB311" s="2">
        <v>8397</v>
      </c>
      <c r="AC311" s="7">
        <f t="shared" si="93"/>
        <v>139.94999999999999</v>
      </c>
      <c r="AD311" s="7">
        <f t="shared" si="94"/>
        <v>19.220767167319242</v>
      </c>
      <c r="AE311" s="7">
        <f t="shared" si="95"/>
        <v>136.76758987567555</v>
      </c>
      <c r="AF311" s="7">
        <f t="shared" si="96"/>
        <v>1</v>
      </c>
      <c r="AG311" s="6">
        <f t="shared" si="97"/>
        <v>136.76758987567555</v>
      </c>
      <c r="AH311" s="2">
        <f t="shared" si="98"/>
        <v>1</v>
      </c>
      <c r="AI311" s="7">
        <f t="shared" si="99"/>
        <v>136.76758987567555</v>
      </c>
      <c r="AK311" s="78">
        <v>45032.927083333336</v>
      </c>
      <c r="AL311" s="5">
        <v>3.7570352140055503E-2</v>
      </c>
      <c r="AM311" s="5">
        <v>59.769842060000002</v>
      </c>
      <c r="AN311" s="2">
        <v>30797</v>
      </c>
      <c r="AO311" s="7">
        <f t="shared" si="104"/>
        <v>513.2833333333333</v>
      </c>
      <c r="AP311" s="5">
        <f t="shared" si="100"/>
        <v>19.284235580954821</v>
      </c>
      <c r="AQ311" s="6">
        <f t="shared" si="101"/>
        <v>158.20391326680428</v>
      </c>
      <c r="AR311" s="2">
        <f t="shared" si="102"/>
        <v>1</v>
      </c>
      <c r="AS311" s="2">
        <f t="shared" si="103"/>
        <v>158.20391326680428</v>
      </c>
    </row>
    <row r="312" spans="13:45" x14ac:dyDescent="0.3">
      <c r="M312" s="78">
        <v>45035.9375</v>
      </c>
      <c r="N312" s="5">
        <v>4.6607782476878003E-2</v>
      </c>
      <c r="O312" s="5">
        <v>85.331044809999995</v>
      </c>
      <c r="P312" s="2">
        <v>20116</v>
      </c>
      <c r="Q312" s="7">
        <f t="shared" si="87"/>
        <v>335.26666666666665</v>
      </c>
      <c r="R312" s="6">
        <f t="shared" si="88"/>
        <v>15.626035871747964</v>
      </c>
      <c r="S312" s="6">
        <f t="shared" si="89"/>
        <v>142.71885682422507</v>
      </c>
      <c r="T312" s="2">
        <f t="shared" si="90"/>
        <v>1</v>
      </c>
      <c r="U312" s="6">
        <f t="shared" si="91"/>
        <v>142.71885682422507</v>
      </c>
      <c r="V312">
        <f>IF((R312-$AB$774)/($Z$773-$AB$774)&lt;0, 0, IF((R312-$AB$774)/($Z$773-$AB$774)&gt;1, 1, (R312-$AB$774)/($Z$773-$AB$774)))</f>
        <v>0.13412669423358334</v>
      </c>
      <c r="W312" s="6">
        <f t="shared" si="92"/>
        <v>19.142408470629395</v>
      </c>
      <c r="Y312" s="78">
        <v>45050.385416666664</v>
      </c>
      <c r="Z312">
        <v>0.14105937478619501</v>
      </c>
      <c r="AA312" s="6">
        <v>105.0166174</v>
      </c>
      <c r="AB312" s="2">
        <v>8328</v>
      </c>
      <c r="AC312" s="7">
        <f t="shared" si="93"/>
        <v>138.80000000000001</v>
      </c>
      <c r="AD312" s="7">
        <f t="shared" si="94"/>
        <v>19.57904122032387</v>
      </c>
      <c r="AE312" s="7">
        <f t="shared" si="95"/>
        <v>142.71885682422507</v>
      </c>
      <c r="AF312" s="7">
        <f t="shared" si="96"/>
        <v>1</v>
      </c>
      <c r="AG312" s="6">
        <f t="shared" si="97"/>
        <v>142.71885682422507</v>
      </c>
      <c r="AH312" s="2">
        <f t="shared" si="98"/>
        <v>1</v>
      </c>
      <c r="AI312" s="7">
        <f t="shared" si="99"/>
        <v>142.71885682422507</v>
      </c>
      <c r="AK312" s="78">
        <v>45032.9375</v>
      </c>
      <c r="AL312" s="5">
        <v>3.6497698207776597E-2</v>
      </c>
      <c r="AM312" s="5">
        <v>61.042518610000002</v>
      </c>
      <c r="AN312" s="2">
        <v>31302</v>
      </c>
      <c r="AO312" s="7">
        <f t="shared" si="104"/>
        <v>521.70000000000005</v>
      </c>
      <c r="AP312" s="5">
        <f t="shared" si="100"/>
        <v>19.040849154997051</v>
      </c>
      <c r="AQ312" s="6">
        <f t="shared" si="101"/>
        <v>157.22296417690896</v>
      </c>
      <c r="AR312" s="2">
        <f t="shared" si="102"/>
        <v>1</v>
      </c>
      <c r="AS312" s="2">
        <f t="shared" si="103"/>
        <v>157.22296417690896</v>
      </c>
    </row>
    <row r="313" spans="13:45" x14ac:dyDescent="0.3">
      <c r="M313" s="78">
        <v>45035.947916666664</v>
      </c>
      <c r="N313" s="5">
        <v>4.3601656870451498E-2</v>
      </c>
      <c r="O313" s="5">
        <v>85.331044809999995</v>
      </c>
      <c r="P313" s="2">
        <v>20684</v>
      </c>
      <c r="Q313" s="7">
        <f t="shared" si="87"/>
        <v>344.73333333333335</v>
      </c>
      <c r="R313" s="6">
        <f t="shared" si="88"/>
        <v>15.030944511806981</v>
      </c>
      <c r="S313" s="6">
        <f t="shared" si="89"/>
        <v>140.03086446025083</v>
      </c>
      <c r="T313" s="2">
        <f t="shared" si="90"/>
        <v>1</v>
      </c>
      <c r="U313" s="6">
        <f t="shared" si="91"/>
        <v>140.03086446025083</v>
      </c>
      <c r="V313">
        <f>IF((R313-$AB$774)/($Z$773-$AB$774)&lt;0, 0, IF((R313-$AB$774)/($Z$773-$AB$774)&gt;1, 1, (R313-$AB$774)/($Z$773-$AB$774)))</f>
        <v>2.5195541881237557E-2</v>
      </c>
      <c r="W313" s="6">
        <f t="shared" si="92"/>
        <v>3.5281535101741492</v>
      </c>
      <c r="Y313" s="78">
        <v>45050.395833333336</v>
      </c>
      <c r="Z313">
        <v>0.15273165898997301</v>
      </c>
      <c r="AA313" s="6">
        <v>98.474887140000007</v>
      </c>
      <c r="AB313" s="2">
        <v>8262</v>
      </c>
      <c r="AC313" s="7">
        <f t="shared" si="93"/>
        <v>137.69999999999999</v>
      </c>
      <c r="AD313" s="7">
        <f t="shared" si="94"/>
        <v>21.031149442919283</v>
      </c>
      <c r="AE313" s="7">
        <f t="shared" si="95"/>
        <v>140.03086446025083</v>
      </c>
      <c r="AF313" s="7">
        <f t="shared" si="96"/>
        <v>1</v>
      </c>
      <c r="AG313" s="6">
        <f t="shared" si="97"/>
        <v>140.03086446025083</v>
      </c>
      <c r="AH313" s="2">
        <f t="shared" si="98"/>
        <v>1</v>
      </c>
      <c r="AI313" s="7">
        <f t="shared" si="99"/>
        <v>140.03086446025083</v>
      </c>
      <c r="AK313" s="78">
        <v>45032.947916666664</v>
      </c>
      <c r="AL313" s="5">
        <v>3.33887094750525E-2</v>
      </c>
      <c r="AM313" s="5">
        <v>55.826367980000001</v>
      </c>
      <c r="AN313" s="2">
        <v>31625</v>
      </c>
      <c r="AO313" s="7">
        <f t="shared" si="104"/>
        <v>527.08333333333337</v>
      </c>
      <c r="AP313" s="5">
        <f t="shared" si="100"/>
        <v>17.598632285808922</v>
      </c>
      <c r="AQ313" s="6">
        <f t="shared" si="101"/>
        <v>151.27411413028102</v>
      </c>
      <c r="AR313" s="2">
        <f t="shared" si="102"/>
        <v>1</v>
      </c>
      <c r="AS313" s="2">
        <f t="shared" si="103"/>
        <v>151.27411413028102</v>
      </c>
    </row>
    <row r="314" spans="13:45" x14ac:dyDescent="0.3">
      <c r="M314" s="78">
        <v>45035.958333333336</v>
      </c>
      <c r="N314" s="5">
        <v>4.2811958030355098E-2</v>
      </c>
      <c r="O314" s="5">
        <v>85.323607859999996</v>
      </c>
      <c r="P314" s="2">
        <v>20844</v>
      </c>
      <c r="Q314" s="7">
        <f t="shared" si="87"/>
        <v>347.4</v>
      </c>
      <c r="R314" s="6">
        <f t="shared" si="88"/>
        <v>14.872874219745359</v>
      </c>
      <c r="S314" s="6">
        <f t="shared" si="89"/>
        <v>139.30778203213984</v>
      </c>
      <c r="T314" s="2">
        <f t="shared" si="90"/>
        <v>1</v>
      </c>
      <c r="U314" s="6">
        <f t="shared" si="91"/>
        <v>139.30778203213984</v>
      </c>
      <c r="V314">
        <f>IF((R314-$AB$774)/($Z$773-$AB$774)&lt;0, 0, IF((R314-$AB$774)/($Z$773-$AB$774)&gt;1, 1, (R314-$AB$774)/($Z$773-$AB$774)))</f>
        <v>0</v>
      </c>
      <c r="W314" s="6">
        <f t="shared" si="92"/>
        <v>0</v>
      </c>
      <c r="Y314" s="78">
        <v>45050.40625</v>
      </c>
      <c r="Z314">
        <v>0.14476003461270301</v>
      </c>
      <c r="AA314" s="6">
        <v>102.5822131</v>
      </c>
      <c r="AB314" s="2">
        <v>8043</v>
      </c>
      <c r="AC314" s="7">
        <f t="shared" si="93"/>
        <v>134.05000000000001</v>
      </c>
      <c r="AD314" s="7">
        <f t="shared" si="94"/>
        <v>19.405082639832841</v>
      </c>
      <c r="AE314" s="7">
        <f t="shared" si="95"/>
        <v>139.30778203213984</v>
      </c>
      <c r="AF314" s="7">
        <f t="shared" si="96"/>
        <v>1</v>
      </c>
      <c r="AG314" s="6">
        <f t="shared" si="97"/>
        <v>139.30778203213984</v>
      </c>
      <c r="AH314" s="2">
        <f t="shared" si="98"/>
        <v>1</v>
      </c>
      <c r="AI314" s="7">
        <f t="shared" si="99"/>
        <v>139.30778203213984</v>
      </c>
      <c r="AK314" s="78">
        <v>45032.958333333336</v>
      </c>
      <c r="AL314" s="5">
        <v>3.3644852940840901E-2</v>
      </c>
      <c r="AM314" s="5">
        <v>62.923032710000001</v>
      </c>
      <c r="AN314" s="2">
        <v>31585</v>
      </c>
      <c r="AO314" s="7">
        <f t="shared" si="104"/>
        <v>526.41666666666663</v>
      </c>
      <c r="AP314" s="5">
        <f t="shared" si="100"/>
        <v>17.711211335607665</v>
      </c>
      <c r="AQ314" s="6">
        <f t="shared" si="101"/>
        <v>151.74722859440919</v>
      </c>
      <c r="AR314" s="2">
        <f t="shared" si="102"/>
        <v>1</v>
      </c>
      <c r="AS314" s="2">
        <f t="shared" si="103"/>
        <v>151.74722859440919</v>
      </c>
    </row>
    <row r="315" spans="13:45" x14ac:dyDescent="0.3">
      <c r="M315" s="78">
        <v>45035.96875</v>
      </c>
      <c r="N315" s="5">
        <v>4.5510255693748197E-2</v>
      </c>
      <c r="O315" s="5">
        <v>86.192545629999998</v>
      </c>
      <c r="P315" s="2">
        <v>18552</v>
      </c>
      <c r="Q315" s="7">
        <f t="shared" si="87"/>
        <v>309.2</v>
      </c>
      <c r="R315" s="6">
        <f t="shared" si="88"/>
        <v>14.071771060506942</v>
      </c>
      <c r="S315" s="6">
        <f t="shared" si="89"/>
        <v>135.58135840727533</v>
      </c>
      <c r="T315" s="2">
        <f t="shared" si="90"/>
        <v>1</v>
      </c>
      <c r="U315" s="6">
        <f t="shared" si="91"/>
        <v>135.58135840727533</v>
      </c>
      <c r="V315">
        <f>IF((R315-$AB$774)/($Z$773-$AB$774)&lt;0, 0, IF((R315-$AB$774)/($Z$773-$AB$774)&gt;1, 1, (R315-$AB$774)/($Z$773-$AB$774)))</f>
        <v>0</v>
      </c>
      <c r="W315" s="6">
        <f t="shared" si="92"/>
        <v>0</v>
      </c>
      <c r="Y315" s="78">
        <v>45050.416666666664</v>
      </c>
      <c r="Z315">
        <v>0.17098236620064999</v>
      </c>
      <c r="AA315" s="6">
        <v>98.062569339999996</v>
      </c>
      <c r="AB315" s="2">
        <v>7939</v>
      </c>
      <c r="AC315" s="7">
        <f t="shared" si="93"/>
        <v>132.31666666666666</v>
      </c>
      <c r="AD315" s="7">
        <f t="shared" si="94"/>
        <v>22.623816754449336</v>
      </c>
      <c r="AE315" s="7">
        <f t="shared" si="95"/>
        <v>135.58135840727533</v>
      </c>
      <c r="AF315" s="7">
        <f t="shared" si="96"/>
        <v>1</v>
      </c>
      <c r="AG315" s="6">
        <f t="shared" si="97"/>
        <v>135.58135840727533</v>
      </c>
      <c r="AH315" s="2">
        <f t="shared" si="98"/>
        <v>1</v>
      </c>
      <c r="AI315" s="7">
        <f t="shared" si="99"/>
        <v>135.58135840727533</v>
      </c>
      <c r="AK315" s="78">
        <v>45032.96875</v>
      </c>
      <c r="AL315" s="5">
        <v>3.2515165680599097E-2</v>
      </c>
      <c r="AM315" s="5">
        <v>59.769842060000002</v>
      </c>
      <c r="AN315" s="2">
        <v>31253</v>
      </c>
      <c r="AO315" s="7">
        <f t="shared" si="104"/>
        <v>520.88333333333333</v>
      </c>
      <c r="AP315" s="5">
        <f t="shared" si="100"/>
        <v>16.936607883596061</v>
      </c>
      <c r="AQ315" s="6">
        <f t="shared" si="101"/>
        <v>148.46015063025868</v>
      </c>
      <c r="AR315" s="2">
        <f t="shared" si="102"/>
        <v>1</v>
      </c>
      <c r="AS315" s="2">
        <f t="shared" si="103"/>
        <v>148.46015063025868</v>
      </c>
    </row>
    <row r="316" spans="13:45" x14ac:dyDescent="0.3">
      <c r="M316" s="78">
        <v>45035.979166666664</v>
      </c>
      <c r="N316" s="5">
        <v>4.9080429516661001E-2</v>
      </c>
      <c r="O316" s="5">
        <v>90.915794009999999</v>
      </c>
      <c r="P316" s="2">
        <v>18840</v>
      </c>
      <c r="Q316" s="7">
        <f t="shared" si="87"/>
        <v>314</v>
      </c>
      <c r="R316" s="6">
        <f t="shared" si="88"/>
        <v>15.411254868231554</v>
      </c>
      <c r="S316" s="6">
        <f t="shared" si="89"/>
        <v>141.75482907133627</v>
      </c>
      <c r="T316" s="2">
        <f t="shared" si="90"/>
        <v>1</v>
      </c>
      <c r="U316" s="6">
        <f t="shared" si="91"/>
        <v>141.75482907133627</v>
      </c>
      <c r="V316">
        <f>IF((R316-$AB$774)/($Z$773-$AB$774)&lt;0, 0, IF((R316-$AB$774)/($Z$773-$AB$774)&gt;1, 1, (R316-$AB$774)/($Z$773-$AB$774)))</f>
        <v>9.4811147426188777E-2</v>
      </c>
      <c r="W316" s="6">
        <f t="shared" si="92"/>
        <v>13.439937997456655</v>
      </c>
      <c r="Y316" s="78">
        <v>45050.427083333336</v>
      </c>
      <c r="Z316">
        <v>0.144467226211866</v>
      </c>
      <c r="AA316" s="6">
        <v>98.474887140000007</v>
      </c>
      <c r="AB316" s="2">
        <v>7956</v>
      </c>
      <c r="AC316" s="7">
        <f t="shared" si="93"/>
        <v>132.6</v>
      </c>
      <c r="AD316" s="7">
        <f t="shared" si="94"/>
        <v>19.156354195693432</v>
      </c>
      <c r="AE316" s="7">
        <f t="shared" si="95"/>
        <v>141.75482907133627</v>
      </c>
      <c r="AF316" s="7">
        <f t="shared" si="96"/>
        <v>1</v>
      </c>
      <c r="AG316" s="6">
        <f t="shared" si="97"/>
        <v>141.75482907133627</v>
      </c>
      <c r="AH316" s="2">
        <f t="shared" si="98"/>
        <v>1</v>
      </c>
      <c r="AI316" s="7">
        <f t="shared" si="99"/>
        <v>141.75482907133627</v>
      </c>
      <c r="AK316" s="78">
        <v>45032.979166666664</v>
      </c>
      <c r="AL316" s="5">
        <v>3.1877393917889199E-2</v>
      </c>
      <c r="AM316" s="5">
        <v>57.814717760000001</v>
      </c>
      <c r="AN316" s="2">
        <v>32549</v>
      </c>
      <c r="AO316" s="7">
        <f t="shared" si="104"/>
        <v>542.48333333333335</v>
      </c>
      <c r="AP316" s="5">
        <f t="shared" si="100"/>
        <v>17.292954910556258</v>
      </c>
      <c r="AQ316" s="6">
        <f t="shared" si="101"/>
        <v>149.98165596539695</v>
      </c>
      <c r="AR316" s="2">
        <f t="shared" si="102"/>
        <v>1</v>
      </c>
      <c r="AS316" s="2">
        <f t="shared" si="103"/>
        <v>149.98165596539695</v>
      </c>
    </row>
    <row r="317" spans="13:45" x14ac:dyDescent="0.3">
      <c r="M317" s="78">
        <v>45035.989583333336</v>
      </c>
      <c r="N317" s="5">
        <v>4.6356855031695399E-2</v>
      </c>
      <c r="O317" s="5">
        <v>84.020316870000002</v>
      </c>
      <c r="P317" s="2">
        <v>19170</v>
      </c>
      <c r="Q317" s="7">
        <f t="shared" si="87"/>
        <v>319.5</v>
      </c>
      <c r="R317" s="6">
        <f t="shared" si="88"/>
        <v>14.811015182626679</v>
      </c>
      <c r="S317" s="6">
        <f t="shared" si="89"/>
        <v>139.02374475896053</v>
      </c>
      <c r="T317" s="2">
        <f t="shared" si="90"/>
        <v>1</v>
      </c>
      <c r="U317" s="6">
        <f t="shared" si="91"/>
        <v>139.02374475896053</v>
      </c>
      <c r="V317">
        <f>IF((R317-$AB$774)/($Z$773-$AB$774)&lt;0, 0, IF((R317-$AB$774)/($Z$773-$AB$774)&gt;1, 1, (R317-$AB$774)/($Z$773-$AB$774)))</f>
        <v>0</v>
      </c>
      <c r="W317" s="6">
        <f t="shared" si="92"/>
        <v>0</v>
      </c>
      <c r="Y317" s="78">
        <v>45050.4375</v>
      </c>
      <c r="Z317">
        <v>0.140593131453387</v>
      </c>
      <c r="AA317" s="6">
        <v>98.474887140000007</v>
      </c>
      <c r="AB317" s="2">
        <v>7789</v>
      </c>
      <c r="AC317" s="7">
        <f t="shared" si="93"/>
        <v>129.81666666666666</v>
      </c>
      <c r="AD317" s="7">
        <f t="shared" si="94"/>
        <v>18.251331681507189</v>
      </c>
      <c r="AE317" s="7">
        <f t="shared" si="95"/>
        <v>139.02374475896053</v>
      </c>
      <c r="AF317" s="7">
        <f t="shared" si="96"/>
        <v>1</v>
      </c>
      <c r="AG317" s="6">
        <f t="shared" si="97"/>
        <v>139.02374475896053</v>
      </c>
      <c r="AH317" s="2">
        <f t="shared" si="98"/>
        <v>1</v>
      </c>
      <c r="AI317" s="7">
        <f t="shared" si="99"/>
        <v>139.02374475896053</v>
      </c>
      <c r="AK317" s="78">
        <v>45032.989583333336</v>
      </c>
      <c r="AL317" s="5">
        <v>3.70028394292964E-2</v>
      </c>
      <c r="AM317" s="5">
        <v>55.826367980000001</v>
      </c>
      <c r="AN317" s="2">
        <v>31973</v>
      </c>
      <c r="AO317" s="7">
        <f t="shared" si="104"/>
        <v>532.88333333333333</v>
      </c>
      <c r="AP317" s="5">
        <f t="shared" si="100"/>
        <v>19.718196417881561</v>
      </c>
      <c r="AQ317" s="6">
        <f t="shared" si="101"/>
        <v>159.93740853115801</v>
      </c>
      <c r="AR317" s="2">
        <f t="shared" si="102"/>
        <v>1</v>
      </c>
      <c r="AS317" s="2">
        <f t="shared" si="103"/>
        <v>159.93740853115801</v>
      </c>
    </row>
    <row r="318" spans="13:45" x14ac:dyDescent="0.3">
      <c r="M318" s="78">
        <v>45036</v>
      </c>
      <c r="N318" s="5">
        <v>4.7522601981635902E-2</v>
      </c>
      <c r="O318" s="5">
        <v>82.711152870000006</v>
      </c>
      <c r="P318" s="2">
        <v>18779</v>
      </c>
      <c r="Q318" s="7">
        <f t="shared" si="87"/>
        <v>312.98333333333335</v>
      </c>
      <c r="R318" s="6">
        <f t="shared" si="88"/>
        <v>14.873782376885677</v>
      </c>
      <c r="S318" s="6">
        <f t="shared" si="89"/>
        <v>139.31194750982698</v>
      </c>
      <c r="T318" s="2">
        <f t="shared" si="90"/>
        <v>1</v>
      </c>
      <c r="U318" s="6">
        <f t="shared" si="91"/>
        <v>139.31194750982698</v>
      </c>
      <c r="V318">
        <f>IF((R318-$AB$774)/($Z$773-$AB$774)&lt;0, 0, IF((R318-$AB$774)/($Z$773-$AB$774)&gt;1, 1, (R318-$AB$774)/($Z$773-$AB$774)))</f>
        <v>0</v>
      </c>
      <c r="W318" s="6">
        <f t="shared" si="92"/>
        <v>0</v>
      </c>
      <c r="Y318" s="78">
        <v>45050.447916666664</v>
      </c>
      <c r="Z318">
        <v>0.150459101365787</v>
      </c>
      <c r="AA318" s="6">
        <v>93.038532979999999</v>
      </c>
      <c r="AB318" s="2">
        <v>7988</v>
      </c>
      <c r="AC318" s="7">
        <f t="shared" si="93"/>
        <v>133.13333333333333</v>
      </c>
      <c r="AD318" s="7">
        <f t="shared" si="94"/>
        <v>20.031121695165108</v>
      </c>
      <c r="AE318" s="7">
        <f t="shared" si="95"/>
        <v>139.31194750982698</v>
      </c>
      <c r="AF318" s="7">
        <f t="shared" si="96"/>
        <v>1</v>
      </c>
      <c r="AG318" s="6">
        <f t="shared" si="97"/>
        <v>139.31194750982698</v>
      </c>
      <c r="AH318" s="2">
        <f t="shared" si="98"/>
        <v>1</v>
      </c>
      <c r="AI318" s="7">
        <f t="shared" si="99"/>
        <v>139.31194750982698</v>
      </c>
      <c r="AK318" s="78">
        <v>45033</v>
      </c>
      <c r="AL318" s="5">
        <v>3.3144517049783301E-2</v>
      </c>
      <c r="AM318" s="5">
        <v>53.809964399999998</v>
      </c>
      <c r="AN318" s="2">
        <v>30765</v>
      </c>
      <c r="AO318" s="7">
        <f t="shared" si="104"/>
        <v>512.75</v>
      </c>
      <c r="AP318" s="5">
        <f t="shared" si="100"/>
        <v>16.994851117276387</v>
      </c>
      <c r="AQ318" s="6">
        <f t="shared" si="101"/>
        <v>148.70994260069185</v>
      </c>
      <c r="AR318" s="2">
        <f t="shared" si="102"/>
        <v>1</v>
      </c>
      <c r="AS318" s="2">
        <f t="shared" si="103"/>
        <v>148.70994260069185</v>
      </c>
    </row>
    <row r="319" spans="13:45" x14ac:dyDescent="0.3">
      <c r="M319" s="78">
        <v>45036.010416666664</v>
      </c>
      <c r="N319" s="5">
        <v>4.71909111761167E-2</v>
      </c>
      <c r="O319" s="5">
        <v>84.891986889999998</v>
      </c>
      <c r="P319" s="2">
        <v>19121</v>
      </c>
      <c r="Q319" s="7">
        <f t="shared" si="87"/>
        <v>318.68333333333334</v>
      </c>
      <c r="R319" s="6">
        <f t="shared" si="88"/>
        <v>15.038956876642123</v>
      </c>
      <c r="S319" s="6">
        <f t="shared" si="89"/>
        <v>140.06741293538255</v>
      </c>
      <c r="T319" s="2">
        <f t="shared" si="90"/>
        <v>1</v>
      </c>
      <c r="U319" s="6">
        <f t="shared" si="91"/>
        <v>140.06741293538255</v>
      </c>
      <c r="V319">
        <f>IF((R319-$AB$774)/($Z$773-$AB$774)&lt;0, 0, IF((R319-$AB$774)/($Z$773-$AB$774)&gt;1, 1, (R319-$AB$774)/($Z$773-$AB$774)))</f>
        <v>2.6662200941194397E-2</v>
      </c>
      <c r="W319" s="6">
        <f t="shared" si="92"/>
        <v>3.734505508996421</v>
      </c>
      <c r="Y319" s="78">
        <v>45050.458333333336</v>
      </c>
      <c r="Z319">
        <v>0.14253186119264</v>
      </c>
      <c r="AA319" s="6">
        <v>91.767774239999994</v>
      </c>
      <c r="AB319" s="2">
        <v>8230</v>
      </c>
      <c r="AC319" s="7">
        <f t="shared" si="93"/>
        <v>137.16666666666666</v>
      </c>
      <c r="AD319" s="7">
        <f t="shared" si="94"/>
        <v>19.550620293590452</v>
      </c>
      <c r="AE319" s="7">
        <f t="shared" si="95"/>
        <v>140.06741293538255</v>
      </c>
      <c r="AF319" s="7">
        <f t="shared" si="96"/>
        <v>1</v>
      </c>
      <c r="AG319" s="6">
        <f t="shared" si="97"/>
        <v>140.06741293538255</v>
      </c>
      <c r="AH319" s="2">
        <f t="shared" si="98"/>
        <v>1</v>
      </c>
      <c r="AI319" s="7">
        <f t="shared" si="99"/>
        <v>140.06741293538255</v>
      </c>
      <c r="AK319" s="78">
        <v>45033.010416666664</v>
      </c>
      <c r="AL319" s="5">
        <v>3.3500163539009399E-2</v>
      </c>
      <c r="AM319" s="5">
        <v>54.48183384</v>
      </c>
      <c r="AN319" s="2">
        <v>31858</v>
      </c>
      <c r="AO319" s="7">
        <f t="shared" si="104"/>
        <v>530.9666666666667</v>
      </c>
      <c r="AP319" s="5">
        <f t="shared" si="100"/>
        <v>17.787470167096025</v>
      </c>
      <c r="AQ319" s="6">
        <f t="shared" si="101"/>
        <v>152.0668356881427</v>
      </c>
      <c r="AR319" s="2">
        <f t="shared" si="102"/>
        <v>1</v>
      </c>
      <c r="AS319" s="2">
        <f t="shared" si="103"/>
        <v>152.0668356881427</v>
      </c>
    </row>
    <row r="320" spans="13:45" x14ac:dyDescent="0.3">
      <c r="M320" s="78">
        <v>45036.020833333336</v>
      </c>
      <c r="N320" s="5">
        <v>4.7091246640226597E-2</v>
      </c>
      <c r="O320" s="5">
        <v>81.397704649999994</v>
      </c>
      <c r="P320" s="2">
        <v>19299</v>
      </c>
      <c r="Q320" s="7">
        <f t="shared" si="87"/>
        <v>321.64999999999998</v>
      </c>
      <c r="R320" s="6">
        <f t="shared" si="88"/>
        <v>15.146899481828884</v>
      </c>
      <c r="S320" s="6">
        <f t="shared" si="89"/>
        <v>140.55882881453741</v>
      </c>
      <c r="T320" s="2">
        <f t="shared" si="90"/>
        <v>1</v>
      </c>
      <c r="U320" s="6">
        <f t="shared" si="91"/>
        <v>140.55882881453741</v>
      </c>
      <c r="V320">
        <f>IF((R320-$AB$774)/($Z$773-$AB$774)&lt;0, 0, IF((R320-$AB$774)/($Z$773-$AB$774)&gt;1, 1, (R320-$AB$774)/($Z$773-$AB$774)))</f>
        <v>4.6421036579598278E-2</v>
      </c>
      <c r="W320" s="6">
        <f t="shared" si="92"/>
        <v>6.524886533985133</v>
      </c>
      <c r="Y320" s="78">
        <v>45050.46875</v>
      </c>
      <c r="Z320">
        <v>0.16235250858209799</v>
      </c>
      <c r="AA320" s="6">
        <v>96.393321510000007</v>
      </c>
      <c r="AB320" s="2">
        <v>7560</v>
      </c>
      <c r="AC320" s="7">
        <f t="shared" si="93"/>
        <v>126</v>
      </c>
      <c r="AD320" s="7">
        <f t="shared" si="94"/>
        <v>20.456416081344347</v>
      </c>
      <c r="AE320" s="7">
        <f t="shared" si="95"/>
        <v>140.55882881453741</v>
      </c>
      <c r="AF320" s="7">
        <f t="shared" si="96"/>
        <v>1</v>
      </c>
      <c r="AG320" s="6">
        <f t="shared" si="97"/>
        <v>140.55882881453741</v>
      </c>
      <c r="AH320" s="2">
        <f t="shared" si="98"/>
        <v>1</v>
      </c>
      <c r="AI320" s="7">
        <f t="shared" si="99"/>
        <v>140.55882881453741</v>
      </c>
      <c r="AK320" s="78">
        <v>45033.020833333336</v>
      </c>
      <c r="AL320" s="5">
        <v>3.3250991620342903E-2</v>
      </c>
      <c r="AM320" s="5">
        <v>49.691464410000002</v>
      </c>
      <c r="AN320" s="2">
        <v>32268</v>
      </c>
      <c r="AO320" s="7">
        <f t="shared" si="104"/>
        <v>537.79999999999995</v>
      </c>
      <c r="AP320" s="5">
        <f t="shared" si="100"/>
        <v>17.882383293420411</v>
      </c>
      <c r="AQ320" s="6">
        <f t="shared" si="101"/>
        <v>152.46364934542399</v>
      </c>
      <c r="AR320" s="2">
        <f t="shared" si="102"/>
        <v>1</v>
      </c>
      <c r="AS320" s="2">
        <f t="shared" si="103"/>
        <v>152.46364934542399</v>
      </c>
    </row>
    <row r="321" spans="13:45" x14ac:dyDescent="0.3">
      <c r="M321" s="78">
        <v>45036.03125</v>
      </c>
      <c r="N321" s="5">
        <v>4.7710411477531897E-2</v>
      </c>
      <c r="O321" s="5">
        <v>84.027783200000002</v>
      </c>
      <c r="P321" s="2">
        <v>19766</v>
      </c>
      <c r="Q321" s="7">
        <f t="shared" si="87"/>
        <v>329.43333333333334</v>
      </c>
      <c r="R321" s="6">
        <f t="shared" si="88"/>
        <v>15.717399887748257</v>
      </c>
      <c r="S321" s="6">
        <f t="shared" si="89"/>
        <v>143.1268861224581</v>
      </c>
      <c r="T321" s="2">
        <f t="shared" si="90"/>
        <v>1</v>
      </c>
      <c r="U321" s="6">
        <f t="shared" si="91"/>
        <v>143.1268861224581</v>
      </c>
      <c r="V321">
        <f>IF((R321-$AB$774)/($Z$773-$AB$774)&lt;0, 0, IF((R321-$AB$774)/($Z$773-$AB$774)&gt;1, 1, (R321-$AB$774)/($Z$773-$AB$774)))</f>
        <v>0.15085082806647429</v>
      </c>
      <c r="W321" s="6">
        <f t="shared" si="92"/>
        <v>21.590809290148773</v>
      </c>
      <c r="Y321" s="78">
        <v>45050.479166666664</v>
      </c>
      <c r="Z321">
        <v>0.14604879778639299</v>
      </c>
      <c r="AA321" s="6">
        <v>105.0166174</v>
      </c>
      <c r="AB321" s="2">
        <v>7716</v>
      </c>
      <c r="AC321" s="7">
        <f t="shared" si="93"/>
        <v>128.6</v>
      </c>
      <c r="AD321" s="7">
        <f t="shared" si="94"/>
        <v>18.781875395330136</v>
      </c>
      <c r="AE321" s="7">
        <f t="shared" si="95"/>
        <v>143.1268861224581</v>
      </c>
      <c r="AF321" s="7">
        <f t="shared" si="96"/>
        <v>1</v>
      </c>
      <c r="AG321" s="6">
        <f t="shared" si="97"/>
        <v>143.1268861224581</v>
      </c>
      <c r="AH321" s="2">
        <f t="shared" si="98"/>
        <v>1</v>
      </c>
      <c r="AI321" s="7">
        <f t="shared" si="99"/>
        <v>143.1268861224581</v>
      </c>
      <c r="AK321" s="78">
        <v>45033.03125</v>
      </c>
      <c r="AL321" s="5">
        <v>3.2722286042373101E-2</v>
      </c>
      <c r="AM321" s="5">
        <v>51.763919430000001</v>
      </c>
      <c r="AN321" s="2">
        <v>32251</v>
      </c>
      <c r="AO321" s="7">
        <f t="shared" si="104"/>
        <v>537.51666666666665</v>
      </c>
      <c r="AP321" s="5">
        <f t="shared" si="100"/>
        <v>17.588774119209582</v>
      </c>
      <c r="AQ321" s="6">
        <f t="shared" si="101"/>
        <v>151.23261165076292</v>
      </c>
      <c r="AR321" s="2">
        <f t="shared" si="102"/>
        <v>1</v>
      </c>
      <c r="AS321" s="2">
        <f t="shared" si="103"/>
        <v>151.23261165076292</v>
      </c>
    </row>
    <row r="322" spans="13:45" x14ac:dyDescent="0.3">
      <c r="M322" s="78">
        <v>45036.041666666664</v>
      </c>
      <c r="N322" s="5">
        <v>4.6633751675655297E-2</v>
      </c>
      <c r="O322" s="5">
        <v>81.841333250000005</v>
      </c>
      <c r="P322" s="2">
        <v>19589</v>
      </c>
      <c r="Q322" s="7">
        <f t="shared" si="87"/>
        <v>326.48333333333335</v>
      </c>
      <c r="R322" s="6">
        <f t="shared" si="88"/>
        <v>15.225142692906861</v>
      </c>
      <c r="S322" s="6">
        <f t="shared" si="89"/>
        <v>140.91391997391543</v>
      </c>
      <c r="T322" s="2">
        <f t="shared" si="90"/>
        <v>1</v>
      </c>
      <c r="U322" s="6">
        <f t="shared" si="91"/>
        <v>140.91391997391543</v>
      </c>
      <c r="V322">
        <f>IF((R322-$AB$774)/($Z$773-$AB$774)&lt;0, 0, IF((R322-$AB$774)/($Z$773-$AB$774)&gt;1, 1, (R322-$AB$774)/($Z$773-$AB$774)))</f>
        <v>6.0743414150862478E-2</v>
      </c>
      <c r="W322" s="6">
        <f t="shared" si="92"/>
        <v>8.5595926005970373</v>
      </c>
      <c r="Y322" s="78">
        <v>45050.489583333336</v>
      </c>
      <c r="Z322">
        <v>0.14948580954954099</v>
      </c>
      <c r="AA322" s="6">
        <v>108.2271172</v>
      </c>
      <c r="AB322" s="2">
        <v>7450</v>
      </c>
      <c r="AC322" s="7">
        <f t="shared" si="93"/>
        <v>124.16666666666667</v>
      </c>
      <c r="AD322" s="7">
        <f t="shared" si="94"/>
        <v>18.561154685734675</v>
      </c>
      <c r="AE322" s="7">
        <f t="shared" si="95"/>
        <v>140.91391997391543</v>
      </c>
      <c r="AF322" s="7">
        <f t="shared" si="96"/>
        <v>1</v>
      </c>
      <c r="AG322" s="6">
        <f t="shared" si="97"/>
        <v>140.91391997391543</v>
      </c>
      <c r="AH322" s="2">
        <f t="shared" si="98"/>
        <v>1</v>
      </c>
      <c r="AI322" s="7">
        <f t="shared" si="99"/>
        <v>140.91391997391543</v>
      </c>
      <c r="AK322" s="78">
        <v>45033.041666666664</v>
      </c>
      <c r="AL322" s="5">
        <v>3.35825266545655E-2</v>
      </c>
      <c r="AM322" s="5">
        <v>50.393595470000001</v>
      </c>
      <c r="AN322" s="2">
        <v>32751</v>
      </c>
      <c r="AO322" s="7">
        <f t="shared" si="104"/>
        <v>545.85</v>
      </c>
      <c r="AP322" s="5">
        <f t="shared" si="100"/>
        <v>18.33102217439458</v>
      </c>
      <c r="AQ322" s="6">
        <f t="shared" si="101"/>
        <v>154.32493802772314</v>
      </c>
      <c r="AR322" s="2">
        <f t="shared" si="102"/>
        <v>1</v>
      </c>
      <c r="AS322" s="2">
        <f t="shared" si="103"/>
        <v>154.32493802772314</v>
      </c>
    </row>
    <row r="323" spans="13:45" x14ac:dyDescent="0.3">
      <c r="M323" s="78">
        <v>45036.052083333336</v>
      </c>
      <c r="N323" s="5">
        <v>4.7013789519058297E-2</v>
      </c>
      <c r="O323" s="5">
        <v>81.841333250000005</v>
      </c>
      <c r="P323" s="2">
        <v>19299</v>
      </c>
      <c r="Q323" s="7">
        <f t="shared" si="87"/>
        <v>321.64999999999998</v>
      </c>
      <c r="R323" s="6">
        <f t="shared" si="88"/>
        <v>15.1219853988051</v>
      </c>
      <c r="S323" s="6">
        <f t="shared" si="89"/>
        <v>140.44556484591237</v>
      </c>
      <c r="T323" s="2">
        <f t="shared" si="90"/>
        <v>1</v>
      </c>
      <c r="U323" s="6">
        <f t="shared" si="91"/>
        <v>140.44556484591237</v>
      </c>
      <c r="V323">
        <f>IF((R323-$AB$774)/($Z$773-$AB$774)&lt;0, 0, IF((R323-$AB$774)/($Z$773-$AB$774)&gt;1, 1, (R323-$AB$774)/($Z$773-$AB$774)))</f>
        <v>4.1860527124626574E-2</v>
      </c>
      <c r="W323" s="6">
        <f t="shared" si="92"/>
        <v>5.8791253767658151</v>
      </c>
      <c r="Y323" s="78">
        <v>45050.5</v>
      </c>
      <c r="Z323">
        <v>0.166033059871359</v>
      </c>
      <c r="AA323" s="6">
        <v>97.229596529999995</v>
      </c>
      <c r="AB323" s="2">
        <v>7799</v>
      </c>
      <c r="AC323" s="7">
        <f t="shared" si="93"/>
        <v>129.98333333333332</v>
      </c>
      <c r="AD323" s="7">
        <f t="shared" si="94"/>
        <v>21.581530565612145</v>
      </c>
      <c r="AE323" s="7">
        <f t="shared" si="95"/>
        <v>140.44556484591237</v>
      </c>
      <c r="AF323" s="7">
        <f t="shared" si="96"/>
        <v>1</v>
      </c>
      <c r="AG323" s="6">
        <f t="shared" si="97"/>
        <v>140.44556484591237</v>
      </c>
      <c r="AH323" s="2">
        <f t="shared" si="98"/>
        <v>1</v>
      </c>
      <c r="AI323" s="7">
        <f t="shared" si="99"/>
        <v>140.44556484591237</v>
      </c>
      <c r="AK323" s="78">
        <v>45033.052083333336</v>
      </c>
      <c r="AL323" s="5">
        <v>3.6057157176996799E-2</v>
      </c>
      <c r="AM323" s="5">
        <v>48.30225712</v>
      </c>
      <c r="AN323" s="2">
        <v>33263</v>
      </c>
      <c r="AO323" s="7">
        <f t="shared" si="104"/>
        <v>554.38333333333333</v>
      </c>
      <c r="AP323" s="5">
        <f t="shared" si="100"/>
        <v>19.989486986307409</v>
      </c>
      <c r="AQ323" s="6">
        <f t="shared" si="101"/>
        <v>161.01122712541482</v>
      </c>
      <c r="AR323" s="2">
        <f t="shared" si="102"/>
        <v>1</v>
      </c>
      <c r="AS323" s="2">
        <f t="shared" si="103"/>
        <v>161.01122712541482</v>
      </c>
    </row>
    <row r="324" spans="13:45" x14ac:dyDescent="0.3">
      <c r="M324" s="78">
        <v>45036.0625</v>
      </c>
      <c r="N324" s="5">
        <v>4.7062613040068403E-2</v>
      </c>
      <c r="O324" s="5">
        <v>84.027783200000002</v>
      </c>
      <c r="P324" s="2">
        <v>19060</v>
      </c>
      <c r="Q324" s="7">
        <f t="shared" ref="Q324:Q387" si="105">P324/60</f>
        <v>317.66666666666669</v>
      </c>
      <c r="R324" s="6">
        <f t="shared" ref="R324:R387" si="106">N324*Q324</f>
        <v>14.95022340906173</v>
      </c>
      <c r="S324" s="6">
        <f t="shared" ref="S324:S387" si="107">37.141*R324^0.4897</f>
        <v>139.66209836843606</v>
      </c>
      <c r="T324" s="2">
        <f t="shared" ref="T324:T387" si="108">IF((O324-$R$1)/($P$1-$R$1)&lt;0, 0, IF((O324-$R$1)/($P$1-$R$1)&gt;1, 1, (O324-$R$1)/($P$1-$R$1)))</f>
        <v>1</v>
      </c>
      <c r="U324" s="6">
        <f t="shared" ref="U324:U387" si="109">S324*T324</f>
        <v>139.66209836843606</v>
      </c>
      <c r="V324">
        <f>IF((R324-$AB$774)/($Z$773-$AB$774)&lt;0, 0, IF((R324-$AB$774)/($Z$773-$AB$774)&gt;1, 1, (R324-$AB$774)/($Z$773-$AB$774)))</f>
        <v>1.0419587577239061E-2</v>
      </c>
      <c r="W324" s="6">
        <f t="shared" ref="W324:W387" si="110">S324*V324</f>
        <v>1.4552214651708961</v>
      </c>
      <c r="Y324" s="78">
        <v>45050.510416666664</v>
      </c>
      <c r="Z324">
        <v>0.13111119470171601</v>
      </c>
      <c r="AA324" s="6">
        <v>100.5402337</v>
      </c>
      <c r="AB324" s="2">
        <v>7610</v>
      </c>
      <c r="AC324" s="7">
        <f t="shared" ref="AC324:AC387" si="111">AB324/60</f>
        <v>126.83333333333333</v>
      </c>
      <c r="AD324" s="7">
        <f t="shared" ref="AD324:AD387" si="112">AC324*Z324</f>
        <v>16.629269861334311</v>
      </c>
      <c r="AE324" s="7">
        <f t="shared" ref="AE324:AE387" si="113">37.141*R324^0.4897</f>
        <v>139.66209836843606</v>
      </c>
      <c r="AF324" s="7">
        <f t="shared" ref="AF324:AF387" si="114">IF((AA324-$AD$1)/($AB$1-$AD$1)&lt;0, 0, IF((AA324-$AD$1)/($AB$1-$AD$1)&gt;1, 1, (AA324-$AD$1)/($AB$1-$AD$1)))</f>
        <v>1</v>
      </c>
      <c r="AG324" s="6">
        <f t="shared" ref="AG324:AG387" si="115">AE324*AF324</f>
        <v>139.66209836843606</v>
      </c>
      <c r="AH324" s="2">
        <f t="shared" ref="AH324:AH387" si="116">IF((AD324-$AI$444)/($AG$444-$AI$444)&lt;0, 0, IF((AD324-$AI$444)/($AG$444-$AI$444)&gt;1, 1, (AD324-$AI$444)/($AG$444-$AI$444)))</f>
        <v>1</v>
      </c>
      <c r="AI324" s="7">
        <f t="shared" ref="AI324:AI387" si="117">AE324*AH324</f>
        <v>139.66209836843606</v>
      </c>
      <c r="AK324" s="78">
        <v>45033.0625</v>
      </c>
      <c r="AL324" s="5">
        <v>3.70291376338968E-2</v>
      </c>
      <c r="AM324" s="5">
        <v>57.814717760000001</v>
      </c>
      <c r="AN324" s="2">
        <v>31488</v>
      </c>
      <c r="AO324" s="7">
        <f t="shared" si="104"/>
        <v>524.79999999999995</v>
      </c>
      <c r="AP324" s="5">
        <f t="shared" ref="AP324:AP387" si="118">AO324*AL324</f>
        <v>19.432891430269038</v>
      </c>
      <c r="AQ324" s="6">
        <f t="shared" ref="AQ324:AQ387" si="119">37.141*AP324^0.4897</f>
        <v>158.79995293549428</v>
      </c>
      <c r="AR324" s="2">
        <f t="shared" ref="AR324:AR387" si="120">IF((AM324-$AP$1)/($AN$1-$AP$1)&lt;0, 0, IF((AA324-$AP$1)/($AN$1-$AP$1)&gt;1, 1, (AA324-$AP$1)/($AN$1-$AP$1)))</f>
        <v>1</v>
      </c>
      <c r="AS324" s="2">
        <f t="shared" ref="AS324:AS387" si="121">AQ324*AR324</f>
        <v>158.79995293549428</v>
      </c>
    </row>
    <row r="325" spans="13:45" x14ac:dyDescent="0.3">
      <c r="M325" s="78">
        <v>45036.072916666664</v>
      </c>
      <c r="N325" s="5">
        <v>4.7675274038900303E-2</v>
      </c>
      <c r="O325" s="5">
        <v>86.199962600000006</v>
      </c>
      <c r="P325" s="2">
        <v>18874</v>
      </c>
      <c r="Q325" s="7">
        <f t="shared" si="105"/>
        <v>314.56666666666666</v>
      </c>
      <c r="R325" s="6">
        <f t="shared" si="106"/>
        <v>14.997052036836738</v>
      </c>
      <c r="S325" s="6">
        <f t="shared" si="107"/>
        <v>139.87615354390559</v>
      </c>
      <c r="T325" s="2">
        <f t="shared" si="108"/>
        <v>1</v>
      </c>
      <c r="U325" s="6">
        <f t="shared" si="109"/>
        <v>139.87615354390559</v>
      </c>
      <c r="V325">
        <f>IF((R325-$AB$774)/($Z$773-$AB$774)&lt;0, 0, IF((R325-$AB$774)/($Z$773-$AB$774)&gt;1, 1, (R325-$AB$774)/($Z$773-$AB$774)))</f>
        <v>1.8991542624807942E-2</v>
      </c>
      <c r="W325" s="6">
        <f t="shared" si="110"/>
        <v>2.6564639322232635</v>
      </c>
      <c r="Y325" s="78">
        <v>45050.520833333336</v>
      </c>
      <c r="Z325">
        <v>0.163764378897165</v>
      </c>
      <c r="AA325" s="6">
        <v>96.393321510000007</v>
      </c>
      <c r="AB325" s="2">
        <v>7755</v>
      </c>
      <c r="AC325" s="7">
        <f t="shared" si="111"/>
        <v>129.25</v>
      </c>
      <c r="AD325" s="7">
        <f t="shared" si="112"/>
        <v>21.166545972458575</v>
      </c>
      <c r="AE325" s="7">
        <f t="shared" si="113"/>
        <v>139.87615354390559</v>
      </c>
      <c r="AF325" s="7">
        <f t="shared" si="114"/>
        <v>1</v>
      </c>
      <c r="AG325" s="6">
        <f t="shared" si="115"/>
        <v>139.87615354390559</v>
      </c>
      <c r="AH325" s="2">
        <f t="shared" si="116"/>
        <v>1</v>
      </c>
      <c r="AI325" s="7">
        <f t="shared" si="117"/>
        <v>139.87615354390559</v>
      </c>
      <c r="AK325" s="78">
        <v>45033.072916666664</v>
      </c>
      <c r="AL325" s="5">
        <v>3.5732805084904201E-2</v>
      </c>
      <c r="AM325" s="5">
        <v>55.826367980000001</v>
      </c>
      <c r="AN325" s="2">
        <v>32788</v>
      </c>
      <c r="AO325" s="7">
        <f t="shared" si="104"/>
        <v>546.4666666666667</v>
      </c>
      <c r="AP325" s="5">
        <f t="shared" si="118"/>
        <v>19.526786885397318</v>
      </c>
      <c r="AQ325" s="6">
        <f t="shared" si="119"/>
        <v>159.17523099952157</v>
      </c>
      <c r="AR325" s="2">
        <f t="shared" si="120"/>
        <v>1</v>
      </c>
      <c r="AS325" s="2">
        <f t="shared" si="121"/>
        <v>159.17523099952157</v>
      </c>
    </row>
    <row r="326" spans="13:45" x14ac:dyDescent="0.3">
      <c r="M326" s="78">
        <v>45036.083333333336</v>
      </c>
      <c r="N326" s="5">
        <v>4.6857482553611697E-2</v>
      </c>
      <c r="O326" s="5">
        <v>81.841333250000005</v>
      </c>
      <c r="P326" s="2">
        <v>19915</v>
      </c>
      <c r="Q326" s="7">
        <f t="shared" si="105"/>
        <v>331.91666666666669</v>
      </c>
      <c r="R326" s="6">
        <f t="shared" si="106"/>
        <v>15.552779417586283</v>
      </c>
      <c r="S326" s="6">
        <f t="shared" si="107"/>
        <v>142.39081520528038</v>
      </c>
      <c r="T326" s="2">
        <f t="shared" si="108"/>
        <v>1</v>
      </c>
      <c r="U326" s="6">
        <f t="shared" si="109"/>
        <v>142.39081520528038</v>
      </c>
      <c r="V326">
        <f>IF((R326-$AB$774)/($Z$773-$AB$774)&lt;0, 0, IF((R326-$AB$774)/($Z$773-$AB$774)&gt;1, 1, (R326-$AB$774)/($Z$773-$AB$774)))</f>
        <v>0.12071713982521465</v>
      </c>
      <c r="W326" s="6">
        <f t="shared" si="110"/>
        <v>17.189011948962133</v>
      </c>
      <c r="Y326" s="78">
        <v>45050.53125</v>
      </c>
      <c r="Z326">
        <v>0.124851016099193</v>
      </c>
      <c r="AA326" s="6">
        <v>96.400480259999995</v>
      </c>
      <c r="AB326" s="2">
        <v>7591</v>
      </c>
      <c r="AC326" s="7">
        <f t="shared" si="111"/>
        <v>126.51666666666667</v>
      </c>
      <c r="AD326" s="7">
        <f t="shared" si="112"/>
        <v>15.795734386816234</v>
      </c>
      <c r="AE326" s="7">
        <f t="shared" si="113"/>
        <v>142.39081520528038</v>
      </c>
      <c r="AF326" s="7">
        <f t="shared" si="114"/>
        <v>1</v>
      </c>
      <c r="AG326" s="6">
        <f t="shared" si="115"/>
        <v>142.39081520528038</v>
      </c>
      <c r="AH326" s="2">
        <f t="shared" si="116"/>
        <v>1</v>
      </c>
      <c r="AI326" s="7">
        <f t="shared" si="117"/>
        <v>142.39081520528038</v>
      </c>
      <c r="AK326" s="78">
        <v>45033.083333333336</v>
      </c>
      <c r="AL326" s="5">
        <v>3.2745658354101398E-2</v>
      </c>
      <c r="AM326" s="5">
        <v>50.381720729999998</v>
      </c>
      <c r="AN326" s="2">
        <v>33326</v>
      </c>
      <c r="AO326" s="7">
        <f t="shared" si="104"/>
        <v>555.43333333333328</v>
      </c>
      <c r="AP326" s="5">
        <f t="shared" si="118"/>
        <v>18.18803017181305</v>
      </c>
      <c r="AQ326" s="6">
        <f t="shared" si="119"/>
        <v>153.73424994800527</v>
      </c>
      <c r="AR326" s="2">
        <f t="shared" si="120"/>
        <v>1</v>
      </c>
      <c r="AS326" s="2">
        <f t="shared" si="121"/>
        <v>153.73424994800527</v>
      </c>
    </row>
    <row r="327" spans="13:45" x14ac:dyDescent="0.3">
      <c r="M327" s="78">
        <v>45036.09375</v>
      </c>
      <c r="N327" s="5">
        <v>4.7421856456974998E-2</v>
      </c>
      <c r="O327" s="5">
        <v>84.891986889999998</v>
      </c>
      <c r="P327" s="2">
        <v>19259</v>
      </c>
      <c r="Q327" s="7">
        <f t="shared" si="105"/>
        <v>320.98333333333335</v>
      </c>
      <c r="R327" s="6">
        <f t="shared" si="106"/>
        <v>15.221625558414692</v>
      </c>
      <c r="S327" s="6">
        <f t="shared" si="107"/>
        <v>140.89797817947908</v>
      </c>
      <c r="T327" s="2">
        <f t="shared" si="108"/>
        <v>1</v>
      </c>
      <c r="U327" s="6">
        <f t="shared" si="109"/>
        <v>140.89797817947908</v>
      </c>
      <c r="V327">
        <f>IF((R327-$AB$774)/($Z$773-$AB$774)&lt;0, 0, IF((R327-$AB$774)/($Z$773-$AB$774)&gt;1, 1, (R327-$AB$774)/($Z$773-$AB$774)))</f>
        <v>6.0099604579760414E-2</v>
      </c>
      <c r="W327" s="6">
        <f t="shared" si="110"/>
        <v>8.4679127746744047</v>
      </c>
      <c r="Y327" s="78">
        <v>45050.541666666664</v>
      </c>
      <c r="Z327">
        <v>0.151129998097038</v>
      </c>
      <c r="AA327" s="6">
        <v>100.9486689</v>
      </c>
      <c r="AB327" s="2">
        <v>7531</v>
      </c>
      <c r="AC327" s="7">
        <f t="shared" si="111"/>
        <v>125.51666666666667</v>
      </c>
      <c r="AD327" s="7">
        <f t="shared" si="112"/>
        <v>18.969333594479888</v>
      </c>
      <c r="AE327" s="7">
        <f t="shared" si="113"/>
        <v>140.89797817947908</v>
      </c>
      <c r="AF327" s="7">
        <f t="shared" si="114"/>
        <v>1</v>
      </c>
      <c r="AG327" s="6">
        <f t="shared" si="115"/>
        <v>140.89797817947908</v>
      </c>
      <c r="AH327" s="2">
        <f t="shared" si="116"/>
        <v>1</v>
      </c>
      <c r="AI327" s="7">
        <f t="shared" si="117"/>
        <v>140.89797817947908</v>
      </c>
      <c r="AK327" s="78">
        <v>45033.09375</v>
      </c>
      <c r="AL327" s="5">
        <v>3.0229246987560299E-2</v>
      </c>
      <c r="AM327" s="5">
        <v>48.290232170000003</v>
      </c>
      <c r="AN327" s="2">
        <v>33839</v>
      </c>
      <c r="AO327" s="7">
        <f t="shared" si="104"/>
        <v>563.98333333333335</v>
      </c>
      <c r="AP327" s="5">
        <f t="shared" si="118"/>
        <v>17.048791480200883</v>
      </c>
      <c r="AQ327" s="6">
        <f t="shared" si="119"/>
        <v>148.9408911961836</v>
      </c>
      <c r="AR327" s="2">
        <f t="shared" si="120"/>
        <v>1</v>
      </c>
      <c r="AS327" s="2">
        <f t="shared" si="121"/>
        <v>148.9408911961836</v>
      </c>
    </row>
    <row r="328" spans="13:45" x14ac:dyDescent="0.3">
      <c r="M328" s="78">
        <v>45036.104166666664</v>
      </c>
      <c r="N328" s="5">
        <v>4.4782431350645503E-2</v>
      </c>
      <c r="O328" s="5">
        <v>82.718647970000006</v>
      </c>
      <c r="P328" s="2">
        <v>19491</v>
      </c>
      <c r="Q328" s="7">
        <f t="shared" si="105"/>
        <v>324.85000000000002</v>
      </c>
      <c r="R328" s="6">
        <f t="shared" si="106"/>
        <v>14.547572824257193</v>
      </c>
      <c r="S328" s="6">
        <f t="shared" si="107"/>
        <v>137.80726707413115</v>
      </c>
      <c r="T328" s="2">
        <f t="shared" si="108"/>
        <v>1</v>
      </c>
      <c r="U328" s="6">
        <f t="shared" si="109"/>
        <v>137.80726707413115</v>
      </c>
      <c r="V328">
        <f>IF((R328-$AB$774)/($Z$773-$AB$774)&lt;0, 0, IF((R328-$AB$774)/($Z$773-$AB$774)&gt;1, 1, (R328-$AB$774)/($Z$773-$AB$774)))</f>
        <v>0</v>
      </c>
      <c r="W328" s="6">
        <f t="shared" si="110"/>
        <v>0</v>
      </c>
      <c r="Y328" s="78">
        <v>45050.552083333336</v>
      </c>
      <c r="Z328">
        <v>0.148693609319376</v>
      </c>
      <c r="AA328" s="6">
        <v>97.649612750000003</v>
      </c>
      <c r="AB328" s="2">
        <v>7406</v>
      </c>
      <c r="AC328" s="7">
        <f t="shared" si="111"/>
        <v>123.43333333333334</v>
      </c>
      <c r="AD328" s="7">
        <f t="shared" si="112"/>
        <v>18.353747843654979</v>
      </c>
      <c r="AE328" s="7">
        <f t="shared" si="113"/>
        <v>137.80726707413115</v>
      </c>
      <c r="AF328" s="7">
        <f t="shared" si="114"/>
        <v>1</v>
      </c>
      <c r="AG328" s="6">
        <f t="shared" si="115"/>
        <v>137.80726707413115</v>
      </c>
      <c r="AH328" s="2">
        <f t="shared" si="116"/>
        <v>1</v>
      </c>
      <c r="AI328" s="7">
        <f t="shared" si="117"/>
        <v>137.80726707413115</v>
      </c>
      <c r="AK328" s="78">
        <v>45033.104166666664</v>
      </c>
      <c r="AL328" s="5">
        <v>3.2065215658289001E-2</v>
      </c>
      <c r="AM328" s="5">
        <v>53.809964399999998</v>
      </c>
      <c r="AN328" s="2">
        <v>33488</v>
      </c>
      <c r="AO328" s="7">
        <f t="shared" si="104"/>
        <v>558.13333333333333</v>
      </c>
      <c r="AP328" s="5">
        <f t="shared" si="118"/>
        <v>17.896665699413035</v>
      </c>
      <c r="AQ328" s="6">
        <f t="shared" si="119"/>
        <v>152.52326823921746</v>
      </c>
      <c r="AR328" s="2">
        <f t="shared" si="120"/>
        <v>1</v>
      </c>
      <c r="AS328" s="2">
        <f t="shared" si="121"/>
        <v>152.52326823921746</v>
      </c>
    </row>
    <row r="329" spans="13:45" x14ac:dyDescent="0.3">
      <c r="M329" s="78">
        <v>45036.114583333336</v>
      </c>
      <c r="N329" s="5">
        <v>4.86926037528407E-2</v>
      </c>
      <c r="O329" s="5">
        <v>82.711152870000006</v>
      </c>
      <c r="P329" s="2">
        <v>19722</v>
      </c>
      <c r="Q329" s="7">
        <f t="shared" si="105"/>
        <v>328.7</v>
      </c>
      <c r="R329" s="6">
        <f t="shared" si="106"/>
        <v>16.005258853558736</v>
      </c>
      <c r="S329" s="6">
        <f t="shared" si="107"/>
        <v>144.40460338274909</v>
      </c>
      <c r="T329" s="2">
        <f t="shared" si="108"/>
        <v>1</v>
      </c>
      <c r="U329" s="6">
        <f t="shared" si="109"/>
        <v>144.40460338274909</v>
      </c>
      <c r="V329">
        <f>IF((R329-$AB$774)/($Z$773-$AB$774)&lt;0, 0, IF((R329-$AB$774)/($Z$773-$AB$774)&gt;1, 1, (R329-$AB$774)/($Z$773-$AB$774)))</f>
        <v>0.20354325644217725</v>
      </c>
      <c r="W329" s="6">
        <f t="shared" si="110"/>
        <v>29.392583217765793</v>
      </c>
      <c r="Y329" s="78">
        <v>45050.5625</v>
      </c>
      <c r="Z329">
        <v>0.115629739248839</v>
      </c>
      <c r="AA329" s="6">
        <v>96.400480259999995</v>
      </c>
      <c r="AB329" s="2">
        <v>7895</v>
      </c>
      <c r="AC329" s="7">
        <f t="shared" si="111"/>
        <v>131.58333333333334</v>
      </c>
      <c r="AD329" s="7">
        <f t="shared" si="112"/>
        <v>15.2149465228264</v>
      </c>
      <c r="AE329" s="7">
        <f t="shared" si="113"/>
        <v>144.40460338274909</v>
      </c>
      <c r="AF329" s="7">
        <f t="shared" si="114"/>
        <v>1</v>
      </c>
      <c r="AG329" s="6">
        <f t="shared" si="115"/>
        <v>144.40460338274909</v>
      </c>
      <c r="AH329" s="2">
        <f t="shared" si="116"/>
        <v>1</v>
      </c>
      <c r="AI329" s="7">
        <f t="shared" si="117"/>
        <v>144.40460338274909</v>
      </c>
      <c r="AK329" s="78">
        <v>45033.114583333336</v>
      </c>
      <c r="AL329" s="5">
        <v>3.1480029937481897E-2</v>
      </c>
      <c r="AM329" s="5">
        <v>53.809964399999998</v>
      </c>
      <c r="AN329" s="2">
        <v>33007</v>
      </c>
      <c r="AO329" s="7">
        <f t="shared" si="104"/>
        <v>550.11666666666667</v>
      </c>
      <c r="AP329" s="5">
        <f t="shared" si="118"/>
        <v>17.317689135774415</v>
      </c>
      <c r="AQ329" s="6">
        <f t="shared" si="119"/>
        <v>150.08666796851656</v>
      </c>
      <c r="AR329" s="2">
        <f t="shared" si="120"/>
        <v>1</v>
      </c>
      <c r="AS329" s="2">
        <f t="shared" si="121"/>
        <v>150.08666796851656</v>
      </c>
    </row>
    <row r="330" spans="13:45" x14ac:dyDescent="0.3">
      <c r="M330" s="78">
        <v>45036.125</v>
      </c>
      <c r="N330" s="5">
        <v>4.5867686403436997E-2</v>
      </c>
      <c r="O330" s="5">
        <v>84.027783200000002</v>
      </c>
      <c r="P330" s="2">
        <v>19578</v>
      </c>
      <c r="Q330" s="7">
        <f t="shared" si="105"/>
        <v>326.3</v>
      </c>
      <c r="R330" s="6">
        <f t="shared" si="106"/>
        <v>14.966626073441493</v>
      </c>
      <c r="S330" s="6">
        <f t="shared" si="107"/>
        <v>139.73711436057275</v>
      </c>
      <c r="T330" s="2">
        <f t="shared" si="108"/>
        <v>1</v>
      </c>
      <c r="U330" s="6">
        <f t="shared" si="109"/>
        <v>139.73711436057275</v>
      </c>
      <c r="V330">
        <f>IF((R330-$AB$774)/($Z$773-$AB$774)&lt;0, 0, IF((R330-$AB$774)/($Z$773-$AB$774)&gt;1, 1, (R330-$AB$774)/($Z$773-$AB$774)))</f>
        <v>1.3422086441805935E-2</v>
      </c>
      <c r="W330" s="6">
        <f t="shared" si="110"/>
        <v>1.875563628076129</v>
      </c>
      <c r="Y330" s="78">
        <v>45050.572916666664</v>
      </c>
      <c r="Z330">
        <v>0.14823377036314</v>
      </c>
      <c r="AA330" s="6">
        <v>97.229596529999995</v>
      </c>
      <c r="AB330" s="2">
        <v>7655</v>
      </c>
      <c r="AC330" s="7">
        <f t="shared" si="111"/>
        <v>127.58333333333333</v>
      </c>
      <c r="AD330" s="7">
        <f t="shared" si="112"/>
        <v>18.912158535497277</v>
      </c>
      <c r="AE330" s="7">
        <f t="shared" si="113"/>
        <v>139.73711436057275</v>
      </c>
      <c r="AF330" s="7">
        <f t="shared" si="114"/>
        <v>1</v>
      </c>
      <c r="AG330" s="6">
        <f t="shared" si="115"/>
        <v>139.73711436057275</v>
      </c>
      <c r="AH330" s="2">
        <f t="shared" si="116"/>
        <v>1</v>
      </c>
      <c r="AI330" s="7">
        <f t="shared" si="117"/>
        <v>139.73711436057275</v>
      </c>
      <c r="AK330" s="78">
        <v>45033.125</v>
      </c>
      <c r="AL330" s="5">
        <v>3.1010899513340798E-2</v>
      </c>
      <c r="AM330" s="5">
        <v>51.763919430000001</v>
      </c>
      <c r="AN330" s="2">
        <v>33588</v>
      </c>
      <c r="AO330" s="7">
        <f t="shared" si="104"/>
        <v>559.79999999999995</v>
      </c>
      <c r="AP330" s="5">
        <f t="shared" si="118"/>
        <v>17.359901547568178</v>
      </c>
      <c r="AQ330" s="6">
        <f t="shared" si="119"/>
        <v>150.26570900791145</v>
      </c>
      <c r="AR330" s="2">
        <f t="shared" si="120"/>
        <v>1</v>
      </c>
      <c r="AS330" s="2">
        <f t="shared" si="121"/>
        <v>150.26570900791145</v>
      </c>
    </row>
    <row r="331" spans="13:45" x14ac:dyDescent="0.3">
      <c r="M331" s="78">
        <v>45036.135416666664</v>
      </c>
      <c r="N331" s="5">
        <v>4.5511904934512397E-2</v>
      </c>
      <c r="O331" s="5">
        <v>81.841333250000005</v>
      </c>
      <c r="P331" s="2">
        <v>19378</v>
      </c>
      <c r="Q331" s="7">
        <f t="shared" si="105"/>
        <v>322.96666666666664</v>
      </c>
      <c r="R331" s="6">
        <f t="shared" si="106"/>
        <v>14.698828230349687</v>
      </c>
      <c r="S331" s="6">
        <f t="shared" si="107"/>
        <v>138.50706868834342</v>
      </c>
      <c r="T331" s="2">
        <f t="shared" si="108"/>
        <v>1</v>
      </c>
      <c r="U331" s="6">
        <f t="shared" si="109"/>
        <v>138.50706868834342</v>
      </c>
      <c r="V331">
        <f>IF((R331-$AB$774)/($Z$773-$AB$774)&lt;0, 0, IF((R331-$AB$774)/($Z$773-$AB$774)&gt;1, 1, (R331-$AB$774)/($Z$773-$AB$774)))</f>
        <v>0</v>
      </c>
      <c r="W331" s="6">
        <f t="shared" si="110"/>
        <v>0</v>
      </c>
      <c r="Y331" s="78">
        <v>45050.583333333336</v>
      </c>
      <c r="Z331">
        <v>0.14763113170242001</v>
      </c>
      <c r="AA331" s="6">
        <v>105.42475589999999</v>
      </c>
      <c r="AB331" s="2">
        <v>7468</v>
      </c>
      <c r="AC331" s="7">
        <f t="shared" si="111"/>
        <v>124.46666666666667</v>
      </c>
      <c r="AD331" s="7">
        <f t="shared" si="112"/>
        <v>18.375154859227877</v>
      </c>
      <c r="AE331" s="7">
        <f t="shared" si="113"/>
        <v>138.50706868834342</v>
      </c>
      <c r="AF331" s="7">
        <f t="shared" si="114"/>
        <v>1</v>
      </c>
      <c r="AG331" s="6">
        <f t="shared" si="115"/>
        <v>138.50706868834342</v>
      </c>
      <c r="AH331" s="2">
        <f t="shared" si="116"/>
        <v>1</v>
      </c>
      <c r="AI331" s="7">
        <f t="shared" si="117"/>
        <v>138.50706868834342</v>
      </c>
      <c r="AK331" s="78">
        <v>45033.135416666664</v>
      </c>
      <c r="AL331" s="5">
        <v>3.22659055333301E-2</v>
      </c>
      <c r="AM331" s="5">
        <v>50.381720729999998</v>
      </c>
      <c r="AN331" s="2">
        <v>33510</v>
      </c>
      <c r="AO331" s="7">
        <f t="shared" si="104"/>
        <v>558.5</v>
      </c>
      <c r="AP331" s="5">
        <f t="shared" si="118"/>
        <v>18.020508240364862</v>
      </c>
      <c r="AQ331" s="6">
        <f t="shared" si="119"/>
        <v>153.03920815645134</v>
      </c>
      <c r="AR331" s="2">
        <f t="shared" si="120"/>
        <v>1</v>
      </c>
      <c r="AS331" s="2">
        <f t="shared" si="121"/>
        <v>153.03920815645134</v>
      </c>
    </row>
    <row r="332" spans="13:45" x14ac:dyDescent="0.3">
      <c r="M332" s="78">
        <v>45036.145833333336</v>
      </c>
      <c r="N332" s="5">
        <v>4.6902666223246799E-2</v>
      </c>
      <c r="O332" s="5">
        <v>84.027783200000002</v>
      </c>
      <c r="P332" s="2">
        <v>18725</v>
      </c>
      <c r="Q332" s="7">
        <f t="shared" si="105"/>
        <v>312.08333333333331</v>
      </c>
      <c r="R332" s="6">
        <f t="shared" si="106"/>
        <v>14.637540417171603</v>
      </c>
      <c r="S332" s="6">
        <f t="shared" si="107"/>
        <v>138.2239580364421</v>
      </c>
      <c r="T332" s="2">
        <f t="shared" si="108"/>
        <v>1</v>
      </c>
      <c r="U332" s="6">
        <f t="shared" si="109"/>
        <v>138.2239580364421</v>
      </c>
      <c r="V332">
        <f>IF((R332-$AB$774)/($Z$773-$AB$774)&lt;0, 0, IF((R332-$AB$774)/($Z$773-$AB$774)&gt;1, 1, (R332-$AB$774)/($Z$773-$AB$774)))</f>
        <v>0</v>
      </c>
      <c r="W332" s="6">
        <f t="shared" si="110"/>
        <v>0</v>
      </c>
      <c r="Y332" s="78">
        <v>45050.59375</v>
      </c>
      <c r="Z332">
        <v>0.133860911770638</v>
      </c>
      <c r="AA332" s="6">
        <v>99.714355679999997</v>
      </c>
      <c r="AB332" s="2">
        <v>7566</v>
      </c>
      <c r="AC332" s="7">
        <f t="shared" si="111"/>
        <v>126.1</v>
      </c>
      <c r="AD332" s="7">
        <f t="shared" si="112"/>
        <v>16.879860974277452</v>
      </c>
      <c r="AE332" s="7">
        <f t="shared" si="113"/>
        <v>138.2239580364421</v>
      </c>
      <c r="AF332" s="7">
        <f t="shared" si="114"/>
        <v>1</v>
      </c>
      <c r="AG332" s="6">
        <f t="shared" si="115"/>
        <v>138.2239580364421</v>
      </c>
      <c r="AH332" s="2">
        <f t="shared" si="116"/>
        <v>1</v>
      </c>
      <c r="AI332" s="7">
        <f t="shared" si="117"/>
        <v>138.2239580364421</v>
      </c>
      <c r="AK332" s="78">
        <v>45033.145833333336</v>
      </c>
      <c r="AL332" s="5">
        <v>3.2868995376909897E-2</v>
      </c>
      <c r="AM332" s="5">
        <v>51.763919430000001</v>
      </c>
      <c r="AN332" s="2">
        <v>33070</v>
      </c>
      <c r="AO332" s="7">
        <f t="shared" si="104"/>
        <v>551.16666666666663</v>
      </c>
      <c r="AP332" s="5">
        <f t="shared" si="118"/>
        <v>18.116294618573505</v>
      </c>
      <c r="AQ332" s="6">
        <f t="shared" si="119"/>
        <v>153.43702365827383</v>
      </c>
      <c r="AR332" s="2">
        <f t="shared" si="120"/>
        <v>1</v>
      </c>
      <c r="AS332" s="2">
        <f t="shared" si="121"/>
        <v>153.43702365827383</v>
      </c>
    </row>
    <row r="333" spans="13:45" x14ac:dyDescent="0.3">
      <c r="M333" s="78">
        <v>45036.15625</v>
      </c>
      <c r="N333" s="5">
        <v>4.7276070239799399E-2</v>
      </c>
      <c r="O333" s="5">
        <v>84.891986889999998</v>
      </c>
      <c r="P333" s="2">
        <v>19692</v>
      </c>
      <c r="Q333" s="7">
        <f t="shared" si="105"/>
        <v>328.2</v>
      </c>
      <c r="R333" s="6">
        <f t="shared" si="106"/>
        <v>15.516006252702162</v>
      </c>
      <c r="S333" s="6">
        <f t="shared" si="107"/>
        <v>142.22584811622704</v>
      </c>
      <c r="T333" s="2">
        <f t="shared" si="108"/>
        <v>1</v>
      </c>
      <c r="U333" s="6">
        <f t="shared" si="109"/>
        <v>142.22584811622704</v>
      </c>
      <c r="V333">
        <f>IF((R333-$AB$774)/($Z$773-$AB$774)&lt;0, 0, IF((R333-$AB$774)/($Z$773-$AB$774)&gt;1, 1, (R333-$AB$774)/($Z$773-$AB$774)))</f>
        <v>0.11398583183434187</v>
      </c>
      <c r="W333" s="6">
        <f t="shared" si="110"/>
        <v>16.211731605872902</v>
      </c>
      <c r="Y333" s="78">
        <v>45050.604166666664</v>
      </c>
      <c r="Z333">
        <v>0.14611198258062799</v>
      </c>
      <c r="AA333" s="6">
        <v>97.642487979999999</v>
      </c>
      <c r="AB333" s="2">
        <v>7679</v>
      </c>
      <c r="AC333" s="7">
        <f t="shared" si="111"/>
        <v>127.98333333333333</v>
      </c>
      <c r="AD333" s="7">
        <f t="shared" si="112"/>
        <v>18.699898570610706</v>
      </c>
      <c r="AE333" s="7">
        <f t="shared" si="113"/>
        <v>142.22584811622704</v>
      </c>
      <c r="AF333" s="7">
        <f t="shared" si="114"/>
        <v>1</v>
      </c>
      <c r="AG333" s="6">
        <f t="shared" si="115"/>
        <v>142.22584811622704</v>
      </c>
      <c r="AH333" s="2">
        <f t="shared" si="116"/>
        <v>1</v>
      </c>
      <c r="AI333" s="7">
        <f t="shared" si="117"/>
        <v>142.22584811622704</v>
      </c>
      <c r="AK333" s="78">
        <v>45033.15625</v>
      </c>
      <c r="AL333" s="5">
        <v>3.1663509637585401E-2</v>
      </c>
      <c r="AM333" s="5">
        <v>51.763919430000001</v>
      </c>
      <c r="AN333" s="2">
        <v>33402</v>
      </c>
      <c r="AO333" s="7">
        <f t="shared" si="104"/>
        <v>556.70000000000005</v>
      </c>
      <c r="AP333" s="5">
        <f t="shared" si="118"/>
        <v>17.627075815243796</v>
      </c>
      <c r="AQ333" s="6">
        <f t="shared" si="119"/>
        <v>151.39379377844247</v>
      </c>
      <c r="AR333" s="2">
        <f t="shared" si="120"/>
        <v>1</v>
      </c>
      <c r="AS333" s="2">
        <f t="shared" si="121"/>
        <v>151.39379377844247</v>
      </c>
    </row>
    <row r="334" spans="13:45" x14ac:dyDescent="0.3">
      <c r="M334" s="78">
        <v>45036.166666666664</v>
      </c>
      <c r="N334" s="5">
        <v>4.4220960721241397E-2</v>
      </c>
      <c r="O334" s="5">
        <v>85.331044809999995</v>
      </c>
      <c r="P334" s="2">
        <v>19327</v>
      </c>
      <c r="Q334" s="7">
        <f t="shared" si="105"/>
        <v>322.11666666666667</v>
      </c>
      <c r="R334" s="6">
        <f t="shared" si="106"/>
        <v>14.244308464323876</v>
      </c>
      <c r="S334" s="6">
        <f t="shared" si="107"/>
        <v>136.39290251853649</v>
      </c>
      <c r="T334" s="2">
        <f t="shared" si="108"/>
        <v>1</v>
      </c>
      <c r="U334" s="6">
        <f t="shared" si="109"/>
        <v>136.39290251853649</v>
      </c>
      <c r="V334">
        <f>IF((R334-$AB$774)/($Z$773-$AB$774)&lt;0, 0, IF((R334-$AB$774)/($Z$773-$AB$774)&gt;1, 1, (R334-$AB$774)/($Z$773-$AB$774)))</f>
        <v>0</v>
      </c>
      <c r="W334" s="6">
        <f t="shared" si="110"/>
        <v>0</v>
      </c>
      <c r="Y334" s="78">
        <v>45050.614583333336</v>
      </c>
      <c r="Z334">
        <v>0.121487863491516</v>
      </c>
      <c r="AA334" s="6">
        <v>102.9873886</v>
      </c>
      <c r="AB334" s="2">
        <v>8018</v>
      </c>
      <c r="AC334" s="7">
        <f t="shared" si="111"/>
        <v>133.63333333333333</v>
      </c>
      <c r="AD334" s="7">
        <f t="shared" si="112"/>
        <v>16.234828157916255</v>
      </c>
      <c r="AE334" s="7">
        <f t="shared" si="113"/>
        <v>136.39290251853649</v>
      </c>
      <c r="AF334" s="7">
        <f t="shared" si="114"/>
        <v>1</v>
      </c>
      <c r="AG334" s="6">
        <f t="shared" si="115"/>
        <v>136.39290251853649</v>
      </c>
      <c r="AH334" s="2">
        <f t="shared" si="116"/>
        <v>1</v>
      </c>
      <c r="AI334" s="7">
        <f t="shared" si="117"/>
        <v>136.39290251853649</v>
      </c>
      <c r="AK334" s="78">
        <v>45033.166666666664</v>
      </c>
      <c r="AL334" s="5">
        <v>3.08253423362141E-2</v>
      </c>
      <c r="AM334" s="5">
        <v>50.381720729999998</v>
      </c>
      <c r="AN334" s="2">
        <v>33525</v>
      </c>
      <c r="AO334" s="7">
        <f t="shared" si="104"/>
        <v>558.75</v>
      </c>
      <c r="AP334" s="5">
        <f t="shared" si="118"/>
        <v>17.223660030359628</v>
      </c>
      <c r="AQ334" s="6">
        <f t="shared" si="119"/>
        <v>149.68704772695801</v>
      </c>
      <c r="AR334" s="2">
        <f t="shared" si="120"/>
        <v>1</v>
      </c>
      <c r="AS334" s="2">
        <f t="shared" si="121"/>
        <v>149.68704772695801</v>
      </c>
    </row>
    <row r="335" spans="13:45" x14ac:dyDescent="0.3">
      <c r="M335" s="78">
        <v>45036.177083333336</v>
      </c>
      <c r="N335" s="5">
        <v>4.6253377537049299E-2</v>
      </c>
      <c r="O335" s="5">
        <v>83.594462070000006</v>
      </c>
      <c r="P335" s="2">
        <v>19987</v>
      </c>
      <c r="Q335" s="7">
        <f t="shared" si="105"/>
        <v>333.11666666666667</v>
      </c>
      <c r="R335" s="6">
        <f t="shared" si="106"/>
        <v>15.40777094721674</v>
      </c>
      <c r="S335" s="6">
        <f t="shared" si="107"/>
        <v>141.73913544468641</v>
      </c>
      <c r="T335" s="2">
        <f t="shared" si="108"/>
        <v>1</v>
      </c>
      <c r="U335" s="6">
        <f t="shared" si="109"/>
        <v>141.73913544468641</v>
      </c>
      <c r="V335">
        <f>IF((R335-$AB$774)/($Z$773-$AB$774)&lt;0, 0, IF((R335-$AB$774)/($Z$773-$AB$774)&gt;1, 1, (R335-$AB$774)/($Z$773-$AB$774)))</f>
        <v>9.4173417564196046E-2</v>
      </c>
      <c r="W335" s="6">
        <f t="shared" si="110"/>
        <v>13.348058787420594</v>
      </c>
      <c r="Y335" s="78">
        <v>45050.625</v>
      </c>
      <c r="Z335">
        <v>0.131077119009611</v>
      </c>
      <c r="AA335" s="6">
        <v>103.80204430000001</v>
      </c>
      <c r="AB335" s="2">
        <v>7735</v>
      </c>
      <c r="AC335" s="7">
        <f t="shared" si="111"/>
        <v>128.91666666666666</v>
      </c>
      <c r="AD335" s="7">
        <f t="shared" si="112"/>
        <v>16.898025258989016</v>
      </c>
      <c r="AE335" s="7">
        <f t="shared" si="113"/>
        <v>141.73913544468641</v>
      </c>
      <c r="AF335" s="7">
        <f t="shared" si="114"/>
        <v>1</v>
      </c>
      <c r="AG335" s="6">
        <f t="shared" si="115"/>
        <v>141.73913544468641</v>
      </c>
      <c r="AH335" s="2">
        <f t="shared" si="116"/>
        <v>1</v>
      </c>
      <c r="AI335" s="7">
        <f t="shared" si="117"/>
        <v>141.73913544468641</v>
      </c>
      <c r="AK335" s="78">
        <v>45033.177083333336</v>
      </c>
      <c r="AL335" s="5">
        <v>3.3621815670259798E-2</v>
      </c>
      <c r="AM335" s="5">
        <v>51.763919430000001</v>
      </c>
      <c r="AN335" s="2">
        <v>33082</v>
      </c>
      <c r="AO335" s="7">
        <f t="shared" si="104"/>
        <v>551.36666666666667</v>
      </c>
      <c r="AP335" s="5">
        <f t="shared" si="118"/>
        <v>18.537948433392245</v>
      </c>
      <c r="AQ335" s="6">
        <f t="shared" si="119"/>
        <v>155.17558537597549</v>
      </c>
      <c r="AR335" s="2">
        <f t="shared" si="120"/>
        <v>1</v>
      </c>
      <c r="AS335" s="2">
        <f t="shared" si="121"/>
        <v>155.17558537597549</v>
      </c>
    </row>
    <row r="336" spans="13:45" x14ac:dyDescent="0.3">
      <c r="M336" s="78">
        <v>45036.1875</v>
      </c>
      <c r="N336" s="5">
        <v>4.7589981980719898E-2</v>
      </c>
      <c r="O336" s="5">
        <v>87.058386479999996</v>
      </c>
      <c r="P336" s="2">
        <v>19759</v>
      </c>
      <c r="Q336" s="7">
        <f t="shared" si="105"/>
        <v>329.31666666666666</v>
      </c>
      <c r="R336" s="6">
        <f t="shared" si="106"/>
        <v>15.672174232617408</v>
      </c>
      <c r="S336" s="6">
        <f t="shared" si="107"/>
        <v>142.92506125106519</v>
      </c>
      <c r="T336" s="2">
        <f t="shared" si="108"/>
        <v>1</v>
      </c>
      <c r="U336" s="6">
        <f t="shared" si="109"/>
        <v>142.92506125106519</v>
      </c>
      <c r="V336">
        <f>IF((R336-$AB$774)/($Z$773-$AB$774)&lt;0, 0, IF((R336-$AB$774)/($Z$773-$AB$774)&gt;1, 1, (R336-$AB$774)/($Z$773-$AB$774)))</f>
        <v>0.14257229629652593</v>
      </c>
      <c r="W336" s="6">
        <f t="shared" si="110"/>
        <v>20.377154180885984</v>
      </c>
      <c r="Y336" s="78">
        <v>45050.635416666664</v>
      </c>
      <c r="Z336">
        <v>0.133885990425574</v>
      </c>
      <c r="AA336" s="6">
        <v>102.9873886</v>
      </c>
      <c r="AB336" s="2">
        <v>7622</v>
      </c>
      <c r="AC336" s="7">
        <f t="shared" si="111"/>
        <v>127.03333333333333</v>
      </c>
      <c r="AD336" s="7">
        <f t="shared" si="112"/>
        <v>17.007983650395417</v>
      </c>
      <c r="AE336" s="7">
        <f t="shared" si="113"/>
        <v>142.92506125106519</v>
      </c>
      <c r="AF336" s="7">
        <f t="shared" si="114"/>
        <v>1</v>
      </c>
      <c r="AG336" s="6">
        <f t="shared" si="115"/>
        <v>142.92506125106519</v>
      </c>
      <c r="AH336" s="2">
        <f t="shared" si="116"/>
        <v>1</v>
      </c>
      <c r="AI336" s="7">
        <f t="shared" si="117"/>
        <v>142.92506125106519</v>
      </c>
      <c r="AK336" s="78">
        <v>45033.1875</v>
      </c>
      <c r="AL336" s="5">
        <v>3.32898743898511E-2</v>
      </c>
      <c r="AM336" s="5">
        <v>49.691464410000002</v>
      </c>
      <c r="AN336" s="2">
        <v>33583</v>
      </c>
      <c r="AO336" s="7">
        <f t="shared" si="104"/>
        <v>559.7166666666667</v>
      </c>
      <c r="AP336" s="5">
        <f t="shared" si="118"/>
        <v>18.632897527239493</v>
      </c>
      <c r="AQ336" s="6">
        <f t="shared" si="119"/>
        <v>155.56428684689638</v>
      </c>
      <c r="AR336" s="2">
        <f t="shared" si="120"/>
        <v>1</v>
      </c>
      <c r="AS336" s="2">
        <f t="shared" si="121"/>
        <v>155.56428684689638</v>
      </c>
    </row>
    <row r="337" spans="13:45" x14ac:dyDescent="0.3">
      <c r="M337" s="78">
        <v>45036.197916666664</v>
      </c>
      <c r="N337" s="5">
        <v>4.5214772013941897E-2</v>
      </c>
      <c r="O337" s="5">
        <v>84.027783200000002</v>
      </c>
      <c r="P337" s="2">
        <v>19428</v>
      </c>
      <c r="Q337" s="7">
        <f t="shared" si="105"/>
        <v>323.8</v>
      </c>
      <c r="R337" s="6">
        <f t="shared" si="106"/>
        <v>14.640543178114386</v>
      </c>
      <c r="S337" s="6">
        <f t="shared" si="107"/>
        <v>138.23784295542134</v>
      </c>
      <c r="T337" s="2">
        <f t="shared" si="108"/>
        <v>1</v>
      </c>
      <c r="U337" s="6">
        <f t="shared" si="109"/>
        <v>138.23784295542134</v>
      </c>
      <c r="V337">
        <f>IF((R337-$AB$774)/($Z$773-$AB$774)&lt;0, 0, IF((R337-$AB$774)/($Z$773-$AB$774)&gt;1, 1, (R337-$AB$774)/($Z$773-$AB$774)))</f>
        <v>0</v>
      </c>
      <c r="W337" s="6">
        <f t="shared" si="110"/>
        <v>0</v>
      </c>
      <c r="Y337" s="78">
        <v>45050.645833333336</v>
      </c>
      <c r="Z337">
        <v>0.127968171692354</v>
      </c>
      <c r="AA337" s="6">
        <v>104.2121959</v>
      </c>
      <c r="AB337" s="2">
        <v>7849</v>
      </c>
      <c r="AC337" s="7">
        <f t="shared" si="111"/>
        <v>130.81666666666666</v>
      </c>
      <c r="AD337" s="7">
        <f t="shared" si="112"/>
        <v>16.740369660221443</v>
      </c>
      <c r="AE337" s="7">
        <f t="shared" si="113"/>
        <v>138.23784295542134</v>
      </c>
      <c r="AF337" s="7">
        <f t="shared" si="114"/>
        <v>1</v>
      </c>
      <c r="AG337" s="6">
        <f t="shared" si="115"/>
        <v>138.23784295542134</v>
      </c>
      <c r="AH337" s="2">
        <f t="shared" si="116"/>
        <v>1</v>
      </c>
      <c r="AI337" s="7">
        <f t="shared" si="117"/>
        <v>138.23784295542134</v>
      </c>
      <c r="AK337" s="78">
        <v>45033.197916666664</v>
      </c>
      <c r="AL337" s="5">
        <v>3.2438467189871402E-2</v>
      </c>
      <c r="AM337" s="5">
        <v>49.691464410000002</v>
      </c>
      <c r="AN337" s="2">
        <v>32824</v>
      </c>
      <c r="AO337" s="7">
        <f t="shared" si="104"/>
        <v>547.06666666666672</v>
      </c>
      <c r="AP337" s="5">
        <f t="shared" si="118"/>
        <v>17.746004117338984</v>
      </c>
      <c r="AQ337" s="6">
        <f t="shared" si="119"/>
        <v>151.89313495976671</v>
      </c>
      <c r="AR337" s="2">
        <f t="shared" si="120"/>
        <v>1</v>
      </c>
      <c r="AS337" s="2">
        <f t="shared" si="121"/>
        <v>151.89313495976671</v>
      </c>
    </row>
    <row r="338" spans="13:45" x14ac:dyDescent="0.3">
      <c r="M338" s="78">
        <v>45036.208333333336</v>
      </c>
      <c r="N338" s="5">
        <v>4.7644511392290499E-2</v>
      </c>
      <c r="O338" s="5">
        <v>84.899432570000002</v>
      </c>
      <c r="P338" s="2">
        <v>19252</v>
      </c>
      <c r="Q338" s="7">
        <f t="shared" si="105"/>
        <v>320.86666666666667</v>
      </c>
      <c r="R338" s="6">
        <f t="shared" si="106"/>
        <v>15.287535555406279</v>
      </c>
      <c r="S338" s="6">
        <f t="shared" si="107"/>
        <v>141.19641066139292</v>
      </c>
      <c r="T338" s="2">
        <f t="shared" si="108"/>
        <v>1</v>
      </c>
      <c r="U338" s="6">
        <f t="shared" si="109"/>
        <v>141.19641066139292</v>
      </c>
      <c r="V338">
        <f>IF((R338-$AB$774)/($Z$773-$AB$774)&lt;0, 0, IF((R338-$AB$774)/($Z$773-$AB$774)&gt;1, 1, (R338-$AB$774)/($Z$773-$AB$774)))</f>
        <v>7.2164393966965251E-2</v>
      </c>
      <c r="W338" s="6">
        <f t="shared" si="110"/>
        <v>10.189353405690172</v>
      </c>
      <c r="Y338" s="78">
        <v>45050.65625</v>
      </c>
      <c r="Z338">
        <v>0.12305747278010599</v>
      </c>
      <c r="AA338" s="6">
        <v>106.2245245</v>
      </c>
      <c r="AB338" s="2">
        <v>7720</v>
      </c>
      <c r="AC338" s="7">
        <f t="shared" si="111"/>
        <v>128.66666666666666</v>
      </c>
      <c r="AD338" s="7">
        <f t="shared" si="112"/>
        <v>15.833394831040303</v>
      </c>
      <c r="AE338" s="7">
        <f t="shared" si="113"/>
        <v>141.19641066139292</v>
      </c>
      <c r="AF338" s="7">
        <f t="shared" si="114"/>
        <v>1</v>
      </c>
      <c r="AG338" s="6">
        <f t="shared" si="115"/>
        <v>141.19641066139292</v>
      </c>
      <c r="AH338" s="2">
        <f t="shared" si="116"/>
        <v>1</v>
      </c>
      <c r="AI338" s="7">
        <f t="shared" si="117"/>
        <v>141.19641066139292</v>
      </c>
      <c r="AK338" s="78">
        <v>45033.208333333336</v>
      </c>
      <c r="AL338" s="5">
        <v>3.2789374249448298E-2</v>
      </c>
      <c r="AM338" s="5">
        <v>53.809964399999998</v>
      </c>
      <c r="AN338" s="2">
        <v>33331</v>
      </c>
      <c r="AO338" s="7">
        <f t="shared" si="104"/>
        <v>555.51666666666665</v>
      </c>
      <c r="AP338" s="5">
        <f t="shared" si="118"/>
        <v>18.215043885139352</v>
      </c>
      <c r="AQ338" s="6">
        <f t="shared" si="119"/>
        <v>153.84602242343186</v>
      </c>
      <c r="AR338" s="2">
        <f t="shared" si="120"/>
        <v>1</v>
      </c>
      <c r="AS338" s="2">
        <f t="shared" si="121"/>
        <v>153.84602242343186</v>
      </c>
    </row>
    <row r="339" spans="13:45" x14ac:dyDescent="0.3">
      <c r="M339" s="78">
        <v>45036.21875</v>
      </c>
      <c r="N339" s="5">
        <v>4.6385243056734797E-2</v>
      </c>
      <c r="O339" s="5">
        <v>84.891986889999998</v>
      </c>
      <c r="P339" s="2">
        <v>19774</v>
      </c>
      <c r="Q339" s="7">
        <f t="shared" si="105"/>
        <v>329.56666666666666</v>
      </c>
      <c r="R339" s="6">
        <f t="shared" si="106"/>
        <v>15.287029936731232</v>
      </c>
      <c r="S339" s="6">
        <f t="shared" si="107"/>
        <v>141.19412378310182</v>
      </c>
      <c r="T339" s="2">
        <f t="shared" si="108"/>
        <v>1</v>
      </c>
      <c r="U339" s="6">
        <f t="shared" si="109"/>
        <v>141.19412378310182</v>
      </c>
      <c r="V339">
        <f>IF((R339-$AB$774)/($Z$773-$AB$774)&lt;0, 0, IF((R339-$AB$774)/($Z$773-$AB$774)&gt;1, 1, (R339-$AB$774)/($Z$773-$AB$774)))</f>
        <v>7.2071840741307153E-2</v>
      </c>
      <c r="W339" s="6">
        <f t="shared" si="110"/>
        <v>10.176120402904123</v>
      </c>
      <c r="Y339" s="78">
        <v>45050.666666666664</v>
      </c>
      <c r="Z339">
        <v>0.13759609646690599</v>
      </c>
      <c r="AA339" s="6">
        <v>109.4196846</v>
      </c>
      <c r="AB339" s="2">
        <v>7385</v>
      </c>
      <c r="AC339" s="7">
        <f t="shared" si="111"/>
        <v>123.08333333333333</v>
      </c>
      <c r="AD339" s="7">
        <f t="shared" si="112"/>
        <v>16.935786206801676</v>
      </c>
      <c r="AE339" s="7">
        <f t="shared" si="113"/>
        <v>141.19412378310182</v>
      </c>
      <c r="AF339" s="7">
        <f t="shared" si="114"/>
        <v>1</v>
      </c>
      <c r="AG339" s="6">
        <f t="shared" si="115"/>
        <v>141.19412378310182</v>
      </c>
      <c r="AH339" s="2">
        <f t="shared" si="116"/>
        <v>1</v>
      </c>
      <c r="AI339" s="7">
        <f t="shared" si="117"/>
        <v>141.19412378310182</v>
      </c>
      <c r="AK339" s="78">
        <v>45033.21875</v>
      </c>
      <c r="AL339" s="5">
        <v>3.3491445559519703E-2</v>
      </c>
      <c r="AM339" s="5">
        <v>53.809964399999998</v>
      </c>
      <c r="AN339" s="2">
        <v>33024</v>
      </c>
      <c r="AO339" s="7">
        <f t="shared" si="104"/>
        <v>550.4</v>
      </c>
      <c r="AP339" s="5">
        <f t="shared" si="118"/>
        <v>18.433691635959644</v>
      </c>
      <c r="AQ339" s="6">
        <f t="shared" si="119"/>
        <v>154.74760808910864</v>
      </c>
      <c r="AR339" s="2">
        <f t="shared" si="120"/>
        <v>1</v>
      </c>
      <c r="AS339" s="2">
        <f t="shared" si="121"/>
        <v>154.74760808910864</v>
      </c>
    </row>
    <row r="340" spans="13:45" x14ac:dyDescent="0.3">
      <c r="M340" s="78">
        <v>45036.229166666664</v>
      </c>
      <c r="N340" s="5">
        <v>4.7456923691017699E-2</v>
      </c>
      <c r="O340" s="5">
        <v>85.331044809999995</v>
      </c>
      <c r="P340" s="2">
        <v>19981</v>
      </c>
      <c r="Q340" s="7">
        <f t="shared" si="105"/>
        <v>333.01666666666665</v>
      </c>
      <c r="R340" s="6">
        <f t="shared" si="106"/>
        <v>15.803946537837076</v>
      </c>
      <c r="S340" s="6">
        <f t="shared" si="107"/>
        <v>143.51228635962414</v>
      </c>
      <c r="T340" s="2">
        <f t="shared" si="108"/>
        <v>1</v>
      </c>
      <c r="U340" s="6">
        <f t="shared" si="109"/>
        <v>143.51228635962414</v>
      </c>
      <c r="V340">
        <f>IF((R340-$AB$774)/($Z$773-$AB$774)&lt;0, 0, IF((R340-$AB$774)/($Z$773-$AB$774)&gt;1, 1, (R340-$AB$774)/($Z$773-$AB$774)))</f>
        <v>0.16669314566850638</v>
      </c>
      <c r="W340" s="6">
        <f t="shared" si="110"/>
        <v>23.922514455365228</v>
      </c>
      <c r="Y340" s="78">
        <v>45050.677083333336</v>
      </c>
      <c r="Z340">
        <v>0.124435901727365</v>
      </c>
      <c r="AA340" s="6">
        <v>102.17638460000001</v>
      </c>
      <c r="AB340" s="2">
        <v>7818</v>
      </c>
      <c r="AC340" s="7">
        <f t="shared" si="111"/>
        <v>130.30000000000001</v>
      </c>
      <c r="AD340" s="7">
        <f t="shared" si="112"/>
        <v>16.213997995075662</v>
      </c>
      <c r="AE340" s="7">
        <f t="shared" si="113"/>
        <v>143.51228635962414</v>
      </c>
      <c r="AF340" s="7">
        <f t="shared" si="114"/>
        <v>1</v>
      </c>
      <c r="AG340" s="6">
        <f t="shared" si="115"/>
        <v>143.51228635962414</v>
      </c>
      <c r="AH340" s="2">
        <f t="shared" si="116"/>
        <v>1</v>
      </c>
      <c r="AI340" s="7">
        <f t="shared" si="117"/>
        <v>143.51228635962414</v>
      </c>
      <c r="AK340" s="78">
        <v>45033.229166666664</v>
      </c>
      <c r="AL340" s="5">
        <v>3.3647451267651299E-2</v>
      </c>
      <c r="AM340" s="5">
        <v>53.123299129999999</v>
      </c>
      <c r="AN340" s="2">
        <v>33507</v>
      </c>
      <c r="AO340" s="7">
        <f t="shared" si="104"/>
        <v>558.45000000000005</v>
      </c>
      <c r="AP340" s="5">
        <f t="shared" si="118"/>
        <v>18.790419160419869</v>
      </c>
      <c r="AQ340" s="6">
        <f t="shared" si="119"/>
        <v>156.20692424406965</v>
      </c>
      <c r="AR340" s="2">
        <f t="shared" si="120"/>
        <v>1</v>
      </c>
      <c r="AS340" s="2">
        <f t="shared" si="121"/>
        <v>156.20692424406965</v>
      </c>
    </row>
    <row r="341" spans="13:45" x14ac:dyDescent="0.3">
      <c r="M341" s="78">
        <v>45036.239583333336</v>
      </c>
      <c r="N341" s="5">
        <v>4.7196656927282601E-2</v>
      </c>
      <c r="O341" s="5">
        <v>86.199962600000006</v>
      </c>
      <c r="P341" s="2">
        <v>19167</v>
      </c>
      <c r="Q341" s="7">
        <f t="shared" si="105"/>
        <v>319.45</v>
      </c>
      <c r="R341" s="6">
        <f t="shared" si="106"/>
        <v>15.076972055420427</v>
      </c>
      <c r="S341" s="6">
        <f t="shared" si="107"/>
        <v>140.24068426032269</v>
      </c>
      <c r="T341" s="2">
        <f t="shared" si="108"/>
        <v>1</v>
      </c>
      <c r="U341" s="6">
        <f t="shared" si="109"/>
        <v>140.24068426032269</v>
      </c>
      <c r="V341">
        <f>IF((R341-$AB$774)/($Z$773-$AB$774)&lt;0, 0, IF((R341-$AB$774)/($Z$773-$AB$774)&gt;1, 1, (R341-$AB$774)/($Z$773-$AB$774)))</f>
        <v>3.362085890526189E-2</v>
      </c>
      <c r="W341" s="6">
        <f t="shared" si="110"/>
        <v>4.7150122582936911</v>
      </c>
      <c r="Y341" s="78">
        <v>45050.6875</v>
      </c>
      <c r="Z341">
        <v>0.128489697197293</v>
      </c>
      <c r="AA341" s="6">
        <v>105.0235411</v>
      </c>
      <c r="AB341" s="2">
        <v>7680</v>
      </c>
      <c r="AC341" s="7">
        <f t="shared" si="111"/>
        <v>128</v>
      </c>
      <c r="AD341" s="7">
        <f t="shared" si="112"/>
        <v>16.446681241253504</v>
      </c>
      <c r="AE341" s="7">
        <f t="shared" si="113"/>
        <v>140.24068426032269</v>
      </c>
      <c r="AF341" s="7">
        <f t="shared" si="114"/>
        <v>1</v>
      </c>
      <c r="AG341" s="6">
        <f t="shared" si="115"/>
        <v>140.24068426032269</v>
      </c>
      <c r="AH341" s="2">
        <f t="shared" si="116"/>
        <v>1</v>
      </c>
      <c r="AI341" s="7">
        <f t="shared" si="117"/>
        <v>140.24068426032269</v>
      </c>
      <c r="AK341" s="78">
        <v>45033.239583333336</v>
      </c>
      <c r="AL341" s="5">
        <v>3.15920433021789E-2</v>
      </c>
      <c r="AM341" s="5">
        <v>53.809964399999998</v>
      </c>
      <c r="AN341" s="2">
        <v>32808</v>
      </c>
      <c r="AO341" s="7">
        <f t="shared" si="104"/>
        <v>546.79999999999995</v>
      </c>
      <c r="AP341" s="5">
        <f t="shared" si="118"/>
        <v>17.274529277631419</v>
      </c>
      <c r="AQ341" s="6">
        <f t="shared" si="119"/>
        <v>149.90337799264239</v>
      </c>
      <c r="AR341" s="2">
        <f t="shared" si="120"/>
        <v>1</v>
      </c>
      <c r="AS341" s="2">
        <f t="shared" si="121"/>
        <v>149.90337799264239</v>
      </c>
    </row>
    <row r="342" spans="13:45" x14ac:dyDescent="0.3">
      <c r="M342" s="78">
        <v>45036.25</v>
      </c>
      <c r="N342" s="5">
        <v>4.4548310858363901E-2</v>
      </c>
      <c r="O342" s="5">
        <v>84.899432570000002</v>
      </c>
      <c r="P342" s="2">
        <v>19862</v>
      </c>
      <c r="Q342" s="7">
        <f t="shared" si="105"/>
        <v>331.03333333333336</v>
      </c>
      <c r="R342" s="6">
        <f t="shared" si="106"/>
        <v>14.746975837813732</v>
      </c>
      <c r="S342" s="6">
        <f t="shared" si="107"/>
        <v>138.72905771840033</v>
      </c>
      <c r="T342" s="2">
        <f t="shared" si="108"/>
        <v>1</v>
      </c>
      <c r="U342" s="6">
        <f t="shared" si="109"/>
        <v>138.72905771840033</v>
      </c>
      <c r="V342">
        <f>IF((R342-$AB$774)/($Z$773-$AB$774)&lt;0, 0, IF((R342-$AB$774)/($Z$773-$AB$774)&gt;1, 1, (R342-$AB$774)/($Z$773-$AB$774)))</f>
        <v>0</v>
      </c>
      <c r="W342" s="6">
        <f t="shared" si="110"/>
        <v>0</v>
      </c>
      <c r="Y342" s="78">
        <v>45050.697916666664</v>
      </c>
      <c r="Z342">
        <v>0.126714186682861</v>
      </c>
      <c r="AA342" s="6">
        <v>109.0251016</v>
      </c>
      <c r="AB342" s="2">
        <v>7483</v>
      </c>
      <c r="AC342" s="7">
        <f t="shared" si="111"/>
        <v>124.71666666666667</v>
      </c>
      <c r="AD342" s="7">
        <f t="shared" si="112"/>
        <v>15.803370982464147</v>
      </c>
      <c r="AE342" s="7">
        <f t="shared" si="113"/>
        <v>138.72905771840033</v>
      </c>
      <c r="AF342" s="7">
        <f t="shared" si="114"/>
        <v>1</v>
      </c>
      <c r="AG342" s="6">
        <f t="shared" si="115"/>
        <v>138.72905771840033</v>
      </c>
      <c r="AH342" s="2">
        <f t="shared" si="116"/>
        <v>1</v>
      </c>
      <c r="AI342" s="7">
        <f t="shared" si="117"/>
        <v>138.72905771840033</v>
      </c>
      <c r="AK342" s="78">
        <v>45033.25</v>
      </c>
      <c r="AL342" s="5">
        <v>3.1538871613913E-2</v>
      </c>
      <c r="AM342" s="5">
        <v>53.123299129999999</v>
      </c>
      <c r="AN342" s="2">
        <v>34165</v>
      </c>
      <c r="AO342" s="7">
        <f t="shared" si="104"/>
        <v>569.41666666666663</v>
      </c>
      <c r="AP342" s="5">
        <f t="shared" si="118"/>
        <v>17.958759144822292</v>
      </c>
      <c r="AQ342" s="6">
        <f t="shared" si="119"/>
        <v>152.78218244395308</v>
      </c>
      <c r="AR342" s="2">
        <f t="shared" si="120"/>
        <v>1</v>
      </c>
      <c r="AS342" s="2">
        <f t="shared" si="121"/>
        <v>152.78218244395308</v>
      </c>
    </row>
    <row r="343" spans="13:45" x14ac:dyDescent="0.3">
      <c r="M343" s="78">
        <v>45036.260416666664</v>
      </c>
      <c r="N343" s="5">
        <v>4.5126280327009098E-2</v>
      </c>
      <c r="O343" s="5">
        <v>82.718647970000006</v>
      </c>
      <c r="P343" s="2">
        <v>20781</v>
      </c>
      <c r="Q343" s="7">
        <f t="shared" si="105"/>
        <v>346.35</v>
      </c>
      <c r="R343" s="6">
        <f t="shared" si="106"/>
        <v>15.629487191259603</v>
      </c>
      <c r="S343" s="6">
        <f t="shared" si="107"/>
        <v>142.73429241796299</v>
      </c>
      <c r="T343" s="2">
        <f t="shared" si="108"/>
        <v>1</v>
      </c>
      <c r="U343" s="6">
        <f t="shared" si="109"/>
        <v>142.73429241796299</v>
      </c>
      <c r="V343">
        <f>IF((R343-$AB$774)/($Z$773-$AB$774)&lt;0, 0, IF((R343-$AB$774)/($Z$773-$AB$774)&gt;1, 1, (R343-$AB$774)/($Z$773-$AB$774)))</f>
        <v>0.13475845640801015</v>
      </c>
      <c r="W343" s="6">
        <f t="shared" si="110"/>
        <v>19.234652922734238</v>
      </c>
      <c r="Y343" s="78">
        <v>45050.708333333336</v>
      </c>
      <c r="Z343">
        <v>0.14213737472618601</v>
      </c>
      <c r="AA343" s="6">
        <v>110.21295859999999</v>
      </c>
      <c r="AB343" s="2">
        <v>7609</v>
      </c>
      <c r="AC343" s="7">
        <f t="shared" si="111"/>
        <v>126.81666666666666</v>
      </c>
      <c r="AD343" s="7">
        <f t="shared" si="112"/>
        <v>18.025388071525821</v>
      </c>
      <c r="AE343" s="7">
        <f t="shared" si="113"/>
        <v>142.73429241796299</v>
      </c>
      <c r="AF343" s="7">
        <f t="shared" si="114"/>
        <v>1</v>
      </c>
      <c r="AG343" s="6">
        <f t="shared" si="115"/>
        <v>142.73429241796299</v>
      </c>
      <c r="AH343" s="2">
        <f t="shared" si="116"/>
        <v>1</v>
      </c>
      <c r="AI343" s="7">
        <f t="shared" si="117"/>
        <v>142.73429241796299</v>
      </c>
      <c r="AK343" s="78">
        <v>45033.260416666664</v>
      </c>
      <c r="AL343" s="5">
        <v>3.2263333818659597E-2</v>
      </c>
      <c r="AM343" s="5">
        <v>51.069020549999998</v>
      </c>
      <c r="AN343" s="2">
        <v>34022</v>
      </c>
      <c r="AO343" s="7">
        <f t="shared" si="104"/>
        <v>567.0333333333333</v>
      </c>
      <c r="AP343" s="5">
        <f t="shared" si="118"/>
        <v>18.294385719640612</v>
      </c>
      <c r="AQ343" s="6">
        <f t="shared" si="119"/>
        <v>154.17382058142161</v>
      </c>
      <c r="AR343" s="2">
        <f t="shared" si="120"/>
        <v>1</v>
      </c>
      <c r="AS343" s="2">
        <f t="shared" si="121"/>
        <v>154.17382058142161</v>
      </c>
    </row>
    <row r="344" spans="13:45" x14ac:dyDescent="0.3">
      <c r="M344" s="78">
        <v>45036.270833333336</v>
      </c>
      <c r="N344" s="5">
        <v>4.2995764535354503E-2</v>
      </c>
      <c r="O344" s="5">
        <v>84.891986889999998</v>
      </c>
      <c r="P344" s="2">
        <v>20876</v>
      </c>
      <c r="Q344" s="7">
        <f t="shared" si="105"/>
        <v>347.93333333333334</v>
      </c>
      <c r="R344" s="6">
        <f t="shared" si="106"/>
        <v>14.95965967400101</v>
      </c>
      <c r="S344" s="6">
        <f t="shared" si="107"/>
        <v>139.70525933736982</v>
      </c>
      <c r="T344" s="2">
        <f t="shared" si="108"/>
        <v>1</v>
      </c>
      <c r="U344" s="6">
        <f t="shared" si="109"/>
        <v>139.70525933736982</v>
      </c>
      <c r="V344">
        <f>IF((R344-$AB$774)/($Z$773-$AB$774)&lt;0, 0, IF((R344-$AB$774)/($Z$773-$AB$774)&gt;1, 1, (R344-$AB$774)/($Z$773-$AB$774)))</f>
        <v>1.2146890782985116E-2</v>
      </c>
      <c r="W344" s="6">
        <f t="shared" si="110"/>
        <v>1.6969845269796429</v>
      </c>
      <c r="Y344" s="78">
        <v>45050.71875</v>
      </c>
      <c r="Z344">
        <v>0.13569309547441899</v>
      </c>
      <c r="AA344" s="6">
        <v>118.36070239999999</v>
      </c>
      <c r="AB344" s="2">
        <v>7644</v>
      </c>
      <c r="AC344" s="7">
        <f t="shared" si="111"/>
        <v>127.4</v>
      </c>
      <c r="AD344" s="7">
        <f t="shared" si="112"/>
        <v>17.287300363440981</v>
      </c>
      <c r="AE344" s="7">
        <f t="shared" si="113"/>
        <v>139.70525933736982</v>
      </c>
      <c r="AF344" s="7">
        <f t="shared" si="114"/>
        <v>1</v>
      </c>
      <c r="AG344" s="6">
        <f t="shared" si="115"/>
        <v>139.70525933736982</v>
      </c>
      <c r="AH344" s="2">
        <f t="shared" si="116"/>
        <v>1</v>
      </c>
      <c r="AI344" s="7">
        <f t="shared" si="117"/>
        <v>139.70525933736982</v>
      </c>
      <c r="AK344" s="78">
        <v>45033.270833333336</v>
      </c>
      <c r="AL344" s="5">
        <v>3.6436620229029298E-2</v>
      </c>
      <c r="AM344" s="5">
        <v>57.147661589999998</v>
      </c>
      <c r="AN344" s="2">
        <v>34435</v>
      </c>
      <c r="AO344" s="7">
        <f t="shared" si="104"/>
        <v>573.91666666666663</v>
      </c>
      <c r="AP344" s="5">
        <f t="shared" si="118"/>
        <v>20.911583626443729</v>
      </c>
      <c r="AQ344" s="6">
        <f t="shared" si="119"/>
        <v>164.6065334331953</v>
      </c>
      <c r="AR344" s="2">
        <f t="shared" si="120"/>
        <v>1</v>
      </c>
      <c r="AS344" s="2">
        <f t="shared" si="121"/>
        <v>164.6065334331953</v>
      </c>
    </row>
    <row r="345" spans="13:45" x14ac:dyDescent="0.3">
      <c r="M345" s="78">
        <v>45036.28125</v>
      </c>
      <c r="N345" s="5">
        <v>4.6346672407643501E-2</v>
      </c>
      <c r="O345" s="5">
        <v>84.020316870000002</v>
      </c>
      <c r="P345" s="2">
        <v>20511</v>
      </c>
      <c r="Q345" s="7">
        <f t="shared" si="105"/>
        <v>341.85</v>
      </c>
      <c r="R345" s="6">
        <f t="shared" si="106"/>
        <v>15.843609962552932</v>
      </c>
      <c r="S345" s="6">
        <f t="shared" si="107"/>
        <v>143.68855132730033</v>
      </c>
      <c r="T345" s="2">
        <f t="shared" si="108"/>
        <v>1</v>
      </c>
      <c r="U345" s="6">
        <f t="shared" si="109"/>
        <v>143.68855132730033</v>
      </c>
      <c r="V345">
        <f>IF((R345-$AB$774)/($Z$773-$AB$774)&lt;0, 0, IF((R345-$AB$774)/($Z$773-$AB$774)&gt;1, 1, (R345-$AB$774)/($Z$773-$AB$774)))</f>
        <v>0.17395351416212257</v>
      </c>
      <c r="W345" s="6">
        <f t="shared" si="110"/>
        <v>24.995128448248416</v>
      </c>
      <c r="Y345" s="78">
        <v>45050.729166666664</v>
      </c>
      <c r="Z345">
        <v>0.122878692040586</v>
      </c>
      <c r="AA345" s="6">
        <v>114.1275401</v>
      </c>
      <c r="AB345" s="2">
        <v>7580</v>
      </c>
      <c r="AC345" s="7">
        <f t="shared" si="111"/>
        <v>126.33333333333333</v>
      </c>
      <c r="AD345" s="7">
        <f t="shared" si="112"/>
        <v>15.523674761127365</v>
      </c>
      <c r="AE345" s="7">
        <f t="shared" si="113"/>
        <v>143.68855132730033</v>
      </c>
      <c r="AF345" s="7">
        <f t="shared" si="114"/>
        <v>1</v>
      </c>
      <c r="AG345" s="6">
        <f t="shared" si="115"/>
        <v>143.68855132730033</v>
      </c>
      <c r="AH345" s="2">
        <f t="shared" si="116"/>
        <v>1</v>
      </c>
      <c r="AI345" s="7">
        <f t="shared" si="117"/>
        <v>143.68855132730033</v>
      </c>
      <c r="AK345" s="78">
        <v>45033.28125</v>
      </c>
      <c r="AL345" s="5">
        <v>3.1091177268140799E-2</v>
      </c>
      <c r="AM345" s="5">
        <v>55.149392650000003</v>
      </c>
      <c r="AN345" s="2">
        <v>33551</v>
      </c>
      <c r="AO345" s="7">
        <f t="shared" si="104"/>
        <v>559.18333333333328</v>
      </c>
      <c r="AP345" s="5">
        <f t="shared" si="118"/>
        <v>17.385668142056531</v>
      </c>
      <c r="AQ345" s="6">
        <f t="shared" si="119"/>
        <v>150.3748870682189</v>
      </c>
      <c r="AR345" s="2">
        <f t="shared" si="120"/>
        <v>1</v>
      </c>
      <c r="AS345" s="2">
        <f t="shared" si="121"/>
        <v>150.3748870682189</v>
      </c>
    </row>
    <row r="346" spans="13:45" x14ac:dyDescent="0.3">
      <c r="M346" s="78">
        <v>45036.291666666664</v>
      </c>
      <c r="N346" s="5">
        <v>4.9700676781615702E-2</v>
      </c>
      <c r="O346" s="5">
        <v>80.079324720000002</v>
      </c>
      <c r="P346" s="2">
        <v>20092</v>
      </c>
      <c r="Q346" s="7">
        <f t="shared" si="105"/>
        <v>334.86666666666667</v>
      </c>
      <c r="R346" s="6">
        <f t="shared" si="106"/>
        <v>16.643099964937043</v>
      </c>
      <c r="S346" s="6">
        <f t="shared" si="107"/>
        <v>147.19463842111264</v>
      </c>
      <c r="T346" s="2">
        <f t="shared" si="108"/>
        <v>1</v>
      </c>
      <c r="U346" s="6">
        <f t="shared" si="109"/>
        <v>147.19463842111264</v>
      </c>
      <c r="V346">
        <f>IF((R346-$AB$774)/($Z$773-$AB$774)&lt;0, 0, IF((R346-$AB$774)/($Z$773-$AB$774)&gt;1, 1, (R346-$AB$774)/($Z$773-$AB$774)))</f>
        <v>0.32029972772925908</v>
      </c>
      <c r="W346" s="6">
        <f t="shared" si="110"/>
        <v>47.146402609489115</v>
      </c>
      <c r="Y346" s="78">
        <v>45050.739583333336</v>
      </c>
      <c r="Z346">
        <v>0.12731616359425599</v>
      </c>
      <c r="AA346" s="6">
        <v>108.2271172</v>
      </c>
      <c r="AB346" s="2">
        <v>7808</v>
      </c>
      <c r="AC346" s="7">
        <f t="shared" si="111"/>
        <v>130.13333333333333</v>
      </c>
      <c r="AD346" s="7">
        <f t="shared" si="112"/>
        <v>16.568076755732513</v>
      </c>
      <c r="AE346" s="7">
        <f t="shared" si="113"/>
        <v>147.19463842111264</v>
      </c>
      <c r="AF346" s="7">
        <f t="shared" si="114"/>
        <v>1</v>
      </c>
      <c r="AG346" s="6">
        <f t="shared" si="115"/>
        <v>147.19463842111264</v>
      </c>
      <c r="AH346" s="2">
        <f t="shared" si="116"/>
        <v>1</v>
      </c>
      <c r="AI346" s="7">
        <f t="shared" si="117"/>
        <v>147.19463842111264</v>
      </c>
      <c r="AK346" s="78">
        <v>45033.291666666664</v>
      </c>
      <c r="AL346" s="5">
        <v>2.9827433557963301E-2</v>
      </c>
      <c r="AM346" s="5">
        <v>46.186478979999997</v>
      </c>
      <c r="AN346" s="2">
        <v>34362</v>
      </c>
      <c r="AO346" s="7">
        <f t="shared" si="104"/>
        <v>572.70000000000005</v>
      </c>
      <c r="AP346" s="5">
        <f t="shared" si="118"/>
        <v>17.082171198645582</v>
      </c>
      <c r="AQ346" s="6">
        <f t="shared" si="119"/>
        <v>149.08362154497107</v>
      </c>
      <c r="AR346" s="2">
        <f t="shared" si="120"/>
        <v>1</v>
      </c>
      <c r="AS346" s="2">
        <f t="shared" si="121"/>
        <v>149.08362154497107</v>
      </c>
    </row>
    <row r="347" spans="13:45" x14ac:dyDescent="0.3">
      <c r="M347" s="78">
        <v>45036.302083333336</v>
      </c>
      <c r="N347" s="5">
        <v>4.2672545261343502E-2</v>
      </c>
      <c r="O347" s="5">
        <v>76.986061320000005</v>
      </c>
      <c r="P347" s="2">
        <v>20249</v>
      </c>
      <c r="Q347" s="7">
        <f t="shared" si="105"/>
        <v>337.48333333333335</v>
      </c>
      <c r="R347" s="6">
        <f t="shared" si="106"/>
        <v>14.401272816615743</v>
      </c>
      <c r="S347" s="6">
        <f t="shared" si="107"/>
        <v>137.12685086664709</v>
      </c>
      <c r="T347" s="2">
        <f t="shared" si="108"/>
        <v>1</v>
      </c>
      <c r="U347" s="6">
        <f t="shared" si="109"/>
        <v>137.12685086664709</v>
      </c>
      <c r="V347">
        <f>IF((R347-$AB$774)/($Z$773-$AB$774)&lt;0, 0, IF((R347-$AB$774)/($Z$773-$AB$774)&gt;1, 1, (R347-$AB$774)/($Z$773-$AB$774)))</f>
        <v>0</v>
      </c>
      <c r="W347" s="6">
        <f t="shared" si="110"/>
        <v>0</v>
      </c>
      <c r="Y347" s="78">
        <v>45050.75</v>
      </c>
      <c r="Z347">
        <v>0.12835182638071599</v>
      </c>
      <c r="AA347" s="6">
        <v>122.51245830000001</v>
      </c>
      <c r="AB347" s="2">
        <v>7639</v>
      </c>
      <c r="AC347" s="7">
        <f t="shared" si="111"/>
        <v>127.31666666666666</v>
      </c>
      <c r="AD347" s="7">
        <f t="shared" si="112"/>
        <v>16.341326695371489</v>
      </c>
      <c r="AE347" s="7">
        <f t="shared" si="113"/>
        <v>137.12685086664709</v>
      </c>
      <c r="AF347" s="7">
        <f t="shared" si="114"/>
        <v>1</v>
      </c>
      <c r="AG347" s="6">
        <f t="shared" si="115"/>
        <v>137.12685086664709</v>
      </c>
      <c r="AH347" s="2">
        <f t="shared" si="116"/>
        <v>1</v>
      </c>
      <c r="AI347" s="7">
        <f t="shared" si="117"/>
        <v>137.12685086664709</v>
      </c>
      <c r="AK347" s="78">
        <v>45033.302083333336</v>
      </c>
      <c r="AL347" s="5">
        <v>2.96383041723534E-2</v>
      </c>
      <c r="AM347" s="5">
        <v>47.592533240000002</v>
      </c>
      <c r="AN347" s="2">
        <v>34631</v>
      </c>
      <c r="AO347" s="7">
        <f t="shared" si="104"/>
        <v>577.18333333333328</v>
      </c>
      <c r="AP347" s="5">
        <f t="shared" si="118"/>
        <v>17.106735196546175</v>
      </c>
      <c r="AQ347" s="6">
        <f t="shared" si="119"/>
        <v>149.18856533911088</v>
      </c>
      <c r="AR347" s="2">
        <f t="shared" si="120"/>
        <v>1</v>
      </c>
      <c r="AS347" s="2">
        <f t="shared" si="121"/>
        <v>149.18856533911088</v>
      </c>
    </row>
    <row r="348" spans="13:45" x14ac:dyDescent="0.3">
      <c r="M348" s="78">
        <v>45036.3125</v>
      </c>
      <c r="N348" s="5">
        <v>4.5110169078277501E-2</v>
      </c>
      <c r="O348" s="5">
        <v>80.086877509999994</v>
      </c>
      <c r="P348" s="2">
        <v>20604</v>
      </c>
      <c r="Q348" s="7">
        <f t="shared" si="105"/>
        <v>343.4</v>
      </c>
      <c r="R348" s="6">
        <f t="shared" si="106"/>
        <v>15.490832061480493</v>
      </c>
      <c r="S348" s="6">
        <f t="shared" si="107"/>
        <v>142.11279979625607</v>
      </c>
      <c r="T348" s="2">
        <f t="shared" si="108"/>
        <v>1</v>
      </c>
      <c r="U348" s="6">
        <f t="shared" si="109"/>
        <v>142.11279979625607</v>
      </c>
      <c r="V348">
        <f>IF((R348-$AB$774)/($Z$773-$AB$774)&lt;0, 0, IF((R348-$AB$774)/($Z$773-$AB$774)&gt;1, 1, (R348-$AB$774)/($Z$773-$AB$774)))</f>
        <v>0.1093777097140901</v>
      </c>
      <c r="W348" s="6">
        <f t="shared" si="110"/>
        <v>15.543972562771499</v>
      </c>
      <c r="Y348" s="78">
        <v>45050.760416666664</v>
      </c>
      <c r="Z348">
        <v>0.132745022050654</v>
      </c>
      <c r="AA348" s="6">
        <v>123.6297958</v>
      </c>
      <c r="AB348" s="2">
        <v>7570</v>
      </c>
      <c r="AC348" s="7">
        <f t="shared" si="111"/>
        <v>126.16666666666667</v>
      </c>
      <c r="AD348" s="7">
        <f t="shared" si="112"/>
        <v>16.747996948724179</v>
      </c>
      <c r="AE348" s="7">
        <f t="shared" si="113"/>
        <v>142.11279979625607</v>
      </c>
      <c r="AF348" s="7">
        <f t="shared" si="114"/>
        <v>1</v>
      </c>
      <c r="AG348" s="6">
        <f t="shared" si="115"/>
        <v>142.11279979625607</v>
      </c>
      <c r="AH348" s="2">
        <f t="shared" si="116"/>
        <v>1</v>
      </c>
      <c r="AI348" s="7">
        <f t="shared" si="117"/>
        <v>142.11279979625607</v>
      </c>
      <c r="AK348" s="78">
        <v>45033.3125</v>
      </c>
      <c r="AL348" s="5">
        <v>3.2692684065438203E-2</v>
      </c>
      <c r="AM348" s="5">
        <v>49.691464410000002</v>
      </c>
      <c r="AN348" s="2">
        <v>33965</v>
      </c>
      <c r="AO348" s="7">
        <f t="shared" si="104"/>
        <v>566.08333333333337</v>
      </c>
      <c r="AP348" s="5">
        <f t="shared" si="118"/>
        <v>18.506783571376811</v>
      </c>
      <c r="AQ348" s="6">
        <f t="shared" si="119"/>
        <v>155.047781672127</v>
      </c>
      <c r="AR348" s="2">
        <f t="shared" si="120"/>
        <v>1</v>
      </c>
      <c r="AS348" s="2">
        <f t="shared" si="121"/>
        <v>155.047781672127</v>
      </c>
    </row>
    <row r="349" spans="13:45" x14ac:dyDescent="0.3">
      <c r="M349" s="78">
        <v>45036.322916666664</v>
      </c>
      <c r="N349" s="5">
        <v>4.3613250640004902E-2</v>
      </c>
      <c r="O349" s="5">
        <v>77.875916610000004</v>
      </c>
      <c r="P349" s="2">
        <v>20038</v>
      </c>
      <c r="Q349" s="7">
        <f t="shared" si="105"/>
        <v>333.96666666666664</v>
      </c>
      <c r="R349" s="6">
        <f t="shared" si="106"/>
        <v>14.565371938740302</v>
      </c>
      <c r="S349" s="6">
        <f t="shared" si="107"/>
        <v>137.88980899387252</v>
      </c>
      <c r="T349" s="2">
        <f t="shared" si="108"/>
        <v>1</v>
      </c>
      <c r="U349" s="6">
        <f t="shared" si="109"/>
        <v>137.88980899387252</v>
      </c>
      <c r="V349">
        <f>IF((R349-$AB$774)/($Z$773-$AB$774)&lt;0, 0, IF((R349-$AB$774)/($Z$773-$AB$774)&gt;1, 1, (R349-$AB$774)/($Z$773-$AB$774)))</f>
        <v>0</v>
      </c>
      <c r="W349" s="6">
        <f t="shared" si="110"/>
        <v>0</v>
      </c>
      <c r="Y349" s="78">
        <v>45050.770833333336</v>
      </c>
      <c r="Z349">
        <v>0.12737276493767399</v>
      </c>
      <c r="AA349" s="6">
        <v>130.92322350000001</v>
      </c>
      <c r="AB349" s="2">
        <v>7721</v>
      </c>
      <c r="AC349" s="7">
        <f t="shared" si="111"/>
        <v>128.68333333333334</v>
      </c>
      <c r="AD349" s="7">
        <f t="shared" si="112"/>
        <v>16.390751968063014</v>
      </c>
      <c r="AE349" s="7">
        <f t="shared" si="113"/>
        <v>137.88980899387252</v>
      </c>
      <c r="AF349" s="7">
        <f t="shared" si="114"/>
        <v>1</v>
      </c>
      <c r="AG349" s="6">
        <f t="shared" si="115"/>
        <v>137.88980899387252</v>
      </c>
      <c r="AH349" s="2">
        <f t="shared" si="116"/>
        <v>1</v>
      </c>
      <c r="AI349" s="7">
        <f t="shared" si="117"/>
        <v>137.88980899387252</v>
      </c>
      <c r="AK349" s="78">
        <v>45033.322916666664</v>
      </c>
      <c r="AL349" s="5">
        <v>3.4077152111233099E-2</v>
      </c>
      <c r="AM349" s="5">
        <v>42.550901439999997</v>
      </c>
      <c r="AN349" s="2">
        <v>34326</v>
      </c>
      <c r="AO349" s="7">
        <f t="shared" si="104"/>
        <v>572.1</v>
      </c>
      <c r="AP349" s="5">
        <f t="shared" si="118"/>
        <v>19.495538722836457</v>
      </c>
      <c r="AQ349" s="6">
        <f t="shared" si="119"/>
        <v>159.05044187872767</v>
      </c>
      <c r="AR349" s="2">
        <f t="shared" si="120"/>
        <v>0</v>
      </c>
      <c r="AS349" s="2">
        <f t="shared" si="121"/>
        <v>0</v>
      </c>
    </row>
    <row r="350" spans="13:45" x14ac:dyDescent="0.3">
      <c r="M350" s="78">
        <v>45036.333333333336</v>
      </c>
      <c r="N350" s="5">
        <v>4.2662406033360703E-2</v>
      </c>
      <c r="O350" s="5">
        <v>79.202259850000004</v>
      </c>
      <c r="P350" s="2">
        <v>20448</v>
      </c>
      <c r="Q350" s="7">
        <f t="shared" si="105"/>
        <v>340.8</v>
      </c>
      <c r="R350" s="6">
        <f t="shared" si="106"/>
        <v>14.539347976169328</v>
      </c>
      <c r="S350" s="6">
        <f t="shared" si="107"/>
        <v>137.76910761308065</v>
      </c>
      <c r="T350" s="2">
        <f t="shared" si="108"/>
        <v>1</v>
      </c>
      <c r="U350" s="6">
        <f t="shared" si="109"/>
        <v>137.76910761308065</v>
      </c>
      <c r="V350">
        <f>IF((R350-$AB$774)/($Z$773-$AB$774)&lt;0, 0, IF((R350-$AB$774)/($Z$773-$AB$774)&gt;1, 1, (R350-$AB$774)/($Z$773-$AB$774)))</f>
        <v>0</v>
      </c>
      <c r="W350" s="6">
        <f t="shared" si="110"/>
        <v>0</v>
      </c>
      <c r="Y350" s="78">
        <v>45050.78125</v>
      </c>
      <c r="Z350">
        <v>0.127524901572861</v>
      </c>
      <c r="AA350" s="6">
        <v>126.21229889999999</v>
      </c>
      <c r="AB350" s="2">
        <v>7731</v>
      </c>
      <c r="AC350" s="7">
        <f t="shared" si="111"/>
        <v>128.85</v>
      </c>
      <c r="AD350" s="7">
        <f t="shared" si="112"/>
        <v>16.431583567663139</v>
      </c>
      <c r="AE350" s="7">
        <f t="shared" si="113"/>
        <v>137.76910761308065</v>
      </c>
      <c r="AF350" s="7">
        <f t="shared" si="114"/>
        <v>1</v>
      </c>
      <c r="AG350" s="6">
        <f t="shared" si="115"/>
        <v>137.76910761308065</v>
      </c>
      <c r="AH350" s="2">
        <f t="shared" si="116"/>
        <v>1</v>
      </c>
      <c r="AI350" s="7">
        <f t="shared" si="117"/>
        <v>137.76910761308065</v>
      </c>
      <c r="AK350" s="78">
        <v>45033.333333333336</v>
      </c>
      <c r="AL350" s="5">
        <v>3.0372599511145501E-2</v>
      </c>
      <c r="AM350" s="5">
        <v>49.691464410000002</v>
      </c>
      <c r="AN350" s="2">
        <v>34655</v>
      </c>
      <c r="AO350" s="7">
        <f t="shared" si="104"/>
        <v>577.58333333333337</v>
      </c>
      <c r="AP350" s="5">
        <f t="shared" si="118"/>
        <v>17.542707267645792</v>
      </c>
      <c r="AQ350" s="6">
        <f t="shared" si="119"/>
        <v>151.03851456010119</v>
      </c>
      <c r="AR350" s="2">
        <f t="shared" si="120"/>
        <v>1</v>
      </c>
      <c r="AS350" s="2">
        <f t="shared" si="121"/>
        <v>151.03851456010119</v>
      </c>
    </row>
    <row r="351" spans="13:45" x14ac:dyDescent="0.3">
      <c r="M351" s="78">
        <v>45036.34375</v>
      </c>
      <c r="N351" s="5">
        <v>4.3008155518834898E-2</v>
      </c>
      <c r="O351" s="5">
        <v>76.986061320000005</v>
      </c>
      <c r="P351" s="2">
        <v>20846</v>
      </c>
      <c r="Q351" s="7">
        <f t="shared" si="105"/>
        <v>347.43333333333334</v>
      </c>
      <c r="R351" s="6">
        <f t="shared" si="106"/>
        <v>14.942466832427204</v>
      </c>
      <c r="S351" s="6">
        <f t="shared" si="107"/>
        <v>139.62660979234698</v>
      </c>
      <c r="T351" s="2">
        <f t="shared" si="108"/>
        <v>1</v>
      </c>
      <c r="U351" s="6">
        <f t="shared" si="109"/>
        <v>139.62660979234698</v>
      </c>
      <c r="V351">
        <f>IF((R351-$AB$774)/($Z$773-$AB$774)&lt;0, 0, IF((R351-$AB$774)/($Z$773-$AB$774)&gt;1, 1, (R351-$AB$774)/($Z$773-$AB$774)))</f>
        <v>8.999750409393199E-3</v>
      </c>
      <c r="W351" s="6">
        <f t="shared" si="110"/>
        <v>1.2566046386408591</v>
      </c>
      <c r="Y351" s="78">
        <v>45050.791666666664</v>
      </c>
      <c r="Z351">
        <v>0.113870075855715</v>
      </c>
      <c r="AA351" s="6">
        <v>129.12778700000001</v>
      </c>
      <c r="AB351" s="2">
        <v>8242</v>
      </c>
      <c r="AC351" s="7">
        <f t="shared" si="111"/>
        <v>137.36666666666667</v>
      </c>
      <c r="AD351" s="7">
        <f t="shared" si="112"/>
        <v>15.641952753380052</v>
      </c>
      <c r="AE351" s="7">
        <f t="shared" si="113"/>
        <v>139.62660979234698</v>
      </c>
      <c r="AF351" s="7">
        <f t="shared" si="114"/>
        <v>1</v>
      </c>
      <c r="AG351" s="6">
        <f t="shared" si="115"/>
        <v>139.62660979234698</v>
      </c>
      <c r="AH351" s="2">
        <f t="shared" si="116"/>
        <v>1</v>
      </c>
      <c r="AI351" s="7">
        <f t="shared" si="117"/>
        <v>139.62660979234698</v>
      </c>
      <c r="AK351" s="78">
        <v>45033.34375</v>
      </c>
      <c r="AL351" s="5">
        <v>2.79620721233148E-2</v>
      </c>
      <c r="AM351" s="5">
        <v>44.034259820000003</v>
      </c>
      <c r="AN351" s="2">
        <v>34615</v>
      </c>
      <c r="AO351" s="7">
        <f t="shared" si="104"/>
        <v>576.91666666666663</v>
      </c>
      <c r="AP351" s="5">
        <f t="shared" si="118"/>
        <v>16.131785442475696</v>
      </c>
      <c r="AQ351" s="6">
        <f t="shared" si="119"/>
        <v>144.9625039992213</v>
      </c>
      <c r="AR351" s="2">
        <f t="shared" si="120"/>
        <v>0</v>
      </c>
      <c r="AS351" s="2">
        <f t="shared" si="121"/>
        <v>0</v>
      </c>
    </row>
    <row r="352" spans="13:45" x14ac:dyDescent="0.3">
      <c r="M352" s="78">
        <v>45036.354166666664</v>
      </c>
      <c r="N352" s="5">
        <v>4.7138822105019802E-2</v>
      </c>
      <c r="O352" s="5">
        <v>77.875916610000004</v>
      </c>
      <c r="P352" s="2">
        <v>19293</v>
      </c>
      <c r="Q352" s="7">
        <f t="shared" si="105"/>
        <v>321.55</v>
      </c>
      <c r="R352" s="6">
        <f t="shared" si="106"/>
        <v>15.157488247869118</v>
      </c>
      <c r="S352" s="6">
        <f t="shared" si="107"/>
        <v>140.60693848688928</v>
      </c>
      <c r="T352" s="2">
        <f t="shared" si="108"/>
        <v>1</v>
      </c>
      <c r="U352" s="6">
        <f t="shared" si="109"/>
        <v>140.60693848688928</v>
      </c>
      <c r="V352">
        <f>IF((R352-$AB$774)/($Z$773-$AB$774)&lt;0, 0, IF((R352-$AB$774)/($Z$773-$AB$774)&gt;1, 1, (R352-$AB$774)/($Z$773-$AB$774)))</f>
        <v>4.8359304490035566E-2</v>
      </c>
      <c r="W352" s="6">
        <f t="shared" si="110"/>
        <v>6.7996537516991795</v>
      </c>
      <c r="Y352" s="78">
        <v>45050.802083333336</v>
      </c>
      <c r="Z352">
        <v>0.113302857418764</v>
      </c>
      <c r="AA352" s="6">
        <v>115.673114</v>
      </c>
      <c r="AB352" s="2">
        <v>8600</v>
      </c>
      <c r="AC352" s="7">
        <f t="shared" si="111"/>
        <v>143.33333333333334</v>
      </c>
      <c r="AD352" s="7">
        <f t="shared" si="112"/>
        <v>16.24007623002284</v>
      </c>
      <c r="AE352" s="7">
        <f t="shared" si="113"/>
        <v>140.60693848688928</v>
      </c>
      <c r="AF352" s="7">
        <f t="shared" si="114"/>
        <v>1</v>
      </c>
      <c r="AG352" s="6">
        <f t="shared" si="115"/>
        <v>140.60693848688928</v>
      </c>
      <c r="AH352" s="2">
        <f t="shared" si="116"/>
        <v>1</v>
      </c>
      <c r="AI352" s="7">
        <f t="shared" si="117"/>
        <v>140.60693848688928</v>
      </c>
      <c r="AK352" s="78">
        <v>45033.354166666664</v>
      </c>
      <c r="AL352" s="5">
        <v>3.11333717567224E-2</v>
      </c>
      <c r="AM352" s="5">
        <v>44.034259820000003</v>
      </c>
      <c r="AN352" s="2">
        <v>34735</v>
      </c>
      <c r="AO352" s="7">
        <f t="shared" si="104"/>
        <v>578.91666666666663</v>
      </c>
      <c r="AP352" s="5">
        <f t="shared" si="118"/>
        <v>18.023627799495873</v>
      </c>
      <c r="AQ352" s="6">
        <f t="shared" si="119"/>
        <v>153.05218113856498</v>
      </c>
      <c r="AR352" s="2">
        <f t="shared" si="120"/>
        <v>0</v>
      </c>
      <c r="AS352" s="2">
        <f t="shared" si="121"/>
        <v>0</v>
      </c>
    </row>
    <row r="353" spans="13:45" x14ac:dyDescent="0.3">
      <c r="M353" s="78">
        <v>45036.364583333336</v>
      </c>
      <c r="N353" s="5">
        <v>4.6453553461619702E-2</v>
      </c>
      <c r="O353" s="5">
        <v>81.397704649999994</v>
      </c>
      <c r="P353" s="2">
        <v>19327</v>
      </c>
      <c r="Q353" s="7">
        <f t="shared" si="105"/>
        <v>322.11666666666667</v>
      </c>
      <c r="R353" s="6">
        <f t="shared" si="106"/>
        <v>14.963463795878733</v>
      </c>
      <c r="S353" s="6">
        <f t="shared" si="107"/>
        <v>139.72265525703205</v>
      </c>
      <c r="T353" s="2">
        <f t="shared" si="108"/>
        <v>1</v>
      </c>
      <c r="U353" s="6">
        <f t="shared" si="109"/>
        <v>139.72265525703205</v>
      </c>
      <c r="V353">
        <f>IF((R353-$AB$774)/($Z$773-$AB$774)&lt;0, 0, IF((R353-$AB$774)/($Z$773-$AB$774)&gt;1, 1, (R353-$AB$774)/($Z$773-$AB$774)))</f>
        <v>1.2843233240167156E-2</v>
      </c>
      <c r="W353" s="6">
        <f t="shared" si="110"/>
        <v>1.7944906504015301</v>
      </c>
      <c r="Y353" s="78">
        <v>45050.8125</v>
      </c>
      <c r="Z353">
        <v>0.117145018962124</v>
      </c>
      <c r="AA353" s="6">
        <v>129.12778700000001</v>
      </c>
      <c r="AB353" s="2">
        <v>8546</v>
      </c>
      <c r="AC353" s="7">
        <f t="shared" si="111"/>
        <v>142.43333333333334</v>
      </c>
      <c r="AD353" s="7">
        <f t="shared" si="112"/>
        <v>16.685355534171862</v>
      </c>
      <c r="AE353" s="7">
        <f t="shared" si="113"/>
        <v>139.72265525703205</v>
      </c>
      <c r="AF353" s="7">
        <f t="shared" si="114"/>
        <v>1</v>
      </c>
      <c r="AG353" s="6">
        <f t="shared" si="115"/>
        <v>139.72265525703205</v>
      </c>
      <c r="AH353" s="2">
        <f t="shared" si="116"/>
        <v>1</v>
      </c>
      <c r="AI353" s="7">
        <f t="shared" si="117"/>
        <v>139.72265525703205</v>
      </c>
      <c r="AK353" s="78">
        <v>45033.364583333336</v>
      </c>
      <c r="AL353" s="5">
        <v>3.0287808188050401E-2</v>
      </c>
      <c r="AM353" s="5">
        <v>48.290232170000003</v>
      </c>
      <c r="AN353" s="2">
        <v>34063</v>
      </c>
      <c r="AO353" s="7">
        <f t="shared" si="104"/>
        <v>567.7166666666667</v>
      </c>
      <c r="AP353" s="5">
        <f t="shared" si="118"/>
        <v>17.194893505159349</v>
      </c>
      <c r="AQ353" s="6">
        <f t="shared" si="119"/>
        <v>149.56456877080382</v>
      </c>
      <c r="AR353" s="2">
        <f t="shared" si="120"/>
        <v>1</v>
      </c>
      <c r="AS353" s="2">
        <f t="shared" si="121"/>
        <v>149.56456877080382</v>
      </c>
    </row>
    <row r="354" spans="13:45" x14ac:dyDescent="0.3">
      <c r="M354" s="78">
        <v>45036.375</v>
      </c>
      <c r="N354" s="5">
        <v>4.6112379976560501E-2</v>
      </c>
      <c r="O354" s="5">
        <v>74.312865549999998</v>
      </c>
      <c r="P354" s="2">
        <v>19525</v>
      </c>
      <c r="Q354" s="7">
        <f t="shared" si="105"/>
        <v>325.41666666666669</v>
      </c>
      <c r="R354" s="6">
        <f t="shared" si="106"/>
        <v>15.005736984039064</v>
      </c>
      <c r="S354" s="6">
        <f t="shared" si="107"/>
        <v>139.91581520616799</v>
      </c>
      <c r="T354" s="2">
        <f t="shared" si="108"/>
        <v>1</v>
      </c>
      <c r="U354" s="6">
        <f t="shared" si="109"/>
        <v>139.91581520616799</v>
      </c>
      <c r="V354">
        <f>IF((R354-$AB$774)/($Z$773-$AB$774)&lt;0, 0, IF((R354-$AB$774)/($Z$773-$AB$774)&gt;1, 1, (R354-$AB$774)/($Z$773-$AB$774)))</f>
        <v>2.0581317524182182E-2</v>
      </c>
      <c r="W354" s="6">
        <f t="shared" si="110"/>
        <v>2.879651819412941</v>
      </c>
      <c r="Y354" s="78">
        <v>45050.822916666664</v>
      </c>
      <c r="Z354">
        <v>0.118523725348121</v>
      </c>
      <c r="AA354" s="6">
        <v>124.3675379</v>
      </c>
      <c r="AB354" s="2">
        <v>8561</v>
      </c>
      <c r="AC354" s="7">
        <f t="shared" si="111"/>
        <v>142.68333333333334</v>
      </c>
      <c r="AD354" s="7">
        <f t="shared" si="112"/>
        <v>16.911360211754399</v>
      </c>
      <c r="AE354" s="7">
        <f t="shared" si="113"/>
        <v>139.91581520616799</v>
      </c>
      <c r="AF354" s="7">
        <f t="shared" si="114"/>
        <v>1</v>
      </c>
      <c r="AG354" s="6">
        <f t="shared" si="115"/>
        <v>139.91581520616799</v>
      </c>
      <c r="AH354" s="2">
        <f t="shared" si="116"/>
        <v>1</v>
      </c>
      <c r="AI354" s="7">
        <f t="shared" si="117"/>
        <v>139.91581520616799</v>
      </c>
      <c r="AK354" s="78">
        <v>45033.375</v>
      </c>
      <c r="AL354" s="5">
        <v>3.1351112935509802E-2</v>
      </c>
      <c r="AM354" s="5">
        <v>50.381720729999998</v>
      </c>
      <c r="AN354" s="2">
        <v>34393</v>
      </c>
      <c r="AO354" s="7">
        <f t="shared" si="104"/>
        <v>573.2166666666667</v>
      </c>
      <c r="AP354" s="5">
        <f t="shared" si="118"/>
        <v>17.970980453183145</v>
      </c>
      <c r="AQ354" s="6">
        <f t="shared" si="119"/>
        <v>152.83308842369095</v>
      </c>
      <c r="AR354" s="2">
        <f t="shared" si="120"/>
        <v>1</v>
      </c>
      <c r="AS354" s="2">
        <f t="shared" si="121"/>
        <v>152.83308842369095</v>
      </c>
    </row>
    <row r="355" spans="13:45" x14ac:dyDescent="0.3">
      <c r="M355" s="78">
        <v>45036.385416666664</v>
      </c>
      <c r="N355" s="5">
        <v>4.6311112236480101E-2</v>
      </c>
      <c r="O355" s="5">
        <v>81.397704649999994</v>
      </c>
      <c r="P355" s="2">
        <v>19547</v>
      </c>
      <c r="Q355" s="7">
        <f t="shared" si="105"/>
        <v>325.78333333333336</v>
      </c>
      <c r="R355" s="6">
        <f t="shared" si="106"/>
        <v>15.087388514774609</v>
      </c>
      <c r="S355" s="6">
        <f t="shared" si="107"/>
        <v>140.28812304806516</v>
      </c>
      <c r="T355" s="2">
        <f t="shared" si="108"/>
        <v>1</v>
      </c>
      <c r="U355" s="6">
        <f t="shared" si="109"/>
        <v>140.28812304806516</v>
      </c>
      <c r="V355">
        <f>IF((R355-$AB$774)/($Z$773-$AB$774)&lt;0, 0, IF((R355-$AB$774)/($Z$773-$AB$774)&gt;1, 1, (R355-$AB$774)/($Z$773-$AB$774)))</f>
        <v>3.5527586169786435E-2</v>
      </c>
      <c r="W355" s="6">
        <f t="shared" si="110"/>
        <v>4.9840983801877377</v>
      </c>
      <c r="Y355" s="78">
        <v>45050.833333333336</v>
      </c>
      <c r="Z355">
        <v>0.118736584549472</v>
      </c>
      <c r="AA355" s="6">
        <v>114.5134446</v>
      </c>
      <c r="AB355" s="2">
        <v>8787</v>
      </c>
      <c r="AC355" s="7">
        <f t="shared" si="111"/>
        <v>146.44999999999999</v>
      </c>
      <c r="AD355" s="7">
        <f t="shared" si="112"/>
        <v>17.388972807270175</v>
      </c>
      <c r="AE355" s="7">
        <f t="shared" si="113"/>
        <v>140.28812304806516</v>
      </c>
      <c r="AF355" s="7">
        <f t="shared" si="114"/>
        <v>1</v>
      </c>
      <c r="AG355" s="6">
        <f t="shared" si="115"/>
        <v>140.28812304806516</v>
      </c>
      <c r="AH355" s="2">
        <f t="shared" si="116"/>
        <v>1</v>
      </c>
      <c r="AI355" s="7">
        <f t="shared" si="117"/>
        <v>140.28812304806516</v>
      </c>
      <c r="AK355" s="78">
        <v>45033.385416666664</v>
      </c>
      <c r="AL355" s="5">
        <v>2.83720457067561E-2</v>
      </c>
      <c r="AM355" s="5">
        <v>40.310795710000001</v>
      </c>
      <c r="AN355" s="2">
        <v>34579</v>
      </c>
      <c r="AO355" s="7">
        <f t="shared" si="104"/>
        <v>576.31666666666672</v>
      </c>
      <c r="AP355" s="5">
        <f t="shared" si="118"/>
        <v>16.351282808231989</v>
      </c>
      <c r="AQ355" s="6">
        <f t="shared" si="119"/>
        <v>145.92507455627063</v>
      </c>
      <c r="AR355" s="2">
        <f t="shared" si="120"/>
        <v>0</v>
      </c>
      <c r="AS355" s="2">
        <f t="shared" si="121"/>
        <v>0</v>
      </c>
    </row>
    <row r="356" spans="13:45" x14ac:dyDescent="0.3">
      <c r="M356" s="78">
        <v>45036.395833333336</v>
      </c>
      <c r="N356" s="5">
        <v>4.3050002614687499E-2</v>
      </c>
      <c r="O356" s="5">
        <v>77.875916610000004</v>
      </c>
      <c r="P356" s="2">
        <v>19989</v>
      </c>
      <c r="Q356" s="7">
        <f t="shared" si="105"/>
        <v>333.15</v>
      </c>
      <c r="R356" s="6">
        <f t="shared" si="106"/>
        <v>14.342108371083139</v>
      </c>
      <c r="S356" s="6">
        <f t="shared" si="107"/>
        <v>136.85068597188769</v>
      </c>
      <c r="T356" s="2">
        <f t="shared" si="108"/>
        <v>1</v>
      </c>
      <c r="U356" s="6">
        <f t="shared" si="109"/>
        <v>136.85068597188769</v>
      </c>
      <c r="V356">
        <f>IF((R356-$AB$774)/($Z$773-$AB$774)&lt;0, 0, IF((R356-$AB$774)/($Z$773-$AB$774)&gt;1, 1, (R356-$AB$774)/($Z$773-$AB$774)))</f>
        <v>0</v>
      </c>
      <c r="W356" s="6">
        <f t="shared" si="110"/>
        <v>0</v>
      </c>
      <c r="Y356" s="78">
        <v>45050.84375</v>
      </c>
      <c r="Z356">
        <v>0.11148336735704199</v>
      </c>
      <c r="AA356" s="6">
        <v>124.3675379</v>
      </c>
      <c r="AB356" s="2">
        <v>8502</v>
      </c>
      <c r="AC356" s="7">
        <f t="shared" si="111"/>
        <v>141.69999999999999</v>
      </c>
      <c r="AD356" s="7">
        <f t="shared" si="112"/>
        <v>15.797193154492849</v>
      </c>
      <c r="AE356" s="7">
        <f t="shared" si="113"/>
        <v>136.85068597188769</v>
      </c>
      <c r="AF356" s="7">
        <f t="shared" si="114"/>
        <v>1</v>
      </c>
      <c r="AG356" s="6">
        <f t="shared" si="115"/>
        <v>136.85068597188769</v>
      </c>
      <c r="AH356" s="2">
        <f t="shared" si="116"/>
        <v>1</v>
      </c>
      <c r="AI356" s="7">
        <f t="shared" si="117"/>
        <v>136.85068597188769</v>
      </c>
      <c r="AK356" s="78">
        <v>45033.395833333336</v>
      </c>
      <c r="AL356" s="5">
        <v>3.16619891353579E-2</v>
      </c>
      <c r="AM356" s="5">
        <v>44.745284959999999</v>
      </c>
      <c r="AN356" s="2">
        <v>33775</v>
      </c>
      <c r="AO356" s="7">
        <f t="shared" ref="AO356:AO419" si="122">AN356/60</f>
        <v>562.91666666666663</v>
      </c>
      <c r="AP356" s="5">
        <f t="shared" si="118"/>
        <v>17.823061384111885</v>
      </c>
      <c r="AQ356" s="6">
        <f t="shared" si="119"/>
        <v>152.21576209505662</v>
      </c>
      <c r="AR356" s="2">
        <f t="shared" si="120"/>
        <v>0</v>
      </c>
      <c r="AS356" s="2">
        <f t="shared" si="121"/>
        <v>0</v>
      </c>
    </row>
    <row r="357" spans="13:45" x14ac:dyDescent="0.3">
      <c r="M357" s="78">
        <v>45036.40625</v>
      </c>
      <c r="N357" s="5">
        <v>4.6146572390515901E-2</v>
      </c>
      <c r="O357" s="5">
        <v>75.659696060000002</v>
      </c>
      <c r="P357" s="2">
        <v>19975</v>
      </c>
      <c r="Q357" s="7">
        <f t="shared" si="105"/>
        <v>332.91666666666669</v>
      </c>
      <c r="R357" s="6">
        <f t="shared" si="106"/>
        <v>15.362963058342586</v>
      </c>
      <c r="S357" s="6">
        <f t="shared" si="107"/>
        <v>141.53713275300927</v>
      </c>
      <c r="T357" s="2">
        <f t="shared" si="108"/>
        <v>1</v>
      </c>
      <c r="U357" s="6">
        <f t="shared" si="109"/>
        <v>141.53713275300927</v>
      </c>
      <c r="V357">
        <f>IF((R357-$AB$774)/($Z$773-$AB$774)&lt;0, 0, IF((R357-$AB$774)/($Z$773-$AB$774)&gt;1, 1, (R357-$AB$774)/($Z$773-$AB$774)))</f>
        <v>8.5971357682127783E-2</v>
      </c>
      <c r="W357" s="6">
        <f t="shared" si="110"/>
        <v>12.168139465211764</v>
      </c>
      <c r="Y357" s="78">
        <v>45050.854166666664</v>
      </c>
      <c r="Z357">
        <v>0.11286652776181801</v>
      </c>
      <c r="AA357" s="6">
        <v>113.3477233</v>
      </c>
      <c r="AB357" s="2">
        <v>8817</v>
      </c>
      <c r="AC357" s="7">
        <f t="shared" si="111"/>
        <v>146.94999999999999</v>
      </c>
      <c r="AD357" s="7">
        <f t="shared" si="112"/>
        <v>16.585736254599155</v>
      </c>
      <c r="AE357" s="7">
        <f t="shared" si="113"/>
        <v>141.53713275300927</v>
      </c>
      <c r="AF357" s="7">
        <f t="shared" si="114"/>
        <v>1</v>
      </c>
      <c r="AG357" s="6">
        <f t="shared" si="115"/>
        <v>141.53713275300927</v>
      </c>
      <c r="AH357" s="2">
        <f t="shared" si="116"/>
        <v>1</v>
      </c>
      <c r="AI357" s="7">
        <f t="shared" si="117"/>
        <v>141.53713275300927</v>
      </c>
      <c r="AK357" s="78">
        <v>45033.40625</v>
      </c>
      <c r="AL357" s="5">
        <v>2.7467298536428101E-2</v>
      </c>
      <c r="AM357" s="5">
        <v>36.602484089999997</v>
      </c>
      <c r="AN357" s="2">
        <v>35118</v>
      </c>
      <c r="AO357" s="7">
        <f t="shared" si="122"/>
        <v>585.29999999999995</v>
      </c>
      <c r="AP357" s="5">
        <f t="shared" si="118"/>
        <v>16.076609833371368</v>
      </c>
      <c r="AQ357" s="6">
        <f t="shared" si="119"/>
        <v>144.71949073552858</v>
      </c>
      <c r="AR357" s="2">
        <f t="shared" si="120"/>
        <v>0</v>
      </c>
      <c r="AS357" s="2">
        <f t="shared" si="121"/>
        <v>0</v>
      </c>
    </row>
    <row r="358" spans="13:45" x14ac:dyDescent="0.3">
      <c r="M358" s="78">
        <v>45036.416666666664</v>
      </c>
      <c r="N358" s="5">
        <v>4.3078948116950198E-2</v>
      </c>
      <c r="O358" s="5">
        <v>80.086877509999994</v>
      </c>
      <c r="P358" s="2">
        <v>20023</v>
      </c>
      <c r="Q358" s="7">
        <f t="shared" si="105"/>
        <v>333.71666666666664</v>
      </c>
      <c r="R358" s="6">
        <f t="shared" si="106"/>
        <v>14.376162969094896</v>
      </c>
      <c r="S358" s="6">
        <f t="shared" si="107"/>
        <v>137.00971520416363</v>
      </c>
      <c r="T358" s="2">
        <f t="shared" si="108"/>
        <v>1</v>
      </c>
      <c r="U358" s="6">
        <f t="shared" si="109"/>
        <v>137.00971520416363</v>
      </c>
      <c r="V358">
        <f>IF((R358-$AB$774)/($Z$773-$AB$774)&lt;0, 0, IF((R358-$AB$774)/($Z$773-$AB$774)&gt;1, 1, (R358-$AB$774)/($Z$773-$AB$774)))</f>
        <v>0</v>
      </c>
      <c r="W358" s="6">
        <f t="shared" si="110"/>
        <v>0</v>
      </c>
      <c r="Y358" s="78">
        <v>45050.864583333336</v>
      </c>
      <c r="Z358">
        <v>0.11339375224491501</v>
      </c>
      <c r="AA358" s="6">
        <v>114.1275401</v>
      </c>
      <c r="AB358" s="2">
        <v>8659</v>
      </c>
      <c r="AC358" s="7">
        <f t="shared" si="111"/>
        <v>144.31666666666666</v>
      </c>
      <c r="AD358" s="7">
        <f t="shared" si="112"/>
        <v>16.364608344811984</v>
      </c>
      <c r="AE358" s="7">
        <f t="shared" si="113"/>
        <v>137.00971520416363</v>
      </c>
      <c r="AF358" s="7">
        <f t="shared" si="114"/>
        <v>1</v>
      </c>
      <c r="AG358" s="6">
        <f t="shared" si="115"/>
        <v>137.00971520416363</v>
      </c>
      <c r="AH358" s="2">
        <f t="shared" si="116"/>
        <v>1</v>
      </c>
      <c r="AI358" s="7">
        <f t="shared" si="117"/>
        <v>137.00971520416363</v>
      </c>
      <c r="AK358" s="78">
        <v>45033.416666666664</v>
      </c>
      <c r="AL358" s="5">
        <v>3.9571111645331301E-2</v>
      </c>
      <c r="AM358" s="5">
        <v>40.323477179999998</v>
      </c>
      <c r="AN358" s="2">
        <v>35238</v>
      </c>
      <c r="AO358" s="7">
        <f t="shared" si="122"/>
        <v>587.29999999999995</v>
      </c>
      <c r="AP358" s="5">
        <f t="shared" si="118"/>
        <v>23.240113869303073</v>
      </c>
      <c r="AQ358" s="6">
        <f t="shared" si="119"/>
        <v>173.34066746071912</v>
      </c>
      <c r="AR358" s="2">
        <f t="shared" si="120"/>
        <v>0</v>
      </c>
      <c r="AS358" s="2">
        <f t="shared" si="121"/>
        <v>0</v>
      </c>
    </row>
    <row r="359" spans="13:45" x14ac:dyDescent="0.3">
      <c r="M359" s="78">
        <v>45036.427083333336</v>
      </c>
      <c r="N359" s="5">
        <v>4.52646825802984E-2</v>
      </c>
      <c r="O359" s="5">
        <v>72.077340390000003</v>
      </c>
      <c r="P359" s="2">
        <v>20020</v>
      </c>
      <c r="Q359" s="7">
        <f t="shared" si="105"/>
        <v>333.66666666666669</v>
      </c>
      <c r="R359" s="6">
        <f t="shared" si="106"/>
        <v>15.1033157542929</v>
      </c>
      <c r="S359" s="6">
        <f t="shared" si="107"/>
        <v>140.36062680544774</v>
      </c>
      <c r="T359" s="2">
        <f t="shared" si="108"/>
        <v>1</v>
      </c>
      <c r="U359" s="6">
        <f t="shared" si="109"/>
        <v>140.36062680544774</v>
      </c>
      <c r="V359">
        <f>IF((R359-$AB$774)/($Z$773-$AB$774)&lt;0, 0, IF((R359-$AB$774)/($Z$773-$AB$774)&gt;1, 1, (R359-$AB$774)/($Z$773-$AB$774)))</f>
        <v>3.8443058769978986E-2</v>
      </c>
      <c r="W359" s="6">
        <f t="shared" si="110"/>
        <v>5.3958918252729147</v>
      </c>
      <c r="Y359" s="78">
        <v>45050.875</v>
      </c>
      <c r="Z359">
        <v>0.117490348124467</v>
      </c>
      <c r="AA359" s="6">
        <v>120.2525852</v>
      </c>
      <c r="AB359" s="2">
        <v>8437</v>
      </c>
      <c r="AC359" s="7">
        <f t="shared" si="111"/>
        <v>140.61666666666667</v>
      </c>
      <c r="AD359" s="7">
        <f t="shared" si="112"/>
        <v>16.521101118768801</v>
      </c>
      <c r="AE359" s="7">
        <f t="shared" si="113"/>
        <v>140.36062680544774</v>
      </c>
      <c r="AF359" s="7">
        <f t="shared" si="114"/>
        <v>1</v>
      </c>
      <c r="AG359" s="6">
        <f t="shared" si="115"/>
        <v>140.36062680544774</v>
      </c>
      <c r="AH359" s="2">
        <f t="shared" si="116"/>
        <v>1</v>
      </c>
      <c r="AI359" s="7">
        <f t="shared" si="117"/>
        <v>140.36062680544774</v>
      </c>
      <c r="AK359" s="78">
        <v>45033.427083333336</v>
      </c>
      <c r="AL359" s="5">
        <v>2.9384195256931998E-2</v>
      </c>
      <c r="AM359" s="5">
        <v>38.096996799999999</v>
      </c>
      <c r="AN359" s="2">
        <v>35131</v>
      </c>
      <c r="AO359" s="7">
        <f t="shared" si="122"/>
        <v>585.51666666666665</v>
      </c>
      <c r="AP359" s="5">
        <f t="shared" si="118"/>
        <v>17.204936059521302</v>
      </c>
      <c r="AQ359" s="6">
        <f t="shared" si="119"/>
        <v>149.60733872885947</v>
      </c>
      <c r="AR359" s="2">
        <f t="shared" si="120"/>
        <v>0</v>
      </c>
      <c r="AS359" s="2">
        <f t="shared" si="121"/>
        <v>0</v>
      </c>
    </row>
    <row r="360" spans="13:45" x14ac:dyDescent="0.3">
      <c r="M360" s="78">
        <v>45036.4375</v>
      </c>
      <c r="N360" s="5">
        <v>4.5496287511180997E-2</v>
      </c>
      <c r="O360" s="5">
        <v>77.875916610000004</v>
      </c>
      <c r="P360" s="2">
        <v>19292</v>
      </c>
      <c r="Q360" s="7">
        <f t="shared" si="105"/>
        <v>321.53333333333336</v>
      </c>
      <c r="R360" s="6">
        <f t="shared" si="106"/>
        <v>14.628572977761731</v>
      </c>
      <c r="S360" s="6">
        <f t="shared" si="107"/>
        <v>138.18248348724742</v>
      </c>
      <c r="T360" s="2">
        <f t="shared" si="108"/>
        <v>1</v>
      </c>
      <c r="U360" s="6">
        <f t="shared" si="109"/>
        <v>138.18248348724742</v>
      </c>
      <c r="V360">
        <f>IF((R360-$AB$774)/($Z$773-$AB$774)&lt;0, 0, IF((R360-$AB$774)/($Z$773-$AB$774)&gt;1, 1, (R360-$AB$774)/($Z$773-$AB$774)))</f>
        <v>0</v>
      </c>
      <c r="W360" s="6">
        <f t="shared" si="110"/>
        <v>0</v>
      </c>
      <c r="Y360" s="78">
        <v>45050.885416666664</v>
      </c>
      <c r="Z360">
        <v>0.11717356980327</v>
      </c>
      <c r="AA360" s="6">
        <v>114.8986831</v>
      </c>
      <c r="AB360" s="2">
        <v>8455</v>
      </c>
      <c r="AC360" s="7">
        <f t="shared" si="111"/>
        <v>140.91666666666666</v>
      </c>
      <c r="AD360" s="7">
        <f t="shared" si="112"/>
        <v>16.511708878110795</v>
      </c>
      <c r="AE360" s="7">
        <f t="shared" si="113"/>
        <v>138.18248348724742</v>
      </c>
      <c r="AF360" s="7">
        <f t="shared" si="114"/>
        <v>1</v>
      </c>
      <c r="AG360" s="6">
        <f t="shared" si="115"/>
        <v>138.18248348724742</v>
      </c>
      <c r="AH360" s="2">
        <f t="shared" si="116"/>
        <v>1</v>
      </c>
      <c r="AI360" s="7">
        <f t="shared" si="117"/>
        <v>138.18248348724742</v>
      </c>
      <c r="AK360" s="78">
        <v>45033.4375</v>
      </c>
      <c r="AL360" s="5">
        <v>3.16100386015103E-2</v>
      </c>
      <c r="AM360" s="5">
        <v>40.310795710000001</v>
      </c>
      <c r="AN360" s="2">
        <v>34427</v>
      </c>
      <c r="AO360" s="7">
        <f t="shared" si="122"/>
        <v>573.7833333333333</v>
      </c>
      <c r="AP360" s="5">
        <f t="shared" si="118"/>
        <v>18.137313315569916</v>
      </c>
      <c r="AQ360" s="6">
        <f t="shared" si="119"/>
        <v>153.52417381594145</v>
      </c>
      <c r="AR360" s="2">
        <f t="shared" si="120"/>
        <v>0</v>
      </c>
      <c r="AS360" s="2">
        <f t="shared" si="121"/>
        <v>0</v>
      </c>
    </row>
    <row r="361" spans="13:45" x14ac:dyDescent="0.3">
      <c r="M361" s="78">
        <v>45036.447916666664</v>
      </c>
      <c r="N361" s="5">
        <v>4.6404071456427103E-2</v>
      </c>
      <c r="O361" s="5">
        <v>75.652056590000001</v>
      </c>
      <c r="P361" s="2">
        <v>19698</v>
      </c>
      <c r="Q361" s="7">
        <f t="shared" si="105"/>
        <v>328.3</v>
      </c>
      <c r="R361" s="6">
        <f t="shared" si="106"/>
        <v>15.234456659145017</v>
      </c>
      <c r="S361" s="6">
        <f t="shared" si="107"/>
        <v>140.95612746288478</v>
      </c>
      <c r="T361" s="2">
        <f t="shared" si="108"/>
        <v>1</v>
      </c>
      <c r="U361" s="6">
        <f t="shared" si="109"/>
        <v>140.95612746288478</v>
      </c>
      <c r="V361">
        <f>IF((R361-$AB$774)/($Z$773-$AB$774)&lt;0, 0, IF((R361-$AB$774)/($Z$773-$AB$774)&gt;1, 1, (R361-$AB$774)/($Z$773-$AB$774)))</f>
        <v>6.2448330645354808E-2</v>
      </c>
      <c r="W361" s="6">
        <f t="shared" si="110"/>
        <v>8.8024748542910061</v>
      </c>
      <c r="Y361" s="78">
        <v>45050.895833333336</v>
      </c>
      <c r="Z361">
        <v>0.11091888635116701</v>
      </c>
      <c r="AA361" s="6">
        <v>114.1275401</v>
      </c>
      <c r="AB361" s="2">
        <v>8693</v>
      </c>
      <c r="AC361" s="7">
        <f t="shared" si="111"/>
        <v>144.88333333333333</v>
      </c>
      <c r="AD361" s="7">
        <f t="shared" si="112"/>
        <v>16.070297984178247</v>
      </c>
      <c r="AE361" s="7">
        <f t="shared" si="113"/>
        <v>140.95612746288478</v>
      </c>
      <c r="AF361" s="7">
        <f t="shared" si="114"/>
        <v>1</v>
      </c>
      <c r="AG361" s="6">
        <f t="shared" si="115"/>
        <v>140.95612746288478</v>
      </c>
      <c r="AH361" s="2">
        <f t="shared" si="116"/>
        <v>1</v>
      </c>
      <c r="AI361" s="7">
        <f t="shared" si="117"/>
        <v>140.95612746288478</v>
      </c>
      <c r="AK361" s="78">
        <v>45033.447916666664</v>
      </c>
      <c r="AL361" s="5">
        <v>2.93685902050278E-2</v>
      </c>
      <c r="AM361" s="5">
        <v>40.323477179999998</v>
      </c>
      <c r="AN361" s="2">
        <v>34244</v>
      </c>
      <c r="AO361" s="7">
        <f t="shared" si="122"/>
        <v>570.73333333333335</v>
      </c>
      <c r="AP361" s="5">
        <f t="shared" si="118"/>
        <v>16.7616333830162</v>
      </c>
      <c r="AQ361" s="6">
        <f t="shared" si="119"/>
        <v>147.7070767270618</v>
      </c>
      <c r="AR361" s="2">
        <f t="shared" si="120"/>
        <v>0</v>
      </c>
      <c r="AS361" s="2">
        <f t="shared" si="121"/>
        <v>0</v>
      </c>
    </row>
    <row r="362" spans="13:45" x14ac:dyDescent="0.3">
      <c r="M362" s="78">
        <v>45036.458333333336</v>
      </c>
      <c r="N362" s="5">
        <v>4.6714379733784103E-2</v>
      </c>
      <c r="O362" s="5">
        <v>75.652056590000001</v>
      </c>
      <c r="P362" s="2">
        <v>19644</v>
      </c>
      <c r="Q362" s="7">
        <f t="shared" si="105"/>
        <v>327.39999999999998</v>
      </c>
      <c r="R362" s="6">
        <f t="shared" si="106"/>
        <v>15.294287924840914</v>
      </c>
      <c r="S362" s="6">
        <f t="shared" si="107"/>
        <v>141.22694746247956</v>
      </c>
      <c r="T362" s="2">
        <f t="shared" si="108"/>
        <v>1</v>
      </c>
      <c r="U362" s="6">
        <f t="shared" si="109"/>
        <v>141.22694746247956</v>
      </c>
      <c r="V362">
        <f>IF((R362-$AB$774)/($Z$773-$AB$774)&lt;0, 0, IF((R362-$AB$774)/($Z$773-$AB$774)&gt;1, 1, (R362-$AB$774)/($Z$773-$AB$774)))</f>
        <v>7.3400411548696629E-2</v>
      </c>
      <c r="W362" s="6">
        <f t="shared" si="110"/>
        <v>10.366116065512157</v>
      </c>
      <c r="Y362" s="78">
        <v>45050.90625</v>
      </c>
      <c r="Z362">
        <v>0.116349717887949</v>
      </c>
      <c r="AA362" s="6">
        <v>112.9598134</v>
      </c>
      <c r="AB362" s="2">
        <v>8725</v>
      </c>
      <c r="AC362" s="7">
        <f t="shared" si="111"/>
        <v>145.41666666666666</v>
      </c>
      <c r="AD362" s="7">
        <f t="shared" si="112"/>
        <v>16.919188142872581</v>
      </c>
      <c r="AE362" s="7">
        <f t="shared" si="113"/>
        <v>141.22694746247956</v>
      </c>
      <c r="AF362" s="7">
        <f t="shared" si="114"/>
        <v>1</v>
      </c>
      <c r="AG362" s="6">
        <f t="shared" si="115"/>
        <v>141.22694746247956</v>
      </c>
      <c r="AH362" s="2">
        <f t="shared" si="116"/>
        <v>1</v>
      </c>
      <c r="AI362" s="7">
        <f t="shared" si="117"/>
        <v>141.22694746247956</v>
      </c>
      <c r="AK362" s="78">
        <v>45033.458333333336</v>
      </c>
      <c r="AL362" s="5">
        <v>3.2486735440361597E-2</v>
      </c>
      <c r="AM362" s="5">
        <v>40.323477179999998</v>
      </c>
      <c r="AN362" s="2">
        <v>34770</v>
      </c>
      <c r="AO362" s="7">
        <f t="shared" si="122"/>
        <v>579.5</v>
      </c>
      <c r="AP362" s="5">
        <f t="shared" si="118"/>
        <v>18.826063187689545</v>
      </c>
      <c r="AQ362" s="6">
        <f t="shared" si="119"/>
        <v>156.35195851469601</v>
      </c>
      <c r="AR362" s="2">
        <f t="shared" si="120"/>
        <v>0</v>
      </c>
      <c r="AS362" s="2">
        <f t="shared" si="121"/>
        <v>0</v>
      </c>
    </row>
    <row r="363" spans="13:45" x14ac:dyDescent="0.3">
      <c r="M363" s="78">
        <v>45036.46875</v>
      </c>
      <c r="N363" s="5">
        <v>4.7439310513526803E-2</v>
      </c>
      <c r="O363" s="5">
        <v>73.423571839999994</v>
      </c>
      <c r="P363" s="2">
        <v>19317</v>
      </c>
      <c r="Q363" s="7">
        <f t="shared" si="105"/>
        <v>321.95</v>
      </c>
      <c r="R363" s="6">
        <f t="shared" si="106"/>
        <v>15.273086019829954</v>
      </c>
      <c r="S363" s="6">
        <f t="shared" si="107"/>
        <v>141.13104119459828</v>
      </c>
      <c r="T363" s="2">
        <f t="shared" si="108"/>
        <v>1</v>
      </c>
      <c r="U363" s="6">
        <f t="shared" si="109"/>
        <v>141.13104119459828</v>
      </c>
      <c r="V363">
        <f>IF((R363-$AB$774)/($Z$773-$AB$774)&lt;0, 0, IF((R363-$AB$774)/($Z$773-$AB$774)&gt;1, 1, (R363-$AB$774)/($Z$773-$AB$774)))</f>
        <v>6.9519414276046118E-2</v>
      </c>
      <c r="W363" s="6">
        <f t="shared" si="110"/>
        <v>9.811347320017008</v>
      </c>
      <c r="Y363" s="78">
        <v>45050.916666666664</v>
      </c>
      <c r="Z363">
        <v>0.108904141920767</v>
      </c>
      <c r="AA363" s="6">
        <v>114.1275401</v>
      </c>
      <c r="AB363" s="2">
        <v>8776</v>
      </c>
      <c r="AC363" s="7">
        <f t="shared" si="111"/>
        <v>146.26666666666668</v>
      </c>
      <c r="AD363" s="7">
        <f t="shared" si="112"/>
        <v>15.929045824944188</v>
      </c>
      <c r="AE363" s="7">
        <f t="shared" si="113"/>
        <v>141.13104119459828</v>
      </c>
      <c r="AF363" s="7">
        <f t="shared" si="114"/>
        <v>1</v>
      </c>
      <c r="AG363" s="6">
        <f t="shared" si="115"/>
        <v>141.13104119459828</v>
      </c>
      <c r="AH363" s="2">
        <f t="shared" si="116"/>
        <v>1</v>
      </c>
      <c r="AI363" s="7">
        <f t="shared" si="117"/>
        <v>141.13104119459828</v>
      </c>
      <c r="AK363" s="78">
        <v>45033.46875</v>
      </c>
      <c r="AL363" s="5">
        <v>3.1308781121669703E-2</v>
      </c>
      <c r="AM363" s="5">
        <v>38.096996799999999</v>
      </c>
      <c r="AN363" s="2">
        <v>34738</v>
      </c>
      <c r="AO363" s="7">
        <f t="shared" si="122"/>
        <v>578.9666666666667</v>
      </c>
      <c r="AP363" s="5">
        <f t="shared" si="118"/>
        <v>18.12674064340937</v>
      </c>
      <c r="AQ363" s="6">
        <f t="shared" si="119"/>
        <v>153.4803426229474</v>
      </c>
      <c r="AR363" s="2">
        <f t="shared" si="120"/>
        <v>0</v>
      </c>
      <c r="AS363" s="2">
        <f t="shared" si="121"/>
        <v>0</v>
      </c>
    </row>
    <row r="364" spans="13:45" x14ac:dyDescent="0.3">
      <c r="M364" s="78">
        <v>45036.479166666664</v>
      </c>
      <c r="N364" s="5">
        <v>5.0767331932076998E-2</v>
      </c>
      <c r="O364" s="5">
        <v>76.544179459999995</v>
      </c>
      <c r="P364" s="2">
        <v>17869</v>
      </c>
      <c r="Q364" s="7">
        <f t="shared" si="105"/>
        <v>297.81666666666666</v>
      </c>
      <c r="R364" s="6">
        <f t="shared" si="106"/>
        <v>15.119357571571397</v>
      </c>
      <c r="S364" s="6">
        <f t="shared" si="107"/>
        <v>140.43361271379237</v>
      </c>
      <c r="T364" s="2">
        <f t="shared" si="108"/>
        <v>1</v>
      </c>
      <c r="U364" s="6">
        <f t="shared" si="109"/>
        <v>140.43361271379237</v>
      </c>
      <c r="V364">
        <f>IF((R364-$AB$774)/($Z$773-$AB$774)&lt;0, 0, IF((R364-$AB$774)/($Z$773-$AB$774)&gt;1, 1, (R364-$AB$774)/($Z$773-$AB$774)))</f>
        <v>4.1379504767356148E-2</v>
      </c>
      <c r="W364" s="6">
        <f t="shared" si="110"/>
        <v>5.8110733467874187</v>
      </c>
      <c r="Y364" s="78">
        <v>45050.927083333336</v>
      </c>
      <c r="Z364">
        <v>0.11690027208270699</v>
      </c>
      <c r="AA364" s="6">
        <v>113.74097140000001</v>
      </c>
      <c r="AB364" s="2">
        <v>8422</v>
      </c>
      <c r="AC364" s="7">
        <f t="shared" si="111"/>
        <v>140.36666666666667</v>
      </c>
      <c r="AD364" s="7">
        <f t="shared" si="112"/>
        <v>16.408901524675972</v>
      </c>
      <c r="AE364" s="7">
        <f t="shared" si="113"/>
        <v>140.43361271379237</v>
      </c>
      <c r="AF364" s="7">
        <f t="shared" si="114"/>
        <v>1</v>
      </c>
      <c r="AG364" s="6">
        <f t="shared" si="115"/>
        <v>140.43361271379237</v>
      </c>
      <c r="AH364" s="2">
        <f t="shared" si="116"/>
        <v>1</v>
      </c>
      <c r="AI364" s="7">
        <f t="shared" si="117"/>
        <v>140.43361271379237</v>
      </c>
      <c r="AK364" s="78">
        <v>45033.479166666664</v>
      </c>
      <c r="AL364" s="5">
        <v>3.0597820105832799E-2</v>
      </c>
      <c r="AM364" s="5">
        <v>42.550901439999997</v>
      </c>
      <c r="AN364" s="2">
        <v>34066</v>
      </c>
      <c r="AO364" s="7">
        <f t="shared" si="122"/>
        <v>567.76666666666665</v>
      </c>
      <c r="AP364" s="5">
        <f t="shared" si="118"/>
        <v>17.372422328755</v>
      </c>
      <c r="AQ364" s="6">
        <f t="shared" si="119"/>
        <v>150.31877230812907</v>
      </c>
      <c r="AR364" s="2">
        <f t="shared" si="120"/>
        <v>0</v>
      </c>
      <c r="AS364" s="2">
        <f t="shared" si="121"/>
        <v>0</v>
      </c>
    </row>
    <row r="365" spans="13:45" x14ac:dyDescent="0.3">
      <c r="M365" s="78">
        <v>45036.489583333336</v>
      </c>
      <c r="N365" s="5">
        <v>5.0297692447962401E-2</v>
      </c>
      <c r="O365" s="5">
        <v>70.727821939999998</v>
      </c>
      <c r="P365" s="2">
        <v>18608</v>
      </c>
      <c r="Q365" s="7">
        <f t="shared" si="105"/>
        <v>310.13333333333333</v>
      </c>
      <c r="R365" s="6">
        <f t="shared" si="106"/>
        <v>15.598991017861406</v>
      </c>
      <c r="S365" s="6">
        <f t="shared" si="107"/>
        <v>142.59784182698968</v>
      </c>
      <c r="T365" s="2">
        <f t="shared" si="108"/>
        <v>1</v>
      </c>
      <c r="U365" s="6">
        <f t="shared" si="109"/>
        <v>142.59784182698968</v>
      </c>
      <c r="V365">
        <f>IF((R365-$AB$774)/($Z$773-$AB$774)&lt;0, 0, IF((R365-$AB$774)/($Z$773-$AB$774)&gt;1, 1, (R365-$AB$774)/($Z$773-$AB$774)))</f>
        <v>0.12917614832185018</v>
      </c>
      <c r="W365" s="6">
        <f t="shared" si="110"/>
        <v>18.420239966218951</v>
      </c>
      <c r="Y365" s="78">
        <v>45050.9375</v>
      </c>
      <c r="Z365">
        <v>0.119001115531968</v>
      </c>
      <c r="AA365" s="6">
        <v>114.1275401</v>
      </c>
      <c r="AB365" s="2">
        <v>8992</v>
      </c>
      <c r="AC365" s="7">
        <f t="shared" si="111"/>
        <v>149.86666666666667</v>
      </c>
      <c r="AD365" s="7">
        <f t="shared" si="112"/>
        <v>17.834300514390939</v>
      </c>
      <c r="AE365" s="7">
        <f t="shared" si="113"/>
        <v>142.59784182698968</v>
      </c>
      <c r="AF365" s="7">
        <f t="shared" si="114"/>
        <v>1</v>
      </c>
      <c r="AG365" s="6">
        <f t="shared" si="115"/>
        <v>142.59784182698968</v>
      </c>
      <c r="AH365" s="2">
        <f t="shared" si="116"/>
        <v>1</v>
      </c>
      <c r="AI365" s="7">
        <f t="shared" si="117"/>
        <v>142.59784182698968</v>
      </c>
      <c r="AK365" s="78">
        <v>45033.489583333336</v>
      </c>
      <c r="AL365" s="5">
        <v>3.0921047081593999E-2</v>
      </c>
      <c r="AM365" s="5">
        <v>46.186478979999997</v>
      </c>
      <c r="AN365" s="2">
        <v>33535</v>
      </c>
      <c r="AO365" s="7">
        <f t="shared" si="122"/>
        <v>558.91666666666663</v>
      </c>
      <c r="AP365" s="5">
        <f t="shared" si="118"/>
        <v>17.28228856468758</v>
      </c>
      <c r="AQ365" s="6">
        <f t="shared" si="119"/>
        <v>149.93634711268672</v>
      </c>
      <c r="AR365" s="2">
        <f t="shared" si="120"/>
        <v>1</v>
      </c>
      <c r="AS365" s="2">
        <f t="shared" si="121"/>
        <v>149.93634711268672</v>
      </c>
    </row>
    <row r="366" spans="13:45" x14ac:dyDescent="0.3">
      <c r="M366" s="78">
        <v>45036.5</v>
      </c>
      <c r="N366" s="5">
        <v>4.8318209363111597E-2</v>
      </c>
      <c r="O366" s="5">
        <v>73.423571839999994</v>
      </c>
      <c r="P366" s="2">
        <v>18918</v>
      </c>
      <c r="Q366" s="7">
        <f t="shared" si="105"/>
        <v>315.3</v>
      </c>
      <c r="R366" s="6">
        <f t="shared" si="106"/>
        <v>15.234731412189086</v>
      </c>
      <c r="S366" s="6">
        <f t="shared" si="107"/>
        <v>140.95737234322519</v>
      </c>
      <c r="T366" s="2">
        <f t="shared" si="108"/>
        <v>1</v>
      </c>
      <c r="U366" s="6">
        <f t="shared" si="109"/>
        <v>140.95737234322519</v>
      </c>
      <c r="V366">
        <f>IF((R366-$AB$774)/($Z$773-$AB$774)&lt;0, 0, IF((R366-$AB$774)/($Z$773-$AB$774)&gt;1, 1, (R366-$AB$774)/($Z$773-$AB$774)))</f>
        <v>6.24986240418271E-2</v>
      </c>
      <c r="W366" s="6">
        <f t="shared" si="110"/>
        <v>8.8096418200030673</v>
      </c>
      <c r="Y366" s="78">
        <v>45050.947916666664</v>
      </c>
      <c r="Z366">
        <v>0.110267334313972</v>
      </c>
      <c r="AA366" s="6">
        <v>107.0292163</v>
      </c>
      <c r="AB366" s="2">
        <v>9072</v>
      </c>
      <c r="AC366" s="7">
        <f t="shared" si="111"/>
        <v>151.19999999999999</v>
      </c>
      <c r="AD366" s="7">
        <f t="shared" si="112"/>
        <v>16.672420948272563</v>
      </c>
      <c r="AE366" s="7">
        <f t="shared" si="113"/>
        <v>140.95737234322519</v>
      </c>
      <c r="AF366" s="7">
        <f t="shared" si="114"/>
        <v>1</v>
      </c>
      <c r="AG366" s="6">
        <f t="shared" si="115"/>
        <v>140.95737234322519</v>
      </c>
      <c r="AH366" s="2">
        <f t="shared" si="116"/>
        <v>1</v>
      </c>
      <c r="AI366" s="7">
        <f t="shared" si="117"/>
        <v>140.95737234322519</v>
      </c>
      <c r="AK366" s="78">
        <v>45033.5</v>
      </c>
      <c r="AL366" s="5">
        <v>2.9896346468750602E-2</v>
      </c>
      <c r="AM366" s="5">
        <v>41.802294430000003</v>
      </c>
      <c r="AN366" s="2">
        <v>33464</v>
      </c>
      <c r="AO366" s="7">
        <f t="shared" si="122"/>
        <v>557.73333333333335</v>
      </c>
      <c r="AP366" s="5">
        <f t="shared" si="118"/>
        <v>16.674188970504503</v>
      </c>
      <c r="AQ366" s="6">
        <f t="shared" si="119"/>
        <v>147.32922069372083</v>
      </c>
      <c r="AR366" s="2">
        <f t="shared" si="120"/>
        <v>0</v>
      </c>
      <c r="AS366" s="2">
        <f t="shared" si="121"/>
        <v>0</v>
      </c>
    </row>
    <row r="367" spans="13:45" x14ac:dyDescent="0.3">
      <c r="M367" s="78">
        <v>45036.510416666664</v>
      </c>
      <c r="N367" s="5">
        <v>4.62051819874768E-2</v>
      </c>
      <c r="O367" s="5">
        <v>71.17580074</v>
      </c>
      <c r="P367" s="2">
        <v>19009</v>
      </c>
      <c r="Q367" s="7">
        <f t="shared" si="105"/>
        <v>316.81666666666666</v>
      </c>
      <c r="R367" s="6">
        <f t="shared" si="106"/>
        <v>14.638571739999108</v>
      </c>
      <c r="S367" s="6">
        <f t="shared" si="107"/>
        <v>138.22872708939911</v>
      </c>
      <c r="T367" s="2">
        <f t="shared" si="108"/>
        <v>1</v>
      </c>
      <c r="U367" s="6">
        <f t="shared" si="109"/>
        <v>138.22872708939911</v>
      </c>
      <c r="V367">
        <f>IF((R367-$AB$774)/($Z$773-$AB$774)&lt;0, 0, IF((R367-$AB$774)/($Z$773-$AB$774)&gt;1, 1, (R367-$AB$774)/($Z$773-$AB$774)))</f>
        <v>0</v>
      </c>
      <c r="W367" s="6">
        <f t="shared" si="110"/>
        <v>0</v>
      </c>
      <c r="Y367" s="78">
        <v>45050.958333333336</v>
      </c>
      <c r="Z367">
        <v>0.10786385924306099</v>
      </c>
      <c r="AA367" s="6">
        <v>112.9598134</v>
      </c>
      <c r="AB367" s="2">
        <v>8810</v>
      </c>
      <c r="AC367" s="7">
        <f t="shared" si="111"/>
        <v>146.83333333333334</v>
      </c>
      <c r="AD367" s="7">
        <f t="shared" si="112"/>
        <v>15.838009998856124</v>
      </c>
      <c r="AE367" s="7">
        <f t="shared" si="113"/>
        <v>138.22872708939911</v>
      </c>
      <c r="AF367" s="7">
        <f t="shared" si="114"/>
        <v>1</v>
      </c>
      <c r="AG367" s="6">
        <f t="shared" si="115"/>
        <v>138.22872708939911</v>
      </c>
      <c r="AH367" s="2">
        <f t="shared" si="116"/>
        <v>1</v>
      </c>
      <c r="AI367" s="7">
        <f t="shared" si="117"/>
        <v>138.22872708939911</v>
      </c>
      <c r="AK367" s="78">
        <v>45033.510416666664</v>
      </c>
      <c r="AL367" s="5">
        <v>3.45932507163259E-2</v>
      </c>
      <c r="AM367" s="5">
        <v>42.550901439999997</v>
      </c>
      <c r="AN367" s="2">
        <v>33502</v>
      </c>
      <c r="AO367" s="7">
        <f t="shared" si="122"/>
        <v>558.36666666666667</v>
      </c>
      <c r="AP367" s="5">
        <f t="shared" si="118"/>
        <v>19.315718091639173</v>
      </c>
      <c r="AQ367" s="6">
        <f t="shared" si="119"/>
        <v>158.3303384129776</v>
      </c>
      <c r="AR367" s="2">
        <f t="shared" si="120"/>
        <v>0</v>
      </c>
      <c r="AS367" s="2">
        <f t="shared" si="121"/>
        <v>0</v>
      </c>
    </row>
    <row r="368" spans="13:45" x14ac:dyDescent="0.3">
      <c r="M368" s="78">
        <v>45036.520833333336</v>
      </c>
      <c r="N368" s="5">
        <v>4.7447635413399102E-2</v>
      </c>
      <c r="O368" s="5">
        <v>74.764849499999997</v>
      </c>
      <c r="P368" s="2">
        <v>18817</v>
      </c>
      <c r="Q368" s="7">
        <f t="shared" si="105"/>
        <v>313.61666666666667</v>
      </c>
      <c r="R368" s="6">
        <f t="shared" si="106"/>
        <v>14.880369259565516</v>
      </c>
      <c r="S368" s="6">
        <f t="shared" si="107"/>
        <v>139.34215592270613</v>
      </c>
      <c r="T368" s="2">
        <f t="shared" si="108"/>
        <v>1</v>
      </c>
      <c r="U368" s="6">
        <f t="shared" si="109"/>
        <v>139.34215592270613</v>
      </c>
      <c r="V368">
        <f>IF((R368-$AB$774)/($Z$773-$AB$774)&lt;0, 0, IF((R368-$AB$774)/($Z$773-$AB$774)&gt;1, 1, (R368-$AB$774)/($Z$773-$AB$774)))</f>
        <v>0</v>
      </c>
      <c r="W368" s="6">
        <f t="shared" si="110"/>
        <v>0</v>
      </c>
      <c r="Y368" s="78">
        <v>45050.96875</v>
      </c>
      <c r="Z368">
        <v>0.111451585777278</v>
      </c>
      <c r="AA368" s="6">
        <v>110.9974619</v>
      </c>
      <c r="AB368" s="2">
        <v>9066</v>
      </c>
      <c r="AC368" s="7">
        <f t="shared" si="111"/>
        <v>151.1</v>
      </c>
      <c r="AD368" s="7">
        <f t="shared" si="112"/>
        <v>16.840334610946705</v>
      </c>
      <c r="AE368" s="7">
        <f t="shared" si="113"/>
        <v>139.34215592270613</v>
      </c>
      <c r="AF368" s="7">
        <f t="shared" si="114"/>
        <v>1</v>
      </c>
      <c r="AG368" s="6">
        <f t="shared" si="115"/>
        <v>139.34215592270613</v>
      </c>
      <c r="AH368" s="2">
        <f t="shared" si="116"/>
        <v>1</v>
      </c>
      <c r="AI368" s="7">
        <f t="shared" si="117"/>
        <v>139.34215592270613</v>
      </c>
      <c r="AK368" s="78">
        <v>45033.520833333336</v>
      </c>
      <c r="AL368" s="5">
        <v>3.4428990933111601E-2</v>
      </c>
      <c r="AM368" s="5">
        <v>47.592533240000002</v>
      </c>
      <c r="AN368" s="2">
        <v>32319</v>
      </c>
      <c r="AO368" s="7">
        <f t="shared" si="122"/>
        <v>538.65</v>
      </c>
      <c r="AP368" s="5">
        <f t="shared" si="118"/>
        <v>18.545175966120564</v>
      </c>
      <c r="AQ368" s="6">
        <f t="shared" si="119"/>
        <v>155.20520903481176</v>
      </c>
      <c r="AR368" s="2">
        <f t="shared" si="120"/>
        <v>1</v>
      </c>
      <c r="AS368" s="2">
        <f t="shared" si="121"/>
        <v>155.20520903481176</v>
      </c>
    </row>
    <row r="369" spans="13:45" x14ac:dyDescent="0.3">
      <c r="M369" s="78">
        <v>45036.53125</v>
      </c>
      <c r="N369" s="5">
        <v>4.9427030788558902E-2</v>
      </c>
      <c r="O369" s="5">
        <v>79.202259850000004</v>
      </c>
      <c r="P369" s="2">
        <v>18526</v>
      </c>
      <c r="Q369" s="7">
        <f t="shared" si="105"/>
        <v>308.76666666666665</v>
      </c>
      <c r="R369" s="6">
        <f t="shared" si="106"/>
        <v>15.261419539814037</v>
      </c>
      <c r="S369" s="6">
        <f t="shared" si="107"/>
        <v>141.07823919603624</v>
      </c>
      <c r="T369" s="2">
        <f t="shared" si="108"/>
        <v>1</v>
      </c>
      <c r="U369" s="6">
        <f t="shared" si="109"/>
        <v>141.07823919603624</v>
      </c>
      <c r="V369">
        <f>IF((R369-$AB$774)/($Z$773-$AB$774)&lt;0, 0, IF((R369-$AB$774)/($Z$773-$AB$774)&gt;1, 1, (R369-$AB$774)/($Z$773-$AB$774)))</f>
        <v>6.7383871403846704E-2</v>
      </c>
      <c r="W369" s="6">
        <f t="shared" si="110"/>
        <v>9.506397927866832</v>
      </c>
      <c r="Y369" s="78">
        <v>45050.979166666664</v>
      </c>
      <c r="Z369">
        <v>0.10723034436047001</v>
      </c>
      <c r="AA369" s="6">
        <v>107.8305381</v>
      </c>
      <c r="AB369" s="2">
        <v>8758</v>
      </c>
      <c r="AC369" s="7">
        <f t="shared" si="111"/>
        <v>145.96666666666667</v>
      </c>
      <c r="AD369" s="7">
        <f t="shared" si="112"/>
        <v>15.652055931816605</v>
      </c>
      <c r="AE369" s="7">
        <f t="shared" si="113"/>
        <v>141.07823919603624</v>
      </c>
      <c r="AF369" s="7">
        <f t="shared" si="114"/>
        <v>1</v>
      </c>
      <c r="AG369" s="6">
        <f t="shared" si="115"/>
        <v>141.07823919603624</v>
      </c>
      <c r="AH369" s="2">
        <f t="shared" si="116"/>
        <v>1</v>
      </c>
      <c r="AI369" s="7">
        <f t="shared" si="117"/>
        <v>141.07823919603624</v>
      </c>
      <c r="AK369" s="78">
        <v>45033.53125</v>
      </c>
      <c r="AL369" s="5">
        <v>3.2331326398139799E-2</v>
      </c>
      <c r="AM369" s="5">
        <v>39.574432420000001</v>
      </c>
      <c r="AN369" s="2">
        <v>31506</v>
      </c>
      <c r="AO369" s="7">
        <f t="shared" si="122"/>
        <v>525.1</v>
      </c>
      <c r="AP369" s="5">
        <f t="shared" si="118"/>
        <v>16.977179491663211</v>
      </c>
      <c r="AQ369" s="6">
        <f t="shared" si="119"/>
        <v>148.63419924955866</v>
      </c>
      <c r="AR369" s="2">
        <f t="shared" si="120"/>
        <v>0</v>
      </c>
      <c r="AS369" s="2">
        <f t="shared" si="121"/>
        <v>0</v>
      </c>
    </row>
    <row r="370" spans="13:45" x14ac:dyDescent="0.3">
      <c r="M370" s="78">
        <v>45036.541666666664</v>
      </c>
      <c r="N370" s="5">
        <v>4.3960117752002703E-2</v>
      </c>
      <c r="O370" s="5">
        <v>75.652056590000001</v>
      </c>
      <c r="P370" s="2">
        <v>19110</v>
      </c>
      <c r="Q370" s="7">
        <f t="shared" si="105"/>
        <v>318.5</v>
      </c>
      <c r="R370" s="6">
        <f t="shared" si="106"/>
        <v>14.001297504012861</v>
      </c>
      <c r="S370" s="6">
        <f t="shared" si="107"/>
        <v>135.24842029328153</v>
      </c>
      <c r="T370" s="2">
        <f t="shared" si="108"/>
        <v>1</v>
      </c>
      <c r="U370" s="6">
        <f t="shared" si="109"/>
        <v>135.24842029328153</v>
      </c>
      <c r="V370">
        <f>IF((R370-$AB$774)/($Z$773-$AB$774)&lt;0, 0, IF((R370-$AB$774)/($Z$773-$AB$774)&gt;1, 1, (R370-$AB$774)/($Z$773-$AB$774)))</f>
        <v>0</v>
      </c>
      <c r="W370" s="6">
        <f t="shared" si="110"/>
        <v>0</v>
      </c>
      <c r="Y370" s="78">
        <v>45050.989583333336</v>
      </c>
      <c r="Z370">
        <v>0.116193183925159</v>
      </c>
      <c r="AA370" s="6">
        <v>109.0251016</v>
      </c>
      <c r="AB370" s="2">
        <v>9068</v>
      </c>
      <c r="AC370" s="7">
        <f t="shared" si="111"/>
        <v>151.13333333333333</v>
      </c>
      <c r="AD370" s="7">
        <f t="shared" si="112"/>
        <v>17.560663197222361</v>
      </c>
      <c r="AE370" s="7">
        <f t="shared" si="113"/>
        <v>135.24842029328153</v>
      </c>
      <c r="AF370" s="7">
        <f t="shared" si="114"/>
        <v>1</v>
      </c>
      <c r="AG370" s="6">
        <f t="shared" si="115"/>
        <v>135.24842029328153</v>
      </c>
      <c r="AH370" s="2">
        <f t="shared" si="116"/>
        <v>1</v>
      </c>
      <c r="AI370" s="7">
        <f t="shared" si="117"/>
        <v>135.24842029328153</v>
      </c>
      <c r="AK370" s="78">
        <v>45033.541666666664</v>
      </c>
      <c r="AL370" s="5">
        <v>3.3408921661336098E-2</v>
      </c>
      <c r="AM370" s="5">
        <v>43.30328583</v>
      </c>
      <c r="AN370" s="2">
        <v>31273</v>
      </c>
      <c r="AO370" s="7">
        <f t="shared" si="122"/>
        <v>521.2166666666667</v>
      </c>
      <c r="AP370" s="5">
        <f t="shared" si="118"/>
        <v>17.413286785249397</v>
      </c>
      <c r="AQ370" s="6">
        <f t="shared" si="119"/>
        <v>150.49182097112845</v>
      </c>
      <c r="AR370" s="2">
        <f t="shared" si="120"/>
        <v>0</v>
      </c>
      <c r="AS370" s="2">
        <f t="shared" si="121"/>
        <v>0</v>
      </c>
    </row>
    <row r="371" spans="13:45" x14ac:dyDescent="0.3">
      <c r="M371" s="78">
        <v>45036.552083333336</v>
      </c>
      <c r="N371" s="5">
        <v>5.0176546788404199E-2</v>
      </c>
      <c r="O371" s="5">
        <v>77.875916610000004</v>
      </c>
      <c r="P371" s="2">
        <v>18346</v>
      </c>
      <c r="Q371" s="7">
        <f t="shared" si="105"/>
        <v>305.76666666666665</v>
      </c>
      <c r="R371" s="6">
        <f t="shared" si="106"/>
        <v>15.34231545633439</v>
      </c>
      <c r="S371" s="6">
        <f t="shared" si="107"/>
        <v>141.44394815537922</v>
      </c>
      <c r="T371" s="2">
        <f t="shared" si="108"/>
        <v>1</v>
      </c>
      <c r="U371" s="6">
        <f t="shared" si="109"/>
        <v>141.44394815537922</v>
      </c>
      <c r="V371">
        <f>IF((R371-$AB$774)/($Z$773-$AB$774)&lt;0, 0, IF((R371-$AB$774)/($Z$773-$AB$774)&gt;1, 1, (R371-$AB$774)/($Z$773-$AB$774)))</f>
        <v>8.2191825275055849E-2</v>
      </c>
      <c r="W371" s="6">
        <f t="shared" si="110"/>
        <v>11.625536273000987</v>
      </c>
      <c r="Y371" s="78">
        <v>45051</v>
      </c>
      <c r="Z371">
        <v>0.113456629756831</v>
      </c>
      <c r="AA371" s="6">
        <v>115.2898797</v>
      </c>
      <c r="AB371" s="2">
        <v>8851</v>
      </c>
      <c r="AC371" s="7">
        <f t="shared" si="111"/>
        <v>147.51666666666668</v>
      </c>
      <c r="AD371" s="7">
        <f t="shared" si="112"/>
        <v>16.736743832961857</v>
      </c>
      <c r="AE371" s="7">
        <f t="shared" si="113"/>
        <v>141.44394815537922</v>
      </c>
      <c r="AF371" s="7">
        <f t="shared" si="114"/>
        <v>1</v>
      </c>
      <c r="AG371" s="6">
        <f t="shared" si="115"/>
        <v>141.44394815537922</v>
      </c>
      <c r="AH371" s="2">
        <f t="shared" si="116"/>
        <v>1</v>
      </c>
      <c r="AI371" s="7">
        <f t="shared" si="117"/>
        <v>141.44394815537922</v>
      </c>
      <c r="AK371" s="78">
        <v>45033.552083333336</v>
      </c>
      <c r="AL371" s="5">
        <v>3.5202399620806998E-2</v>
      </c>
      <c r="AM371" s="5">
        <v>43.30328583</v>
      </c>
      <c r="AN371" s="2">
        <v>30496</v>
      </c>
      <c r="AO371" s="7">
        <f t="shared" si="122"/>
        <v>508.26666666666665</v>
      </c>
      <c r="AP371" s="5">
        <f t="shared" si="118"/>
        <v>17.892206313935503</v>
      </c>
      <c r="AQ371" s="6">
        <f t="shared" si="119"/>
        <v>152.50465608211272</v>
      </c>
      <c r="AR371" s="2">
        <f t="shared" si="120"/>
        <v>0</v>
      </c>
      <c r="AS371" s="2">
        <f t="shared" si="121"/>
        <v>0</v>
      </c>
    </row>
    <row r="372" spans="13:45" x14ac:dyDescent="0.3">
      <c r="M372" s="78">
        <v>45036.5625</v>
      </c>
      <c r="N372" s="5">
        <v>4.7551388393897401E-2</v>
      </c>
      <c r="O372" s="5">
        <v>72.077340390000003</v>
      </c>
      <c r="P372" s="2">
        <v>18870</v>
      </c>
      <c r="Q372" s="7">
        <f t="shared" si="105"/>
        <v>314.5</v>
      </c>
      <c r="R372" s="6">
        <f t="shared" si="106"/>
        <v>14.954911649880733</v>
      </c>
      <c r="S372" s="6">
        <f t="shared" si="107"/>
        <v>139.68354386720014</v>
      </c>
      <c r="T372" s="2">
        <f t="shared" si="108"/>
        <v>1</v>
      </c>
      <c r="U372" s="6">
        <f t="shared" si="109"/>
        <v>139.68354386720014</v>
      </c>
      <c r="V372">
        <f>IF((R372-$AB$774)/($Z$773-$AB$774)&lt;0, 0, IF((R372-$AB$774)/($Z$773-$AB$774)&gt;1, 1, (R372-$AB$774)/($Z$773-$AB$774)))</f>
        <v>1.1277767529591285E-2</v>
      </c>
      <c r="W372" s="6">
        <f t="shared" si="110"/>
        <v>1.5753185354437496</v>
      </c>
      <c r="Y372" s="78">
        <v>45051.010416666664</v>
      </c>
      <c r="Z372">
        <v>0.11829346858190699</v>
      </c>
      <c r="AA372" s="6">
        <v>104.61473460000001</v>
      </c>
      <c r="AB372" s="2">
        <v>8710</v>
      </c>
      <c r="AC372" s="7">
        <f t="shared" si="111"/>
        <v>145.16666666666666</v>
      </c>
      <c r="AD372" s="7">
        <f t="shared" si="112"/>
        <v>17.172268522473498</v>
      </c>
      <c r="AE372" s="7">
        <f t="shared" si="113"/>
        <v>139.68354386720014</v>
      </c>
      <c r="AF372" s="7">
        <f t="shared" si="114"/>
        <v>1</v>
      </c>
      <c r="AG372" s="6">
        <f t="shared" si="115"/>
        <v>139.68354386720014</v>
      </c>
      <c r="AH372" s="2">
        <f t="shared" si="116"/>
        <v>1</v>
      </c>
      <c r="AI372" s="7">
        <f t="shared" si="117"/>
        <v>139.68354386720014</v>
      </c>
      <c r="AK372" s="78">
        <v>45033.5625</v>
      </c>
      <c r="AL372" s="5">
        <v>3.7832314402887701E-2</v>
      </c>
      <c r="AM372" s="5">
        <v>47.592533240000002</v>
      </c>
      <c r="AN372" s="2">
        <v>30272</v>
      </c>
      <c r="AO372" s="7">
        <f t="shared" si="122"/>
        <v>504.53333333333336</v>
      </c>
      <c r="AP372" s="5">
        <f t="shared" si="118"/>
        <v>19.087663693403609</v>
      </c>
      <c r="AQ372" s="6">
        <f t="shared" si="119"/>
        <v>157.41214117351532</v>
      </c>
      <c r="AR372" s="2">
        <f t="shared" si="120"/>
        <v>1</v>
      </c>
      <c r="AS372" s="2">
        <f t="shared" si="121"/>
        <v>157.41214117351532</v>
      </c>
    </row>
    <row r="373" spans="13:45" x14ac:dyDescent="0.3">
      <c r="M373" s="78">
        <v>45036.572916666664</v>
      </c>
      <c r="N373" s="5">
        <v>4.9564422647441903E-2</v>
      </c>
      <c r="O373" s="5">
        <v>81.405228940000001</v>
      </c>
      <c r="P373" s="2">
        <v>18060</v>
      </c>
      <c r="Q373" s="7">
        <f t="shared" si="105"/>
        <v>301</v>
      </c>
      <c r="R373" s="6">
        <f t="shared" si="106"/>
        <v>14.918891216880013</v>
      </c>
      <c r="S373" s="6">
        <f t="shared" si="107"/>
        <v>139.51868680129462</v>
      </c>
      <c r="T373" s="2">
        <f t="shared" si="108"/>
        <v>1</v>
      </c>
      <c r="U373" s="6">
        <f t="shared" si="109"/>
        <v>139.51868680129462</v>
      </c>
      <c r="V373">
        <f>IF((R373-$AB$774)/($Z$773-$AB$774)&lt;0, 0, IF((R373-$AB$774)/($Z$773-$AB$774)&gt;1, 1, (R373-$AB$774)/($Z$773-$AB$774)))</f>
        <v>4.6842467038342864E-3</v>
      </c>
      <c r="W373" s="6">
        <f t="shared" si="110"/>
        <v>0.65353994877225252</v>
      </c>
      <c r="Y373" s="78">
        <v>45051.020833333336</v>
      </c>
      <c r="Z373">
        <v>0.10641322051245899</v>
      </c>
      <c r="AA373" s="6">
        <v>110.9974619</v>
      </c>
      <c r="AB373" s="2">
        <v>8878</v>
      </c>
      <c r="AC373" s="7">
        <f t="shared" si="111"/>
        <v>147.96666666666667</v>
      </c>
      <c r="AD373" s="7">
        <f t="shared" si="112"/>
        <v>15.745609528493516</v>
      </c>
      <c r="AE373" s="7">
        <f t="shared" si="113"/>
        <v>139.51868680129462</v>
      </c>
      <c r="AF373" s="7">
        <f t="shared" si="114"/>
        <v>1</v>
      </c>
      <c r="AG373" s="6">
        <f t="shared" si="115"/>
        <v>139.51868680129462</v>
      </c>
      <c r="AH373" s="2">
        <f t="shared" si="116"/>
        <v>1</v>
      </c>
      <c r="AI373" s="7">
        <f t="shared" si="117"/>
        <v>139.51868680129462</v>
      </c>
      <c r="AK373" s="78">
        <v>45033.572916666664</v>
      </c>
      <c r="AL373" s="5">
        <v>3.6995700694548897E-2</v>
      </c>
      <c r="AM373" s="5">
        <v>44.034259820000003</v>
      </c>
      <c r="AN373" s="2">
        <v>29565</v>
      </c>
      <c r="AO373" s="7">
        <f t="shared" si="122"/>
        <v>492.75</v>
      </c>
      <c r="AP373" s="5">
        <f t="shared" si="118"/>
        <v>18.229631517238968</v>
      </c>
      <c r="AQ373" s="6">
        <f t="shared" si="119"/>
        <v>153.90634532732835</v>
      </c>
      <c r="AR373" s="2">
        <f t="shared" si="120"/>
        <v>0</v>
      </c>
      <c r="AS373" s="2">
        <f t="shared" si="121"/>
        <v>0</v>
      </c>
    </row>
    <row r="374" spans="13:45" x14ac:dyDescent="0.3">
      <c r="M374" s="78">
        <v>45036.583333333336</v>
      </c>
      <c r="N374" s="5">
        <v>4.8604738538736703E-2</v>
      </c>
      <c r="O374" s="5">
        <v>79.202259850000004</v>
      </c>
      <c r="P374" s="2">
        <v>18318</v>
      </c>
      <c r="Q374" s="7">
        <f t="shared" si="105"/>
        <v>305.3</v>
      </c>
      <c r="R374" s="6">
        <f t="shared" si="106"/>
        <v>14.839026675876315</v>
      </c>
      <c r="S374" s="6">
        <f t="shared" si="107"/>
        <v>139.15243958826446</v>
      </c>
      <c r="T374" s="2">
        <f t="shared" si="108"/>
        <v>1</v>
      </c>
      <c r="U374" s="6">
        <f t="shared" si="109"/>
        <v>139.15243958826446</v>
      </c>
      <c r="V374">
        <f>IF((R374-$AB$774)/($Z$773-$AB$774)&lt;0, 0, IF((R374-$AB$774)/($Z$773-$AB$774)&gt;1, 1, (R374-$AB$774)/($Z$773-$AB$774)))</f>
        <v>0</v>
      </c>
      <c r="W374" s="6">
        <f t="shared" si="110"/>
        <v>0</v>
      </c>
      <c r="Y374" s="78">
        <v>45051.03125</v>
      </c>
      <c r="Z374">
        <v>0.11291028032163899</v>
      </c>
      <c r="AA374" s="6">
        <v>103.80204430000001</v>
      </c>
      <c r="AB374" s="2">
        <v>8946</v>
      </c>
      <c r="AC374" s="7">
        <f t="shared" si="111"/>
        <v>149.1</v>
      </c>
      <c r="AD374" s="7">
        <f t="shared" si="112"/>
        <v>16.834922795956373</v>
      </c>
      <c r="AE374" s="7">
        <f t="shared" si="113"/>
        <v>139.15243958826446</v>
      </c>
      <c r="AF374" s="7">
        <f t="shared" si="114"/>
        <v>1</v>
      </c>
      <c r="AG374" s="6">
        <f t="shared" si="115"/>
        <v>139.15243958826446</v>
      </c>
      <c r="AH374" s="2">
        <f t="shared" si="116"/>
        <v>1</v>
      </c>
      <c r="AI374" s="7">
        <f t="shared" si="117"/>
        <v>139.15243958826446</v>
      </c>
      <c r="AK374" s="78">
        <v>45033.583333333336</v>
      </c>
      <c r="AL374" s="5">
        <v>3.6129562830428799E-2</v>
      </c>
      <c r="AM374" s="5">
        <v>47.592533240000002</v>
      </c>
      <c r="AN374" s="2">
        <v>28671</v>
      </c>
      <c r="AO374" s="7">
        <f t="shared" si="122"/>
        <v>477.85</v>
      </c>
      <c r="AP374" s="5">
        <f t="shared" si="118"/>
        <v>17.264511598520404</v>
      </c>
      <c r="AQ374" s="6">
        <f t="shared" si="119"/>
        <v>149.86080181278493</v>
      </c>
      <c r="AR374" s="2">
        <f t="shared" si="120"/>
        <v>1</v>
      </c>
      <c r="AS374" s="2">
        <f t="shared" si="121"/>
        <v>149.86080181278493</v>
      </c>
    </row>
    <row r="375" spans="13:45" x14ac:dyDescent="0.3">
      <c r="M375" s="78">
        <v>45036.59375</v>
      </c>
      <c r="N375" s="5">
        <v>5.0675818489196299E-2</v>
      </c>
      <c r="O375" s="5">
        <v>74.764849499999997</v>
      </c>
      <c r="P375" s="2">
        <v>17962</v>
      </c>
      <c r="Q375" s="7">
        <f t="shared" si="105"/>
        <v>299.36666666666667</v>
      </c>
      <c r="R375" s="6">
        <f t="shared" si="106"/>
        <v>15.170650861715732</v>
      </c>
      <c r="S375" s="6">
        <f t="shared" si="107"/>
        <v>140.66671843881386</v>
      </c>
      <c r="T375" s="2">
        <f t="shared" si="108"/>
        <v>1</v>
      </c>
      <c r="U375" s="6">
        <f t="shared" si="109"/>
        <v>140.66671843881386</v>
      </c>
      <c r="V375">
        <f>IF((R375-$AB$774)/($Z$773-$AB$774)&lt;0, 0, IF((R375-$AB$774)/($Z$773-$AB$774)&gt;1, 1, (R375-$AB$774)/($Z$773-$AB$774)))</f>
        <v>5.0768713852696767E-2</v>
      </c>
      <c r="W375" s="6">
        <f t="shared" si="110"/>
        <v>7.141468377018005</v>
      </c>
      <c r="Y375" s="78">
        <v>45051.041666666664</v>
      </c>
      <c r="Z375">
        <v>0.131748584465089</v>
      </c>
      <c r="AA375" s="6">
        <v>109.0251016</v>
      </c>
      <c r="AB375" s="2">
        <v>8621</v>
      </c>
      <c r="AC375" s="7">
        <f t="shared" si="111"/>
        <v>143.68333333333334</v>
      </c>
      <c r="AD375" s="7">
        <f t="shared" si="112"/>
        <v>18.930075777892206</v>
      </c>
      <c r="AE375" s="7">
        <f t="shared" si="113"/>
        <v>140.66671843881386</v>
      </c>
      <c r="AF375" s="7">
        <f t="shared" si="114"/>
        <v>1</v>
      </c>
      <c r="AG375" s="6">
        <f t="shared" si="115"/>
        <v>140.66671843881386</v>
      </c>
      <c r="AH375" s="2">
        <f t="shared" si="116"/>
        <v>1</v>
      </c>
      <c r="AI375" s="7">
        <f t="shared" si="117"/>
        <v>140.66671843881386</v>
      </c>
      <c r="AK375" s="78">
        <v>45033.59375</v>
      </c>
      <c r="AL375" s="5">
        <v>4.3666640747130503E-2</v>
      </c>
      <c r="AM375" s="5">
        <v>51.0808441</v>
      </c>
      <c r="AN375" s="2">
        <v>27324</v>
      </c>
      <c r="AO375" s="7">
        <f t="shared" si="122"/>
        <v>455.4</v>
      </c>
      <c r="AP375" s="5">
        <f t="shared" si="118"/>
        <v>19.885788196243229</v>
      </c>
      <c r="AQ375" s="6">
        <f t="shared" si="119"/>
        <v>160.60165133758281</v>
      </c>
      <c r="AR375" s="2">
        <f t="shared" si="120"/>
        <v>1</v>
      </c>
      <c r="AS375" s="2">
        <f t="shared" si="121"/>
        <v>160.60165133758281</v>
      </c>
    </row>
    <row r="376" spans="13:45" x14ac:dyDescent="0.3">
      <c r="M376" s="78">
        <v>45036.604166666664</v>
      </c>
      <c r="N376" s="5">
        <v>4.9391299577994999E-2</v>
      </c>
      <c r="O376" s="5">
        <v>78.315517589999999</v>
      </c>
      <c r="P376" s="2">
        <v>17986</v>
      </c>
      <c r="Q376" s="7">
        <f t="shared" si="105"/>
        <v>299.76666666666665</v>
      </c>
      <c r="R376" s="6">
        <f t="shared" si="106"/>
        <v>14.8058652368303</v>
      </c>
      <c r="S376" s="6">
        <f t="shared" si="107"/>
        <v>139.00007055131766</v>
      </c>
      <c r="T376" s="2">
        <f t="shared" si="108"/>
        <v>1</v>
      </c>
      <c r="U376" s="6">
        <f t="shared" si="109"/>
        <v>139.00007055131766</v>
      </c>
      <c r="V376">
        <f>IF((R376-$AB$774)/($Z$773-$AB$774)&lt;0, 0, IF((R376-$AB$774)/($Z$773-$AB$774)&gt;1, 1, (R376-$AB$774)/($Z$773-$AB$774)))</f>
        <v>0</v>
      </c>
      <c r="W376" s="6">
        <f t="shared" si="110"/>
        <v>0</v>
      </c>
      <c r="Y376" s="78">
        <v>45051.052083333336</v>
      </c>
      <c r="Z376">
        <v>0.108092906985203</v>
      </c>
      <c r="AA376" s="6">
        <v>109.8129265</v>
      </c>
      <c r="AB376" s="2">
        <v>8454</v>
      </c>
      <c r="AC376" s="7">
        <f t="shared" si="111"/>
        <v>140.9</v>
      </c>
      <c r="AD376" s="7">
        <f t="shared" si="112"/>
        <v>15.230290594215104</v>
      </c>
      <c r="AE376" s="7">
        <f t="shared" si="113"/>
        <v>139.00007055131766</v>
      </c>
      <c r="AF376" s="7">
        <f t="shared" si="114"/>
        <v>1</v>
      </c>
      <c r="AG376" s="6">
        <f t="shared" si="115"/>
        <v>139.00007055131766</v>
      </c>
      <c r="AH376" s="2">
        <f t="shared" si="116"/>
        <v>1</v>
      </c>
      <c r="AI376" s="7">
        <f t="shared" si="117"/>
        <v>139.00007055131766</v>
      </c>
      <c r="AK376" s="78">
        <v>45033.604166666664</v>
      </c>
      <c r="AL376" s="5">
        <v>4.1210393473680301E-2</v>
      </c>
      <c r="AM376" s="5">
        <v>55.160894489999997</v>
      </c>
      <c r="AN376" s="2">
        <v>26268</v>
      </c>
      <c r="AO376" s="7">
        <f t="shared" si="122"/>
        <v>437.8</v>
      </c>
      <c r="AP376" s="5">
        <f t="shared" si="118"/>
        <v>18.041910262777236</v>
      </c>
      <c r="AQ376" s="6">
        <f t="shared" si="119"/>
        <v>153.12818746943321</v>
      </c>
      <c r="AR376" s="2">
        <f t="shared" si="120"/>
        <v>1</v>
      </c>
      <c r="AS376" s="2">
        <f t="shared" si="121"/>
        <v>153.12818746943321</v>
      </c>
    </row>
    <row r="377" spans="13:45" x14ac:dyDescent="0.3">
      <c r="M377" s="78">
        <v>45036.614583333336</v>
      </c>
      <c r="N377" s="5">
        <v>4.8458706801133497E-2</v>
      </c>
      <c r="O377" s="5">
        <v>72.077340390000003</v>
      </c>
      <c r="P377" s="2">
        <v>19002</v>
      </c>
      <c r="Q377" s="7">
        <f t="shared" si="105"/>
        <v>316.7</v>
      </c>
      <c r="R377" s="6">
        <f t="shared" si="106"/>
        <v>15.346872443918977</v>
      </c>
      <c r="S377" s="6">
        <f t="shared" si="107"/>
        <v>141.46451977580384</v>
      </c>
      <c r="T377" s="2">
        <f t="shared" si="108"/>
        <v>1</v>
      </c>
      <c r="U377" s="6">
        <f t="shared" si="109"/>
        <v>141.46451977580384</v>
      </c>
      <c r="V377">
        <f>IF((R377-$AB$774)/($Z$773-$AB$774)&lt;0, 0, IF((R377-$AB$774)/($Z$773-$AB$774)&gt;1, 1, (R377-$AB$774)/($Z$773-$AB$774)))</f>
        <v>8.3025979393666599E-2</v>
      </c>
      <c r="W377" s="6">
        <f t="shared" si="110"/>
        <v>11.745230303840831</v>
      </c>
      <c r="Y377" s="78">
        <v>45051.0625</v>
      </c>
      <c r="Z377">
        <v>0.11580751203197</v>
      </c>
      <c r="AA377" s="6">
        <v>111.0042136</v>
      </c>
      <c r="AB377" s="2">
        <v>8514</v>
      </c>
      <c r="AC377" s="7">
        <f t="shared" si="111"/>
        <v>141.9</v>
      </c>
      <c r="AD377" s="7">
        <f t="shared" si="112"/>
        <v>16.433085957336544</v>
      </c>
      <c r="AE377" s="7">
        <f t="shared" si="113"/>
        <v>141.46451977580384</v>
      </c>
      <c r="AF377" s="7">
        <f t="shared" si="114"/>
        <v>1</v>
      </c>
      <c r="AG377" s="6">
        <f t="shared" si="115"/>
        <v>141.46451977580384</v>
      </c>
      <c r="AH377" s="2">
        <f t="shared" si="116"/>
        <v>1</v>
      </c>
      <c r="AI377" s="7">
        <f t="shared" si="117"/>
        <v>141.46451977580384</v>
      </c>
      <c r="AK377" s="78">
        <v>45035.604166666664</v>
      </c>
      <c r="AL377" s="5">
        <v>5.4597196622760698E-2</v>
      </c>
      <c r="AM377" s="5">
        <v>79.63837719</v>
      </c>
      <c r="AN377" s="2">
        <v>16336</v>
      </c>
      <c r="AO377" s="7">
        <f t="shared" si="122"/>
        <v>272.26666666666665</v>
      </c>
      <c r="AP377" s="5">
        <f t="shared" si="118"/>
        <v>14.864996733823645</v>
      </c>
      <c r="AQ377" s="6">
        <f t="shared" si="119"/>
        <v>139.27164463111922</v>
      </c>
      <c r="AR377" s="2">
        <f t="shared" si="120"/>
        <v>1</v>
      </c>
      <c r="AS377" s="2">
        <f t="shared" si="121"/>
        <v>139.27164463111922</v>
      </c>
    </row>
    <row r="378" spans="13:45" x14ac:dyDescent="0.3">
      <c r="M378" s="78">
        <v>45036.625</v>
      </c>
      <c r="N378" s="5">
        <v>4.5005616461789903E-2</v>
      </c>
      <c r="O378" s="5">
        <v>80.086877509999994</v>
      </c>
      <c r="P378" s="2">
        <v>19033</v>
      </c>
      <c r="Q378" s="7">
        <f t="shared" si="105"/>
        <v>317.21666666666664</v>
      </c>
      <c r="R378" s="6">
        <f t="shared" si="106"/>
        <v>14.276531635287453</v>
      </c>
      <c r="S378" s="6">
        <f t="shared" si="107"/>
        <v>136.54390995031903</v>
      </c>
      <c r="T378" s="2">
        <f t="shared" si="108"/>
        <v>1</v>
      </c>
      <c r="U378" s="6">
        <f t="shared" si="109"/>
        <v>136.54390995031903</v>
      </c>
      <c r="V378">
        <f>IF((R378-$AB$774)/($Z$773-$AB$774)&lt;0, 0, IF((R378-$AB$774)/($Z$773-$AB$774)&gt;1, 1, (R378-$AB$774)/($Z$773-$AB$774)))</f>
        <v>0</v>
      </c>
      <c r="W378" s="6">
        <f t="shared" si="110"/>
        <v>0</v>
      </c>
      <c r="Y378" s="78">
        <v>45051.072916666664</v>
      </c>
      <c r="Z378">
        <v>0.124287631091968</v>
      </c>
      <c r="AA378" s="6">
        <v>112.9598134</v>
      </c>
      <c r="AB378" s="2">
        <v>8760</v>
      </c>
      <c r="AC378" s="7">
        <f t="shared" si="111"/>
        <v>146</v>
      </c>
      <c r="AD378" s="7">
        <f t="shared" si="112"/>
        <v>18.145994139427327</v>
      </c>
      <c r="AE378" s="7">
        <f t="shared" si="113"/>
        <v>136.54390995031903</v>
      </c>
      <c r="AF378" s="7">
        <f t="shared" si="114"/>
        <v>1</v>
      </c>
      <c r="AG378" s="6">
        <f t="shared" si="115"/>
        <v>136.54390995031903</v>
      </c>
      <c r="AH378" s="2">
        <f t="shared" si="116"/>
        <v>1</v>
      </c>
      <c r="AI378" s="7">
        <f t="shared" si="117"/>
        <v>136.54390995031903</v>
      </c>
      <c r="AK378" s="78">
        <v>45035.625</v>
      </c>
      <c r="AL378" s="5">
        <v>5.3717210529632201E-2</v>
      </c>
      <c r="AM378" s="5">
        <v>77.485665560000001</v>
      </c>
      <c r="AN378" s="2">
        <v>16703</v>
      </c>
      <c r="AO378" s="7">
        <f t="shared" si="122"/>
        <v>278.38333333333333</v>
      </c>
      <c r="AP378" s="5">
        <f t="shared" si="118"/>
        <v>14.953976124607443</v>
      </c>
      <c r="AQ378" s="6">
        <f t="shared" si="119"/>
        <v>139.6792647522438</v>
      </c>
      <c r="AR378" s="2">
        <f t="shared" si="120"/>
        <v>1</v>
      </c>
      <c r="AS378" s="2">
        <f t="shared" si="121"/>
        <v>139.6792647522438</v>
      </c>
    </row>
    <row r="379" spans="13:45" x14ac:dyDescent="0.3">
      <c r="M379" s="78">
        <v>45036.635416666664</v>
      </c>
      <c r="N379" s="5">
        <v>4.5790745464319299E-2</v>
      </c>
      <c r="O379" s="5">
        <v>75.208694050000005</v>
      </c>
      <c r="P379" s="2">
        <v>19195</v>
      </c>
      <c r="Q379" s="7">
        <f t="shared" si="105"/>
        <v>319.91666666666669</v>
      </c>
      <c r="R379" s="6">
        <f t="shared" si="106"/>
        <v>14.649222653126817</v>
      </c>
      <c r="S379" s="6">
        <f t="shared" si="107"/>
        <v>138.27796911925634</v>
      </c>
      <c r="T379" s="2">
        <f t="shared" si="108"/>
        <v>1</v>
      </c>
      <c r="U379" s="6">
        <f t="shared" si="109"/>
        <v>138.27796911925634</v>
      </c>
      <c r="V379">
        <f>IF((R379-$AB$774)/($Z$773-$AB$774)&lt;0, 0, IF((R379-$AB$774)/($Z$773-$AB$774)&gt;1, 1, (R379-$AB$774)/($Z$773-$AB$774)))</f>
        <v>0</v>
      </c>
      <c r="W379" s="6">
        <f t="shared" si="110"/>
        <v>0</v>
      </c>
      <c r="Y379" s="78">
        <v>45051.083333333336</v>
      </c>
      <c r="Z379">
        <v>0.121975523708596</v>
      </c>
      <c r="AA379" s="6">
        <v>109.0251016</v>
      </c>
      <c r="AB379" s="2">
        <v>8679</v>
      </c>
      <c r="AC379" s="7">
        <f t="shared" si="111"/>
        <v>144.65</v>
      </c>
      <c r="AD379" s="7">
        <f t="shared" si="112"/>
        <v>17.643759504448411</v>
      </c>
      <c r="AE379" s="7">
        <f t="shared" si="113"/>
        <v>138.27796911925634</v>
      </c>
      <c r="AF379" s="7">
        <f t="shared" si="114"/>
        <v>1</v>
      </c>
      <c r="AG379" s="6">
        <f t="shared" si="115"/>
        <v>138.27796911925634</v>
      </c>
      <c r="AH379" s="2">
        <f t="shared" si="116"/>
        <v>1</v>
      </c>
      <c r="AI379" s="7">
        <f t="shared" si="117"/>
        <v>138.27796911925634</v>
      </c>
      <c r="AK379" s="78">
        <v>45035.635416666664</v>
      </c>
      <c r="AL379" s="5">
        <v>5.43258198628533E-2</v>
      </c>
      <c r="AM379" s="5">
        <v>77.485665560000001</v>
      </c>
      <c r="AN379" s="2">
        <v>17058</v>
      </c>
      <c r="AO379" s="7">
        <f t="shared" si="122"/>
        <v>284.3</v>
      </c>
      <c r="AP379" s="5">
        <f t="shared" si="118"/>
        <v>15.444830587009195</v>
      </c>
      <c r="AQ379" s="6">
        <f t="shared" si="119"/>
        <v>141.90598112888699</v>
      </c>
      <c r="AR379" s="2">
        <f t="shared" si="120"/>
        <v>1</v>
      </c>
      <c r="AS379" s="2">
        <f t="shared" si="121"/>
        <v>141.90598112888699</v>
      </c>
    </row>
    <row r="380" spans="13:45" x14ac:dyDescent="0.3">
      <c r="M380" s="78">
        <v>45036.645833333336</v>
      </c>
      <c r="N380" s="5">
        <v>4.4469164623355401E-2</v>
      </c>
      <c r="O380" s="5">
        <v>77.875916610000004</v>
      </c>
      <c r="P380" s="2">
        <v>19416</v>
      </c>
      <c r="Q380" s="7">
        <f t="shared" si="105"/>
        <v>323.60000000000002</v>
      </c>
      <c r="R380" s="6">
        <f t="shared" si="106"/>
        <v>14.390221672117809</v>
      </c>
      <c r="S380" s="6">
        <f t="shared" si="107"/>
        <v>137.07531091062725</v>
      </c>
      <c r="T380" s="2">
        <f t="shared" si="108"/>
        <v>1</v>
      </c>
      <c r="U380" s="6">
        <f t="shared" si="109"/>
        <v>137.07531091062725</v>
      </c>
      <c r="V380">
        <f>IF((R380-$AB$774)/($Z$773-$AB$774)&lt;0, 0, IF((R380-$AB$774)/($Z$773-$AB$774)&gt;1, 1, (R380-$AB$774)/($Z$773-$AB$774)))</f>
        <v>0</v>
      </c>
      <c r="W380" s="6">
        <f t="shared" si="110"/>
        <v>0</v>
      </c>
      <c r="Y380" s="78">
        <v>45051.09375</v>
      </c>
      <c r="Z380">
        <v>0.118692319621386</v>
      </c>
      <c r="AA380" s="6">
        <v>107.8305381</v>
      </c>
      <c r="AB380" s="2">
        <v>8556</v>
      </c>
      <c r="AC380" s="7">
        <f t="shared" si="111"/>
        <v>142.6</v>
      </c>
      <c r="AD380" s="7">
        <f t="shared" si="112"/>
        <v>16.925524778009642</v>
      </c>
      <c r="AE380" s="7">
        <f t="shared" si="113"/>
        <v>137.07531091062725</v>
      </c>
      <c r="AF380" s="7">
        <f t="shared" si="114"/>
        <v>1</v>
      </c>
      <c r="AG380" s="6">
        <f t="shared" si="115"/>
        <v>137.07531091062725</v>
      </c>
      <c r="AH380" s="2">
        <f t="shared" si="116"/>
        <v>1</v>
      </c>
      <c r="AI380" s="7">
        <f t="shared" si="117"/>
        <v>137.07531091062725</v>
      </c>
      <c r="AK380" s="78">
        <v>45035.645833333336</v>
      </c>
      <c r="AL380" s="5">
        <v>5.2933757533310297E-2</v>
      </c>
      <c r="AM380" s="5">
        <v>78.205266870000003</v>
      </c>
      <c r="AN380" s="2">
        <v>17421</v>
      </c>
      <c r="AO380" s="7">
        <f t="shared" si="122"/>
        <v>290.35000000000002</v>
      </c>
      <c r="AP380" s="5">
        <f t="shared" si="118"/>
        <v>15.369316499796646</v>
      </c>
      <c r="AQ380" s="6">
        <f t="shared" si="119"/>
        <v>141.56579358045613</v>
      </c>
      <c r="AR380" s="2">
        <f t="shared" si="120"/>
        <v>1</v>
      </c>
      <c r="AS380" s="2">
        <f t="shared" si="121"/>
        <v>141.56579358045613</v>
      </c>
    </row>
    <row r="381" spans="13:45" x14ac:dyDescent="0.3">
      <c r="M381" s="78">
        <v>45036.65625</v>
      </c>
      <c r="N381" s="5">
        <v>4.6959276155866897E-2</v>
      </c>
      <c r="O381" s="5">
        <v>78.755362430000005</v>
      </c>
      <c r="P381" s="2">
        <v>18523</v>
      </c>
      <c r="Q381" s="7">
        <f t="shared" si="105"/>
        <v>308.71666666666664</v>
      </c>
      <c r="R381" s="6">
        <f t="shared" si="106"/>
        <v>14.497111203918708</v>
      </c>
      <c r="S381" s="6">
        <f t="shared" si="107"/>
        <v>137.5729749180777</v>
      </c>
      <c r="T381" s="2">
        <f t="shared" si="108"/>
        <v>1</v>
      </c>
      <c r="U381" s="6">
        <f t="shared" si="109"/>
        <v>137.5729749180777</v>
      </c>
      <c r="V381">
        <f>IF((R381-$AB$774)/($Z$773-$AB$774)&lt;0, 0, IF((R381-$AB$774)/($Z$773-$AB$774)&gt;1, 1, (R381-$AB$774)/($Z$773-$AB$774)))</f>
        <v>0</v>
      </c>
      <c r="W381" s="6">
        <f t="shared" si="110"/>
        <v>0</v>
      </c>
      <c r="Y381" s="78">
        <v>45051.104166666664</v>
      </c>
      <c r="Z381">
        <v>0.13432182076298799</v>
      </c>
      <c r="AA381" s="6">
        <v>122.1341827</v>
      </c>
      <c r="AB381" s="2">
        <v>8393</v>
      </c>
      <c r="AC381" s="7">
        <f t="shared" si="111"/>
        <v>139.88333333333333</v>
      </c>
      <c r="AD381" s="7">
        <f t="shared" si="112"/>
        <v>18.789384027729302</v>
      </c>
      <c r="AE381" s="7">
        <f t="shared" si="113"/>
        <v>137.5729749180777</v>
      </c>
      <c r="AF381" s="7">
        <f t="shared" si="114"/>
        <v>1</v>
      </c>
      <c r="AG381" s="6">
        <f t="shared" si="115"/>
        <v>137.5729749180777</v>
      </c>
      <c r="AH381" s="2">
        <f t="shared" si="116"/>
        <v>1</v>
      </c>
      <c r="AI381" s="7">
        <f t="shared" si="117"/>
        <v>137.5729749180777</v>
      </c>
      <c r="AK381" s="78">
        <v>45035.65625</v>
      </c>
      <c r="AL381" s="5">
        <v>6.0773057364586498E-2</v>
      </c>
      <c r="AM381" s="5">
        <v>83.455571449999994</v>
      </c>
      <c r="AN381" s="2">
        <v>15691</v>
      </c>
      <c r="AO381" s="7">
        <f t="shared" si="122"/>
        <v>261.51666666666665</v>
      </c>
      <c r="AP381" s="5">
        <f t="shared" si="118"/>
        <v>15.893167385128779</v>
      </c>
      <c r="AQ381" s="6">
        <f t="shared" si="119"/>
        <v>143.90846925832912</v>
      </c>
      <c r="AR381" s="2">
        <f t="shared" si="120"/>
        <v>1</v>
      </c>
      <c r="AS381" s="2">
        <f t="shared" si="121"/>
        <v>143.90846925832912</v>
      </c>
    </row>
    <row r="382" spans="13:45" x14ac:dyDescent="0.3">
      <c r="M382" s="78">
        <v>45036.666666666664</v>
      </c>
      <c r="N382" s="5">
        <v>4.4428740727803201E-2</v>
      </c>
      <c r="O382" s="5">
        <v>75.659696060000002</v>
      </c>
      <c r="P382" s="2">
        <v>19627</v>
      </c>
      <c r="Q382" s="7">
        <f t="shared" si="105"/>
        <v>327.11666666666667</v>
      </c>
      <c r="R382" s="6">
        <f t="shared" si="106"/>
        <v>14.533381571076557</v>
      </c>
      <c r="S382" s="6">
        <f t="shared" si="107"/>
        <v>137.74141938048356</v>
      </c>
      <c r="T382" s="2">
        <f t="shared" si="108"/>
        <v>1</v>
      </c>
      <c r="U382" s="6">
        <f t="shared" si="109"/>
        <v>137.74141938048356</v>
      </c>
      <c r="V382">
        <f>IF((R382-$AB$774)/($Z$773-$AB$774)&lt;0, 0, IF((R382-$AB$774)/($Z$773-$AB$774)&gt;1, 1, (R382-$AB$774)/($Z$773-$AB$774)))</f>
        <v>0</v>
      </c>
      <c r="W382" s="6">
        <f t="shared" si="110"/>
        <v>0</v>
      </c>
      <c r="Y382" s="78">
        <v>45051.114583333336</v>
      </c>
      <c r="Z382">
        <v>0.113916550031627</v>
      </c>
      <c r="AA382" s="6">
        <v>105.42475589999999</v>
      </c>
      <c r="AB382" s="2">
        <v>8776</v>
      </c>
      <c r="AC382" s="7">
        <f t="shared" si="111"/>
        <v>146.26666666666668</v>
      </c>
      <c r="AD382" s="7">
        <f t="shared" si="112"/>
        <v>16.662194051292644</v>
      </c>
      <c r="AE382" s="7">
        <f t="shared" si="113"/>
        <v>137.74141938048356</v>
      </c>
      <c r="AF382" s="7">
        <f t="shared" si="114"/>
        <v>1</v>
      </c>
      <c r="AG382" s="6">
        <f t="shared" si="115"/>
        <v>137.74141938048356</v>
      </c>
      <c r="AH382" s="2">
        <f t="shared" si="116"/>
        <v>1</v>
      </c>
      <c r="AI382" s="7">
        <f t="shared" si="117"/>
        <v>137.74141938048356</v>
      </c>
      <c r="AK382" s="78">
        <v>45035.666666666664</v>
      </c>
      <c r="AL382" s="5">
        <v>8.8047310384380906E-2</v>
      </c>
      <c r="AM382" s="5">
        <v>92.617989059999999</v>
      </c>
      <c r="AN382" s="2">
        <v>15291</v>
      </c>
      <c r="AO382" s="7">
        <f t="shared" si="122"/>
        <v>254.85</v>
      </c>
      <c r="AP382" s="5">
        <f t="shared" si="118"/>
        <v>22.438857051459472</v>
      </c>
      <c r="AQ382" s="6">
        <f t="shared" si="119"/>
        <v>170.3878610552573</v>
      </c>
      <c r="AR382" s="2">
        <f t="shared" si="120"/>
        <v>1</v>
      </c>
      <c r="AS382" s="2">
        <f t="shared" si="121"/>
        <v>170.3878610552573</v>
      </c>
    </row>
    <row r="383" spans="13:45" x14ac:dyDescent="0.3">
      <c r="M383" s="78">
        <v>45036.677083333336</v>
      </c>
      <c r="N383" s="5">
        <v>4.9361642328655198E-2</v>
      </c>
      <c r="O383" s="5">
        <v>79.202259850000004</v>
      </c>
      <c r="P383" s="2">
        <v>18990</v>
      </c>
      <c r="Q383" s="7">
        <f t="shared" si="105"/>
        <v>316.5</v>
      </c>
      <c r="R383" s="6">
        <f t="shared" si="106"/>
        <v>15.622959797019369</v>
      </c>
      <c r="S383" s="6">
        <f t="shared" si="107"/>
        <v>142.70509799936463</v>
      </c>
      <c r="T383" s="2">
        <f t="shared" si="108"/>
        <v>1</v>
      </c>
      <c r="U383" s="6">
        <f t="shared" si="109"/>
        <v>142.70509799936463</v>
      </c>
      <c r="V383">
        <f>IF((R383-$AB$774)/($Z$773-$AB$774)&lt;0, 0, IF((R383-$AB$774)/($Z$773-$AB$774)&gt;1, 1, (R383-$AB$774)/($Z$773-$AB$774)))</f>
        <v>0.13356362041422726</v>
      </c>
      <c r="W383" s="6">
        <f t="shared" si="110"/>
        <v>19.060209540362237</v>
      </c>
      <c r="Y383" s="78">
        <v>45051.125</v>
      </c>
      <c r="Z383">
        <v>0.116822238011888</v>
      </c>
      <c r="AA383" s="6">
        <v>109.8197124</v>
      </c>
      <c r="AB383" s="2">
        <v>8408</v>
      </c>
      <c r="AC383" s="7">
        <f t="shared" si="111"/>
        <v>140.13333333333333</v>
      </c>
      <c r="AD383" s="7">
        <f t="shared" si="112"/>
        <v>16.370689620065903</v>
      </c>
      <c r="AE383" s="7">
        <f t="shared" si="113"/>
        <v>142.70509799936463</v>
      </c>
      <c r="AF383" s="7">
        <f t="shared" si="114"/>
        <v>1</v>
      </c>
      <c r="AG383" s="6">
        <f t="shared" si="115"/>
        <v>142.70509799936463</v>
      </c>
      <c r="AH383" s="2">
        <f t="shared" si="116"/>
        <v>1</v>
      </c>
      <c r="AI383" s="7">
        <f t="shared" si="117"/>
        <v>142.70509799936463</v>
      </c>
      <c r="AK383" s="78">
        <v>45035.677083333336</v>
      </c>
      <c r="AL383" s="5">
        <v>5.8478578147281503E-2</v>
      </c>
      <c r="AM383" s="5">
        <v>90.492164919999993</v>
      </c>
      <c r="AN383" s="2">
        <v>15477</v>
      </c>
      <c r="AO383" s="7">
        <f t="shared" si="122"/>
        <v>257.95</v>
      </c>
      <c r="AP383" s="5">
        <f t="shared" si="118"/>
        <v>15.084549233091263</v>
      </c>
      <c r="AQ383" s="6">
        <f t="shared" si="119"/>
        <v>140.27519400832807</v>
      </c>
      <c r="AR383" s="2">
        <f t="shared" si="120"/>
        <v>1</v>
      </c>
      <c r="AS383" s="2">
        <f t="shared" si="121"/>
        <v>140.27519400832807</v>
      </c>
    </row>
    <row r="384" spans="13:45" x14ac:dyDescent="0.3">
      <c r="M384" s="78">
        <v>45036.6875</v>
      </c>
      <c r="N384" s="5">
        <v>4.9034211534183803E-2</v>
      </c>
      <c r="O384" s="5">
        <v>70.720093730000002</v>
      </c>
      <c r="P384" s="2">
        <v>19181</v>
      </c>
      <c r="Q384" s="7">
        <f t="shared" si="105"/>
        <v>319.68333333333334</v>
      </c>
      <c r="R384" s="6">
        <f t="shared" si="106"/>
        <v>15.67542019061966</v>
      </c>
      <c r="S384" s="6">
        <f t="shared" si="107"/>
        <v>142.93955661712943</v>
      </c>
      <c r="T384" s="2">
        <f t="shared" si="108"/>
        <v>1</v>
      </c>
      <c r="U384" s="6">
        <f t="shared" si="109"/>
        <v>142.93955661712943</v>
      </c>
      <c r="V384">
        <f>IF((R384-$AB$774)/($Z$773-$AB$774)&lt;0, 0, IF((R384-$AB$774)/($Z$773-$AB$774)&gt;1, 1, (R384-$AB$774)/($Z$773-$AB$774)))</f>
        <v>0.14316646715746337</v>
      </c>
      <c r="W384" s="6">
        <f t="shared" si="110"/>
        <v>20.464151337928637</v>
      </c>
      <c r="Y384" s="78">
        <v>45051.135416666664</v>
      </c>
      <c r="Z384">
        <v>0.123595767269454</v>
      </c>
      <c r="AA384" s="6">
        <v>99.304680700000006</v>
      </c>
      <c r="AB384" s="2">
        <v>8715</v>
      </c>
      <c r="AC384" s="7">
        <f t="shared" si="111"/>
        <v>145.25</v>
      </c>
      <c r="AD384" s="7">
        <f t="shared" si="112"/>
        <v>17.952285195888194</v>
      </c>
      <c r="AE384" s="7">
        <f t="shared" si="113"/>
        <v>142.93955661712943</v>
      </c>
      <c r="AF384" s="7">
        <f t="shared" si="114"/>
        <v>1</v>
      </c>
      <c r="AG384" s="6">
        <f t="shared" si="115"/>
        <v>142.93955661712943</v>
      </c>
      <c r="AH384" s="2">
        <f t="shared" si="116"/>
        <v>1</v>
      </c>
      <c r="AI384" s="7">
        <f t="shared" si="117"/>
        <v>142.93955661712943</v>
      </c>
      <c r="AK384" s="78">
        <v>45035.6875</v>
      </c>
      <c r="AL384" s="5">
        <v>5.8962257152899197E-2</v>
      </c>
      <c r="AM384" s="5">
        <v>94.720978599999995</v>
      </c>
      <c r="AN384" s="2">
        <v>15239</v>
      </c>
      <c r="AO384" s="7">
        <f t="shared" si="122"/>
        <v>253.98333333333332</v>
      </c>
      <c r="AP384" s="5">
        <f t="shared" si="118"/>
        <v>14.975430612550515</v>
      </c>
      <c r="AQ384" s="6">
        <f t="shared" si="119"/>
        <v>139.77736376146521</v>
      </c>
      <c r="AR384" s="2">
        <f t="shared" si="120"/>
        <v>1</v>
      </c>
      <c r="AS384" s="2">
        <f t="shared" si="121"/>
        <v>139.77736376146521</v>
      </c>
    </row>
    <row r="385" spans="13:45" x14ac:dyDescent="0.3">
      <c r="M385" s="78">
        <v>45036.697916666664</v>
      </c>
      <c r="N385" s="5">
        <v>4.5640216124850801E-2</v>
      </c>
      <c r="O385" s="5">
        <v>85.762083380000007</v>
      </c>
      <c r="P385" s="2">
        <v>18961</v>
      </c>
      <c r="Q385" s="7">
        <f t="shared" si="105"/>
        <v>316.01666666666665</v>
      </c>
      <c r="R385" s="6">
        <f t="shared" si="106"/>
        <v>14.423068965721599</v>
      </c>
      <c r="S385" s="6">
        <f t="shared" si="107"/>
        <v>137.22844388989301</v>
      </c>
      <c r="T385" s="2">
        <f t="shared" si="108"/>
        <v>1</v>
      </c>
      <c r="U385" s="6">
        <f t="shared" si="109"/>
        <v>137.22844388989301</v>
      </c>
      <c r="V385">
        <f>IF((R385-$AB$774)/($Z$773-$AB$774)&lt;0, 0, IF((R385-$AB$774)/($Z$773-$AB$774)&gt;1, 1, (R385-$AB$774)/($Z$773-$AB$774)))</f>
        <v>0</v>
      </c>
      <c r="W385" s="6">
        <f t="shared" si="110"/>
        <v>0</v>
      </c>
      <c r="Y385" s="78">
        <v>45051.145833333336</v>
      </c>
      <c r="Z385">
        <v>0.116562152392525</v>
      </c>
      <c r="AA385" s="6">
        <v>98.474887140000007</v>
      </c>
      <c r="AB385" s="2">
        <v>8488</v>
      </c>
      <c r="AC385" s="7">
        <f t="shared" si="111"/>
        <v>141.46666666666667</v>
      </c>
      <c r="AD385" s="7">
        <f t="shared" si="112"/>
        <v>16.489659158462537</v>
      </c>
      <c r="AE385" s="7">
        <f t="shared" si="113"/>
        <v>137.22844388989301</v>
      </c>
      <c r="AF385" s="7">
        <f t="shared" si="114"/>
        <v>1</v>
      </c>
      <c r="AG385" s="6">
        <f t="shared" si="115"/>
        <v>137.22844388989301</v>
      </c>
      <c r="AH385" s="2">
        <f t="shared" si="116"/>
        <v>1</v>
      </c>
      <c r="AI385" s="7">
        <f t="shared" si="117"/>
        <v>137.22844388989301</v>
      </c>
      <c r="AK385" s="78">
        <v>45035.697916666664</v>
      </c>
      <c r="AL385" s="5">
        <v>6.16723662165043E-2</v>
      </c>
      <c r="AM385" s="5">
        <v>91.345373739999999</v>
      </c>
      <c r="AN385" s="2">
        <v>15014</v>
      </c>
      <c r="AO385" s="7">
        <f t="shared" si="122"/>
        <v>250.23333333333332</v>
      </c>
      <c r="AP385" s="5">
        <f t="shared" si="118"/>
        <v>15.432481772909926</v>
      </c>
      <c r="AQ385" s="6">
        <f t="shared" si="119"/>
        <v>141.85040842436953</v>
      </c>
      <c r="AR385" s="2">
        <f t="shared" si="120"/>
        <v>1</v>
      </c>
      <c r="AS385" s="2">
        <f t="shared" si="121"/>
        <v>141.85040842436953</v>
      </c>
    </row>
    <row r="386" spans="13:45" x14ac:dyDescent="0.3">
      <c r="M386" s="78">
        <v>45036.708333333336</v>
      </c>
      <c r="N386" s="5">
        <v>4.8125436486928998E-2</v>
      </c>
      <c r="O386" s="5">
        <v>75.652056590000001</v>
      </c>
      <c r="P386" s="2">
        <v>19292</v>
      </c>
      <c r="Q386" s="7">
        <f t="shared" si="105"/>
        <v>321.53333333333336</v>
      </c>
      <c r="R386" s="6">
        <f t="shared" si="106"/>
        <v>15.473932011763905</v>
      </c>
      <c r="S386" s="6">
        <f t="shared" si="107"/>
        <v>142.0368550952625</v>
      </c>
      <c r="T386" s="2">
        <f t="shared" si="108"/>
        <v>1</v>
      </c>
      <c r="U386" s="6">
        <f t="shared" si="109"/>
        <v>142.0368550952625</v>
      </c>
      <c r="V386">
        <f>IF((R386-$AB$774)/($Z$773-$AB$774)&lt;0, 0, IF((R386-$AB$774)/($Z$773-$AB$774)&gt;1, 1, (R386-$AB$774)/($Z$773-$AB$774)))</f>
        <v>0.10628416473198446</v>
      </c>
      <c r="W386" s="6">
        <f t="shared" si="110"/>
        <v>15.096268504957886</v>
      </c>
      <c r="Y386" s="78">
        <v>45051.15625</v>
      </c>
      <c r="Z386">
        <v>0.118648482483579</v>
      </c>
      <c r="AA386" s="6">
        <v>109.0251016</v>
      </c>
      <c r="AB386" s="2">
        <v>8623</v>
      </c>
      <c r="AC386" s="7">
        <f t="shared" si="111"/>
        <v>143.71666666666667</v>
      </c>
      <c r="AD386" s="7">
        <f t="shared" si="112"/>
        <v>17.051764407598363</v>
      </c>
      <c r="AE386" s="7">
        <f t="shared" si="113"/>
        <v>142.0368550952625</v>
      </c>
      <c r="AF386" s="7">
        <f t="shared" si="114"/>
        <v>1</v>
      </c>
      <c r="AG386" s="6">
        <f t="shared" si="115"/>
        <v>142.0368550952625</v>
      </c>
      <c r="AH386" s="2">
        <f t="shared" si="116"/>
        <v>1</v>
      </c>
      <c r="AI386" s="7">
        <f t="shared" si="117"/>
        <v>142.0368550952625</v>
      </c>
      <c r="AK386" s="78">
        <v>45035.708333333336</v>
      </c>
      <c r="AL386" s="5">
        <v>5.9844633081452298E-2</v>
      </c>
      <c r="AM386" s="5">
        <v>91.338086169999997</v>
      </c>
      <c r="AN386" s="2">
        <v>14900</v>
      </c>
      <c r="AO386" s="7">
        <f t="shared" si="122"/>
        <v>248.33333333333334</v>
      </c>
      <c r="AP386" s="5">
        <f t="shared" si="118"/>
        <v>14.861417215227322</v>
      </c>
      <c r="AQ386" s="6">
        <f t="shared" si="119"/>
        <v>139.25522061741438</v>
      </c>
      <c r="AR386" s="2">
        <f t="shared" si="120"/>
        <v>1</v>
      </c>
      <c r="AS386" s="2">
        <f t="shared" si="121"/>
        <v>139.25522061741438</v>
      </c>
    </row>
    <row r="387" spans="13:45" x14ac:dyDescent="0.3">
      <c r="M387" s="78">
        <v>45036.71875</v>
      </c>
      <c r="N387" s="5">
        <v>4.8114698000162798E-2</v>
      </c>
      <c r="O387" s="5">
        <v>81.397704649999994</v>
      </c>
      <c r="P387" s="2">
        <v>19010</v>
      </c>
      <c r="Q387" s="7">
        <f t="shared" si="105"/>
        <v>316.83333333333331</v>
      </c>
      <c r="R387" s="6">
        <f t="shared" si="106"/>
        <v>15.244340149718246</v>
      </c>
      <c r="S387" s="6">
        <f t="shared" si="107"/>
        <v>141.00090142988932</v>
      </c>
      <c r="T387" s="2">
        <f t="shared" si="108"/>
        <v>1</v>
      </c>
      <c r="U387" s="6">
        <f t="shared" si="109"/>
        <v>141.00090142988932</v>
      </c>
      <c r="V387">
        <f>IF((R387-$AB$774)/($Z$773-$AB$774)&lt;0, 0, IF((R387-$AB$774)/($Z$773-$AB$774)&gt;1, 1, (R387-$AB$774)/($Z$773-$AB$774)))</f>
        <v>6.4257498262092011E-2</v>
      </c>
      <c r="W387" s="6">
        <f t="shared" si="110"/>
        <v>9.0603651785845205</v>
      </c>
      <c r="Y387" s="78">
        <v>45051.166666666664</v>
      </c>
      <c r="Z387">
        <v>0.117727028679679</v>
      </c>
      <c r="AA387" s="6">
        <v>107.0292163</v>
      </c>
      <c r="AB387" s="2">
        <v>8560</v>
      </c>
      <c r="AC387" s="7">
        <f t="shared" si="111"/>
        <v>142.66666666666666</v>
      </c>
      <c r="AD387" s="7">
        <f t="shared" si="112"/>
        <v>16.795722758300869</v>
      </c>
      <c r="AE387" s="7">
        <f t="shared" si="113"/>
        <v>141.00090142988932</v>
      </c>
      <c r="AF387" s="7">
        <f t="shared" si="114"/>
        <v>1</v>
      </c>
      <c r="AG387" s="6">
        <f t="shared" si="115"/>
        <v>141.00090142988932</v>
      </c>
      <c r="AH387" s="2">
        <f t="shared" si="116"/>
        <v>1</v>
      </c>
      <c r="AI387" s="7">
        <f t="shared" si="117"/>
        <v>141.00090142988932</v>
      </c>
      <c r="AK387" s="78">
        <v>45035.71875</v>
      </c>
      <c r="AL387" s="5">
        <v>5.5608877457106701E-2</v>
      </c>
      <c r="AM387" s="5">
        <v>91.338086169999997</v>
      </c>
      <c r="AN387" s="2">
        <v>16649</v>
      </c>
      <c r="AO387" s="7">
        <f t="shared" si="122"/>
        <v>277.48333333333335</v>
      </c>
      <c r="AP387" s="5">
        <f t="shared" si="118"/>
        <v>15.430536679722826</v>
      </c>
      <c r="AQ387" s="6">
        <f t="shared" si="119"/>
        <v>141.84165295764834</v>
      </c>
      <c r="AR387" s="2">
        <f t="shared" si="120"/>
        <v>1</v>
      </c>
      <c r="AS387" s="2">
        <f t="shared" si="121"/>
        <v>141.84165295764834</v>
      </c>
    </row>
    <row r="388" spans="13:45" x14ac:dyDescent="0.3">
      <c r="M388" s="78">
        <v>45036.729166666664</v>
      </c>
      <c r="N388" s="5">
        <v>4.61045162014799E-2</v>
      </c>
      <c r="O388" s="5">
        <v>81.397704649999994</v>
      </c>
      <c r="P388" s="2">
        <v>19612</v>
      </c>
      <c r="Q388" s="7">
        <f t="shared" ref="Q388:Q451" si="123">P388/60</f>
        <v>326.86666666666667</v>
      </c>
      <c r="R388" s="6">
        <f t="shared" ref="R388:R451" si="124">N388*Q388</f>
        <v>15.070029529057063</v>
      </c>
      <c r="S388" s="6">
        <f t="shared" ref="S388:S451" si="125">37.141*R388^0.4897</f>
        <v>140.20905721887729</v>
      </c>
      <c r="T388" s="2">
        <f t="shared" ref="T388:T451" si="126">IF((O388-$R$1)/($P$1-$R$1)&lt;0, 0, IF((O388-$R$1)/($P$1-$R$1)&gt;1, 1, (O388-$R$1)/($P$1-$R$1)))</f>
        <v>1</v>
      </c>
      <c r="U388" s="6">
        <f t="shared" ref="U388:U451" si="127">S388*T388</f>
        <v>140.20905721887729</v>
      </c>
      <c r="V388">
        <f>IF((R388-$AB$774)/($Z$773-$AB$774)&lt;0, 0, IF((R388-$AB$774)/($Z$773-$AB$774)&gt;1, 1, (R388-$AB$774)/($Z$773-$AB$774)))</f>
        <v>3.2350033200326797E-2</v>
      </c>
      <c r="W388" s="6">
        <f t="shared" ref="W388:W451" si="128">S388*V388</f>
        <v>4.5357676560171996</v>
      </c>
      <c r="Y388" s="78">
        <v>45051.177083333336</v>
      </c>
      <c r="Z388">
        <v>0.120455743802837</v>
      </c>
      <c r="AA388" s="6">
        <v>101.7699069</v>
      </c>
      <c r="AB388" s="2">
        <v>8595</v>
      </c>
      <c r="AC388" s="7">
        <f t="shared" ref="AC388:AC442" si="129">AB388/60</f>
        <v>143.25</v>
      </c>
      <c r="AD388" s="7">
        <f t="shared" ref="AD388:AD442" si="130">AC388*Z388</f>
        <v>17.255285299756398</v>
      </c>
      <c r="AE388" s="7">
        <f t="shared" ref="AE388:AE442" si="131">37.141*R388^0.4897</f>
        <v>140.20905721887729</v>
      </c>
      <c r="AF388" s="7">
        <f t="shared" ref="AF388:AF442" si="132">IF((AA388-$AD$1)/($AB$1-$AD$1)&lt;0, 0, IF((AA388-$AD$1)/($AB$1-$AD$1)&gt;1, 1, (AA388-$AD$1)/($AB$1-$AD$1)))</f>
        <v>1</v>
      </c>
      <c r="AG388" s="6">
        <f t="shared" ref="AG388:AG442" si="133">AE388*AF388</f>
        <v>140.20905721887729</v>
      </c>
      <c r="AH388" s="2">
        <f t="shared" ref="AH388:AH442" si="134">IF((AD388-$AI$444)/($AG$444-$AI$444)&lt;0, 0, IF((AD388-$AI$444)/($AG$444-$AI$444)&gt;1, 1, (AD388-$AI$444)/($AG$444-$AI$444)))</f>
        <v>1</v>
      </c>
      <c r="AI388" s="7">
        <f t="shared" ref="AI388:AI442" si="135">AE388*AH388</f>
        <v>140.20905721887729</v>
      </c>
      <c r="AK388" s="78">
        <v>45035.729166666664</v>
      </c>
      <c r="AL388" s="5">
        <v>5.49444319942336E-2</v>
      </c>
      <c r="AM388" s="5">
        <v>96.815355729999993</v>
      </c>
      <c r="AN388" s="2">
        <v>16729</v>
      </c>
      <c r="AO388" s="7">
        <f t="shared" si="122"/>
        <v>278.81666666666666</v>
      </c>
      <c r="AP388" s="5">
        <f t="shared" ref="AP388:AP451" si="136">AO388*AL388</f>
        <v>15.319423380525565</v>
      </c>
      <c r="AQ388" s="6">
        <f t="shared" ref="AQ388:AQ451" si="137">37.141*AP388^0.4897</f>
        <v>141.34055919386535</v>
      </c>
      <c r="AR388" s="2">
        <f t="shared" ref="AR388:AR451" si="138">IF((AM388-$AP$1)/($AN$1-$AP$1)&lt;0, 0, IF((AA388-$AP$1)/($AN$1-$AP$1)&gt;1, 1, (AA388-$AP$1)/($AN$1-$AP$1)))</f>
        <v>1</v>
      </c>
      <c r="AS388" s="2">
        <f t="shared" ref="AS388:AS451" si="139">AQ388*AR388</f>
        <v>141.34055919386535</v>
      </c>
    </row>
    <row r="389" spans="13:45" x14ac:dyDescent="0.3">
      <c r="M389" s="78">
        <v>45036.739583333336</v>
      </c>
      <c r="N389" s="5">
        <v>4.6287304728022997E-2</v>
      </c>
      <c r="O389" s="5">
        <v>80.079324720000002</v>
      </c>
      <c r="P389" s="2">
        <v>19330</v>
      </c>
      <c r="Q389" s="7">
        <f t="shared" si="123"/>
        <v>322.16666666666669</v>
      </c>
      <c r="R389" s="6">
        <f t="shared" si="124"/>
        <v>14.912226673211411</v>
      </c>
      <c r="S389" s="6">
        <f t="shared" si="125"/>
        <v>139.48816249070609</v>
      </c>
      <c r="T389" s="2">
        <f t="shared" si="126"/>
        <v>1</v>
      </c>
      <c r="U389" s="6">
        <f t="shared" si="127"/>
        <v>139.48816249070609</v>
      </c>
      <c r="V389">
        <f>IF((R389-$AB$774)/($Z$773-$AB$774)&lt;0, 0, IF((R389-$AB$774)/($Z$773-$AB$774)&gt;1, 1, (R389-$AB$774)/($Z$773-$AB$774)))</f>
        <v>3.4643055811882078E-3</v>
      </c>
      <c r="W389" s="6">
        <f t="shared" si="128"/>
        <v>0.48322961982624074</v>
      </c>
      <c r="Y389" s="78">
        <v>45051.1875</v>
      </c>
      <c r="Z389">
        <v>0.120071953207291</v>
      </c>
      <c r="AA389" s="6">
        <v>104.61473460000001</v>
      </c>
      <c r="AB389" s="2">
        <v>8559</v>
      </c>
      <c r="AC389" s="7">
        <f t="shared" si="129"/>
        <v>142.65</v>
      </c>
      <c r="AD389" s="7">
        <f t="shared" si="130"/>
        <v>17.128264125020063</v>
      </c>
      <c r="AE389" s="7">
        <f t="shared" si="131"/>
        <v>139.48816249070609</v>
      </c>
      <c r="AF389" s="7">
        <f t="shared" si="132"/>
        <v>1</v>
      </c>
      <c r="AG389" s="6">
        <f t="shared" si="133"/>
        <v>139.48816249070609</v>
      </c>
      <c r="AH389" s="2">
        <f t="shared" si="134"/>
        <v>1</v>
      </c>
      <c r="AI389" s="7">
        <f t="shared" si="135"/>
        <v>139.48816249070609</v>
      </c>
      <c r="AK389" s="78">
        <v>45035.739583333336</v>
      </c>
      <c r="AL389" s="5">
        <v>4.7416071008945897E-2</v>
      </c>
      <c r="AM389" s="5">
        <v>93.457733590000004</v>
      </c>
      <c r="AN389" s="2">
        <v>17947</v>
      </c>
      <c r="AO389" s="7">
        <f t="shared" si="122"/>
        <v>299.11666666666667</v>
      </c>
      <c r="AP389" s="5">
        <f t="shared" si="136"/>
        <v>14.182937106625868</v>
      </c>
      <c r="AQ389" s="6">
        <f t="shared" si="137"/>
        <v>136.10481500462865</v>
      </c>
      <c r="AR389" s="2">
        <f t="shared" si="138"/>
        <v>1</v>
      </c>
      <c r="AS389" s="2">
        <f t="shared" si="139"/>
        <v>136.10481500462865</v>
      </c>
    </row>
    <row r="390" spans="13:45" x14ac:dyDescent="0.3">
      <c r="M390" s="78">
        <v>45036.75</v>
      </c>
      <c r="N390" s="5">
        <v>4.6553252783480499E-2</v>
      </c>
      <c r="O390" s="5">
        <v>80.523852189999999</v>
      </c>
      <c r="P390" s="2">
        <v>19672</v>
      </c>
      <c r="Q390" s="7">
        <f t="shared" si="123"/>
        <v>327.86666666666667</v>
      </c>
      <c r="R390" s="6">
        <f t="shared" si="124"/>
        <v>15.263259812610473</v>
      </c>
      <c r="S390" s="6">
        <f t="shared" si="125"/>
        <v>141.08656956137273</v>
      </c>
      <c r="T390" s="2">
        <f t="shared" si="126"/>
        <v>1</v>
      </c>
      <c r="U390" s="6">
        <f t="shared" si="127"/>
        <v>141.08656956137273</v>
      </c>
      <c r="V390">
        <f>IF((R390-$AB$774)/($Z$773-$AB$774)&lt;0, 0, IF((R390-$AB$774)/($Z$773-$AB$774)&gt;1, 1, (R390-$AB$774)/($Z$773-$AB$774)))</f>
        <v>6.7720732346304852E-2</v>
      </c>
      <c r="W390" s="6">
        <f t="shared" si="128"/>
        <v>9.5544858149240444</v>
      </c>
      <c r="Y390" s="78">
        <v>45051.197916666664</v>
      </c>
      <c r="Z390">
        <v>0.120313191721239</v>
      </c>
      <c r="AA390" s="6">
        <v>107.0292163</v>
      </c>
      <c r="AB390" s="2">
        <v>8484</v>
      </c>
      <c r="AC390" s="7">
        <f t="shared" si="129"/>
        <v>141.4</v>
      </c>
      <c r="AD390" s="7">
        <f t="shared" si="130"/>
        <v>17.012285309383195</v>
      </c>
      <c r="AE390" s="7">
        <f t="shared" si="131"/>
        <v>141.08656956137273</v>
      </c>
      <c r="AF390" s="7">
        <f t="shared" si="132"/>
        <v>1</v>
      </c>
      <c r="AG390" s="6">
        <f t="shared" si="133"/>
        <v>141.08656956137273</v>
      </c>
      <c r="AH390" s="2">
        <f t="shared" si="134"/>
        <v>1</v>
      </c>
      <c r="AI390" s="7">
        <f t="shared" si="135"/>
        <v>141.08656956137273</v>
      </c>
      <c r="AK390" s="78">
        <v>45035.75</v>
      </c>
      <c r="AL390" s="5">
        <v>5.1030119495811002E-2</v>
      </c>
      <c r="AM390" s="5">
        <v>92.610732819999996</v>
      </c>
      <c r="AN390" s="2">
        <v>18142</v>
      </c>
      <c r="AO390" s="7">
        <f t="shared" si="122"/>
        <v>302.36666666666667</v>
      </c>
      <c r="AP390" s="5">
        <f t="shared" si="136"/>
        <v>15.429807131550053</v>
      </c>
      <c r="AQ390" s="6">
        <f t="shared" si="137"/>
        <v>141.83836889018806</v>
      </c>
      <c r="AR390" s="2">
        <f t="shared" si="138"/>
        <v>1</v>
      </c>
      <c r="AS390" s="2">
        <f t="shared" si="139"/>
        <v>141.83836889018806</v>
      </c>
    </row>
    <row r="391" spans="13:45" x14ac:dyDescent="0.3">
      <c r="M391" s="78">
        <v>45036.760416666664</v>
      </c>
      <c r="N391" s="5">
        <v>4.7071501248620001E-2</v>
      </c>
      <c r="O391" s="5">
        <v>79.202259850000004</v>
      </c>
      <c r="P391" s="2">
        <v>19276</v>
      </c>
      <c r="Q391" s="7">
        <f t="shared" si="123"/>
        <v>321.26666666666665</v>
      </c>
      <c r="R391" s="6">
        <f t="shared" si="124"/>
        <v>15.122504301139985</v>
      </c>
      <c r="S391" s="6">
        <f t="shared" si="125"/>
        <v>140.44792484122979</v>
      </c>
      <c r="T391" s="2">
        <f t="shared" si="126"/>
        <v>1</v>
      </c>
      <c r="U391" s="6">
        <f t="shared" si="127"/>
        <v>140.44792484122979</v>
      </c>
      <c r="V391">
        <f>IF((R391-$AB$774)/($Z$773-$AB$774)&lt;0, 0, IF((R391-$AB$774)/($Z$773-$AB$774)&gt;1, 1, (R391-$AB$774)/($Z$773-$AB$774)))</f>
        <v>4.1955511917050721E-2</v>
      </c>
      <c r="W391" s="6">
        <f t="shared" si="128"/>
        <v>5.8925645844012609</v>
      </c>
      <c r="Y391" s="78">
        <v>45051.208333333336</v>
      </c>
      <c r="Z391">
        <v>0.129139935133878</v>
      </c>
      <c r="AA391" s="6">
        <v>98.055454810000001</v>
      </c>
      <c r="AB391" s="2">
        <v>8665</v>
      </c>
      <c r="AC391" s="7">
        <f t="shared" si="129"/>
        <v>144.41666666666666</v>
      </c>
      <c r="AD391" s="7">
        <f t="shared" si="130"/>
        <v>18.649958965584215</v>
      </c>
      <c r="AE391" s="7">
        <f t="shared" si="131"/>
        <v>140.44792484122979</v>
      </c>
      <c r="AF391" s="7">
        <f t="shared" si="132"/>
        <v>1</v>
      </c>
      <c r="AG391" s="6">
        <f t="shared" si="133"/>
        <v>140.44792484122979</v>
      </c>
      <c r="AH391" s="2">
        <f t="shared" si="134"/>
        <v>1</v>
      </c>
      <c r="AI391" s="7">
        <f t="shared" si="135"/>
        <v>140.44792484122979</v>
      </c>
      <c r="AK391" s="78">
        <v>45035.760416666664</v>
      </c>
      <c r="AL391" s="5">
        <v>4.9680856317009699E-2</v>
      </c>
      <c r="AM391" s="5">
        <v>93.457733590000004</v>
      </c>
      <c r="AN391" s="2">
        <v>18320</v>
      </c>
      <c r="AO391" s="7">
        <f t="shared" si="122"/>
        <v>305.33333333333331</v>
      </c>
      <c r="AP391" s="5">
        <f t="shared" si="136"/>
        <v>15.169221462126961</v>
      </c>
      <c r="AQ391" s="6">
        <f t="shared" si="137"/>
        <v>140.66022789119694</v>
      </c>
      <c r="AR391" s="2">
        <f t="shared" si="138"/>
        <v>1</v>
      </c>
      <c r="AS391" s="2">
        <f t="shared" si="139"/>
        <v>140.66022789119694</v>
      </c>
    </row>
    <row r="392" spans="13:45" x14ac:dyDescent="0.3">
      <c r="M392" s="78">
        <v>45036.770833333336</v>
      </c>
      <c r="N392" s="5">
        <v>4.97126591106761E-2</v>
      </c>
      <c r="O392" s="5">
        <v>79.202259850000004</v>
      </c>
      <c r="P392" s="2">
        <v>19342</v>
      </c>
      <c r="Q392" s="7">
        <f t="shared" si="123"/>
        <v>322.36666666666667</v>
      </c>
      <c r="R392" s="6">
        <f t="shared" si="124"/>
        <v>16.025704208644953</v>
      </c>
      <c r="S392" s="6">
        <f t="shared" si="125"/>
        <v>144.49490626549394</v>
      </c>
      <c r="T392" s="2">
        <f t="shared" si="126"/>
        <v>1</v>
      </c>
      <c r="U392" s="6">
        <f t="shared" si="127"/>
        <v>144.49490626549394</v>
      </c>
      <c r="V392">
        <f>IF((R392-$AB$774)/($Z$773-$AB$774)&lt;0, 0, IF((R392-$AB$774)/($Z$773-$AB$774)&gt;1, 1, (R392-$AB$774)/($Z$773-$AB$774)))</f>
        <v>0.20728576765930426</v>
      </c>
      <c r="W392" s="6">
        <f t="shared" si="128"/>
        <v>29.951737568102125</v>
      </c>
      <c r="Y392" s="78">
        <v>45051.21875</v>
      </c>
      <c r="Z392">
        <v>0.116283802794582</v>
      </c>
      <c r="AA392" s="6">
        <v>100.5402337</v>
      </c>
      <c r="AB392" s="2">
        <v>8594</v>
      </c>
      <c r="AC392" s="7">
        <f t="shared" si="129"/>
        <v>143.23333333333332</v>
      </c>
      <c r="AD392" s="7">
        <f t="shared" si="130"/>
        <v>16.655716686943961</v>
      </c>
      <c r="AE392" s="7">
        <f t="shared" si="131"/>
        <v>144.49490626549394</v>
      </c>
      <c r="AF392" s="7">
        <f t="shared" si="132"/>
        <v>1</v>
      </c>
      <c r="AG392" s="6">
        <f t="shared" si="133"/>
        <v>144.49490626549394</v>
      </c>
      <c r="AH392" s="2">
        <f t="shared" si="134"/>
        <v>1</v>
      </c>
      <c r="AI392" s="7">
        <f t="shared" si="135"/>
        <v>144.49490626549394</v>
      </c>
      <c r="AK392" s="78">
        <v>45035.770833333336</v>
      </c>
      <c r="AL392" s="5">
        <v>5.0760917475443298E-2</v>
      </c>
      <c r="AM392" s="5">
        <v>93.457733590000004</v>
      </c>
      <c r="AN392" s="2">
        <v>18871</v>
      </c>
      <c r="AO392" s="7">
        <f t="shared" si="122"/>
        <v>314.51666666666665</v>
      </c>
      <c r="AP392" s="5">
        <f t="shared" si="136"/>
        <v>15.965154561318174</v>
      </c>
      <c r="AQ392" s="6">
        <f t="shared" si="137"/>
        <v>144.22729992122535</v>
      </c>
      <c r="AR392" s="2">
        <f t="shared" si="138"/>
        <v>1</v>
      </c>
      <c r="AS392" s="2">
        <f t="shared" si="139"/>
        <v>144.22729992122535</v>
      </c>
    </row>
    <row r="393" spans="13:45" x14ac:dyDescent="0.3">
      <c r="M393" s="78">
        <v>45036.78125</v>
      </c>
      <c r="N393" s="5">
        <v>4.7601153566367703E-2</v>
      </c>
      <c r="O393" s="5">
        <v>81.397704649999994</v>
      </c>
      <c r="P393" s="2">
        <v>19823</v>
      </c>
      <c r="Q393" s="7">
        <f t="shared" si="123"/>
        <v>330.38333333333333</v>
      </c>
      <c r="R393" s="6">
        <f t="shared" si="124"/>
        <v>15.72662778576845</v>
      </c>
      <c r="S393" s="6">
        <f t="shared" si="125"/>
        <v>143.16803029822563</v>
      </c>
      <c r="T393" s="2">
        <f t="shared" si="126"/>
        <v>1</v>
      </c>
      <c r="U393" s="6">
        <f t="shared" si="127"/>
        <v>143.16803029822563</v>
      </c>
      <c r="V393">
        <f>IF((R393-$AB$774)/($Z$773-$AB$774)&lt;0, 0, IF((R393-$AB$774)/($Z$773-$AB$774)&gt;1, 1, (R393-$AB$774)/($Z$773-$AB$774)))</f>
        <v>0.15253998982010686</v>
      </c>
      <c r="W393" s="6">
        <f t="shared" si="128"/>
        <v>21.838849884256089</v>
      </c>
      <c r="Y393" s="78">
        <v>45051.229166666664</v>
      </c>
      <c r="Z393">
        <v>0.121937249915435</v>
      </c>
      <c r="AA393" s="6">
        <v>101.7699069</v>
      </c>
      <c r="AB393" s="2">
        <v>8433</v>
      </c>
      <c r="AC393" s="7">
        <f t="shared" si="129"/>
        <v>140.55000000000001</v>
      </c>
      <c r="AD393" s="7">
        <f t="shared" si="130"/>
        <v>17.13828047561439</v>
      </c>
      <c r="AE393" s="7">
        <f t="shared" si="131"/>
        <v>143.16803029822563</v>
      </c>
      <c r="AF393" s="7">
        <f t="shared" si="132"/>
        <v>1</v>
      </c>
      <c r="AG393" s="6">
        <f t="shared" si="133"/>
        <v>143.16803029822563</v>
      </c>
      <c r="AH393" s="2">
        <f t="shared" si="134"/>
        <v>1</v>
      </c>
      <c r="AI393" s="7">
        <f t="shared" si="135"/>
        <v>143.16803029822563</v>
      </c>
      <c r="AK393" s="78">
        <v>45035.78125</v>
      </c>
      <c r="AL393" s="5">
        <v>4.2477898732535102E-2</v>
      </c>
      <c r="AM393" s="5">
        <v>88.777035049999995</v>
      </c>
      <c r="AN393" s="2">
        <v>19957</v>
      </c>
      <c r="AO393" s="7">
        <f t="shared" si="122"/>
        <v>332.61666666666667</v>
      </c>
      <c r="AP393" s="5">
        <f t="shared" si="136"/>
        <v>14.128857083420051</v>
      </c>
      <c r="AQ393" s="6">
        <f t="shared" si="137"/>
        <v>135.85042653896056</v>
      </c>
      <c r="AR393" s="2">
        <f t="shared" si="138"/>
        <v>1</v>
      </c>
      <c r="AS393" s="2">
        <f t="shared" si="139"/>
        <v>135.85042653896056</v>
      </c>
    </row>
    <row r="394" spans="13:45" x14ac:dyDescent="0.3">
      <c r="M394" s="78">
        <v>45036.791666666664</v>
      </c>
      <c r="N394" s="5">
        <v>4.4074237218251697E-2</v>
      </c>
      <c r="O394" s="5">
        <v>74.757192930000002</v>
      </c>
      <c r="P394" s="2">
        <v>20698</v>
      </c>
      <c r="Q394" s="7">
        <f t="shared" si="123"/>
        <v>344.96666666666664</v>
      </c>
      <c r="R394" s="6">
        <f t="shared" si="124"/>
        <v>15.204142699056225</v>
      </c>
      <c r="S394" s="6">
        <f t="shared" si="125"/>
        <v>140.8187073100903</v>
      </c>
      <c r="T394" s="2">
        <f t="shared" si="126"/>
        <v>1</v>
      </c>
      <c r="U394" s="6">
        <f t="shared" si="127"/>
        <v>140.8187073100903</v>
      </c>
      <c r="V394">
        <f>IF((R394-$AB$774)/($Z$773-$AB$774)&lt;0, 0, IF((R394-$AB$774)/($Z$773-$AB$774)&gt;1, 1, (R394-$AB$774)/($Z$773-$AB$774)))</f>
        <v>5.6899376607167096E-2</v>
      </c>
      <c r="W394" s="6">
        <f t="shared" si="128"/>
        <v>8.0124966605712622</v>
      </c>
      <c r="Y394" s="78">
        <v>45051.239583333336</v>
      </c>
      <c r="Z394">
        <v>0.11012329030743299</v>
      </c>
      <c r="AA394" s="6">
        <v>96.808208239999999</v>
      </c>
      <c r="AB394" s="2">
        <v>8758</v>
      </c>
      <c r="AC394" s="7">
        <f t="shared" si="129"/>
        <v>145.96666666666667</v>
      </c>
      <c r="AD394" s="7">
        <f t="shared" si="130"/>
        <v>16.074329608541635</v>
      </c>
      <c r="AE394" s="7">
        <f t="shared" si="131"/>
        <v>140.8187073100903</v>
      </c>
      <c r="AF394" s="7">
        <f t="shared" si="132"/>
        <v>1</v>
      </c>
      <c r="AG394" s="6">
        <f t="shared" si="133"/>
        <v>140.8187073100903</v>
      </c>
      <c r="AH394" s="2">
        <f t="shared" si="134"/>
        <v>1</v>
      </c>
      <c r="AI394" s="7">
        <f t="shared" si="135"/>
        <v>140.8187073100903</v>
      </c>
      <c r="AK394" s="78">
        <v>45035.791666666664</v>
      </c>
      <c r="AL394" s="5">
        <v>4.1121641939483498E-2</v>
      </c>
      <c r="AM394" s="5">
        <v>85.762083380000007</v>
      </c>
      <c r="AN394" s="2">
        <v>20325</v>
      </c>
      <c r="AO394" s="7">
        <f t="shared" si="122"/>
        <v>338.75</v>
      </c>
      <c r="AP394" s="5">
        <f t="shared" si="136"/>
        <v>13.929956207000036</v>
      </c>
      <c r="AQ394" s="6">
        <f t="shared" si="137"/>
        <v>134.91051054418185</v>
      </c>
      <c r="AR394" s="2">
        <f t="shared" si="138"/>
        <v>1</v>
      </c>
      <c r="AS394" s="2">
        <f t="shared" si="139"/>
        <v>134.91051054418185</v>
      </c>
    </row>
    <row r="395" spans="13:45" x14ac:dyDescent="0.3">
      <c r="M395" s="78">
        <v>45036.802083333336</v>
      </c>
      <c r="N395" s="5">
        <v>4.5450215872737003E-2</v>
      </c>
      <c r="O395" s="5">
        <v>80.079324720000002</v>
      </c>
      <c r="P395" s="2">
        <v>19840</v>
      </c>
      <c r="Q395" s="7">
        <f t="shared" si="123"/>
        <v>330.66666666666669</v>
      </c>
      <c r="R395" s="6">
        <f t="shared" si="124"/>
        <v>15.028871381918369</v>
      </c>
      <c r="S395" s="6">
        <f t="shared" si="125"/>
        <v>140.02140624051381</v>
      </c>
      <c r="T395" s="2">
        <f t="shared" si="126"/>
        <v>1</v>
      </c>
      <c r="U395" s="6">
        <f t="shared" si="127"/>
        <v>140.02140624051381</v>
      </c>
      <c r="V395">
        <f>IF((R395-$AB$774)/($Z$773-$AB$774)&lt;0, 0, IF((R395-$AB$774)/($Z$773-$AB$774)&gt;1, 1, (R395-$AB$774)/($Z$773-$AB$774)))</f>
        <v>2.4816056573696035E-2</v>
      </c>
      <c r="W395" s="6">
        <f t="shared" si="128"/>
        <v>3.4747791387930658</v>
      </c>
      <c r="Y395" s="78">
        <v>45051.25</v>
      </c>
      <c r="Z395">
        <v>0.12548785782202601</v>
      </c>
      <c r="AA395" s="6">
        <v>103.3988808</v>
      </c>
      <c r="AB395" s="2">
        <v>8280</v>
      </c>
      <c r="AC395" s="7">
        <f t="shared" si="129"/>
        <v>138</v>
      </c>
      <c r="AD395" s="7">
        <f t="shared" si="130"/>
        <v>17.31732437943959</v>
      </c>
      <c r="AE395" s="7">
        <f t="shared" si="131"/>
        <v>140.02140624051381</v>
      </c>
      <c r="AF395" s="7">
        <f t="shared" si="132"/>
        <v>1</v>
      </c>
      <c r="AG395" s="6">
        <f t="shared" si="133"/>
        <v>140.02140624051381</v>
      </c>
      <c r="AH395" s="2">
        <f t="shared" si="134"/>
        <v>1</v>
      </c>
      <c r="AI395" s="7">
        <f t="shared" si="135"/>
        <v>140.02140624051381</v>
      </c>
      <c r="AK395" s="78">
        <v>45035.802083333336</v>
      </c>
      <c r="AL395" s="5">
        <v>4.4395585952978302E-2</v>
      </c>
      <c r="AM395" s="5">
        <v>84.460540300000005</v>
      </c>
      <c r="AN395" s="2">
        <v>19623</v>
      </c>
      <c r="AO395" s="7">
        <f t="shared" si="122"/>
        <v>327.05</v>
      </c>
      <c r="AP395" s="5">
        <f t="shared" si="136"/>
        <v>14.519576385921555</v>
      </c>
      <c r="AQ395" s="6">
        <f t="shared" si="137"/>
        <v>137.67733155835379</v>
      </c>
      <c r="AR395" s="2">
        <f t="shared" si="138"/>
        <v>1</v>
      </c>
      <c r="AS395" s="2">
        <f t="shared" si="139"/>
        <v>137.67733155835379</v>
      </c>
    </row>
    <row r="396" spans="13:45" x14ac:dyDescent="0.3">
      <c r="M396" s="78">
        <v>45036.8125</v>
      </c>
      <c r="N396" s="5">
        <v>4.6298434917212E-2</v>
      </c>
      <c r="O396" s="5">
        <v>81.397704649999994</v>
      </c>
      <c r="P396" s="2">
        <v>20058</v>
      </c>
      <c r="Q396" s="7">
        <f t="shared" si="123"/>
        <v>334.3</v>
      </c>
      <c r="R396" s="6">
        <f t="shared" si="124"/>
        <v>15.477566792823973</v>
      </c>
      <c r="S396" s="6">
        <f t="shared" si="125"/>
        <v>142.05319248604056</v>
      </c>
      <c r="T396" s="2">
        <f t="shared" si="126"/>
        <v>1</v>
      </c>
      <c r="U396" s="6">
        <f t="shared" si="127"/>
        <v>142.05319248604056</v>
      </c>
      <c r="V396">
        <f>IF((R396-$AB$774)/($Z$773-$AB$774)&lt;0, 0, IF((R396-$AB$774)/($Z$773-$AB$774)&gt;1, 1, (R396-$AB$774)/($Z$773-$AB$774)))</f>
        <v>0.1069495094438636</v>
      </c>
      <c r="W396" s="6">
        <f t="shared" si="128"/>
        <v>15.192519251316767</v>
      </c>
      <c r="Y396" s="78">
        <v>45051.260416666664</v>
      </c>
      <c r="Z396">
        <v>0.123911950731253</v>
      </c>
      <c r="AA396" s="6">
        <v>103.3988808</v>
      </c>
      <c r="AB396" s="2">
        <v>8410</v>
      </c>
      <c r="AC396" s="7">
        <f t="shared" si="129"/>
        <v>140.16666666666666</v>
      </c>
      <c r="AD396" s="7">
        <f t="shared" si="130"/>
        <v>17.368325094163961</v>
      </c>
      <c r="AE396" s="7">
        <f t="shared" si="131"/>
        <v>142.05319248604056</v>
      </c>
      <c r="AF396" s="7">
        <f t="shared" si="132"/>
        <v>1</v>
      </c>
      <c r="AG396" s="6">
        <f t="shared" si="133"/>
        <v>142.05319248604056</v>
      </c>
      <c r="AH396" s="2">
        <f t="shared" si="134"/>
        <v>1</v>
      </c>
      <c r="AI396" s="7">
        <f t="shared" si="135"/>
        <v>142.05319248604056</v>
      </c>
      <c r="AK396" s="78">
        <v>45035.8125</v>
      </c>
      <c r="AL396" s="5">
        <v>4.3363813989695202E-2</v>
      </c>
      <c r="AM396" s="5">
        <v>86.622428940000006</v>
      </c>
      <c r="AN396" s="2">
        <v>20408</v>
      </c>
      <c r="AO396" s="7">
        <f t="shared" si="122"/>
        <v>340.13333333333333</v>
      </c>
      <c r="AP396" s="5">
        <f t="shared" si="136"/>
        <v>14.749478598361661</v>
      </c>
      <c r="AQ396" s="6">
        <f t="shared" si="137"/>
        <v>138.74058680940757</v>
      </c>
      <c r="AR396" s="2">
        <f t="shared" si="138"/>
        <v>1</v>
      </c>
      <c r="AS396" s="2">
        <f t="shared" si="139"/>
        <v>138.74058680940757</v>
      </c>
    </row>
    <row r="397" spans="13:45" x14ac:dyDescent="0.3">
      <c r="M397" s="78">
        <v>45036.822916666664</v>
      </c>
      <c r="N397" s="5">
        <v>4.4954049211061699E-2</v>
      </c>
      <c r="O397" s="5">
        <v>78.762941850000004</v>
      </c>
      <c r="P397" s="2">
        <v>20013</v>
      </c>
      <c r="Q397" s="7">
        <f t="shared" si="123"/>
        <v>333.55</v>
      </c>
      <c r="R397" s="6">
        <f t="shared" si="124"/>
        <v>14.99442311434963</v>
      </c>
      <c r="S397" s="6">
        <f t="shared" si="125"/>
        <v>139.86414569833616</v>
      </c>
      <c r="T397" s="2">
        <f t="shared" si="126"/>
        <v>1</v>
      </c>
      <c r="U397" s="6">
        <f t="shared" si="127"/>
        <v>139.86414569833616</v>
      </c>
      <c r="V397">
        <f>IF((R397-$AB$774)/($Z$773-$AB$774)&lt;0, 0, IF((R397-$AB$774)/($Z$773-$AB$774)&gt;1, 1, (R397-$AB$774)/($Z$773-$AB$774)))</f>
        <v>1.8510319781992461E-2</v>
      </c>
      <c r="W397" s="6">
        <f t="shared" si="128"/>
        <v>2.5889300629113876</v>
      </c>
      <c r="Y397" s="78">
        <v>45051.270833333336</v>
      </c>
      <c r="Z397">
        <v>0.13239830410456099</v>
      </c>
      <c r="AA397" s="6">
        <v>105.0235411</v>
      </c>
      <c r="AB397" s="2">
        <v>8196</v>
      </c>
      <c r="AC397" s="7">
        <f t="shared" si="129"/>
        <v>136.6</v>
      </c>
      <c r="AD397" s="7">
        <f t="shared" si="130"/>
        <v>18.085608340683031</v>
      </c>
      <c r="AE397" s="7">
        <f t="shared" si="131"/>
        <v>139.86414569833616</v>
      </c>
      <c r="AF397" s="7">
        <f t="shared" si="132"/>
        <v>1</v>
      </c>
      <c r="AG397" s="6">
        <f t="shared" si="133"/>
        <v>139.86414569833616</v>
      </c>
      <c r="AH397" s="2">
        <f t="shared" si="134"/>
        <v>1</v>
      </c>
      <c r="AI397" s="7">
        <f t="shared" si="135"/>
        <v>139.86414569833616</v>
      </c>
      <c r="AK397" s="78">
        <v>45035.822916666664</v>
      </c>
      <c r="AL397" s="5">
        <v>4.3265204414402E-2</v>
      </c>
      <c r="AM397" s="5">
        <v>84.460540300000005</v>
      </c>
      <c r="AN397" s="2">
        <v>20320</v>
      </c>
      <c r="AO397" s="7">
        <f t="shared" si="122"/>
        <v>338.66666666666669</v>
      </c>
      <c r="AP397" s="5">
        <f t="shared" si="136"/>
        <v>14.652482561677479</v>
      </c>
      <c r="AQ397" s="6">
        <f t="shared" si="137"/>
        <v>138.29303689947977</v>
      </c>
      <c r="AR397" s="2">
        <f t="shared" si="138"/>
        <v>1</v>
      </c>
      <c r="AS397" s="2">
        <f t="shared" si="139"/>
        <v>138.29303689947977</v>
      </c>
    </row>
    <row r="398" spans="13:45" x14ac:dyDescent="0.3">
      <c r="M398" s="78">
        <v>45036.833333333336</v>
      </c>
      <c r="N398" s="5">
        <v>4.4329310076608598E-2</v>
      </c>
      <c r="O398" s="5">
        <v>73.415890989999994</v>
      </c>
      <c r="P398" s="2">
        <v>20986</v>
      </c>
      <c r="Q398" s="7">
        <f t="shared" si="123"/>
        <v>349.76666666666665</v>
      </c>
      <c r="R398" s="6">
        <f t="shared" si="124"/>
        <v>15.504915021128467</v>
      </c>
      <c r="S398" s="6">
        <f t="shared" si="125"/>
        <v>142.1760528917462</v>
      </c>
      <c r="T398" s="2">
        <f t="shared" si="126"/>
        <v>1</v>
      </c>
      <c r="U398" s="6">
        <f t="shared" si="127"/>
        <v>142.1760528917462</v>
      </c>
      <c r="V398">
        <f>IF((R398-$AB$774)/($Z$773-$AB$774)&lt;0, 0, IF((R398-$AB$774)/($Z$773-$AB$774)&gt;1, 1, (R398-$AB$774)/($Z$773-$AB$774)))</f>
        <v>0.11195558787911251</v>
      </c>
      <c r="W398" s="6">
        <f t="shared" si="128"/>
        <v>15.917403583827241</v>
      </c>
      <c r="Y398" s="78">
        <v>45051.28125</v>
      </c>
      <c r="Z398">
        <v>0.13147381648194001</v>
      </c>
      <c r="AA398" s="6">
        <v>104.61473460000001</v>
      </c>
      <c r="AB398" s="2">
        <v>8363</v>
      </c>
      <c r="AC398" s="7">
        <f t="shared" si="129"/>
        <v>139.38333333333333</v>
      </c>
      <c r="AD398" s="7">
        <f t="shared" si="130"/>
        <v>18.325258787307739</v>
      </c>
      <c r="AE398" s="7">
        <f t="shared" si="131"/>
        <v>142.1760528917462</v>
      </c>
      <c r="AF398" s="7">
        <f t="shared" si="132"/>
        <v>1</v>
      </c>
      <c r="AG398" s="6">
        <f t="shared" si="133"/>
        <v>142.1760528917462</v>
      </c>
      <c r="AH398" s="2">
        <f t="shared" si="134"/>
        <v>1</v>
      </c>
      <c r="AI398" s="7">
        <f t="shared" si="135"/>
        <v>142.1760528917462</v>
      </c>
      <c r="AK398" s="78">
        <v>45035.833333333336</v>
      </c>
      <c r="AL398" s="5">
        <v>4.4806393689452002E-2</v>
      </c>
      <c r="AM398" s="5">
        <v>81.841333250000005</v>
      </c>
      <c r="AN398" s="2">
        <v>19908</v>
      </c>
      <c r="AO398" s="7">
        <f t="shared" si="122"/>
        <v>331.8</v>
      </c>
      <c r="AP398" s="5">
        <f t="shared" si="136"/>
        <v>14.866761426160174</v>
      </c>
      <c r="AQ398" s="6">
        <f t="shared" si="137"/>
        <v>139.2797408797295</v>
      </c>
      <c r="AR398" s="2">
        <f t="shared" si="138"/>
        <v>1</v>
      </c>
      <c r="AS398" s="2">
        <f t="shared" si="139"/>
        <v>139.2797408797295</v>
      </c>
    </row>
    <row r="399" spans="13:45" x14ac:dyDescent="0.3">
      <c r="M399" s="78">
        <v>45036.84375</v>
      </c>
      <c r="N399" s="5">
        <v>4.8344383069345499E-2</v>
      </c>
      <c r="O399" s="5">
        <v>82.711152870000006</v>
      </c>
      <c r="P399" s="2">
        <v>19692</v>
      </c>
      <c r="Q399" s="7">
        <f t="shared" si="123"/>
        <v>328.2</v>
      </c>
      <c r="R399" s="6">
        <f t="shared" si="124"/>
        <v>15.866626523359193</v>
      </c>
      <c r="S399" s="6">
        <f t="shared" si="125"/>
        <v>143.79073409660558</v>
      </c>
      <c r="T399" s="2">
        <f t="shared" si="126"/>
        <v>1</v>
      </c>
      <c r="U399" s="6">
        <f t="shared" si="127"/>
        <v>143.79073409660558</v>
      </c>
      <c r="V399">
        <f>IF((R399-$AB$774)/($Z$773-$AB$774)&lt;0, 0, IF((R399-$AB$774)/($Z$773-$AB$774)&gt;1, 1, (R399-$AB$774)/($Z$773-$AB$774)))</f>
        <v>0.17816668319899517</v>
      </c>
      <c r="W399" s="6">
        <f t="shared" si="128"/>
        <v>25.61871816874088</v>
      </c>
      <c r="Y399" s="78">
        <v>45051.291666666664</v>
      </c>
      <c r="Z399">
        <v>0.116417757668612</v>
      </c>
      <c r="AA399" s="6">
        <v>94.720978599999995</v>
      </c>
      <c r="AB399" s="2">
        <v>8575</v>
      </c>
      <c r="AC399" s="7">
        <f t="shared" si="129"/>
        <v>142.91666666666666</v>
      </c>
      <c r="AD399" s="7">
        <f t="shared" si="130"/>
        <v>16.638037866805796</v>
      </c>
      <c r="AE399" s="7">
        <f t="shared" si="131"/>
        <v>143.79073409660558</v>
      </c>
      <c r="AF399" s="7">
        <f t="shared" si="132"/>
        <v>1</v>
      </c>
      <c r="AG399" s="6">
        <f t="shared" si="133"/>
        <v>143.79073409660558</v>
      </c>
      <c r="AH399" s="2">
        <f t="shared" si="134"/>
        <v>1</v>
      </c>
      <c r="AI399" s="7">
        <f t="shared" si="135"/>
        <v>143.79073409660558</v>
      </c>
      <c r="AK399" s="78">
        <v>45035.84375</v>
      </c>
      <c r="AL399" s="5">
        <v>4.3811108208220401E-2</v>
      </c>
      <c r="AM399" s="5">
        <v>81.841333250000005</v>
      </c>
      <c r="AN399" s="2">
        <v>20174</v>
      </c>
      <c r="AO399" s="7">
        <f t="shared" si="122"/>
        <v>336.23333333333335</v>
      </c>
      <c r="AP399" s="5">
        <f t="shared" si="136"/>
        <v>14.730754949877307</v>
      </c>
      <c r="AQ399" s="6">
        <f t="shared" si="137"/>
        <v>138.65431117195658</v>
      </c>
      <c r="AR399" s="2">
        <f t="shared" si="138"/>
        <v>1</v>
      </c>
      <c r="AS399" s="2">
        <f t="shared" si="139"/>
        <v>138.65431117195658</v>
      </c>
    </row>
    <row r="400" spans="13:45" x14ac:dyDescent="0.3">
      <c r="M400" s="78">
        <v>45036.854166666664</v>
      </c>
      <c r="N400" s="5">
        <v>4.7347868847775698E-2</v>
      </c>
      <c r="O400" s="5">
        <v>80.961047410000006</v>
      </c>
      <c r="P400" s="2">
        <v>20410</v>
      </c>
      <c r="Q400" s="7">
        <f t="shared" si="123"/>
        <v>340.16666666666669</v>
      </c>
      <c r="R400" s="6">
        <f t="shared" si="124"/>
        <v>16.106166719718367</v>
      </c>
      <c r="S400" s="6">
        <f t="shared" si="125"/>
        <v>144.8497227489953</v>
      </c>
      <c r="T400" s="2">
        <f t="shared" si="126"/>
        <v>1</v>
      </c>
      <c r="U400" s="6">
        <f t="shared" si="127"/>
        <v>144.8497227489953</v>
      </c>
      <c r="V400">
        <f>IF((R400-$AB$774)/($Z$773-$AB$774)&lt;0, 0, IF((R400-$AB$774)/($Z$773-$AB$774)&gt;1, 1, (R400-$AB$774)/($Z$773-$AB$774)))</f>
        <v>0.22201438689729749</v>
      </c>
      <c r="W400" s="6">
        <f t="shared" si="128"/>
        <v>32.158722388361717</v>
      </c>
      <c r="Y400" s="78">
        <v>45051.302083333336</v>
      </c>
      <c r="Z400">
        <v>0.121301804174727</v>
      </c>
      <c r="AA400" s="6">
        <v>95.138397370000007</v>
      </c>
      <c r="AB400" s="2">
        <v>8598</v>
      </c>
      <c r="AC400" s="7">
        <f t="shared" si="129"/>
        <v>143.30000000000001</v>
      </c>
      <c r="AD400" s="7">
        <f t="shared" si="130"/>
        <v>17.382548538238378</v>
      </c>
      <c r="AE400" s="7">
        <f t="shared" si="131"/>
        <v>144.8497227489953</v>
      </c>
      <c r="AF400" s="7">
        <f t="shared" si="132"/>
        <v>1</v>
      </c>
      <c r="AG400" s="6">
        <f t="shared" si="133"/>
        <v>144.8497227489953</v>
      </c>
      <c r="AH400" s="2">
        <f t="shared" si="134"/>
        <v>1</v>
      </c>
      <c r="AI400" s="7">
        <f t="shared" si="135"/>
        <v>144.8497227489953</v>
      </c>
      <c r="AK400" s="78">
        <v>45035.854166666664</v>
      </c>
      <c r="AL400" s="5">
        <v>4.4532274011042802E-2</v>
      </c>
      <c r="AM400" s="5">
        <v>86.629835869999994</v>
      </c>
      <c r="AN400" s="2">
        <v>19882</v>
      </c>
      <c r="AO400" s="7">
        <f t="shared" si="122"/>
        <v>331.36666666666667</v>
      </c>
      <c r="AP400" s="5">
        <f t="shared" si="136"/>
        <v>14.756511198125883</v>
      </c>
      <c r="AQ400" s="6">
        <f t="shared" si="137"/>
        <v>138.77297748746841</v>
      </c>
      <c r="AR400" s="2">
        <f t="shared" si="138"/>
        <v>1</v>
      </c>
      <c r="AS400" s="2">
        <f t="shared" si="139"/>
        <v>138.77297748746841</v>
      </c>
    </row>
    <row r="401" spans="13:45" x14ac:dyDescent="0.3">
      <c r="M401" s="78">
        <v>45036.864583333336</v>
      </c>
      <c r="N401" s="5">
        <v>4.5546188362081103E-2</v>
      </c>
      <c r="O401" s="5">
        <v>78.755362430000005</v>
      </c>
      <c r="P401" s="2">
        <v>19606</v>
      </c>
      <c r="Q401" s="7">
        <f t="shared" si="123"/>
        <v>326.76666666666665</v>
      </c>
      <c r="R401" s="6">
        <f t="shared" si="124"/>
        <v>14.882976150449368</v>
      </c>
      <c r="S401" s="6">
        <f t="shared" si="125"/>
        <v>139.35410962300531</v>
      </c>
      <c r="T401" s="2">
        <f t="shared" si="126"/>
        <v>1</v>
      </c>
      <c r="U401" s="6">
        <f t="shared" si="127"/>
        <v>139.35410962300531</v>
      </c>
      <c r="V401">
        <f>IF((R401-$AB$774)/($Z$773-$AB$774)&lt;0, 0, IF((R401-$AB$774)/($Z$773-$AB$774)&gt;1, 1, (R401-$AB$774)/($Z$773-$AB$774)))</f>
        <v>0</v>
      </c>
      <c r="W401" s="6">
        <f t="shared" si="128"/>
        <v>0</v>
      </c>
      <c r="Y401" s="78">
        <v>45051.3125</v>
      </c>
      <c r="Z401">
        <v>0.12522404052023201</v>
      </c>
      <c r="AA401" s="6">
        <v>99.304680700000006</v>
      </c>
      <c r="AB401" s="2">
        <v>8515</v>
      </c>
      <c r="AC401" s="7">
        <f t="shared" si="129"/>
        <v>141.91666666666666</v>
      </c>
      <c r="AD401" s="7">
        <f t="shared" si="130"/>
        <v>17.771378417162925</v>
      </c>
      <c r="AE401" s="7">
        <f t="shared" si="131"/>
        <v>139.35410962300531</v>
      </c>
      <c r="AF401" s="7">
        <f t="shared" si="132"/>
        <v>1</v>
      </c>
      <c r="AG401" s="6">
        <f t="shared" si="133"/>
        <v>139.35410962300531</v>
      </c>
      <c r="AH401" s="2">
        <f t="shared" si="134"/>
        <v>1</v>
      </c>
      <c r="AI401" s="7">
        <f t="shared" si="135"/>
        <v>139.35410962300531</v>
      </c>
      <c r="AK401" s="78">
        <v>45035.864583333336</v>
      </c>
      <c r="AL401" s="5">
        <v>4.3703697590326003E-2</v>
      </c>
      <c r="AM401" s="5">
        <v>86.629835869999994</v>
      </c>
      <c r="AN401" s="2">
        <v>20076</v>
      </c>
      <c r="AO401" s="7">
        <f t="shared" si="122"/>
        <v>334.6</v>
      </c>
      <c r="AP401" s="5">
        <f t="shared" si="136"/>
        <v>14.623257213723081</v>
      </c>
      <c r="AQ401" s="6">
        <f t="shared" si="137"/>
        <v>138.15789186936172</v>
      </c>
      <c r="AR401" s="2">
        <f t="shared" si="138"/>
        <v>1</v>
      </c>
      <c r="AS401" s="2">
        <f t="shared" si="139"/>
        <v>138.15789186936172</v>
      </c>
    </row>
    <row r="402" spans="13:45" x14ac:dyDescent="0.3">
      <c r="M402" s="78">
        <v>45036.875</v>
      </c>
      <c r="N402" s="5">
        <v>4.7442965903376502E-2</v>
      </c>
      <c r="O402" s="5">
        <v>78.762941850000004</v>
      </c>
      <c r="P402" s="2">
        <v>20134</v>
      </c>
      <c r="Q402" s="7">
        <f t="shared" si="123"/>
        <v>335.56666666666666</v>
      </c>
      <c r="R402" s="6">
        <f t="shared" si="124"/>
        <v>15.920277924976375</v>
      </c>
      <c r="S402" s="6">
        <f t="shared" si="125"/>
        <v>144.02862797108932</v>
      </c>
      <c r="T402" s="2">
        <f t="shared" si="126"/>
        <v>1</v>
      </c>
      <c r="U402" s="6">
        <f t="shared" si="127"/>
        <v>144.02862797108932</v>
      </c>
      <c r="V402">
        <f>IF((R402-$AB$774)/($Z$773-$AB$774)&lt;0, 0, IF((R402-$AB$774)/($Z$773-$AB$774)&gt;1, 1, (R402-$AB$774)/($Z$773-$AB$774)))</f>
        <v>0.18798754331710846</v>
      </c>
      <c r="W402" s="6">
        <f t="shared" si="128"/>
        <v>27.075587939618853</v>
      </c>
      <c r="Y402" s="78">
        <v>45051.322916666664</v>
      </c>
      <c r="Z402">
        <v>0.13664541024920901</v>
      </c>
      <c r="AA402" s="6">
        <v>95.138397370000007</v>
      </c>
      <c r="AB402" s="2">
        <v>8049</v>
      </c>
      <c r="AC402" s="7">
        <f t="shared" si="129"/>
        <v>134.15</v>
      </c>
      <c r="AD402" s="7">
        <f t="shared" si="130"/>
        <v>18.330981784931389</v>
      </c>
      <c r="AE402" s="7">
        <f t="shared" si="131"/>
        <v>144.02862797108932</v>
      </c>
      <c r="AF402" s="7">
        <f t="shared" si="132"/>
        <v>1</v>
      </c>
      <c r="AG402" s="6">
        <f t="shared" si="133"/>
        <v>144.02862797108932</v>
      </c>
      <c r="AH402" s="2">
        <f t="shared" si="134"/>
        <v>1</v>
      </c>
      <c r="AI402" s="7">
        <f t="shared" si="135"/>
        <v>144.02862797108932</v>
      </c>
      <c r="AK402" s="78">
        <v>45035.875</v>
      </c>
      <c r="AL402" s="5">
        <v>4.4727121253401801E-2</v>
      </c>
      <c r="AM402" s="5">
        <v>81.841333250000005</v>
      </c>
      <c r="AN402" s="2">
        <v>20285</v>
      </c>
      <c r="AO402" s="7">
        <f t="shared" si="122"/>
        <v>338.08333333333331</v>
      </c>
      <c r="AP402" s="5">
        <f t="shared" si="136"/>
        <v>15.121494243754258</v>
      </c>
      <c r="AQ402" s="6">
        <f t="shared" si="137"/>
        <v>140.44333100864347</v>
      </c>
      <c r="AR402" s="2">
        <f t="shared" si="138"/>
        <v>1</v>
      </c>
      <c r="AS402" s="2">
        <f t="shared" si="139"/>
        <v>140.44333100864347</v>
      </c>
    </row>
    <row r="403" spans="13:45" x14ac:dyDescent="0.3">
      <c r="M403" s="78">
        <v>45036.885416666664</v>
      </c>
      <c r="N403" s="5">
        <v>4.8200676789131501E-2</v>
      </c>
      <c r="O403" s="5">
        <v>76.544179459999995</v>
      </c>
      <c r="P403" s="2">
        <v>20367</v>
      </c>
      <c r="Q403" s="7">
        <f t="shared" si="123"/>
        <v>339.45</v>
      </c>
      <c r="R403" s="6">
        <f t="shared" si="124"/>
        <v>16.361719736070686</v>
      </c>
      <c r="S403" s="6">
        <f t="shared" si="125"/>
        <v>145.97067931537455</v>
      </c>
      <c r="T403" s="2">
        <f t="shared" si="126"/>
        <v>1</v>
      </c>
      <c r="U403" s="6">
        <f t="shared" si="127"/>
        <v>145.97067931537455</v>
      </c>
      <c r="V403">
        <f>IF((R403-$AB$774)/($Z$773-$AB$774)&lt;0, 0, IF((R403-$AB$774)/($Z$773-$AB$774)&gt;1, 1, (R403-$AB$774)/($Z$773-$AB$774)))</f>
        <v>0.26879322865553901</v>
      </c>
      <c r="W403" s="6">
        <f t="shared" si="128"/>
        <v>39.235930182221828</v>
      </c>
      <c r="Y403" s="78">
        <v>45051.333333333336</v>
      </c>
      <c r="Z403">
        <v>0.14999290042437299</v>
      </c>
      <c r="AA403" s="6">
        <v>100.5402337</v>
      </c>
      <c r="AB403" s="2">
        <v>8085</v>
      </c>
      <c r="AC403" s="7">
        <f t="shared" si="129"/>
        <v>134.75</v>
      </c>
      <c r="AD403" s="7">
        <f t="shared" si="130"/>
        <v>20.211543332184259</v>
      </c>
      <c r="AE403" s="7">
        <f t="shared" si="131"/>
        <v>145.97067931537455</v>
      </c>
      <c r="AF403" s="7">
        <f t="shared" si="132"/>
        <v>1</v>
      </c>
      <c r="AG403" s="6">
        <f t="shared" si="133"/>
        <v>145.97067931537455</v>
      </c>
      <c r="AH403" s="2">
        <f t="shared" si="134"/>
        <v>1</v>
      </c>
      <c r="AI403" s="7">
        <f t="shared" si="135"/>
        <v>145.97067931537455</v>
      </c>
      <c r="AK403" s="78">
        <v>45035.885416666664</v>
      </c>
      <c r="AL403" s="5">
        <v>4.5178112568525997E-2</v>
      </c>
      <c r="AM403" s="5">
        <v>84.020316870000002</v>
      </c>
      <c r="AN403" s="2">
        <v>19947</v>
      </c>
      <c r="AO403" s="7">
        <f t="shared" si="122"/>
        <v>332.45</v>
      </c>
      <c r="AP403" s="5">
        <f t="shared" si="136"/>
        <v>15.019463523406467</v>
      </c>
      <c r="AQ403" s="6">
        <f t="shared" si="137"/>
        <v>139.97847649337223</v>
      </c>
      <c r="AR403" s="2">
        <f t="shared" si="138"/>
        <v>1</v>
      </c>
      <c r="AS403" s="2">
        <f t="shared" si="139"/>
        <v>139.97847649337223</v>
      </c>
    </row>
    <row r="404" spans="13:45" x14ac:dyDescent="0.3">
      <c r="M404" s="78">
        <v>45036.895833333336</v>
      </c>
      <c r="N404" s="5">
        <v>4.5664214643004103E-2</v>
      </c>
      <c r="O404" s="5">
        <v>75.208694050000005</v>
      </c>
      <c r="P404" s="2">
        <v>20513</v>
      </c>
      <c r="Q404" s="7">
        <f t="shared" si="123"/>
        <v>341.88333333333333</v>
      </c>
      <c r="R404" s="6">
        <f t="shared" si="124"/>
        <v>15.611833916199052</v>
      </c>
      <c r="S404" s="6">
        <f t="shared" si="125"/>
        <v>142.65532204277196</v>
      </c>
      <c r="T404" s="2">
        <f t="shared" si="126"/>
        <v>1</v>
      </c>
      <c r="U404" s="6">
        <f t="shared" si="127"/>
        <v>142.65532204277196</v>
      </c>
      <c r="V404">
        <f>IF((R404-$AB$774)/($Z$773-$AB$774)&lt;0, 0, IF((R404-$AB$774)/($Z$773-$AB$774)&gt;1, 1, (R404-$AB$774)/($Z$773-$AB$774)))</f>
        <v>0.13152703393309892</v>
      </c>
      <c r="W404" s="6">
        <f t="shared" si="128"/>
        <v>18.76303138305682</v>
      </c>
      <c r="Y404" s="78">
        <v>45051.34375</v>
      </c>
      <c r="Z404">
        <v>0.155179384540789</v>
      </c>
      <c r="AA404" s="6">
        <v>107.0292163</v>
      </c>
      <c r="AB404" s="2">
        <v>7729</v>
      </c>
      <c r="AC404" s="7">
        <f t="shared" si="129"/>
        <v>128.81666666666666</v>
      </c>
      <c r="AD404" s="7">
        <f t="shared" si="130"/>
        <v>19.989691051929302</v>
      </c>
      <c r="AE404" s="7">
        <f t="shared" si="131"/>
        <v>142.65532204277196</v>
      </c>
      <c r="AF404" s="7">
        <f t="shared" si="132"/>
        <v>1</v>
      </c>
      <c r="AG404" s="6">
        <f t="shared" si="133"/>
        <v>142.65532204277196</v>
      </c>
      <c r="AH404" s="2">
        <f t="shared" si="134"/>
        <v>1</v>
      </c>
      <c r="AI404" s="7">
        <f t="shared" si="135"/>
        <v>142.65532204277196</v>
      </c>
      <c r="AK404" s="78">
        <v>45035.895833333336</v>
      </c>
      <c r="AL404" s="5">
        <v>4.3771420532119201E-2</v>
      </c>
      <c r="AM404" s="5">
        <v>86.629835869999994</v>
      </c>
      <c r="AN404" s="2">
        <v>19705</v>
      </c>
      <c r="AO404" s="7">
        <f t="shared" si="122"/>
        <v>328.41666666666669</v>
      </c>
      <c r="AP404" s="5">
        <f t="shared" si="136"/>
        <v>14.375264026423482</v>
      </c>
      <c r="AQ404" s="6">
        <f t="shared" si="137"/>
        <v>137.00551976521567</v>
      </c>
      <c r="AR404" s="2">
        <f t="shared" si="138"/>
        <v>1</v>
      </c>
      <c r="AS404" s="2">
        <f t="shared" si="139"/>
        <v>137.00551976521567</v>
      </c>
    </row>
    <row r="405" spans="13:45" x14ac:dyDescent="0.3">
      <c r="M405" s="78">
        <v>45036.90625</v>
      </c>
      <c r="N405" s="5">
        <v>4.8506336829534598E-2</v>
      </c>
      <c r="O405" s="5">
        <v>82.276892649999994</v>
      </c>
      <c r="P405" s="2">
        <v>19870</v>
      </c>
      <c r="Q405" s="7">
        <f t="shared" si="123"/>
        <v>331.16666666666669</v>
      </c>
      <c r="R405" s="6">
        <f t="shared" si="124"/>
        <v>16.063681880047543</v>
      </c>
      <c r="S405" s="6">
        <f t="shared" si="125"/>
        <v>144.6624898545796</v>
      </c>
      <c r="T405" s="2">
        <f t="shared" si="126"/>
        <v>1</v>
      </c>
      <c r="U405" s="6">
        <f t="shared" si="127"/>
        <v>144.6624898545796</v>
      </c>
      <c r="V405">
        <f>IF((R405-$AB$774)/($Z$773-$AB$774)&lt;0, 0, IF((R405-$AB$774)/($Z$773-$AB$774)&gt;1, 1, (R405-$AB$774)/($Z$773-$AB$774)))</f>
        <v>0.21423755991848467</v>
      </c>
      <c r="W405" s="6">
        <f t="shared" si="128"/>
        <v>30.992138838177677</v>
      </c>
      <c r="Y405" s="78">
        <v>45051.354166666664</v>
      </c>
      <c r="Z405">
        <v>0.130400864610758</v>
      </c>
      <c r="AA405" s="6">
        <v>87.058386479999996</v>
      </c>
      <c r="AB405" s="2">
        <v>8405</v>
      </c>
      <c r="AC405" s="7">
        <f t="shared" si="129"/>
        <v>140.08333333333334</v>
      </c>
      <c r="AD405" s="7">
        <f t="shared" si="130"/>
        <v>18.266987784223684</v>
      </c>
      <c r="AE405" s="7">
        <f t="shared" si="131"/>
        <v>144.6624898545796</v>
      </c>
      <c r="AF405" s="7">
        <f t="shared" si="132"/>
        <v>0.85879488829996842</v>
      </c>
      <c r="AG405" s="6">
        <f t="shared" si="133"/>
        <v>124.23540681585901</v>
      </c>
      <c r="AH405" s="2">
        <f t="shared" si="134"/>
        <v>1</v>
      </c>
      <c r="AI405" s="7">
        <f t="shared" si="135"/>
        <v>144.6624898545796</v>
      </c>
      <c r="AK405" s="78">
        <v>45035.90625</v>
      </c>
      <c r="AL405" s="5">
        <v>4.4837499093094903E-2</v>
      </c>
      <c r="AM405" s="5">
        <v>87.494480339999996</v>
      </c>
      <c r="AN405" s="2">
        <v>19666</v>
      </c>
      <c r="AO405" s="7">
        <f t="shared" si="122"/>
        <v>327.76666666666665</v>
      </c>
      <c r="AP405" s="5">
        <f t="shared" si="136"/>
        <v>14.696237619413406</v>
      </c>
      <c r="AQ405" s="6">
        <f t="shared" si="137"/>
        <v>138.49511392307735</v>
      </c>
      <c r="AR405" s="2">
        <f t="shared" si="138"/>
        <v>1</v>
      </c>
      <c r="AS405" s="2">
        <f t="shared" si="139"/>
        <v>138.49511392307735</v>
      </c>
    </row>
    <row r="406" spans="13:45" x14ac:dyDescent="0.3">
      <c r="M406" s="78">
        <v>45036.916666666664</v>
      </c>
      <c r="N406" s="5">
        <v>4.6917465226308602E-2</v>
      </c>
      <c r="O406" s="5">
        <v>77.875916610000004</v>
      </c>
      <c r="P406" s="2">
        <v>19888</v>
      </c>
      <c r="Q406" s="7">
        <f t="shared" si="123"/>
        <v>331.46666666666664</v>
      </c>
      <c r="R406" s="6">
        <f t="shared" si="124"/>
        <v>15.551575807013757</v>
      </c>
      <c r="S406" s="6">
        <f t="shared" si="125"/>
        <v>142.38541887357201</v>
      </c>
      <c r="T406" s="2">
        <f t="shared" si="126"/>
        <v>1</v>
      </c>
      <c r="U406" s="6">
        <f t="shared" si="127"/>
        <v>142.38541887357201</v>
      </c>
      <c r="V406">
        <f>IF((R406-$AB$774)/($Z$773-$AB$774)&lt;0, 0, IF((R406-$AB$774)/($Z$773-$AB$774)&gt;1, 1, (R406-$AB$774)/($Z$773-$AB$774)))</f>
        <v>0.12049681955932851</v>
      </c>
      <c r="W406" s="6">
        <f t="shared" si="128"/>
        <v>17.156990125888214</v>
      </c>
      <c r="Y406" s="78">
        <v>45051.364583333336</v>
      </c>
      <c r="Z406">
        <v>0.13276330606890099</v>
      </c>
      <c r="AA406" s="6">
        <v>97.229596529999995</v>
      </c>
      <c r="AB406" s="2">
        <v>8160</v>
      </c>
      <c r="AC406" s="7">
        <f t="shared" si="129"/>
        <v>136</v>
      </c>
      <c r="AD406" s="7">
        <f t="shared" si="130"/>
        <v>18.055809625370536</v>
      </c>
      <c r="AE406" s="7">
        <f t="shared" si="131"/>
        <v>142.38541887357201</v>
      </c>
      <c r="AF406" s="7">
        <f t="shared" si="132"/>
        <v>1</v>
      </c>
      <c r="AG406" s="6">
        <f t="shared" si="133"/>
        <v>142.38541887357201</v>
      </c>
      <c r="AH406" s="2">
        <f t="shared" si="134"/>
        <v>1</v>
      </c>
      <c r="AI406" s="7">
        <f t="shared" si="135"/>
        <v>142.38541887357201</v>
      </c>
      <c r="AK406" s="78">
        <v>45035.916666666664</v>
      </c>
      <c r="AL406" s="5">
        <v>4.4445836694896497E-2</v>
      </c>
      <c r="AM406" s="5">
        <v>83.153095449999995</v>
      </c>
      <c r="AN406" s="2">
        <v>20207</v>
      </c>
      <c r="AO406" s="7">
        <f t="shared" si="122"/>
        <v>336.78333333333336</v>
      </c>
      <c r="AP406" s="5">
        <f t="shared" si="136"/>
        <v>14.968617034896226</v>
      </c>
      <c r="AQ406" s="6">
        <f t="shared" si="137"/>
        <v>139.74621697356042</v>
      </c>
      <c r="AR406" s="2">
        <f t="shared" si="138"/>
        <v>1</v>
      </c>
      <c r="AS406" s="2">
        <f t="shared" si="139"/>
        <v>139.74621697356042</v>
      </c>
    </row>
    <row r="407" spans="13:45" x14ac:dyDescent="0.3">
      <c r="M407" s="78">
        <v>45036.927083333336</v>
      </c>
      <c r="N407" s="5">
        <v>4.7835854943416502E-2</v>
      </c>
      <c r="O407" s="5">
        <v>77.875916610000004</v>
      </c>
      <c r="P407" s="2">
        <v>19812</v>
      </c>
      <c r="Q407" s="7">
        <f t="shared" si="123"/>
        <v>330.2</v>
      </c>
      <c r="R407" s="6">
        <f t="shared" si="124"/>
        <v>15.795399302316129</v>
      </c>
      <c r="S407" s="6">
        <f t="shared" si="125"/>
        <v>143.474272737928</v>
      </c>
      <c r="T407" s="2">
        <f t="shared" si="126"/>
        <v>1</v>
      </c>
      <c r="U407" s="6">
        <f t="shared" si="127"/>
        <v>143.474272737928</v>
      </c>
      <c r="V407">
        <f>IF((R407-$AB$774)/($Z$773-$AB$774)&lt;0, 0, IF((R407-$AB$774)/($Z$773-$AB$774)&gt;1, 1, (R407-$AB$774)/($Z$773-$AB$774)))</f>
        <v>0.1651285788181055</v>
      </c>
      <c r="W407" s="6">
        <f t="shared" si="128"/>
        <v>23.69170275417531</v>
      </c>
      <c r="Y407" s="78">
        <v>45051.375</v>
      </c>
      <c r="Z407">
        <v>0.14111921429892199</v>
      </c>
      <c r="AA407" s="6">
        <v>85.762083380000007</v>
      </c>
      <c r="AB407" s="2">
        <v>8059</v>
      </c>
      <c r="AC407" s="7">
        <f t="shared" si="129"/>
        <v>134.31666666666666</v>
      </c>
      <c r="AD407" s="7">
        <f t="shared" si="130"/>
        <v>18.954662467250206</v>
      </c>
      <c r="AE407" s="7">
        <f t="shared" si="131"/>
        <v>143.474272737928</v>
      </c>
      <c r="AF407" s="7">
        <f t="shared" si="132"/>
        <v>0.71708911796319441</v>
      </c>
      <c r="AG407" s="6">
        <f t="shared" si="133"/>
        <v>102.88383968805158</v>
      </c>
      <c r="AH407" s="2">
        <f t="shared" si="134"/>
        <v>1</v>
      </c>
      <c r="AI407" s="7">
        <f t="shared" si="135"/>
        <v>143.474272737928</v>
      </c>
      <c r="AK407" s="78">
        <v>45035.927083333336</v>
      </c>
      <c r="AL407" s="5">
        <v>4.14477156421727E-2</v>
      </c>
      <c r="AM407" s="5">
        <v>82.718647970000006</v>
      </c>
      <c r="AN407" s="2">
        <v>20736</v>
      </c>
      <c r="AO407" s="7">
        <f t="shared" si="122"/>
        <v>345.6</v>
      </c>
      <c r="AP407" s="5">
        <f t="shared" si="136"/>
        <v>14.324330525934887</v>
      </c>
      <c r="AQ407" s="6">
        <f t="shared" si="137"/>
        <v>136.76758987567555</v>
      </c>
      <c r="AR407" s="2">
        <f t="shared" si="138"/>
        <v>1</v>
      </c>
      <c r="AS407" s="2">
        <f t="shared" si="139"/>
        <v>136.76758987567555</v>
      </c>
    </row>
    <row r="408" spans="13:45" x14ac:dyDescent="0.3">
      <c r="M408" s="78">
        <v>45036.9375</v>
      </c>
      <c r="N408" s="5">
        <v>4.2320650904542498E-2</v>
      </c>
      <c r="O408" s="5">
        <v>77.427442880000001</v>
      </c>
      <c r="P408" s="2">
        <v>20518</v>
      </c>
      <c r="Q408" s="7">
        <f t="shared" si="123"/>
        <v>341.96666666666664</v>
      </c>
      <c r="R408" s="6">
        <f t="shared" si="124"/>
        <v>14.472251920990049</v>
      </c>
      <c r="S408" s="6">
        <f t="shared" si="125"/>
        <v>137.45740082430271</v>
      </c>
      <c r="T408" s="2">
        <f t="shared" si="126"/>
        <v>1</v>
      </c>
      <c r="U408" s="6">
        <f t="shared" si="127"/>
        <v>137.45740082430271</v>
      </c>
      <c r="V408">
        <f>IF((R408-$AB$774)/($Z$773-$AB$774)&lt;0, 0, IF((R408-$AB$774)/($Z$773-$AB$774)&gt;1, 1, (R408-$AB$774)/($Z$773-$AB$774)))</f>
        <v>0</v>
      </c>
      <c r="W408" s="6">
        <f t="shared" si="128"/>
        <v>0</v>
      </c>
      <c r="Y408" s="78">
        <v>45051.385416666664</v>
      </c>
      <c r="Z408">
        <v>0.156319165685053</v>
      </c>
      <c r="AA408" s="6">
        <v>91.338086169999997</v>
      </c>
      <c r="AB408" s="2">
        <v>7158</v>
      </c>
      <c r="AC408" s="7">
        <f t="shared" si="129"/>
        <v>119.3</v>
      </c>
      <c r="AD408" s="7">
        <f t="shared" si="130"/>
        <v>18.64887646622682</v>
      </c>
      <c r="AE408" s="7">
        <f t="shared" si="131"/>
        <v>137.45740082430271</v>
      </c>
      <c r="AF408" s="7">
        <f t="shared" si="132"/>
        <v>1</v>
      </c>
      <c r="AG408" s="6">
        <f t="shared" si="133"/>
        <v>137.45740082430271</v>
      </c>
      <c r="AH408" s="2">
        <f t="shared" si="134"/>
        <v>1</v>
      </c>
      <c r="AI408" s="7">
        <f t="shared" si="135"/>
        <v>137.45740082430271</v>
      </c>
      <c r="AK408" s="78">
        <v>45035.9375</v>
      </c>
      <c r="AL408" s="5">
        <v>4.6607782476878003E-2</v>
      </c>
      <c r="AM408" s="5">
        <v>85.331044809999995</v>
      </c>
      <c r="AN408" s="2">
        <v>20116</v>
      </c>
      <c r="AO408" s="7">
        <f t="shared" si="122"/>
        <v>335.26666666666665</v>
      </c>
      <c r="AP408" s="5">
        <f t="shared" si="136"/>
        <v>15.626035871747964</v>
      </c>
      <c r="AQ408" s="6">
        <f t="shared" si="137"/>
        <v>142.71885682422507</v>
      </c>
      <c r="AR408" s="2">
        <f t="shared" si="138"/>
        <v>1</v>
      </c>
      <c r="AS408" s="2">
        <f t="shared" si="139"/>
        <v>142.71885682422507</v>
      </c>
    </row>
    <row r="409" spans="13:45" x14ac:dyDescent="0.3">
      <c r="M409" s="78">
        <v>45036.947916666664</v>
      </c>
      <c r="N409" s="5">
        <v>4.4504848924066601E-2</v>
      </c>
      <c r="O409" s="5">
        <v>75.208694050000005</v>
      </c>
      <c r="P409" s="2">
        <v>20660</v>
      </c>
      <c r="Q409" s="7">
        <f t="shared" si="123"/>
        <v>344.33333333333331</v>
      </c>
      <c r="R409" s="6">
        <f t="shared" si="124"/>
        <v>15.324502979520265</v>
      </c>
      <c r="S409" s="6">
        <f t="shared" si="125"/>
        <v>141.36350731750818</v>
      </c>
      <c r="T409" s="2">
        <f t="shared" si="126"/>
        <v>1</v>
      </c>
      <c r="U409" s="6">
        <f t="shared" si="127"/>
        <v>141.36350731750818</v>
      </c>
      <c r="V409">
        <f>IF((R409-$AB$774)/($Z$773-$AB$774)&lt;0, 0, IF((R409-$AB$774)/($Z$773-$AB$774)&gt;1, 1, (R409-$AB$774)/($Z$773-$AB$774)))</f>
        <v>7.8931261005051115E-2</v>
      </c>
      <c r="W409" s="6">
        <f t="shared" si="128"/>
        <v>11.157999892667691</v>
      </c>
      <c r="Y409" s="78">
        <v>45051.395833333336</v>
      </c>
      <c r="Z409">
        <v>0.15063545718775301</v>
      </c>
      <c r="AA409" s="6">
        <v>90.484855949999996</v>
      </c>
      <c r="AB409" s="2">
        <v>7793</v>
      </c>
      <c r="AC409" s="7">
        <f t="shared" si="129"/>
        <v>129.88333333333333</v>
      </c>
      <c r="AD409" s="7">
        <f t="shared" si="130"/>
        <v>19.565035297735985</v>
      </c>
      <c r="AE409" s="7">
        <f t="shared" si="131"/>
        <v>141.36350731750818</v>
      </c>
      <c r="AF409" s="7">
        <f t="shared" si="132"/>
        <v>1</v>
      </c>
      <c r="AG409" s="6">
        <f t="shared" si="133"/>
        <v>141.36350731750818</v>
      </c>
      <c r="AH409" s="2">
        <f t="shared" si="134"/>
        <v>1</v>
      </c>
      <c r="AI409" s="7">
        <f t="shared" si="135"/>
        <v>141.36350731750818</v>
      </c>
      <c r="AK409" s="78">
        <v>45035.947916666664</v>
      </c>
      <c r="AL409" s="5">
        <v>4.3601656870451498E-2</v>
      </c>
      <c r="AM409" s="5">
        <v>85.331044809999995</v>
      </c>
      <c r="AN409" s="2">
        <v>20684</v>
      </c>
      <c r="AO409" s="7">
        <f t="shared" si="122"/>
        <v>344.73333333333335</v>
      </c>
      <c r="AP409" s="5">
        <f t="shared" si="136"/>
        <v>15.030944511806981</v>
      </c>
      <c r="AQ409" s="6">
        <f t="shared" si="137"/>
        <v>140.03086446025083</v>
      </c>
      <c r="AR409" s="2">
        <f t="shared" si="138"/>
        <v>1</v>
      </c>
      <c r="AS409" s="2">
        <f t="shared" si="139"/>
        <v>140.03086446025083</v>
      </c>
    </row>
    <row r="410" spans="13:45" x14ac:dyDescent="0.3">
      <c r="M410" s="78">
        <v>45036.958333333336</v>
      </c>
      <c r="N410" s="5">
        <v>4.5540237506802597E-2</v>
      </c>
      <c r="O410" s="5">
        <v>73.868067069999995</v>
      </c>
      <c r="P410" s="2">
        <v>20221</v>
      </c>
      <c r="Q410" s="7">
        <f t="shared" si="123"/>
        <v>337.01666666666665</v>
      </c>
      <c r="R410" s="6">
        <f t="shared" si="124"/>
        <v>15.347819043750921</v>
      </c>
      <c r="S410" s="6">
        <f t="shared" si="125"/>
        <v>141.46879262276897</v>
      </c>
      <c r="T410" s="2">
        <f t="shared" si="126"/>
        <v>1</v>
      </c>
      <c r="U410" s="6">
        <f t="shared" si="127"/>
        <v>141.46879262276897</v>
      </c>
      <c r="V410">
        <f>IF((R410-$AB$774)/($Z$773-$AB$774)&lt;0, 0, IF((R410-$AB$774)/($Z$773-$AB$774)&gt;1, 1, (R410-$AB$774)/($Z$773-$AB$774)))</f>
        <v>8.319925398216059E-2</v>
      </c>
      <c r="W410" s="6">
        <f t="shared" si="128"/>
        <v>11.770098007971361</v>
      </c>
      <c r="Y410" s="78">
        <v>45051.40625</v>
      </c>
      <c r="Z410">
        <v>0.13559659874588301</v>
      </c>
      <c r="AA410" s="6">
        <v>89.635700749999998</v>
      </c>
      <c r="AB410" s="2">
        <v>7671</v>
      </c>
      <c r="AC410" s="7">
        <f t="shared" si="129"/>
        <v>127.85</v>
      </c>
      <c r="AD410" s="7">
        <f t="shared" si="130"/>
        <v>17.336025149661143</v>
      </c>
      <c r="AE410" s="7">
        <f t="shared" si="131"/>
        <v>141.46879262276897</v>
      </c>
      <c r="AF410" s="7">
        <f t="shared" si="132"/>
        <v>1</v>
      </c>
      <c r="AG410" s="6">
        <f t="shared" si="133"/>
        <v>141.46879262276897</v>
      </c>
      <c r="AH410" s="2">
        <f t="shared" si="134"/>
        <v>1</v>
      </c>
      <c r="AI410" s="7">
        <f t="shared" si="135"/>
        <v>141.46879262276897</v>
      </c>
      <c r="AK410" s="78">
        <v>45035.958333333336</v>
      </c>
      <c r="AL410" s="5">
        <v>4.2811958030355098E-2</v>
      </c>
      <c r="AM410" s="5">
        <v>85.323607859999996</v>
      </c>
      <c r="AN410" s="2">
        <v>20844</v>
      </c>
      <c r="AO410" s="7">
        <f t="shared" si="122"/>
        <v>347.4</v>
      </c>
      <c r="AP410" s="5">
        <f t="shared" si="136"/>
        <v>14.872874219745359</v>
      </c>
      <c r="AQ410" s="6">
        <f t="shared" si="137"/>
        <v>139.30778203213984</v>
      </c>
      <c r="AR410" s="2">
        <f t="shared" si="138"/>
        <v>1</v>
      </c>
      <c r="AS410" s="2">
        <f t="shared" si="139"/>
        <v>139.30778203213984</v>
      </c>
    </row>
    <row r="411" spans="13:45" x14ac:dyDescent="0.3">
      <c r="M411" s="78">
        <v>45036.96875</v>
      </c>
      <c r="N411" s="5">
        <v>4.1313847604484699E-2</v>
      </c>
      <c r="O411" s="5">
        <v>78.755362430000005</v>
      </c>
      <c r="P411" s="2">
        <v>21567</v>
      </c>
      <c r="Q411" s="7">
        <f t="shared" si="123"/>
        <v>359.45</v>
      </c>
      <c r="R411" s="6">
        <f t="shared" si="124"/>
        <v>14.850262521432025</v>
      </c>
      <c r="S411" s="6">
        <f t="shared" si="125"/>
        <v>139.20402624638575</v>
      </c>
      <c r="T411" s="2">
        <f t="shared" si="126"/>
        <v>1</v>
      </c>
      <c r="U411" s="6">
        <f t="shared" si="127"/>
        <v>139.20402624638575</v>
      </c>
      <c r="V411">
        <f>IF((R411-$AB$774)/($Z$773-$AB$774)&lt;0, 0, IF((R411-$AB$774)/($Z$773-$AB$774)&gt;1, 1, (R411-$AB$774)/($Z$773-$AB$774)))</f>
        <v>0</v>
      </c>
      <c r="W411" s="6">
        <f t="shared" si="128"/>
        <v>0</v>
      </c>
      <c r="Y411" s="78">
        <v>45051.416666666664</v>
      </c>
      <c r="Z411">
        <v>0.12827066685019001</v>
      </c>
      <c r="AA411" s="6">
        <v>98.474887140000007</v>
      </c>
      <c r="AB411" s="2">
        <v>8185</v>
      </c>
      <c r="AC411" s="7">
        <f t="shared" si="129"/>
        <v>136.41666666666666</v>
      </c>
      <c r="AD411" s="7">
        <f t="shared" si="130"/>
        <v>17.498256802813419</v>
      </c>
      <c r="AE411" s="7">
        <f t="shared" si="131"/>
        <v>139.20402624638575</v>
      </c>
      <c r="AF411" s="7">
        <f t="shared" si="132"/>
        <v>1</v>
      </c>
      <c r="AG411" s="6">
        <f t="shared" si="133"/>
        <v>139.20402624638575</v>
      </c>
      <c r="AH411" s="2">
        <f t="shared" si="134"/>
        <v>1</v>
      </c>
      <c r="AI411" s="7">
        <f t="shared" si="135"/>
        <v>139.20402624638575</v>
      </c>
      <c r="AK411" s="78">
        <v>45035.96875</v>
      </c>
      <c r="AL411" s="5">
        <v>4.5510255693748197E-2</v>
      </c>
      <c r="AM411" s="5">
        <v>86.192545629999998</v>
      </c>
      <c r="AN411" s="2">
        <v>18552</v>
      </c>
      <c r="AO411" s="7">
        <f t="shared" si="122"/>
        <v>309.2</v>
      </c>
      <c r="AP411" s="5">
        <f t="shared" si="136"/>
        <v>14.071771060506942</v>
      </c>
      <c r="AQ411" s="6">
        <f t="shared" si="137"/>
        <v>135.58135840727533</v>
      </c>
      <c r="AR411" s="2">
        <f t="shared" si="138"/>
        <v>1</v>
      </c>
      <c r="AS411" s="2">
        <f t="shared" si="139"/>
        <v>135.58135840727533</v>
      </c>
    </row>
    <row r="412" spans="13:45" x14ac:dyDescent="0.3">
      <c r="M412" s="78">
        <v>45036.979166666664</v>
      </c>
      <c r="N412" s="5">
        <v>4.2767588902407401E-2</v>
      </c>
      <c r="O412" s="5">
        <v>78.755362430000005</v>
      </c>
      <c r="P412" s="2">
        <v>20762</v>
      </c>
      <c r="Q412" s="7">
        <f t="shared" si="123"/>
        <v>346.03333333333336</v>
      </c>
      <c r="R412" s="6">
        <f t="shared" si="124"/>
        <v>14.799011346529708</v>
      </c>
      <c r="S412" s="6">
        <f t="shared" si="125"/>
        <v>138.96855682300247</v>
      </c>
      <c r="T412" s="2">
        <f t="shared" si="126"/>
        <v>1</v>
      </c>
      <c r="U412" s="6">
        <f t="shared" si="127"/>
        <v>138.96855682300247</v>
      </c>
      <c r="V412">
        <f>IF((R412-$AB$774)/($Z$773-$AB$774)&lt;0, 0, IF((R412-$AB$774)/($Z$773-$AB$774)&gt;1, 1, (R412-$AB$774)/($Z$773-$AB$774)))</f>
        <v>0</v>
      </c>
      <c r="W412" s="6">
        <f t="shared" si="128"/>
        <v>0</v>
      </c>
      <c r="Y412" s="78">
        <v>45051.427083333336</v>
      </c>
      <c r="Z412">
        <v>0.15519913711835201</v>
      </c>
      <c r="AA412" s="6">
        <v>93.877037450000003</v>
      </c>
      <c r="AB412" s="2">
        <v>7265</v>
      </c>
      <c r="AC412" s="7">
        <f t="shared" si="129"/>
        <v>121.08333333333333</v>
      </c>
      <c r="AD412" s="7">
        <f t="shared" si="130"/>
        <v>18.792028852747123</v>
      </c>
      <c r="AE412" s="7">
        <f t="shared" si="131"/>
        <v>138.96855682300247</v>
      </c>
      <c r="AF412" s="7">
        <f t="shared" si="132"/>
        <v>1</v>
      </c>
      <c r="AG412" s="6">
        <f t="shared" si="133"/>
        <v>138.96855682300247</v>
      </c>
      <c r="AH412" s="2">
        <f t="shared" si="134"/>
        <v>1</v>
      </c>
      <c r="AI412" s="7">
        <f t="shared" si="135"/>
        <v>138.96855682300247</v>
      </c>
      <c r="AK412" s="78">
        <v>45035.979166666664</v>
      </c>
      <c r="AL412" s="5">
        <v>4.9080429516661001E-2</v>
      </c>
      <c r="AM412" s="5">
        <v>90.915794009999999</v>
      </c>
      <c r="AN412" s="2">
        <v>18840</v>
      </c>
      <c r="AO412" s="7">
        <f t="shared" si="122"/>
        <v>314</v>
      </c>
      <c r="AP412" s="5">
        <f t="shared" si="136"/>
        <v>15.411254868231554</v>
      </c>
      <c r="AQ412" s="6">
        <f t="shared" si="137"/>
        <v>141.75482907133627</v>
      </c>
      <c r="AR412" s="2">
        <f t="shared" si="138"/>
        <v>1</v>
      </c>
      <c r="AS412" s="2">
        <f t="shared" si="139"/>
        <v>141.75482907133627</v>
      </c>
    </row>
    <row r="413" spans="13:45" x14ac:dyDescent="0.3">
      <c r="M413" s="78">
        <v>45036.989583333336</v>
      </c>
      <c r="N413" s="5">
        <v>4.9715485992466099E-2</v>
      </c>
      <c r="O413" s="5">
        <v>80.961047410000006</v>
      </c>
      <c r="P413" s="2">
        <v>20955</v>
      </c>
      <c r="Q413" s="7">
        <f t="shared" si="123"/>
        <v>349.25</v>
      </c>
      <c r="R413" s="6">
        <f t="shared" si="124"/>
        <v>17.363133482868786</v>
      </c>
      <c r="S413" s="6">
        <f t="shared" si="125"/>
        <v>150.27940787843164</v>
      </c>
      <c r="T413" s="2">
        <f t="shared" si="126"/>
        <v>1</v>
      </c>
      <c r="U413" s="6">
        <f t="shared" si="127"/>
        <v>150.27940787843164</v>
      </c>
      <c r="V413">
        <f>IF((R413-$AB$774)/($Z$773-$AB$774)&lt;0, 0, IF((R413-$AB$774)/($Z$773-$AB$774)&gt;1, 1, (R413-$AB$774)/($Z$773-$AB$774)))</f>
        <v>0.45210147468857748</v>
      </c>
      <c r="W413" s="6">
        <f t="shared" si="128"/>
        <v>67.941541917165168</v>
      </c>
      <c r="Y413" s="78">
        <v>45051.4375</v>
      </c>
      <c r="Z413">
        <v>0.14084219855380201</v>
      </c>
      <c r="AA413" s="6">
        <v>95.977802339999997</v>
      </c>
      <c r="AB413" s="2">
        <v>7445</v>
      </c>
      <c r="AC413" s="7">
        <f t="shared" si="129"/>
        <v>124.08333333333333</v>
      </c>
      <c r="AD413" s="7">
        <f t="shared" si="130"/>
        <v>17.476169470550932</v>
      </c>
      <c r="AE413" s="7">
        <f t="shared" si="131"/>
        <v>150.27940787843164</v>
      </c>
      <c r="AF413" s="7">
        <f t="shared" si="132"/>
        <v>1</v>
      </c>
      <c r="AG413" s="6">
        <f t="shared" si="133"/>
        <v>150.27940787843164</v>
      </c>
      <c r="AH413" s="2">
        <f t="shared" si="134"/>
        <v>1</v>
      </c>
      <c r="AI413" s="7">
        <f t="shared" si="135"/>
        <v>150.27940787843164</v>
      </c>
      <c r="AK413" s="78">
        <v>45035.989583333336</v>
      </c>
      <c r="AL413" s="5">
        <v>4.6356855031695399E-2</v>
      </c>
      <c r="AM413" s="5">
        <v>84.020316870000002</v>
      </c>
      <c r="AN413" s="2">
        <v>19170</v>
      </c>
      <c r="AO413" s="7">
        <f t="shared" si="122"/>
        <v>319.5</v>
      </c>
      <c r="AP413" s="5">
        <f t="shared" si="136"/>
        <v>14.811015182626679</v>
      </c>
      <c r="AQ413" s="6">
        <f t="shared" si="137"/>
        <v>139.02374475896053</v>
      </c>
      <c r="AR413" s="2">
        <f t="shared" si="138"/>
        <v>1</v>
      </c>
      <c r="AS413" s="2">
        <f t="shared" si="139"/>
        <v>139.02374475896053</v>
      </c>
    </row>
    <row r="414" spans="13:45" x14ac:dyDescent="0.3">
      <c r="M414" s="78">
        <v>45037</v>
      </c>
      <c r="N414" s="5">
        <v>4.5182133907290603E-2</v>
      </c>
      <c r="O414" s="5">
        <v>78.755362430000005</v>
      </c>
      <c r="P414" s="2">
        <v>20517</v>
      </c>
      <c r="Q414" s="7">
        <f t="shared" si="123"/>
        <v>341.95</v>
      </c>
      <c r="R414" s="6">
        <f t="shared" si="124"/>
        <v>15.450030689598021</v>
      </c>
      <c r="S414" s="6">
        <f t="shared" si="125"/>
        <v>141.92937608654663</v>
      </c>
      <c r="T414" s="2">
        <f t="shared" si="126"/>
        <v>1</v>
      </c>
      <c r="U414" s="6">
        <f t="shared" si="127"/>
        <v>141.92937608654663</v>
      </c>
      <c r="V414">
        <f>IF((R414-$AB$774)/($Z$773-$AB$774)&lt;0, 0, IF((R414-$AB$774)/($Z$773-$AB$774)&gt;1, 1, (R414-$AB$774)/($Z$773-$AB$774)))</f>
        <v>0.10190904060561068</v>
      </c>
      <c r="W414" s="6">
        <f t="shared" si="128"/>
        <v>14.46388655073287</v>
      </c>
      <c r="Y414" s="78">
        <v>45051.447916666664</v>
      </c>
      <c r="Z414">
        <v>0.16067723761462799</v>
      </c>
      <c r="AA414" s="6">
        <v>95.138397370000007</v>
      </c>
      <c r="AB414" s="2">
        <v>7254</v>
      </c>
      <c r="AC414" s="7">
        <f t="shared" si="129"/>
        <v>120.9</v>
      </c>
      <c r="AD414" s="7">
        <f t="shared" si="130"/>
        <v>19.425878027608526</v>
      </c>
      <c r="AE414" s="7">
        <f t="shared" si="131"/>
        <v>141.92937608654663</v>
      </c>
      <c r="AF414" s="7">
        <f t="shared" si="132"/>
        <v>1</v>
      </c>
      <c r="AG414" s="6">
        <f t="shared" si="133"/>
        <v>141.92937608654663</v>
      </c>
      <c r="AH414" s="2">
        <f t="shared" si="134"/>
        <v>1</v>
      </c>
      <c r="AI414" s="7">
        <f t="shared" si="135"/>
        <v>141.92937608654663</v>
      </c>
      <c r="AK414" s="78">
        <v>45036</v>
      </c>
      <c r="AL414" s="5">
        <v>4.7522601981635902E-2</v>
      </c>
      <c r="AM414" s="5">
        <v>82.711152870000006</v>
      </c>
      <c r="AN414" s="2">
        <v>18779</v>
      </c>
      <c r="AO414" s="7">
        <f t="shared" si="122"/>
        <v>312.98333333333335</v>
      </c>
      <c r="AP414" s="5">
        <f t="shared" si="136"/>
        <v>14.873782376885677</v>
      </c>
      <c r="AQ414" s="6">
        <f t="shared" si="137"/>
        <v>139.31194750982698</v>
      </c>
      <c r="AR414" s="2">
        <f t="shared" si="138"/>
        <v>1</v>
      </c>
      <c r="AS414" s="2">
        <f t="shared" si="139"/>
        <v>139.31194750982698</v>
      </c>
    </row>
    <row r="415" spans="13:45" x14ac:dyDescent="0.3">
      <c r="M415" s="78">
        <v>45037.010416666664</v>
      </c>
      <c r="N415" s="5">
        <v>4.1133388230819003E-2</v>
      </c>
      <c r="O415" s="5">
        <v>73.868067069999995</v>
      </c>
      <c r="P415" s="2">
        <v>21566</v>
      </c>
      <c r="Q415" s="7">
        <f t="shared" si="123"/>
        <v>359.43333333333334</v>
      </c>
      <c r="R415" s="6">
        <f t="shared" si="124"/>
        <v>14.784710843097377</v>
      </c>
      <c r="S415" s="6">
        <f t="shared" si="125"/>
        <v>138.90278007603979</v>
      </c>
      <c r="T415" s="2">
        <f t="shared" si="126"/>
        <v>1</v>
      </c>
      <c r="U415" s="6">
        <f t="shared" si="127"/>
        <v>138.90278007603979</v>
      </c>
      <c r="V415">
        <f>IF((R415-$AB$774)/($Z$773-$AB$774)&lt;0, 0, IF((R415-$AB$774)/($Z$773-$AB$774)&gt;1, 1, (R415-$AB$774)/($Z$773-$AB$774)))</f>
        <v>0</v>
      </c>
      <c r="W415" s="6">
        <f t="shared" si="128"/>
        <v>0</v>
      </c>
      <c r="Y415" s="78">
        <v>45051.458333333336</v>
      </c>
      <c r="Z415">
        <v>0.14271592972723099</v>
      </c>
      <c r="AA415" s="6">
        <v>97.229596529999995</v>
      </c>
      <c r="AB415" s="2">
        <v>7256</v>
      </c>
      <c r="AC415" s="7">
        <f t="shared" si="129"/>
        <v>120.93333333333334</v>
      </c>
      <c r="AD415" s="7">
        <f t="shared" si="130"/>
        <v>17.259113101679802</v>
      </c>
      <c r="AE415" s="7">
        <f t="shared" si="131"/>
        <v>138.90278007603979</v>
      </c>
      <c r="AF415" s="7">
        <f t="shared" si="132"/>
        <v>1</v>
      </c>
      <c r="AG415" s="6">
        <f t="shared" si="133"/>
        <v>138.90278007603979</v>
      </c>
      <c r="AH415" s="2">
        <f t="shared" si="134"/>
        <v>1</v>
      </c>
      <c r="AI415" s="7">
        <f t="shared" si="135"/>
        <v>138.90278007603979</v>
      </c>
      <c r="AK415" s="78">
        <v>45036.010416666664</v>
      </c>
      <c r="AL415" s="5">
        <v>4.71909111761167E-2</v>
      </c>
      <c r="AM415" s="5">
        <v>84.891986889999998</v>
      </c>
      <c r="AN415" s="2">
        <v>19121</v>
      </c>
      <c r="AO415" s="7">
        <f t="shared" si="122"/>
        <v>318.68333333333334</v>
      </c>
      <c r="AP415" s="5">
        <f t="shared" si="136"/>
        <v>15.038956876642123</v>
      </c>
      <c r="AQ415" s="6">
        <f t="shared" si="137"/>
        <v>140.06741293538255</v>
      </c>
      <c r="AR415" s="2">
        <f t="shared" si="138"/>
        <v>1</v>
      </c>
      <c r="AS415" s="2">
        <f t="shared" si="139"/>
        <v>140.06741293538255</v>
      </c>
    </row>
    <row r="416" spans="13:45" x14ac:dyDescent="0.3">
      <c r="M416" s="78">
        <v>45037.020833333336</v>
      </c>
      <c r="N416" s="5">
        <v>4.2746409986562303E-2</v>
      </c>
      <c r="O416" s="5">
        <v>75.208694050000005</v>
      </c>
      <c r="P416" s="2">
        <v>20907</v>
      </c>
      <c r="Q416" s="7">
        <f t="shared" si="123"/>
        <v>348.45</v>
      </c>
      <c r="R416" s="6">
        <f t="shared" si="124"/>
        <v>14.894986559817633</v>
      </c>
      <c r="S416" s="6">
        <f t="shared" si="125"/>
        <v>139.40916864765245</v>
      </c>
      <c r="T416" s="2">
        <f t="shared" si="126"/>
        <v>1</v>
      </c>
      <c r="U416" s="6">
        <f t="shared" si="127"/>
        <v>139.40916864765245</v>
      </c>
      <c r="V416">
        <f>IF((R416-$AB$774)/($Z$773-$AB$774)&lt;0, 0, IF((R416-$AB$774)/($Z$773-$AB$774)&gt;1, 1, (R416-$AB$774)/($Z$773-$AB$774)))</f>
        <v>3.0851212645631177E-4</v>
      </c>
      <c r="W416" s="6">
        <f t="shared" si="128"/>
        <v>4.3009419066993848E-2</v>
      </c>
      <c r="Y416" s="78">
        <v>45051.46875</v>
      </c>
      <c r="Z416">
        <v>0.14286416752634201</v>
      </c>
      <c r="AA416" s="6">
        <v>95.138397370000007</v>
      </c>
      <c r="AB416" s="2">
        <v>7122</v>
      </c>
      <c r="AC416" s="7">
        <f t="shared" si="129"/>
        <v>118.7</v>
      </c>
      <c r="AD416" s="7">
        <f t="shared" si="130"/>
        <v>16.957976685376796</v>
      </c>
      <c r="AE416" s="7">
        <f t="shared" si="131"/>
        <v>139.40916864765245</v>
      </c>
      <c r="AF416" s="7">
        <f t="shared" si="132"/>
        <v>1</v>
      </c>
      <c r="AG416" s="6">
        <f t="shared" si="133"/>
        <v>139.40916864765245</v>
      </c>
      <c r="AH416" s="2">
        <f t="shared" si="134"/>
        <v>1</v>
      </c>
      <c r="AI416" s="7">
        <f t="shared" si="135"/>
        <v>139.40916864765245</v>
      </c>
      <c r="AK416" s="78">
        <v>45036.020833333336</v>
      </c>
      <c r="AL416" s="5">
        <v>4.7091246640226597E-2</v>
      </c>
      <c r="AM416" s="5">
        <v>81.397704649999994</v>
      </c>
      <c r="AN416" s="2">
        <v>19299</v>
      </c>
      <c r="AO416" s="7">
        <f t="shared" si="122"/>
        <v>321.64999999999998</v>
      </c>
      <c r="AP416" s="5">
        <f t="shared" si="136"/>
        <v>15.146899481828884</v>
      </c>
      <c r="AQ416" s="6">
        <f t="shared" si="137"/>
        <v>140.55882881453741</v>
      </c>
      <c r="AR416" s="2">
        <f t="shared" si="138"/>
        <v>1</v>
      </c>
      <c r="AS416" s="2">
        <f t="shared" si="139"/>
        <v>140.55882881453741</v>
      </c>
    </row>
    <row r="417" spans="13:45" x14ac:dyDescent="0.3">
      <c r="M417" s="78">
        <v>45037.03125</v>
      </c>
      <c r="N417" s="5">
        <v>4.1592603152006101E-2</v>
      </c>
      <c r="O417" s="5">
        <v>74.312865549999998</v>
      </c>
      <c r="P417" s="2">
        <v>20769</v>
      </c>
      <c r="Q417" s="7">
        <f t="shared" si="123"/>
        <v>346.15</v>
      </c>
      <c r="R417" s="6">
        <f t="shared" si="124"/>
        <v>14.397279581066911</v>
      </c>
      <c r="S417" s="6">
        <f t="shared" si="125"/>
        <v>137.10822967857183</v>
      </c>
      <c r="T417" s="2">
        <f t="shared" si="126"/>
        <v>1</v>
      </c>
      <c r="U417" s="6">
        <f t="shared" si="127"/>
        <v>137.10822967857183</v>
      </c>
      <c r="V417">
        <f>IF((R417-$AB$774)/($Z$773-$AB$774)&lt;0, 0, IF((R417-$AB$774)/($Z$773-$AB$774)&gt;1, 1, (R417-$AB$774)/($Z$773-$AB$774)))</f>
        <v>0</v>
      </c>
      <c r="W417" s="6">
        <f t="shared" si="128"/>
        <v>0</v>
      </c>
      <c r="Y417" s="78">
        <v>45051.479166666664</v>
      </c>
      <c r="Z417">
        <v>0.158177539412897</v>
      </c>
      <c r="AA417" s="6">
        <v>98.474887140000007</v>
      </c>
      <c r="AB417" s="2">
        <v>7193</v>
      </c>
      <c r="AC417" s="7">
        <f t="shared" si="129"/>
        <v>119.88333333333334</v>
      </c>
      <c r="AD417" s="7">
        <f t="shared" si="130"/>
        <v>18.962850683282802</v>
      </c>
      <c r="AE417" s="7">
        <f t="shared" si="131"/>
        <v>137.10822967857183</v>
      </c>
      <c r="AF417" s="7">
        <f t="shared" si="132"/>
        <v>1</v>
      </c>
      <c r="AG417" s="6">
        <f t="shared" si="133"/>
        <v>137.10822967857183</v>
      </c>
      <c r="AH417" s="2">
        <f t="shared" si="134"/>
        <v>1</v>
      </c>
      <c r="AI417" s="7">
        <f t="shared" si="135"/>
        <v>137.10822967857183</v>
      </c>
      <c r="AK417" s="78">
        <v>45036.03125</v>
      </c>
      <c r="AL417" s="5">
        <v>4.7710411477531897E-2</v>
      </c>
      <c r="AM417" s="5">
        <v>84.027783200000002</v>
      </c>
      <c r="AN417" s="2">
        <v>19766</v>
      </c>
      <c r="AO417" s="7">
        <f t="shared" si="122"/>
        <v>329.43333333333334</v>
      </c>
      <c r="AP417" s="5">
        <f t="shared" si="136"/>
        <v>15.717399887748257</v>
      </c>
      <c r="AQ417" s="6">
        <f t="shared" si="137"/>
        <v>143.1268861224581</v>
      </c>
      <c r="AR417" s="2">
        <f t="shared" si="138"/>
        <v>1</v>
      </c>
      <c r="AS417" s="2">
        <f t="shared" si="139"/>
        <v>143.1268861224581</v>
      </c>
    </row>
    <row r="418" spans="13:45" x14ac:dyDescent="0.3">
      <c r="M418" s="78">
        <v>45037.041666666664</v>
      </c>
      <c r="N418" s="5">
        <v>4.5804798261462797E-2</v>
      </c>
      <c r="O418" s="5">
        <v>73.868067069999995</v>
      </c>
      <c r="P418" s="2">
        <v>20835</v>
      </c>
      <c r="Q418" s="7">
        <f t="shared" si="123"/>
        <v>347.25</v>
      </c>
      <c r="R418" s="6">
        <f t="shared" si="124"/>
        <v>15.905716196292957</v>
      </c>
      <c r="S418" s="6">
        <f t="shared" si="125"/>
        <v>143.96410080284656</v>
      </c>
      <c r="T418" s="2">
        <f t="shared" si="126"/>
        <v>1</v>
      </c>
      <c r="U418" s="6">
        <f t="shared" si="127"/>
        <v>143.96410080284656</v>
      </c>
      <c r="V418">
        <f>IF((R418-$AB$774)/($Z$773-$AB$774)&lt;0, 0, IF((R418-$AB$774)/($Z$773-$AB$774)&gt;1, 1, (R418-$AB$774)/($Z$773-$AB$774)))</f>
        <v>0.18532202673847042</v>
      </c>
      <c r="W418" s="6">
        <f t="shared" si="128"/>
        <v>26.679718938364982</v>
      </c>
      <c r="Y418" s="78">
        <v>45051.489583333336</v>
      </c>
      <c r="Z418">
        <v>0.14579520575303401</v>
      </c>
      <c r="AA418" s="6">
        <v>90.915794009999999</v>
      </c>
      <c r="AB418" s="2">
        <v>7148</v>
      </c>
      <c r="AC418" s="7">
        <f t="shared" si="129"/>
        <v>119.13333333333334</v>
      </c>
      <c r="AD418" s="7">
        <f t="shared" si="130"/>
        <v>17.36906884537812</v>
      </c>
      <c r="AE418" s="7">
        <f t="shared" si="131"/>
        <v>143.96410080284656</v>
      </c>
      <c r="AF418" s="7">
        <f t="shared" si="132"/>
        <v>1</v>
      </c>
      <c r="AG418" s="6">
        <f t="shared" si="133"/>
        <v>143.96410080284656</v>
      </c>
      <c r="AH418" s="2">
        <f t="shared" si="134"/>
        <v>1</v>
      </c>
      <c r="AI418" s="7">
        <f t="shared" si="135"/>
        <v>143.96410080284656</v>
      </c>
      <c r="AK418" s="78">
        <v>45036.041666666664</v>
      </c>
      <c r="AL418" s="5">
        <v>4.6633751675655297E-2</v>
      </c>
      <c r="AM418" s="5">
        <v>81.841333250000005</v>
      </c>
      <c r="AN418" s="2">
        <v>19589</v>
      </c>
      <c r="AO418" s="7">
        <f t="shared" si="122"/>
        <v>326.48333333333335</v>
      </c>
      <c r="AP418" s="5">
        <f t="shared" si="136"/>
        <v>15.225142692906861</v>
      </c>
      <c r="AQ418" s="6">
        <f t="shared" si="137"/>
        <v>140.91391997391543</v>
      </c>
      <c r="AR418" s="2">
        <f t="shared" si="138"/>
        <v>1</v>
      </c>
      <c r="AS418" s="2">
        <f t="shared" si="139"/>
        <v>140.91391997391543</v>
      </c>
    </row>
    <row r="419" spans="13:45" x14ac:dyDescent="0.3">
      <c r="M419" s="78">
        <v>45037.052083333336</v>
      </c>
      <c r="N419" s="5">
        <v>4.7355250274538303E-2</v>
      </c>
      <c r="O419" s="5">
        <v>77.435049230000004</v>
      </c>
      <c r="P419" s="2">
        <v>20456</v>
      </c>
      <c r="Q419" s="7">
        <f t="shared" si="123"/>
        <v>340.93333333333334</v>
      </c>
      <c r="R419" s="6">
        <f t="shared" si="124"/>
        <v>16.144983326932593</v>
      </c>
      <c r="S419" s="6">
        <f t="shared" si="125"/>
        <v>145.02056934836287</v>
      </c>
      <c r="T419" s="2">
        <f t="shared" si="126"/>
        <v>1</v>
      </c>
      <c r="U419" s="6">
        <f t="shared" si="127"/>
        <v>145.02056934836287</v>
      </c>
      <c r="V419">
        <f>IF((R419-$AB$774)/($Z$773-$AB$774)&lt;0, 0, IF((R419-$AB$774)/($Z$773-$AB$774)&gt;1, 1, (R419-$AB$774)/($Z$773-$AB$774)))</f>
        <v>0.22911974590414541</v>
      </c>
      <c r="W419" s="6">
        <f t="shared" si="128"/>
        <v>33.227075999971397</v>
      </c>
      <c r="Y419" s="78">
        <v>45051.5</v>
      </c>
      <c r="Z419">
        <v>0.16121100364999899</v>
      </c>
      <c r="AA419" s="6">
        <v>101.3564556</v>
      </c>
      <c r="AB419" s="2">
        <v>6504</v>
      </c>
      <c r="AC419" s="7">
        <f t="shared" si="129"/>
        <v>108.4</v>
      </c>
      <c r="AD419" s="7">
        <f t="shared" si="130"/>
        <v>17.47527279565989</v>
      </c>
      <c r="AE419" s="7">
        <f t="shared" si="131"/>
        <v>145.02056934836287</v>
      </c>
      <c r="AF419" s="7">
        <f t="shared" si="132"/>
        <v>1</v>
      </c>
      <c r="AG419" s="6">
        <f t="shared" si="133"/>
        <v>145.02056934836287</v>
      </c>
      <c r="AH419" s="2">
        <f t="shared" si="134"/>
        <v>1</v>
      </c>
      <c r="AI419" s="7">
        <f t="shared" si="135"/>
        <v>145.02056934836287</v>
      </c>
      <c r="AK419" s="78">
        <v>45036.052083333336</v>
      </c>
      <c r="AL419" s="5">
        <v>4.7013789519058297E-2</v>
      </c>
      <c r="AM419" s="5">
        <v>81.841333250000005</v>
      </c>
      <c r="AN419" s="2">
        <v>19299</v>
      </c>
      <c r="AO419" s="7">
        <f t="shared" si="122"/>
        <v>321.64999999999998</v>
      </c>
      <c r="AP419" s="5">
        <f t="shared" si="136"/>
        <v>15.1219853988051</v>
      </c>
      <c r="AQ419" s="6">
        <f t="shared" si="137"/>
        <v>140.44556484591237</v>
      </c>
      <c r="AR419" s="2">
        <f t="shared" si="138"/>
        <v>1</v>
      </c>
      <c r="AS419" s="2">
        <f t="shared" si="139"/>
        <v>140.44556484591237</v>
      </c>
    </row>
    <row r="420" spans="13:45" x14ac:dyDescent="0.3">
      <c r="M420" s="78">
        <v>45037.0625</v>
      </c>
      <c r="N420" s="5">
        <v>4.3236752412736799E-2</v>
      </c>
      <c r="O420" s="5">
        <v>79.648616399999995</v>
      </c>
      <c r="P420" s="2">
        <v>20749</v>
      </c>
      <c r="Q420" s="7">
        <f t="shared" si="123"/>
        <v>345.81666666666666</v>
      </c>
      <c r="R420" s="6">
        <f t="shared" si="124"/>
        <v>14.951989596864598</v>
      </c>
      <c r="S420" s="6">
        <f t="shared" si="125"/>
        <v>139.6701778738298</v>
      </c>
      <c r="T420" s="2">
        <f t="shared" si="126"/>
        <v>1</v>
      </c>
      <c r="U420" s="6">
        <f t="shared" si="127"/>
        <v>139.6701778738298</v>
      </c>
      <c r="V420">
        <f>IF((R420-$AB$774)/($Z$773-$AB$774)&lt;0, 0, IF((R420-$AB$774)/($Z$773-$AB$774)&gt;1, 1, (R420-$AB$774)/($Z$773-$AB$774)))</f>
        <v>1.0742887301597658E-2</v>
      </c>
      <c r="W420" s="6">
        <f t="shared" si="128"/>
        <v>1.5004609802926523</v>
      </c>
      <c r="Y420" s="78">
        <v>45051.510416666664</v>
      </c>
      <c r="Z420">
        <v>0.18428154838922201</v>
      </c>
      <c r="AA420" s="6">
        <v>95.977802339999997</v>
      </c>
      <c r="AB420" s="2">
        <v>6768</v>
      </c>
      <c r="AC420" s="7">
        <f t="shared" si="129"/>
        <v>112.8</v>
      </c>
      <c r="AD420" s="7">
        <f t="shared" si="130"/>
        <v>20.786958658304243</v>
      </c>
      <c r="AE420" s="7">
        <f t="shared" si="131"/>
        <v>139.6701778738298</v>
      </c>
      <c r="AF420" s="7">
        <f t="shared" si="132"/>
        <v>1</v>
      </c>
      <c r="AG420" s="6">
        <f t="shared" si="133"/>
        <v>139.6701778738298</v>
      </c>
      <c r="AH420" s="2">
        <f t="shared" si="134"/>
        <v>1</v>
      </c>
      <c r="AI420" s="7">
        <f t="shared" si="135"/>
        <v>139.6701778738298</v>
      </c>
      <c r="AK420" s="78">
        <v>45036.0625</v>
      </c>
      <c r="AL420" s="5">
        <v>4.7062613040068403E-2</v>
      </c>
      <c r="AM420" s="5">
        <v>84.027783200000002</v>
      </c>
      <c r="AN420" s="2">
        <v>19060</v>
      </c>
      <c r="AO420" s="7">
        <f t="shared" ref="AO420:AO483" si="140">AN420/60</f>
        <v>317.66666666666669</v>
      </c>
      <c r="AP420" s="5">
        <f t="shared" si="136"/>
        <v>14.95022340906173</v>
      </c>
      <c r="AQ420" s="6">
        <f t="shared" si="137"/>
        <v>139.66209836843606</v>
      </c>
      <c r="AR420" s="2">
        <f t="shared" si="138"/>
        <v>1</v>
      </c>
      <c r="AS420" s="2">
        <f t="shared" si="139"/>
        <v>139.66209836843606</v>
      </c>
    </row>
    <row r="421" spans="13:45" x14ac:dyDescent="0.3">
      <c r="M421" s="78">
        <v>45037.072916666664</v>
      </c>
      <c r="N421" s="5">
        <v>4.4038201875614802E-2</v>
      </c>
      <c r="O421" s="5">
        <v>82.284398269999997</v>
      </c>
      <c r="P421" s="2">
        <v>20948</v>
      </c>
      <c r="Q421" s="7">
        <f t="shared" si="123"/>
        <v>349.13333333333333</v>
      </c>
      <c r="R421" s="6">
        <f t="shared" si="124"/>
        <v>15.375204214839648</v>
      </c>
      <c r="S421" s="6">
        <f t="shared" si="125"/>
        <v>141.59234808587343</v>
      </c>
      <c r="T421" s="2">
        <f t="shared" si="126"/>
        <v>1</v>
      </c>
      <c r="U421" s="6">
        <f t="shared" si="127"/>
        <v>141.59234808587343</v>
      </c>
      <c r="V421">
        <f>IF((R421-$AB$774)/($Z$773-$AB$774)&lt;0, 0, IF((R421-$AB$774)/($Z$773-$AB$774)&gt;1, 1, (R421-$AB$774)/($Z$773-$AB$774)))</f>
        <v>8.8212094774130931E-2</v>
      </c>
      <c r="W421" s="6">
        <f t="shared" si="128"/>
        <v>12.490157628642804</v>
      </c>
      <c r="Y421" s="78">
        <v>45051.520833333336</v>
      </c>
      <c r="Z421">
        <v>0.16846446893769301</v>
      </c>
      <c r="AA421" s="6">
        <v>101.3564556</v>
      </c>
      <c r="AB421" s="2">
        <v>6601</v>
      </c>
      <c r="AC421" s="7">
        <f t="shared" si="129"/>
        <v>110.01666666666667</v>
      </c>
      <c r="AD421" s="7">
        <f t="shared" si="130"/>
        <v>18.533899324295191</v>
      </c>
      <c r="AE421" s="7">
        <f t="shared" si="131"/>
        <v>141.59234808587343</v>
      </c>
      <c r="AF421" s="7">
        <f t="shared" si="132"/>
        <v>1</v>
      </c>
      <c r="AG421" s="6">
        <f t="shared" si="133"/>
        <v>141.59234808587343</v>
      </c>
      <c r="AH421" s="2">
        <f t="shared" si="134"/>
        <v>1</v>
      </c>
      <c r="AI421" s="7">
        <f t="shared" si="135"/>
        <v>141.59234808587343</v>
      </c>
      <c r="AK421" s="78">
        <v>45036.072916666664</v>
      </c>
      <c r="AL421" s="5">
        <v>4.7675274038900303E-2</v>
      </c>
      <c r="AM421" s="5">
        <v>86.199962600000006</v>
      </c>
      <c r="AN421" s="2">
        <v>18874</v>
      </c>
      <c r="AO421" s="7">
        <f t="shared" si="140"/>
        <v>314.56666666666666</v>
      </c>
      <c r="AP421" s="5">
        <f t="shared" si="136"/>
        <v>14.997052036836738</v>
      </c>
      <c r="AQ421" s="6">
        <f t="shared" si="137"/>
        <v>139.87615354390559</v>
      </c>
      <c r="AR421" s="2">
        <f t="shared" si="138"/>
        <v>1</v>
      </c>
      <c r="AS421" s="2">
        <f t="shared" si="139"/>
        <v>139.87615354390559</v>
      </c>
    </row>
    <row r="422" spans="13:45" x14ac:dyDescent="0.3">
      <c r="M422" s="78">
        <v>45037.083333333336</v>
      </c>
      <c r="N422" s="5">
        <v>4.4342327068721099E-2</v>
      </c>
      <c r="O422" s="5">
        <v>73.868067069999995</v>
      </c>
      <c r="P422" s="2">
        <v>20408</v>
      </c>
      <c r="Q422" s="7">
        <f t="shared" si="123"/>
        <v>340.13333333333333</v>
      </c>
      <c r="R422" s="6">
        <f t="shared" si="124"/>
        <v>15.082303513641003</v>
      </c>
      <c r="S422" s="6">
        <f t="shared" si="125"/>
        <v>140.26496695210392</v>
      </c>
      <c r="T422" s="2">
        <f t="shared" si="126"/>
        <v>1</v>
      </c>
      <c r="U422" s="6">
        <f t="shared" si="127"/>
        <v>140.26496695210392</v>
      </c>
      <c r="V422">
        <f>IF((R422-$AB$774)/($Z$773-$AB$774)&lt;0, 0, IF((R422-$AB$774)/($Z$773-$AB$774)&gt;1, 1, (R422-$AB$774)/($Z$773-$AB$774)))</f>
        <v>3.4596779455920428E-2</v>
      </c>
      <c r="W422" s="6">
        <f t="shared" si="128"/>
        <v>4.852716127033907</v>
      </c>
      <c r="Y422" s="78">
        <v>45051.53125</v>
      </c>
      <c r="Z422">
        <v>0.15466310447195999</v>
      </c>
      <c r="AA422" s="6">
        <v>89.635700749999998</v>
      </c>
      <c r="AB422" s="2">
        <v>7197</v>
      </c>
      <c r="AC422" s="7">
        <f t="shared" si="129"/>
        <v>119.95</v>
      </c>
      <c r="AD422" s="7">
        <f t="shared" si="130"/>
        <v>18.5518393814116</v>
      </c>
      <c r="AE422" s="7">
        <f t="shared" si="131"/>
        <v>140.26496695210392</v>
      </c>
      <c r="AF422" s="7">
        <f t="shared" si="132"/>
        <v>1</v>
      </c>
      <c r="AG422" s="6">
        <f t="shared" si="133"/>
        <v>140.26496695210392</v>
      </c>
      <c r="AH422" s="2">
        <f t="shared" si="134"/>
        <v>1</v>
      </c>
      <c r="AI422" s="7">
        <f t="shared" si="135"/>
        <v>140.26496695210392</v>
      </c>
      <c r="AK422" s="78">
        <v>45036.083333333336</v>
      </c>
      <c r="AL422" s="5">
        <v>4.6857482553611697E-2</v>
      </c>
      <c r="AM422" s="5">
        <v>81.841333250000005</v>
      </c>
      <c r="AN422" s="2">
        <v>19915</v>
      </c>
      <c r="AO422" s="7">
        <f t="shared" si="140"/>
        <v>331.91666666666669</v>
      </c>
      <c r="AP422" s="5">
        <f t="shared" si="136"/>
        <v>15.552779417586283</v>
      </c>
      <c r="AQ422" s="6">
        <f t="shared" si="137"/>
        <v>142.39081520528038</v>
      </c>
      <c r="AR422" s="2">
        <f t="shared" si="138"/>
        <v>1</v>
      </c>
      <c r="AS422" s="2">
        <f t="shared" si="139"/>
        <v>142.39081520528038</v>
      </c>
    </row>
    <row r="423" spans="13:45" x14ac:dyDescent="0.3">
      <c r="M423" s="78">
        <v>45037.09375</v>
      </c>
      <c r="N423" s="5">
        <v>4.6573845651520597E-2</v>
      </c>
      <c r="O423" s="5">
        <v>75.208694050000005</v>
      </c>
      <c r="P423" s="2">
        <v>20830</v>
      </c>
      <c r="Q423" s="7">
        <f t="shared" si="123"/>
        <v>347.16666666666669</v>
      </c>
      <c r="R423" s="6">
        <f t="shared" si="124"/>
        <v>16.168886748686234</v>
      </c>
      <c r="S423" s="6">
        <f t="shared" si="125"/>
        <v>145.12567309911358</v>
      </c>
      <c r="T423" s="2">
        <f t="shared" si="126"/>
        <v>1</v>
      </c>
      <c r="U423" s="6">
        <f t="shared" si="127"/>
        <v>145.12567309911358</v>
      </c>
      <c r="V423">
        <f>IF((R423-$AB$774)/($Z$773-$AB$774)&lt;0, 0, IF((R423-$AB$774)/($Z$773-$AB$774)&gt;1, 1, (R423-$AB$774)/($Z$773-$AB$774)))</f>
        <v>0.23349525435892524</v>
      </c>
      <c r="W423" s="6">
        <f t="shared" si="128"/>
        <v>33.886155954287759</v>
      </c>
      <c r="Y423" s="78">
        <v>45051.541666666664</v>
      </c>
      <c r="Z423">
        <v>0.148331764924691</v>
      </c>
      <c r="AA423" s="6">
        <v>99.714355679999997</v>
      </c>
      <c r="AB423" s="2">
        <v>7210</v>
      </c>
      <c r="AC423" s="7">
        <f t="shared" si="129"/>
        <v>120.16666666666667</v>
      </c>
      <c r="AD423" s="7">
        <f t="shared" si="130"/>
        <v>17.824533751783701</v>
      </c>
      <c r="AE423" s="7">
        <f t="shared" si="131"/>
        <v>145.12567309911358</v>
      </c>
      <c r="AF423" s="7">
        <f t="shared" si="132"/>
        <v>1</v>
      </c>
      <c r="AG423" s="6">
        <f t="shared" si="133"/>
        <v>145.12567309911358</v>
      </c>
      <c r="AH423" s="2">
        <f t="shared" si="134"/>
        <v>1</v>
      </c>
      <c r="AI423" s="7">
        <f t="shared" si="135"/>
        <v>145.12567309911358</v>
      </c>
      <c r="AK423" s="78">
        <v>45036.09375</v>
      </c>
      <c r="AL423" s="5">
        <v>4.7421856456974998E-2</v>
      </c>
      <c r="AM423" s="5">
        <v>84.891986889999998</v>
      </c>
      <c r="AN423" s="2">
        <v>19259</v>
      </c>
      <c r="AO423" s="7">
        <f t="shared" si="140"/>
        <v>320.98333333333335</v>
      </c>
      <c r="AP423" s="5">
        <f t="shared" si="136"/>
        <v>15.221625558414692</v>
      </c>
      <c r="AQ423" s="6">
        <f t="shared" si="137"/>
        <v>140.89797817947908</v>
      </c>
      <c r="AR423" s="2">
        <f t="shared" si="138"/>
        <v>1</v>
      </c>
      <c r="AS423" s="2">
        <f t="shared" si="139"/>
        <v>140.89797817947908</v>
      </c>
    </row>
    <row r="424" spans="13:45" x14ac:dyDescent="0.3">
      <c r="M424" s="78">
        <v>45037.104166666664</v>
      </c>
      <c r="N424" s="5">
        <v>4.3367058461451398E-2</v>
      </c>
      <c r="O424" s="5">
        <v>77.435049230000004</v>
      </c>
      <c r="P424" s="2">
        <v>21081</v>
      </c>
      <c r="Q424" s="7">
        <f t="shared" si="123"/>
        <v>351.35</v>
      </c>
      <c r="R424" s="6">
        <f t="shared" si="124"/>
        <v>15.237015990430949</v>
      </c>
      <c r="S424" s="6">
        <f t="shared" si="125"/>
        <v>140.96772310986699</v>
      </c>
      <c r="T424" s="2">
        <f t="shared" si="126"/>
        <v>1</v>
      </c>
      <c r="U424" s="6">
        <f t="shared" si="127"/>
        <v>140.96772310986699</v>
      </c>
      <c r="V424">
        <f>IF((R424-$AB$774)/($Z$773-$AB$774)&lt;0, 0, IF((R424-$AB$774)/($Z$773-$AB$774)&gt;1, 1, (R424-$AB$774)/($Z$773-$AB$774)))</f>
        <v>6.2916814856343192E-2</v>
      </c>
      <c r="W424" s="6">
        <f t="shared" si="128"/>
        <v>8.8692401356237536</v>
      </c>
      <c r="Y424" s="78">
        <v>45051.552083333336</v>
      </c>
      <c r="Z424">
        <v>0.14538366242649201</v>
      </c>
      <c r="AA424" s="6">
        <v>86.192545629999998</v>
      </c>
      <c r="AB424" s="2">
        <v>7224</v>
      </c>
      <c r="AC424" s="7">
        <f t="shared" si="129"/>
        <v>120.4</v>
      </c>
      <c r="AD424" s="7">
        <f t="shared" si="130"/>
        <v>17.504192956149637</v>
      </c>
      <c r="AE424" s="7">
        <f t="shared" si="131"/>
        <v>140.96772310986699</v>
      </c>
      <c r="AF424" s="7">
        <f t="shared" si="132"/>
        <v>0.7641452306401989</v>
      </c>
      <c r="AG424" s="6">
        <f t="shared" si="133"/>
        <v>107.71981328861301</v>
      </c>
      <c r="AH424" s="2">
        <f t="shared" si="134"/>
        <v>1</v>
      </c>
      <c r="AI424" s="7">
        <f t="shared" si="135"/>
        <v>140.96772310986699</v>
      </c>
      <c r="AK424" s="78">
        <v>45036.104166666664</v>
      </c>
      <c r="AL424" s="5">
        <v>4.4782431350645503E-2</v>
      </c>
      <c r="AM424" s="5">
        <v>82.718647970000006</v>
      </c>
      <c r="AN424" s="2">
        <v>19491</v>
      </c>
      <c r="AO424" s="7">
        <f t="shared" si="140"/>
        <v>324.85000000000002</v>
      </c>
      <c r="AP424" s="5">
        <f t="shared" si="136"/>
        <v>14.547572824257193</v>
      </c>
      <c r="AQ424" s="6">
        <f t="shared" si="137"/>
        <v>137.80726707413115</v>
      </c>
      <c r="AR424" s="2">
        <f t="shared" si="138"/>
        <v>1</v>
      </c>
      <c r="AS424" s="2">
        <f t="shared" si="139"/>
        <v>137.80726707413115</v>
      </c>
    </row>
    <row r="425" spans="13:45" x14ac:dyDescent="0.3">
      <c r="M425" s="78">
        <v>45037.114583333336</v>
      </c>
      <c r="N425" s="5">
        <v>4.3759731885405502E-2</v>
      </c>
      <c r="O425" s="5">
        <v>76.544179459999995</v>
      </c>
      <c r="P425" s="2">
        <v>20606</v>
      </c>
      <c r="Q425" s="7">
        <f t="shared" si="123"/>
        <v>343.43333333333334</v>
      </c>
      <c r="R425" s="6">
        <f t="shared" si="124"/>
        <v>15.028550587177763</v>
      </c>
      <c r="S425" s="6">
        <f t="shared" si="125"/>
        <v>140.01994262239899</v>
      </c>
      <c r="T425" s="2">
        <f t="shared" si="126"/>
        <v>1</v>
      </c>
      <c r="U425" s="6">
        <f t="shared" si="127"/>
        <v>140.01994262239899</v>
      </c>
      <c r="V425">
        <f>IF((R425-$AB$774)/($Z$773-$AB$774)&lt;0, 0, IF((R425-$AB$774)/($Z$773-$AB$774)&gt;1, 1, (R425-$AB$774)/($Z$773-$AB$774)))</f>
        <v>2.4757335269514676E-2</v>
      </c>
      <c r="W425" s="6">
        <f t="shared" si="128"/>
        <v>3.4665206639209396</v>
      </c>
      <c r="Y425" s="78">
        <v>45051.5625</v>
      </c>
      <c r="Z425">
        <v>0.1515513717261</v>
      </c>
      <c r="AA425" s="6">
        <v>100.5402337</v>
      </c>
      <c r="AB425" s="2">
        <v>6937</v>
      </c>
      <c r="AC425" s="7">
        <f t="shared" si="129"/>
        <v>115.61666666666666</v>
      </c>
      <c r="AD425" s="7">
        <f t="shared" si="130"/>
        <v>17.521864427732595</v>
      </c>
      <c r="AE425" s="7">
        <f t="shared" si="131"/>
        <v>140.01994262239899</v>
      </c>
      <c r="AF425" s="7">
        <f t="shared" si="132"/>
        <v>1</v>
      </c>
      <c r="AG425" s="6">
        <f t="shared" si="133"/>
        <v>140.01994262239899</v>
      </c>
      <c r="AH425" s="2">
        <f t="shared" si="134"/>
        <v>1</v>
      </c>
      <c r="AI425" s="7">
        <f t="shared" si="135"/>
        <v>140.01994262239899</v>
      </c>
      <c r="AK425" s="78">
        <v>45036.114583333336</v>
      </c>
      <c r="AL425" s="5">
        <v>4.86926037528407E-2</v>
      </c>
      <c r="AM425" s="5">
        <v>82.711152870000006</v>
      </c>
      <c r="AN425" s="2">
        <v>19722</v>
      </c>
      <c r="AO425" s="7">
        <f t="shared" si="140"/>
        <v>328.7</v>
      </c>
      <c r="AP425" s="5">
        <f t="shared" si="136"/>
        <v>16.005258853558736</v>
      </c>
      <c r="AQ425" s="6">
        <f t="shared" si="137"/>
        <v>144.40460338274909</v>
      </c>
      <c r="AR425" s="2">
        <f t="shared" si="138"/>
        <v>1</v>
      </c>
      <c r="AS425" s="2">
        <f t="shared" si="139"/>
        <v>144.40460338274909</v>
      </c>
    </row>
    <row r="426" spans="13:45" x14ac:dyDescent="0.3">
      <c r="M426" s="78">
        <v>45037.125</v>
      </c>
      <c r="N426" s="5">
        <v>4.2795997344061802E-2</v>
      </c>
      <c r="O426" s="5">
        <v>76.544179459999995</v>
      </c>
      <c r="P426" s="2">
        <v>21737</v>
      </c>
      <c r="Q426" s="7">
        <f t="shared" si="123"/>
        <v>362.28333333333336</v>
      </c>
      <c r="R426" s="6">
        <f t="shared" si="124"/>
        <v>15.504276571131191</v>
      </c>
      <c r="S426" s="6">
        <f t="shared" si="125"/>
        <v>142.17318595164591</v>
      </c>
      <c r="T426" s="2">
        <f t="shared" si="126"/>
        <v>1</v>
      </c>
      <c r="U426" s="6">
        <f t="shared" si="127"/>
        <v>142.17318595164591</v>
      </c>
      <c r="V426">
        <f>IF((R426-$AB$774)/($Z$773-$AB$774)&lt;0, 0, IF((R426-$AB$774)/($Z$773-$AB$774)&gt;1, 1, (R426-$AB$774)/($Z$773-$AB$774)))</f>
        <v>0.1118387199515905</v>
      </c>
      <c r="W426" s="6">
        <f t="shared" si="128"/>
        <v>15.900467128271528</v>
      </c>
      <c r="Y426" s="78">
        <v>45051.572916666664</v>
      </c>
      <c r="Z426">
        <v>0.136641750778523</v>
      </c>
      <c r="AA426" s="6">
        <v>93.877037450000003</v>
      </c>
      <c r="AB426" s="2">
        <v>7126</v>
      </c>
      <c r="AC426" s="7">
        <f t="shared" si="129"/>
        <v>118.76666666666667</v>
      </c>
      <c r="AD426" s="7">
        <f t="shared" si="130"/>
        <v>16.228485267462581</v>
      </c>
      <c r="AE426" s="7">
        <f t="shared" si="131"/>
        <v>142.17318595164591</v>
      </c>
      <c r="AF426" s="7">
        <f t="shared" si="132"/>
        <v>1</v>
      </c>
      <c r="AG426" s="6">
        <f t="shared" si="133"/>
        <v>142.17318595164591</v>
      </c>
      <c r="AH426" s="2">
        <f t="shared" si="134"/>
        <v>1</v>
      </c>
      <c r="AI426" s="7">
        <f t="shared" si="135"/>
        <v>142.17318595164591</v>
      </c>
      <c r="AK426" s="78">
        <v>45036.125</v>
      </c>
      <c r="AL426" s="5">
        <v>4.5867686403436997E-2</v>
      </c>
      <c r="AM426" s="5">
        <v>84.027783200000002</v>
      </c>
      <c r="AN426" s="2">
        <v>19578</v>
      </c>
      <c r="AO426" s="7">
        <f t="shared" si="140"/>
        <v>326.3</v>
      </c>
      <c r="AP426" s="5">
        <f t="shared" si="136"/>
        <v>14.966626073441493</v>
      </c>
      <c r="AQ426" s="6">
        <f t="shared" si="137"/>
        <v>139.73711436057275</v>
      </c>
      <c r="AR426" s="2">
        <f t="shared" si="138"/>
        <v>1</v>
      </c>
      <c r="AS426" s="2">
        <f t="shared" si="139"/>
        <v>139.73711436057275</v>
      </c>
    </row>
    <row r="427" spans="13:45" x14ac:dyDescent="0.3">
      <c r="M427" s="78">
        <v>45037.135416666664</v>
      </c>
      <c r="N427" s="5">
        <v>4.1851304811576201E-2</v>
      </c>
      <c r="O427" s="5">
        <v>72.977848870000003</v>
      </c>
      <c r="P427" s="2">
        <v>21243</v>
      </c>
      <c r="Q427" s="7">
        <f t="shared" si="123"/>
        <v>354.05</v>
      </c>
      <c r="R427" s="6">
        <f t="shared" si="124"/>
        <v>14.817454468538555</v>
      </c>
      <c r="S427" s="6">
        <f t="shared" si="125"/>
        <v>139.05334013072573</v>
      </c>
      <c r="T427" s="2">
        <f t="shared" si="126"/>
        <v>1</v>
      </c>
      <c r="U427" s="6">
        <f t="shared" si="127"/>
        <v>139.05334013072573</v>
      </c>
      <c r="V427">
        <f>IF((R427-$AB$774)/($Z$773-$AB$774)&lt;0, 0, IF((R427-$AB$774)/($Z$773-$AB$774)&gt;1, 1, (R427-$AB$774)/($Z$773-$AB$774)))</f>
        <v>0</v>
      </c>
      <c r="W427" s="6">
        <f t="shared" si="128"/>
        <v>0</v>
      </c>
      <c r="Y427" s="78">
        <v>45051.583333333336</v>
      </c>
      <c r="Z427">
        <v>0.14169541348591599</v>
      </c>
      <c r="AA427" s="6">
        <v>95.145588619999998</v>
      </c>
      <c r="AB427" s="2">
        <v>7415</v>
      </c>
      <c r="AC427" s="7">
        <f t="shared" si="129"/>
        <v>123.58333333333333</v>
      </c>
      <c r="AD427" s="7">
        <f t="shared" si="130"/>
        <v>17.511191516634451</v>
      </c>
      <c r="AE427" s="7">
        <f t="shared" si="131"/>
        <v>139.05334013072573</v>
      </c>
      <c r="AF427" s="7">
        <f t="shared" si="132"/>
        <v>1</v>
      </c>
      <c r="AG427" s="6">
        <f t="shared" si="133"/>
        <v>139.05334013072573</v>
      </c>
      <c r="AH427" s="2">
        <f t="shared" si="134"/>
        <v>1</v>
      </c>
      <c r="AI427" s="7">
        <f t="shared" si="135"/>
        <v>139.05334013072573</v>
      </c>
      <c r="AK427" s="78">
        <v>45036.135416666664</v>
      </c>
      <c r="AL427" s="5">
        <v>4.5511904934512397E-2</v>
      </c>
      <c r="AM427" s="5">
        <v>81.841333250000005</v>
      </c>
      <c r="AN427" s="2">
        <v>19378</v>
      </c>
      <c r="AO427" s="7">
        <f t="shared" si="140"/>
        <v>322.96666666666664</v>
      </c>
      <c r="AP427" s="5">
        <f t="shared" si="136"/>
        <v>14.698828230349687</v>
      </c>
      <c r="AQ427" s="6">
        <f t="shared" si="137"/>
        <v>138.50706868834342</v>
      </c>
      <c r="AR427" s="2">
        <f t="shared" si="138"/>
        <v>1</v>
      </c>
      <c r="AS427" s="2">
        <f t="shared" si="139"/>
        <v>138.50706868834342</v>
      </c>
    </row>
    <row r="428" spans="13:45" x14ac:dyDescent="0.3">
      <c r="M428" s="78">
        <v>45037.145833333336</v>
      </c>
      <c r="N428" s="5">
        <v>4.2719889813916501E-2</v>
      </c>
      <c r="O428" s="5">
        <v>77.427442880000001</v>
      </c>
      <c r="P428" s="2">
        <v>20922</v>
      </c>
      <c r="Q428" s="7">
        <f t="shared" si="123"/>
        <v>348.7</v>
      </c>
      <c r="R428" s="6">
        <f t="shared" si="124"/>
        <v>14.896425578112684</v>
      </c>
      <c r="S428" s="6">
        <f t="shared" si="125"/>
        <v>139.41576398380997</v>
      </c>
      <c r="T428" s="2">
        <f t="shared" si="126"/>
        <v>1</v>
      </c>
      <c r="U428" s="6">
        <f t="shared" si="127"/>
        <v>139.41576398380997</v>
      </c>
      <c r="V428">
        <f>IF((R428-$AB$774)/($Z$773-$AB$774)&lt;0, 0, IF((R428-$AB$774)/($Z$773-$AB$774)&gt;1, 1, (R428-$AB$774)/($Z$773-$AB$774)))</f>
        <v>5.7192364893495461E-4</v>
      </c>
      <c r="W428" s="6">
        <f t="shared" si="128"/>
        <v>7.9735172456675024E-2</v>
      </c>
      <c r="Y428" s="78">
        <v>45051.59375</v>
      </c>
      <c r="Z428">
        <v>0.14431582338987001</v>
      </c>
      <c r="AA428" s="6">
        <v>100.9486689</v>
      </c>
      <c r="AB428" s="2">
        <v>7090</v>
      </c>
      <c r="AC428" s="7">
        <f t="shared" si="129"/>
        <v>118.16666666666667</v>
      </c>
      <c r="AD428" s="7">
        <f t="shared" si="130"/>
        <v>17.053319797236306</v>
      </c>
      <c r="AE428" s="7">
        <f t="shared" si="131"/>
        <v>139.41576398380997</v>
      </c>
      <c r="AF428" s="7">
        <f t="shared" si="132"/>
        <v>1</v>
      </c>
      <c r="AG428" s="6">
        <f t="shared" si="133"/>
        <v>139.41576398380997</v>
      </c>
      <c r="AH428" s="2">
        <f t="shared" si="134"/>
        <v>1</v>
      </c>
      <c r="AI428" s="7">
        <f t="shared" si="135"/>
        <v>139.41576398380997</v>
      </c>
      <c r="AK428" s="78">
        <v>45036.145833333336</v>
      </c>
      <c r="AL428" s="5">
        <v>4.6902666223246799E-2</v>
      </c>
      <c r="AM428" s="5">
        <v>84.027783200000002</v>
      </c>
      <c r="AN428" s="2">
        <v>18725</v>
      </c>
      <c r="AO428" s="7">
        <f t="shared" si="140"/>
        <v>312.08333333333331</v>
      </c>
      <c r="AP428" s="5">
        <f t="shared" si="136"/>
        <v>14.637540417171603</v>
      </c>
      <c r="AQ428" s="6">
        <f t="shared" si="137"/>
        <v>138.2239580364421</v>
      </c>
      <c r="AR428" s="2">
        <f t="shared" si="138"/>
        <v>1</v>
      </c>
      <c r="AS428" s="2">
        <f t="shared" si="139"/>
        <v>138.2239580364421</v>
      </c>
    </row>
    <row r="429" spans="13:45" x14ac:dyDescent="0.3">
      <c r="M429" s="78">
        <v>45037.15625</v>
      </c>
      <c r="N429" s="5">
        <v>4.2948769027049E-2</v>
      </c>
      <c r="O429" s="5">
        <v>76.544179459999995</v>
      </c>
      <c r="P429" s="2">
        <v>21290</v>
      </c>
      <c r="Q429" s="7">
        <f t="shared" si="123"/>
        <v>354.83333333333331</v>
      </c>
      <c r="R429" s="6">
        <f t="shared" si="124"/>
        <v>15.239654876431219</v>
      </c>
      <c r="S429" s="6">
        <f t="shared" si="125"/>
        <v>140.97967815734177</v>
      </c>
      <c r="T429" s="2">
        <f t="shared" si="126"/>
        <v>1</v>
      </c>
      <c r="U429" s="6">
        <f t="shared" si="127"/>
        <v>140.97967815734177</v>
      </c>
      <c r="V429">
        <f>IF((R429-$AB$774)/($Z$773-$AB$774)&lt;0, 0, IF((R429-$AB$774)/($Z$773-$AB$774)&gt;1, 1, (R429-$AB$774)/($Z$773-$AB$774)))</f>
        <v>6.3399861514866956E-2</v>
      </c>
      <c r="W429" s="6">
        <f t="shared" si="128"/>
        <v>8.9380920715859826</v>
      </c>
      <c r="Y429" s="78">
        <v>45051.604166666664</v>
      </c>
      <c r="Z429">
        <v>0.14174258667314199</v>
      </c>
      <c r="AA429" s="6">
        <v>94.302932269999999</v>
      </c>
      <c r="AB429" s="2">
        <v>6947</v>
      </c>
      <c r="AC429" s="7">
        <f t="shared" si="129"/>
        <v>115.78333333333333</v>
      </c>
      <c r="AD429" s="7">
        <f t="shared" si="130"/>
        <v>16.411429160305289</v>
      </c>
      <c r="AE429" s="7">
        <f t="shared" si="131"/>
        <v>140.97967815734177</v>
      </c>
      <c r="AF429" s="7">
        <f t="shared" si="132"/>
        <v>1</v>
      </c>
      <c r="AG429" s="6">
        <f t="shared" si="133"/>
        <v>140.97967815734177</v>
      </c>
      <c r="AH429" s="2">
        <f t="shared" si="134"/>
        <v>1</v>
      </c>
      <c r="AI429" s="7">
        <f t="shared" si="135"/>
        <v>140.97967815734177</v>
      </c>
      <c r="AK429" s="78">
        <v>45036.15625</v>
      </c>
      <c r="AL429" s="5">
        <v>4.7276070239799399E-2</v>
      </c>
      <c r="AM429" s="5">
        <v>84.891986889999998</v>
      </c>
      <c r="AN429" s="2">
        <v>19692</v>
      </c>
      <c r="AO429" s="7">
        <f t="shared" si="140"/>
        <v>328.2</v>
      </c>
      <c r="AP429" s="5">
        <f t="shared" si="136"/>
        <v>15.516006252702162</v>
      </c>
      <c r="AQ429" s="6">
        <f t="shared" si="137"/>
        <v>142.22584811622704</v>
      </c>
      <c r="AR429" s="2">
        <f t="shared" si="138"/>
        <v>1</v>
      </c>
      <c r="AS429" s="2">
        <f t="shared" si="139"/>
        <v>142.22584811622704</v>
      </c>
    </row>
    <row r="430" spans="13:45" x14ac:dyDescent="0.3">
      <c r="M430" s="78">
        <v>45037.166666666664</v>
      </c>
      <c r="N430" s="5">
        <v>4.3452749320416699E-2</v>
      </c>
      <c r="O430" s="5">
        <v>77.427442880000001</v>
      </c>
      <c r="P430" s="2">
        <v>20872</v>
      </c>
      <c r="Q430" s="7">
        <f t="shared" si="123"/>
        <v>347.86666666666667</v>
      </c>
      <c r="R430" s="6">
        <f t="shared" si="124"/>
        <v>15.115763063595622</v>
      </c>
      <c r="S430" s="6">
        <f t="shared" si="125"/>
        <v>140.41726211611433</v>
      </c>
      <c r="T430" s="2">
        <f t="shared" si="126"/>
        <v>1</v>
      </c>
      <c r="U430" s="6">
        <f t="shared" si="127"/>
        <v>140.41726211611433</v>
      </c>
      <c r="V430">
        <f>IF((R430-$AB$774)/($Z$773-$AB$774)&lt;0, 0, IF((R430-$AB$774)/($Z$773-$AB$774)&gt;1, 1, (R430-$AB$774)/($Z$773-$AB$774)))</f>
        <v>4.0721532021827316E-2</v>
      </c>
      <c r="W430" s="6">
        <f t="shared" si="128"/>
        <v>5.7180060356786697</v>
      </c>
      <c r="Y430" s="78">
        <v>45051.614583333336</v>
      </c>
      <c r="Z430">
        <v>0.14074799830416901</v>
      </c>
      <c r="AA430" s="6">
        <v>100.5402337</v>
      </c>
      <c r="AB430" s="2">
        <v>6774</v>
      </c>
      <c r="AC430" s="7">
        <f t="shared" si="129"/>
        <v>112.9</v>
      </c>
      <c r="AD430" s="7">
        <f t="shared" si="130"/>
        <v>15.890449008540681</v>
      </c>
      <c r="AE430" s="7">
        <f t="shared" si="131"/>
        <v>140.41726211611433</v>
      </c>
      <c r="AF430" s="7">
        <f t="shared" si="132"/>
        <v>1</v>
      </c>
      <c r="AG430" s="6">
        <f t="shared" si="133"/>
        <v>140.41726211611433</v>
      </c>
      <c r="AH430" s="2">
        <f t="shared" si="134"/>
        <v>1</v>
      </c>
      <c r="AI430" s="7">
        <f t="shared" si="135"/>
        <v>140.41726211611433</v>
      </c>
      <c r="AK430" s="78">
        <v>45036.166666666664</v>
      </c>
      <c r="AL430" s="5">
        <v>4.4220960721241397E-2</v>
      </c>
      <c r="AM430" s="5">
        <v>85.331044809999995</v>
      </c>
      <c r="AN430" s="2">
        <v>19327</v>
      </c>
      <c r="AO430" s="7">
        <f t="shared" si="140"/>
        <v>322.11666666666667</v>
      </c>
      <c r="AP430" s="5">
        <f t="shared" si="136"/>
        <v>14.244308464323876</v>
      </c>
      <c r="AQ430" s="6">
        <f t="shared" si="137"/>
        <v>136.39290251853649</v>
      </c>
      <c r="AR430" s="2">
        <f t="shared" si="138"/>
        <v>1</v>
      </c>
      <c r="AS430" s="2">
        <f t="shared" si="139"/>
        <v>136.39290251853649</v>
      </c>
    </row>
    <row r="431" spans="13:45" x14ac:dyDescent="0.3">
      <c r="M431" s="78">
        <v>45037.177083333336</v>
      </c>
      <c r="N431" s="5">
        <v>4.17588963665163E-2</v>
      </c>
      <c r="O431" s="5">
        <v>77.427442880000001</v>
      </c>
      <c r="P431" s="2">
        <v>21062</v>
      </c>
      <c r="Q431" s="7">
        <f t="shared" si="123"/>
        <v>351.03333333333336</v>
      </c>
      <c r="R431" s="6">
        <f t="shared" si="124"/>
        <v>14.658764587859439</v>
      </c>
      <c r="S431" s="6">
        <f t="shared" si="125"/>
        <v>138.32206853121272</v>
      </c>
      <c r="T431" s="2">
        <f t="shared" si="126"/>
        <v>1</v>
      </c>
      <c r="U431" s="6">
        <f t="shared" si="127"/>
        <v>138.32206853121272</v>
      </c>
      <c r="V431">
        <f>IF((R431-$AB$774)/($Z$773-$AB$774)&lt;0, 0, IF((R431-$AB$774)/($Z$773-$AB$774)&gt;1, 1, (R431-$AB$774)/($Z$773-$AB$774)))</f>
        <v>0</v>
      </c>
      <c r="W431" s="6">
        <f t="shared" si="128"/>
        <v>0</v>
      </c>
      <c r="Y431" s="78">
        <v>45051.625</v>
      </c>
      <c r="Z431">
        <v>0.158566643388413</v>
      </c>
      <c r="AA431" s="6">
        <v>98.474887140000007</v>
      </c>
      <c r="AB431" s="2">
        <v>7204</v>
      </c>
      <c r="AC431" s="7">
        <f t="shared" si="129"/>
        <v>120.06666666666666</v>
      </c>
      <c r="AD431" s="7">
        <f t="shared" si="130"/>
        <v>19.038568316168789</v>
      </c>
      <c r="AE431" s="7">
        <f t="shared" si="131"/>
        <v>138.32206853121272</v>
      </c>
      <c r="AF431" s="7">
        <f t="shared" si="132"/>
        <v>1</v>
      </c>
      <c r="AG431" s="6">
        <f>AE431*AF431</f>
        <v>138.32206853121272</v>
      </c>
      <c r="AH431" s="2">
        <f t="shared" si="134"/>
        <v>1</v>
      </c>
      <c r="AI431" s="7">
        <f t="shared" si="135"/>
        <v>138.32206853121272</v>
      </c>
      <c r="AK431" s="78">
        <v>45036.177083333336</v>
      </c>
      <c r="AL431" s="5">
        <v>4.6253377537049299E-2</v>
      </c>
      <c r="AM431" s="5">
        <v>83.594462070000006</v>
      </c>
      <c r="AN431" s="2">
        <v>19987</v>
      </c>
      <c r="AO431" s="7">
        <f t="shared" si="140"/>
        <v>333.11666666666667</v>
      </c>
      <c r="AP431" s="5">
        <f t="shared" si="136"/>
        <v>15.40777094721674</v>
      </c>
      <c r="AQ431" s="6">
        <f t="shared" si="137"/>
        <v>141.73913544468641</v>
      </c>
      <c r="AR431" s="2">
        <f t="shared" si="138"/>
        <v>1</v>
      </c>
      <c r="AS431" s="2">
        <f t="shared" si="139"/>
        <v>141.73913544468641</v>
      </c>
    </row>
    <row r="432" spans="13:45" x14ac:dyDescent="0.3">
      <c r="M432" s="78">
        <v>45037.1875</v>
      </c>
      <c r="N432" s="5">
        <v>4.3916597261183403E-2</v>
      </c>
      <c r="O432" s="5">
        <v>76.544179459999995</v>
      </c>
      <c r="P432" s="2">
        <v>21054</v>
      </c>
      <c r="Q432" s="7">
        <f t="shared" si="123"/>
        <v>350.9</v>
      </c>
      <c r="R432" s="6">
        <f t="shared" si="124"/>
        <v>15.410333978949255</v>
      </c>
      <c r="S432" s="6">
        <f t="shared" si="125"/>
        <v>141.75068102113329</v>
      </c>
      <c r="T432" s="2">
        <f t="shared" si="126"/>
        <v>1</v>
      </c>
      <c r="U432" s="6">
        <f t="shared" si="127"/>
        <v>141.75068102113329</v>
      </c>
      <c r="V432">
        <f>IF((R432-$AB$774)/($Z$773-$AB$774)&lt;0, 0, IF((R432-$AB$774)/($Z$773-$AB$774)&gt;1, 1, (R432-$AB$774)/($Z$773-$AB$774)))</f>
        <v>9.4642579139934999E-2</v>
      </c>
      <c r="W432" s="6">
        <f t="shared" si="128"/>
        <v>13.415650046682289</v>
      </c>
      <c r="Y432" s="78">
        <v>45051.635416666664</v>
      </c>
      <c r="Z432">
        <v>0.155236628702071</v>
      </c>
      <c r="AA432" s="6">
        <v>102.5822131</v>
      </c>
      <c r="AB432" s="2">
        <v>7063</v>
      </c>
      <c r="AC432" s="7">
        <f t="shared" si="129"/>
        <v>117.71666666666667</v>
      </c>
      <c r="AD432" s="7">
        <f t="shared" si="130"/>
        <v>18.273938475378792</v>
      </c>
      <c r="AE432" s="7">
        <f t="shared" si="131"/>
        <v>141.75068102113329</v>
      </c>
      <c r="AF432" s="7">
        <f t="shared" si="132"/>
        <v>1</v>
      </c>
      <c r="AG432" s="6">
        <f t="shared" si="133"/>
        <v>141.75068102113329</v>
      </c>
      <c r="AH432" s="2">
        <f t="shared" si="134"/>
        <v>1</v>
      </c>
      <c r="AI432" s="7">
        <f t="shared" si="135"/>
        <v>141.75068102113329</v>
      </c>
      <c r="AK432" s="78">
        <v>45036.1875</v>
      </c>
      <c r="AL432" s="5">
        <v>4.7589981980719898E-2</v>
      </c>
      <c r="AM432" s="5">
        <v>87.058386479999996</v>
      </c>
      <c r="AN432" s="2">
        <v>19759</v>
      </c>
      <c r="AO432" s="7">
        <f t="shared" si="140"/>
        <v>329.31666666666666</v>
      </c>
      <c r="AP432" s="5">
        <f t="shared" si="136"/>
        <v>15.672174232617408</v>
      </c>
      <c r="AQ432" s="6">
        <f t="shared" si="137"/>
        <v>142.92506125106519</v>
      </c>
      <c r="AR432" s="2">
        <f t="shared" si="138"/>
        <v>1</v>
      </c>
      <c r="AS432" s="2">
        <f t="shared" si="139"/>
        <v>142.92506125106519</v>
      </c>
    </row>
    <row r="433" spans="13:45" x14ac:dyDescent="0.3">
      <c r="M433" s="78">
        <v>45037.197916666664</v>
      </c>
      <c r="N433" s="5">
        <v>4.2091968125059699E-2</v>
      </c>
      <c r="O433" s="5">
        <v>81.397704649999994</v>
      </c>
      <c r="P433" s="2">
        <v>21302</v>
      </c>
      <c r="Q433" s="7">
        <f t="shared" si="123"/>
        <v>355.03333333333336</v>
      </c>
      <c r="R433" s="6">
        <f t="shared" si="124"/>
        <v>14.944051750000362</v>
      </c>
      <c r="S433" s="6">
        <f t="shared" si="125"/>
        <v>139.63386201158556</v>
      </c>
      <c r="T433" s="2">
        <f t="shared" si="126"/>
        <v>1</v>
      </c>
      <c r="U433" s="6">
        <f t="shared" si="127"/>
        <v>139.63386201158556</v>
      </c>
      <c r="V433">
        <f>IF((R433-$AB$774)/($Z$773-$AB$774)&lt;0, 0, IF((R433-$AB$774)/($Z$773-$AB$774)&gt;1, 1, (R433-$AB$774)/($Z$773-$AB$774)))</f>
        <v>9.2898687160087121E-3</v>
      </c>
      <c r="W433" s="6">
        <f t="shared" si="128"/>
        <v>1.297180246396906</v>
      </c>
      <c r="Y433" s="78">
        <v>45051.645833333336</v>
      </c>
      <c r="Z433">
        <v>0.14599853962135001</v>
      </c>
      <c r="AA433" s="6">
        <v>101.7628931</v>
      </c>
      <c r="AB433" s="2">
        <v>7012</v>
      </c>
      <c r="AC433" s="7">
        <f t="shared" si="129"/>
        <v>116.86666666666666</v>
      </c>
      <c r="AD433" s="7">
        <f t="shared" si="130"/>
        <v>17.062362663748438</v>
      </c>
      <c r="AE433" s="7">
        <f t="shared" si="131"/>
        <v>139.63386201158556</v>
      </c>
      <c r="AF433" s="7">
        <f t="shared" si="132"/>
        <v>1</v>
      </c>
      <c r="AG433" s="6">
        <f t="shared" si="133"/>
        <v>139.63386201158556</v>
      </c>
      <c r="AH433" s="2">
        <f t="shared" si="134"/>
        <v>1</v>
      </c>
      <c r="AI433" s="7">
        <f t="shared" si="135"/>
        <v>139.63386201158556</v>
      </c>
      <c r="AK433" s="78">
        <v>45036.197916666664</v>
      </c>
      <c r="AL433" s="5">
        <v>4.5214772013941897E-2</v>
      </c>
      <c r="AM433" s="5">
        <v>84.027783200000002</v>
      </c>
      <c r="AN433" s="2">
        <v>19428</v>
      </c>
      <c r="AO433" s="7">
        <f t="shared" si="140"/>
        <v>323.8</v>
      </c>
      <c r="AP433" s="5">
        <f t="shared" si="136"/>
        <v>14.640543178114386</v>
      </c>
      <c r="AQ433" s="6">
        <f t="shared" si="137"/>
        <v>138.23784295542134</v>
      </c>
      <c r="AR433" s="2">
        <f t="shared" si="138"/>
        <v>1</v>
      </c>
      <c r="AS433" s="2">
        <f t="shared" si="139"/>
        <v>138.23784295542134</v>
      </c>
    </row>
    <row r="434" spans="13:45" x14ac:dyDescent="0.3">
      <c r="M434" s="78">
        <v>45037.208333333336</v>
      </c>
      <c r="N434" s="5">
        <v>4.29325883986807E-2</v>
      </c>
      <c r="O434" s="5">
        <v>78.755362430000005</v>
      </c>
      <c r="P434" s="2">
        <v>21393</v>
      </c>
      <c r="Q434" s="7">
        <f t="shared" si="123"/>
        <v>356.55</v>
      </c>
      <c r="R434" s="6">
        <f t="shared" si="124"/>
        <v>15.307614393549605</v>
      </c>
      <c r="S434" s="6">
        <f t="shared" si="125"/>
        <v>141.28719467761667</v>
      </c>
      <c r="T434" s="2">
        <f t="shared" si="126"/>
        <v>1</v>
      </c>
      <c r="U434" s="6">
        <f t="shared" si="127"/>
        <v>141.28719467761667</v>
      </c>
      <c r="V434">
        <f>IF((R434-$AB$774)/($Z$773-$AB$774)&lt;0, 0, IF((R434-$AB$774)/($Z$773-$AB$774)&gt;1, 1, (R434-$AB$774)/($Z$773-$AB$774)))</f>
        <v>7.5839814455452195E-2</v>
      </c>
      <c r="W434" s="6">
        <f t="shared" si="128"/>
        <v>10.7151946292818</v>
      </c>
      <c r="Y434" s="78">
        <v>45051.65625</v>
      </c>
      <c r="Z434">
        <v>0.12823704876511899</v>
      </c>
      <c r="AA434" s="6">
        <v>93.031286489999999</v>
      </c>
      <c r="AB434" s="2">
        <v>7407</v>
      </c>
      <c r="AC434" s="7">
        <f t="shared" si="129"/>
        <v>123.45</v>
      </c>
      <c r="AD434" s="7">
        <f t="shared" si="130"/>
        <v>15.83086367005394</v>
      </c>
      <c r="AE434" s="7">
        <f t="shared" si="131"/>
        <v>141.28719467761667</v>
      </c>
      <c r="AF434" s="7">
        <f t="shared" si="132"/>
        <v>1</v>
      </c>
      <c r="AG434" s="6">
        <f t="shared" si="133"/>
        <v>141.28719467761667</v>
      </c>
      <c r="AH434" s="2">
        <f t="shared" si="134"/>
        <v>1</v>
      </c>
      <c r="AI434" s="7">
        <f t="shared" si="135"/>
        <v>141.28719467761667</v>
      </c>
      <c r="AK434" s="78">
        <v>45036.208333333336</v>
      </c>
      <c r="AL434" s="5">
        <v>4.7644511392290499E-2</v>
      </c>
      <c r="AM434" s="5">
        <v>84.899432570000002</v>
      </c>
      <c r="AN434" s="2">
        <v>19252</v>
      </c>
      <c r="AO434" s="7">
        <f t="shared" si="140"/>
        <v>320.86666666666667</v>
      </c>
      <c r="AP434" s="5">
        <f t="shared" si="136"/>
        <v>15.287535555406279</v>
      </c>
      <c r="AQ434" s="6">
        <f t="shared" si="137"/>
        <v>141.19641066139292</v>
      </c>
      <c r="AR434" s="2">
        <f t="shared" si="138"/>
        <v>1</v>
      </c>
      <c r="AS434" s="2">
        <f t="shared" si="139"/>
        <v>141.19641066139292</v>
      </c>
    </row>
    <row r="435" spans="13:45" x14ac:dyDescent="0.3">
      <c r="M435" s="78">
        <v>45037.21875</v>
      </c>
      <c r="N435" s="5">
        <v>4.6629981858399699E-2</v>
      </c>
      <c r="O435" s="5">
        <v>78.755362430000005</v>
      </c>
      <c r="P435" s="2">
        <v>20704</v>
      </c>
      <c r="Q435" s="7">
        <f t="shared" si="123"/>
        <v>345.06666666666666</v>
      </c>
      <c r="R435" s="6">
        <f t="shared" si="124"/>
        <v>16.090452406605124</v>
      </c>
      <c r="S435" s="6">
        <f t="shared" si="125"/>
        <v>144.78049835885804</v>
      </c>
      <c r="T435" s="2">
        <f t="shared" si="126"/>
        <v>1</v>
      </c>
      <c r="U435" s="6">
        <f t="shared" si="127"/>
        <v>144.78049835885804</v>
      </c>
      <c r="V435">
        <f>IF((R435-$AB$774)/($Z$773-$AB$774)&lt;0, 0, IF((R435-$AB$774)/($Z$773-$AB$774)&gt;1, 1, (R435-$AB$774)/($Z$773-$AB$774)))</f>
        <v>0.21913789036066336</v>
      </c>
      <c r="W435" s="6">
        <f t="shared" si="128"/>
        <v>31.726892975725637</v>
      </c>
      <c r="Y435" s="78">
        <v>45051.666666666664</v>
      </c>
      <c r="Z435">
        <v>0.135437704573241</v>
      </c>
      <c r="AA435" s="6">
        <v>99.297599469999994</v>
      </c>
      <c r="AB435" s="2">
        <v>7830</v>
      </c>
      <c r="AC435" s="7">
        <f t="shared" si="129"/>
        <v>130.5</v>
      </c>
      <c r="AD435" s="7">
        <f t="shared" si="130"/>
        <v>17.67462044680795</v>
      </c>
      <c r="AE435" s="7">
        <f t="shared" si="131"/>
        <v>144.78049835885804</v>
      </c>
      <c r="AF435" s="7">
        <f>IF((AA435-$AD$1)/($AB$1-$AD$1)&lt;0, 0, IF((AA435-$AD$1)/($AB$1-$AD$1)&gt;1, 1, (AA435-$AD$1)/($AB$1-$AD$1)))</f>
        <v>1</v>
      </c>
      <c r="AG435" s="6">
        <f t="shared" si="133"/>
        <v>144.78049835885804</v>
      </c>
      <c r="AH435" s="2">
        <f t="shared" si="134"/>
        <v>1</v>
      </c>
      <c r="AI435" s="7">
        <f t="shared" si="135"/>
        <v>144.78049835885804</v>
      </c>
      <c r="AK435" s="78">
        <v>45036.21875</v>
      </c>
      <c r="AL435" s="5">
        <v>4.6385243056734797E-2</v>
      </c>
      <c r="AM435" s="5">
        <v>84.891986889999998</v>
      </c>
      <c r="AN435" s="2">
        <v>19774</v>
      </c>
      <c r="AO435" s="7">
        <f t="shared" si="140"/>
        <v>329.56666666666666</v>
      </c>
      <c r="AP435" s="5">
        <f t="shared" si="136"/>
        <v>15.287029936731232</v>
      </c>
      <c r="AQ435" s="6">
        <f t="shared" si="137"/>
        <v>141.19412378310182</v>
      </c>
      <c r="AR435" s="2">
        <f t="shared" si="138"/>
        <v>1</v>
      </c>
      <c r="AS435" s="2">
        <f t="shared" si="139"/>
        <v>141.19412378310182</v>
      </c>
    </row>
    <row r="436" spans="13:45" x14ac:dyDescent="0.3">
      <c r="M436" s="78">
        <v>45037.229166666664</v>
      </c>
      <c r="N436" s="5">
        <v>4.5017283792507197E-2</v>
      </c>
      <c r="O436" s="5">
        <v>78.755362430000005</v>
      </c>
      <c r="P436" s="2">
        <v>20595</v>
      </c>
      <c r="Q436" s="7">
        <f t="shared" si="123"/>
        <v>343.25</v>
      </c>
      <c r="R436" s="6">
        <f t="shared" si="124"/>
        <v>15.452182661778096</v>
      </c>
      <c r="S436" s="6">
        <f t="shared" si="125"/>
        <v>141.93905650810899</v>
      </c>
      <c r="T436" s="2">
        <f t="shared" si="126"/>
        <v>1</v>
      </c>
      <c r="U436" s="6">
        <f t="shared" si="127"/>
        <v>141.93905650810899</v>
      </c>
      <c r="V436">
        <f>IF((R436-$AB$774)/($Z$773-$AB$774)&lt;0, 0, IF((R436-$AB$774)/($Z$773-$AB$774)&gt;1, 1, (R436-$AB$774)/($Z$773-$AB$774)))</f>
        <v>0.1023029579520648</v>
      </c>
      <c r="W436" s="6">
        <f t="shared" si="128"/>
        <v>14.520785329704823</v>
      </c>
      <c r="Y436" s="78">
        <v>45051.677083333336</v>
      </c>
      <c r="Z436">
        <v>0.13673814109316201</v>
      </c>
      <c r="AA436" s="6">
        <v>106.2245245</v>
      </c>
      <c r="AB436" s="2">
        <v>7233</v>
      </c>
      <c r="AC436" s="7">
        <f t="shared" si="129"/>
        <v>120.55</v>
      </c>
      <c r="AD436" s="7">
        <f t="shared" si="130"/>
        <v>16.483782908780679</v>
      </c>
      <c r="AE436" s="7">
        <f t="shared" si="131"/>
        <v>141.93905650810899</v>
      </c>
      <c r="AF436" s="7">
        <f t="shared" si="132"/>
        <v>1</v>
      </c>
      <c r="AG436" s="6">
        <f t="shared" si="133"/>
        <v>141.93905650810899</v>
      </c>
      <c r="AH436" s="2">
        <f t="shared" si="134"/>
        <v>1</v>
      </c>
      <c r="AI436" s="7">
        <f t="shared" si="135"/>
        <v>141.93905650810899</v>
      </c>
      <c r="AK436" s="78">
        <v>45036.229166666664</v>
      </c>
      <c r="AL436" s="5">
        <v>4.7456923691017699E-2</v>
      </c>
      <c r="AM436" s="5">
        <v>85.331044809999995</v>
      </c>
      <c r="AN436" s="2">
        <v>19981</v>
      </c>
      <c r="AO436" s="7">
        <f t="shared" si="140"/>
        <v>333.01666666666665</v>
      </c>
      <c r="AP436" s="5">
        <f t="shared" si="136"/>
        <v>15.803946537837076</v>
      </c>
      <c r="AQ436" s="6">
        <f t="shared" si="137"/>
        <v>143.51228635962414</v>
      </c>
      <c r="AR436" s="2">
        <f t="shared" si="138"/>
        <v>1</v>
      </c>
      <c r="AS436" s="2">
        <f t="shared" si="139"/>
        <v>143.51228635962414</v>
      </c>
    </row>
    <row r="437" spans="13:45" x14ac:dyDescent="0.3">
      <c r="M437" s="78">
        <v>45037.239583333336</v>
      </c>
      <c r="N437" s="5">
        <v>4.1615808393582303E-2</v>
      </c>
      <c r="O437" s="5">
        <v>77.875916610000004</v>
      </c>
      <c r="P437" s="2">
        <v>22259</v>
      </c>
      <c r="Q437" s="7">
        <f t="shared" si="123"/>
        <v>370.98333333333335</v>
      </c>
      <c r="R437" s="6">
        <f t="shared" si="124"/>
        <v>15.438771317212476</v>
      </c>
      <c r="S437" s="6">
        <f t="shared" si="125"/>
        <v>141.8787157570145</v>
      </c>
      <c r="T437" s="2">
        <f t="shared" si="126"/>
        <v>1</v>
      </c>
      <c r="U437" s="6">
        <f t="shared" si="127"/>
        <v>141.8787157570145</v>
      </c>
      <c r="V437">
        <f>IF((R437-$AB$774)/($Z$773-$AB$774)&lt;0, 0, IF((R437-$AB$774)/($Z$773-$AB$774)&gt;1, 1, (R437-$AB$774)/($Z$773-$AB$774)))</f>
        <v>9.9848018565493551E-2</v>
      </c>
      <c r="W437" s="6">
        <f t="shared" si="128"/>
        <v>14.166308644954766</v>
      </c>
      <c r="Y437" s="78">
        <v>45051.6875</v>
      </c>
      <c r="Z437">
        <v>0.13251296705056501</v>
      </c>
      <c r="AA437" s="6">
        <v>100.9486689</v>
      </c>
      <c r="AB437" s="2">
        <v>7294</v>
      </c>
      <c r="AC437" s="7">
        <f t="shared" si="129"/>
        <v>121.56666666666666</v>
      </c>
      <c r="AD437" s="7">
        <f t="shared" si="130"/>
        <v>16.109159694447019</v>
      </c>
      <c r="AE437" s="7">
        <f t="shared" si="131"/>
        <v>141.8787157570145</v>
      </c>
      <c r="AF437" s="7">
        <f t="shared" si="132"/>
        <v>1</v>
      </c>
      <c r="AG437" s="6">
        <f t="shared" si="133"/>
        <v>141.8787157570145</v>
      </c>
      <c r="AH437" s="2">
        <f t="shared" si="134"/>
        <v>1</v>
      </c>
      <c r="AI437" s="7">
        <f t="shared" si="135"/>
        <v>141.8787157570145</v>
      </c>
      <c r="AK437" s="78">
        <v>45036.239583333336</v>
      </c>
      <c r="AL437" s="5">
        <v>4.7196656927282601E-2</v>
      </c>
      <c r="AM437" s="5">
        <v>86.199962600000006</v>
      </c>
      <c r="AN437" s="2">
        <v>19167</v>
      </c>
      <c r="AO437" s="7">
        <f t="shared" si="140"/>
        <v>319.45</v>
      </c>
      <c r="AP437" s="5">
        <f t="shared" si="136"/>
        <v>15.076972055420427</v>
      </c>
      <c r="AQ437" s="6">
        <f t="shared" si="137"/>
        <v>140.24068426032269</v>
      </c>
      <c r="AR437" s="2">
        <f t="shared" si="138"/>
        <v>1</v>
      </c>
      <c r="AS437" s="2">
        <f t="shared" si="139"/>
        <v>140.24068426032269</v>
      </c>
    </row>
    <row r="438" spans="13:45" x14ac:dyDescent="0.3">
      <c r="M438" s="78">
        <v>45037.25</v>
      </c>
      <c r="N438" s="5">
        <v>4.3240625364511003E-2</v>
      </c>
      <c r="O438" s="5">
        <v>75.652056590000001</v>
      </c>
      <c r="P438" s="2">
        <v>20251</v>
      </c>
      <c r="Q438" s="7">
        <f t="shared" si="123"/>
        <v>337.51666666666665</v>
      </c>
      <c r="R438" s="6">
        <f t="shared" si="124"/>
        <v>14.59443173761187</v>
      </c>
      <c r="S438" s="6">
        <f t="shared" si="125"/>
        <v>138.02446086223858</v>
      </c>
      <c r="T438" s="2">
        <f t="shared" si="126"/>
        <v>1</v>
      </c>
      <c r="U438" s="6">
        <f t="shared" si="127"/>
        <v>138.02446086223858</v>
      </c>
      <c r="V438">
        <f>IF((R438-$AB$774)/($Z$773-$AB$774)&lt;0, 0, IF((R438-$AB$774)/($Z$773-$AB$774)&gt;1, 1, (R438-$AB$774)/($Z$773-$AB$774)))</f>
        <v>0</v>
      </c>
      <c r="W438" s="6">
        <f t="shared" si="128"/>
        <v>0</v>
      </c>
      <c r="Y438" s="78">
        <v>45051.697916666664</v>
      </c>
      <c r="Z438">
        <v>0.12615479764072501</v>
      </c>
      <c r="AA438" s="6">
        <v>105.0166174</v>
      </c>
      <c r="AB438" s="2">
        <v>7618</v>
      </c>
      <c r="AC438" s="7">
        <f t="shared" si="129"/>
        <v>126.96666666666667</v>
      </c>
      <c r="AD438" s="7">
        <f t="shared" si="130"/>
        <v>16.01745414045072</v>
      </c>
      <c r="AE438" s="7">
        <f t="shared" si="131"/>
        <v>138.02446086223858</v>
      </c>
      <c r="AF438" s="7">
        <f t="shared" si="132"/>
        <v>1</v>
      </c>
      <c r="AG438" s="6">
        <f t="shared" si="133"/>
        <v>138.02446086223858</v>
      </c>
      <c r="AH438" s="2">
        <f t="shared" si="134"/>
        <v>1</v>
      </c>
      <c r="AI438" s="7">
        <f t="shared" si="135"/>
        <v>138.02446086223858</v>
      </c>
      <c r="AK438" s="78">
        <v>45036.25</v>
      </c>
      <c r="AL438" s="5">
        <v>4.4548310858363901E-2</v>
      </c>
      <c r="AM438" s="5">
        <v>84.899432570000002</v>
      </c>
      <c r="AN438" s="2">
        <v>19862</v>
      </c>
      <c r="AO438" s="7">
        <f t="shared" si="140"/>
        <v>331.03333333333336</v>
      </c>
      <c r="AP438" s="5">
        <f t="shared" si="136"/>
        <v>14.746975837813732</v>
      </c>
      <c r="AQ438" s="6">
        <f t="shared" si="137"/>
        <v>138.72905771840033</v>
      </c>
      <c r="AR438" s="2">
        <f t="shared" si="138"/>
        <v>1</v>
      </c>
      <c r="AS438" s="2">
        <f t="shared" si="139"/>
        <v>138.72905771840033</v>
      </c>
    </row>
    <row r="439" spans="13:45" x14ac:dyDescent="0.3">
      <c r="M439" s="78">
        <v>45037.260416666664</v>
      </c>
      <c r="N439" s="5">
        <v>4.28524531929379E-2</v>
      </c>
      <c r="O439" s="5">
        <v>71.622551369999996</v>
      </c>
      <c r="P439" s="2">
        <v>21368</v>
      </c>
      <c r="Q439" s="7">
        <f t="shared" si="123"/>
        <v>356.13333333333333</v>
      </c>
      <c r="R439" s="6">
        <f t="shared" si="124"/>
        <v>15.261186997111617</v>
      </c>
      <c r="S439" s="6">
        <f t="shared" si="125"/>
        <v>141.07718650819479</v>
      </c>
      <c r="T439" s="2">
        <f t="shared" si="126"/>
        <v>1</v>
      </c>
      <c r="U439" s="6">
        <f t="shared" si="127"/>
        <v>141.07718650819479</v>
      </c>
      <c r="V439">
        <f>IF((R439-$AB$774)/($Z$773-$AB$774)&lt;0, 0, IF((R439-$AB$774)/($Z$773-$AB$774)&gt;1, 1, (R439-$AB$774)/($Z$773-$AB$774)))</f>
        <v>6.7341304587638359E-2</v>
      </c>
      <c r="W439" s="6">
        <f t="shared" si="128"/>
        <v>9.5003217870154106</v>
      </c>
      <c r="Y439" s="78">
        <v>45051.708333333336</v>
      </c>
      <c r="Z439">
        <v>0.12012943497820899</v>
      </c>
      <c r="AA439" s="6">
        <v>106.2245245</v>
      </c>
      <c r="AB439" s="2">
        <v>7621</v>
      </c>
      <c r="AC439" s="7">
        <f t="shared" si="129"/>
        <v>127.01666666666667</v>
      </c>
      <c r="AD439" s="7">
        <f t="shared" si="130"/>
        <v>15.258440399482179</v>
      </c>
      <c r="AE439" s="7">
        <f t="shared" si="131"/>
        <v>141.07718650819479</v>
      </c>
      <c r="AF439" s="7">
        <f t="shared" si="132"/>
        <v>1</v>
      </c>
      <c r="AG439" s="6">
        <f t="shared" si="133"/>
        <v>141.07718650819479</v>
      </c>
      <c r="AH439" s="2">
        <f t="shared" si="134"/>
        <v>1</v>
      </c>
      <c r="AI439" s="7">
        <f t="shared" si="135"/>
        <v>141.07718650819479</v>
      </c>
      <c r="AK439" s="78">
        <v>45036.260416666664</v>
      </c>
      <c r="AL439" s="5">
        <v>4.5126280327009098E-2</v>
      </c>
      <c r="AM439" s="5">
        <v>82.718647970000006</v>
      </c>
      <c r="AN439" s="2">
        <v>20781</v>
      </c>
      <c r="AO439" s="7">
        <f t="shared" si="140"/>
        <v>346.35</v>
      </c>
      <c r="AP439" s="5">
        <f t="shared" si="136"/>
        <v>15.629487191259603</v>
      </c>
      <c r="AQ439" s="6">
        <f t="shared" si="137"/>
        <v>142.73429241796299</v>
      </c>
      <c r="AR439" s="2">
        <f t="shared" si="138"/>
        <v>1</v>
      </c>
      <c r="AS439" s="2">
        <f t="shared" si="139"/>
        <v>142.73429241796299</v>
      </c>
    </row>
    <row r="440" spans="13:45" x14ac:dyDescent="0.3">
      <c r="M440" s="78">
        <v>45037.270833333336</v>
      </c>
      <c r="N440" s="5">
        <v>4.3544687654941398E-2</v>
      </c>
      <c r="O440" s="5">
        <v>76.544179459999995</v>
      </c>
      <c r="P440" s="2">
        <v>21858</v>
      </c>
      <c r="Q440" s="7">
        <f t="shared" si="123"/>
        <v>364.3</v>
      </c>
      <c r="R440" s="6">
        <f t="shared" si="124"/>
        <v>15.863329712695151</v>
      </c>
      <c r="S440" s="6">
        <f t="shared" si="125"/>
        <v>143.77610244207943</v>
      </c>
      <c r="T440" s="2">
        <f t="shared" si="126"/>
        <v>1</v>
      </c>
      <c r="U440" s="6">
        <f t="shared" si="127"/>
        <v>143.77610244207943</v>
      </c>
      <c r="V440">
        <f>IF((R440-$AB$774)/($Z$773-$AB$774)&lt;0, 0, IF((R440-$AB$774)/($Z$773-$AB$774)&gt;1, 1, (R440-$AB$774)/($Z$773-$AB$774)))</f>
        <v>0.17756320378575494</v>
      </c>
      <c r="W440" s="6">
        <f t="shared" si="128"/>
        <v>25.529345377444528</v>
      </c>
      <c r="Y440" s="78">
        <v>45051.71875</v>
      </c>
      <c r="Z440">
        <v>0.13219233960583199</v>
      </c>
      <c r="AA440" s="6">
        <v>102.9873886</v>
      </c>
      <c r="AB440" s="2">
        <v>7722</v>
      </c>
      <c r="AC440" s="7">
        <f t="shared" si="129"/>
        <v>128.69999999999999</v>
      </c>
      <c r="AD440" s="7">
        <f t="shared" si="130"/>
        <v>17.013154107270577</v>
      </c>
      <c r="AE440" s="7">
        <f t="shared" si="131"/>
        <v>143.77610244207943</v>
      </c>
      <c r="AF440" s="7">
        <f t="shared" si="132"/>
        <v>1</v>
      </c>
      <c r="AG440" s="6">
        <f t="shared" si="133"/>
        <v>143.77610244207943</v>
      </c>
      <c r="AH440" s="2">
        <f t="shared" si="134"/>
        <v>1</v>
      </c>
      <c r="AI440" s="7">
        <f t="shared" si="135"/>
        <v>143.77610244207943</v>
      </c>
      <c r="AK440" s="78">
        <v>45036.270833333336</v>
      </c>
      <c r="AL440" s="5">
        <v>4.2995764535354503E-2</v>
      </c>
      <c r="AM440" s="5">
        <v>84.891986889999998</v>
      </c>
      <c r="AN440" s="2">
        <v>20876</v>
      </c>
      <c r="AO440" s="7">
        <f t="shared" si="140"/>
        <v>347.93333333333334</v>
      </c>
      <c r="AP440" s="5">
        <f t="shared" si="136"/>
        <v>14.95965967400101</v>
      </c>
      <c r="AQ440" s="6">
        <f t="shared" si="137"/>
        <v>139.70525933736982</v>
      </c>
      <c r="AR440" s="2">
        <f t="shared" si="138"/>
        <v>1</v>
      </c>
      <c r="AS440" s="2">
        <f t="shared" si="139"/>
        <v>139.70525933736982</v>
      </c>
    </row>
    <row r="441" spans="13:45" x14ac:dyDescent="0.3">
      <c r="M441" s="78">
        <v>45037.28125</v>
      </c>
      <c r="N441" s="5">
        <v>4.1784946223705301E-2</v>
      </c>
      <c r="O441" s="5">
        <v>76.544179459999995</v>
      </c>
      <c r="P441" s="2">
        <v>21393</v>
      </c>
      <c r="Q441" s="7">
        <f t="shared" si="123"/>
        <v>356.55</v>
      </c>
      <c r="R441" s="6">
        <f t="shared" si="124"/>
        <v>14.898422576062126</v>
      </c>
      <c r="S441" s="6">
        <f t="shared" si="125"/>
        <v>139.42491612434625</v>
      </c>
      <c r="T441" s="2">
        <f t="shared" si="126"/>
        <v>1</v>
      </c>
      <c r="U441" s="6">
        <f t="shared" si="127"/>
        <v>139.42491612434625</v>
      </c>
      <c r="V441">
        <f>IF((R441-$AB$774)/($Z$773-$AB$774)&lt;0, 0, IF((R441-$AB$774)/($Z$773-$AB$774)&gt;1, 1, (R441-$AB$774)/($Z$773-$AB$774)))</f>
        <v>9.3747304608902352E-4</v>
      </c>
      <c r="W441" s="6">
        <f t="shared" si="128"/>
        <v>0.1307071008197975</v>
      </c>
      <c r="Y441" s="78">
        <v>45051.729166666664</v>
      </c>
      <c r="Z441">
        <v>0.13173993116965399</v>
      </c>
      <c r="AA441" s="6">
        <v>98.474887140000007</v>
      </c>
      <c r="AB441" s="2">
        <v>8148</v>
      </c>
      <c r="AC441" s="7">
        <f t="shared" si="129"/>
        <v>135.80000000000001</v>
      </c>
      <c r="AD441" s="7">
        <f t="shared" si="130"/>
        <v>17.890282652839012</v>
      </c>
      <c r="AE441" s="7">
        <f t="shared" si="131"/>
        <v>139.42491612434625</v>
      </c>
      <c r="AF441" s="7">
        <f t="shared" si="132"/>
        <v>1</v>
      </c>
      <c r="AG441" s="6">
        <f t="shared" si="133"/>
        <v>139.42491612434625</v>
      </c>
      <c r="AH441" s="2">
        <f t="shared" si="134"/>
        <v>1</v>
      </c>
      <c r="AI441" s="7">
        <f t="shared" si="135"/>
        <v>139.42491612434625</v>
      </c>
      <c r="AK441" s="78">
        <v>45036.28125</v>
      </c>
      <c r="AL441" s="5">
        <v>4.6346672407643501E-2</v>
      </c>
      <c r="AM441" s="5">
        <v>84.020316870000002</v>
      </c>
      <c r="AN441" s="2">
        <v>20511</v>
      </c>
      <c r="AO441" s="7">
        <f t="shared" si="140"/>
        <v>341.85</v>
      </c>
      <c r="AP441" s="5">
        <f t="shared" si="136"/>
        <v>15.843609962552932</v>
      </c>
      <c r="AQ441" s="6">
        <f t="shared" si="137"/>
        <v>143.68855132730033</v>
      </c>
      <c r="AR441" s="2">
        <f t="shared" si="138"/>
        <v>1</v>
      </c>
      <c r="AS441" s="2">
        <f t="shared" si="139"/>
        <v>143.68855132730033</v>
      </c>
    </row>
    <row r="442" spans="13:45" x14ac:dyDescent="0.3">
      <c r="M442" s="78">
        <v>45037.291666666664</v>
      </c>
      <c r="N442" s="5">
        <v>4.0925053326698997E-2</v>
      </c>
      <c r="O442" s="5">
        <v>76.094169239999999</v>
      </c>
      <c r="P442" s="2">
        <v>20974</v>
      </c>
      <c r="Q442" s="7">
        <f t="shared" si="123"/>
        <v>349.56666666666666</v>
      </c>
      <c r="R442" s="6">
        <f t="shared" si="124"/>
        <v>14.306034474569746</v>
      </c>
      <c r="S442" s="6">
        <f t="shared" si="125"/>
        <v>136.68201664313281</v>
      </c>
      <c r="T442" s="2">
        <f t="shared" si="126"/>
        <v>1</v>
      </c>
      <c r="U442" s="6">
        <f t="shared" si="127"/>
        <v>136.68201664313281</v>
      </c>
      <c r="V442">
        <f>IF((R442-$AB$774)/($Z$773-$AB$774)&lt;0, 0, IF((R442-$AB$774)/($Z$773-$AB$774)&gt;1, 1, (R442-$AB$774)/($Z$773-$AB$774)))</f>
        <v>0</v>
      </c>
      <c r="W442" s="6">
        <f t="shared" si="128"/>
        <v>0</v>
      </c>
      <c r="Y442" s="78">
        <v>45051.739583333336</v>
      </c>
      <c r="Z442">
        <v>0.48118745487702203</v>
      </c>
      <c r="AA442" s="6">
        <v>105.0166174</v>
      </c>
      <c r="AB442" s="2">
        <v>6242</v>
      </c>
      <c r="AC442" s="7">
        <f t="shared" si="129"/>
        <v>104.03333333333333</v>
      </c>
      <c r="AD442" s="7">
        <f t="shared" si="130"/>
        <v>50.059534889039526</v>
      </c>
      <c r="AE442" s="7">
        <f t="shared" si="131"/>
        <v>136.68201664313281</v>
      </c>
      <c r="AF442" s="7">
        <f t="shared" si="132"/>
        <v>1</v>
      </c>
      <c r="AG442" s="6">
        <f t="shared" si="133"/>
        <v>136.68201664313281</v>
      </c>
      <c r="AH442" s="2">
        <f t="shared" si="134"/>
        <v>1</v>
      </c>
      <c r="AI442" s="7">
        <f t="shared" si="135"/>
        <v>136.68201664313281</v>
      </c>
      <c r="AK442" s="78">
        <v>45036.291666666664</v>
      </c>
      <c r="AL442" s="5">
        <v>4.9700676781615702E-2</v>
      </c>
      <c r="AM442" s="5">
        <v>80.079324720000002</v>
      </c>
      <c r="AN442" s="2">
        <v>20092</v>
      </c>
      <c r="AO442" s="7">
        <f t="shared" si="140"/>
        <v>334.86666666666667</v>
      </c>
      <c r="AP442" s="5">
        <f t="shared" si="136"/>
        <v>16.643099964937043</v>
      </c>
      <c r="AQ442" s="6">
        <f t="shared" si="137"/>
        <v>147.19463842111264</v>
      </c>
      <c r="AR442" s="2">
        <f t="shared" si="138"/>
        <v>1</v>
      </c>
      <c r="AS442" s="2">
        <f t="shared" si="139"/>
        <v>147.19463842111264</v>
      </c>
    </row>
    <row r="443" spans="13:45" x14ac:dyDescent="0.3">
      <c r="M443" s="78">
        <v>45037.302083333336</v>
      </c>
      <c r="N443" s="5">
        <v>4.6696881439506698E-2</v>
      </c>
      <c r="O443" s="5">
        <v>72.077340390000003</v>
      </c>
      <c r="P443" s="2">
        <v>21209</v>
      </c>
      <c r="Q443" s="7">
        <f t="shared" si="123"/>
        <v>353.48333333333335</v>
      </c>
      <c r="R443" s="6">
        <f t="shared" si="124"/>
        <v>16.506569307508293</v>
      </c>
      <c r="S443" s="6">
        <f t="shared" si="125"/>
        <v>146.60208174495725</v>
      </c>
      <c r="T443" s="2">
        <f t="shared" si="126"/>
        <v>1</v>
      </c>
      <c r="U443" s="6">
        <f t="shared" si="127"/>
        <v>146.60208174495725</v>
      </c>
      <c r="V443">
        <f>IF((R443-$AB$774)/($Z$773-$AB$774)&lt;0, 0, IF((R443-$AB$774)/($Z$773-$AB$774)&gt;1, 1, (R443-$AB$774)/($Z$773-$AB$774)))</f>
        <v>0.29530786455280156</v>
      </c>
      <c r="W443" s="6">
        <f t="shared" si="128"/>
        <v>43.292747699098577</v>
      </c>
      <c r="AK443" s="78">
        <v>45036.302083333336</v>
      </c>
      <c r="AL443" s="5">
        <v>4.2672545261343502E-2</v>
      </c>
      <c r="AM443" s="5">
        <v>76.986061320000005</v>
      </c>
      <c r="AN443" s="2">
        <v>20249</v>
      </c>
      <c r="AO443" s="7">
        <f t="shared" si="140"/>
        <v>337.48333333333335</v>
      </c>
      <c r="AP443" s="5">
        <f t="shared" si="136"/>
        <v>14.401272816615743</v>
      </c>
      <c r="AQ443" s="6">
        <f t="shared" si="137"/>
        <v>137.12685086664709</v>
      </c>
      <c r="AR443" s="2">
        <f t="shared" si="138"/>
        <v>-2.1301186875174403</v>
      </c>
      <c r="AS443" s="2">
        <f t="shared" si="139"/>
        <v>-292.09646759146204</v>
      </c>
    </row>
    <row r="444" spans="13:45" x14ac:dyDescent="0.3">
      <c r="M444" s="78">
        <v>45037.3125</v>
      </c>
      <c r="N444" s="5">
        <v>4.0169923680813201E-2</v>
      </c>
      <c r="O444" s="5">
        <v>73.868067069999995</v>
      </c>
      <c r="P444" s="2">
        <v>21818</v>
      </c>
      <c r="Q444" s="7">
        <f t="shared" si="123"/>
        <v>363.63333333333333</v>
      </c>
      <c r="R444" s="6">
        <f t="shared" si="124"/>
        <v>14.607123247799706</v>
      </c>
      <c r="S444" s="6">
        <f t="shared" si="125"/>
        <v>138.08322548411917</v>
      </c>
      <c r="T444" s="2">
        <f t="shared" si="126"/>
        <v>1</v>
      </c>
      <c r="U444" s="6">
        <f t="shared" si="127"/>
        <v>138.08322548411917</v>
      </c>
      <c r="V444">
        <f>IF((R444-$AB$774)/($Z$773-$AB$774)&lt;0, 0, IF((R444-$AB$774)/($Z$773-$AB$774)&gt;1, 1, (R444-$AB$774)/($Z$773-$AB$774)))</f>
        <v>0</v>
      </c>
      <c r="W444" s="6">
        <f t="shared" si="128"/>
        <v>0</v>
      </c>
      <c r="AF444" s="113" t="s">
        <v>54</v>
      </c>
      <c r="AG444" s="114">
        <f>INDEX(AD3:AD442, MATCH(MAX(AE3:AE442), AE3:AE442, 0))</f>
        <v>13.565915719400781</v>
      </c>
      <c r="AH444" s="113" t="s">
        <v>55</v>
      </c>
      <c r="AI444" s="115">
        <f>_xlfn.PERCENTILE.INC(AD3:AD442, 0.1)</f>
        <v>13.251900819068533</v>
      </c>
      <c r="AK444" s="78">
        <v>45036.3125</v>
      </c>
      <c r="AL444" s="5">
        <v>4.5110169078277501E-2</v>
      </c>
      <c r="AM444" s="5">
        <v>80.086877509999994</v>
      </c>
      <c r="AN444" s="2">
        <v>20604</v>
      </c>
      <c r="AO444" s="7">
        <f t="shared" si="140"/>
        <v>343.4</v>
      </c>
      <c r="AP444" s="5">
        <f t="shared" si="136"/>
        <v>15.490832061480493</v>
      </c>
      <c r="AQ444" s="6">
        <f t="shared" si="137"/>
        <v>142.11279979625607</v>
      </c>
      <c r="AR444" s="2">
        <f t="shared" si="138"/>
        <v>-2.1301186875174403</v>
      </c>
      <c r="AS444" s="2">
        <f t="shared" si="139"/>
        <v>-302.71713058142973</v>
      </c>
    </row>
    <row r="445" spans="13:45" x14ac:dyDescent="0.3">
      <c r="M445" s="78">
        <v>45037.322916666664</v>
      </c>
      <c r="N445" s="5">
        <v>4.5871896232288802E-2</v>
      </c>
      <c r="O445" s="5">
        <v>73.868067069999995</v>
      </c>
      <c r="P445" s="2">
        <v>21013</v>
      </c>
      <c r="Q445" s="7">
        <f t="shared" si="123"/>
        <v>350.21666666666664</v>
      </c>
      <c r="R445" s="6">
        <f t="shared" si="124"/>
        <v>16.065102592151408</v>
      </c>
      <c r="S445" s="6">
        <f t="shared" si="125"/>
        <v>144.66875508755766</v>
      </c>
      <c r="T445" s="2">
        <f t="shared" si="126"/>
        <v>1</v>
      </c>
      <c r="U445" s="6">
        <f t="shared" si="127"/>
        <v>144.66875508755766</v>
      </c>
      <c r="V445">
        <f>IF((R445-$AB$774)/($Z$773-$AB$774)&lt;0, 0, IF((R445-$AB$774)/($Z$773-$AB$774)&gt;1, 1, (R445-$AB$774)/($Z$773-$AB$774)))</f>
        <v>0.21449762050254406</v>
      </c>
      <c r="W445" s="6">
        <f t="shared" si="128"/>
        <v>31.031103727346434</v>
      </c>
      <c r="AK445" s="78">
        <v>45036.322916666664</v>
      </c>
      <c r="AL445" s="5">
        <v>4.3613250640004902E-2</v>
      </c>
      <c r="AM445" s="5">
        <v>77.875916610000004</v>
      </c>
      <c r="AN445" s="2">
        <v>20038</v>
      </c>
      <c r="AO445" s="7">
        <f t="shared" si="140"/>
        <v>333.96666666666664</v>
      </c>
      <c r="AP445" s="5">
        <f t="shared" si="136"/>
        <v>14.565371938740302</v>
      </c>
      <c r="AQ445" s="6">
        <f t="shared" si="137"/>
        <v>137.88980899387252</v>
      </c>
      <c r="AR445" s="2">
        <f t="shared" si="138"/>
        <v>-2.1301186875174403</v>
      </c>
      <c r="AS445" s="2">
        <f t="shared" si="139"/>
        <v>-293.72165895605826</v>
      </c>
    </row>
    <row r="446" spans="13:45" x14ac:dyDescent="0.3">
      <c r="M446" s="78">
        <v>45037.333333333336</v>
      </c>
      <c r="N446" s="5">
        <v>4.2045469504973697E-2</v>
      </c>
      <c r="O446" s="5">
        <v>77.435049230000004</v>
      </c>
      <c r="P446" s="2">
        <v>20781</v>
      </c>
      <c r="Q446" s="7">
        <f t="shared" si="123"/>
        <v>346.35</v>
      </c>
      <c r="R446" s="6">
        <f t="shared" si="124"/>
        <v>14.562448363047642</v>
      </c>
      <c r="S446" s="6">
        <f t="shared" si="125"/>
        <v>137.87625468803219</v>
      </c>
      <c r="T446" s="2">
        <f t="shared" si="126"/>
        <v>1</v>
      </c>
      <c r="U446" s="6">
        <f t="shared" si="127"/>
        <v>137.87625468803219</v>
      </c>
      <c r="V446">
        <f>IF((R446-$AB$774)/($Z$773-$AB$774)&lt;0, 0, IF((R446-$AB$774)/($Z$773-$AB$774)&gt;1, 1, (R446-$AB$774)/($Z$773-$AB$774)))</f>
        <v>0</v>
      </c>
      <c r="W446" s="6">
        <f t="shared" si="128"/>
        <v>0</v>
      </c>
      <c r="AK446" s="78">
        <v>45036.333333333336</v>
      </c>
      <c r="AL446" s="5">
        <v>4.2662406033360703E-2</v>
      </c>
      <c r="AM446" s="5">
        <v>79.202259850000004</v>
      </c>
      <c r="AN446" s="2">
        <v>20448</v>
      </c>
      <c r="AO446" s="7">
        <f t="shared" si="140"/>
        <v>340.8</v>
      </c>
      <c r="AP446" s="5">
        <f t="shared" si="136"/>
        <v>14.539347976169328</v>
      </c>
      <c r="AQ446" s="6">
        <f t="shared" si="137"/>
        <v>137.76910761308065</v>
      </c>
      <c r="AR446" s="2">
        <f t="shared" si="138"/>
        <v>-2.1301186875174403</v>
      </c>
      <c r="AS446" s="2">
        <f t="shared" si="139"/>
        <v>-293.46455068922432</v>
      </c>
    </row>
    <row r="447" spans="13:45" x14ac:dyDescent="0.3">
      <c r="M447" s="78">
        <v>45037.34375</v>
      </c>
      <c r="N447" s="5">
        <v>4.2255655126316502E-2</v>
      </c>
      <c r="O447" s="5">
        <v>73.868067069999995</v>
      </c>
      <c r="P447" s="2">
        <v>21204</v>
      </c>
      <c r="Q447" s="7">
        <f t="shared" si="123"/>
        <v>353.4</v>
      </c>
      <c r="R447" s="6">
        <f t="shared" si="124"/>
        <v>14.93314852164025</v>
      </c>
      <c r="S447" s="6">
        <f t="shared" si="125"/>
        <v>139.58396339915703</v>
      </c>
      <c r="T447" s="2">
        <f t="shared" si="126"/>
        <v>1</v>
      </c>
      <c r="U447" s="6">
        <f t="shared" si="127"/>
        <v>139.58396339915703</v>
      </c>
      <c r="V447">
        <f>IF((R447-$AB$774)/($Z$773-$AB$774)&lt;0, 0, IF((R447-$AB$774)/($Z$773-$AB$774)&gt;1, 1, (R447-$AB$774)/($Z$773-$AB$774)))</f>
        <v>7.2940386475876745E-3</v>
      </c>
      <c r="W447" s="6">
        <f t="shared" si="128"/>
        <v>1.0181308236169149</v>
      </c>
      <c r="AK447" s="78">
        <v>45036.34375</v>
      </c>
      <c r="AL447" s="5">
        <v>4.3008155518834898E-2</v>
      </c>
      <c r="AM447" s="5">
        <v>76.986061320000005</v>
      </c>
      <c r="AN447" s="2">
        <v>20846</v>
      </c>
      <c r="AO447" s="7">
        <f t="shared" si="140"/>
        <v>347.43333333333334</v>
      </c>
      <c r="AP447" s="5">
        <f t="shared" si="136"/>
        <v>14.942466832427204</v>
      </c>
      <c r="AQ447" s="6">
        <f t="shared" si="137"/>
        <v>139.62660979234698</v>
      </c>
      <c r="AR447" s="2">
        <f t="shared" si="138"/>
        <v>-2.1301186875174403</v>
      </c>
      <c r="AS447" s="2">
        <f t="shared" si="139"/>
        <v>-297.42125079338393</v>
      </c>
    </row>
    <row r="448" spans="13:45" x14ac:dyDescent="0.3">
      <c r="M448" s="78">
        <v>45037.354166666664</v>
      </c>
      <c r="N448" s="5">
        <v>4.3465937076279798E-2</v>
      </c>
      <c r="O448" s="5">
        <v>73.868067069999995</v>
      </c>
      <c r="P448" s="2">
        <v>20960</v>
      </c>
      <c r="Q448" s="7">
        <f t="shared" si="123"/>
        <v>349.33333333333331</v>
      </c>
      <c r="R448" s="6">
        <f t="shared" si="124"/>
        <v>15.184100685313743</v>
      </c>
      <c r="S448" s="6">
        <f t="shared" si="125"/>
        <v>140.72777546201516</v>
      </c>
      <c r="T448" s="2">
        <f t="shared" si="126"/>
        <v>1</v>
      </c>
      <c r="U448" s="6">
        <f t="shared" si="127"/>
        <v>140.72777546201516</v>
      </c>
      <c r="V448">
        <f>IF((R448-$AB$774)/($Z$773-$AB$774)&lt;0, 0, IF((R448-$AB$774)/($Z$773-$AB$774)&gt;1, 1, (R448-$AB$774)/($Z$773-$AB$774)))</f>
        <v>5.3230696805385537E-2</v>
      </c>
      <c r="W448" s="6">
        <f t="shared" si="128"/>
        <v>7.4910375477149032</v>
      </c>
      <c r="AK448" s="78">
        <v>45036.354166666664</v>
      </c>
      <c r="AL448" s="5">
        <v>4.7138822105019802E-2</v>
      </c>
      <c r="AM448" s="5">
        <v>77.875916610000004</v>
      </c>
      <c r="AN448" s="2">
        <v>19293</v>
      </c>
      <c r="AO448" s="7">
        <f t="shared" si="140"/>
        <v>321.55</v>
      </c>
      <c r="AP448" s="5">
        <f t="shared" si="136"/>
        <v>15.157488247869118</v>
      </c>
      <c r="AQ448" s="6">
        <f t="shared" si="137"/>
        <v>140.60693848688928</v>
      </c>
      <c r="AR448" s="2">
        <f t="shared" si="138"/>
        <v>-2.1301186875174403</v>
      </c>
      <c r="AS448" s="2">
        <f t="shared" si="139"/>
        <v>-299.50946726553804</v>
      </c>
    </row>
    <row r="449" spans="13:45" x14ac:dyDescent="0.3">
      <c r="M449" s="78">
        <v>45037.364583333336</v>
      </c>
      <c r="N449" s="5">
        <v>4.0702272774699302E-2</v>
      </c>
      <c r="O449" s="5">
        <v>72.523974480000007</v>
      </c>
      <c r="P449" s="2">
        <v>21516</v>
      </c>
      <c r="Q449" s="7">
        <f t="shared" si="123"/>
        <v>358.6</v>
      </c>
      <c r="R449" s="6">
        <f t="shared" si="124"/>
        <v>14.59583501700717</v>
      </c>
      <c r="S449" s="6">
        <f t="shared" si="125"/>
        <v>138.03095965170797</v>
      </c>
      <c r="T449" s="2">
        <f t="shared" si="126"/>
        <v>1</v>
      </c>
      <c r="U449" s="6">
        <f t="shared" si="127"/>
        <v>138.03095965170797</v>
      </c>
      <c r="V449">
        <f>IF((R449-$AB$774)/($Z$773-$AB$774)&lt;0, 0, IF((R449-$AB$774)/($Z$773-$AB$774)&gt;1, 1, (R449-$AB$774)/($Z$773-$AB$774)))</f>
        <v>0</v>
      </c>
      <c r="W449" s="6">
        <f t="shared" si="128"/>
        <v>0</v>
      </c>
      <c r="AK449" s="78">
        <v>45036.364583333336</v>
      </c>
      <c r="AL449" s="5">
        <v>4.6453553461619702E-2</v>
      </c>
      <c r="AM449" s="5">
        <v>81.397704649999994</v>
      </c>
      <c r="AN449" s="2">
        <v>19327</v>
      </c>
      <c r="AO449" s="7">
        <f t="shared" si="140"/>
        <v>322.11666666666667</v>
      </c>
      <c r="AP449" s="5">
        <f t="shared" si="136"/>
        <v>14.963463795878733</v>
      </c>
      <c r="AQ449" s="6">
        <f t="shared" si="137"/>
        <v>139.72265525703205</v>
      </c>
      <c r="AR449" s="2">
        <f t="shared" si="138"/>
        <v>-2.1301186875174403</v>
      </c>
      <c r="AS449" s="2">
        <f t="shared" si="139"/>
        <v>-297.62583903256086</v>
      </c>
    </row>
    <row r="450" spans="13:45" x14ac:dyDescent="0.3">
      <c r="M450" s="78">
        <v>45037.375</v>
      </c>
      <c r="N450" s="5">
        <v>4.2100178469414197E-2</v>
      </c>
      <c r="O450" s="5">
        <v>66.655723199999997</v>
      </c>
      <c r="P450" s="2">
        <v>21528</v>
      </c>
      <c r="Q450" s="7">
        <f t="shared" si="123"/>
        <v>358.8</v>
      </c>
      <c r="R450" s="6">
        <f t="shared" si="124"/>
        <v>15.105544034825815</v>
      </c>
      <c r="S450" s="6">
        <f t="shared" si="125"/>
        <v>140.37076724124154</v>
      </c>
      <c r="T450" s="2">
        <f t="shared" si="126"/>
        <v>1</v>
      </c>
      <c r="U450" s="6">
        <f t="shared" si="127"/>
        <v>140.37076724124154</v>
      </c>
      <c r="V450">
        <f>IF((R450-$AB$774)/($Z$773-$AB$774)&lt;0, 0, IF((R450-$AB$774)/($Z$773-$AB$774)&gt;1, 1, (R450-$AB$774)/($Z$773-$AB$774)))</f>
        <v>3.885094431924789E-2</v>
      </c>
      <c r="W450" s="6">
        <f t="shared" si="128"/>
        <v>5.4535368621395808</v>
      </c>
      <c r="AK450" s="78">
        <v>45036.375</v>
      </c>
      <c r="AL450" s="5">
        <v>4.6112379976560501E-2</v>
      </c>
      <c r="AM450" s="5">
        <v>74.312865549999998</v>
      </c>
      <c r="AN450" s="2">
        <v>19525</v>
      </c>
      <c r="AO450" s="7">
        <f t="shared" si="140"/>
        <v>325.41666666666669</v>
      </c>
      <c r="AP450" s="5">
        <f t="shared" si="136"/>
        <v>15.005736984039064</v>
      </c>
      <c r="AQ450" s="6">
        <f t="shared" si="137"/>
        <v>139.91581520616799</v>
      </c>
      <c r="AR450" s="2">
        <f t="shared" si="138"/>
        <v>-2.1301186875174403</v>
      </c>
      <c r="AS450" s="2">
        <f t="shared" si="139"/>
        <v>-298.03729264989528</v>
      </c>
    </row>
    <row r="451" spans="13:45" x14ac:dyDescent="0.3">
      <c r="M451" s="78">
        <v>45037.385416666664</v>
      </c>
      <c r="N451" s="5">
        <v>4.0337128779148898E-2</v>
      </c>
      <c r="O451" s="5">
        <v>71.622551369999996</v>
      </c>
      <c r="P451" s="2">
        <v>21799</v>
      </c>
      <c r="Q451" s="7">
        <f t="shared" si="123"/>
        <v>363.31666666666666</v>
      </c>
      <c r="R451" s="6">
        <f t="shared" si="124"/>
        <v>14.655151170944446</v>
      </c>
      <c r="S451" s="6">
        <f t="shared" si="125"/>
        <v>138.30537033348514</v>
      </c>
      <c r="T451" s="2">
        <f t="shared" si="126"/>
        <v>1</v>
      </c>
      <c r="U451" s="6">
        <f t="shared" si="127"/>
        <v>138.30537033348514</v>
      </c>
      <c r="V451">
        <f>IF((R451-$AB$774)/($Z$773-$AB$774)&lt;0, 0, IF((R451-$AB$774)/($Z$773-$AB$774)&gt;1, 1, (R451-$AB$774)/($Z$773-$AB$774)))</f>
        <v>0</v>
      </c>
      <c r="W451" s="6">
        <f t="shared" si="128"/>
        <v>0</v>
      </c>
      <c r="AK451" s="78">
        <v>45036.385416666664</v>
      </c>
      <c r="AL451" s="5">
        <v>4.6311112236480101E-2</v>
      </c>
      <c r="AM451" s="5">
        <v>81.397704649999994</v>
      </c>
      <c r="AN451" s="2">
        <v>19547</v>
      </c>
      <c r="AO451" s="7">
        <f t="shared" si="140"/>
        <v>325.78333333333336</v>
      </c>
      <c r="AP451" s="5">
        <f t="shared" si="136"/>
        <v>15.087388514774609</v>
      </c>
      <c r="AQ451" s="6">
        <f t="shared" si="137"/>
        <v>140.28812304806516</v>
      </c>
      <c r="AR451" s="2">
        <f t="shared" si="138"/>
        <v>-2.1301186875174403</v>
      </c>
      <c r="AS451" s="2">
        <f t="shared" si="139"/>
        <v>-298.8303525414297</v>
      </c>
    </row>
    <row r="452" spans="13:45" x14ac:dyDescent="0.3">
      <c r="M452" s="78">
        <v>45037.395833333336</v>
      </c>
      <c r="N452" s="5">
        <v>4.62879947749942E-2</v>
      </c>
      <c r="O452" s="5">
        <v>76.101800600000004</v>
      </c>
      <c r="P452" s="2">
        <v>20983</v>
      </c>
      <c r="Q452" s="7">
        <f t="shared" ref="Q452:Q515" si="141">P452/60</f>
        <v>349.71666666666664</v>
      </c>
      <c r="R452" s="6">
        <f t="shared" ref="R452:R515" si="142">N452*Q452</f>
        <v>16.187683239395053</v>
      </c>
      <c r="S452" s="6">
        <f t="shared" ref="S452:S515" si="143">37.141*R452^0.4897</f>
        <v>145.20826590958146</v>
      </c>
      <c r="T452" s="2">
        <f t="shared" ref="T452:T515" si="144">IF((O452-$R$1)/($P$1-$R$1)&lt;0, 0, IF((O452-$R$1)/($P$1-$R$1)&gt;1, 1, (O452-$R$1)/($P$1-$R$1)))</f>
        <v>1</v>
      </c>
      <c r="U452" s="6">
        <f t="shared" ref="U452:U515" si="145">S452*T452</f>
        <v>145.20826590958146</v>
      </c>
      <c r="V452">
        <f>IF((R452-$AB$774)/($Z$773-$AB$774)&lt;0, 0, IF((R452-$AB$774)/($Z$773-$AB$774)&gt;1, 1, (R452-$AB$774)/($Z$773-$AB$774)))</f>
        <v>0.23693594184142358</v>
      </c>
      <c r="W452" s="6">
        <f t="shared" ref="W452:W515" si="146">S452*V452</f>
        <v>34.40505724644656</v>
      </c>
      <c r="AK452" s="78">
        <v>45036.395833333336</v>
      </c>
      <c r="AL452" s="5">
        <v>4.3050002614687499E-2</v>
      </c>
      <c r="AM452" s="5">
        <v>77.875916610000004</v>
      </c>
      <c r="AN452" s="2">
        <v>19989</v>
      </c>
      <c r="AO452" s="7">
        <f t="shared" si="140"/>
        <v>333.15</v>
      </c>
      <c r="AP452" s="5">
        <f t="shared" ref="AP452:AP515" si="147">AO452*AL452</f>
        <v>14.342108371083139</v>
      </c>
      <c r="AQ452" s="6">
        <f t="shared" ref="AQ452:AQ515" si="148">37.141*AP452^0.4897</f>
        <v>136.85068597188769</v>
      </c>
      <c r="AR452" s="2">
        <f t="shared" ref="AR452:AR515" si="149">IF((AM452-$AP$1)/($AN$1-$AP$1)&lt;0, 0, IF((AA452-$AP$1)/($AN$1-$AP$1)&gt;1, 1, (AA452-$AP$1)/($AN$1-$AP$1)))</f>
        <v>-2.1301186875174403</v>
      </c>
      <c r="AS452" s="2">
        <f t="shared" ref="AS452:AS515" si="150">AQ452*AR452</f>
        <v>-291.50820358829878</v>
      </c>
    </row>
    <row r="453" spans="13:45" x14ac:dyDescent="0.3">
      <c r="M453" s="78">
        <v>45037.40625</v>
      </c>
      <c r="N453" s="5">
        <v>4.5541433502176397E-2</v>
      </c>
      <c r="O453" s="5">
        <v>70.720093730000002</v>
      </c>
      <c r="P453" s="2">
        <v>21289</v>
      </c>
      <c r="Q453" s="7">
        <f t="shared" si="141"/>
        <v>354.81666666666666</v>
      </c>
      <c r="R453" s="6">
        <f t="shared" si="142"/>
        <v>16.158859630463887</v>
      </c>
      <c r="S453" s="6">
        <f t="shared" si="143"/>
        <v>145.08159335119677</v>
      </c>
      <c r="T453" s="2">
        <f t="shared" si="144"/>
        <v>1</v>
      </c>
      <c r="U453" s="6">
        <f t="shared" si="145"/>
        <v>145.08159335119677</v>
      </c>
      <c r="V453">
        <f>IF((R453-$AB$774)/($Z$773-$AB$774)&lt;0, 0, IF((R453-$AB$774)/($Z$773-$AB$774)&gt;1, 1, (R453-$AB$774)/($Z$773-$AB$774)))</f>
        <v>0.23165979577851209</v>
      </c>
      <c r="W453" s="6">
        <f t="shared" si="146"/>
        <v>33.609572286959384</v>
      </c>
      <c r="AK453" s="78">
        <v>45036.40625</v>
      </c>
      <c r="AL453" s="5">
        <v>4.6146572390515901E-2</v>
      </c>
      <c r="AM453" s="5">
        <v>75.659696060000002</v>
      </c>
      <c r="AN453" s="2">
        <v>19975</v>
      </c>
      <c r="AO453" s="7">
        <f t="shared" si="140"/>
        <v>332.91666666666669</v>
      </c>
      <c r="AP453" s="5">
        <f t="shared" si="147"/>
        <v>15.362963058342586</v>
      </c>
      <c r="AQ453" s="6">
        <f t="shared" si="148"/>
        <v>141.53713275300927</v>
      </c>
      <c r="AR453" s="2">
        <f t="shared" si="149"/>
        <v>-2.1301186875174403</v>
      </c>
      <c r="AS453" s="2">
        <f t="shared" si="150"/>
        <v>-301.49089145482185</v>
      </c>
    </row>
    <row r="454" spans="13:45" x14ac:dyDescent="0.3">
      <c r="M454" s="78">
        <v>45037.416666666664</v>
      </c>
      <c r="N454" s="5">
        <v>4.1549899387018301E-2</v>
      </c>
      <c r="O454" s="5">
        <v>70.720093730000002</v>
      </c>
      <c r="P454" s="2">
        <v>22429</v>
      </c>
      <c r="Q454" s="7">
        <f t="shared" si="141"/>
        <v>373.81666666666666</v>
      </c>
      <c r="R454" s="6">
        <f t="shared" si="142"/>
        <v>15.532044889190557</v>
      </c>
      <c r="S454" s="6">
        <f t="shared" si="143"/>
        <v>142.29782311007108</v>
      </c>
      <c r="T454" s="2">
        <f t="shared" si="144"/>
        <v>1</v>
      </c>
      <c r="U454" s="6">
        <f t="shared" si="145"/>
        <v>142.29782311007108</v>
      </c>
      <c r="V454">
        <f>IF((R454-$AB$774)/($Z$773-$AB$774)&lt;0, 0, IF((R454-$AB$774)/($Z$773-$AB$774)&gt;1, 1, (R454-$AB$774)/($Z$773-$AB$774)))</f>
        <v>0.116921695589807</v>
      </c>
      <c r="W454" s="6">
        <f t="shared" si="146"/>
        <v>16.637702756767933</v>
      </c>
      <c r="AK454" s="78">
        <v>45036.416666666664</v>
      </c>
      <c r="AL454" s="5">
        <v>4.3078948116950198E-2</v>
      </c>
      <c r="AM454" s="5">
        <v>80.086877509999994</v>
      </c>
      <c r="AN454" s="2">
        <v>20023</v>
      </c>
      <c r="AO454" s="7">
        <f t="shared" si="140"/>
        <v>333.71666666666664</v>
      </c>
      <c r="AP454" s="5">
        <f t="shared" si="147"/>
        <v>14.376162969094896</v>
      </c>
      <c r="AQ454" s="6">
        <f t="shared" si="148"/>
        <v>137.00971520416363</v>
      </c>
      <c r="AR454" s="2">
        <f t="shared" si="149"/>
        <v>-2.1301186875174403</v>
      </c>
      <c r="AS454" s="2">
        <f t="shared" si="150"/>
        <v>-291.8469547278313</v>
      </c>
    </row>
    <row r="455" spans="13:45" x14ac:dyDescent="0.3">
      <c r="M455" s="78">
        <v>45037.427083333336</v>
      </c>
      <c r="N455" s="5">
        <v>4.2858967921439999E-2</v>
      </c>
      <c r="O455" s="5">
        <v>68.466857000000005</v>
      </c>
      <c r="P455" s="2">
        <v>22469</v>
      </c>
      <c r="Q455" s="7">
        <f t="shared" si="141"/>
        <v>374.48333333333335</v>
      </c>
      <c r="R455" s="6">
        <f t="shared" si="142"/>
        <v>16.049969170447255</v>
      </c>
      <c r="S455" s="6">
        <f t="shared" si="143"/>
        <v>144.60200330003232</v>
      </c>
      <c r="T455" s="2">
        <f t="shared" si="144"/>
        <v>1</v>
      </c>
      <c r="U455" s="6">
        <f t="shared" si="145"/>
        <v>144.60200330003232</v>
      </c>
      <c r="V455">
        <f>IF((R455-$AB$774)/($Z$773-$AB$774)&lt;0, 0, IF((R455-$AB$774)/($Z$773-$AB$774)&gt;1, 1, (R455-$AB$774)/($Z$773-$AB$774)))</f>
        <v>0.21172745582492067</v>
      </c>
      <c r="W455" s="6">
        <f t="shared" si="146"/>
        <v>30.616214265902627</v>
      </c>
      <c r="AK455" s="78">
        <v>45036.427083333336</v>
      </c>
      <c r="AL455" s="5">
        <v>4.52646825802984E-2</v>
      </c>
      <c r="AM455" s="5">
        <v>72.077340390000003</v>
      </c>
      <c r="AN455" s="2">
        <v>20020</v>
      </c>
      <c r="AO455" s="7">
        <f t="shared" si="140"/>
        <v>333.66666666666669</v>
      </c>
      <c r="AP455" s="5">
        <f t="shared" si="147"/>
        <v>15.1033157542929</v>
      </c>
      <c r="AQ455" s="6">
        <f t="shared" si="148"/>
        <v>140.36062680544774</v>
      </c>
      <c r="AR455" s="2">
        <f t="shared" si="149"/>
        <v>-2.1301186875174403</v>
      </c>
      <c r="AS455" s="2">
        <f t="shared" si="150"/>
        <v>-298.98479414994557</v>
      </c>
    </row>
    <row r="456" spans="13:45" x14ac:dyDescent="0.3">
      <c r="M456" s="78">
        <v>45037.4375</v>
      </c>
      <c r="N456" s="5">
        <v>4.5421989550368698E-2</v>
      </c>
      <c r="O456" s="5">
        <v>70.271667750000006</v>
      </c>
      <c r="P456" s="2">
        <v>20948</v>
      </c>
      <c r="Q456" s="7">
        <f t="shared" si="141"/>
        <v>349.13333333333333</v>
      </c>
      <c r="R456" s="6">
        <f t="shared" si="142"/>
        <v>15.858330618352058</v>
      </c>
      <c r="S456" s="6">
        <f t="shared" si="143"/>
        <v>143.75391288075176</v>
      </c>
      <c r="T456" s="2">
        <f t="shared" si="144"/>
        <v>1</v>
      </c>
      <c r="U456" s="6">
        <f t="shared" si="145"/>
        <v>143.75391288075176</v>
      </c>
      <c r="V456">
        <f>IF((R456-$AB$774)/($Z$773-$AB$774)&lt;0, 0, IF((R456-$AB$774)/($Z$773-$AB$774)&gt;1, 1, (R456-$AB$774)/($Z$773-$AB$774)))</f>
        <v>0.17664812226354087</v>
      </c>
      <c r="W456" s="6">
        <f t="shared" si="146"/>
        <v>25.393858778421439</v>
      </c>
      <c r="AK456" s="78">
        <v>45036.4375</v>
      </c>
      <c r="AL456" s="5">
        <v>4.5496287511180997E-2</v>
      </c>
      <c r="AM456" s="5">
        <v>77.875916610000004</v>
      </c>
      <c r="AN456" s="2">
        <v>19292</v>
      </c>
      <c r="AO456" s="7">
        <f t="shared" si="140"/>
        <v>321.53333333333336</v>
      </c>
      <c r="AP456" s="5">
        <f t="shared" si="147"/>
        <v>14.628572977761731</v>
      </c>
      <c r="AQ456" s="6">
        <f t="shared" si="148"/>
        <v>138.18248348724742</v>
      </c>
      <c r="AR456" s="2">
        <f t="shared" si="149"/>
        <v>-2.1301186875174403</v>
      </c>
      <c r="AS456" s="2">
        <f t="shared" si="150"/>
        <v>-294.34509036375584</v>
      </c>
    </row>
    <row r="457" spans="13:45" x14ac:dyDescent="0.3">
      <c r="M457" s="78">
        <v>45037.447916666664</v>
      </c>
      <c r="N457" s="5">
        <v>4.5777504340845099E-2</v>
      </c>
      <c r="O457" s="5">
        <v>70.727821939999998</v>
      </c>
      <c r="P457" s="2">
        <v>20685</v>
      </c>
      <c r="Q457" s="7">
        <f t="shared" si="141"/>
        <v>344.75</v>
      </c>
      <c r="R457" s="6">
        <f t="shared" si="142"/>
        <v>15.781794621506348</v>
      </c>
      <c r="S457" s="6">
        <f t="shared" si="143"/>
        <v>143.41374459405691</v>
      </c>
      <c r="T457" s="2">
        <f t="shared" si="144"/>
        <v>1</v>
      </c>
      <c r="U457" s="6">
        <f t="shared" si="145"/>
        <v>143.41374459405691</v>
      </c>
      <c r="V457">
        <f>IF((R457-$AB$774)/($Z$773-$AB$774)&lt;0, 0, IF((R457-$AB$774)/($Z$773-$AB$774)&gt;1, 1, (R457-$AB$774)/($Z$773-$AB$774)))</f>
        <v>0.16263824933635626</v>
      </c>
      <c r="W457" s="6">
        <f t="shared" si="146"/>
        <v>23.324560351548744</v>
      </c>
      <c r="AK457" s="78">
        <v>45036.447916666664</v>
      </c>
      <c r="AL457" s="5">
        <v>4.6404071456427103E-2</v>
      </c>
      <c r="AM457" s="5">
        <v>75.652056590000001</v>
      </c>
      <c r="AN457" s="2">
        <v>19698</v>
      </c>
      <c r="AO457" s="7">
        <f t="shared" si="140"/>
        <v>328.3</v>
      </c>
      <c r="AP457" s="5">
        <f t="shared" si="147"/>
        <v>15.234456659145017</v>
      </c>
      <c r="AQ457" s="6">
        <f t="shared" si="148"/>
        <v>140.95612746288478</v>
      </c>
      <c r="AR457" s="2">
        <f t="shared" si="149"/>
        <v>-2.1301186875174403</v>
      </c>
      <c r="AS457" s="2">
        <f t="shared" si="150"/>
        <v>-300.25328122878113</v>
      </c>
    </row>
    <row r="458" spans="13:45" x14ac:dyDescent="0.3">
      <c r="M458" s="78">
        <v>45037.458333333336</v>
      </c>
      <c r="N458" s="5">
        <v>4.3796046993439502E-2</v>
      </c>
      <c r="O458" s="5">
        <v>68.008627450000006</v>
      </c>
      <c r="P458" s="2">
        <v>21075</v>
      </c>
      <c r="Q458" s="7">
        <f t="shared" si="141"/>
        <v>351.25</v>
      </c>
      <c r="R458" s="6">
        <f t="shared" si="142"/>
        <v>15.383361506445626</v>
      </c>
      <c r="S458" s="6">
        <f t="shared" si="143"/>
        <v>141.62913015907046</v>
      </c>
      <c r="T458" s="2">
        <f t="shared" si="144"/>
        <v>1</v>
      </c>
      <c r="U458" s="6">
        <f t="shared" si="145"/>
        <v>141.62913015907046</v>
      </c>
      <c r="V458">
        <f>IF((R458-$AB$774)/($Z$773-$AB$774)&lt;0, 0, IF((R458-$AB$774)/($Z$773-$AB$774)&gt;1, 1, (R458-$AB$774)/($Z$773-$AB$774)))</f>
        <v>8.9705282601293054E-2</v>
      </c>
      <c r="W458" s="6">
        <f t="shared" si="146"/>
        <v>12.704881145494733</v>
      </c>
      <c r="AK458" s="78">
        <v>45036.458333333336</v>
      </c>
      <c r="AL458" s="5">
        <v>4.6714379733784103E-2</v>
      </c>
      <c r="AM458" s="5">
        <v>75.652056590000001</v>
      </c>
      <c r="AN458" s="2">
        <v>19644</v>
      </c>
      <c r="AO458" s="7">
        <f t="shared" si="140"/>
        <v>327.39999999999998</v>
      </c>
      <c r="AP458" s="5">
        <f t="shared" si="147"/>
        <v>15.294287924840914</v>
      </c>
      <c r="AQ458" s="6">
        <f t="shared" si="148"/>
        <v>141.22694746247956</v>
      </c>
      <c r="AR458" s="2">
        <f t="shared" si="149"/>
        <v>-2.1301186875174403</v>
      </c>
      <c r="AS458" s="2">
        <f t="shared" si="150"/>
        <v>-300.83015997087142</v>
      </c>
    </row>
    <row r="459" spans="13:45" x14ac:dyDescent="0.3">
      <c r="M459" s="78">
        <v>45037.46875</v>
      </c>
      <c r="N459" s="5">
        <v>4.2148834255856998E-2</v>
      </c>
      <c r="O459" s="5">
        <v>68.008627450000006</v>
      </c>
      <c r="P459" s="2">
        <v>21360</v>
      </c>
      <c r="Q459" s="7">
        <f t="shared" si="141"/>
        <v>356</v>
      </c>
      <c r="R459" s="6">
        <f t="shared" si="142"/>
        <v>15.004984995085092</v>
      </c>
      <c r="S459" s="6">
        <f t="shared" si="143"/>
        <v>139.91238155165175</v>
      </c>
      <c r="T459" s="2">
        <f t="shared" si="144"/>
        <v>1</v>
      </c>
      <c r="U459" s="6">
        <f t="shared" si="145"/>
        <v>139.91238155165175</v>
      </c>
      <c r="V459">
        <f>IF((R459-$AB$774)/($Z$773-$AB$774)&lt;0, 0, IF((R459-$AB$774)/($Z$773-$AB$774)&gt;1, 1, (R459-$AB$774)/($Z$773-$AB$774)))</f>
        <v>2.0443666351897389E-2</v>
      </c>
      <c r="W459" s="6">
        <f t="shared" si="146"/>
        <v>2.8603220469413317</v>
      </c>
      <c r="AK459" s="78">
        <v>45036.46875</v>
      </c>
      <c r="AL459" s="5">
        <v>4.7439310513526803E-2</v>
      </c>
      <c r="AM459" s="5">
        <v>73.423571839999994</v>
      </c>
      <c r="AN459" s="2">
        <v>19317</v>
      </c>
      <c r="AO459" s="7">
        <f t="shared" si="140"/>
        <v>321.95</v>
      </c>
      <c r="AP459" s="5">
        <f t="shared" si="147"/>
        <v>15.273086019829954</v>
      </c>
      <c r="AQ459" s="6">
        <f t="shared" si="148"/>
        <v>141.13104119459828</v>
      </c>
      <c r="AR459" s="2">
        <f t="shared" si="149"/>
        <v>-2.1301186875174403</v>
      </c>
      <c r="AS459" s="2">
        <f t="shared" si="150"/>
        <v>-300.62586823740747</v>
      </c>
    </row>
    <row r="460" spans="13:45" x14ac:dyDescent="0.3">
      <c r="M460" s="78">
        <v>45037.479166666664</v>
      </c>
      <c r="N460" s="5">
        <v>4.5568516655125103E-2</v>
      </c>
      <c r="O460" s="5">
        <v>71.622551369999996</v>
      </c>
      <c r="P460" s="2">
        <v>20878</v>
      </c>
      <c r="Q460" s="7">
        <f t="shared" si="141"/>
        <v>347.96666666666664</v>
      </c>
      <c r="R460" s="6">
        <f t="shared" si="142"/>
        <v>15.856324845428365</v>
      </c>
      <c r="S460" s="6">
        <f t="shared" si="143"/>
        <v>143.74500882047636</v>
      </c>
      <c r="T460" s="2">
        <f t="shared" si="144"/>
        <v>1</v>
      </c>
      <c r="U460" s="6">
        <f t="shared" si="145"/>
        <v>143.74500882047636</v>
      </c>
      <c r="V460">
        <f>IF((R460-$AB$774)/($Z$773-$AB$774)&lt;0, 0, IF((R460-$AB$774)/($Z$773-$AB$774)&gt;1, 1, (R460-$AB$774)/($Z$773-$AB$774)))</f>
        <v>0.1762809666120847</v>
      </c>
      <c r="W460" s="6">
        <f t="shared" si="146"/>
        <v>25.339509100536212</v>
      </c>
      <c r="AK460" s="78">
        <v>45036.479166666664</v>
      </c>
      <c r="AL460" s="5">
        <v>5.0767331932076998E-2</v>
      </c>
      <c r="AM460" s="5">
        <v>76.544179459999995</v>
      </c>
      <c r="AN460" s="2">
        <v>17869</v>
      </c>
      <c r="AO460" s="7">
        <f t="shared" si="140"/>
        <v>297.81666666666666</v>
      </c>
      <c r="AP460" s="5">
        <f t="shared" si="147"/>
        <v>15.119357571571397</v>
      </c>
      <c r="AQ460" s="6">
        <f t="shared" si="148"/>
        <v>140.43361271379237</v>
      </c>
      <c r="AR460" s="2">
        <f t="shared" si="149"/>
        <v>-2.1301186875174403</v>
      </c>
      <c r="AS460" s="2">
        <f t="shared" si="150"/>
        <v>-299.14026279723589</v>
      </c>
    </row>
    <row r="461" spans="13:45" x14ac:dyDescent="0.3">
      <c r="M461" s="78">
        <v>45037.489583333336</v>
      </c>
      <c r="N461" s="5">
        <v>4.3859243150798699E-2</v>
      </c>
      <c r="O461" s="5">
        <v>66.647934039999996</v>
      </c>
      <c r="P461" s="2">
        <v>20880</v>
      </c>
      <c r="Q461" s="7">
        <f t="shared" si="141"/>
        <v>348</v>
      </c>
      <c r="R461" s="6">
        <f t="shared" si="142"/>
        <v>15.263016616477948</v>
      </c>
      <c r="S461" s="6">
        <f t="shared" si="143"/>
        <v>141.08546871450534</v>
      </c>
      <c r="T461" s="2">
        <f t="shared" si="144"/>
        <v>1</v>
      </c>
      <c r="U461" s="6">
        <f t="shared" si="145"/>
        <v>141.08546871450534</v>
      </c>
      <c r="V461">
        <f>IF((R461-$AB$774)/($Z$773-$AB$774)&lt;0, 0, IF((R461-$AB$774)/($Z$773-$AB$774)&gt;1, 1, (R461-$AB$774)/($Z$773-$AB$774)))</f>
        <v>6.7676215425464037E-2</v>
      </c>
      <c r="W461" s="6">
        <f t="shared" si="146"/>
        <v>9.5481305741254303</v>
      </c>
      <c r="AK461" s="78">
        <v>45036.489583333336</v>
      </c>
      <c r="AL461" s="5">
        <v>5.0297692447962401E-2</v>
      </c>
      <c r="AM461" s="5">
        <v>70.727821939999998</v>
      </c>
      <c r="AN461" s="2">
        <v>18608</v>
      </c>
      <c r="AO461" s="7">
        <f t="shared" si="140"/>
        <v>310.13333333333333</v>
      </c>
      <c r="AP461" s="5">
        <f t="shared" si="147"/>
        <v>15.598991017861406</v>
      </c>
      <c r="AQ461" s="6">
        <f t="shared" si="148"/>
        <v>142.59784182698968</v>
      </c>
      <c r="AR461" s="2">
        <f t="shared" si="149"/>
        <v>-2.1301186875174403</v>
      </c>
      <c r="AS461" s="2">
        <f t="shared" si="150"/>
        <v>-303.75032767532679</v>
      </c>
    </row>
    <row r="462" spans="13:45" x14ac:dyDescent="0.3">
      <c r="M462" s="78">
        <v>45037.5</v>
      </c>
      <c r="N462" s="5">
        <v>4.3573854213967998E-2</v>
      </c>
      <c r="O462" s="5">
        <v>68.008627450000006</v>
      </c>
      <c r="P462" s="2">
        <v>20738</v>
      </c>
      <c r="Q462" s="7">
        <f t="shared" si="141"/>
        <v>345.63333333333333</v>
      </c>
      <c r="R462" s="6">
        <f t="shared" si="142"/>
        <v>15.060576478154472</v>
      </c>
      <c r="S462" s="6">
        <f t="shared" si="143"/>
        <v>140.16598139514488</v>
      </c>
      <c r="T462" s="2">
        <f t="shared" si="144"/>
        <v>1</v>
      </c>
      <c r="U462" s="6">
        <f t="shared" si="145"/>
        <v>140.16598139514488</v>
      </c>
      <c r="V462">
        <f>IF((R462-$AB$774)/($Z$773-$AB$774)&lt;0, 0, IF((R462-$AB$774)/($Z$773-$AB$774)&gt;1, 1, (R462-$AB$774)/($Z$773-$AB$774)))</f>
        <v>3.0619657333053642E-2</v>
      </c>
      <c r="W462" s="6">
        <f t="shared" si="146"/>
        <v>4.2918343200705085</v>
      </c>
      <c r="AK462" s="78">
        <v>45036.5</v>
      </c>
      <c r="AL462" s="5">
        <v>4.8318209363111597E-2</v>
      </c>
      <c r="AM462" s="5">
        <v>73.423571839999994</v>
      </c>
      <c r="AN462" s="2">
        <v>18918</v>
      </c>
      <c r="AO462" s="7">
        <f t="shared" si="140"/>
        <v>315.3</v>
      </c>
      <c r="AP462" s="5">
        <f t="shared" si="147"/>
        <v>15.234731412189086</v>
      </c>
      <c r="AQ462" s="6">
        <f t="shared" si="148"/>
        <v>140.95737234322519</v>
      </c>
      <c r="AR462" s="2">
        <f t="shared" si="149"/>
        <v>-2.1301186875174403</v>
      </c>
      <c r="AS462" s="2">
        <f t="shared" si="150"/>
        <v>-300.25593297165796</v>
      </c>
    </row>
    <row r="463" spans="13:45" x14ac:dyDescent="0.3">
      <c r="M463" s="78">
        <v>45037.510416666664</v>
      </c>
      <c r="N463" s="5">
        <v>4.4942518284189499E-2</v>
      </c>
      <c r="O463" s="5">
        <v>67.106545600000004</v>
      </c>
      <c r="P463" s="2">
        <v>20303</v>
      </c>
      <c r="Q463" s="7">
        <f t="shared" si="141"/>
        <v>338.38333333333333</v>
      </c>
      <c r="R463" s="6">
        <f t="shared" si="142"/>
        <v>15.207799145398322</v>
      </c>
      <c r="S463" s="6">
        <f t="shared" si="143"/>
        <v>140.8352902328725</v>
      </c>
      <c r="T463" s="2">
        <f t="shared" si="144"/>
        <v>1</v>
      </c>
      <c r="U463" s="6">
        <f t="shared" si="145"/>
        <v>140.8352902328725</v>
      </c>
      <c r="V463">
        <f>IF((R463-$AB$774)/($Z$773-$AB$774)&lt;0, 0, IF((R463-$AB$774)/($Z$773-$AB$774)&gt;1, 1, (R463-$AB$774)/($Z$773-$AB$774)))</f>
        <v>5.756868713723199E-2</v>
      </c>
      <c r="W463" s="6">
        <f t="shared" si="146"/>
        <v>8.1077027612975012</v>
      </c>
      <c r="AK463" s="78">
        <v>45036.510416666664</v>
      </c>
      <c r="AL463" s="5">
        <v>4.62051819874768E-2</v>
      </c>
      <c r="AM463" s="5">
        <v>71.17580074</v>
      </c>
      <c r="AN463" s="2">
        <v>19009</v>
      </c>
      <c r="AO463" s="7">
        <f t="shared" si="140"/>
        <v>316.81666666666666</v>
      </c>
      <c r="AP463" s="5">
        <f t="shared" si="147"/>
        <v>14.638571739999108</v>
      </c>
      <c r="AQ463" s="6">
        <f t="shared" si="148"/>
        <v>138.22872708939911</v>
      </c>
      <c r="AR463" s="2">
        <f t="shared" si="149"/>
        <v>-2.1301186875174403</v>
      </c>
      <c r="AS463" s="2">
        <f t="shared" si="150"/>
        <v>-294.4435947248773</v>
      </c>
    </row>
    <row r="464" spans="13:45" x14ac:dyDescent="0.3">
      <c r="M464" s="78">
        <v>45037.520833333336</v>
      </c>
      <c r="N464" s="5">
        <v>4.7749520153275E-2</v>
      </c>
      <c r="O464" s="5">
        <v>65.743635260000005</v>
      </c>
      <c r="P464" s="2">
        <v>19556</v>
      </c>
      <c r="Q464" s="7">
        <f t="shared" si="141"/>
        <v>325.93333333333334</v>
      </c>
      <c r="R464" s="6">
        <f t="shared" si="142"/>
        <v>15.563160268624099</v>
      </c>
      <c r="S464" s="6">
        <f t="shared" si="143"/>
        <v>142.43734842296357</v>
      </c>
      <c r="T464" s="2">
        <f t="shared" si="144"/>
        <v>1</v>
      </c>
      <c r="U464" s="6">
        <f t="shared" si="145"/>
        <v>142.43734842296357</v>
      </c>
      <c r="V464">
        <f>IF((R464-$AB$774)/($Z$773-$AB$774)&lt;0, 0, IF((R464-$AB$774)/($Z$773-$AB$774)&gt;1, 1, (R464-$AB$774)/($Z$773-$AB$774)))</f>
        <v>0.12261734900664095</v>
      </c>
      <c r="W464" s="6">
        <f t="shared" si="146"/>
        <v>17.465290063159042</v>
      </c>
      <c r="AK464" s="78">
        <v>45036.520833333336</v>
      </c>
      <c r="AL464" s="5">
        <v>4.7447635413399102E-2</v>
      </c>
      <c r="AM464" s="5">
        <v>74.764849499999997</v>
      </c>
      <c r="AN464" s="2">
        <v>18817</v>
      </c>
      <c r="AO464" s="7">
        <f t="shared" si="140"/>
        <v>313.61666666666667</v>
      </c>
      <c r="AP464" s="5">
        <f t="shared" si="147"/>
        <v>14.880369259565516</v>
      </c>
      <c r="AQ464" s="6">
        <f t="shared" si="148"/>
        <v>139.34215592270613</v>
      </c>
      <c r="AR464" s="2">
        <f t="shared" si="149"/>
        <v>-2.1301186875174403</v>
      </c>
      <c r="AS464" s="2">
        <f t="shared" si="150"/>
        <v>-296.81533028992527</v>
      </c>
    </row>
    <row r="465" spans="13:45" x14ac:dyDescent="0.3">
      <c r="M465" s="78">
        <v>45037.53125</v>
      </c>
      <c r="N465" s="5">
        <v>4.3839947678211998E-2</v>
      </c>
      <c r="O465" s="5">
        <v>63.462041390000003</v>
      </c>
      <c r="P465" s="2">
        <v>20149</v>
      </c>
      <c r="Q465" s="7">
        <f t="shared" si="141"/>
        <v>335.81666666666666</v>
      </c>
      <c r="R465" s="6">
        <f t="shared" si="142"/>
        <v>14.722185096138226</v>
      </c>
      <c r="S465" s="6">
        <f t="shared" si="143"/>
        <v>138.61480396146032</v>
      </c>
      <c r="T465" s="2">
        <f t="shared" si="144"/>
        <v>1</v>
      </c>
      <c r="U465" s="6">
        <f t="shared" si="145"/>
        <v>138.61480396146032</v>
      </c>
      <c r="V465">
        <f>IF((R465-$AB$774)/($Z$773-$AB$774)&lt;0, 0, IF((R465-$AB$774)/($Z$773-$AB$774)&gt;1, 1, (R465-$AB$774)/($Z$773-$AB$774)))</f>
        <v>0</v>
      </c>
      <c r="W465" s="6">
        <f t="shared" si="146"/>
        <v>0</v>
      </c>
      <c r="AK465" s="78">
        <v>45036.53125</v>
      </c>
      <c r="AL465" s="5">
        <v>4.9427030788558902E-2</v>
      </c>
      <c r="AM465" s="5">
        <v>79.202259850000004</v>
      </c>
      <c r="AN465" s="2">
        <v>18526</v>
      </c>
      <c r="AO465" s="7">
        <f t="shared" si="140"/>
        <v>308.76666666666665</v>
      </c>
      <c r="AP465" s="5">
        <f t="shared" si="147"/>
        <v>15.261419539814037</v>
      </c>
      <c r="AQ465" s="6">
        <f t="shared" si="148"/>
        <v>141.07823919603624</v>
      </c>
      <c r="AR465" s="2">
        <f t="shared" si="149"/>
        <v>-2.1301186875174403</v>
      </c>
      <c r="AS465" s="2">
        <f t="shared" si="150"/>
        <v>-300.5133937135322</v>
      </c>
    </row>
    <row r="466" spans="13:45" x14ac:dyDescent="0.3">
      <c r="M466" s="78">
        <v>45037.541666666664</v>
      </c>
      <c r="N466" s="5">
        <v>4.5266270089795203E-2</v>
      </c>
      <c r="O466" s="5">
        <v>67.106545600000004</v>
      </c>
      <c r="P466" s="2">
        <v>20195</v>
      </c>
      <c r="Q466" s="7">
        <f t="shared" si="141"/>
        <v>336.58333333333331</v>
      </c>
      <c r="R466" s="6">
        <f t="shared" si="142"/>
        <v>15.235872074390235</v>
      </c>
      <c r="S466" s="6">
        <f t="shared" si="143"/>
        <v>140.96254045444314</v>
      </c>
      <c r="T466" s="2">
        <f t="shared" si="144"/>
        <v>1</v>
      </c>
      <c r="U466" s="6">
        <f t="shared" si="145"/>
        <v>140.96254045444314</v>
      </c>
      <c r="V466">
        <f>IF((R466-$AB$774)/($Z$773-$AB$774)&lt;0, 0, IF((R466-$AB$774)/($Z$773-$AB$774)&gt;1, 1, (R466-$AB$774)/($Z$773-$AB$774)))</f>
        <v>6.2707421642296701E-2</v>
      </c>
      <c r="W466" s="6">
        <f t="shared" si="146"/>
        <v>8.8393974600460723</v>
      </c>
      <c r="AK466" s="78">
        <v>45036.541666666664</v>
      </c>
      <c r="AL466" s="5">
        <v>4.3960117752002703E-2</v>
      </c>
      <c r="AM466" s="5">
        <v>75.652056590000001</v>
      </c>
      <c r="AN466" s="2">
        <v>19110</v>
      </c>
      <c r="AO466" s="7">
        <f t="shared" si="140"/>
        <v>318.5</v>
      </c>
      <c r="AP466" s="5">
        <f t="shared" si="147"/>
        <v>14.001297504012861</v>
      </c>
      <c r="AQ466" s="6">
        <f t="shared" si="148"/>
        <v>135.24842029328153</v>
      </c>
      <c r="AR466" s="2">
        <f t="shared" si="149"/>
        <v>-2.1301186875174403</v>
      </c>
      <c r="AS466" s="2">
        <f t="shared" si="150"/>
        <v>-288.095187523932</v>
      </c>
    </row>
    <row r="467" spans="13:45" x14ac:dyDescent="0.3">
      <c r="M467" s="78">
        <v>45037.552083333336</v>
      </c>
      <c r="N467" s="5">
        <v>5.1814169554246503E-2</v>
      </c>
      <c r="O467" s="5">
        <v>69.822823</v>
      </c>
      <c r="P467" s="2">
        <v>19499</v>
      </c>
      <c r="Q467" s="7">
        <f t="shared" si="141"/>
        <v>324.98333333333335</v>
      </c>
      <c r="R467" s="6">
        <f t="shared" si="142"/>
        <v>16.838741535637542</v>
      </c>
      <c r="S467" s="6">
        <f t="shared" si="143"/>
        <v>148.03943499686184</v>
      </c>
      <c r="T467" s="2">
        <f t="shared" si="144"/>
        <v>1</v>
      </c>
      <c r="U467" s="6">
        <f t="shared" si="145"/>
        <v>148.03943499686184</v>
      </c>
      <c r="V467">
        <f>IF((R467-$AB$774)/($Z$773-$AB$774)&lt;0, 0, IF((R467-$AB$774)/($Z$773-$AB$774)&gt;1, 1, (R467-$AB$774)/($Z$773-$AB$774)))</f>
        <v>0.35611181168648837</v>
      </c>
      <c r="W467" s="6">
        <f t="shared" si="146"/>
        <v>52.718591397776599</v>
      </c>
      <c r="AK467" s="78">
        <v>45036.552083333336</v>
      </c>
      <c r="AL467" s="5">
        <v>5.0176546788404199E-2</v>
      </c>
      <c r="AM467" s="5">
        <v>77.875916610000004</v>
      </c>
      <c r="AN467" s="2">
        <v>18346</v>
      </c>
      <c r="AO467" s="7">
        <f t="shared" si="140"/>
        <v>305.76666666666665</v>
      </c>
      <c r="AP467" s="5">
        <f t="shared" si="147"/>
        <v>15.34231545633439</v>
      </c>
      <c r="AQ467" s="6">
        <f t="shared" si="148"/>
        <v>141.44394815537922</v>
      </c>
      <c r="AR467" s="2">
        <f t="shared" si="149"/>
        <v>-2.1301186875174403</v>
      </c>
      <c r="AS467" s="2">
        <f t="shared" si="150"/>
        <v>-301.29239720202122</v>
      </c>
    </row>
    <row r="468" spans="13:45" x14ac:dyDescent="0.3">
      <c r="M468" s="78">
        <v>45037.5625</v>
      </c>
      <c r="N468" s="5">
        <v>4.7376737752876097E-2</v>
      </c>
      <c r="O468" s="5">
        <v>67.106545600000004</v>
      </c>
      <c r="P468" s="2">
        <v>19557</v>
      </c>
      <c r="Q468" s="7">
        <f t="shared" si="141"/>
        <v>325.95</v>
      </c>
      <c r="R468" s="6">
        <f t="shared" si="142"/>
        <v>15.442447670549964</v>
      </c>
      <c r="S468" s="6">
        <f t="shared" si="143"/>
        <v>141.89525918400656</v>
      </c>
      <c r="T468" s="2">
        <f t="shared" si="144"/>
        <v>1</v>
      </c>
      <c r="U468" s="6">
        <f t="shared" si="145"/>
        <v>141.89525918400656</v>
      </c>
      <c r="V468">
        <f>IF((R468-$AB$774)/($Z$773-$AB$774)&lt;0, 0, IF((R468-$AB$774)/($Z$773-$AB$774)&gt;1, 1, (R468-$AB$774)/($Z$773-$AB$774)))</f>
        <v>0.1005209730603238</v>
      </c>
      <c r="W468" s="6">
        <f t="shared" si="146"/>
        <v>14.263449525823187</v>
      </c>
      <c r="AK468" s="78">
        <v>45036.5625</v>
      </c>
      <c r="AL468" s="5">
        <v>4.7551388393897401E-2</v>
      </c>
      <c r="AM468" s="5">
        <v>72.077340390000003</v>
      </c>
      <c r="AN468" s="2">
        <v>18870</v>
      </c>
      <c r="AO468" s="7">
        <f t="shared" si="140"/>
        <v>314.5</v>
      </c>
      <c r="AP468" s="5">
        <f t="shared" si="147"/>
        <v>14.954911649880733</v>
      </c>
      <c r="AQ468" s="6">
        <f t="shared" si="148"/>
        <v>139.68354386720014</v>
      </c>
      <c r="AR468" s="2">
        <f t="shared" si="149"/>
        <v>-2.1301186875174403</v>
      </c>
      <c r="AS468" s="2">
        <f t="shared" si="150"/>
        <v>-297.54252713018514</v>
      </c>
    </row>
    <row r="469" spans="13:45" x14ac:dyDescent="0.3">
      <c r="M469" s="78">
        <v>45037.572916666664</v>
      </c>
      <c r="N469" s="5">
        <v>4.54530213760223E-2</v>
      </c>
      <c r="O469" s="5">
        <v>70.727821939999998</v>
      </c>
      <c r="P469" s="2">
        <v>19521</v>
      </c>
      <c r="Q469" s="7">
        <f t="shared" si="141"/>
        <v>325.35000000000002</v>
      </c>
      <c r="R469" s="6">
        <f t="shared" si="142"/>
        <v>14.788140504688856</v>
      </c>
      <c r="S469" s="6">
        <f t="shared" si="143"/>
        <v>138.91855814224354</v>
      </c>
      <c r="T469" s="2">
        <f t="shared" si="144"/>
        <v>1</v>
      </c>
      <c r="U469" s="6">
        <f t="shared" si="145"/>
        <v>138.91855814224354</v>
      </c>
      <c r="V469">
        <f>IF((R469-$AB$774)/($Z$773-$AB$774)&lt;0, 0, IF((R469-$AB$774)/($Z$773-$AB$774)&gt;1, 1, (R469-$AB$774)/($Z$773-$AB$774)))</f>
        <v>0</v>
      </c>
      <c r="W469" s="6">
        <f t="shared" si="146"/>
        <v>0</v>
      </c>
      <c r="AK469" s="78">
        <v>45036.572916666664</v>
      </c>
      <c r="AL469" s="5">
        <v>4.9564422647441903E-2</v>
      </c>
      <c r="AM469" s="5">
        <v>81.405228940000001</v>
      </c>
      <c r="AN469" s="2">
        <v>18060</v>
      </c>
      <c r="AO469" s="7">
        <f t="shared" si="140"/>
        <v>301</v>
      </c>
      <c r="AP469" s="5">
        <f t="shared" si="147"/>
        <v>14.918891216880013</v>
      </c>
      <c r="AQ469" s="6">
        <f t="shared" si="148"/>
        <v>139.51868680129462</v>
      </c>
      <c r="AR469" s="2">
        <f t="shared" si="149"/>
        <v>-2.1301186875174403</v>
      </c>
      <c r="AS469" s="2">
        <f t="shared" si="150"/>
        <v>-297.19136201333049</v>
      </c>
    </row>
    <row r="470" spans="13:45" x14ac:dyDescent="0.3">
      <c r="M470" s="78">
        <v>45037.583333333336</v>
      </c>
      <c r="N470" s="5">
        <v>4.7145606697227102E-2</v>
      </c>
      <c r="O470" s="5">
        <v>64.83012798</v>
      </c>
      <c r="P470" s="2">
        <v>19251</v>
      </c>
      <c r="Q470" s="7">
        <f t="shared" si="141"/>
        <v>320.85000000000002</v>
      </c>
      <c r="R470" s="6">
        <f t="shared" si="142"/>
        <v>15.126667908805317</v>
      </c>
      <c r="S470" s="6">
        <f t="shared" si="143"/>
        <v>140.4668596536803</v>
      </c>
      <c r="T470" s="2">
        <f t="shared" si="144"/>
        <v>1</v>
      </c>
      <c r="U470" s="6">
        <f t="shared" si="145"/>
        <v>140.4668596536803</v>
      </c>
      <c r="V470">
        <f>IF((R470-$AB$774)/($Z$773-$AB$774)&lt;0, 0, IF((R470-$AB$774)/($Z$773-$AB$774)&gt;1, 1, (R470-$AB$774)/($Z$773-$AB$774)))</f>
        <v>4.2717658053692001E-2</v>
      </c>
      <c r="W470" s="6">
        <f t="shared" si="146"/>
        <v>6.0004152785618601</v>
      </c>
      <c r="AK470" s="78">
        <v>45036.583333333336</v>
      </c>
      <c r="AL470" s="5">
        <v>4.8604738538736703E-2</v>
      </c>
      <c r="AM470" s="5">
        <v>79.202259850000004</v>
      </c>
      <c r="AN470" s="2">
        <v>18318</v>
      </c>
      <c r="AO470" s="7">
        <f t="shared" si="140"/>
        <v>305.3</v>
      </c>
      <c r="AP470" s="5">
        <f t="shared" si="147"/>
        <v>14.839026675876315</v>
      </c>
      <c r="AQ470" s="6">
        <f t="shared" si="148"/>
        <v>139.15243958826446</v>
      </c>
      <c r="AR470" s="2">
        <f t="shared" si="149"/>
        <v>-2.1301186875174403</v>
      </c>
      <c r="AS470" s="2">
        <f t="shared" si="150"/>
        <v>-296.41121198060381</v>
      </c>
    </row>
    <row r="471" spans="13:45" x14ac:dyDescent="0.3">
      <c r="M471" s="78">
        <v>45037.59375</v>
      </c>
      <c r="N471" s="5">
        <v>4.96540283546043E-2</v>
      </c>
      <c r="O471" s="5">
        <v>67.106545600000004</v>
      </c>
      <c r="P471" s="2">
        <v>18826</v>
      </c>
      <c r="Q471" s="7">
        <f t="shared" si="141"/>
        <v>313.76666666666665</v>
      </c>
      <c r="R471" s="6">
        <f t="shared" si="142"/>
        <v>15.579778963396341</v>
      </c>
      <c r="S471" s="6">
        <f t="shared" si="143"/>
        <v>142.51181044540067</v>
      </c>
      <c r="T471" s="2">
        <f t="shared" si="144"/>
        <v>1</v>
      </c>
      <c r="U471" s="6">
        <f t="shared" si="145"/>
        <v>142.51181044540067</v>
      </c>
      <c r="V471">
        <f>IF((R471-$AB$774)/($Z$773-$AB$774)&lt;0, 0, IF((R471-$AB$774)/($Z$773-$AB$774)&gt;1, 1, (R471-$AB$774)/($Z$773-$AB$774)))</f>
        <v>0.12565939211799082</v>
      </c>
      <c r="W471" s="6">
        <f t="shared" si="146"/>
        <v>17.907947470203382</v>
      </c>
      <c r="AK471" s="78">
        <v>45036.59375</v>
      </c>
      <c r="AL471" s="5">
        <v>5.0675818489196299E-2</v>
      </c>
      <c r="AM471" s="5">
        <v>74.764849499999997</v>
      </c>
      <c r="AN471" s="2">
        <v>17962</v>
      </c>
      <c r="AO471" s="7">
        <f t="shared" si="140"/>
        <v>299.36666666666667</v>
      </c>
      <c r="AP471" s="5">
        <f t="shared" si="147"/>
        <v>15.170650861715732</v>
      </c>
      <c r="AQ471" s="6">
        <f t="shared" si="148"/>
        <v>140.66671843881386</v>
      </c>
      <c r="AR471" s="2">
        <f t="shared" si="149"/>
        <v>-2.1301186875174403</v>
      </c>
      <c r="AS471" s="2">
        <f t="shared" si="150"/>
        <v>-299.6368056582715</v>
      </c>
    </row>
    <row r="472" spans="13:45" x14ac:dyDescent="0.3">
      <c r="M472" s="78">
        <v>45037.604166666664</v>
      </c>
      <c r="N472" s="5">
        <v>4.9780100373150997E-2</v>
      </c>
      <c r="O472" s="5">
        <v>70.727821939999998</v>
      </c>
      <c r="P472" s="2">
        <v>18509</v>
      </c>
      <c r="Q472" s="7">
        <f t="shared" si="141"/>
        <v>308.48333333333335</v>
      </c>
      <c r="R472" s="6">
        <f t="shared" si="142"/>
        <v>15.356331296777531</v>
      </c>
      <c r="S472" s="6">
        <f t="shared" si="143"/>
        <v>141.50720995119951</v>
      </c>
      <c r="T472" s="2">
        <f t="shared" si="144"/>
        <v>1</v>
      </c>
      <c r="U472" s="6">
        <f t="shared" si="145"/>
        <v>141.50720995119951</v>
      </c>
      <c r="V472">
        <f>IF((R472-$AB$774)/($Z$773-$AB$774)&lt;0, 0, IF((R472-$AB$774)/($Z$773-$AB$774)&gt;1, 1, (R472-$AB$774)/($Z$773-$AB$774)))</f>
        <v>8.4757417305848265E-2</v>
      </c>
      <c r="W472" s="6">
        <f t="shared" si="146"/>
        <v>11.993785645620102</v>
      </c>
      <c r="AK472" s="78">
        <v>45036.604166666664</v>
      </c>
      <c r="AL472" s="5">
        <v>4.9391299577994999E-2</v>
      </c>
      <c r="AM472" s="5">
        <v>78.315517589999999</v>
      </c>
      <c r="AN472" s="2">
        <v>17986</v>
      </c>
      <c r="AO472" s="7">
        <f t="shared" si="140"/>
        <v>299.76666666666665</v>
      </c>
      <c r="AP472" s="5">
        <f t="shared" si="147"/>
        <v>14.8058652368303</v>
      </c>
      <c r="AQ472" s="6">
        <f t="shared" si="148"/>
        <v>139.00007055131766</v>
      </c>
      <c r="AR472" s="2">
        <f t="shared" si="149"/>
        <v>-2.1301186875174403</v>
      </c>
      <c r="AS472" s="2">
        <f t="shared" si="150"/>
        <v>-296.08664784760435</v>
      </c>
    </row>
    <row r="473" spans="13:45" x14ac:dyDescent="0.3">
      <c r="M473" s="78">
        <v>45037.614583333336</v>
      </c>
      <c r="N473" s="5">
        <v>4.7587676402213099E-2</v>
      </c>
      <c r="O473" s="5">
        <v>74.764849499999997</v>
      </c>
      <c r="P473" s="2">
        <v>18772</v>
      </c>
      <c r="Q473" s="7">
        <f t="shared" si="141"/>
        <v>312.86666666666667</v>
      </c>
      <c r="R473" s="6">
        <f t="shared" si="142"/>
        <v>14.888597690372405</v>
      </c>
      <c r="S473" s="6">
        <f t="shared" si="143"/>
        <v>139.37988313192906</v>
      </c>
      <c r="T473" s="2">
        <f t="shared" si="144"/>
        <v>1</v>
      </c>
      <c r="U473" s="6">
        <f t="shared" si="145"/>
        <v>139.37988313192906</v>
      </c>
      <c r="V473">
        <f>IF((R473-$AB$774)/($Z$773-$AB$774)&lt;0, 0, IF((R473-$AB$774)/($Z$773-$AB$774)&gt;1, 1, (R473-$AB$774)/($Z$773-$AB$774)))</f>
        <v>0</v>
      </c>
      <c r="W473" s="6">
        <f t="shared" si="146"/>
        <v>0</v>
      </c>
      <c r="AK473" s="78">
        <v>45036.614583333336</v>
      </c>
      <c r="AL473" s="5">
        <v>4.8458706801133497E-2</v>
      </c>
      <c r="AM473" s="5">
        <v>72.077340390000003</v>
      </c>
      <c r="AN473" s="2">
        <v>19002</v>
      </c>
      <c r="AO473" s="7">
        <f t="shared" si="140"/>
        <v>316.7</v>
      </c>
      <c r="AP473" s="5">
        <f t="shared" si="147"/>
        <v>15.346872443918977</v>
      </c>
      <c r="AQ473" s="6">
        <f t="shared" si="148"/>
        <v>141.46451977580384</v>
      </c>
      <c r="AR473" s="2">
        <f t="shared" si="149"/>
        <v>-2.1301186875174403</v>
      </c>
      <c r="AS473" s="2">
        <f t="shared" si="150"/>
        <v>-301.33621719512024</v>
      </c>
    </row>
    <row r="474" spans="13:45" x14ac:dyDescent="0.3">
      <c r="M474" s="78">
        <v>45037.625</v>
      </c>
      <c r="N474" s="5">
        <v>4.87689162798981E-2</v>
      </c>
      <c r="O474" s="5">
        <v>74.312865549999998</v>
      </c>
      <c r="P474" s="2">
        <v>18585</v>
      </c>
      <c r="Q474" s="7">
        <f t="shared" si="141"/>
        <v>309.75</v>
      </c>
      <c r="R474" s="6">
        <f t="shared" si="142"/>
        <v>15.106171817698437</v>
      </c>
      <c r="S474" s="6">
        <f t="shared" si="143"/>
        <v>140.37362401116073</v>
      </c>
      <c r="T474" s="2">
        <f t="shared" si="144"/>
        <v>1</v>
      </c>
      <c r="U474" s="6">
        <f t="shared" si="145"/>
        <v>140.37362401116073</v>
      </c>
      <c r="V474">
        <f>IF((R474-$AB$774)/($Z$773-$AB$774)&lt;0, 0, IF((R474-$AB$774)/($Z$773-$AB$774)&gt;1, 1, (R474-$AB$774)/($Z$773-$AB$774)))</f>
        <v>3.8965859635357529E-2</v>
      </c>
      <c r="W474" s="6">
        <f t="shared" si="146"/>
        <v>5.4697789297253419</v>
      </c>
      <c r="AK474" s="78">
        <v>45036.625</v>
      </c>
      <c r="AL474" s="5">
        <v>4.5005616461789903E-2</v>
      </c>
      <c r="AM474" s="5">
        <v>80.086877509999994</v>
      </c>
      <c r="AN474" s="2">
        <v>19033</v>
      </c>
      <c r="AO474" s="7">
        <f t="shared" si="140"/>
        <v>317.21666666666664</v>
      </c>
      <c r="AP474" s="5">
        <f t="shared" si="147"/>
        <v>14.276531635287453</v>
      </c>
      <c r="AQ474" s="6">
        <f t="shared" si="148"/>
        <v>136.54390995031903</v>
      </c>
      <c r="AR474" s="2">
        <f t="shared" si="149"/>
        <v>-2.1301186875174403</v>
      </c>
      <c r="AS474" s="2">
        <f t="shared" si="150"/>
        <v>-290.85473425187314</v>
      </c>
    </row>
    <row r="475" spans="13:45" x14ac:dyDescent="0.3">
      <c r="M475" s="78">
        <v>45037.635416666664</v>
      </c>
      <c r="N475" s="5">
        <v>4.8879583493798999E-2</v>
      </c>
      <c r="O475" s="5">
        <v>72.970159429999995</v>
      </c>
      <c r="P475" s="2">
        <v>18461</v>
      </c>
      <c r="Q475" s="7">
        <f t="shared" si="141"/>
        <v>307.68333333333334</v>
      </c>
      <c r="R475" s="6">
        <f t="shared" si="142"/>
        <v>15.039433181317056</v>
      </c>
      <c r="S475" s="6">
        <f t="shared" si="143"/>
        <v>140.06958529055279</v>
      </c>
      <c r="T475" s="2">
        <f t="shared" si="144"/>
        <v>1</v>
      </c>
      <c r="U475" s="6">
        <f t="shared" si="145"/>
        <v>140.06958529055279</v>
      </c>
      <c r="V475">
        <f>IF((R475-$AB$774)/($Z$773-$AB$774)&lt;0, 0, IF((R475-$AB$774)/($Z$773-$AB$774)&gt;1, 1, (R475-$AB$774)/($Z$773-$AB$774)))</f>
        <v>2.6749388254948086E-2</v>
      </c>
      <c r="W475" s="6">
        <f t="shared" si="146"/>
        <v>3.7467757196465623</v>
      </c>
      <c r="AK475" s="78">
        <v>45036.635416666664</v>
      </c>
      <c r="AL475" s="5">
        <v>4.5790745464319299E-2</v>
      </c>
      <c r="AM475" s="5">
        <v>75.208694050000005</v>
      </c>
      <c r="AN475" s="2">
        <v>19195</v>
      </c>
      <c r="AO475" s="7">
        <f t="shared" si="140"/>
        <v>319.91666666666669</v>
      </c>
      <c r="AP475" s="5">
        <f t="shared" si="147"/>
        <v>14.649222653126817</v>
      </c>
      <c r="AQ475" s="6">
        <f t="shared" si="148"/>
        <v>138.27796911925634</v>
      </c>
      <c r="AR475" s="2">
        <f t="shared" si="149"/>
        <v>-2.1301186875174403</v>
      </c>
      <c r="AS475" s="2">
        <f t="shared" si="150"/>
        <v>-294.54848609288746</v>
      </c>
    </row>
    <row r="476" spans="13:45" x14ac:dyDescent="0.3">
      <c r="M476" s="78">
        <v>45037.645833333336</v>
      </c>
      <c r="N476" s="5">
        <v>5.0115671291719899E-2</v>
      </c>
      <c r="O476" s="5">
        <v>72.077340390000003</v>
      </c>
      <c r="P476" s="2">
        <v>18875</v>
      </c>
      <c r="Q476" s="7">
        <f t="shared" si="141"/>
        <v>314.58333333333331</v>
      </c>
      <c r="R476" s="6">
        <f t="shared" si="142"/>
        <v>15.765554927186884</v>
      </c>
      <c r="S476" s="6">
        <f t="shared" si="143"/>
        <v>143.34145822479096</v>
      </c>
      <c r="T476" s="2">
        <f t="shared" si="144"/>
        <v>1</v>
      </c>
      <c r="U476" s="6">
        <f t="shared" si="145"/>
        <v>143.34145822479096</v>
      </c>
      <c r="V476">
        <f>IF((R476-$AB$774)/($Z$773-$AB$774)&lt;0, 0, IF((R476-$AB$774)/($Z$773-$AB$774)&gt;1, 1, (R476-$AB$774)/($Z$773-$AB$774)))</f>
        <v>0.15966558205339559</v>
      </c>
      <c r="W476" s="6">
        <f t="shared" si="146"/>
        <v>22.886697359843737</v>
      </c>
      <c r="AK476" s="78">
        <v>45036.645833333336</v>
      </c>
      <c r="AL476" s="5">
        <v>4.4469164623355401E-2</v>
      </c>
      <c r="AM476" s="5">
        <v>77.875916610000004</v>
      </c>
      <c r="AN476" s="2">
        <v>19416</v>
      </c>
      <c r="AO476" s="7">
        <f t="shared" si="140"/>
        <v>323.60000000000002</v>
      </c>
      <c r="AP476" s="5">
        <f t="shared" si="147"/>
        <v>14.390221672117809</v>
      </c>
      <c r="AQ476" s="6">
        <f t="shared" si="148"/>
        <v>137.07531091062725</v>
      </c>
      <c r="AR476" s="2">
        <f t="shared" si="149"/>
        <v>-2.1301186875174403</v>
      </c>
      <c r="AS476" s="2">
        <f t="shared" si="150"/>
        <v>-291.9866813679904</v>
      </c>
    </row>
    <row r="477" spans="13:45" x14ac:dyDescent="0.3">
      <c r="M477" s="78">
        <v>45037.65625</v>
      </c>
      <c r="N477" s="5">
        <v>5.3046470592876302E-2</v>
      </c>
      <c r="O477" s="5">
        <v>74.320531029999998</v>
      </c>
      <c r="P477" s="2">
        <v>17918</v>
      </c>
      <c r="Q477" s="7">
        <f t="shared" si="141"/>
        <v>298.63333333333333</v>
      </c>
      <c r="R477" s="6">
        <f t="shared" si="142"/>
        <v>15.841444334719293</v>
      </c>
      <c r="S477" s="6">
        <f t="shared" si="143"/>
        <v>143.67893305430331</v>
      </c>
      <c r="T477" s="2">
        <f t="shared" si="144"/>
        <v>1</v>
      </c>
      <c r="U477" s="6">
        <f t="shared" si="145"/>
        <v>143.67893305430331</v>
      </c>
      <c r="V477">
        <f>IF((R477-$AB$774)/($Z$773-$AB$774)&lt;0, 0, IF((R477-$AB$774)/($Z$773-$AB$774)&gt;1, 1, (R477-$AB$774)/($Z$773-$AB$774)))</f>
        <v>0.17355709715565149</v>
      </c>
      <c r="W477" s="6">
        <f t="shared" si="146"/>
        <v>24.936498543326067</v>
      </c>
      <c r="AK477" s="78">
        <v>45036.65625</v>
      </c>
      <c r="AL477" s="5">
        <v>4.6959276155866897E-2</v>
      </c>
      <c r="AM477" s="5">
        <v>78.755362430000005</v>
      </c>
      <c r="AN477" s="2">
        <v>18523</v>
      </c>
      <c r="AO477" s="7">
        <f t="shared" si="140"/>
        <v>308.71666666666664</v>
      </c>
      <c r="AP477" s="5">
        <f t="shared" si="147"/>
        <v>14.497111203918708</v>
      </c>
      <c r="AQ477" s="6">
        <f t="shared" si="148"/>
        <v>137.5729749180777</v>
      </c>
      <c r="AR477" s="2">
        <f t="shared" si="149"/>
        <v>-2.1301186875174403</v>
      </c>
      <c r="AS477" s="2">
        <f t="shared" si="150"/>
        <v>-293.04676477036543</v>
      </c>
    </row>
    <row r="478" spans="13:45" x14ac:dyDescent="0.3">
      <c r="M478" s="78">
        <v>45037.666666666664</v>
      </c>
      <c r="N478" s="5">
        <v>5.0800305434357103E-2</v>
      </c>
      <c r="O478" s="5">
        <v>73.423571839999994</v>
      </c>
      <c r="P478" s="2">
        <v>18572</v>
      </c>
      <c r="Q478" s="7">
        <f t="shared" si="141"/>
        <v>309.53333333333336</v>
      </c>
      <c r="R478" s="6">
        <f t="shared" si="142"/>
        <v>15.724387875448004</v>
      </c>
      <c r="S478" s="6">
        <f t="shared" si="143"/>
        <v>143.15804440403576</v>
      </c>
      <c r="T478" s="2">
        <f t="shared" si="144"/>
        <v>1</v>
      </c>
      <c r="U478" s="6">
        <f t="shared" si="145"/>
        <v>143.15804440403576</v>
      </c>
      <c r="V478">
        <f>IF((R478-$AB$774)/($Z$773-$AB$774)&lt;0, 0, IF((R478-$AB$774)/($Z$773-$AB$774)&gt;1, 1, (R478-$AB$774)/($Z$773-$AB$774)))</f>
        <v>0.15212997544450529</v>
      </c>
      <c r="W478" s="6">
        <f t="shared" si="146"/>
        <v>21.778629779869359</v>
      </c>
      <c r="AK478" s="78">
        <v>45036.666666666664</v>
      </c>
      <c r="AL478" s="5">
        <v>4.4428740727803201E-2</v>
      </c>
      <c r="AM478" s="5">
        <v>75.659696060000002</v>
      </c>
      <c r="AN478" s="2">
        <v>19627</v>
      </c>
      <c r="AO478" s="7">
        <f t="shared" si="140"/>
        <v>327.11666666666667</v>
      </c>
      <c r="AP478" s="5">
        <f t="shared" si="147"/>
        <v>14.533381571076557</v>
      </c>
      <c r="AQ478" s="6">
        <f t="shared" si="148"/>
        <v>137.74141938048356</v>
      </c>
      <c r="AR478" s="2">
        <f t="shared" si="149"/>
        <v>-2.1301186875174403</v>
      </c>
      <c r="AS478" s="2">
        <f t="shared" si="150"/>
        <v>-293.40557146754497</v>
      </c>
    </row>
    <row r="479" spans="13:45" x14ac:dyDescent="0.3">
      <c r="M479" s="78">
        <v>45037.677083333336</v>
      </c>
      <c r="N479" s="5">
        <v>5.1164826940751799E-2</v>
      </c>
      <c r="O479" s="5">
        <v>76.993676070000006</v>
      </c>
      <c r="P479" s="2">
        <v>18614</v>
      </c>
      <c r="Q479" s="7">
        <f t="shared" si="141"/>
        <v>310.23333333333335</v>
      </c>
      <c r="R479" s="6">
        <f t="shared" si="142"/>
        <v>15.873034811252568</v>
      </c>
      <c r="S479" s="6">
        <f t="shared" si="143"/>
        <v>143.81917043490191</v>
      </c>
      <c r="T479" s="2">
        <f t="shared" si="144"/>
        <v>1</v>
      </c>
      <c r="U479" s="6">
        <f t="shared" si="145"/>
        <v>143.81917043490191</v>
      </c>
      <c r="V479">
        <f>IF((R479-$AB$774)/($Z$773-$AB$774)&lt;0, 0, IF((R479-$AB$774)/($Z$773-$AB$774)&gt;1, 1, (R479-$AB$774)/($Z$773-$AB$774)))</f>
        <v>0.17933971684025019</v>
      </c>
      <c r="W479" s="6">
        <f t="shared" si="146"/>
        <v>25.792489301994991</v>
      </c>
      <c r="AK479" s="78">
        <v>45036.677083333336</v>
      </c>
      <c r="AL479" s="5">
        <v>4.9361642328655198E-2</v>
      </c>
      <c r="AM479" s="5">
        <v>79.202259850000004</v>
      </c>
      <c r="AN479" s="2">
        <v>18990</v>
      </c>
      <c r="AO479" s="7">
        <f t="shared" si="140"/>
        <v>316.5</v>
      </c>
      <c r="AP479" s="5">
        <f t="shared" si="147"/>
        <v>15.622959797019369</v>
      </c>
      <c r="AQ479" s="6">
        <f t="shared" si="148"/>
        <v>142.70509799936463</v>
      </c>
      <c r="AR479" s="2">
        <f t="shared" si="149"/>
        <v>-2.1301186875174403</v>
      </c>
      <c r="AS479" s="2">
        <f t="shared" si="150"/>
        <v>-303.97879605245424</v>
      </c>
    </row>
    <row r="480" spans="13:45" x14ac:dyDescent="0.3">
      <c r="M480" s="78">
        <v>45037.6875</v>
      </c>
      <c r="N480" s="5">
        <v>4.8903076109205697E-2</v>
      </c>
      <c r="O480" s="5">
        <v>72.069636250000002</v>
      </c>
      <c r="P480" s="2">
        <v>18798</v>
      </c>
      <c r="Q480" s="7">
        <f t="shared" si="141"/>
        <v>313.3</v>
      </c>
      <c r="R480" s="6">
        <f t="shared" si="142"/>
        <v>15.321333745014146</v>
      </c>
      <c r="S480" s="6">
        <f t="shared" si="143"/>
        <v>141.34919011025016</v>
      </c>
      <c r="T480" s="2">
        <f t="shared" si="144"/>
        <v>1</v>
      </c>
      <c r="U480" s="6">
        <f t="shared" si="145"/>
        <v>141.34919011025016</v>
      </c>
      <c r="V480">
        <f>IF((R480-$AB$774)/($Z$773-$AB$774)&lt;0, 0, IF((R480-$AB$774)/($Z$773-$AB$774)&gt;1, 1, (R480-$AB$774)/($Z$773-$AB$774)))</f>
        <v>7.8351134338684097E-2</v>
      </c>
      <c r="W480" s="6">
        <f t="shared" si="146"/>
        <v>11.074869382992409</v>
      </c>
      <c r="AK480" s="78">
        <v>45036.6875</v>
      </c>
      <c r="AL480" s="5">
        <v>4.9034211534183803E-2</v>
      </c>
      <c r="AM480" s="5">
        <v>70.720093730000002</v>
      </c>
      <c r="AN480" s="2">
        <v>19181</v>
      </c>
      <c r="AO480" s="7">
        <f t="shared" si="140"/>
        <v>319.68333333333334</v>
      </c>
      <c r="AP480" s="5">
        <f t="shared" si="147"/>
        <v>15.67542019061966</v>
      </c>
      <c r="AQ480" s="6">
        <f t="shared" si="148"/>
        <v>142.93955661712943</v>
      </c>
      <c r="AR480" s="2">
        <f t="shared" si="149"/>
        <v>-2.1301186875174403</v>
      </c>
      <c r="AS480" s="2">
        <f t="shared" si="150"/>
        <v>-304.47822073560457</v>
      </c>
    </row>
    <row r="481" spans="13:45" x14ac:dyDescent="0.3">
      <c r="M481" s="78">
        <v>45037.697916666664</v>
      </c>
      <c r="N481" s="5">
        <v>4.9594989552659501E-2</v>
      </c>
      <c r="O481" s="5">
        <v>73.415890989999994</v>
      </c>
      <c r="P481" s="2">
        <v>18269</v>
      </c>
      <c r="Q481" s="7">
        <f t="shared" si="141"/>
        <v>304.48333333333335</v>
      </c>
      <c r="R481" s="6">
        <f t="shared" si="142"/>
        <v>15.100847735625608</v>
      </c>
      <c r="S481" s="6">
        <f t="shared" si="143"/>
        <v>140.34939448073845</v>
      </c>
      <c r="T481" s="2">
        <f t="shared" si="144"/>
        <v>1</v>
      </c>
      <c r="U481" s="6">
        <f t="shared" si="145"/>
        <v>140.34939448073845</v>
      </c>
      <c r="V481">
        <f>IF((R481-$AB$774)/($Z$773-$AB$774)&lt;0, 0, IF((R481-$AB$774)/($Z$773-$AB$774)&gt;1, 1, (R481-$AB$774)/($Z$773-$AB$774)))</f>
        <v>3.7991289284564363E-2</v>
      </c>
      <c r="W481" s="6">
        <f t="shared" si="146"/>
        <v>5.3320544466311759</v>
      </c>
      <c r="AK481" s="78">
        <v>45036.697916666664</v>
      </c>
      <c r="AL481" s="5">
        <v>4.5640216124850801E-2</v>
      </c>
      <c r="AM481" s="5">
        <v>85.762083380000007</v>
      </c>
      <c r="AN481" s="2">
        <v>18961</v>
      </c>
      <c r="AO481" s="7">
        <f t="shared" si="140"/>
        <v>316.01666666666665</v>
      </c>
      <c r="AP481" s="5">
        <f t="shared" si="147"/>
        <v>14.423068965721599</v>
      </c>
      <c r="AQ481" s="6">
        <f t="shared" si="148"/>
        <v>137.22844388989301</v>
      </c>
      <c r="AR481" s="2">
        <f t="shared" si="149"/>
        <v>-2.1301186875174403</v>
      </c>
      <c r="AS481" s="2">
        <f t="shared" si="150"/>
        <v>-292.31287278879961</v>
      </c>
    </row>
    <row r="482" spans="13:45" x14ac:dyDescent="0.3">
      <c r="M482" s="78">
        <v>45037.708333333336</v>
      </c>
      <c r="N482" s="5">
        <v>5.1841407834285397E-2</v>
      </c>
      <c r="O482" s="5">
        <v>70.720093730000002</v>
      </c>
      <c r="P482" s="2">
        <v>19428</v>
      </c>
      <c r="Q482" s="7">
        <f t="shared" si="141"/>
        <v>323.8</v>
      </c>
      <c r="R482" s="6">
        <f t="shared" si="142"/>
        <v>16.78624785674161</v>
      </c>
      <c r="S482" s="6">
        <f t="shared" si="143"/>
        <v>147.81325679264444</v>
      </c>
      <c r="T482" s="2">
        <f t="shared" si="144"/>
        <v>1</v>
      </c>
      <c r="U482" s="6">
        <f t="shared" si="145"/>
        <v>147.81325679264444</v>
      </c>
      <c r="V482">
        <f>IF((R482-$AB$774)/($Z$773-$AB$774)&lt;0, 0, IF((R482-$AB$774)/($Z$773-$AB$774)&gt;1, 1, (R482-$AB$774)/($Z$773-$AB$774)))</f>
        <v>0.3465028720878443</v>
      </c>
      <c r="W482" s="6">
        <f t="shared" si="146"/>
        <v>51.217718011309358</v>
      </c>
      <c r="AK482" s="78">
        <v>45036.708333333336</v>
      </c>
      <c r="AL482" s="5">
        <v>4.8125436486928998E-2</v>
      </c>
      <c r="AM482" s="5">
        <v>75.652056590000001</v>
      </c>
      <c r="AN482" s="2">
        <v>19292</v>
      </c>
      <c r="AO482" s="7">
        <f t="shared" si="140"/>
        <v>321.53333333333336</v>
      </c>
      <c r="AP482" s="5">
        <f t="shared" si="147"/>
        <v>15.473932011763905</v>
      </c>
      <c r="AQ482" s="6">
        <f t="shared" si="148"/>
        <v>142.0368550952625</v>
      </c>
      <c r="AR482" s="2">
        <f t="shared" si="149"/>
        <v>-2.1301186875174403</v>
      </c>
      <c r="AS482" s="2">
        <f t="shared" si="150"/>
        <v>-302.55535935462541</v>
      </c>
    </row>
    <row r="483" spans="13:45" x14ac:dyDescent="0.3">
      <c r="M483" s="78">
        <v>45037.71875</v>
      </c>
      <c r="N483" s="5">
        <v>5.2049654755757901E-2</v>
      </c>
      <c r="O483" s="5">
        <v>73.415890989999994</v>
      </c>
      <c r="P483" s="2">
        <v>18951</v>
      </c>
      <c r="Q483" s="7">
        <f t="shared" si="141"/>
        <v>315.85000000000002</v>
      </c>
      <c r="R483" s="6">
        <f t="shared" si="142"/>
        <v>16.439883454606136</v>
      </c>
      <c r="S483" s="6">
        <f t="shared" si="143"/>
        <v>146.31174935994574</v>
      </c>
      <c r="T483" s="2">
        <f t="shared" si="144"/>
        <v>1</v>
      </c>
      <c r="U483" s="6">
        <f t="shared" si="145"/>
        <v>146.31174935994574</v>
      </c>
      <c r="V483">
        <f>IF((R483-$AB$774)/($Z$773-$AB$774)&lt;0, 0, IF((R483-$AB$774)/($Z$773-$AB$774)&gt;1, 1, (R483-$AB$774)/($Z$773-$AB$774)))</f>
        <v>0.28310105515978423</v>
      </c>
      <c r="W483" s="6">
        <f t="shared" si="146"/>
        <v>41.421010626074526</v>
      </c>
      <c r="AK483" s="78">
        <v>45036.71875</v>
      </c>
      <c r="AL483" s="5">
        <v>4.8114698000162798E-2</v>
      </c>
      <c r="AM483" s="5">
        <v>81.397704649999994</v>
      </c>
      <c r="AN483" s="2">
        <v>19010</v>
      </c>
      <c r="AO483" s="7">
        <f t="shared" si="140"/>
        <v>316.83333333333331</v>
      </c>
      <c r="AP483" s="5">
        <f t="shared" si="147"/>
        <v>15.244340149718246</v>
      </c>
      <c r="AQ483" s="6">
        <f t="shared" si="148"/>
        <v>141.00090142988932</v>
      </c>
      <c r="AR483" s="2">
        <f t="shared" si="149"/>
        <v>-2.1301186875174403</v>
      </c>
      <c r="AS483" s="2">
        <f t="shared" si="150"/>
        <v>-300.34865509261181</v>
      </c>
    </row>
    <row r="484" spans="13:45" x14ac:dyDescent="0.3">
      <c r="M484" s="78">
        <v>45037.729166666664</v>
      </c>
      <c r="N484" s="5">
        <v>4.7056361199840399E-2</v>
      </c>
      <c r="O484" s="5">
        <v>71.17580074</v>
      </c>
      <c r="P484" s="2">
        <v>19080</v>
      </c>
      <c r="Q484" s="7">
        <f t="shared" si="141"/>
        <v>318</v>
      </c>
      <c r="R484" s="6">
        <f t="shared" si="142"/>
        <v>14.963922861549246</v>
      </c>
      <c r="S484" s="6">
        <f t="shared" si="143"/>
        <v>139.72475437194717</v>
      </c>
      <c r="T484" s="2">
        <f t="shared" si="144"/>
        <v>1</v>
      </c>
      <c r="U484" s="6">
        <f t="shared" si="145"/>
        <v>139.72475437194717</v>
      </c>
      <c r="V484">
        <f>IF((R484-$AB$774)/($Z$773-$AB$774)&lt;0, 0, IF((R484-$AB$774)/($Z$773-$AB$774)&gt;1, 1, (R484-$AB$774)/($Z$773-$AB$774)))</f>
        <v>1.2927264963463251E-2</v>
      </c>
      <c r="W484" s="6">
        <f t="shared" si="146"/>
        <v>1.8062589217209815</v>
      </c>
      <c r="AK484" s="78">
        <v>45036.729166666664</v>
      </c>
      <c r="AL484" s="5">
        <v>4.61045162014799E-2</v>
      </c>
      <c r="AM484" s="5">
        <v>81.397704649999994</v>
      </c>
      <c r="AN484" s="2">
        <v>19612</v>
      </c>
      <c r="AO484" s="7">
        <f t="shared" ref="AO484:AO547" si="151">AN484/60</f>
        <v>326.86666666666667</v>
      </c>
      <c r="AP484" s="5">
        <f t="shared" si="147"/>
        <v>15.070029529057063</v>
      </c>
      <c r="AQ484" s="6">
        <f t="shared" si="148"/>
        <v>140.20905721887729</v>
      </c>
      <c r="AR484" s="2">
        <f t="shared" si="149"/>
        <v>-2.1301186875174403</v>
      </c>
      <c r="AS484" s="2">
        <f t="shared" si="150"/>
        <v>-298.66193294113259</v>
      </c>
    </row>
    <row r="485" spans="13:45" x14ac:dyDescent="0.3">
      <c r="M485" s="78">
        <v>45037.739583333336</v>
      </c>
      <c r="N485" s="5">
        <v>5.0139510934276703E-2</v>
      </c>
      <c r="O485" s="5">
        <v>74.757192930000002</v>
      </c>
      <c r="P485" s="2">
        <v>19174</v>
      </c>
      <c r="Q485" s="7">
        <f t="shared" si="141"/>
        <v>319.56666666666666</v>
      </c>
      <c r="R485" s="6">
        <f t="shared" si="142"/>
        <v>16.022916377563693</v>
      </c>
      <c r="S485" s="6">
        <f t="shared" si="143"/>
        <v>144.48259645824794</v>
      </c>
      <c r="T485" s="2">
        <f t="shared" si="144"/>
        <v>1</v>
      </c>
      <c r="U485" s="6">
        <f t="shared" si="145"/>
        <v>144.48259645824794</v>
      </c>
      <c r="V485">
        <f>IF((R485-$AB$774)/($Z$773-$AB$774)&lt;0, 0, IF((R485-$AB$774)/($Z$773-$AB$774)&gt;1, 1, (R485-$AB$774)/($Z$773-$AB$774)))</f>
        <v>0.2067754566840693</v>
      </c>
      <c r="W485" s="6">
        <f t="shared" si="146"/>
        <v>29.87545486555431</v>
      </c>
      <c r="AK485" s="78">
        <v>45036.739583333336</v>
      </c>
      <c r="AL485" s="5">
        <v>4.6287304728022997E-2</v>
      </c>
      <c r="AM485" s="5">
        <v>80.079324720000002</v>
      </c>
      <c r="AN485" s="2">
        <v>19330</v>
      </c>
      <c r="AO485" s="7">
        <f t="shared" si="151"/>
        <v>322.16666666666669</v>
      </c>
      <c r="AP485" s="5">
        <f t="shared" si="147"/>
        <v>14.912226673211411</v>
      </c>
      <c r="AQ485" s="6">
        <f t="shared" si="148"/>
        <v>139.48816249070609</v>
      </c>
      <c r="AR485" s="2">
        <f t="shared" si="149"/>
        <v>-2.1301186875174403</v>
      </c>
      <c r="AS485" s="2">
        <f t="shared" si="150"/>
        <v>-297.1263416089223</v>
      </c>
    </row>
    <row r="486" spans="13:45" x14ac:dyDescent="0.3">
      <c r="M486" s="78">
        <v>45037.75</v>
      </c>
      <c r="N486" s="5">
        <v>4.6964238809270697E-2</v>
      </c>
      <c r="O486" s="5">
        <v>75.652056590000001</v>
      </c>
      <c r="P486" s="2">
        <v>18921</v>
      </c>
      <c r="Q486" s="7">
        <f t="shared" si="141"/>
        <v>315.35000000000002</v>
      </c>
      <c r="R486" s="6">
        <f t="shared" si="142"/>
        <v>14.810172708503515</v>
      </c>
      <c r="S486" s="6">
        <f t="shared" si="143"/>
        <v>139.01987220807712</v>
      </c>
      <c r="T486" s="2">
        <f t="shared" si="144"/>
        <v>1</v>
      </c>
      <c r="U486" s="6">
        <f t="shared" si="145"/>
        <v>139.01987220807712</v>
      </c>
      <c r="V486">
        <f>IF((R486-$AB$774)/($Z$773-$AB$774)&lt;0, 0, IF((R486-$AB$774)/($Z$773-$AB$774)&gt;1, 1, (R486-$AB$774)/($Z$773-$AB$774)))</f>
        <v>0</v>
      </c>
      <c r="W486" s="6">
        <f t="shared" si="146"/>
        <v>0</v>
      </c>
      <c r="AK486" s="78">
        <v>45036.75</v>
      </c>
      <c r="AL486" s="5">
        <v>4.6553252783480499E-2</v>
      </c>
      <c r="AM486" s="5">
        <v>80.523852189999999</v>
      </c>
      <c r="AN486" s="2">
        <v>19672</v>
      </c>
      <c r="AO486" s="7">
        <f t="shared" si="151"/>
        <v>327.86666666666667</v>
      </c>
      <c r="AP486" s="5">
        <f t="shared" si="147"/>
        <v>15.263259812610473</v>
      </c>
      <c r="AQ486" s="6">
        <f t="shared" si="148"/>
        <v>141.08656956137273</v>
      </c>
      <c r="AR486" s="2">
        <f t="shared" si="149"/>
        <v>-2.1301186875174403</v>
      </c>
      <c r="AS486" s="2">
        <f t="shared" si="150"/>
        <v>-300.53113838040929</v>
      </c>
    </row>
    <row r="487" spans="13:45" x14ac:dyDescent="0.3">
      <c r="M487" s="78">
        <v>45037.760416666664</v>
      </c>
      <c r="N487" s="5">
        <v>4.7225087954495398E-2</v>
      </c>
      <c r="O487" s="5">
        <v>72.069636250000002</v>
      </c>
      <c r="P487" s="2">
        <v>19093</v>
      </c>
      <c r="Q487" s="7">
        <f t="shared" si="141"/>
        <v>318.21666666666664</v>
      </c>
      <c r="R487" s="6">
        <f t="shared" si="142"/>
        <v>15.027810071919676</v>
      </c>
      <c r="S487" s="6">
        <f t="shared" si="143"/>
        <v>140.01656397886674</v>
      </c>
      <c r="T487" s="2">
        <f t="shared" si="144"/>
        <v>1</v>
      </c>
      <c r="U487" s="6">
        <f t="shared" si="145"/>
        <v>140.01656397886674</v>
      </c>
      <c r="V487">
        <f>IF((R487-$AB$774)/($Z$773-$AB$774)&lt;0, 0, IF((R487-$AB$774)/($Z$773-$AB$774)&gt;1, 1, (R487-$AB$774)/($Z$773-$AB$774)))</f>
        <v>2.4621784351070927E-2</v>
      </c>
      <c r="W487" s="6">
        <f t="shared" si="146"/>
        <v>3.4474576438655822</v>
      </c>
      <c r="AK487" s="78">
        <v>45036.760416666664</v>
      </c>
      <c r="AL487" s="5">
        <v>4.7071501248620001E-2</v>
      </c>
      <c r="AM487" s="5">
        <v>79.202259850000004</v>
      </c>
      <c r="AN487" s="2">
        <v>19276</v>
      </c>
      <c r="AO487" s="7">
        <f t="shared" si="151"/>
        <v>321.26666666666665</v>
      </c>
      <c r="AP487" s="5">
        <f t="shared" si="147"/>
        <v>15.122504301139985</v>
      </c>
      <c r="AQ487" s="6">
        <f t="shared" si="148"/>
        <v>140.44792484122979</v>
      </c>
      <c r="AR487" s="2">
        <f t="shared" si="149"/>
        <v>-2.1301186875174403</v>
      </c>
      <c r="AS487" s="2">
        <f t="shared" si="150"/>
        <v>-299.17074932734852</v>
      </c>
    </row>
    <row r="488" spans="13:45" x14ac:dyDescent="0.3">
      <c r="M488" s="78">
        <v>45037.770833333336</v>
      </c>
      <c r="N488" s="5">
        <v>4.5043117551464E-2</v>
      </c>
      <c r="O488" s="5">
        <v>70.727821939999998</v>
      </c>
      <c r="P488" s="2">
        <v>19338</v>
      </c>
      <c r="Q488" s="7">
        <f t="shared" si="141"/>
        <v>322.3</v>
      </c>
      <c r="R488" s="6">
        <f t="shared" si="142"/>
        <v>14.517396786836848</v>
      </c>
      <c r="S488" s="6">
        <f t="shared" si="143"/>
        <v>137.66721036200468</v>
      </c>
      <c r="T488" s="2">
        <f t="shared" si="144"/>
        <v>1</v>
      </c>
      <c r="U488" s="6">
        <f t="shared" si="145"/>
        <v>137.66721036200468</v>
      </c>
      <c r="V488">
        <f>IF((R488-$AB$774)/($Z$773-$AB$774)&lt;0, 0, IF((R488-$AB$774)/($Z$773-$AB$774)&gt;1, 1, (R488-$AB$774)/($Z$773-$AB$774)))</f>
        <v>0</v>
      </c>
      <c r="W488" s="6">
        <f t="shared" si="146"/>
        <v>0</v>
      </c>
      <c r="AK488" s="78">
        <v>45036.770833333336</v>
      </c>
      <c r="AL488" s="5">
        <v>4.97126591106761E-2</v>
      </c>
      <c r="AM488" s="5">
        <v>79.202259850000004</v>
      </c>
      <c r="AN488" s="2">
        <v>19342</v>
      </c>
      <c r="AO488" s="7">
        <f t="shared" si="151"/>
        <v>322.36666666666667</v>
      </c>
      <c r="AP488" s="5">
        <f t="shared" si="147"/>
        <v>16.025704208644953</v>
      </c>
      <c r="AQ488" s="6">
        <f t="shared" si="148"/>
        <v>144.49490626549394</v>
      </c>
      <c r="AR488" s="2">
        <f t="shared" si="149"/>
        <v>-2.1301186875174403</v>
      </c>
      <c r="AS488" s="2">
        <f t="shared" si="150"/>
        <v>-307.79130008720949</v>
      </c>
    </row>
    <row r="489" spans="13:45" x14ac:dyDescent="0.3">
      <c r="M489" s="78">
        <v>45037.78125</v>
      </c>
      <c r="N489" s="5">
        <v>4.5775345245209001E-2</v>
      </c>
      <c r="O489" s="5">
        <v>75.652056590000001</v>
      </c>
      <c r="P489" s="2">
        <v>18974</v>
      </c>
      <c r="Q489" s="7">
        <f t="shared" si="141"/>
        <v>316.23333333333335</v>
      </c>
      <c r="R489" s="6">
        <f t="shared" si="142"/>
        <v>14.475690011376594</v>
      </c>
      <c r="S489" s="6">
        <f t="shared" si="143"/>
        <v>137.47339099447436</v>
      </c>
      <c r="T489" s="2">
        <f t="shared" si="144"/>
        <v>1</v>
      </c>
      <c r="U489" s="6">
        <f t="shared" si="145"/>
        <v>137.47339099447436</v>
      </c>
      <c r="V489">
        <f>IF((R489-$AB$774)/($Z$773-$AB$774)&lt;0, 0, IF((R489-$AB$774)/($Z$773-$AB$774)&gt;1, 1, (R489-$AB$774)/($Z$773-$AB$774)))</f>
        <v>0</v>
      </c>
      <c r="W489" s="6">
        <f t="shared" si="146"/>
        <v>0</v>
      </c>
      <c r="AK489" s="78">
        <v>45036.78125</v>
      </c>
      <c r="AL489" s="5">
        <v>4.7601153566367703E-2</v>
      </c>
      <c r="AM489" s="5">
        <v>81.397704649999994</v>
      </c>
      <c r="AN489" s="2">
        <v>19823</v>
      </c>
      <c r="AO489" s="7">
        <f t="shared" si="151"/>
        <v>330.38333333333333</v>
      </c>
      <c r="AP489" s="5">
        <f t="shared" si="147"/>
        <v>15.72662778576845</v>
      </c>
      <c r="AQ489" s="6">
        <f t="shared" si="148"/>
        <v>143.16803029822563</v>
      </c>
      <c r="AR489" s="2">
        <f t="shared" si="149"/>
        <v>-2.1301186875174403</v>
      </c>
      <c r="AS489" s="2">
        <f t="shared" si="150"/>
        <v>-304.96489679331353</v>
      </c>
    </row>
    <row r="490" spans="13:45" x14ac:dyDescent="0.3">
      <c r="M490" s="78">
        <v>45037.791666666664</v>
      </c>
      <c r="N490" s="5">
        <v>4.5971904350343103E-2</v>
      </c>
      <c r="O490" s="5">
        <v>74.312865549999998</v>
      </c>
      <c r="P490" s="2">
        <v>19862</v>
      </c>
      <c r="Q490" s="7">
        <f t="shared" si="141"/>
        <v>331.03333333333336</v>
      </c>
      <c r="R490" s="6">
        <f t="shared" si="142"/>
        <v>15.218232736775246</v>
      </c>
      <c r="S490" s="6">
        <f t="shared" si="143"/>
        <v>140.88259806523789</v>
      </c>
      <c r="T490" s="2">
        <f t="shared" si="144"/>
        <v>1</v>
      </c>
      <c r="U490" s="6">
        <f t="shared" si="145"/>
        <v>140.88259806523789</v>
      </c>
      <c r="V490">
        <f>IF((R490-$AB$774)/($Z$773-$AB$774)&lt;0, 0, IF((R490-$AB$774)/($Z$773-$AB$774)&gt;1, 1, (R490-$AB$774)/($Z$773-$AB$774)))</f>
        <v>5.9478550409275584E-2</v>
      </c>
      <c r="W490" s="6">
        <f t="shared" si="146"/>
        <v>8.3794927108129631</v>
      </c>
      <c r="AK490" s="78">
        <v>45036.791666666664</v>
      </c>
      <c r="AL490" s="5">
        <v>4.4074237218251697E-2</v>
      </c>
      <c r="AM490" s="5">
        <v>74.757192930000002</v>
      </c>
      <c r="AN490" s="2">
        <v>20698</v>
      </c>
      <c r="AO490" s="7">
        <f t="shared" si="151"/>
        <v>344.96666666666664</v>
      </c>
      <c r="AP490" s="5">
        <f t="shared" si="147"/>
        <v>15.204142699056225</v>
      </c>
      <c r="AQ490" s="6">
        <f t="shared" si="148"/>
        <v>140.8187073100903</v>
      </c>
      <c r="AR490" s="2">
        <f t="shared" si="149"/>
        <v>-2.1301186875174403</v>
      </c>
      <c r="AS490" s="2">
        <f t="shared" si="150"/>
        <v>-299.96055999327211</v>
      </c>
    </row>
    <row r="491" spans="13:45" x14ac:dyDescent="0.3">
      <c r="M491" s="78">
        <v>45037.802083333336</v>
      </c>
      <c r="N491" s="5">
        <v>4.9248497033251397E-2</v>
      </c>
      <c r="O491" s="5">
        <v>72.077340390000003</v>
      </c>
      <c r="P491" s="2">
        <v>18879</v>
      </c>
      <c r="Q491" s="7">
        <f t="shared" si="141"/>
        <v>314.64999999999998</v>
      </c>
      <c r="R491" s="6">
        <f t="shared" si="142"/>
        <v>15.496039591512551</v>
      </c>
      <c r="S491" s="6">
        <f t="shared" si="143"/>
        <v>142.13619264382922</v>
      </c>
      <c r="T491" s="2">
        <f t="shared" si="144"/>
        <v>1</v>
      </c>
      <c r="U491" s="6">
        <f t="shared" si="145"/>
        <v>142.13619264382922</v>
      </c>
      <c r="V491">
        <f>IF((R491-$AB$774)/($Z$773-$AB$774)&lt;0, 0, IF((R491-$AB$774)/($Z$773-$AB$774)&gt;1, 1, (R491-$AB$774)/($Z$773-$AB$774)))</f>
        <v>0.11033094527670649</v>
      </c>
      <c r="W491" s="6">
        <f t="shared" si="146"/>
        <v>15.682020492425734</v>
      </c>
      <c r="AK491" s="78">
        <v>45036.802083333336</v>
      </c>
      <c r="AL491" s="5">
        <v>4.5450215872737003E-2</v>
      </c>
      <c r="AM491" s="5">
        <v>80.079324720000002</v>
      </c>
      <c r="AN491" s="2">
        <v>19840</v>
      </c>
      <c r="AO491" s="7">
        <f t="shared" si="151"/>
        <v>330.66666666666669</v>
      </c>
      <c r="AP491" s="5">
        <f t="shared" si="147"/>
        <v>15.028871381918369</v>
      </c>
      <c r="AQ491" s="6">
        <f t="shared" si="148"/>
        <v>140.02140624051381</v>
      </c>
      <c r="AR491" s="2">
        <f t="shared" si="149"/>
        <v>-2.1301186875174403</v>
      </c>
      <c r="AS491" s="2">
        <f t="shared" si="150"/>
        <v>-298.26221408538959</v>
      </c>
    </row>
    <row r="492" spans="13:45" x14ac:dyDescent="0.3">
      <c r="M492" s="78">
        <v>45037.8125</v>
      </c>
      <c r="N492" s="5">
        <v>4.7070934871342202E-2</v>
      </c>
      <c r="O492" s="5">
        <v>69.822823</v>
      </c>
      <c r="P492" s="2">
        <v>20131</v>
      </c>
      <c r="Q492" s="7">
        <f t="shared" si="141"/>
        <v>335.51666666666665</v>
      </c>
      <c r="R492" s="6">
        <f t="shared" si="142"/>
        <v>15.793083164916498</v>
      </c>
      <c r="S492" s="6">
        <f t="shared" si="143"/>
        <v>143.46396996577158</v>
      </c>
      <c r="T492" s="2">
        <f t="shared" si="144"/>
        <v>1</v>
      </c>
      <c r="U492" s="6">
        <f t="shared" si="145"/>
        <v>143.46396996577158</v>
      </c>
      <c r="V492">
        <f>IF((R492-$AB$774)/($Z$773-$AB$774)&lt;0, 0, IF((R492-$AB$774)/($Z$773-$AB$774)&gt;1, 1, (R492-$AB$774)/($Z$773-$AB$774)))</f>
        <v>0.16470461111678772</v>
      </c>
      <c r="W492" s="6">
        <f t="shared" si="146"/>
        <v>23.629177382482922</v>
      </c>
      <c r="AK492" s="78">
        <v>45036.8125</v>
      </c>
      <c r="AL492" s="5">
        <v>4.6298434917212E-2</v>
      </c>
      <c r="AM492" s="5">
        <v>81.397704649999994</v>
      </c>
      <c r="AN492" s="2">
        <v>20058</v>
      </c>
      <c r="AO492" s="7">
        <f t="shared" si="151"/>
        <v>334.3</v>
      </c>
      <c r="AP492" s="5">
        <f t="shared" si="147"/>
        <v>15.477566792823973</v>
      </c>
      <c r="AQ492" s="6">
        <f t="shared" si="148"/>
        <v>142.05319248604056</v>
      </c>
      <c r="AR492" s="2">
        <f t="shared" si="149"/>
        <v>-2.1301186875174403</v>
      </c>
      <c r="AS492" s="2">
        <f t="shared" si="150"/>
        <v>-302.59015993602702</v>
      </c>
    </row>
    <row r="493" spans="13:45" x14ac:dyDescent="0.3">
      <c r="M493" s="78">
        <v>45037.822916666664</v>
      </c>
      <c r="N493" s="5">
        <v>4.6558801606247202E-2</v>
      </c>
      <c r="O493" s="5">
        <v>73.415890989999994</v>
      </c>
      <c r="P493" s="2">
        <v>19376</v>
      </c>
      <c r="Q493" s="7">
        <f t="shared" si="141"/>
        <v>322.93333333333334</v>
      </c>
      <c r="R493" s="6">
        <f t="shared" si="142"/>
        <v>15.035388998710763</v>
      </c>
      <c r="S493" s="6">
        <f t="shared" si="143"/>
        <v>140.05113925523696</v>
      </c>
      <c r="T493" s="2">
        <f t="shared" si="144"/>
        <v>1</v>
      </c>
      <c r="U493" s="6">
        <f t="shared" si="145"/>
        <v>140.05113925523696</v>
      </c>
      <c r="V493">
        <f>IF((R493-$AB$774)/($Z$773-$AB$774)&lt;0, 0, IF((R493-$AB$774)/($Z$773-$AB$774)&gt;1, 1, (R493-$AB$774)/($Z$773-$AB$774)))</f>
        <v>2.6009102810927331E-2</v>
      </c>
      <c r="W493" s="6">
        <f t="shared" si="146"/>
        <v>3.642604479676959</v>
      </c>
      <c r="AK493" s="78">
        <v>45036.822916666664</v>
      </c>
      <c r="AL493" s="5">
        <v>4.4954049211061699E-2</v>
      </c>
      <c r="AM493" s="5">
        <v>78.762941850000004</v>
      </c>
      <c r="AN493" s="2">
        <v>20013</v>
      </c>
      <c r="AO493" s="7">
        <f t="shared" si="151"/>
        <v>333.55</v>
      </c>
      <c r="AP493" s="5">
        <f t="shared" si="147"/>
        <v>14.99442311434963</v>
      </c>
      <c r="AQ493" s="6">
        <f t="shared" si="148"/>
        <v>139.86414569833616</v>
      </c>
      <c r="AR493" s="2">
        <f t="shared" si="149"/>
        <v>-2.1301186875174403</v>
      </c>
      <c r="AS493" s="2">
        <f t="shared" si="150"/>
        <v>-297.92723046568784</v>
      </c>
    </row>
    <row r="494" spans="13:45" x14ac:dyDescent="0.3">
      <c r="M494" s="78">
        <v>45037.833333333336</v>
      </c>
      <c r="N494" s="5">
        <v>4.5229450430314302E-2</v>
      </c>
      <c r="O494" s="5">
        <v>71.17580074</v>
      </c>
      <c r="P494" s="2">
        <v>19504</v>
      </c>
      <c r="Q494" s="7">
        <f t="shared" si="141"/>
        <v>325.06666666666666</v>
      </c>
      <c r="R494" s="6">
        <f t="shared" si="142"/>
        <v>14.702586686547502</v>
      </c>
      <c r="S494" s="6">
        <f t="shared" si="143"/>
        <v>138.52441074055292</v>
      </c>
      <c r="T494" s="2">
        <f t="shared" si="144"/>
        <v>1</v>
      </c>
      <c r="U494" s="6">
        <f t="shared" si="145"/>
        <v>138.52441074055292</v>
      </c>
      <c r="V494">
        <f>IF((R494-$AB$774)/($Z$773-$AB$774)&lt;0, 0, IF((R494-$AB$774)/($Z$773-$AB$774)&gt;1, 1, (R494-$AB$774)/($Z$773-$AB$774)))</f>
        <v>0</v>
      </c>
      <c r="W494" s="6">
        <f t="shared" si="146"/>
        <v>0</v>
      </c>
      <c r="AK494" s="78">
        <v>45036.833333333336</v>
      </c>
      <c r="AL494" s="5">
        <v>4.4329310076608598E-2</v>
      </c>
      <c r="AM494" s="5">
        <v>73.415890989999994</v>
      </c>
      <c r="AN494" s="2">
        <v>20986</v>
      </c>
      <c r="AO494" s="7">
        <f t="shared" si="151"/>
        <v>349.76666666666665</v>
      </c>
      <c r="AP494" s="5">
        <f t="shared" si="147"/>
        <v>15.504915021128467</v>
      </c>
      <c r="AQ494" s="6">
        <f t="shared" si="148"/>
        <v>142.1760528917462</v>
      </c>
      <c r="AR494" s="2">
        <f t="shared" si="149"/>
        <v>-2.1301186875174403</v>
      </c>
      <c r="AS494" s="2">
        <f t="shared" si="150"/>
        <v>-302.85186718217659</v>
      </c>
    </row>
    <row r="495" spans="13:45" x14ac:dyDescent="0.3">
      <c r="M495" s="78">
        <v>45037.84375</v>
      </c>
      <c r="N495" s="5">
        <v>4.6000196787949803E-2</v>
      </c>
      <c r="O495" s="5">
        <v>76.544179459999995</v>
      </c>
      <c r="P495" s="2">
        <v>18578</v>
      </c>
      <c r="Q495" s="7">
        <f t="shared" si="141"/>
        <v>309.63333333333333</v>
      </c>
      <c r="R495" s="6">
        <f t="shared" si="142"/>
        <v>14.24319426544219</v>
      </c>
      <c r="S495" s="6">
        <f t="shared" si="143"/>
        <v>136.38767793242269</v>
      </c>
      <c r="T495" s="2">
        <f t="shared" si="144"/>
        <v>1</v>
      </c>
      <c r="U495" s="6">
        <f t="shared" si="145"/>
        <v>136.38767793242269</v>
      </c>
      <c r="V495">
        <f>IF((R495-$AB$774)/($Z$773-$AB$774)&lt;0, 0, IF((R495-$AB$774)/($Z$773-$AB$774)&gt;1, 1, (R495-$AB$774)/($Z$773-$AB$774)))</f>
        <v>0</v>
      </c>
      <c r="W495" s="6">
        <f t="shared" si="146"/>
        <v>0</v>
      </c>
      <c r="AK495" s="78">
        <v>45036.84375</v>
      </c>
      <c r="AL495" s="5">
        <v>4.8344383069345499E-2</v>
      </c>
      <c r="AM495" s="5">
        <v>82.711152870000006</v>
      </c>
      <c r="AN495" s="2">
        <v>19692</v>
      </c>
      <c r="AO495" s="7">
        <f t="shared" si="151"/>
        <v>328.2</v>
      </c>
      <c r="AP495" s="5">
        <f t="shared" si="147"/>
        <v>15.866626523359193</v>
      </c>
      <c r="AQ495" s="6">
        <f t="shared" si="148"/>
        <v>143.79073409660558</v>
      </c>
      <c r="AR495" s="2">
        <f t="shared" si="149"/>
        <v>-2.1301186875174403</v>
      </c>
      <c r="AS495" s="2">
        <f t="shared" si="150"/>
        <v>-306.29132979103071</v>
      </c>
    </row>
    <row r="496" spans="13:45" x14ac:dyDescent="0.3">
      <c r="M496" s="78">
        <v>45037.854166666664</v>
      </c>
      <c r="N496" s="5">
        <v>4.5515261686260799E-2</v>
      </c>
      <c r="O496" s="5">
        <v>67.565551839999998</v>
      </c>
      <c r="P496" s="2">
        <v>19369</v>
      </c>
      <c r="Q496" s="7">
        <f t="shared" si="141"/>
        <v>322.81666666666666</v>
      </c>
      <c r="R496" s="6">
        <f t="shared" si="142"/>
        <v>14.693085060019756</v>
      </c>
      <c r="S496" s="6">
        <f t="shared" si="143"/>
        <v>138.48056451113993</v>
      </c>
      <c r="T496" s="2">
        <f t="shared" si="144"/>
        <v>1</v>
      </c>
      <c r="U496" s="6">
        <f t="shared" si="145"/>
        <v>138.48056451113993</v>
      </c>
      <c r="V496">
        <f>IF((R496-$AB$774)/($Z$773-$AB$774)&lt;0, 0, IF((R496-$AB$774)/($Z$773-$AB$774)&gt;1, 1, (R496-$AB$774)/($Z$773-$AB$774)))</f>
        <v>0</v>
      </c>
      <c r="W496" s="6">
        <f t="shared" si="146"/>
        <v>0</v>
      </c>
      <c r="AK496" s="78">
        <v>45036.854166666664</v>
      </c>
      <c r="AL496" s="5">
        <v>4.7347868847775698E-2</v>
      </c>
      <c r="AM496" s="5">
        <v>80.961047410000006</v>
      </c>
      <c r="AN496" s="2">
        <v>20410</v>
      </c>
      <c r="AO496" s="7">
        <f t="shared" si="151"/>
        <v>340.16666666666669</v>
      </c>
      <c r="AP496" s="5">
        <f t="shared" si="147"/>
        <v>16.106166719718367</v>
      </c>
      <c r="AQ496" s="6">
        <f t="shared" si="148"/>
        <v>144.8497227489953</v>
      </c>
      <c r="AR496" s="2">
        <f t="shared" si="149"/>
        <v>-2.1301186875174403</v>
      </c>
      <c r="AS496" s="2">
        <f t="shared" si="150"/>
        <v>-308.54710130935501</v>
      </c>
    </row>
    <row r="497" spans="13:45" x14ac:dyDescent="0.3">
      <c r="M497" s="78">
        <v>45037.864583333336</v>
      </c>
      <c r="N497" s="5">
        <v>4.5761788904281002E-2</v>
      </c>
      <c r="O497" s="5">
        <v>68.466857000000005</v>
      </c>
      <c r="P497" s="2">
        <v>19662</v>
      </c>
      <c r="Q497" s="7">
        <f t="shared" si="141"/>
        <v>327.7</v>
      </c>
      <c r="R497" s="6">
        <f t="shared" si="142"/>
        <v>14.996138223932883</v>
      </c>
      <c r="S497" s="6">
        <f t="shared" si="143"/>
        <v>139.87197974111311</v>
      </c>
      <c r="T497" s="2">
        <f t="shared" si="144"/>
        <v>1</v>
      </c>
      <c r="U497" s="6">
        <f t="shared" si="145"/>
        <v>139.87197974111311</v>
      </c>
      <c r="V497">
        <f>IF((R497-$AB$774)/($Z$773-$AB$774)&lt;0, 0, IF((R497-$AB$774)/($Z$773-$AB$774)&gt;1, 1, (R497-$AB$774)/($Z$773-$AB$774)))</f>
        <v>1.8824269665810106E-2</v>
      </c>
      <c r="W497" s="6">
        <f t="shared" si="146"/>
        <v>2.6329878653374412</v>
      </c>
      <c r="AK497" s="78">
        <v>45036.864583333336</v>
      </c>
      <c r="AL497" s="5">
        <v>4.5546188362081103E-2</v>
      </c>
      <c r="AM497" s="5">
        <v>78.755362430000005</v>
      </c>
      <c r="AN497" s="2">
        <v>19606</v>
      </c>
      <c r="AO497" s="7">
        <f t="shared" si="151"/>
        <v>326.76666666666665</v>
      </c>
      <c r="AP497" s="5">
        <f t="shared" si="147"/>
        <v>14.882976150449368</v>
      </c>
      <c r="AQ497" s="6">
        <f t="shared" si="148"/>
        <v>139.35410962300531</v>
      </c>
      <c r="AR497" s="2">
        <f t="shared" si="149"/>
        <v>-2.1301186875174403</v>
      </c>
      <c r="AS497" s="2">
        <f t="shared" si="150"/>
        <v>-296.84079309031756</v>
      </c>
    </row>
    <row r="498" spans="13:45" x14ac:dyDescent="0.3">
      <c r="M498" s="78">
        <v>45037.875</v>
      </c>
      <c r="N498" s="5">
        <v>4.5349803742092E-2</v>
      </c>
      <c r="O498" s="5">
        <v>71.17580074</v>
      </c>
      <c r="P498" s="2">
        <v>19573</v>
      </c>
      <c r="Q498" s="7">
        <f t="shared" si="141"/>
        <v>326.21666666666664</v>
      </c>
      <c r="R498" s="6">
        <f t="shared" si="142"/>
        <v>14.793861810732777</v>
      </c>
      <c r="S498" s="6">
        <f t="shared" si="143"/>
        <v>138.94487470215853</v>
      </c>
      <c r="T498" s="2">
        <f t="shared" si="144"/>
        <v>1</v>
      </c>
      <c r="U498" s="6">
        <f t="shared" si="145"/>
        <v>138.94487470215853</v>
      </c>
      <c r="V498">
        <f>IF((R498-$AB$774)/($Z$773-$AB$774)&lt;0, 0, IF((R498-$AB$774)/($Z$773-$AB$774)&gt;1, 1, (R498-$AB$774)/($Z$773-$AB$774)))</f>
        <v>0</v>
      </c>
      <c r="W498" s="6">
        <f t="shared" si="146"/>
        <v>0</v>
      </c>
      <c r="AK498" s="78">
        <v>45036.875</v>
      </c>
      <c r="AL498" s="5">
        <v>4.7442965903376502E-2</v>
      </c>
      <c r="AM498" s="5">
        <v>78.762941850000004</v>
      </c>
      <c r="AN498" s="2">
        <v>20134</v>
      </c>
      <c r="AO498" s="7">
        <f t="shared" si="151"/>
        <v>335.56666666666666</v>
      </c>
      <c r="AP498" s="5">
        <f t="shared" si="147"/>
        <v>15.920277924976375</v>
      </c>
      <c r="AQ498" s="6">
        <f t="shared" si="148"/>
        <v>144.02862797108932</v>
      </c>
      <c r="AR498" s="2">
        <f t="shared" si="149"/>
        <v>-2.1301186875174403</v>
      </c>
      <c r="AS498" s="2">
        <f t="shared" si="150"/>
        <v>-306.79807197871446</v>
      </c>
    </row>
    <row r="499" spans="13:45" x14ac:dyDescent="0.3">
      <c r="M499" s="78">
        <v>45037.885416666664</v>
      </c>
      <c r="N499" s="5">
        <v>4.7278438315722801E-2</v>
      </c>
      <c r="O499" s="5">
        <v>77.875916610000004</v>
      </c>
      <c r="P499" s="2">
        <v>18602</v>
      </c>
      <c r="Q499" s="7">
        <f t="shared" si="141"/>
        <v>310.03333333333336</v>
      </c>
      <c r="R499" s="6">
        <f t="shared" si="142"/>
        <v>14.657891825817927</v>
      </c>
      <c r="S499" s="6">
        <f t="shared" si="143"/>
        <v>138.31803554575754</v>
      </c>
      <c r="T499" s="2">
        <f t="shared" si="144"/>
        <v>1</v>
      </c>
      <c r="U499" s="6">
        <f t="shared" si="145"/>
        <v>138.31803554575754</v>
      </c>
      <c r="V499">
        <f>IF((R499-$AB$774)/($Z$773-$AB$774)&lt;0, 0, IF((R499-$AB$774)/($Z$773-$AB$774)&gt;1, 1, (R499-$AB$774)/($Z$773-$AB$774)))</f>
        <v>0</v>
      </c>
      <c r="W499" s="6">
        <f t="shared" si="146"/>
        <v>0</v>
      </c>
      <c r="AK499" s="78">
        <v>45036.885416666664</v>
      </c>
      <c r="AL499" s="5">
        <v>4.8200676789131501E-2</v>
      </c>
      <c r="AM499" s="5">
        <v>76.544179459999995</v>
      </c>
      <c r="AN499" s="2">
        <v>20367</v>
      </c>
      <c r="AO499" s="7">
        <f t="shared" si="151"/>
        <v>339.45</v>
      </c>
      <c r="AP499" s="5">
        <f t="shared" si="147"/>
        <v>16.361719736070686</v>
      </c>
      <c r="AQ499" s="6">
        <f t="shared" si="148"/>
        <v>145.97067931537455</v>
      </c>
      <c r="AR499" s="2">
        <f t="shared" si="149"/>
        <v>-2.1301186875174403</v>
      </c>
      <c r="AS499" s="2">
        <f t="shared" si="150"/>
        <v>-310.93487183929483</v>
      </c>
    </row>
    <row r="500" spans="13:45" x14ac:dyDescent="0.3">
      <c r="M500" s="78">
        <v>45037.895833333336</v>
      </c>
      <c r="N500" s="5">
        <v>4.71335990601425E-2</v>
      </c>
      <c r="O500" s="5">
        <v>70.727821939999998</v>
      </c>
      <c r="P500" s="2">
        <v>18590</v>
      </c>
      <c r="Q500" s="7">
        <f t="shared" si="141"/>
        <v>309.83333333333331</v>
      </c>
      <c r="R500" s="6">
        <f t="shared" si="142"/>
        <v>14.603560108800817</v>
      </c>
      <c r="S500" s="6">
        <f t="shared" si="143"/>
        <v>138.06672995955836</v>
      </c>
      <c r="T500" s="2">
        <f t="shared" si="144"/>
        <v>1</v>
      </c>
      <c r="U500" s="6">
        <f t="shared" si="145"/>
        <v>138.06672995955836</v>
      </c>
      <c r="V500">
        <f>IF((R500-$AB$774)/($Z$773-$AB$774)&lt;0, 0, IF((R500-$AB$774)/($Z$773-$AB$774)&gt;1, 1, (R500-$AB$774)/($Z$773-$AB$774)))</f>
        <v>0</v>
      </c>
      <c r="W500" s="6">
        <f t="shared" si="146"/>
        <v>0</v>
      </c>
      <c r="AK500" s="78">
        <v>45036.895833333336</v>
      </c>
      <c r="AL500" s="5">
        <v>4.5664214643004103E-2</v>
      </c>
      <c r="AM500" s="5">
        <v>75.208694050000005</v>
      </c>
      <c r="AN500" s="2">
        <v>20513</v>
      </c>
      <c r="AO500" s="7">
        <f t="shared" si="151"/>
        <v>341.88333333333333</v>
      </c>
      <c r="AP500" s="5">
        <f t="shared" si="147"/>
        <v>15.611833916199052</v>
      </c>
      <c r="AQ500" s="6">
        <f t="shared" si="148"/>
        <v>142.65532204277196</v>
      </c>
      <c r="AR500" s="2">
        <f t="shared" si="149"/>
        <v>-2.1301186875174403</v>
      </c>
      <c r="AS500" s="2">
        <f t="shared" si="150"/>
        <v>-303.87276735712715</v>
      </c>
    </row>
    <row r="501" spans="13:45" x14ac:dyDescent="0.3">
      <c r="M501" s="78">
        <v>45037.90625</v>
      </c>
      <c r="N501" s="5">
        <v>4.6631402719924601E-2</v>
      </c>
      <c r="O501" s="5">
        <v>68.016396760000006</v>
      </c>
      <c r="P501" s="2">
        <v>19399</v>
      </c>
      <c r="Q501" s="7">
        <f t="shared" si="141"/>
        <v>323.31666666666666</v>
      </c>
      <c r="R501" s="6">
        <f t="shared" si="142"/>
        <v>15.076709689396955</v>
      </c>
      <c r="S501" s="6">
        <f t="shared" si="143"/>
        <v>140.23948917333561</v>
      </c>
      <c r="T501" s="2">
        <f t="shared" si="144"/>
        <v>1</v>
      </c>
      <c r="U501" s="6">
        <f t="shared" si="145"/>
        <v>140.23948917333561</v>
      </c>
      <c r="V501">
        <f>IF((R501-$AB$774)/($Z$773-$AB$774)&lt;0, 0, IF((R501-$AB$774)/($Z$773-$AB$774)&gt;1, 1, (R501-$AB$774)/($Z$773-$AB$774)))</f>
        <v>3.3572832946226351E-2</v>
      </c>
      <c r="W501" s="6">
        <f t="shared" si="146"/>
        <v>4.7082369424805153</v>
      </c>
      <c r="AK501" s="78">
        <v>45036.90625</v>
      </c>
      <c r="AL501" s="5">
        <v>4.8506336829534598E-2</v>
      </c>
      <c r="AM501" s="5">
        <v>82.276892649999994</v>
      </c>
      <c r="AN501" s="2">
        <v>19870</v>
      </c>
      <c r="AO501" s="7">
        <f t="shared" si="151"/>
        <v>331.16666666666669</v>
      </c>
      <c r="AP501" s="5">
        <f t="shared" si="147"/>
        <v>16.063681880047543</v>
      </c>
      <c r="AQ501" s="6">
        <f t="shared" si="148"/>
        <v>144.6624898545796</v>
      </c>
      <c r="AR501" s="2">
        <f t="shared" si="149"/>
        <v>-2.1301186875174403</v>
      </c>
      <c r="AS501" s="2">
        <f t="shared" si="150"/>
        <v>-308.14827302204213</v>
      </c>
    </row>
    <row r="502" spans="13:45" x14ac:dyDescent="0.3">
      <c r="M502" s="78">
        <v>45037.916666666664</v>
      </c>
      <c r="N502" s="5">
        <v>4.6058074564186202E-2</v>
      </c>
      <c r="O502" s="5">
        <v>68.466857000000005</v>
      </c>
      <c r="P502" s="2">
        <v>19276</v>
      </c>
      <c r="Q502" s="7">
        <f t="shared" si="141"/>
        <v>321.26666666666665</v>
      </c>
      <c r="R502" s="6">
        <f t="shared" si="142"/>
        <v>14.796924088320887</v>
      </c>
      <c r="S502" s="6">
        <f t="shared" si="143"/>
        <v>138.95895827026101</v>
      </c>
      <c r="T502" s="2">
        <f t="shared" si="144"/>
        <v>1</v>
      </c>
      <c r="U502" s="6">
        <f t="shared" si="145"/>
        <v>138.95895827026101</v>
      </c>
      <c r="V502">
        <f>IF((R502-$AB$774)/($Z$773-$AB$774)&lt;0, 0, IF((R502-$AB$774)/($Z$773-$AB$774)&gt;1, 1, (R502-$AB$774)/($Z$773-$AB$774)))</f>
        <v>0</v>
      </c>
      <c r="W502" s="6">
        <f t="shared" si="146"/>
        <v>0</v>
      </c>
      <c r="AK502" s="78">
        <v>45036.916666666664</v>
      </c>
      <c r="AL502" s="5">
        <v>4.6917465226308602E-2</v>
      </c>
      <c r="AM502" s="5">
        <v>77.875916610000004</v>
      </c>
      <c r="AN502" s="2">
        <v>19888</v>
      </c>
      <c r="AO502" s="7">
        <f t="shared" si="151"/>
        <v>331.46666666666664</v>
      </c>
      <c r="AP502" s="5">
        <f t="shared" si="147"/>
        <v>15.551575807013757</v>
      </c>
      <c r="AQ502" s="6">
        <f t="shared" si="148"/>
        <v>142.38541887357201</v>
      </c>
      <c r="AR502" s="2">
        <f t="shared" si="149"/>
        <v>-2.1301186875174403</v>
      </c>
      <c r="AS502" s="2">
        <f t="shared" si="150"/>
        <v>-303.29784157259417</v>
      </c>
    </row>
    <row r="503" spans="13:45" x14ac:dyDescent="0.3">
      <c r="M503" s="78">
        <v>45037.927083333336</v>
      </c>
      <c r="N503" s="5">
        <v>4.86418003998981E-2</v>
      </c>
      <c r="O503" s="5">
        <v>72.077340390000003</v>
      </c>
      <c r="P503" s="2">
        <v>19481</v>
      </c>
      <c r="Q503" s="7">
        <f t="shared" si="141"/>
        <v>324.68333333333334</v>
      </c>
      <c r="R503" s="6">
        <f t="shared" si="142"/>
        <v>15.793181893173582</v>
      </c>
      <c r="S503" s="6">
        <f t="shared" si="143"/>
        <v>143.46440915006875</v>
      </c>
      <c r="T503" s="2">
        <f t="shared" si="144"/>
        <v>1</v>
      </c>
      <c r="U503" s="6">
        <f t="shared" si="145"/>
        <v>143.46440915006875</v>
      </c>
      <c r="V503">
        <f>IF((R503-$AB$774)/($Z$773-$AB$774)&lt;0, 0, IF((R503-$AB$774)/($Z$773-$AB$774)&gt;1, 1, (R503-$AB$774)/($Z$773-$AB$774)))</f>
        <v>0.16472268327097764</v>
      </c>
      <c r="W503" s="6">
        <f t="shared" si="146"/>
        <v>23.63184242908472</v>
      </c>
      <c r="AK503" s="78">
        <v>45036.927083333336</v>
      </c>
      <c r="AL503" s="5">
        <v>4.7835854943416502E-2</v>
      </c>
      <c r="AM503" s="5">
        <v>77.875916610000004</v>
      </c>
      <c r="AN503" s="2">
        <v>19812</v>
      </c>
      <c r="AO503" s="7">
        <f t="shared" si="151"/>
        <v>330.2</v>
      </c>
      <c r="AP503" s="5">
        <f t="shared" si="147"/>
        <v>15.795399302316129</v>
      </c>
      <c r="AQ503" s="6">
        <f t="shared" si="148"/>
        <v>143.474272737928</v>
      </c>
      <c r="AR503" s="2">
        <f t="shared" si="149"/>
        <v>-2.1301186875174403</v>
      </c>
      <c r="AS503" s="2">
        <f t="shared" si="150"/>
        <v>-305.61722953703446</v>
      </c>
    </row>
    <row r="504" spans="13:45" x14ac:dyDescent="0.3">
      <c r="M504" s="78">
        <v>45037.9375</v>
      </c>
      <c r="N504" s="5">
        <v>4.7855616144039402E-2</v>
      </c>
      <c r="O504" s="5">
        <v>75.208694050000005</v>
      </c>
      <c r="P504" s="2">
        <v>19741</v>
      </c>
      <c r="Q504" s="7">
        <f t="shared" si="141"/>
        <v>329.01666666666665</v>
      </c>
      <c r="R504" s="6">
        <f t="shared" si="142"/>
        <v>15.745295304991362</v>
      </c>
      <c r="S504" s="6">
        <f t="shared" si="143"/>
        <v>143.25122500203548</v>
      </c>
      <c r="T504" s="2">
        <f t="shared" si="144"/>
        <v>1</v>
      </c>
      <c r="U504" s="6">
        <f t="shared" si="145"/>
        <v>143.25122500203548</v>
      </c>
      <c r="V504">
        <f>IF((R504-$AB$774)/($Z$773-$AB$774)&lt;0, 0, IF((R504-$AB$774)/($Z$773-$AB$774)&gt;1, 1, (R504-$AB$774)/($Z$773-$AB$774)))</f>
        <v>0.15595706914169721</v>
      </c>
      <c r="W504" s="6">
        <f t="shared" si="146"/>
        <v>22.341041202275271</v>
      </c>
      <c r="AK504" s="78">
        <v>45036.9375</v>
      </c>
      <c r="AL504" s="5">
        <v>4.2320650904542498E-2</v>
      </c>
      <c r="AM504" s="5">
        <v>77.427442880000001</v>
      </c>
      <c r="AN504" s="2">
        <v>20518</v>
      </c>
      <c r="AO504" s="7">
        <f t="shared" si="151"/>
        <v>341.96666666666664</v>
      </c>
      <c r="AP504" s="5">
        <f t="shared" si="147"/>
        <v>14.472251920990049</v>
      </c>
      <c r="AQ504" s="6">
        <f t="shared" si="148"/>
        <v>137.45740082430271</v>
      </c>
      <c r="AR504" s="2">
        <f t="shared" si="149"/>
        <v>-2.1301186875174403</v>
      </c>
      <c r="AS504" s="2">
        <f t="shared" si="150"/>
        <v>-292.80057823342241</v>
      </c>
    </row>
    <row r="505" spans="13:45" x14ac:dyDescent="0.3">
      <c r="M505" s="78">
        <v>45037.947916666664</v>
      </c>
      <c r="N505" s="5">
        <v>5.2216474902382001E-2</v>
      </c>
      <c r="O505" s="5">
        <v>72.970159429999995</v>
      </c>
      <c r="P505" s="2">
        <v>19466</v>
      </c>
      <c r="Q505" s="7">
        <f t="shared" si="141"/>
        <v>324.43333333333334</v>
      </c>
      <c r="R505" s="6">
        <f t="shared" si="142"/>
        <v>16.940765007496132</v>
      </c>
      <c r="S505" s="6">
        <f t="shared" si="143"/>
        <v>148.47799410130415</v>
      </c>
      <c r="T505" s="2">
        <f t="shared" si="144"/>
        <v>1</v>
      </c>
      <c r="U505" s="6">
        <f t="shared" si="145"/>
        <v>148.47799410130415</v>
      </c>
      <c r="V505">
        <f>IF((R505-$AB$774)/($Z$773-$AB$774)&lt;0, 0, IF((R505-$AB$774)/($Z$773-$AB$774)&gt;1, 1, (R505-$AB$774)/($Z$773-$AB$774)))</f>
        <v>0.37478715316287192</v>
      </c>
      <c r="W505" s="6">
        <f t="shared" si="146"/>
        <v>55.647644716561473</v>
      </c>
      <c r="AK505" s="78">
        <v>45036.947916666664</v>
      </c>
      <c r="AL505" s="5">
        <v>4.4504848924066601E-2</v>
      </c>
      <c r="AM505" s="5">
        <v>75.208694050000005</v>
      </c>
      <c r="AN505" s="2">
        <v>20660</v>
      </c>
      <c r="AO505" s="7">
        <f t="shared" si="151"/>
        <v>344.33333333333331</v>
      </c>
      <c r="AP505" s="5">
        <f t="shared" si="147"/>
        <v>15.324502979520265</v>
      </c>
      <c r="AQ505" s="6">
        <f t="shared" si="148"/>
        <v>141.36350731750818</v>
      </c>
      <c r="AR505" s="2">
        <f t="shared" si="149"/>
        <v>-2.1301186875174403</v>
      </c>
      <c r="AS505" s="2">
        <f t="shared" si="150"/>
        <v>-301.12104867003256</v>
      </c>
    </row>
    <row r="506" spans="13:45" x14ac:dyDescent="0.3">
      <c r="M506" s="78">
        <v>45037.958333333336</v>
      </c>
      <c r="N506" s="5">
        <v>4.8044872768492897E-2</v>
      </c>
      <c r="O506" s="5">
        <v>74.312865549999998</v>
      </c>
      <c r="P506" s="2">
        <v>18286</v>
      </c>
      <c r="Q506" s="7">
        <f t="shared" si="141"/>
        <v>304.76666666666665</v>
      </c>
      <c r="R506" s="6">
        <f t="shared" si="142"/>
        <v>14.642475724077684</v>
      </c>
      <c r="S506" s="6">
        <f t="shared" si="143"/>
        <v>138.24677837742948</v>
      </c>
      <c r="T506" s="2">
        <f t="shared" si="144"/>
        <v>1</v>
      </c>
      <c r="U506" s="6">
        <f t="shared" si="145"/>
        <v>138.24677837742948</v>
      </c>
      <c r="V506">
        <f>IF((R506-$AB$774)/($Z$773-$AB$774)&lt;0, 0, IF((R506-$AB$774)/($Z$773-$AB$774)&gt;1, 1, (R506-$AB$774)/($Z$773-$AB$774)))</f>
        <v>0</v>
      </c>
      <c r="W506" s="6">
        <f t="shared" si="146"/>
        <v>0</v>
      </c>
      <c r="AK506" s="78">
        <v>45036.958333333336</v>
      </c>
      <c r="AL506" s="5">
        <v>4.5540237506802597E-2</v>
      </c>
      <c r="AM506" s="5">
        <v>73.868067069999995</v>
      </c>
      <c r="AN506" s="2">
        <v>20221</v>
      </c>
      <c r="AO506" s="7">
        <f t="shared" si="151"/>
        <v>337.01666666666665</v>
      </c>
      <c r="AP506" s="5">
        <f t="shared" si="147"/>
        <v>15.347819043750921</v>
      </c>
      <c r="AQ506" s="6">
        <f t="shared" si="148"/>
        <v>141.46879262276897</v>
      </c>
      <c r="AR506" s="2">
        <f t="shared" si="149"/>
        <v>-2.1301186875174403</v>
      </c>
      <c r="AS506" s="2">
        <f t="shared" si="150"/>
        <v>-301.34531886628957</v>
      </c>
    </row>
    <row r="507" spans="13:45" x14ac:dyDescent="0.3">
      <c r="M507" s="78">
        <v>45037.96875</v>
      </c>
      <c r="N507" s="5">
        <v>4.6307546261014E-2</v>
      </c>
      <c r="O507" s="5">
        <v>67.565551839999998</v>
      </c>
      <c r="P507" s="2">
        <v>19348</v>
      </c>
      <c r="Q507" s="7">
        <f t="shared" si="141"/>
        <v>322.46666666666664</v>
      </c>
      <c r="R507" s="6">
        <f t="shared" si="142"/>
        <v>14.932640084301646</v>
      </c>
      <c r="S507" s="6">
        <f t="shared" si="143"/>
        <v>139.58163608262348</v>
      </c>
      <c r="T507" s="2">
        <f t="shared" si="144"/>
        <v>1</v>
      </c>
      <c r="U507" s="6">
        <f t="shared" si="145"/>
        <v>139.58163608262348</v>
      </c>
      <c r="V507">
        <f>IF((R507-$AB$774)/($Z$773-$AB$774)&lt;0, 0, IF((R507-$AB$774)/($Z$773-$AB$774)&gt;1, 1, (R507-$AB$774)/($Z$773-$AB$774)))</f>
        <v>7.2009694670863321E-3</v>
      </c>
      <c r="W507" s="6">
        <f t="shared" si="146"/>
        <v>1.0051230995969276</v>
      </c>
      <c r="AK507" s="78">
        <v>45036.96875</v>
      </c>
      <c r="AL507" s="5">
        <v>4.1313847604484699E-2</v>
      </c>
      <c r="AM507" s="5">
        <v>78.755362430000005</v>
      </c>
      <c r="AN507" s="2">
        <v>21567</v>
      </c>
      <c r="AO507" s="7">
        <f t="shared" si="151"/>
        <v>359.45</v>
      </c>
      <c r="AP507" s="5">
        <f t="shared" si="147"/>
        <v>14.850262521432025</v>
      </c>
      <c r="AQ507" s="6">
        <f t="shared" si="148"/>
        <v>139.20402624638575</v>
      </c>
      <c r="AR507" s="2">
        <f t="shared" si="149"/>
        <v>-2.1301186875174403</v>
      </c>
      <c r="AS507" s="2">
        <f t="shared" si="150"/>
        <v>-296.5210976850945</v>
      </c>
    </row>
    <row r="508" spans="13:45" x14ac:dyDescent="0.3">
      <c r="M508" s="78">
        <v>45037.979166666664</v>
      </c>
      <c r="N508" s="5">
        <v>4.6046306589722197E-2</v>
      </c>
      <c r="O508" s="5">
        <v>68.466857000000005</v>
      </c>
      <c r="P508" s="2">
        <v>19450</v>
      </c>
      <c r="Q508" s="7">
        <f t="shared" si="141"/>
        <v>324.16666666666669</v>
      </c>
      <c r="R508" s="6">
        <f t="shared" si="142"/>
        <v>14.926677719501614</v>
      </c>
      <c r="S508" s="6">
        <f t="shared" si="143"/>
        <v>139.55434098910359</v>
      </c>
      <c r="T508" s="2">
        <f t="shared" si="144"/>
        <v>1</v>
      </c>
      <c r="U508" s="6">
        <f t="shared" si="145"/>
        <v>139.55434098910359</v>
      </c>
      <c r="V508">
        <f>IF((R508-$AB$774)/($Z$773-$AB$774)&lt;0, 0, IF((R508-$AB$774)/($Z$773-$AB$774)&gt;1, 1, (R508-$AB$774)/($Z$773-$AB$774)))</f>
        <v>6.109561807467509E-3</v>
      </c>
      <c r="W508" s="6">
        <f t="shared" si="146"/>
        <v>0.85261587177332487</v>
      </c>
      <c r="AK508" s="78">
        <v>45036.979166666664</v>
      </c>
      <c r="AL508" s="5">
        <v>4.2767588902407401E-2</v>
      </c>
      <c r="AM508" s="5">
        <v>78.755362430000005</v>
      </c>
      <c r="AN508" s="2">
        <v>20762</v>
      </c>
      <c r="AO508" s="7">
        <f t="shared" si="151"/>
        <v>346.03333333333336</v>
      </c>
      <c r="AP508" s="5">
        <f t="shared" si="147"/>
        <v>14.799011346529708</v>
      </c>
      <c r="AQ508" s="6">
        <f t="shared" si="148"/>
        <v>138.96855682300247</v>
      </c>
      <c r="AR508" s="2">
        <f t="shared" si="149"/>
        <v>-2.1301186875174403</v>
      </c>
      <c r="AS508" s="2">
        <f t="shared" si="150"/>
        <v>-296.01951986600687</v>
      </c>
    </row>
    <row r="509" spans="13:45" x14ac:dyDescent="0.3">
      <c r="M509" s="78">
        <v>45037.989583333336</v>
      </c>
      <c r="N509" s="5">
        <v>4.3468414565427702E-2</v>
      </c>
      <c r="O509" s="5">
        <v>72.069636250000002</v>
      </c>
      <c r="P509" s="2">
        <v>19160</v>
      </c>
      <c r="Q509" s="7">
        <f t="shared" si="141"/>
        <v>319.33333333333331</v>
      </c>
      <c r="R509" s="6">
        <f t="shared" si="142"/>
        <v>13.880913717893245</v>
      </c>
      <c r="S509" s="6">
        <f t="shared" si="143"/>
        <v>134.67770716266537</v>
      </c>
      <c r="T509" s="2">
        <f t="shared" si="144"/>
        <v>1</v>
      </c>
      <c r="U509" s="6">
        <f t="shared" si="145"/>
        <v>134.67770716266537</v>
      </c>
      <c r="V509">
        <f>IF((R509-$AB$774)/($Z$773-$AB$774)&lt;0, 0, IF((R509-$AB$774)/($Z$773-$AB$774)&gt;1, 1, (R509-$AB$774)/($Z$773-$AB$774)))</f>
        <v>0</v>
      </c>
      <c r="W509" s="6">
        <f t="shared" si="146"/>
        <v>0</v>
      </c>
      <c r="AK509" s="78">
        <v>45036.989583333336</v>
      </c>
      <c r="AL509" s="5">
        <v>4.9715485992466099E-2</v>
      </c>
      <c r="AM509" s="5">
        <v>80.961047410000006</v>
      </c>
      <c r="AN509" s="2">
        <v>20955</v>
      </c>
      <c r="AO509" s="7">
        <f t="shared" si="151"/>
        <v>349.25</v>
      </c>
      <c r="AP509" s="5">
        <f t="shared" si="147"/>
        <v>17.363133482868786</v>
      </c>
      <c r="AQ509" s="6">
        <f t="shared" si="148"/>
        <v>150.27940787843164</v>
      </c>
      <c r="AR509" s="2">
        <f t="shared" si="149"/>
        <v>-2.1301186875174403</v>
      </c>
      <c r="AS509" s="2">
        <f t="shared" si="150"/>
        <v>-320.11297507090291</v>
      </c>
    </row>
    <row r="510" spans="13:45" x14ac:dyDescent="0.3">
      <c r="M510" s="78">
        <v>45038</v>
      </c>
      <c r="N510" s="5">
        <v>4.7074677477527901E-2</v>
      </c>
      <c r="O510" s="5">
        <v>71.17580074</v>
      </c>
      <c r="P510" s="2">
        <v>19244</v>
      </c>
      <c r="Q510" s="7">
        <f t="shared" si="141"/>
        <v>320.73333333333335</v>
      </c>
      <c r="R510" s="6">
        <f t="shared" si="142"/>
        <v>15.098418222959117</v>
      </c>
      <c r="S510" s="6">
        <f t="shared" si="143"/>
        <v>140.3383364876214</v>
      </c>
      <c r="T510" s="2">
        <f t="shared" si="144"/>
        <v>1</v>
      </c>
      <c r="U510" s="6">
        <f t="shared" si="145"/>
        <v>140.3383364876214</v>
      </c>
      <c r="V510">
        <f>IF((R510-$AB$774)/($Z$773-$AB$774)&lt;0, 0, IF((R510-$AB$774)/($Z$773-$AB$774)&gt;1, 1, (R510-$AB$774)/($Z$773-$AB$774)))</f>
        <v>3.754656830182012E-2</v>
      </c>
      <c r="W510" s="6">
        <f t="shared" si="146"/>
        <v>5.2692229362962921</v>
      </c>
      <c r="AK510" s="78">
        <v>45037</v>
      </c>
      <c r="AL510" s="5">
        <v>4.5182133907290603E-2</v>
      </c>
      <c r="AM510" s="5">
        <v>78.755362430000005</v>
      </c>
      <c r="AN510" s="2">
        <v>20517</v>
      </c>
      <c r="AO510" s="7">
        <f t="shared" si="151"/>
        <v>341.95</v>
      </c>
      <c r="AP510" s="5">
        <f t="shared" si="147"/>
        <v>15.450030689598021</v>
      </c>
      <c r="AQ510" s="6">
        <f t="shared" si="148"/>
        <v>141.92937608654663</v>
      </c>
      <c r="AR510" s="2">
        <f t="shared" si="149"/>
        <v>-2.1301186875174403</v>
      </c>
      <c r="AS510" s="2">
        <f t="shared" si="150"/>
        <v>-302.32641630964389</v>
      </c>
    </row>
    <row r="511" spans="13:45" x14ac:dyDescent="0.3">
      <c r="M511" s="78">
        <v>45038.010416666664</v>
      </c>
      <c r="N511" s="5">
        <v>4.5291726376953098E-2</v>
      </c>
      <c r="O511" s="5">
        <v>67.557775419999999</v>
      </c>
      <c r="P511" s="2">
        <v>19689</v>
      </c>
      <c r="Q511" s="7">
        <f t="shared" si="141"/>
        <v>328.15</v>
      </c>
      <c r="R511" s="6">
        <f t="shared" si="142"/>
        <v>14.862480010597158</v>
      </c>
      <c r="S511" s="6">
        <f t="shared" si="143"/>
        <v>139.26009728431822</v>
      </c>
      <c r="T511" s="2">
        <f t="shared" si="144"/>
        <v>1</v>
      </c>
      <c r="U511" s="6">
        <f t="shared" si="145"/>
        <v>139.26009728431822</v>
      </c>
      <c r="V511">
        <f>IF((R511-$AB$774)/($Z$773-$AB$774)&lt;0, 0, IF((R511-$AB$774)/($Z$773-$AB$774)&gt;1, 1, (R511-$AB$774)/($Z$773-$AB$774)))</f>
        <v>0</v>
      </c>
      <c r="W511" s="6">
        <f t="shared" si="146"/>
        <v>0</v>
      </c>
      <c r="AK511" s="78">
        <v>45037.010416666664</v>
      </c>
      <c r="AL511" s="5">
        <v>4.1133388230819003E-2</v>
      </c>
      <c r="AM511" s="5">
        <v>73.868067069999995</v>
      </c>
      <c r="AN511" s="2">
        <v>21566</v>
      </c>
      <c r="AO511" s="7">
        <f t="shared" si="151"/>
        <v>359.43333333333334</v>
      </c>
      <c r="AP511" s="5">
        <f t="shared" si="147"/>
        <v>14.784710843097377</v>
      </c>
      <c r="AQ511" s="6">
        <f t="shared" si="148"/>
        <v>138.90278007603979</v>
      </c>
      <c r="AR511" s="2">
        <f t="shared" si="149"/>
        <v>-2.1301186875174403</v>
      </c>
      <c r="AS511" s="2">
        <f t="shared" si="150"/>
        <v>-295.87940758809754</v>
      </c>
    </row>
    <row r="512" spans="13:45" x14ac:dyDescent="0.3">
      <c r="M512" s="78">
        <v>45038.020833333336</v>
      </c>
      <c r="N512" s="5">
        <v>4.2917238964083997E-2</v>
      </c>
      <c r="O512" s="5">
        <v>66.195962919999999</v>
      </c>
      <c r="P512" s="2">
        <v>19777</v>
      </c>
      <c r="Q512" s="7">
        <f t="shared" si="141"/>
        <v>329.61666666666667</v>
      </c>
      <c r="R512" s="6">
        <f t="shared" si="142"/>
        <v>14.146237249878153</v>
      </c>
      <c r="S512" s="6">
        <f t="shared" si="143"/>
        <v>135.93223566686351</v>
      </c>
      <c r="T512" s="2">
        <f t="shared" si="144"/>
        <v>1</v>
      </c>
      <c r="U512" s="6">
        <f t="shared" si="145"/>
        <v>135.93223566686351</v>
      </c>
      <c r="V512">
        <f>IF((R512-$AB$774)/($Z$773-$AB$774)&lt;0, 0, IF((R512-$AB$774)/($Z$773-$AB$774)&gt;1, 1, (R512-$AB$774)/($Z$773-$AB$774)))</f>
        <v>0</v>
      </c>
      <c r="W512" s="6">
        <f t="shared" si="146"/>
        <v>0</v>
      </c>
      <c r="AK512" s="78">
        <v>45037.020833333336</v>
      </c>
      <c r="AL512" s="5">
        <v>4.2746409986562303E-2</v>
      </c>
      <c r="AM512" s="5">
        <v>75.208694050000005</v>
      </c>
      <c r="AN512" s="2">
        <v>20907</v>
      </c>
      <c r="AO512" s="7">
        <f t="shared" si="151"/>
        <v>348.45</v>
      </c>
      <c r="AP512" s="5">
        <f t="shared" si="147"/>
        <v>14.894986559817633</v>
      </c>
      <c r="AQ512" s="6">
        <f t="shared" si="148"/>
        <v>139.40916864765245</v>
      </c>
      <c r="AR512" s="2">
        <f t="shared" si="149"/>
        <v>-2.1301186875174403</v>
      </c>
      <c r="AS512" s="2">
        <f t="shared" si="150"/>
        <v>-296.95807534763492</v>
      </c>
    </row>
    <row r="513" spans="13:45" x14ac:dyDescent="0.3">
      <c r="M513" s="78">
        <v>45038.03125</v>
      </c>
      <c r="N513" s="5">
        <v>4.5557018986710503E-2</v>
      </c>
      <c r="O513" s="5">
        <v>66.195962919999999</v>
      </c>
      <c r="P513" s="2">
        <v>19360</v>
      </c>
      <c r="Q513" s="7">
        <f t="shared" si="141"/>
        <v>322.66666666666669</v>
      </c>
      <c r="R513" s="6">
        <f t="shared" si="142"/>
        <v>14.699731459711924</v>
      </c>
      <c r="S513" s="6">
        <f t="shared" si="143"/>
        <v>138.51123652380545</v>
      </c>
      <c r="T513" s="2">
        <f t="shared" si="144"/>
        <v>1</v>
      </c>
      <c r="U513" s="6">
        <f t="shared" si="145"/>
        <v>138.51123652380545</v>
      </c>
      <c r="V513">
        <f>IF((R513-$AB$774)/($Z$773-$AB$774)&lt;0, 0, IF((R513-$AB$774)/($Z$773-$AB$774)&gt;1, 1, (R513-$AB$774)/($Z$773-$AB$774)))</f>
        <v>0</v>
      </c>
      <c r="W513" s="6">
        <f t="shared" si="146"/>
        <v>0</v>
      </c>
      <c r="AK513" s="78">
        <v>45037.03125</v>
      </c>
      <c r="AL513" s="5">
        <v>4.1592603152006101E-2</v>
      </c>
      <c r="AM513" s="5">
        <v>74.312865549999998</v>
      </c>
      <c r="AN513" s="2">
        <v>20769</v>
      </c>
      <c r="AO513" s="7">
        <f t="shared" si="151"/>
        <v>346.15</v>
      </c>
      <c r="AP513" s="5">
        <f t="shared" si="147"/>
        <v>14.397279581066911</v>
      </c>
      <c r="AQ513" s="6">
        <f t="shared" si="148"/>
        <v>137.10822967857183</v>
      </c>
      <c r="AR513" s="2">
        <f t="shared" si="149"/>
        <v>-2.1301186875174403</v>
      </c>
      <c r="AS513" s="2">
        <f t="shared" si="150"/>
        <v>-292.05680225075918</v>
      </c>
    </row>
    <row r="514" spans="13:45" x14ac:dyDescent="0.3">
      <c r="M514" s="78">
        <v>45038.041666666664</v>
      </c>
      <c r="N514" s="5">
        <v>4.5721255773365499E-2</v>
      </c>
      <c r="O514" s="5">
        <v>74.312865549999998</v>
      </c>
      <c r="P514" s="2">
        <v>19209</v>
      </c>
      <c r="Q514" s="7">
        <f t="shared" si="141"/>
        <v>320.14999999999998</v>
      </c>
      <c r="R514" s="6">
        <f t="shared" si="142"/>
        <v>14.637660035842963</v>
      </c>
      <c r="S514" s="6">
        <f t="shared" si="143"/>
        <v>138.22451118704527</v>
      </c>
      <c r="T514" s="2">
        <f t="shared" si="144"/>
        <v>1</v>
      </c>
      <c r="U514" s="6">
        <f t="shared" si="145"/>
        <v>138.22451118704527</v>
      </c>
      <c r="V514">
        <f>IF((R514-$AB$774)/($Z$773-$AB$774)&lt;0, 0, IF((R514-$AB$774)/($Z$773-$AB$774)&gt;1, 1, (R514-$AB$774)/($Z$773-$AB$774)))</f>
        <v>0</v>
      </c>
      <c r="W514" s="6">
        <f t="shared" si="146"/>
        <v>0</v>
      </c>
      <c r="AK514" s="78">
        <v>45037.041666666664</v>
      </c>
      <c r="AL514" s="5">
        <v>4.5804798261462797E-2</v>
      </c>
      <c r="AM514" s="5">
        <v>73.868067069999995</v>
      </c>
      <c r="AN514" s="2">
        <v>20835</v>
      </c>
      <c r="AO514" s="7">
        <f t="shared" si="151"/>
        <v>347.25</v>
      </c>
      <c r="AP514" s="5">
        <f t="shared" si="147"/>
        <v>15.905716196292957</v>
      </c>
      <c r="AQ514" s="6">
        <f t="shared" si="148"/>
        <v>143.96410080284656</v>
      </c>
      <c r="AR514" s="2">
        <f t="shared" si="149"/>
        <v>-2.1301186875174403</v>
      </c>
      <c r="AS514" s="2">
        <f t="shared" si="150"/>
        <v>-306.66062145178796</v>
      </c>
    </row>
    <row r="515" spans="13:45" x14ac:dyDescent="0.3">
      <c r="M515" s="78">
        <v>45038.052083333336</v>
      </c>
      <c r="N515" s="5">
        <v>4.4166283830441001E-2</v>
      </c>
      <c r="O515" s="5">
        <v>68.466857000000005</v>
      </c>
      <c r="P515" s="2">
        <v>19772</v>
      </c>
      <c r="Q515" s="7">
        <f t="shared" si="141"/>
        <v>329.53333333333336</v>
      </c>
      <c r="R515" s="6">
        <f t="shared" si="142"/>
        <v>14.554262731591326</v>
      </c>
      <c r="S515" s="6">
        <f t="shared" si="143"/>
        <v>137.83829700710399</v>
      </c>
      <c r="T515" s="2">
        <f t="shared" si="144"/>
        <v>1</v>
      </c>
      <c r="U515" s="6">
        <f t="shared" si="145"/>
        <v>137.83829700710399</v>
      </c>
      <c r="V515">
        <f>IF((R515-$AB$774)/($Z$773-$AB$774)&lt;0, 0, IF((R515-$AB$774)/($Z$773-$AB$774)&gt;1, 1, (R515-$AB$774)/($Z$773-$AB$774)))</f>
        <v>0</v>
      </c>
      <c r="W515" s="6">
        <f t="shared" si="146"/>
        <v>0</v>
      </c>
      <c r="AK515" s="78">
        <v>45037.052083333336</v>
      </c>
      <c r="AL515" s="5">
        <v>4.7355250274538303E-2</v>
      </c>
      <c r="AM515" s="5">
        <v>77.435049230000004</v>
      </c>
      <c r="AN515" s="2">
        <v>20456</v>
      </c>
      <c r="AO515" s="7">
        <f t="shared" si="151"/>
        <v>340.93333333333334</v>
      </c>
      <c r="AP515" s="5">
        <f t="shared" si="147"/>
        <v>16.144983326932593</v>
      </c>
      <c r="AQ515" s="6">
        <f t="shared" si="148"/>
        <v>145.02056934836287</v>
      </c>
      <c r="AR515" s="2">
        <f t="shared" si="149"/>
        <v>-2.1301186875174403</v>
      </c>
      <c r="AS515" s="2">
        <f t="shared" si="150"/>
        <v>-308.91102484336665</v>
      </c>
    </row>
    <row r="516" spans="13:45" x14ac:dyDescent="0.3">
      <c r="M516" s="78">
        <v>45038.0625</v>
      </c>
      <c r="N516" s="5">
        <v>4.3885260926528703E-2</v>
      </c>
      <c r="O516" s="5">
        <v>69.822823</v>
      </c>
      <c r="P516" s="2">
        <v>19804</v>
      </c>
      <c r="Q516" s="7">
        <f t="shared" ref="Q516:Q579" si="152">P516/60</f>
        <v>330.06666666666666</v>
      </c>
      <c r="R516" s="6">
        <f t="shared" ref="R516:R579" si="153">N516*Q516</f>
        <v>14.485061789816241</v>
      </c>
      <c r="S516" s="6">
        <f t="shared" ref="S516:S579" si="154">37.141*R516^0.4897</f>
        <v>137.51696823895426</v>
      </c>
      <c r="T516" s="2">
        <f t="shared" ref="T516:T579" si="155">IF((O516-$R$1)/($P$1-$R$1)&lt;0, 0, IF((O516-$R$1)/($P$1-$R$1)&gt;1, 1, (O516-$R$1)/($P$1-$R$1)))</f>
        <v>1</v>
      </c>
      <c r="U516" s="6">
        <f t="shared" ref="U516:U579" si="156">S516*T516</f>
        <v>137.51696823895426</v>
      </c>
      <c r="V516">
        <f>IF((R516-$AB$774)/($Z$773-$AB$774)&lt;0, 0, IF((R516-$AB$774)/($Z$773-$AB$774)&gt;1, 1, (R516-$AB$774)/($Z$773-$AB$774)))</f>
        <v>0</v>
      </c>
      <c r="W516" s="6">
        <f t="shared" ref="W516:W579" si="157">S516*V516</f>
        <v>0</v>
      </c>
      <c r="AK516" s="78">
        <v>45037.0625</v>
      </c>
      <c r="AL516" s="5">
        <v>4.3236752412736799E-2</v>
      </c>
      <c r="AM516" s="5">
        <v>79.648616399999995</v>
      </c>
      <c r="AN516" s="2">
        <v>20749</v>
      </c>
      <c r="AO516" s="7">
        <f t="shared" si="151"/>
        <v>345.81666666666666</v>
      </c>
      <c r="AP516" s="5">
        <f t="shared" ref="AP516:AP579" si="158">AO516*AL516</f>
        <v>14.951989596864598</v>
      </c>
      <c r="AQ516" s="6">
        <f t="shared" ref="AQ516:AQ579" si="159">37.141*AP516^0.4897</f>
        <v>139.6701778738298</v>
      </c>
      <c r="AR516" s="2">
        <f t="shared" ref="AR516:AR579" si="160">IF((AM516-$AP$1)/($AN$1-$AP$1)&lt;0, 0, IF((AA516-$AP$1)/($AN$1-$AP$1)&gt;1, 1, (AA516-$AP$1)/($AN$1-$AP$1)))</f>
        <v>-2.1301186875174403</v>
      </c>
      <c r="AS516" s="2">
        <f t="shared" ref="AS516:AS579" si="161">AQ516*AR516</f>
        <v>-297.51405597792979</v>
      </c>
    </row>
    <row r="517" spans="13:45" x14ac:dyDescent="0.3">
      <c r="M517" s="78">
        <v>45038.072916666664</v>
      </c>
      <c r="N517" s="5">
        <v>4.5538895977764601E-2</v>
      </c>
      <c r="O517" s="5">
        <v>72.077340390000003</v>
      </c>
      <c r="P517" s="2">
        <v>19869</v>
      </c>
      <c r="Q517" s="7">
        <f t="shared" si="152"/>
        <v>331.15</v>
      </c>
      <c r="R517" s="6">
        <f t="shared" si="153"/>
        <v>15.080205403036747</v>
      </c>
      <c r="S517" s="6">
        <f t="shared" si="154"/>
        <v>140.25541140767675</v>
      </c>
      <c r="T517" s="2">
        <f t="shared" si="155"/>
        <v>1</v>
      </c>
      <c r="U517" s="6">
        <f t="shared" si="156"/>
        <v>140.25541140767675</v>
      </c>
      <c r="V517">
        <f>IF((R517-$AB$774)/($Z$773-$AB$774)&lt;0, 0, IF((R517-$AB$774)/($Z$773-$AB$774)&gt;1, 1, (R517-$AB$774)/($Z$773-$AB$774)))</f>
        <v>3.4212721441858503E-2</v>
      </c>
      <c r="W517" s="6">
        <f t="shared" si="157"/>
        <v>4.7985193212041075</v>
      </c>
      <c r="AK517" s="78">
        <v>45037.072916666664</v>
      </c>
      <c r="AL517" s="5">
        <v>4.4038201875614802E-2</v>
      </c>
      <c r="AM517" s="5">
        <v>82.284398269999997</v>
      </c>
      <c r="AN517" s="2">
        <v>20948</v>
      </c>
      <c r="AO517" s="7">
        <f t="shared" si="151"/>
        <v>349.13333333333333</v>
      </c>
      <c r="AP517" s="5">
        <f t="shared" si="158"/>
        <v>15.375204214839648</v>
      </c>
      <c r="AQ517" s="6">
        <f t="shared" si="159"/>
        <v>141.59234808587343</v>
      </c>
      <c r="AR517" s="2">
        <f t="shared" si="160"/>
        <v>-2.1301186875174403</v>
      </c>
      <c r="AS517" s="2">
        <f t="shared" si="161"/>
        <v>-301.60850666719324</v>
      </c>
    </row>
    <row r="518" spans="13:45" x14ac:dyDescent="0.3">
      <c r="M518" s="78">
        <v>45038.083333333336</v>
      </c>
      <c r="N518" s="5">
        <v>4.6284690773693203E-2</v>
      </c>
      <c r="O518" s="5">
        <v>72.523974480000007</v>
      </c>
      <c r="P518" s="2">
        <v>19339</v>
      </c>
      <c r="Q518" s="7">
        <f t="shared" si="152"/>
        <v>322.31666666666666</v>
      </c>
      <c r="R518" s="6">
        <f t="shared" si="153"/>
        <v>14.918327247874213</v>
      </c>
      <c r="S518" s="6">
        <f t="shared" si="154"/>
        <v>139.51610403349889</v>
      </c>
      <c r="T518" s="2">
        <f t="shared" si="155"/>
        <v>1</v>
      </c>
      <c r="U518" s="6">
        <f t="shared" si="156"/>
        <v>139.51610403349889</v>
      </c>
      <c r="V518">
        <f>IF((R518-$AB$774)/($Z$773-$AB$774)&lt;0, 0, IF((R518-$AB$774)/($Z$773-$AB$774)&gt;1, 1, (R518-$AB$774)/($Z$773-$AB$774)))</f>
        <v>4.5810124816152648E-3</v>
      </c>
      <c r="W518" s="6">
        <f t="shared" si="157"/>
        <v>0.63912501396379218</v>
      </c>
      <c r="AK518" s="78">
        <v>45037.083333333336</v>
      </c>
      <c r="AL518" s="5">
        <v>4.4342327068721099E-2</v>
      </c>
      <c r="AM518" s="5">
        <v>73.868067069999995</v>
      </c>
      <c r="AN518" s="2">
        <v>20408</v>
      </c>
      <c r="AO518" s="7">
        <f t="shared" si="151"/>
        <v>340.13333333333333</v>
      </c>
      <c r="AP518" s="5">
        <f t="shared" si="158"/>
        <v>15.082303513641003</v>
      </c>
      <c r="AQ518" s="6">
        <f t="shared" si="159"/>
        <v>140.26496695210392</v>
      </c>
      <c r="AR518" s="2">
        <f t="shared" si="160"/>
        <v>-2.1301186875174403</v>
      </c>
      <c r="AS518" s="2">
        <f t="shared" si="161"/>
        <v>-298.78102730869273</v>
      </c>
    </row>
    <row r="519" spans="13:45" x14ac:dyDescent="0.3">
      <c r="M519" s="78">
        <v>45038.09375</v>
      </c>
      <c r="N519" s="5">
        <v>4.5005674158774898E-2</v>
      </c>
      <c r="O519" s="5">
        <v>66.203758769999993</v>
      </c>
      <c r="P519" s="2">
        <v>20172</v>
      </c>
      <c r="Q519" s="7">
        <f t="shared" si="152"/>
        <v>336.2</v>
      </c>
      <c r="R519" s="6">
        <f t="shared" si="153"/>
        <v>15.13090765218012</v>
      </c>
      <c r="S519" s="6">
        <f t="shared" si="154"/>
        <v>140.48613797524325</v>
      </c>
      <c r="T519" s="2">
        <f t="shared" si="155"/>
        <v>1</v>
      </c>
      <c r="U519" s="6">
        <f t="shared" si="156"/>
        <v>140.48613797524325</v>
      </c>
      <c r="V519">
        <f>IF((R519-$AB$774)/($Z$773-$AB$774)&lt;0, 0, IF((R519-$AB$774)/($Z$773-$AB$774)&gt;1, 1, (R519-$AB$774)/($Z$773-$AB$774)))</f>
        <v>4.349374079087269E-2</v>
      </c>
      <c r="W519" s="6">
        <f t="shared" si="157"/>
        <v>6.1102676698060066</v>
      </c>
      <c r="AK519" s="78">
        <v>45037.09375</v>
      </c>
      <c r="AL519" s="5">
        <v>4.6573845651520597E-2</v>
      </c>
      <c r="AM519" s="5">
        <v>75.208694050000005</v>
      </c>
      <c r="AN519" s="2">
        <v>20830</v>
      </c>
      <c r="AO519" s="7">
        <f t="shared" si="151"/>
        <v>347.16666666666669</v>
      </c>
      <c r="AP519" s="5">
        <f t="shared" si="158"/>
        <v>16.168886748686234</v>
      </c>
      <c r="AQ519" s="6">
        <f t="shared" si="159"/>
        <v>145.12567309911358</v>
      </c>
      <c r="AR519" s="2">
        <f t="shared" si="160"/>
        <v>-2.1301186875174403</v>
      </c>
      <c r="AS519" s="2">
        <f t="shared" si="161"/>
        <v>-309.1349083069689</v>
      </c>
    </row>
    <row r="520" spans="13:45" x14ac:dyDescent="0.3">
      <c r="M520" s="78">
        <v>45038.104166666664</v>
      </c>
      <c r="N520" s="5">
        <v>4.34703194776399E-2</v>
      </c>
      <c r="O520" s="5">
        <v>71.17580074</v>
      </c>
      <c r="P520" s="2">
        <v>19927</v>
      </c>
      <c r="Q520" s="7">
        <f t="shared" si="152"/>
        <v>332.11666666666667</v>
      </c>
      <c r="R520" s="6">
        <f t="shared" si="153"/>
        <v>14.437217603848838</v>
      </c>
      <c r="S520" s="6">
        <f t="shared" si="154"/>
        <v>137.29434952351801</v>
      </c>
      <c r="T520" s="2">
        <f t="shared" si="155"/>
        <v>1</v>
      </c>
      <c r="U520" s="6">
        <f t="shared" si="156"/>
        <v>137.29434952351801</v>
      </c>
      <c r="V520">
        <f>IF((R520-$AB$774)/($Z$773-$AB$774)&lt;0, 0, IF((R520-$AB$774)/($Z$773-$AB$774)&gt;1, 1, (R520-$AB$774)/($Z$773-$AB$774)))</f>
        <v>0</v>
      </c>
      <c r="W520" s="6">
        <f t="shared" si="157"/>
        <v>0</v>
      </c>
      <c r="AK520" s="78">
        <v>45037.104166666664</v>
      </c>
      <c r="AL520" s="5">
        <v>4.3367058461451398E-2</v>
      </c>
      <c r="AM520" s="5">
        <v>77.435049230000004</v>
      </c>
      <c r="AN520" s="2">
        <v>21081</v>
      </c>
      <c r="AO520" s="7">
        <f t="shared" si="151"/>
        <v>351.35</v>
      </c>
      <c r="AP520" s="5">
        <f t="shared" si="158"/>
        <v>15.237015990430949</v>
      </c>
      <c r="AQ520" s="6">
        <f t="shared" si="159"/>
        <v>140.96772310986699</v>
      </c>
      <c r="AR520" s="2">
        <f t="shared" si="160"/>
        <v>-2.1301186875174403</v>
      </c>
      <c r="AS520" s="2">
        <f t="shared" si="161"/>
        <v>-300.27798133311182</v>
      </c>
    </row>
    <row r="521" spans="13:45" x14ac:dyDescent="0.3">
      <c r="M521" s="78">
        <v>45038.114583333336</v>
      </c>
      <c r="N521" s="5">
        <v>4.7061926932466303E-2</v>
      </c>
      <c r="O521" s="5">
        <v>70.720093730000002</v>
      </c>
      <c r="P521" s="2">
        <v>19673</v>
      </c>
      <c r="Q521" s="7">
        <f t="shared" si="152"/>
        <v>327.88333333333333</v>
      </c>
      <c r="R521" s="6">
        <f t="shared" si="153"/>
        <v>15.430821475706825</v>
      </c>
      <c r="S521" s="6">
        <f t="shared" si="154"/>
        <v>141.84293494775054</v>
      </c>
      <c r="T521" s="2">
        <f t="shared" si="155"/>
        <v>1</v>
      </c>
      <c r="U521" s="6">
        <f t="shared" si="156"/>
        <v>141.84293494775054</v>
      </c>
      <c r="V521">
        <f>IF((R521-$AB$774)/($Z$773-$AB$774)&lt;0, 0, IF((R521-$AB$774)/($Z$773-$AB$774)&gt;1, 1, (R521-$AB$774)/($Z$773-$AB$774)))</f>
        <v>9.839280436726533E-2</v>
      </c>
      <c r="W521" s="6">
        <f t="shared" si="157"/>
        <v>13.956324149192762</v>
      </c>
      <c r="AK521" s="78">
        <v>45037.114583333336</v>
      </c>
      <c r="AL521" s="5">
        <v>4.3759731885405502E-2</v>
      </c>
      <c r="AM521" s="5">
        <v>76.544179459999995</v>
      </c>
      <c r="AN521" s="2">
        <v>20606</v>
      </c>
      <c r="AO521" s="7">
        <f t="shared" si="151"/>
        <v>343.43333333333334</v>
      </c>
      <c r="AP521" s="5">
        <f t="shared" si="158"/>
        <v>15.028550587177763</v>
      </c>
      <c r="AQ521" s="6">
        <f t="shared" si="159"/>
        <v>140.01994262239899</v>
      </c>
      <c r="AR521" s="2">
        <f t="shared" si="160"/>
        <v>-2.1301186875174403</v>
      </c>
      <c r="AS521" s="2">
        <f t="shared" si="161"/>
        <v>-298.25909640509184</v>
      </c>
    </row>
    <row r="522" spans="13:45" x14ac:dyDescent="0.3">
      <c r="M522" s="78">
        <v>45038.125</v>
      </c>
      <c r="N522" s="5">
        <v>4.3656561782316597E-2</v>
      </c>
      <c r="O522" s="5">
        <v>74.312865549999998</v>
      </c>
      <c r="P522" s="2">
        <v>19228</v>
      </c>
      <c r="Q522" s="7">
        <f t="shared" si="152"/>
        <v>320.46666666666664</v>
      </c>
      <c r="R522" s="6">
        <f t="shared" si="153"/>
        <v>13.990472832506391</v>
      </c>
      <c r="S522" s="6">
        <f t="shared" si="154"/>
        <v>135.1972056158468</v>
      </c>
      <c r="T522" s="2">
        <f t="shared" si="155"/>
        <v>1</v>
      </c>
      <c r="U522" s="6">
        <f t="shared" si="156"/>
        <v>135.1972056158468</v>
      </c>
      <c r="V522">
        <f>IF((R522-$AB$774)/($Z$773-$AB$774)&lt;0, 0, IF((R522-$AB$774)/($Z$773-$AB$774)&gt;1, 1, (R522-$AB$774)/($Z$773-$AB$774)))</f>
        <v>0</v>
      </c>
      <c r="W522" s="6">
        <f t="shared" si="157"/>
        <v>0</v>
      </c>
      <c r="AK522" s="78">
        <v>45037.125</v>
      </c>
      <c r="AL522" s="5">
        <v>4.2795997344061802E-2</v>
      </c>
      <c r="AM522" s="5">
        <v>76.544179459999995</v>
      </c>
      <c r="AN522" s="2">
        <v>21737</v>
      </c>
      <c r="AO522" s="7">
        <f t="shared" si="151"/>
        <v>362.28333333333336</v>
      </c>
      <c r="AP522" s="5">
        <f t="shared" si="158"/>
        <v>15.504276571131191</v>
      </c>
      <c r="AQ522" s="6">
        <f t="shared" si="159"/>
        <v>142.17318595164591</v>
      </c>
      <c r="AR522" s="2">
        <f t="shared" si="160"/>
        <v>-2.1301186875174403</v>
      </c>
      <c r="AS522" s="2">
        <f t="shared" si="161"/>
        <v>-302.84576025949298</v>
      </c>
    </row>
    <row r="523" spans="13:45" x14ac:dyDescent="0.3">
      <c r="M523" s="78">
        <v>45038.135416666664</v>
      </c>
      <c r="N523" s="5">
        <v>4.5949488512810097E-2</v>
      </c>
      <c r="O523" s="5">
        <v>66.195962919999999</v>
      </c>
      <c r="P523" s="2">
        <v>19472</v>
      </c>
      <c r="Q523" s="7">
        <f t="shared" si="152"/>
        <v>324.53333333333336</v>
      </c>
      <c r="R523" s="6">
        <f t="shared" si="153"/>
        <v>14.912140672023972</v>
      </c>
      <c r="S523" s="6">
        <f t="shared" si="154"/>
        <v>139.48776855073612</v>
      </c>
      <c r="T523" s="2">
        <f t="shared" si="155"/>
        <v>1</v>
      </c>
      <c r="U523" s="6">
        <f t="shared" si="156"/>
        <v>139.48776855073612</v>
      </c>
      <c r="V523">
        <f>IF((R523-$AB$774)/($Z$773-$AB$774)&lt;0, 0, IF((R523-$AB$774)/($Z$773-$AB$774)&gt;1, 1, (R523-$AB$774)/($Z$773-$AB$774)))</f>
        <v>3.448563110229905E-3</v>
      </c>
      <c r="W523" s="6">
        <f t="shared" si="157"/>
        <v>0.48103237295235568</v>
      </c>
      <c r="AK523" s="78">
        <v>45037.135416666664</v>
      </c>
      <c r="AL523" s="5">
        <v>4.1851304811576201E-2</v>
      </c>
      <c r="AM523" s="5">
        <v>72.977848870000003</v>
      </c>
      <c r="AN523" s="2">
        <v>21243</v>
      </c>
      <c r="AO523" s="7">
        <f t="shared" si="151"/>
        <v>354.05</v>
      </c>
      <c r="AP523" s="5">
        <f t="shared" si="158"/>
        <v>14.817454468538555</v>
      </c>
      <c r="AQ523" s="6">
        <f t="shared" si="159"/>
        <v>139.05334013072573</v>
      </c>
      <c r="AR523" s="2">
        <f t="shared" si="160"/>
        <v>-2.1301186875174403</v>
      </c>
      <c r="AS523" s="2">
        <f t="shared" si="161"/>
        <v>-296.20011837417769</v>
      </c>
    </row>
    <row r="524" spans="13:45" x14ac:dyDescent="0.3">
      <c r="M524" s="78">
        <v>45038.145833333336</v>
      </c>
      <c r="N524" s="5">
        <v>4.619806825245E-2</v>
      </c>
      <c r="O524" s="5">
        <v>72.069636250000002</v>
      </c>
      <c r="P524" s="2">
        <v>19613</v>
      </c>
      <c r="Q524" s="7">
        <f t="shared" si="152"/>
        <v>326.88333333333333</v>
      </c>
      <c r="R524" s="6">
        <f t="shared" si="153"/>
        <v>15.101378543921697</v>
      </c>
      <c r="S524" s="6">
        <f t="shared" si="154"/>
        <v>140.3518103483176</v>
      </c>
      <c r="T524" s="2">
        <f t="shared" si="155"/>
        <v>1</v>
      </c>
      <c r="U524" s="6">
        <f t="shared" si="156"/>
        <v>140.3518103483176</v>
      </c>
      <c r="V524">
        <f>IF((R524-$AB$774)/($Z$773-$AB$774)&lt;0, 0, IF((R524-$AB$774)/($Z$773-$AB$774)&gt;1, 1, (R524-$AB$774)/($Z$773-$AB$774)))</f>
        <v>3.8088453456762907E-2</v>
      </c>
      <c r="W524" s="6">
        <f t="shared" si="157"/>
        <v>5.3457833960243093</v>
      </c>
      <c r="AK524" s="78">
        <v>45037.145833333336</v>
      </c>
      <c r="AL524" s="5">
        <v>4.2719889813916501E-2</v>
      </c>
      <c r="AM524" s="5">
        <v>77.427442880000001</v>
      </c>
      <c r="AN524" s="2">
        <v>20922</v>
      </c>
      <c r="AO524" s="7">
        <f t="shared" si="151"/>
        <v>348.7</v>
      </c>
      <c r="AP524" s="5">
        <f t="shared" si="158"/>
        <v>14.896425578112684</v>
      </c>
      <c r="AQ524" s="6">
        <f t="shared" si="159"/>
        <v>139.41576398380997</v>
      </c>
      <c r="AR524" s="2">
        <f t="shared" si="160"/>
        <v>-2.1301186875174403</v>
      </c>
      <c r="AS524" s="2">
        <f t="shared" si="161"/>
        <v>-296.97212419643449</v>
      </c>
    </row>
    <row r="525" spans="13:45" x14ac:dyDescent="0.3">
      <c r="M525" s="78">
        <v>45038.15625</v>
      </c>
      <c r="N525" s="5">
        <v>4.9294298058308997E-2</v>
      </c>
      <c r="O525" s="5">
        <v>74.312865549999998</v>
      </c>
      <c r="P525" s="2">
        <v>19051</v>
      </c>
      <c r="Q525" s="7">
        <f t="shared" si="152"/>
        <v>317.51666666666665</v>
      </c>
      <c r="R525" s="6">
        <f t="shared" si="153"/>
        <v>15.651761205147411</v>
      </c>
      <c r="S525" s="6">
        <f t="shared" si="154"/>
        <v>142.83386834388327</v>
      </c>
      <c r="T525" s="2">
        <f t="shared" si="155"/>
        <v>1</v>
      </c>
      <c r="U525" s="6">
        <f t="shared" si="156"/>
        <v>142.83386834388327</v>
      </c>
      <c r="V525">
        <f>IF((R525-$AB$774)/($Z$773-$AB$774)&lt;0, 0, IF((R525-$AB$774)/($Z$773-$AB$774)&gt;1, 1, (R525-$AB$774)/($Z$773-$AB$774)))</f>
        <v>0.13883570263210535</v>
      </c>
      <c r="W525" s="6">
        <f t="shared" si="157"/>
        <v>19.830440471184662</v>
      </c>
      <c r="AK525" s="78">
        <v>45037.15625</v>
      </c>
      <c r="AL525" s="5">
        <v>4.2948769027049E-2</v>
      </c>
      <c r="AM525" s="5">
        <v>76.544179459999995</v>
      </c>
      <c r="AN525" s="2">
        <v>21290</v>
      </c>
      <c r="AO525" s="7">
        <f t="shared" si="151"/>
        <v>354.83333333333331</v>
      </c>
      <c r="AP525" s="5">
        <f t="shared" si="158"/>
        <v>15.239654876431219</v>
      </c>
      <c r="AQ525" s="6">
        <f t="shared" si="159"/>
        <v>140.97967815734177</v>
      </c>
      <c r="AR525" s="2">
        <f t="shared" si="160"/>
        <v>-2.1301186875174403</v>
      </c>
      <c r="AS525" s="2">
        <f t="shared" si="161"/>
        <v>-300.30344700314799</v>
      </c>
    </row>
    <row r="526" spans="13:45" x14ac:dyDescent="0.3">
      <c r="M526" s="78">
        <v>45038.166666666664</v>
      </c>
      <c r="N526" s="5">
        <v>4.7076772438016397E-2</v>
      </c>
      <c r="O526" s="5">
        <v>73.415890989999994</v>
      </c>
      <c r="P526" s="2">
        <v>19843</v>
      </c>
      <c r="Q526" s="7">
        <f t="shared" si="152"/>
        <v>330.71666666666664</v>
      </c>
      <c r="R526" s="6">
        <f t="shared" si="153"/>
        <v>15.569073258125988</v>
      </c>
      <c r="S526" s="6">
        <f t="shared" si="154"/>
        <v>142.46384691791707</v>
      </c>
      <c r="T526" s="2">
        <f t="shared" si="155"/>
        <v>1</v>
      </c>
      <c r="U526" s="6">
        <f t="shared" si="156"/>
        <v>142.46384691791707</v>
      </c>
      <c r="V526">
        <f>IF((R526-$AB$774)/($Z$773-$AB$774)&lt;0, 0, IF((R526-$AB$774)/($Z$773-$AB$774)&gt;1, 1, (R526-$AB$774)/($Z$773-$AB$774)))</f>
        <v>0.12369971854457533</v>
      </c>
      <c r="W526" s="6">
        <f t="shared" si="157"/>
        <v>17.622737766523805</v>
      </c>
      <c r="AK526" s="78">
        <v>45037.166666666664</v>
      </c>
      <c r="AL526" s="5">
        <v>4.3452749320416699E-2</v>
      </c>
      <c r="AM526" s="5">
        <v>77.427442880000001</v>
      </c>
      <c r="AN526" s="2">
        <v>20872</v>
      </c>
      <c r="AO526" s="7">
        <f t="shared" si="151"/>
        <v>347.86666666666667</v>
      </c>
      <c r="AP526" s="5">
        <f t="shared" si="158"/>
        <v>15.115763063595622</v>
      </c>
      <c r="AQ526" s="6">
        <f t="shared" si="159"/>
        <v>140.41726211611433</v>
      </c>
      <c r="AR526" s="2">
        <f t="shared" si="160"/>
        <v>-2.1301186875174403</v>
      </c>
      <c r="AS526" s="2">
        <f t="shared" si="161"/>
        <v>-299.10543408356983</v>
      </c>
    </row>
    <row r="527" spans="13:45" x14ac:dyDescent="0.3">
      <c r="M527" s="78">
        <v>45038.177083333336</v>
      </c>
      <c r="N527" s="5">
        <v>4.4724558283883699E-2</v>
      </c>
      <c r="O527" s="5">
        <v>73.415890989999994</v>
      </c>
      <c r="P527" s="2">
        <v>19070</v>
      </c>
      <c r="Q527" s="7">
        <f t="shared" si="152"/>
        <v>317.83333333333331</v>
      </c>
      <c r="R527" s="6">
        <f t="shared" si="153"/>
        <v>14.214955441227701</v>
      </c>
      <c r="S527" s="6">
        <f t="shared" si="154"/>
        <v>136.2551936646025</v>
      </c>
      <c r="T527" s="2">
        <f t="shared" si="155"/>
        <v>1</v>
      </c>
      <c r="U527" s="6">
        <f t="shared" si="156"/>
        <v>136.2551936646025</v>
      </c>
      <c r="V527">
        <f>IF((R527-$AB$774)/($Z$773-$AB$774)&lt;0, 0, IF((R527-$AB$774)/($Z$773-$AB$774)&gt;1, 1, (R527-$AB$774)/($Z$773-$AB$774)))</f>
        <v>0</v>
      </c>
      <c r="W527" s="6">
        <f t="shared" si="157"/>
        <v>0</v>
      </c>
      <c r="AK527" s="78">
        <v>45037.177083333336</v>
      </c>
      <c r="AL527" s="5">
        <v>4.17588963665163E-2</v>
      </c>
      <c r="AM527" s="5">
        <v>77.427442880000001</v>
      </c>
      <c r="AN527" s="2">
        <v>21062</v>
      </c>
      <c r="AO527" s="7">
        <f t="shared" si="151"/>
        <v>351.03333333333336</v>
      </c>
      <c r="AP527" s="5">
        <f t="shared" si="158"/>
        <v>14.658764587859439</v>
      </c>
      <c r="AQ527" s="6">
        <f t="shared" si="159"/>
        <v>138.32206853121272</v>
      </c>
      <c r="AR527" s="2">
        <f t="shared" si="160"/>
        <v>-2.1301186875174403</v>
      </c>
      <c r="AS527" s="2">
        <f t="shared" si="161"/>
        <v>-294.64242307440429</v>
      </c>
    </row>
    <row r="528" spans="13:45" x14ac:dyDescent="0.3">
      <c r="M528" s="78">
        <v>45038.1875</v>
      </c>
      <c r="N528" s="5">
        <v>4.60943651227965E-2</v>
      </c>
      <c r="O528" s="5">
        <v>65.290959470000004</v>
      </c>
      <c r="P528" s="2">
        <v>20737</v>
      </c>
      <c r="Q528" s="7">
        <f t="shared" si="152"/>
        <v>345.61666666666667</v>
      </c>
      <c r="R528" s="6">
        <f t="shared" si="153"/>
        <v>15.930980825857183</v>
      </c>
      <c r="S528" s="6">
        <f t="shared" si="154"/>
        <v>144.07603637226254</v>
      </c>
      <c r="T528" s="2">
        <f t="shared" si="155"/>
        <v>1</v>
      </c>
      <c r="U528" s="6">
        <f t="shared" si="156"/>
        <v>144.07603637226254</v>
      </c>
      <c r="V528">
        <f>IF((R528-$AB$774)/($Z$773-$AB$774)&lt;0, 0, IF((R528-$AB$774)/($Z$773-$AB$774)&gt;1, 1, (R528-$AB$774)/($Z$773-$AB$774)))</f>
        <v>0.18994670354853077</v>
      </c>
      <c r="W528" s="6">
        <f t="shared" si="157"/>
        <v>27.36676816924949</v>
      </c>
      <c r="AK528" s="78">
        <v>45037.1875</v>
      </c>
      <c r="AL528" s="5">
        <v>4.3916597261183403E-2</v>
      </c>
      <c r="AM528" s="5">
        <v>76.544179459999995</v>
      </c>
      <c r="AN528" s="2">
        <v>21054</v>
      </c>
      <c r="AO528" s="7">
        <f t="shared" si="151"/>
        <v>350.9</v>
      </c>
      <c r="AP528" s="5">
        <f t="shared" si="158"/>
        <v>15.410333978949255</v>
      </c>
      <c r="AQ528" s="6">
        <f t="shared" si="159"/>
        <v>141.75068102113329</v>
      </c>
      <c r="AR528" s="2">
        <f t="shared" si="160"/>
        <v>-2.1301186875174403</v>
      </c>
      <c r="AS528" s="2">
        <f t="shared" si="161"/>
        <v>-301.94577461143979</v>
      </c>
    </row>
    <row r="529" spans="13:45" x14ac:dyDescent="0.3">
      <c r="M529" s="78">
        <v>45038.197916666664</v>
      </c>
      <c r="N529" s="5">
        <v>4.5990427405066397E-2</v>
      </c>
      <c r="O529" s="5">
        <v>72.069636250000002</v>
      </c>
      <c r="P529" s="2">
        <v>19425</v>
      </c>
      <c r="Q529" s="7">
        <f t="shared" si="152"/>
        <v>323.75</v>
      </c>
      <c r="R529" s="6">
        <f t="shared" si="153"/>
        <v>14.889400872390246</v>
      </c>
      <c r="S529" s="6">
        <f t="shared" si="154"/>
        <v>139.38356513718549</v>
      </c>
      <c r="T529" s="2">
        <f t="shared" si="155"/>
        <v>1</v>
      </c>
      <c r="U529" s="6">
        <f t="shared" si="156"/>
        <v>139.38356513718549</v>
      </c>
      <c r="V529">
        <f>IF((R529-$AB$774)/($Z$773-$AB$774)&lt;0, 0, IF((R529-$AB$774)/($Z$773-$AB$774)&gt;1, 1, (R529-$AB$774)/($Z$773-$AB$774)))</f>
        <v>0</v>
      </c>
      <c r="W529" s="6">
        <f t="shared" si="157"/>
        <v>0</v>
      </c>
      <c r="AK529" s="78">
        <v>45037.197916666664</v>
      </c>
      <c r="AL529" s="5">
        <v>4.2091968125059699E-2</v>
      </c>
      <c r="AM529" s="5">
        <v>81.397704649999994</v>
      </c>
      <c r="AN529" s="2">
        <v>21302</v>
      </c>
      <c r="AO529" s="7">
        <f t="shared" si="151"/>
        <v>355.03333333333336</v>
      </c>
      <c r="AP529" s="5">
        <f t="shared" si="158"/>
        <v>14.944051750000362</v>
      </c>
      <c r="AQ529" s="6">
        <f t="shared" si="159"/>
        <v>139.63386201158556</v>
      </c>
      <c r="AR529" s="2">
        <f t="shared" si="160"/>
        <v>-2.1301186875174403</v>
      </c>
      <c r="AS529" s="2">
        <f t="shared" si="161"/>
        <v>-297.43669888110998</v>
      </c>
    </row>
    <row r="530" spans="13:45" x14ac:dyDescent="0.3">
      <c r="M530" s="78">
        <v>45038.208333333336</v>
      </c>
      <c r="N530" s="5">
        <v>4.4072561525103401E-2</v>
      </c>
      <c r="O530" s="5">
        <v>75.652056590000001</v>
      </c>
      <c r="P530" s="2">
        <v>19676</v>
      </c>
      <c r="Q530" s="7">
        <f t="shared" si="152"/>
        <v>327.93333333333334</v>
      </c>
      <c r="R530" s="6">
        <f t="shared" si="153"/>
        <v>14.452862009465576</v>
      </c>
      <c r="S530" s="6">
        <f t="shared" si="154"/>
        <v>137.36718421853314</v>
      </c>
      <c r="T530" s="2">
        <f t="shared" si="155"/>
        <v>1</v>
      </c>
      <c r="U530" s="6">
        <f t="shared" si="156"/>
        <v>137.36718421853314</v>
      </c>
      <c r="V530">
        <f>IF((R530-$AB$774)/($Z$773-$AB$774)&lt;0, 0, IF((R530-$AB$774)/($Z$773-$AB$774)&gt;1, 1, (R530-$AB$774)/($Z$773-$AB$774)))</f>
        <v>0</v>
      </c>
      <c r="W530" s="6">
        <f t="shared" si="157"/>
        <v>0</v>
      </c>
      <c r="AK530" s="78">
        <v>45037.208333333336</v>
      </c>
      <c r="AL530" s="5">
        <v>4.29325883986807E-2</v>
      </c>
      <c r="AM530" s="5">
        <v>78.755362430000005</v>
      </c>
      <c r="AN530" s="2">
        <v>21393</v>
      </c>
      <c r="AO530" s="7">
        <f t="shared" si="151"/>
        <v>356.55</v>
      </c>
      <c r="AP530" s="5">
        <f t="shared" si="158"/>
        <v>15.307614393549605</v>
      </c>
      <c r="AQ530" s="6">
        <f t="shared" si="159"/>
        <v>141.28719467761667</v>
      </c>
      <c r="AR530" s="2">
        <f t="shared" si="160"/>
        <v>-2.1301186875174403</v>
      </c>
      <c r="AS530" s="2">
        <f t="shared" si="161"/>
        <v>-300.9584936897059</v>
      </c>
    </row>
    <row r="531" spans="13:45" x14ac:dyDescent="0.3">
      <c r="M531" s="78">
        <v>45038.21875</v>
      </c>
      <c r="N531" s="5">
        <v>4.2428665026395702E-2</v>
      </c>
      <c r="O531" s="5">
        <v>71.17580074</v>
      </c>
      <c r="P531" s="2">
        <v>20827</v>
      </c>
      <c r="Q531" s="7">
        <f t="shared" si="152"/>
        <v>347.11666666666667</v>
      </c>
      <c r="R531" s="6">
        <f t="shared" si="153"/>
        <v>14.727696775079055</v>
      </c>
      <c r="S531" s="6">
        <f t="shared" si="154"/>
        <v>138.64021426646158</v>
      </c>
      <c r="T531" s="2">
        <f t="shared" si="155"/>
        <v>1</v>
      </c>
      <c r="U531" s="6">
        <f t="shared" si="156"/>
        <v>138.64021426646158</v>
      </c>
      <c r="V531">
        <f>IF((R531-$AB$774)/($Z$773-$AB$774)&lt;0, 0, IF((R531-$AB$774)/($Z$773-$AB$774)&gt;1, 1, (R531-$AB$774)/($Z$773-$AB$774)))</f>
        <v>0</v>
      </c>
      <c r="W531" s="6">
        <f t="shared" si="157"/>
        <v>0</v>
      </c>
      <c r="AK531" s="78">
        <v>45037.21875</v>
      </c>
      <c r="AL531" s="5">
        <v>4.6629981858399699E-2</v>
      </c>
      <c r="AM531" s="5">
        <v>78.755362430000005</v>
      </c>
      <c r="AN531" s="2">
        <v>20704</v>
      </c>
      <c r="AO531" s="7">
        <f t="shared" si="151"/>
        <v>345.06666666666666</v>
      </c>
      <c r="AP531" s="5">
        <f t="shared" si="158"/>
        <v>16.090452406605124</v>
      </c>
      <c r="AQ531" s="6">
        <f t="shared" si="159"/>
        <v>144.78049835885804</v>
      </c>
      <c r="AR531" s="2">
        <f t="shared" si="160"/>
        <v>-2.1301186875174403</v>
      </c>
      <c r="AS531" s="2">
        <f t="shared" si="161"/>
        <v>-308.3996451422916</v>
      </c>
    </row>
    <row r="532" spans="13:45" x14ac:dyDescent="0.3">
      <c r="M532" s="78">
        <v>45038.229166666664</v>
      </c>
      <c r="N532" s="5">
        <v>4.8047914369413698E-2</v>
      </c>
      <c r="O532" s="5">
        <v>67.565551839999998</v>
      </c>
      <c r="P532" s="2">
        <v>20308</v>
      </c>
      <c r="Q532" s="7">
        <f t="shared" si="152"/>
        <v>338.46666666666664</v>
      </c>
      <c r="R532" s="6">
        <f t="shared" si="153"/>
        <v>16.262617416900888</v>
      </c>
      <c r="S532" s="6">
        <f t="shared" si="154"/>
        <v>145.5370453336663</v>
      </c>
      <c r="T532" s="2">
        <f t="shared" si="155"/>
        <v>1</v>
      </c>
      <c r="U532" s="6">
        <f t="shared" si="156"/>
        <v>145.5370453336663</v>
      </c>
      <c r="V532">
        <f>IF((R532-$AB$774)/($Z$773-$AB$774)&lt;0, 0, IF((R532-$AB$774)/($Z$773-$AB$774)&gt;1, 1, (R532-$AB$774)/($Z$773-$AB$774)))</f>
        <v>0.2506526026027146</v>
      </c>
      <c r="W532" s="6">
        <f t="shared" si="157"/>
        <v>36.479239187992718</v>
      </c>
      <c r="AK532" s="78">
        <v>45037.229166666664</v>
      </c>
      <c r="AL532" s="5">
        <v>4.5017283792507197E-2</v>
      </c>
      <c r="AM532" s="5">
        <v>78.755362430000005</v>
      </c>
      <c r="AN532" s="2">
        <v>20595</v>
      </c>
      <c r="AO532" s="7">
        <f t="shared" si="151"/>
        <v>343.25</v>
      </c>
      <c r="AP532" s="5">
        <f t="shared" si="158"/>
        <v>15.452182661778096</v>
      </c>
      <c r="AQ532" s="6">
        <f t="shared" si="159"/>
        <v>141.93905650810899</v>
      </c>
      <c r="AR532" s="2">
        <f t="shared" si="160"/>
        <v>-2.1301186875174403</v>
      </c>
      <c r="AS532" s="2">
        <f t="shared" si="161"/>
        <v>-302.3470367565169</v>
      </c>
    </row>
    <row r="533" spans="13:45" x14ac:dyDescent="0.3">
      <c r="M533" s="78">
        <v>45038.239583333336</v>
      </c>
      <c r="N533" s="5">
        <v>4.4302803688993801E-2</v>
      </c>
      <c r="O533" s="5">
        <v>69.822823</v>
      </c>
      <c r="P533" s="2">
        <v>20105</v>
      </c>
      <c r="Q533" s="7">
        <f t="shared" si="152"/>
        <v>335.08333333333331</v>
      </c>
      <c r="R533" s="6">
        <f t="shared" si="153"/>
        <v>14.845131136120338</v>
      </c>
      <c r="S533" s="6">
        <f t="shared" si="154"/>
        <v>139.18046920793378</v>
      </c>
      <c r="T533" s="2">
        <f t="shared" si="155"/>
        <v>1</v>
      </c>
      <c r="U533" s="6">
        <f t="shared" si="156"/>
        <v>139.18046920793378</v>
      </c>
      <c r="V533">
        <f>IF((R533-$AB$774)/($Z$773-$AB$774)&lt;0, 0, IF((R533-$AB$774)/($Z$773-$AB$774)&gt;1, 1, (R533-$AB$774)/($Z$773-$AB$774)))</f>
        <v>0</v>
      </c>
      <c r="W533" s="6">
        <f t="shared" si="157"/>
        <v>0</v>
      </c>
      <c r="AK533" s="78">
        <v>45037.239583333336</v>
      </c>
      <c r="AL533" s="5">
        <v>4.1615808393582303E-2</v>
      </c>
      <c r="AM533" s="5">
        <v>77.875916610000004</v>
      </c>
      <c r="AN533" s="2">
        <v>22259</v>
      </c>
      <c r="AO533" s="7">
        <f t="shared" si="151"/>
        <v>370.98333333333335</v>
      </c>
      <c r="AP533" s="5">
        <f t="shared" si="158"/>
        <v>15.438771317212476</v>
      </c>
      <c r="AQ533" s="6">
        <f t="shared" si="159"/>
        <v>141.8787157570145</v>
      </c>
      <c r="AR533" s="2">
        <f t="shared" si="160"/>
        <v>-2.1301186875174403</v>
      </c>
      <c r="AS533" s="2">
        <f t="shared" si="161"/>
        <v>-302.2185037949917</v>
      </c>
    </row>
    <row r="534" spans="13:45" x14ac:dyDescent="0.3">
      <c r="M534" s="78">
        <v>45038.25</v>
      </c>
      <c r="N534" s="5">
        <v>4.3441326841123097E-2</v>
      </c>
      <c r="O534" s="5">
        <v>70.720093730000002</v>
      </c>
      <c r="P534" s="2">
        <v>20457</v>
      </c>
      <c r="Q534" s="7">
        <f t="shared" si="152"/>
        <v>340.95</v>
      </c>
      <c r="R534" s="6">
        <f t="shared" si="153"/>
        <v>14.811320386480919</v>
      </c>
      <c r="S534" s="6">
        <f t="shared" si="154"/>
        <v>139.02514764369607</v>
      </c>
      <c r="T534" s="2">
        <f t="shared" si="155"/>
        <v>1</v>
      </c>
      <c r="U534" s="6">
        <f t="shared" si="156"/>
        <v>139.02514764369607</v>
      </c>
      <c r="V534">
        <f>IF((R534-$AB$774)/($Z$773-$AB$774)&lt;0, 0, IF((R534-$AB$774)/($Z$773-$AB$774)&gt;1, 1, (R534-$AB$774)/($Z$773-$AB$774)))</f>
        <v>0</v>
      </c>
      <c r="W534" s="6">
        <f t="shared" si="157"/>
        <v>0</v>
      </c>
      <c r="AK534" s="78">
        <v>45037.25</v>
      </c>
      <c r="AL534" s="5">
        <v>4.3240625364511003E-2</v>
      </c>
      <c r="AM534" s="5">
        <v>75.652056590000001</v>
      </c>
      <c r="AN534" s="2">
        <v>20251</v>
      </c>
      <c r="AO534" s="7">
        <f t="shared" si="151"/>
        <v>337.51666666666665</v>
      </c>
      <c r="AP534" s="5">
        <f t="shared" si="158"/>
        <v>14.59443173761187</v>
      </c>
      <c r="AQ534" s="6">
        <f t="shared" si="159"/>
        <v>138.02446086223858</v>
      </c>
      <c r="AR534" s="2">
        <f t="shared" si="160"/>
        <v>-2.1301186875174403</v>
      </c>
      <c r="AS534" s="2">
        <f t="shared" si="161"/>
        <v>-294.00848341717398</v>
      </c>
    </row>
    <row r="535" spans="13:45" x14ac:dyDescent="0.3">
      <c r="M535" s="78">
        <v>45038.260416666664</v>
      </c>
      <c r="N535" s="5">
        <v>4.3367291885815597E-2</v>
      </c>
      <c r="O535" s="5">
        <v>68.466857000000005</v>
      </c>
      <c r="P535" s="2">
        <v>19764</v>
      </c>
      <c r="Q535" s="7">
        <f t="shared" si="152"/>
        <v>329.4</v>
      </c>
      <c r="R535" s="6">
        <f t="shared" si="153"/>
        <v>14.285185947187657</v>
      </c>
      <c r="S535" s="6">
        <f t="shared" si="154"/>
        <v>136.58443701158137</v>
      </c>
      <c r="T535" s="2">
        <f t="shared" si="155"/>
        <v>1</v>
      </c>
      <c r="U535" s="6">
        <f t="shared" si="156"/>
        <v>136.58443701158137</v>
      </c>
      <c r="V535">
        <f>IF((R535-$AB$774)/($Z$773-$AB$774)&lt;0, 0, IF((R535-$AB$774)/($Z$773-$AB$774)&gt;1, 1, (R535-$AB$774)/($Z$773-$AB$774)))</f>
        <v>0</v>
      </c>
      <c r="W535" s="6">
        <f t="shared" si="157"/>
        <v>0</v>
      </c>
      <c r="AK535" s="78">
        <v>45037.260416666664</v>
      </c>
      <c r="AL535" s="5">
        <v>4.28524531929379E-2</v>
      </c>
      <c r="AM535" s="5">
        <v>71.622551369999996</v>
      </c>
      <c r="AN535" s="2">
        <v>21368</v>
      </c>
      <c r="AO535" s="7">
        <f t="shared" si="151"/>
        <v>356.13333333333333</v>
      </c>
      <c r="AP535" s="5">
        <f t="shared" si="158"/>
        <v>15.261186997111617</v>
      </c>
      <c r="AQ535" s="6">
        <f t="shared" si="159"/>
        <v>141.07718650819479</v>
      </c>
      <c r="AR535" s="2">
        <f t="shared" si="160"/>
        <v>-2.1301186875174403</v>
      </c>
      <c r="AS535" s="2">
        <f t="shared" si="161"/>
        <v>-300.51115136348903</v>
      </c>
    </row>
    <row r="536" spans="13:45" x14ac:dyDescent="0.3">
      <c r="M536" s="78">
        <v>45038.270833333336</v>
      </c>
      <c r="N536" s="5">
        <v>4.4328736645843497E-2</v>
      </c>
      <c r="O536" s="5">
        <v>67.557775419999999</v>
      </c>
      <c r="P536" s="2">
        <v>20823</v>
      </c>
      <c r="Q536" s="7">
        <f t="shared" si="152"/>
        <v>347.05</v>
      </c>
      <c r="R536" s="6">
        <f t="shared" si="153"/>
        <v>15.384288052939986</v>
      </c>
      <c r="S536" s="6">
        <f t="shared" si="154"/>
        <v>141.633307423704</v>
      </c>
      <c r="T536" s="2">
        <f t="shared" si="155"/>
        <v>1</v>
      </c>
      <c r="U536" s="6">
        <f t="shared" si="156"/>
        <v>141.633307423704</v>
      </c>
      <c r="V536">
        <f>IF((R536-$AB$774)/($Z$773-$AB$774)&lt;0, 0, IF((R536-$AB$774)/($Z$773-$AB$774)&gt;1, 1, (R536-$AB$774)/($Z$773-$AB$774)))</f>
        <v>8.9874886437162446E-2</v>
      </c>
      <c r="W536" s="6">
        <f t="shared" si="157"/>
        <v>12.729277420425113</v>
      </c>
      <c r="AK536" s="78">
        <v>45037.270833333336</v>
      </c>
      <c r="AL536" s="5">
        <v>4.3544687654941398E-2</v>
      </c>
      <c r="AM536" s="5">
        <v>76.544179459999995</v>
      </c>
      <c r="AN536" s="2">
        <v>21858</v>
      </c>
      <c r="AO536" s="7">
        <f t="shared" si="151"/>
        <v>364.3</v>
      </c>
      <c r="AP536" s="5">
        <f t="shared" si="158"/>
        <v>15.863329712695151</v>
      </c>
      <c r="AQ536" s="6">
        <f t="shared" si="159"/>
        <v>143.77610244207943</v>
      </c>
      <c r="AR536" s="2">
        <f t="shared" si="160"/>
        <v>-2.1301186875174403</v>
      </c>
      <c r="AS536" s="2">
        <f t="shared" si="161"/>
        <v>-306.26016263029527</v>
      </c>
    </row>
    <row r="537" spans="13:45" x14ac:dyDescent="0.3">
      <c r="M537" s="78">
        <v>45038.28125</v>
      </c>
      <c r="N537" s="5">
        <v>4.6706372790022203E-2</v>
      </c>
      <c r="O537" s="5">
        <v>68.466857000000005</v>
      </c>
      <c r="P537" s="2">
        <v>20632</v>
      </c>
      <c r="Q537" s="7">
        <f t="shared" si="152"/>
        <v>343.86666666666667</v>
      </c>
      <c r="R537" s="6">
        <f t="shared" si="153"/>
        <v>16.060764723395636</v>
      </c>
      <c r="S537" s="6">
        <f t="shared" si="154"/>
        <v>144.64962452783257</v>
      </c>
      <c r="T537" s="2">
        <f t="shared" si="155"/>
        <v>1</v>
      </c>
      <c r="U537" s="6">
        <f t="shared" si="156"/>
        <v>144.64962452783257</v>
      </c>
      <c r="V537">
        <f>IF((R537-$AB$774)/($Z$773-$AB$774)&lt;0, 0, IF((R537-$AB$774)/($Z$773-$AB$774)&gt;1, 1, (R537-$AB$774)/($Z$773-$AB$774)))</f>
        <v>0.21370357596732109</v>
      </c>
      <c r="W537" s="6">
        <f t="shared" si="157"/>
        <v>30.912142023928141</v>
      </c>
      <c r="AK537" s="78">
        <v>45037.28125</v>
      </c>
      <c r="AL537" s="5">
        <v>4.1784946223705301E-2</v>
      </c>
      <c r="AM537" s="5">
        <v>76.544179459999995</v>
      </c>
      <c r="AN537" s="2">
        <v>21393</v>
      </c>
      <c r="AO537" s="7">
        <f t="shared" si="151"/>
        <v>356.55</v>
      </c>
      <c r="AP537" s="5">
        <f t="shared" si="158"/>
        <v>14.898422576062126</v>
      </c>
      <c r="AQ537" s="6">
        <f t="shared" si="159"/>
        <v>139.42491612434625</v>
      </c>
      <c r="AR537" s="2">
        <f t="shared" si="160"/>
        <v>-2.1301186875174403</v>
      </c>
      <c r="AS537" s="2">
        <f t="shared" si="161"/>
        <v>-296.99161934202164</v>
      </c>
    </row>
    <row r="538" spans="13:45" x14ac:dyDescent="0.3">
      <c r="M538" s="78">
        <v>45038.291666666664</v>
      </c>
      <c r="N538" s="5">
        <v>4.3865572725762601E-2</v>
      </c>
      <c r="O538" s="5">
        <v>71.17580074</v>
      </c>
      <c r="P538" s="2">
        <v>21476</v>
      </c>
      <c r="Q538" s="7">
        <f t="shared" si="152"/>
        <v>357.93333333333334</v>
      </c>
      <c r="R538" s="6">
        <f t="shared" si="153"/>
        <v>15.70095066430796</v>
      </c>
      <c r="S538" s="6">
        <f t="shared" si="154"/>
        <v>143.05351383829387</v>
      </c>
      <c r="T538" s="2">
        <f t="shared" si="155"/>
        <v>1</v>
      </c>
      <c r="U538" s="6">
        <f t="shared" si="156"/>
        <v>143.05351383829387</v>
      </c>
      <c r="V538">
        <f>IF((R538-$AB$774)/($Z$773-$AB$774)&lt;0, 0, IF((R538-$AB$774)/($Z$773-$AB$774)&gt;1, 1, (R538-$AB$774)/($Z$773-$AB$774)))</f>
        <v>0.14783980659099785</v>
      </c>
      <c r="W538" s="6">
        <f t="shared" si="157"/>
        <v>21.149003818015998</v>
      </c>
      <c r="AK538" s="78">
        <v>45037.291666666664</v>
      </c>
      <c r="AL538" s="5">
        <v>4.0925053326698997E-2</v>
      </c>
      <c r="AM538" s="5">
        <v>76.094169239999999</v>
      </c>
      <c r="AN538" s="2">
        <v>20974</v>
      </c>
      <c r="AO538" s="7">
        <f t="shared" si="151"/>
        <v>349.56666666666666</v>
      </c>
      <c r="AP538" s="5">
        <f t="shared" si="158"/>
        <v>14.306034474569746</v>
      </c>
      <c r="AQ538" s="6">
        <f t="shared" si="159"/>
        <v>136.68201664313281</v>
      </c>
      <c r="AR538" s="2">
        <f t="shared" si="160"/>
        <v>-2.1301186875174403</v>
      </c>
      <c r="AS538" s="2">
        <f t="shared" si="161"/>
        <v>-291.148917899107</v>
      </c>
    </row>
    <row r="539" spans="13:45" x14ac:dyDescent="0.3">
      <c r="M539" s="78">
        <v>45038.302083333336</v>
      </c>
      <c r="N539" s="5">
        <v>4.3229463066423203E-2</v>
      </c>
      <c r="O539" s="5">
        <v>65.290959470000004</v>
      </c>
      <c r="P539" s="2">
        <v>20649</v>
      </c>
      <c r="Q539" s="7">
        <f t="shared" si="152"/>
        <v>344.15</v>
      </c>
      <c r="R539" s="6">
        <f t="shared" si="153"/>
        <v>14.877419714309545</v>
      </c>
      <c r="S539" s="6">
        <f t="shared" si="154"/>
        <v>139.32862971813256</v>
      </c>
      <c r="T539" s="2">
        <f t="shared" si="155"/>
        <v>1</v>
      </c>
      <c r="U539" s="6">
        <f t="shared" si="156"/>
        <v>139.32862971813256</v>
      </c>
      <c r="V539">
        <f>IF((R539-$AB$774)/($Z$773-$AB$774)&lt;0, 0, IF((R539-$AB$774)/($Z$773-$AB$774)&gt;1, 1, (R539-$AB$774)/($Z$773-$AB$774)))</f>
        <v>0</v>
      </c>
      <c r="W539" s="6">
        <f t="shared" si="157"/>
        <v>0</v>
      </c>
      <c r="AK539" s="78">
        <v>45037.302083333336</v>
      </c>
      <c r="AL539" s="5">
        <v>4.6696881439506698E-2</v>
      </c>
      <c r="AM539" s="5">
        <v>72.077340390000003</v>
      </c>
      <c r="AN539" s="2">
        <v>21209</v>
      </c>
      <c r="AO539" s="7">
        <f t="shared" si="151"/>
        <v>353.48333333333335</v>
      </c>
      <c r="AP539" s="5">
        <f t="shared" si="158"/>
        <v>16.506569307508293</v>
      </c>
      <c r="AQ539" s="6">
        <f t="shared" si="159"/>
        <v>146.60208174495725</v>
      </c>
      <c r="AR539" s="2">
        <f t="shared" si="160"/>
        <v>-2.1301186875174403</v>
      </c>
      <c r="AS539" s="2">
        <f t="shared" si="161"/>
        <v>-312.27983395389282</v>
      </c>
    </row>
    <row r="540" spans="13:45" x14ac:dyDescent="0.3">
      <c r="M540" s="78">
        <v>45038.3125</v>
      </c>
      <c r="N540" s="5">
        <v>4.1891323612100503E-2</v>
      </c>
      <c r="O540" s="5">
        <v>68.924680609999996</v>
      </c>
      <c r="P540" s="2">
        <v>21153</v>
      </c>
      <c r="Q540" s="7">
        <f t="shared" si="152"/>
        <v>352.55</v>
      </c>
      <c r="R540" s="6">
        <f t="shared" si="153"/>
        <v>14.768786139446034</v>
      </c>
      <c r="S540" s="6">
        <f t="shared" si="154"/>
        <v>138.82949442187103</v>
      </c>
      <c r="T540" s="2">
        <f t="shared" si="155"/>
        <v>1</v>
      </c>
      <c r="U540" s="6">
        <f t="shared" si="156"/>
        <v>138.82949442187103</v>
      </c>
      <c r="V540">
        <f>IF((R540-$AB$774)/($Z$773-$AB$774)&lt;0, 0, IF((R540-$AB$774)/($Z$773-$AB$774)&gt;1, 1, (R540-$AB$774)/($Z$773-$AB$774)))</f>
        <v>0</v>
      </c>
      <c r="W540" s="6">
        <f t="shared" si="157"/>
        <v>0</v>
      </c>
      <c r="AK540" s="78">
        <v>45037.3125</v>
      </c>
      <c r="AL540" s="5">
        <v>4.0169923680813201E-2</v>
      </c>
      <c r="AM540" s="5">
        <v>73.868067069999995</v>
      </c>
      <c r="AN540" s="2">
        <v>21818</v>
      </c>
      <c r="AO540" s="7">
        <f t="shared" si="151"/>
        <v>363.63333333333333</v>
      </c>
      <c r="AP540" s="5">
        <f t="shared" si="158"/>
        <v>14.607123247799706</v>
      </c>
      <c r="AQ540" s="6">
        <f t="shared" si="159"/>
        <v>138.08322548411917</v>
      </c>
      <c r="AR540" s="2">
        <f t="shared" si="160"/>
        <v>-2.1301186875174403</v>
      </c>
      <c r="AS540" s="2">
        <f t="shared" si="161"/>
        <v>-294.1336590364067</v>
      </c>
    </row>
    <row r="541" spans="13:45" x14ac:dyDescent="0.3">
      <c r="M541" s="78">
        <v>45038.322916666664</v>
      </c>
      <c r="N541" s="5">
        <v>4.2478978786211999E-2</v>
      </c>
      <c r="O541" s="5">
        <v>68.466857000000005</v>
      </c>
      <c r="P541" s="2">
        <v>21202</v>
      </c>
      <c r="Q541" s="7">
        <f t="shared" si="152"/>
        <v>353.36666666666667</v>
      </c>
      <c r="R541" s="6">
        <f t="shared" si="153"/>
        <v>15.010655137087781</v>
      </c>
      <c r="S541" s="6">
        <f t="shared" si="154"/>
        <v>139.93826980533439</v>
      </c>
      <c r="T541" s="2">
        <f t="shared" si="155"/>
        <v>1</v>
      </c>
      <c r="U541" s="6">
        <f t="shared" si="156"/>
        <v>139.93826980533439</v>
      </c>
      <c r="V541">
        <f>IF((R541-$AB$774)/($Z$773-$AB$774)&lt;0, 0, IF((R541-$AB$774)/($Z$773-$AB$774)&gt;1, 1, (R541-$AB$774)/($Z$773-$AB$774)))</f>
        <v>2.1481582786132974E-2</v>
      </c>
      <c r="W541" s="6">
        <f t="shared" si="157"/>
        <v>3.0060955277715027</v>
      </c>
      <c r="AK541" s="78">
        <v>45037.322916666664</v>
      </c>
      <c r="AL541" s="5">
        <v>4.5871896232288802E-2</v>
      </c>
      <c r="AM541" s="5">
        <v>73.868067069999995</v>
      </c>
      <c r="AN541" s="2">
        <v>21013</v>
      </c>
      <c r="AO541" s="7">
        <f t="shared" si="151"/>
        <v>350.21666666666664</v>
      </c>
      <c r="AP541" s="5">
        <f t="shared" si="158"/>
        <v>16.065102592151408</v>
      </c>
      <c r="AQ541" s="6">
        <f t="shared" si="159"/>
        <v>144.66875508755766</v>
      </c>
      <c r="AR541" s="2">
        <f t="shared" si="160"/>
        <v>-2.1301186875174403</v>
      </c>
      <c r="AS541" s="2">
        <f t="shared" si="161"/>
        <v>-308.1616187118903</v>
      </c>
    </row>
    <row r="542" spans="13:45" x14ac:dyDescent="0.3">
      <c r="M542" s="78">
        <v>45038.333333333336</v>
      </c>
      <c r="N542" s="5">
        <v>4.7227347871551903E-2</v>
      </c>
      <c r="O542" s="5">
        <v>72.069636250000002</v>
      </c>
      <c r="P542" s="2">
        <v>20959</v>
      </c>
      <c r="Q542" s="7">
        <f t="shared" si="152"/>
        <v>349.31666666666666</v>
      </c>
      <c r="R542" s="6">
        <f t="shared" si="153"/>
        <v>16.497299733997604</v>
      </c>
      <c r="S542" s="6">
        <f t="shared" si="154"/>
        <v>146.56176036237977</v>
      </c>
      <c r="T542" s="2">
        <f t="shared" si="155"/>
        <v>1</v>
      </c>
      <c r="U542" s="6">
        <f t="shared" si="156"/>
        <v>146.56176036237977</v>
      </c>
      <c r="V542">
        <f>IF((R542-$AB$774)/($Z$773-$AB$774)&lt;0, 0, IF((R542-$AB$774)/($Z$773-$AB$774)&gt;1, 1, (R542-$AB$774)/($Z$773-$AB$774)))</f>
        <v>0.29361107412311976</v>
      </c>
      <c r="W542" s="6">
        <f t="shared" si="157"/>
        <v>43.032155885373605</v>
      </c>
      <c r="AK542" s="78">
        <v>45037.333333333336</v>
      </c>
      <c r="AL542" s="5">
        <v>4.2045469504973697E-2</v>
      </c>
      <c r="AM542" s="5">
        <v>77.435049230000004</v>
      </c>
      <c r="AN542" s="2">
        <v>20781</v>
      </c>
      <c r="AO542" s="7">
        <f t="shared" si="151"/>
        <v>346.35</v>
      </c>
      <c r="AP542" s="5">
        <f t="shared" si="158"/>
        <v>14.562448363047642</v>
      </c>
      <c r="AQ542" s="6">
        <f t="shared" si="159"/>
        <v>137.87625468803219</v>
      </c>
      <c r="AR542" s="2">
        <f t="shared" si="160"/>
        <v>-2.1301186875174403</v>
      </c>
      <c r="AS542" s="2">
        <f t="shared" si="161"/>
        <v>-293.69278667589145</v>
      </c>
    </row>
    <row r="543" spans="13:45" x14ac:dyDescent="0.3">
      <c r="M543" s="78">
        <v>45038.34375</v>
      </c>
      <c r="N543" s="5">
        <v>4.6117359043178097E-2</v>
      </c>
      <c r="O543" s="5">
        <v>69.822823</v>
      </c>
      <c r="P543" s="2">
        <v>20471</v>
      </c>
      <c r="Q543" s="7">
        <f t="shared" si="152"/>
        <v>341.18333333333334</v>
      </c>
      <c r="R543" s="6">
        <f t="shared" si="153"/>
        <v>15.734474282881648</v>
      </c>
      <c r="S543" s="6">
        <f t="shared" si="154"/>
        <v>143.20300556928089</v>
      </c>
      <c r="T543" s="2">
        <f t="shared" si="155"/>
        <v>1</v>
      </c>
      <c r="U543" s="6">
        <f t="shared" si="156"/>
        <v>143.20300556928089</v>
      </c>
      <c r="V543">
        <f>IF((R543-$AB$774)/($Z$773-$AB$774)&lt;0, 0, IF((R543-$AB$774)/($Z$773-$AB$774)&gt;1, 1, (R543-$AB$774)/($Z$773-$AB$774)))</f>
        <v>0.15397628688305653</v>
      </c>
      <c r="W543" s="6">
        <f t="shared" si="157"/>
        <v>22.049867068051537</v>
      </c>
      <c r="AK543" s="78">
        <v>45037.34375</v>
      </c>
      <c r="AL543" s="5">
        <v>4.2255655126316502E-2</v>
      </c>
      <c r="AM543" s="5">
        <v>73.868067069999995</v>
      </c>
      <c r="AN543" s="2">
        <v>21204</v>
      </c>
      <c r="AO543" s="7">
        <f t="shared" si="151"/>
        <v>353.4</v>
      </c>
      <c r="AP543" s="5">
        <f t="shared" si="158"/>
        <v>14.93314852164025</v>
      </c>
      <c r="AQ543" s="6">
        <f t="shared" si="159"/>
        <v>139.58396339915703</v>
      </c>
      <c r="AR543" s="2">
        <f t="shared" si="160"/>
        <v>-2.1301186875174403</v>
      </c>
      <c r="AS543" s="2">
        <f t="shared" si="161"/>
        <v>-297.33040891429476</v>
      </c>
    </row>
    <row r="544" spans="13:45" x14ac:dyDescent="0.3">
      <c r="M544" s="78">
        <v>45038.354166666664</v>
      </c>
      <c r="N544" s="5">
        <v>4.2739907094481597E-2</v>
      </c>
      <c r="O544" s="5">
        <v>64.837941950000001</v>
      </c>
      <c r="P544" s="2">
        <v>20878</v>
      </c>
      <c r="Q544" s="7">
        <f t="shared" si="152"/>
        <v>347.96666666666664</v>
      </c>
      <c r="R544" s="6">
        <f t="shared" si="153"/>
        <v>14.872063005309778</v>
      </c>
      <c r="S544" s="6">
        <f t="shared" si="154"/>
        <v>139.30406109536182</v>
      </c>
      <c r="T544" s="2">
        <f t="shared" si="155"/>
        <v>1</v>
      </c>
      <c r="U544" s="6">
        <f t="shared" si="156"/>
        <v>139.30406109536182</v>
      </c>
      <c r="V544">
        <f>IF((R544-$AB$774)/($Z$773-$AB$774)&lt;0, 0, IF((R544-$AB$774)/($Z$773-$AB$774)&gt;1, 1, (R544-$AB$774)/($Z$773-$AB$774)))</f>
        <v>0</v>
      </c>
      <c r="W544" s="6">
        <f t="shared" si="157"/>
        <v>0</v>
      </c>
      <c r="AK544" s="78">
        <v>45037.354166666664</v>
      </c>
      <c r="AL544" s="5">
        <v>4.3465937076279798E-2</v>
      </c>
      <c r="AM544" s="5">
        <v>73.868067069999995</v>
      </c>
      <c r="AN544" s="2">
        <v>20960</v>
      </c>
      <c r="AO544" s="7">
        <f t="shared" si="151"/>
        <v>349.33333333333331</v>
      </c>
      <c r="AP544" s="5">
        <f t="shared" si="158"/>
        <v>15.184100685313743</v>
      </c>
      <c r="AQ544" s="6">
        <f t="shared" si="159"/>
        <v>140.72777546201516</v>
      </c>
      <c r="AR544" s="2">
        <f t="shared" si="160"/>
        <v>-2.1301186875174403</v>
      </c>
      <c r="AS544" s="2">
        <f t="shared" si="161"/>
        <v>-299.76686436439678</v>
      </c>
    </row>
    <row r="545" spans="13:45" x14ac:dyDescent="0.3">
      <c r="M545" s="78">
        <v>45038.364583333336</v>
      </c>
      <c r="N545" s="5">
        <v>4.6475840291317398E-2</v>
      </c>
      <c r="O545" s="5">
        <v>69.822823</v>
      </c>
      <c r="P545" s="2">
        <v>20522</v>
      </c>
      <c r="Q545" s="7">
        <f t="shared" si="152"/>
        <v>342.03333333333336</v>
      </c>
      <c r="R545" s="6">
        <f t="shared" si="153"/>
        <v>15.896286574306929</v>
      </c>
      <c r="S545" s="6">
        <f t="shared" si="154"/>
        <v>143.92229937900993</v>
      </c>
      <c r="T545" s="2">
        <f t="shared" si="155"/>
        <v>1</v>
      </c>
      <c r="U545" s="6">
        <f t="shared" si="156"/>
        <v>143.92229937900993</v>
      </c>
      <c r="V545">
        <f>IF((R545-$AB$774)/($Z$773-$AB$774)&lt;0, 0, IF((R545-$AB$774)/($Z$773-$AB$774)&gt;1, 1, (R545-$AB$774)/($Z$773-$AB$774)))</f>
        <v>0.18359593952173298</v>
      </c>
      <c r="W545" s="6">
        <f t="shared" si="157"/>
        <v>26.423549772617456</v>
      </c>
      <c r="AK545" s="78">
        <v>45037.364583333336</v>
      </c>
      <c r="AL545" s="5">
        <v>4.0702272774699302E-2</v>
      </c>
      <c r="AM545" s="5">
        <v>72.523974480000007</v>
      </c>
      <c r="AN545" s="2">
        <v>21516</v>
      </c>
      <c r="AO545" s="7">
        <f t="shared" si="151"/>
        <v>358.6</v>
      </c>
      <c r="AP545" s="5">
        <f t="shared" si="158"/>
        <v>14.59583501700717</v>
      </c>
      <c r="AQ545" s="6">
        <f t="shared" si="159"/>
        <v>138.03095965170797</v>
      </c>
      <c r="AR545" s="2">
        <f t="shared" si="160"/>
        <v>-2.1301186875174403</v>
      </c>
      <c r="AS545" s="2">
        <f t="shared" si="161"/>
        <v>-294.02232661006894</v>
      </c>
    </row>
    <row r="546" spans="13:45" x14ac:dyDescent="0.3">
      <c r="M546" s="78">
        <v>45038.375</v>
      </c>
      <c r="N546" s="5">
        <v>4.1699544492555703E-2</v>
      </c>
      <c r="O546" s="5">
        <v>68.466857000000005</v>
      </c>
      <c r="P546" s="2">
        <v>20384</v>
      </c>
      <c r="Q546" s="7">
        <f t="shared" si="152"/>
        <v>339.73333333333335</v>
      </c>
      <c r="R546" s="6">
        <f t="shared" si="153"/>
        <v>14.166725248937592</v>
      </c>
      <c r="S546" s="6">
        <f t="shared" si="154"/>
        <v>136.02860764482517</v>
      </c>
      <c r="T546" s="2">
        <f t="shared" si="155"/>
        <v>1</v>
      </c>
      <c r="U546" s="6">
        <f t="shared" si="156"/>
        <v>136.02860764482517</v>
      </c>
      <c r="V546">
        <f>IF((R546-$AB$774)/($Z$773-$AB$774)&lt;0, 0, IF((R546-$AB$774)/($Z$773-$AB$774)&gt;1, 1, (R546-$AB$774)/($Z$773-$AB$774)))</f>
        <v>0</v>
      </c>
      <c r="W546" s="6">
        <f t="shared" si="157"/>
        <v>0</v>
      </c>
      <c r="AK546" s="78">
        <v>45037.375</v>
      </c>
      <c r="AL546" s="5">
        <v>4.2100178469414197E-2</v>
      </c>
      <c r="AM546" s="5">
        <v>66.655723199999997</v>
      </c>
      <c r="AN546" s="2">
        <v>21528</v>
      </c>
      <c r="AO546" s="7">
        <f t="shared" si="151"/>
        <v>358.8</v>
      </c>
      <c r="AP546" s="5">
        <f t="shared" si="158"/>
        <v>15.105544034825815</v>
      </c>
      <c r="AQ546" s="6">
        <f t="shared" si="159"/>
        <v>140.37076724124154</v>
      </c>
      <c r="AR546" s="2">
        <f t="shared" si="160"/>
        <v>-2.1301186875174403</v>
      </c>
      <c r="AS546" s="2">
        <f t="shared" si="161"/>
        <v>-299.0063944817295</v>
      </c>
    </row>
    <row r="547" spans="13:45" x14ac:dyDescent="0.3">
      <c r="M547" s="78">
        <v>45038.385416666664</v>
      </c>
      <c r="N547" s="5">
        <v>4.8104347210687098E-2</v>
      </c>
      <c r="O547" s="5">
        <v>68.924680609999996</v>
      </c>
      <c r="P547" s="2">
        <v>20160</v>
      </c>
      <c r="Q547" s="7">
        <f t="shared" si="152"/>
        <v>336</v>
      </c>
      <c r="R547" s="6">
        <f t="shared" si="153"/>
        <v>16.163060662790866</v>
      </c>
      <c r="S547" s="6">
        <f t="shared" si="154"/>
        <v>145.10006301242768</v>
      </c>
      <c r="T547" s="2">
        <f t="shared" si="155"/>
        <v>1</v>
      </c>
      <c r="U547" s="6">
        <f t="shared" si="156"/>
        <v>145.10006301242768</v>
      </c>
      <c r="V547">
        <f>IF((R547-$AB$774)/($Z$773-$AB$774)&lt;0, 0, IF((R547-$AB$774)/($Z$773-$AB$774)&gt;1, 1, (R547-$AB$774)/($Z$773-$AB$774)))</f>
        <v>0.23242879247927517</v>
      </c>
      <c r="W547" s="6">
        <f t="shared" si="157"/>
        <v>33.725432434645306</v>
      </c>
      <c r="AK547" s="78">
        <v>45037.385416666664</v>
      </c>
      <c r="AL547" s="5">
        <v>4.0337128779148898E-2</v>
      </c>
      <c r="AM547" s="5">
        <v>71.622551369999996</v>
      </c>
      <c r="AN547" s="2">
        <v>21799</v>
      </c>
      <c r="AO547" s="7">
        <f t="shared" si="151"/>
        <v>363.31666666666666</v>
      </c>
      <c r="AP547" s="5">
        <f t="shared" si="158"/>
        <v>14.655151170944446</v>
      </c>
      <c r="AQ547" s="6">
        <f t="shared" si="159"/>
        <v>138.30537033348514</v>
      </c>
      <c r="AR547" s="2">
        <f t="shared" si="160"/>
        <v>-2.1301186875174403</v>
      </c>
      <c r="AS547" s="2">
        <f t="shared" si="161"/>
        <v>-294.60685393137692</v>
      </c>
    </row>
    <row r="548" spans="13:45" x14ac:dyDescent="0.3">
      <c r="M548" s="78">
        <v>45038.395833333336</v>
      </c>
      <c r="N548" s="5">
        <v>4.1360416322074101E-2</v>
      </c>
      <c r="O548" s="5">
        <v>63.92387093</v>
      </c>
      <c r="P548" s="2">
        <v>20999</v>
      </c>
      <c r="Q548" s="7">
        <f t="shared" si="152"/>
        <v>349.98333333333335</v>
      </c>
      <c r="R548" s="6">
        <f t="shared" si="153"/>
        <v>14.475456372453902</v>
      </c>
      <c r="S548" s="6">
        <f t="shared" si="154"/>
        <v>137.47230442760559</v>
      </c>
      <c r="T548" s="2">
        <f t="shared" si="155"/>
        <v>1</v>
      </c>
      <c r="U548" s="6">
        <f t="shared" si="156"/>
        <v>137.47230442760559</v>
      </c>
      <c r="V548">
        <f>IF((R548-$AB$774)/($Z$773-$AB$774)&lt;0, 0, IF((R548-$AB$774)/($Z$773-$AB$774)&gt;1, 1, (R548-$AB$774)/($Z$773-$AB$774)))</f>
        <v>0</v>
      </c>
      <c r="W548" s="6">
        <f t="shared" si="157"/>
        <v>0</v>
      </c>
      <c r="AK548" s="78">
        <v>45037.395833333336</v>
      </c>
      <c r="AL548" s="5">
        <v>4.62879947749942E-2</v>
      </c>
      <c r="AM548" s="5">
        <v>76.101800600000004</v>
      </c>
      <c r="AN548" s="2">
        <v>20983</v>
      </c>
      <c r="AO548" s="7">
        <f t="shared" ref="AO548:AO611" si="162">AN548/60</f>
        <v>349.71666666666664</v>
      </c>
      <c r="AP548" s="5">
        <f t="shared" si="158"/>
        <v>16.187683239395053</v>
      </c>
      <c r="AQ548" s="6">
        <f t="shared" si="159"/>
        <v>145.20826590958146</v>
      </c>
      <c r="AR548" s="2">
        <f t="shared" si="160"/>
        <v>-2.1301186875174403</v>
      </c>
      <c r="AS548" s="2">
        <f t="shared" si="161"/>
        <v>-309.31084079600112</v>
      </c>
    </row>
    <row r="549" spans="13:45" x14ac:dyDescent="0.3">
      <c r="M549" s="78">
        <v>45038.40625</v>
      </c>
      <c r="N549" s="5">
        <v>4.5223356235989901E-2</v>
      </c>
      <c r="O549" s="5">
        <v>65.290959470000004</v>
      </c>
      <c r="P549" s="2">
        <v>20509</v>
      </c>
      <c r="Q549" s="7">
        <f t="shared" si="152"/>
        <v>341.81666666666666</v>
      </c>
      <c r="R549" s="6">
        <f t="shared" si="153"/>
        <v>15.458096884065281</v>
      </c>
      <c r="S549" s="6">
        <f t="shared" si="154"/>
        <v>141.96565747499127</v>
      </c>
      <c r="T549" s="2">
        <f t="shared" si="155"/>
        <v>1</v>
      </c>
      <c r="U549" s="6">
        <f t="shared" si="156"/>
        <v>141.96565747499127</v>
      </c>
      <c r="V549">
        <f>IF((R549-$AB$774)/($Z$773-$AB$774)&lt;0, 0, IF((R549-$AB$774)/($Z$773-$AB$774)&gt;1, 1, (R549-$AB$774)/($Z$773-$AB$774)))</f>
        <v>0.10338555315068247</v>
      </c>
      <c r="W549" s="6">
        <f t="shared" si="157"/>
        <v>14.677198026452293</v>
      </c>
      <c r="AK549" s="78">
        <v>45037.40625</v>
      </c>
      <c r="AL549" s="5">
        <v>4.5541433502176397E-2</v>
      </c>
      <c r="AM549" s="5">
        <v>70.720093730000002</v>
      </c>
      <c r="AN549" s="2">
        <v>21289</v>
      </c>
      <c r="AO549" s="7">
        <f t="shared" si="162"/>
        <v>354.81666666666666</v>
      </c>
      <c r="AP549" s="5">
        <f t="shared" si="158"/>
        <v>16.158859630463887</v>
      </c>
      <c r="AQ549" s="6">
        <f t="shared" si="159"/>
        <v>145.08159335119677</v>
      </c>
      <c r="AR549" s="2">
        <f t="shared" si="160"/>
        <v>-2.1301186875174403</v>
      </c>
      <c r="AS549" s="2">
        <f t="shared" si="161"/>
        <v>-309.04101321219025</v>
      </c>
    </row>
    <row r="550" spans="13:45" x14ac:dyDescent="0.3">
      <c r="M550" s="78">
        <v>45038.416666666664</v>
      </c>
      <c r="N550" s="5">
        <v>4.4074450600114702E-2</v>
      </c>
      <c r="O550" s="5">
        <v>66.203758769999993</v>
      </c>
      <c r="P550" s="2">
        <v>21077</v>
      </c>
      <c r="Q550" s="7">
        <f t="shared" si="152"/>
        <v>351.28333333333336</v>
      </c>
      <c r="R550" s="6">
        <f t="shared" si="153"/>
        <v>15.482619921643627</v>
      </c>
      <c r="S550" s="6">
        <f t="shared" si="154"/>
        <v>142.07590172668714</v>
      </c>
      <c r="T550" s="2">
        <f t="shared" si="155"/>
        <v>1</v>
      </c>
      <c r="U550" s="6">
        <f t="shared" si="156"/>
        <v>142.07590172668714</v>
      </c>
      <c r="V550">
        <f>IF((R550-$AB$774)/($Z$773-$AB$774)&lt;0, 0, IF((R550-$AB$774)/($Z$773-$AB$774)&gt;1, 1, (R550-$AB$774)/($Z$773-$AB$774)))</f>
        <v>0.10787448194785748</v>
      </c>
      <c r="W550" s="6">
        <f t="shared" si="157"/>
        <v>15.326364296041085</v>
      </c>
      <c r="AK550" s="78">
        <v>45037.416666666664</v>
      </c>
      <c r="AL550" s="5">
        <v>4.1549899387018301E-2</v>
      </c>
      <c r="AM550" s="5">
        <v>70.720093730000002</v>
      </c>
      <c r="AN550" s="2">
        <v>22429</v>
      </c>
      <c r="AO550" s="7">
        <f t="shared" si="162"/>
        <v>373.81666666666666</v>
      </c>
      <c r="AP550" s="5">
        <f t="shared" si="158"/>
        <v>15.532044889190557</v>
      </c>
      <c r="AQ550" s="6">
        <f t="shared" si="159"/>
        <v>142.29782311007108</v>
      </c>
      <c r="AR550" s="2">
        <f t="shared" si="160"/>
        <v>-2.1301186875174403</v>
      </c>
      <c r="AS550" s="2">
        <f t="shared" si="161"/>
        <v>-303.11125219981346</v>
      </c>
    </row>
    <row r="551" spans="13:45" x14ac:dyDescent="0.3">
      <c r="M551" s="78">
        <v>45038.427083333336</v>
      </c>
      <c r="N551" s="5">
        <v>4.7013465123110602E-2</v>
      </c>
      <c r="O551" s="5">
        <v>66.203758769999993</v>
      </c>
      <c r="P551" s="2">
        <v>20620</v>
      </c>
      <c r="Q551" s="7">
        <f t="shared" si="152"/>
        <v>343.66666666666669</v>
      </c>
      <c r="R551" s="6">
        <f t="shared" si="153"/>
        <v>16.156960847309012</v>
      </c>
      <c r="S551" s="6">
        <f t="shared" si="154"/>
        <v>145.07324462719549</v>
      </c>
      <c r="T551" s="2">
        <f t="shared" si="155"/>
        <v>1</v>
      </c>
      <c r="U551" s="6">
        <f t="shared" si="156"/>
        <v>145.07324462719549</v>
      </c>
      <c r="V551">
        <f>IF((R551-$AB$774)/($Z$773-$AB$774)&lt;0, 0, IF((R551-$AB$774)/($Z$773-$AB$774)&gt;1, 1, (R551-$AB$774)/($Z$773-$AB$774)))</f>
        <v>0.23131222454651124</v>
      </c>
      <c r="W551" s="6">
        <f t="shared" si="157"/>
        <v>33.557214936896798</v>
      </c>
      <c r="AK551" s="78">
        <v>45037.427083333336</v>
      </c>
      <c r="AL551" s="5">
        <v>4.2858967921439999E-2</v>
      </c>
      <c r="AM551" s="5">
        <v>68.466857000000005</v>
      </c>
      <c r="AN551" s="2">
        <v>22469</v>
      </c>
      <c r="AO551" s="7">
        <f t="shared" si="162"/>
        <v>374.48333333333335</v>
      </c>
      <c r="AP551" s="5">
        <f t="shared" si="158"/>
        <v>16.049969170447255</v>
      </c>
      <c r="AQ551" s="6">
        <f t="shared" si="159"/>
        <v>144.60200330003232</v>
      </c>
      <c r="AR551" s="2">
        <f t="shared" si="160"/>
        <v>-2.1301186875174403</v>
      </c>
      <c r="AS551" s="2">
        <f t="shared" si="161"/>
        <v>-308.0194294818574</v>
      </c>
    </row>
    <row r="552" spans="13:45" x14ac:dyDescent="0.3">
      <c r="M552" s="78">
        <v>45038.4375</v>
      </c>
      <c r="N552" s="5">
        <v>4.28567688970743E-2</v>
      </c>
      <c r="O552" s="5">
        <v>66.655723199999997</v>
      </c>
      <c r="P552" s="2">
        <v>20543</v>
      </c>
      <c r="Q552" s="7">
        <f t="shared" si="152"/>
        <v>342.38333333333333</v>
      </c>
      <c r="R552" s="6">
        <f t="shared" si="153"/>
        <v>14.673443390876622</v>
      </c>
      <c r="S552" s="6">
        <f t="shared" si="154"/>
        <v>138.38988012177325</v>
      </c>
      <c r="T552" s="2">
        <f t="shared" si="155"/>
        <v>1</v>
      </c>
      <c r="U552" s="6">
        <f t="shared" si="156"/>
        <v>138.38988012177325</v>
      </c>
      <c r="V552">
        <f>IF((R552-$AB$774)/($Z$773-$AB$774)&lt;0, 0, IF((R552-$AB$774)/($Z$773-$AB$774)&gt;1, 1, (R552-$AB$774)/($Z$773-$AB$774)))</f>
        <v>0</v>
      </c>
      <c r="W552" s="6">
        <f t="shared" si="157"/>
        <v>0</v>
      </c>
      <c r="AK552" s="78">
        <v>45037.4375</v>
      </c>
      <c r="AL552" s="5">
        <v>4.5421989550368698E-2</v>
      </c>
      <c r="AM552" s="5">
        <v>70.271667750000006</v>
      </c>
      <c r="AN552" s="2">
        <v>20948</v>
      </c>
      <c r="AO552" s="7">
        <f t="shared" si="162"/>
        <v>349.13333333333333</v>
      </c>
      <c r="AP552" s="5">
        <f t="shared" si="158"/>
        <v>15.858330618352058</v>
      </c>
      <c r="AQ552" s="6">
        <f t="shared" si="159"/>
        <v>143.75391288075176</v>
      </c>
      <c r="AR552" s="2">
        <f t="shared" si="160"/>
        <v>-2.1301186875174403</v>
      </c>
      <c r="AS552" s="2">
        <f t="shared" si="161"/>
        <v>-306.21289623104337</v>
      </c>
    </row>
    <row r="553" spans="13:45" x14ac:dyDescent="0.3">
      <c r="M553" s="78">
        <v>45038.447916666664</v>
      </c>
      <c r="N553" s="5">
        <v>4.4068124671564603E-2</v>
      </c>
      <c r="O553" s="5">
        <v>74.764849499999997</v>
      </c>
      <c r="P553" s="2">
        <v>20457</v>
      </c>
      <c r="Q553" s="7">
        <f t="shared" si="152"/>
        <v>340.95</v>
      </c>
      <c r="R553" s="6">
        <f t="shared" si="153"/>
        <v>15.025027106769951</v>
      </c>
      <c r="S553" s="6">
        <f t="shared" si="154"/>
        <v>140.00386578035474</v>
      </c>
      <c r="T553" s="2">
        <f t="shared" si="155"/>
        <v>1</v>
      </c>
      <c r="U553" s="6">
        <f t="shared" si="156"/>
        <v>140.00386578035474</v>
      </c>
      <c r="V553">
        <f>IF((R553-$AB$774)/($Z$773-$AB$774)&lt;0, 0, IF((R553-$AB$774)/($Z$773-$AB$774)&gt;1, 1, (R553-$AB$774)/($Z$773-$AB$774)))</f>
        <v>2.4112364081978022E-2</v>
      </c>
      <c r="W553" s="6">
        <f t="shared" si="157"/>
        <v>3.3758241845802979</v>
      </c>
      <c r="AK553" s="78">
        <v>45037.447916666664</v>
      </c>
      <c r="AL553" s="5">
        <v>4.5777504340845099E-2</v>
      </c>
      <c r="AM553" s="5">
        <v>70.727821939999998</v>
      </c>
      <c r="AN553" s="2">
        <v>20685</v>
      </c>
      <c r="AO553" s="7">
        <f t="shared" si="162"/>
        <v>344.75</v>
      </c>
      <c r="AP553" s="5">
        <f t="shared" si="158"/>
        <v>15.781794621506348</v>
      </c>
      <c r="AQ553" s="6">
        <f t="shared" si="159"/>
        <v>143.41374459405691</v>
      </c>
      <c r="AR553" s="2">
        <f t="shared" si="160"/>
        <v>-2.1301186875174403</v>
      </c>
      <c r="AS553" s="2">
        <f t="shared" si="161"/>
        <v>-305.48829740665388</v>
      </c>
    </row>
    <row r="554" spans="13:45" x14ac:dyDescent="0.3">
      <c r="M554" s="78">
        <v>45038.458333333336</v>
      </c>
      <c r="N554" s="5">
        <v>4.4521931572575203E-2</v>
      </c>
      <c r="O554" s="5">
        <v>71.17580074</v>
      </c>
      <c r="P554" s="2">
        <v>20421</v>
      </c>
      <c r="Q554" s="7">
        <f t="shared" si="152"/>
        <v>340.35</v>
      </c>
      <c r="R554" s="6">
        <f t="shared" si="153"/>
        <v>15.153039410725972</v>
      </c>
      <c r="S554" s="6">
        <f t="shared" si="154"/>
        <v>140.58672744737009</v>
      </c>
      <c r="T554" s="2">
        <f t="shared" si="155"/>
        <v>1</v>
      </c>
      <c r="U554" s="6">
        <f t="shared" si="156"/>
        <v>140.58672744737009</v>
      </c>
      <c r="V554">
        <f>IF((R554-$AB$774)/($Z$773-$AB$774)&lt;0, 0, IF((R554-$AB$774)/($Z$773-$AB$774)&gt;1, 1, (R554-$AB$774)/($Z$773-$AB$774)))</f>
        <v>4.7544947251377513E-2</v>
      </c>
      <c r="W554" s="6">
        <f t="shared" si="157"/>
        <v>6.6841885407289983</v>
      </c>
      <c r="AK554" s="78">
        <v>45037.458333333336</v>
      </c>
      <c r="AL554" s="5">
        <v>4.3796046993439502E-2</v>
      </c>
      <c r="AM554" s="5">
        <v>68.008627450000006</v>
      </c>
      <c r="AN554" s="2">
        <v>21075</v>
      </c>
      <c r="AO554" s="7">
        <f t="shared" si="162"/>
        <v>351.25</v>
      </c>
      <c r="AP554" s="5">
        <f t="shared" si="158"/>
        <v>15.383361506445626</v>
      </c>
      <c r="AQ554" s="6">
        <f t="shared" si="159"/>
        <v>141.62913015907046</v>
      </c>
      <c r="AR554" s="2">
        <f t="shared" si="160"/>
        <v>-2.1301186875174403</v>
      </c>
      <c r="AS554" s="2">
        <f t="shared" si="161"/>
        <v>-301.68685684867586</v>
      </c>
    </row>
    <row r="555" spans="13:45" x14ac:dyDescent="0.3">
      <c r="M555" s="78">
        <v>45038.46875</v>
      </c>
      <c r="N555" s="5">
        <v>4.64733465378845E-2</v>
      </c>
      <c r="O555" s="5">
        <v>66.203758769999993</v>
      </c>
      <c r="P555" s="2">
        <v>19985</v>
      </c>
      <c r="Q555" s="7">
        <f t="shared" si="152"/>
        <v>333.08333333333331</v>
      </c>
      <c r="R555" s="6">
        <f t="shared" si="153"/>
        <v>15.479497175993695</v>
      </c>
      <c r="S555" s="6">
        <f t="shared" si="154"/>
        <v>142.06186825780313</v>
      </c>
      <c r="T555" s="2">
        <f t="shared" si="155"/>
        <v>1</v>
      </c>
      <c r="U555" s="6">
        <f t="shared" si="156"/>
        <v>142.06186825780313</v>
      </c>
      <c r="V555">
        <f>IF((R555-$AB$774)/($Z$773-$AB$774)&lt;0, 0, IF((R555-$AB$774)/($Z$773-$AB$774)&gt;1, 1, (R555-$AB$774)/($Z$773-$AB$774)))</f>
        <v>0.10730286504153214</v>
      </c>
      <c r="W555" s="6">
        <f t="shared" si="157"/>
        <v>15.243645477214967</v>
      </c>
      <c r="AK555" s="78">
        <v>45037.46875</v>
      </c>
      <c r="AL555" s="5">
        <v>4.2148834255856998E-2</v>
      </c>
      <c r="AM555" s="5">
        <v>68.008627450000006</v>
      </c>
      <c r="AN555" s="2">
        <v>21360</v>
      </c>
      <c r="AO555" s="7">
        <f t="shared" si="162"/>
        <v>356</v>
      </c>
      <c r="AP555" s="5">
        <f t="shared" si="158"/>
        <v>15.004984995085092</v>
      </c>
      <c r="AQ555" s="6">
        <f t="shared" si="159"/>
        <v>139.91238155165175</v>
      </c>
      <c r="AR555" s="2">
        <f t="shared" si="160"/>
        <v>-2.1301186875174403</v>
      </c>
      <c r="AS555" s="2">
        <f t="shared" si="161"/>
        <v>-298.02997855824373</v>
      </c>
    </row>
    <row r="556" spans="13:45" x14ac:dyDescent="0.3">
      <c r="M556" s="78">
        <v>45038.479166666664</v>
      </c>
      <c r="N556" s="5">
        <v>4.6040088601675903E-2</v>
      </c>
      <c r="O556" s="5">
        <v>63.92387093</v>
      </c>
      <c r="P556" s="2">
        <v>20315</v>
      </c>
      <c r="Q556" s="7">
        <f t="shared" si="152"/>
        <v>338.58333333333331</v>
      </c>
      <c r="R556" s="6">
        <f t="shared" si="153"/>
        <v>15.588406665717432</v>
      </c>
      <c r="S556" s="6">
        <f t="shared" si="154"/>
        <v>142.55045190037137</v>
      </c>
      <c r="T556" s="2">
        <f t="shared" si="155"/>
        <v>1</v>
      </c>
      <c r="U556" s="6">
        <f t="shared" si="156"/>
        <v>142.55045190037137</v>
      </c>
      <c r="V556">
        <f>IF((R556-$AB$774)/($Z$773-$AB$774)&lt;0, 0, IF((R556-$AB$774)/($Z$773-$AB$774)&gt;1, 1, (R556-$AB$774)/($Z$773-$AB$774)))</f>
        <v>0.12723868837274174</v>
      </c>
      <c r="W556" s="6">
        <f t="shared" si="157"/>
        <v>18.137932526744862</v>
      </c>
      <c r="AK556" s="78">
        <v>45037.479166666664</v>
      </c>
      <c r="AL556" s="5">
        <v>4.5568516655125103E-2</v>
      </c>
      <c r="AM556" s="5">
        <v>71.622551369999996</v>
      </c>
      <c r="AN556" s="2">
        <v>20878</v>
      </c>
      <c r="AO556" s="7">
        <f t="shared" si="162"/>
        <v>347.96666666666664</v>
      </c>
      <c r="AP556" s="5">
        <f t="shared" si="158"/>
        <v>15.856324845428365</v>
      </c>
      <c r="AQ556" s="6">
        <f t="shared" si="159"/>
        <v>143.74500882047636</v>
      </c>
      <c r="AR556" s="2">
        <f t="shared" si="160"/>
        <v>-2.1301186875174403</v>
      </c>
      <c r="AS556" s="2">
        <f t="shared" si="161"/>
        <v>-306.19392952585599</v>
      </c>
    </row>
    <row r="557" spans="13:45" x14ac:dyDescent="0.3">
      <c r="M557" s="78">
        <v>45038.489583333336</v>
      </c>
      <c r="N557" s="5">
        <v>4.4902386094674097E-2</v>
      </c>
      <c r="O557" s="5">
        <v>66.655723199999997</v>
      </c>
      <c r="P557" s="2">
        <v>19415</v>
      </c>
      <c r="Q557" s="7">
        <f t="shared" si="152"/>
        <v>323.58333333333331</v>
      </c>
      <c r="R557" s="6">
        <f t="shared" si="153"/>
        <v>14.529663767134959</v>
      </c>
      <c r="S557" s="6">
        <f t="shared" si="154"/>
        <v>137.72416327389428</v>
      </c>
      <c r="T557" s="2">
        <f t="shared" si="155"/>
        <v>1</v>
      </c>
      <c r="U557" s="6">
        <f t="shared" si="156"/>
        <v>137.72416327389428</v>
      </c>
      <c r="V557">
        <f>IF((R557-$AB$774)/($Z$773-$AB$774)&lt;0, 0, IF((R557-$AB$774)/($Z$773-$AB$774)&gt;1, 1, (R557-$AB$774)/($Z$773-$AB$774)))</f>
        <v>0</v>
      </c>
      <c r="W557" s="6">
        <f t="shared" si="157"/>
        <v>0</v>
      </c>
      <c r="AK557" s="78">
        <v>45037.489583333336</v>
      </c>
      <c r="AL557" s="5">
        <v>4.3859243150798699E-2</v>
      </c>
      <c r="AM557" s="5">
        <v>66.647934039999996</v>
      </c>
      <c r="AN557" s="2">
        <v>20880</v>
      </c>
      <c r="AO557" s="7">
        <f t="shared" si="162"/>
        <v>348</v>
      </c>
      <c r="AP557" s="5">
        <f t="shared" si="158"/>
        <v>15.263016616477948</v>
      </c>
      <c r="AQ557" s="6">
        <f t="shared" si="159"/>
        <v>141.08546871450534</v>
      </c>
      <c r="AR557" s="2">
        <f t="shared" si="160"/>
        <v>-2.1301186875174403</v>
      </c>
      <c r="AS557" s="2">
        <f t="shared" si="161"/>
        <v>-300.52879344592498</v>
      </c>
    </row>
    <row r="558" spans="13:45" x14ac:dyDescent="0.3">
      <c r="M558" s="78">
        <v>45038.5</v>
      </c>
      <c r="N558" s="5">
        <v>4.16438768692525E-2</v>
      </c>
      <c r="O558" s="5">
        <v>64.377553680000005</v>
      </c>
      <c r="P558" s="2">
        <v>20601</v>
      </c>
      <c r="Q558" s="7">
        <f t="shared" si="152"/>
        <v>343.35</v>
      </c>
      <c r="R558" s="6">
        <f t="shared" si="153"/>
        <v>14.298425123057847</v>
      </c>
      <c r="S558" s="6">
        <f t="shared" si="154"/>
        <v>136.64641018193262</v>
      </c>
      <c r="T558" s="2">
        <f t="shared" si="155"/>
        <v>1</v>
      </c>
      <c r="U558" s="6">
        <f t="shared" si="156"/>
        <v>136.64641018193262</v>
      </c>
      <c r="V558">
        <f>IF((R558-$AB$774)/($Z$773-$AB$774)&lt;0, 0, IF((R558-$AB$774)/($Z$773-$AB$774)&gt;1, 1, (R558-$AB$774)/($Z$773-$AB$774)))</f>
        <v>0</v>
      </c>
      <c r="W558" s="6">
        <f t="shared" si="157"/>
        <v>0</v>
      </c>
      <c r="AK558" s="78">
        <v>45037.5</v>
      </c>
      <c r="AL558" s="5">
        <v>4.3573854213967998E-2</v>
      </c>
      <c r="AM558" s="5">
        <v>68.008627450000006</v>
      </c>
      <c r="AN558" s="2">
        <v>20738</v>
      </c>
      <c r="AO558" s="7">
        <f t="shared" si="162"/>
        <v>345.63333333333333</v>
      </c>
      <c r="AP558" s="5">
        <f t="shared" si="158"/>
        <v>15.060576478154472</v>
      </c>
      <c r="AQ558" s="6">
        <f t="shared" si="159"/>
        <v>140.16598139514488</v>
      </c>
      <c r="AR558" s="2">
        <f t="shared" si="160"/>
        <v>-2.1301186875174403</v>
      </c>
      <c r="AS558" s="2">
        <f t="shared" si="161"/>
        <v>-298.57017632402</v>
      </c>
    </row>
    <row r="559" spans="13:45" x14ac:dyDescent="0.3">
      <c r="M559" s="78">
        <v>45038.510416666664</v>
      </c>
      <c r="N559" s="5">
        <v>4.4258559122030403E-2</v>
      </c>
      <c r="O559" s="5">
        <v>67.557775419999999</v>
      </c>
      <c r="P559" s="2">
        <v>20064</v>
      </c>
      <c r="Q559" s="7">
        <f t="shared" si="152"/>
        <v>334.4</v>
      </c>
      <c r="R559" s="6">
        <f t="shared" si="153"/>
        <v>14.800062170406965</v>
      </c>
      <c r="S559" s="6">
        <f t="shared" si="154"/>
        <v>138.97338892410744</v>
      </c>
      <c r="T559" s="2">
        <f t="shared" si="155"/>
        <v>1</v>
      </c>
      <c r="U559" s="6">
        <f t="shared" si="156"/>
        <v>138.97338892410744</v>
      </c>
      <c r="V559">
        <f>IF((R559-$AB$774)/($Z$773-$AB$774)&lt;0, 0, IF((R559-$AB$774)/($Z$773-$AB$774)&gt;1, 1, (R559-$AB$774)/($Z$773-$AB$774)))</f>
        <v>0</v>
      </c>
      <c r="W559" s="6">
        <f t="shared" si="157"/>
        <v>0</v>
      </c>
      <c r="AK559" s="78">
        <v>45037.510416666664</v>
      </c>
      <c r="AL559" s="5">
        <v>4.4942518284189499E-2</v>
      </c>
      <c r="AM559" s="5">
        <v>67.106545600000004</v>
      </c>
      <c r="AN559" s="2">
        <v>20303</v>
      </c>
      <c r="AO559" s="7">
        <f t="shared" si="162"/>
        <v>338.38333333333333</v>
      </c>
      <c r="AP559" s="5">
        <f t="shared" si="158"/>
        <v>15.207799145398322</v>
      </c>
      <c r="AQ559" s="6">
        <f t="shared" si="159"/>
        <v>140.8352902328725</v>
      </c>
      <c r="AR559" s="2">
        <f t="shared" si="160"/>
        <v>-2.1301186875174403</v>
      </c>
      <c r="AS559" s="2">
        <f t="shared" si="161"/>
        <v>-299.99588358698412</v>
      </c>
    </row>
    <row r="560" spans="13:45" x14ac:dyDescent="0.3">
      <c r="M560" s="78">
        <v>45038.520833333336</v>
      </c>
      <c r="N560" s="5">
        <v>4.9493389484232597E-2</v>
      </c>
      <c r="O560" s="5">
        <v>65.283151739999994</v>
      </c>
      <c r="P560" s="2">
        <v>19755</v>
      </c>
      <c r="Q560" s="7">
        <f t="shared" si="152"/>
        <v>329.25</v>
      </c>
      <c r="R560" s="6">
        <f t="shared" si="153"/>
        <v>16.295698487683584</v>
      </c>
      <c r="S560" s="6">
        <f t="shared" si="154"/>
        <v>145.68194505003672</v>
      </c>
      <c r="T560" s="2">
        <f t="shared" si="155"/>
        <v>1</v>
      </c>
      <c r="U560" s="6">
        <f t="shared" si="156"/>
        <v>145.68194505003672</v>
      </c>
      <c r="V560">
        <f>IF((R560-$AB$774)/($Z$773-$AB$774)&lt;0, 0, IF((R560-$AB$774)/($Z$773-$AB$774)&gt;1, 1, (R560-$AB$774)/($Z$773-$AB$774)))</f>
        <v>0.25670807476041152</v>
      </c>
      <c r="W560" s="6">
        <f t="shared" si="157"/>
        <v>37.39773164114699</v>
      </c>
      <c r="AK560" s="78">
        <v>45037.520833333336</v>
      </c>
      <c r="AL560" s="5">
        <v>4.7749520153275E-2</v>
      </c>
      <c r="AM560" s="5">
        <v>65.743635260000005</v>
      </c>
      <c r="AN560" s="2">
        <v>19556</v>
      </c>
      <c r="AO560" s="7">
        <f t="shared" si="162"/>
        <v>325.93333333333334</v>
      </c>
      <c r="AP560" s="5">
        <f t="shared" si="158"/>
        <v>15.563160268624099</v>
      </c>
      <c r="AQ560" s="6">
        <f t="shared" si="159"/>
        <v>142.43734842296357</v>
      </c>
      <c r="AR560" s="2">
        <f t="shared" si="160"/>
        <v>-2.1301186875174403</v>
      </c>
      <c r="AS560" s="2">
        <f t="shared" si="161"/>
        <v>-303.40845767618748</v>
      </c>
    </row>
    <row r="561" spans="13:45" x14ac:dyDescent="0.3">
      <c r="M561" s="78">
        <v>45038.53125</v>
      </c>
      <c r="N561" s="5">
        <v>4.7747391769427099E-2</v>
      </c>
      <c r="O561" s="5">
        <v>72.523974480000007</v>
      </c>
      <c r="P561" s="2">
        <v>19437</v>
      </c>
      <c r="Q561" s="7">
        <f t="shared" si="152"/>
        <v>323.95</v>
      </c>
      <c r="R561" s="6">
        <f t="shared" si="153"/>
        <v>15.467767563705909</v>
      </c>
      <c r="S561" s="6">
        <f t="shared" si="154"/>
        <v>142.00914303493255</v>
      </c>
      <c r="T561" s="2">
        <f t="shared" si="155"/>
        <v>1</v>
      </c>
      <c r="U561" s="6">
        <f t="shared" si="156"/>
        <v>142.00914303493255</v>
      </c>
      <c r="V561">
        <f>IF((R561-$AB$774)/($Z$773-$AB$774)&lt;0, 0, IF((R561-$AB$774)/($Z$773-$AB$774)&gt;1, 1, (R561-$AB$774)/($Z$773-$AB$774)))</f>
        <v>0.10515576584103048</v>
      </c>
      <c r="W561" s="6">
        <f t="shared" si="157"/>
        <v>14.933080192266772</v>
      </c>
      <c r="AK561" s="78">
        <v>45037.53125</v>
      </c>
      <c r="AL561" s="5">
        <v>4.3839947678211998E-2</v>
      </c>
      <c r="AM561" s="5">
        <v>63.462041390000003</v>
      </c>
      <c r="AN561" s="2">
        <v>20149</v>
      </c>
      <c r="AO561" s="7">
        <f t="shared" si="162"/>
        <v>335.81666666666666</v>
      </c>
      <c r="AP561" s="5">
        <f t="shared" si="158"/>
        <v>14.722185096138226</v>
      </c>
      <c r="AQ561" s="6">
        <f t="shared" si="159"/>
        <v>138.61480396146032</v>
      </c>
      <c r="AR561" s="2">
        <f t="shared" si="160"/>
        <v>-2.1301186875174403</v>
      </c>
      <c r="AS561" s="2">
        <f t="shared" si="161"/>
        <v>-295.26598428487313</v>
      </c>
    </row>
    <row r="562" spans="13:45" x14ac:dyDescent="0.3">
      <c r="M562" s="78">
        <v>45038.541666666664</v>
      </c>
      <c r="N562" s="5">
        <v>5.2498685799496903E-2</v>
      </c>
      <c r="O562" s="5">
        <v>67.557775419999999</v>
      </c>
      <c r="P562" s="2">
        <v>19157</v>
      </c>
      <c r="Q562" s="7">
        <f t="shared" si="152"/>
        <v>319.28333333333336</v>
      </c>
      <c r="R562" s="6">
        <f t="shared" si="153"/>
        <v>16.761955397682705</v>
      </c>
      <c r="S562" s="6">
        <f t="shared" si="154"/>
        <v>147.70846632318396</v>
      </c>
      <c r="T562" s="2">
        <f t="shared" si="155"/>
        <v>1</v>
      </c>
      <c r="U562" s="6">
        <f t="shared" si="156"/>
        <v>147.70846632318396</v>
      </c>
      <c r="V562">
        <f>IF((R562-$AB$774)/($Z$773-$AB$774)&lt;0, 0, IF((R562-$AB$774)/($Z$773-$AB$774)&gt;1, 1, (R562-$AB$774)/($Z$773-$AB$774)))</f>
        <v>0.34205615056424299</v>
      </c>
      <c r="W562" s="6">
        <f t="shared" si="157"/>
        <v>50.524589396256424</v>
      </c>
      <c r="AK562" s="78">
        <v>45037.541666666664</v>
      </c>
      <c r="AL562" s="5">
        <v>4.5266270089795203E-2</v>
      </c>
      <c r="AM562" s="5">
        <v>67.106545600000004</v>
      </c>
      <c r="AN562" s="2">
        <v>20195</v>
      </c>
      <c r="AO562" s="7">
        <f t="shared" si="162"/>
        <v>336.58333333333331</v>
      </c>
      <c r="AP562" s="5">
        <f t="shared" si="158"/>
        <v>15.235872074390235</v>
      </c>
      <c r="AQ562" s="6">
        <f t="shared" si="159"/>
        <v>140.96254045444314</v>
      </c>
      <c r="AR562" s="2">
        <f t="shared" si="160"/>
        <v>-2.1301186875174403</v>
      </c>
      <c r="AS562" s="2">
        <f t="shared" si="161"/>
        <v>-300.2669416619425</v>
      </c>
    </row>
    <row r="563" spans="13:45" x14ac:dyDescent="0.3">
      <c r="M563" s="78">
        <v>45038.552083333336</v>
      </c>
      <c r="N563" s="5">
        <v>4.9054733055948999E-2</v>
      </c>
      <c r="O563" s="5">
        <v>68.916923760000003</v>
      </c>
      <c r="P563" s="2">
        <v>18754</v>
      </c>
      <c r="Q563" s="7">
        <f t="shared" si="152"/>
        <v>312.56666666666666</v>
      </c>
      <c r="R563" s="6">
        <f t="shared" si="153"/>
        <v>15.332874395521126</v>
      </c>
      <c r="S563" s="6">
        <f t="shared" si="154"/>
        <v>141.4013184270045</v>
      </c>
      <c r="T563" s="2">
        <f t="shared" si="155"/>
        <v>1</v>
      </c>
      <c r="U563" s="6">
        <f t="shared" si="156"/>
        <v>141.4013184270045</v>
      </c>
      <c r="V563">
        <f>IF((R563-$AB$774)/($Z$773-$AB$774)&lt;0, 0, IF((R563-$AB$774)/($Z$773-$AB$774)&gt;1, 1, (R563-$AB$774)/($Z$773-$AB$774)))</f>
        <v>8.0463644187164632E-2</v>
      </c>
      <c r="W563" s="6">
        <f t="shared" si="157"/>
        <v>11.377665373506456</v>
      </c>
      <c r="AK563" s="78">
        <v>45037.552083333336</v>
      </c>
      <c r="AL563" s="5">
        <v>5.1814169554246503E-2</v>
      </c>
      <c r="AM563" s="5">
        <v>69.822823</v>
      </c>
      <c r="AN563" s="2">
        <v>19499</v>
      </c>
      <c r="AO563" s="7">
        <f t="shared" si="162"/>
        <v>324.98333333333335</v>
      </c>
      <c r="AP563" s="5">
        <f t="shared" si="158"/>
        <v>16.838741535637542</v>
      </c>
      <c r="AQ563" s="6">
        <f t="shared" si="159"/>
        <v>148.03943499686184</v>
      </c>
      <c r="AR563" s="2">
        <f t="shared" si="160"/>
        <v>-2.1301186875174403</v>
      </c>
      <c r="AS563" s="2">
        <f t="shared" si="161"/>
        <v>-315.34156697633875</v>
      </c>
    </row>
    <row r="564" spans="13:45" x14ac:dyDescent="0.3">
      <c r="M564" s="78">
        <v>45038.5625</v>
      </c>
      <c r="N564" s="5">
        <v>4.7559737477520098E-2</v>
      </c>
      <c r="O564" s="5">
        <v>65.290959470000004</v>
      </c>
      <c r="P564" s="2">
        <v>18943</v>
      </c>
      <c r="Q564" s="7">
        <f t="shared" si="152"/>
        <v>315.71666666666664</v>
      </c>
      <c r="R564" s="6">
        <f t="shared" si="153"/>
        <v>15.015401783944386</v>
      </c>
      <c r="S564" s="6">
        <f t="shared" si="154"/>
        <v>139.95993780611909</v>
      </c>
      <c r="T564" s="2">
        <f t="shared" si="155"/>
        <v>1</v>
      </c>
      <c r="U564" s="6">
        <f t="shared" si="156"/>
        <v>139.95993780611909</v>
      </c>
      <c r="V564">
        <f>IF((R564-$AB$774)/($Z$773-$AB$774)&lt;0, 0, IF((R564-$AB$774)/($Z$773-$AB$774)&gt;1, 1, (R564-$AB$774)/($Z$773-$AB$774)))</f>
        <v>2.2350453932154755E-2</v>
      </c>
      <c r="W564" s="6">
        <f t="shared" si="157"/>
        <v>3.1281681422829095</v>
      </c>
      <c r="AK564" s="78">
        <v>45037.5625</v>
      </c>
      <c r="AL564" s="5">
        <v>4.7376737752876097E-2</v>
      </c>
      <c r="AM564" s="5">
        <v>67.106545600000004</v>
      </c>
      <c r="AN564" s="2">
        <v>19557</v>
      </c>
      <c r="AO564" s="7">
        <f t="shared" si="162"/>
        <v>325.95</v>
      </c>
      <c r="AP564" s="5">
        <f t="shared" si="158"/>
        <v>15.442447670549964</v>
      </c>
      <c r="AQ564" s="6">
        <f t="shared" si="159"/>
        <v>141.89525918400656</v>
      </c>
      <c r="AR564" s="2">
        <f t="shared" si="160"/>
        <v>-2.1301186875174403</v>
      </c>
      <c r="AS564" s="2">
        <f t="shared" si="161"/>
        <v>-302.25374325798305</v>
      </c>
    </row>
    <row r="565" spans="13:45" x14ac:dyDescent="0.3">
      <c r="M565" s="78">
        <v>45038.572916666664</v>
      </c>
      <c r="N565" s="5">
        <v>4.7763214209554802E-2</v>
      </c>
      <c r="O565" s="5">
        <v>64.377553680000005</v>
      </c>
      <c r="P565" s="2">
        <v>18531</v>
      </c>
      <c r="Q565" s="7">
        <f t="shared" si="152"/>
        <v>308.85000000000002</v>
      </c>
      <c r="R565" s="6">
        <f t="shared" si="153"/>
        <v>14.751668708621002</v>
      </c>
      <c r="S565" s="6">
        <f t="shared" si="154"/>
        <v>138.75067484230007</v>
      </c>
      <c r="T565" s="2">
        <f t="shared" si="155"/>
        <v>1</v>
      </c>
      <c r="U565" s="6">
        <f t="shared" si="156"/>
        <v>138.75067484230007</v>
      </c>
      <c r="V565">
        <f>IF((R565-$AB$774)/($Z$773-$AB$774)&lt;0, 0, IF((R565-$AB$774)/($Z$773-$AB$774)&gt;1, 1, (R565-$AB$774)/($Z$773-$AB$774)))</f>
        <v>0</v>
      </c>
      <c r="W565" s="6">
        <f t="shared" si="157"/>
        <v>0</v>
      </c>
      <c r="AK565" s="78">
        <v>45037.572916666664</v>
      </c>
      <c r="AL565" s="5">
        <v>4.54530213760223E-2</v>
      </c>
      <c r="AM565" s="5">
        <v>70.727821939999998</v>
      </c>
      <c r="AN565" s="2">
        <v>19521</v>
      </c>
      <c r="AO565" s="7">
        <f t="shared" si="162"/>
        <v>325.35000000000002</v>
      </c>
      <c r="AP565" s="5">
        <f t="shared" si="158"/>
        <v>14.788140504688856</v>
      </c>
      <c r="AQ565" s="6">
        <f t="shared" si="159"/>
        <v>138.91855814224354</v>
      </c>
      <c r="AR565" s="2">
        <f t="shared" si="160"/>
        <v>-2.1301186875174403</v>
      </c>
      <c r="AS565" s="2">
        <f t="shared" si="161"/>
        <v>-295.913016741771</v>
      </c>
    </row>
    <row r="566" spans="13:45" x14ac:dyDescent="0.3">
      <c r="M566" s="78">
        <v>45038.583333333336</v>
      </c>
      <c r="N566" s="5">
        <v>4.6805986367339202E-2</v>
      </c>
      <c r="O566" s="5">
        <v>71.622551369999996</v>
      </c>
      <c r="P566" s="2">
        <v>18777</v>
      </c>
      <c r="Q566" s="7">
        <f t="shared" si="152"/>
        <v>312.95</v>
      </c>
      <c r="R566" s="6">
        <f t="shared" si="153"/>
        <v>14.647933433658803</v>
      </c>
      <c r="S566" s="6">
        <f t="shared" si="154"/>
        <v>138.27200968375371</v>
      </c>
      <c r="T566" s="2">
        <f t="shared" si="155"/>
        <v>1</v>
      </c>
      <c r="U566" s="6">
        <f t="shared" si="156"/>
        <v>138.27200968375371</v>
      </c>
      <c r="V566">
        <f>IF((R566-$AB$774)/($Z$773-$AB$774)&lt;0, 0, IF((R566-$AB$774)/($Z$773-$AB$774)&gt;1, 1, (R566-$AB$774)/($Z$773-$AB$774)))</f>
        <v>0</v>
      </c>
      <c r="W566" s="6">
        <f t="shared" si="157"/>
        <v>0</v>
      </c>
      <c r="AK566" s="78">
        <v>45037.583333333336</v>
      </c>
      <c r="AL566" s="5">
        <v>4.7145606697227102E-2</v>
      </c>
      <c r="AM566" s="5">
        <v>64.83012798</v>
      </c>
      <c r="AN566" s="2">
        <v>19251</v>
      </c>
      <c r="AO566" s="7">
        <f t="shared" si="162"/>
        <v>320.85000000000002</v>
      </c>
      <c r="AP566" s="5">
        <f t="shared" si="158"/>
        <v>15.126667908805317</v>
      </c>
      <c r="AQ566" s="6">
        <f t="shared" si="159"/>
        <v>140.4668596536803</v>
      </c>
      <c r="AR566" s="2">
        <f t="shared" si="160"/>
        <v>-2.1301186875174403</v>
      </c>
      <c r="AS566" s="2">
        <f t="shared" si="161"/>
        <v>-299.21108272519399</v>
      </c>
    </row>
    <row r="567" spans="13:45" x14ac:dyDescent="0.3">
      <c r="M567" s="78">
        <v>45038.59375</v>
      </c>
      <c r="N567" s="5">
        <v>4.7725647334364497E-2</v>
      </c>
      <c r="O567" s="5">
        <v>68.916923760000003</v>
      </c>
      <c r="P567" s="2">
        <v>18452</v>
      </c>
      <c r="Q567" s="7">
        <f t="shared" si="152"/>
        <v>307.53333333333336</v>
      </c>
      <c r="R567" s="6">
        <f t="shared" si="153"/>
        <v>14.67722741022823</v>
      </c>
      <c r="S567" s="6">
        <f t="shared" si="154"/>
        <v>138.4073555236447</v>
      </c>
      <c r="T567" s="2">
        <f t="shared" si="155"/>
        <v>1</v>
      </c>
      <c r="U567" s="6">
        <f t="shared" si="156"/>
        <v>138.4073555236447</v>
      </c>
      <c r="V567">
        <f>IF((R567-$AB$774)/($Z$773-$AB$774)&lt;0, 0, IF((R567-$AB$774)/($Z$773-$AB$774)&gt;1, 1, (R567-$AB$774)/($Z$773-$AB$774)))</f>
        <v>0</v>
      </c>
      <c r="W567" s="6">
        <f t="shared" si="157"/>
        <v>0</v>
      </c>
      <c r="AK567" s="78">
        <v>45037.59375</v>
      </c>
      <c r="AL567" s="5">
        <v>4.96540283546043E-2</v>
      </c>
      <c r="AM567" s="5">
        <v>67.106545600000004</v>
      </c>
      <c r="AN567" s="2">
        <v>18826</v>
      </c>
      <c r="AO567" s="7">
        <f t="shared" si="162"/>
        <v>313.76666666666665</v>
      </c>
      <c r="AP567" s="5">
        <f t="shared" si="158"/>
        <v>15.579778963396341</v>
      </c>
      <c r="AQ567" s="6">
        <f t="shared" si="159"/>
        <v>142.51181044540067</v>
      </c>
      <c r="AR567" s="2">
        <f t="shared" si="160"/>
        <v>-2.1301186875174403</v>
      </c>
      <c r="AS567" s="2">
        <f t="shared" si="161"/>
        <v>-303.56707062169113</v>
      </c>
    </row>
    <row r="568" spans="13:45" x14ac:dyDescent="0.3">
      <c r="M568" s="78">
        <v>45038.604166666664</v>
      </c>
      <c r="N568" s="5">
        <v>4.8241448542513901E-2</v>
      </c>
      <c r="O568" s="5">
        <v>68.016396760000006</v>
      </c>
      <c r="P568" s="2">
        <v>18602</v>
      </c>
      <c r="Q568" s="7">
        <f t="shared" si="152"/>
        <v>310.03333333333336</v>
      </c>
      <c r="R568" s="6">
        <f t="shared" si="153"/>
        <v>14.956457096464062</v>
      </c>
      <c r="S568" s="6">
        <f t="shared" si="154"/>
        <v>139.69061247759802</v>
      </c>
      <c r="T568" s="2">
        <f t="shared" si="155"/>
        <v>1</v>
      </c>
      <c r="U568" s="6">
        <f t="shared" si="156"/>
        <v>139.69061247759802</v>
      </c>
      <c r="V568">
        <f>IF((R568-$AB$774)/($Z$773-$AB$774)&lt;0, 0, IF((R568-$AB$774)/($Z$773-$AB$774)&gt;1, 1, (R568-$AB$774)/($Z$773-$AB$774)))</f>
        <v>1.1560660692815304E-2</v>
      </c>
      <c r="W568" s="6">
        <f t="shared" si="157"/>
        <v>1.6149157728250625</v>
      </c>
      <c r="AK568" s="78">
        <v>45037.604166666664</v>
      </c>
      <c r="AL568" s="5">
        <v>4.9780100373150997E-2</v>
      </c>
      <c r="AM568" s="5">
        <v>70.727821939999998</v>
      </c>
      <c r="AN568" s="2">
        <v>18509</v>
      </c>
      <c r="AO568" s="7">
        <f t="shared" si="162"/>
        <v>308.48333333333335</v>
      </c>
      <c r="AP568" s="5">
        <f t="shared" si="158"/>
        <v>15.356331296777531</v>
      </c>
      <c r="AQ568" s="6">
        <f t="shared" si="159"/>
        <v>141.50720995119951</v>
      </c>
      <c r="AR568" s="2">
        <f t="shared" si="160"/>
        <v>-2.1301186875174403</v>
      </c>
      <c r="AS568" s="2">
        <f t="shared" si="161"/>
        <v>-301.42715233550399</v>
      </c>
    </row>
    <row r="569" spans="13:45" x14ac:dyDescent="0.3">
      <c r="M569" s="78">
        <v>45038.614583333336</v>
      </c>
      <c r="N569" s="5">
        <v>5.1762976822516099E-2</v>
      </c>
      <c r="O569" s="5">
        <v>69.822823</v>
      </c>
      <c r="P569" s="2">
        <v>18924</v>
      </c>
      <c r="Q569" s="7">
        <f t="shared" si="152"/>
        <v>315.39999999999998</v>
      </c>
      <c r="R569" s="6">
        <f t="shared" si="153"/>
        <v>16.326042889821576</v>
      </c>
      <c r="S569" s="6">
        <f t="shared" si="154"/>
        <v>145.81472583851607</v>
      </c>
      <c r="T569" s="2">
        <f t="shared" si="155"/>
        <v>1</v>
      </c>
      <c r="U569" s="6">
        <f t="shared" si="156"/>
        <v>145.81472583851607</v>
      </c>
      <c r="V569">
        <f>IF((R569-$AB$774)/($Z$773-$AB$774)&lt;0, 0, IF((R569-$AB$774)/($Z$773-$AB$774)&gt;1, 1, (R569-$AB$774)/($Z$773-$AB$774)))</f>
        <v>0.26226260119928008</v>
      </c>
      <c r="W569" s="6">
        <f t="shared" si="157"/>
        <v>38.2417492915691</v>
      </c>
      <c r="AK569" s="78">
        <v>45037.614583333336</v>
      </c>
      <c r="AL569" s="5">
        <v>4.7587676402213099E-2</v>
      </c>
      <c r="AM569" s="5">
        <v>74.764849499999997</v>
      </c>
      <c r="AN569" s="2">
        <v>18772</v>
      </c>
      <c r="AO569" s="7">
        <f t="shared" si="162"/>
        <v>312.86666666666667</v>
      </c>
      <c r="AP569" s="5">
        <f t="shared" si="158"/>
        <v>14.888597690372405</v>
      </c>
      <c r="AQ569" s="6">
        <f t="shared" si="159"/>
        <v>139.37988313192906</v>
      </c>
      <c r="AR569" s="2">
        <f t="shared" si="160"/>
        <v>-2.1301186875174403</v>
      </c>
      <c r="AS569" s="2">
        <f t="shared" si="161"/>
        <v>-296.89569372331897</v>
      </c>
    </row>
    <row r="570" spans="13:45" x14ac:dyDescent="0.3">
      <c r="M570" s="78">
        <v>45038.625</v>
      </c>
      <c r="N570" s="5">
        <v>4.9901970067500197E-2</v>
      </c>
      <c r="O570" s="5">
        <v>70.271667750000006</v>
      </c>
      <c r="P570" s="2">
        <v>18438</v>
      </c>
      <c r="Q570" s="7">
        <f t="shared" si="152"/>
        <v>307.3</v>
      </c>
      <c r="R570" s="6">
        <f t="shared" si="153"/>
        <v>15.334875401742812</v>
      </c>
      <c r="S570" s="6">
        <f t="shared" si="154"/>
        <v>141.41035479613561</v>
      </c>
      <c r="T570" s="2">
        <f t="shared" si="155"/>
        <v>1</v>
      </c>
      <c r="U570" s="6">
        <f t="shared" si="156"/>
        <v>141.41035479613561</v>
      </c>
      <c r="V570">
        <f>IF((R570-$AB$774)/($Z$773-$AB$774)&lt;0, 0, IF((R570-$AB$774)/($Z$773-$AB$774)&gt;1, 1, (R570-$AB$774)/($Z$773-$AB$774)))</f>
        <v>8.0829927296390269E-2</v>
      </c>
      <c r="W570" s="6">
        <f t="shared" si="157"/>
        <v>11.430188697128393</v>
      </c>
      <c r="AK570" s="78">
        <v>45037.625</v>
      </c>
      <c r="AL570" s="5">
        <v>4.87689162798981E-2</v>
      </c>
      <c r="AM570" s="5">
        <v>74.312865549999998</v>
      </c>
      <c r="AN570" s="2">
        <v>18585</v>
      </c>
      <c r="AO570" s="7">
        <f t="shared" si="162"/>
        <v>309.75</v>
      </c>
      <c r="AP570" s="5">
        <f t="shared" si="158"/>
        <v>15.106171817698437</v>
      </c>
      <c r="AQ570" s="6">
        <f t="shared" si="159"/>
        <v>140.37362401116073</v>
      </c>
      <c r="AR570" s="2">
        <f t="shared" si="160"/>
        <v>-2.1301186875174403</v>
      </c>
      <c r="AS570" s="2">
        <f t="shared" si="161"/>
        <v>-299.01247974072032</v>
      </c>
    </row>
    <row r="571" spans="13:45" x14ac:dyDescent="0.3">
      <c r="M571" s="78">
        <v>45038.635416666664</v>
      </c>
      <c r="N571" s="5">
        <v>4.9119080365866298E-2</v>
      </c>
      <c r="O571" s="5">
        <v>65.290959470000004</v>
      </c>
      <c r="P571" s="2">
        <v>18740</v>
      </c>
      <c r="Q571" s="7">
        <f t="shared" si="152"/>
        <v>312.33333333333331</v>
      </c>
      <c r="R571" s="6">
        <f t="shared" si="153"/>
        <v>15.341526100938907</v>
      </c>
      <c r="S571" s="6">
        <f t="shared" si="154"/>
        <v>141.44038444953395</v>
      </c>
      <c r="T571" s="2">
        <f t="shared" si="155"/>
        <v>1</v>
      </c>
      <c r="U571" s="6">
        <f t="shared" si="156"/>
        <v>141.44038444953395</v>
      </c>
      <c r="V571">
        <f>IF((R571-$AB$774)/($Z$773-$AB$774)&lt;0, 0, IF((R571-$AB$774)/($Z$773-$AB$774)&gt;1, 1, (R571-$AB$774)/($Z$773-$AB$774)))</f>
        <v>8.2047334195813781E-2</v>
      </c>
      <c r="W571" s="6">
        <f t="shared" si="157"/>
        <v>11.604806491715294</v>
      </c>
      <c r="AK571" s="78">
        <v>45037.635416666664</v>
      </c>
      <c r="AL571" s="5">
        <v>4.8879583493798999E-2</v>
      </c>
      <c r="AM571" s="5">
        <v>72.970159429999995</v>
      </c>
      <c r="AN571" s="2">
        <v>18461</v>
      </c>
      <c r="AO571" s="7">
        <f t="shared" si="162"/>
        <v>307.68333333333334</v>
      </c>
      <c r="AP571" s="5">
        <f t="shared" si="158"/>
        <v>15.039433181317056</v>
      </c>
      <c r="AQ571" s="6">
        <f t="shared" si="159"/>
        <v>140.06958529055279</v>
      </c>
      <c r="AR571" s="2">
        <f t="shared" si="160"/>
        <v>-2.1301186875174403</v>
      </c>
      <c r="AS571" s="2">
        <f t="shared" si="161"/>
        <v>-298.36484118022446</v>
      </c>
    </row>
    <row r="572" spans="13:45" x14ac:dyDescent="0.3">
      <c r="M572" s="78">
        <v>45038.645833333336</v>
      </c>
      <c r="N572" s="5">
        <v>5.1302114919567397E-2</v>
      </c>
      <c r="O572" s="5">
        <v>66.655723199999997</v>
      </c>
      <c r="P572" s="2">
        <v>18333</v>
      </c>
      <c r="Q572" s="7">
        <f t="shared" si="152"/>
        <v>305.55</v>
      </c>
      <c r="R572" s="6">
        <f t="shared" si="153"/>
        <v>15.675361213673819</v>
      </c>
      <c r="S572" s="6">
        <f t="shared" si="154"/>
        <v>142.93929325941835</v>
      </c>
      <c r="T572" s="2">
        <f t="shared" si="155"/>
        <v>1</v>
      </c>
      <c r="U572" s="6">
        <f t="shared" si="156"/>
        <v>142.93929325941835</v>
      </c>
      <c r="V572">
        <f>IF((R572-$AB$774)/($Z$773-$AB$774)&lt;0, 0, IF((R572-$AB$774)/($Z$773-$AB$774)&gt;1, 1, (R572-$AB$774)/($Z$773-$AB$774)))</f>
        <v>0.14315567145934857</v>
      </c>
      <c r="W572" s="6">
        <f t="shared" si="157"/>
        <v>20.462570504476773</v>
      </c>
      <c r="AK572" s="78">
        <v>45037.645833333336</v>
      </c>
      <c r="AL572" s="5">
        <v>5.0115671291719899E-2</v>
      </c>
      <c r="AM572" s="5">
        <v>72.077340390000003</v>
      </c>
      <c r="AN572" s="2">
        <v>18875</v>
      </c>
      <c r="AO572" s="7">
        <f t="shared" si="162"/>
        <v>314.58333333333331</v>
      </c>
      <c r="AP572" s="5">
        <f t="shared" si="158"/>
        <v>15.765554927186884</v>
      </c>
      <c r="AQ572" s="6">
        <f t="shared" si="159"/>
        <v>143.34145822479096</v>
      </c>
      <c r="AR572" s="2">
        <f t="shared" si="160"/>
        <v>-2.1301186875174403</v>
      </c>
      <c r="AS572" s="2">
        <f t="shared" si="161"/>
        <v>-305.33431886062772</v>
      </c>
    </row>
    <row r="573" spans="13:45" x14ac:dyDescent="0.3">
      <c r="M573" s="78">
        <v>45038.65625</v>
      </c>
      <c r="N573" s="5">
        <v>5.2283086095183499E-2</v>
      </c>
      <c r="O573" s="5">
        <v>68.008627450000006</v>
      </c>
      <c r="P573" s="2">
        <v>17606</v>
      </c>
      <c r="Q573" s="7">
        <f t="shared" si="152"/>
        <v>293.43333333333334</v>
      </c>
      <c r="R573" s="6">
        <f t="shared" si="153"/>
        <v>15.341600229863346</v>
      </c>
      <c r="S573" s="6">
        <f t="shared" si="154"/>
        <v>141.44071912365561</v>
      </c>
      <c r="T573" s="2">
        <f t="shared" si="155"/>
        <v>1</v>
      </c>
      <c r="U573" s="6">
        <f t="shared" si="156"/>
        <v>141.44071912365561</v>
      </c>
      <c r="V573">
        <f>IF((R573-$AB$774)/($Z$773-$AB$774)&lt;0, 0, IF((R573-$AB$774)/($Z$773-$AB$774)&gt;1, 1, (R573-$AB$774)/($Z$773-$AB$774)))</f>
        <v>8.2060903455435638E-2</v>
      </c>
      <c r="W573" s="6">
        <f t="shared" si="157"/>
        <v>11.606753196673692</v>
      </c>
      <c r="AK573" s="78">
        <v>45037.65625</v>
      </c>
      <c r="AL573" s="5">
        <v>5.3046470592876302E-2</v>
      </c>
      <c r="AM573" s="5">
        <v>74.320531029999998</v>
      </c>
      <c r="AN573" s="2">
        <v>17918</v>
      </c>
      <c r="AO573" s="7">
        <f t="shared" si="162"/>
        <v>298.63333333333333</v>
      </c>
      <c r="AP573" s="5">
        <f t="shared" si="158"/>
        <v>15.841444334719293</v>
      </c>
      <c r="AQ573" s="6">
        <f t="shared" si="159"/>
        <v>143.67893305430331</v>
      </c>
      <c r="AR573" s="2">
        <f t="shared" si="160"/>
        <v>-2.1301186875174403</v>
      </c>
      <c r="AS573" s="2">
        <f t="shared" si="161"/>
        <v>-306.05318030153876</v>
      </c>
    </row>
    <row r="574" spans="13:45" x14ac:dyDescent="0.3">
      <c r="M574" s="78">
        <v>45038.666666666664</v>
      </c>
      <c r="N574" s="5">
        <v>4.9445088497601902E-2</v>
      </c>
      <c r="O574" s="5">
        <v>71.17580074</v>
      </c>
      <c r="P574" s="2">
        <v>18264</v>
      </c>
      <c r="Q574" s="7">
        <f t="shared" si="152"/>
        <v>304.39999999999998</v>
      </c>
      <c r="R574" s="6">
        <f t="shared" si="153"/>
        <v>15.051084938670018</v>
      </c>
      <c r="S574" s="6">
        <f t="shared" si="154"/>
        <v>140.12271630220951</v>
      </c>
      <c r="T574" s="2">
        <f t="shared" si="155"/>
        <v>1</v>
      </c>
      <c r="U574" s="6">
        <f t="shared" si="156"/>
        <v>140.12271630220951</v>
      </c>
      <c r="V574">
        <f>IF((R574-$AB$774)/($Z$773-$AB$774)&lt;0, 0, IF((R574-$AB$774)/($Z$773-$AB$774)&gt;1, 1, (R574-$AB$774)/($Z$773-$AB$774)))</f>
        <v>2.8882236151637201E-2</v>
      </c>
      <c r="W574" s="6">
        <f t="shared" si="157"/>
        <v>4.047057382449279</v>
      </c>
      <c r="AK574" s="78">
        <v>45037.666666666664</v>
      </c>
      <c r="AL574" s="5">
        <v>5.0800305434357103E-2</v>
      </c>
      <c r="AM574" s="5">
        <v>73.423571839999994</v>
      </c>
      <c r="AN574" s="2">
        <v>18572</v>
      </c>
      <c r="AO574" s="7">
        <f t="shared" si="162"/>
        <v>309.53333333333336</v>
      </c>
      <c r="AP574" s="5">
        <f t="shared" si="158"/>
        <v>15.724387875448004</v>
      </c>
      <c r="AQ574" s="6">
        <f t="shared" si="159"/>
        <v>143.15804440403576</v>
      </c>
      <c r="AR574" s="2">
        <f t="shared" si="160"/>
        <v>-2.1301186875174403</v>
      </c>
      <c r="AS574" s="2">
        <f t="shared" si="161"/>
        <v>-304.94362565348808</v>
      </c>
    </row>
    <row r="575" spans="13:45" x14ac:dyDescent="0.3">
      <c r="M575" s="78">
        <v>45038.677083333336</v>
      </c>
      <c r="N575" s="5">
        <v>4.9203790305636499E-2</v>
      </c>
      <c r="O575" s="5">
        <v>64.377553680000005</v>
      </c>
      <c r="P575" s="2">
        <v>18260</v>
      </c>
      <c r="Q575" s="7">
        <f t="shared" si="152"/>
        <v>304.33333333333331</v>
      </c>
      <c r="R575" s="6">
        <f t="shared" si="153"/>
        <v>14.974353516348707</v>
      </c>
      <c r="S575" s="6">
        <f t="shared" si="154"/>
        <v>139.77244053181221</v>
      </c>
      <c r="T575" s="2">
        <f t="shared" si="155"/>
        <v>1</v>
      </c>
      <c r="U575" s="6">
        <f t="shared" si="156"/>
        <v>139.77244053181221</v>
      </c>
      <c r="V575">
        <f>IF((R575-$AB$774)/($Z$773-$AB$774)&lt;0, 0, IF((R575-$AB$774)/($Z$773-$AB$774)&gt;1, 1, (R575-$AB$774)/($Z$773-$AB$774)))</f>
        <v>1.4836590696586691E-2</v>
      </c>
      <c r="W575" s="6">
        <f t="shared" si="157"/>
        <v>2.0737464908335017</v>
      </c>
      <c r="AK575" s="78">
        <v>45037.677083333336</v>
      </c>
      <c r="AL575" s="5">
        <v>5.1164826940751799E-2</v>
      </c>
      <c r="AM575" s="5">
        <v>76.993676070000006</v>
      </c>
      <c r="AN575" s="2">
        <v>18614</v>
      </c>
      <c r="AO575" s="7">
        <f t="shared" si="162"/>
        <v>310.23333333333335</v>
      </c>
      <c r="AP575" s="5">
        <f t="shared" si="158"/>
        <v>15.873034811252568</v>
      </c>
      <c r="AQ575" s="6">
        <f t="shared" si="159"/>
        <v>143.81917043490191</v>
      </c>
      <c r="AR575" s="2">
        <f t="shared" si="160"/>
        <v>-2.1301186875174403</v>
      </c>
      <c r="AS575" s="2">
        <f t="shared" si="161"/>
        <v>-306.35190256664032</v>
      </c>
    </row>
    <row r="576" spans="13:45" x14ac:dyDescent="0.3">
      <c r="M576" s="78">
        <v>45038.6875</v>
      </c>
      <c r="N576" s="5">
        <v>5.4487886121907997E-2</v>
      </c>
      <c r="O576" s="5">
        <v>65.283151739999994</v>
      </c>
      <c r="P576" s="2">
        <v>17955</v>
      </c>
      <c r="Q576" s="7">
        <f t="shared" si="152"/>
        <v>299.25</v>
      </c>
      <c r="R576" s="6">
        <f t="shared" si="153"/>
        <v>16.305499921980967</v>
      </c>
      <c r="S576" s="6">
        <f t="shared" si="154"/>
        <v>145.72484787143208</v>
      </c>
      <c r="T576" s="2">
        <f t="shared" si="155"/>
        <v>1</v>
      </c>
      <c r="U576" s="6">
        <f t="shared" si="156"/>
        <v>145.72484787143208</v>
      </c>
      <c r="V576">
        <f>IF((R576-$AB$774)/($Z$773-$AB$774)&lt;0, 0, IF((R576-$AB$774)/($Z$773-$AB$774)&gt;1, 1, (R576-$AB$774)/($Z$773-$AB$774)))</f>
        <v>0.25850222202012918</v>
      </c>
      <c r="W576" s="6">
        <f t="shared" si="157"/>
        <v>37.670196978310486</v>
      </c>
      <c r="AK576" s="78">
        <v>45037.6875</v>
      </c>
      <c r="AL576" s="5">
        <v>4.8903076109205697E-2</v>
      </c>
      <c r="AM576" s="5">
        <v>72.069636250000002</v>
      </c>
      <c r="AN576" s="2">
        <v>18798</v>
      </c>
      <c r="AO576" s="7">
        <f t="shared" si="162"/>
        <v>313.3</v>
      </c>
      <c r="AP576" s="5">
        <f t="shared" si="158"/>
        <v>15.321333745014146</v>
      </c>
      <c r="AQ576" s="6">
        <f t="shared" si="159"/>
        <v>141.34919011025016</v>
      </c>
      <c r="AR576" s="2">
        <f t="shared" si="160"/>
        <v>-2.1301186875174403</v>
      </c>
      <c r="AS576" s="2">
        <f t="shared" si="161"/>
        <v>-301.09055131929921</v>
      </c>
    </row>
    <row r="577" spans="13:45" x14ac:dyDescent="0.3">
      <c r="M577" s="78">
        <v>45038.697916666664</v>
      </c>
      <c r="N577" s="5">
        <v>5.2799928797640699E-2</v>
      </c>
      <c r="O577" s="5">
        <v>63.015482910000003</v>
      </c>
      <c r="P577" s="2">
        <v>18053</v>
      </c>
      <c r="Q577" s="7">
        <f t="shared" si="152"/>
        <v>300.88333333333333</v>
      </c>
      <c r="R577" s="6">
        <f t="shared" si="153"/>
        <v>15.886618576396792</v>
      </c>
      <c r="S577" s="6">
        <f t="shared" si="154"/>
        <v>143.87942809740656</v>
      </c>
      <c r="T577" s="2">
        <f t="shared" si="155"/>
        <v>1</v>
      </c>
      <c r="U577" s="6">
        <f t="shared" si="156"/>
        <v>143.87942809740656</v>
      </c>
      <c r="V577">
        <f>IF((R577-$AB$774)/($Z$773-$AB$774)&lt;0, 0, IF((R577-$AB$774)/($Z$773-$AB$774)&gt;1, 1, (R577-$AB$774)/($Z$773-$AB$774)))</f>
        <v>0.18182621772070443</v>
      </c>
      <c r="W577" s="6">
        <f t="shared" si="157"/>
        <v>26.161052218769484</v>
      </c>
      <c r="AK577" s="78">
        <v>45037.697916666664</v>
      </c>
      <c r="AL577" s="5">
        <v>4.9594989552659501E-2</v>
      </c>
      <c r="AM577" s="5">
        <v>73.415890989999994</v>
      </c>
      <c r="AN577" s="2">
        <v>18269</v>
      </c>
      <c r="AO577" s="7">
        <f t="shared" si="162"/>
        <v>304.48333333333335</v>
      </c>
      <c r="AP577" s="5">
        <f t="shared" si="158"/>
        <v>15.100847735625608</v>
      </c>
      <c r="AQ577" s="6">
        <f t="shared" si="159"/>
        <v>140.34939448073845</v>
      </c>
      <c r="AR577" s="2">
        <f t="shared" si="160"/>
        <v>-2.1301186875174403</v>
      </c>
      <c r="AS577" s="2">
        <f t="shared" si="161"/>
        <v>-298.96086796517807</v>
      </c>
    </row>
    <row r="578" spans="13:45" x14ac:dyDescent="0.3">
      <c r="M578" s="78">
        <v>45038.708333333336</v>
      </c>
      <c r="N578" s="5">
        <v>5.0156052569912103E-2</v>
      </c>
      <c r="O578" s="5">
        <v>71.17580074</v>
      </c>
      <c r="P578" s="2">
        <v>17869</v>
      </c>
      <c r="Q578" s="7">
        <f t="shared" si="152"/>
        <v>297.81666666666666</v>
      </c>
      <c r="R578" s="6">
        <f t="shared" si="153"/>
        <v>14.937308389529322</v>
      </c>
      <c r="S578" s="6">
        <f t="shared" si="154"/>
        <v>139.6030032226854</v>
      </c>
      <c r="T578" s="2">
        <f t="shared" si="155"/>
        <v>1</v>
      </c>
      <c r="U578" s="6">
        <f t="shared" si="156"/>
        <v>139.6030032226854</v>
      </c>
      <c r="V578">
        <f>IF((R578-$AB$774)/($Z$773-$AB$774)&lt;0, 0, IF((R578-$AB$774)/($Z$773-$AB$774)&gt;1, 1, (R578-$AB$774)/($Z$773-$AB$774)))</f>
        <v>8.0555002202024953E-3</v>
      </c>
      <c r="W578" s="6">
        <f t="shared" si="157"/>
        <v>1.1245720232012719</v>
      </c>
      <c r="AK578" s="78">
        <v>45037.708333333336</v>
      </c>
      <c r="AL578" s="5">
        <v>5.1841407834285397E-2</v>
      </c>
      <c r="AM578" s="5">
        <v>70.720093730000002</v>
      </c>
      <c r="AN578" s="2">
        <v>19428</v>
      </c>
      <c r="AO578" s="7">
        <f t="shared" si="162"/>
        <v>323.8</v>
      </c>
      <c r="AP578" s="5">
        <f t="shared" si="158"/>
        <v>16.78624785674161</v>
      </c>
      <c r="AQ578" s="6">
        <f t="shared" si="159"/>
        <v>147.81325679264444</v>
      </c>
      <c r="AR578" s="2">
        <f t="shared" si="160"/>
        <v>-2.1301186875174403</v>
      </c>
      <c r="AS578" s="2">
        <f t="shared" si="161"/>
        <v>-314.85978055682614</v>
      </c>
    </row>
    <row r="579" spans="13:45" x14ac:dyDescent="0.3">
      <c r="M579" s="78">
        <v>45038.71875</v>
      </c>
      <c r="N579" s="5">
        <v>5.02383733812337E-2</v>
      </c>
      <c r="O579" s="5">
        <v>70.279402750000003</v>
      </c>
      <c r="P579" s="2">
        <v>18584</v>
      </c>
      <c r="Q579" s="7">
        <f t="shared" si="152"/>
        <v>309.73333333333335</v>
      </c>
      <c r="R579" s="6">
        <f t="shared" si="153"/>
        <v>15.560498848614118</v>
      </c>
      <c r="S579" s="6">
        <f t="shared" si="154"/>
        <v>142.42541984803222</v>
      </c>
      <c r="T579" s="2">
        <f t="shared" si="155"/>
        <v>1</v>
      </c>
      <c r="U579" s="6">
        <f t="shared" si="156"/>
        <v>142.42541984803222</v>
      </c>
      <c r="V579">
        <f>IF((R579-$AB$774)/($Z$773-$AB$774)&lt;0, 0, IF((R579-$AB$774)/($Z$773-$AB$774)&gt;1, 1, (R579-$AB$774)/($Z$773-$AB$774)))</f>
        <v>0.122130177509798</v>
      </c>
      <c r="W579" s="6">
        <f t="shared" si="157"/>
        <v>17.394441807947683</v>
      </c>
      <c r="AK579" s="78">
        <v>45037.71875</v>
      </c>
      <c r="AL579" s="5">
        <v>5.2049654755757901E-2</v>
      </c>
      <c r="AM579" s="5">
        <v>73.415890989999994</v>
      </c>
      <c r="AN579" s="2">
        <v>18951</v>
      </c>
      <c r="AO579" s="7">
        <f t="shared" si="162"/>
        <v>315.85000000000002</v>
      </c>
      <c r="AP579" s="5">
        <f t="shared" si="158"/>
        <v>16.439883454606136</v>
      </c>
      <c r="AQ579" s="6">
        <f t="shared" si="159"/>
        <v>146.31174935994574</v>
      </c>
      <c r="AR579" s="2">
        <f t="shared" si="160"/>
        <v>-2.1301186875174403</v>
      </c>
      <c r="AS579" s="2">
        <f t="shared" si="161"/>
        <v>-311.66139151498828</v>
      </c>
    </row>
    <row r="580" spans="13:45" x14ac:dyDescent="0.3">
      <c r="M580" s="78">
        <v>45038.729166666664</v>
      </c>
      <c r="N580" s="5">
        <v>4.5724997316234098E-2</v>
      </c>
      <c r="O580" s="5">
        <v>66.647934039999996</v>
      </c>
      <c r="P580" s="2">
        <v>18749</v>
      </c>
      <c r="Q580" s="7">
        <f t="shared" ref="Q580:Q643" si="163">P580/60</f>
        <v>312.48333333333335</v>
      </c>
      <c r="R580" s="6">
        <f t="shared" ref="R580:R643" si="164">N580*Q580</f>
        <v>14.288299578034552</v>
      </c>
      <c r="S580" s="6">
        <f t="shared" ref="S580:S643" si="165">37.141*R580^0.4897</f>
        <v>136.59901469094703</v>
      </c>
      <c r="T580" s="2">
        <f t="shared" ref="T580:T643" si="166">IF((O580-$R$1)/($P$1-$R$1)&lt;0, 0, IF((O580-$R$1)/($P$1-$R$1)&gt;1, 1, (O580-$R$1)/($P$1-$R$1)))</f>
        <v>1</v>
      </c>
      <c r="U580" s="6">
        <f t="shared" ref="U580:U643" si="167">S580*T580</f>
        <v>136.59901469094703</v>
      </c>
      <c r="V580">
        <f>IF((R580-$AB$774)/($Z$773-$AB$774)&lt;0, 0, IF((R580-$AB$774)/($Z$773-$AB$774)&gt;1, 1, (R580-$AB$774)/($Z$773-$AB$774)))</f>
        <v>0</v>
      </c>
      <c r="W580" s="6">
        <f t="shared" ref="W580:W643" si="168">S580*V580</f>
        <v>0</v>
      </c>
      <c r="AK580" s="78">
        <v>45037.729166666664</v>
      </c>
      <c r="AL580" s="5">
        <v>4.7056361199840399E-2</v>
      </c>
      <c r="AM580" s="5">
        <v>71.17580074</v>
      </c>
      <c r="AN580" s="2">
        <v>19080</v>
      </c>
      <c r="AO580" s="7">
        <f t="shared" si="162"/>
        <v>318</v>
      </c>
      <c r="AP580" s="5">
        <f t="shared" ref="AP580:AP643" si="169">AO580*AL580</f>
        <v>14.963922861549246</v>
      </c>
      <c r="AQ580" s="6">
        <f t="shared" ref="AQ580:AQ643" si="170">37.141*AP580^0.4897</f>
        <v>139.72475437194717</v>
      </c>
      <c r="AR580" s="2">
        <f t="shared" ref="AR580:AR643" si="171">IF((AM580-$AP$1)/($AN$1-$AP$1)&lt;0, 0, IF((AA580-$AP$1)/($AN$1-$AP$1)&gt;1, 1, (AA580-$AP$1)/($AN$1-$AP$1)))</f>
        <v>-2.1301186875174403</v>
      </c>
      <c r="AS580" s="2">
        <f t="shared" ref="AS580:AS643" si="172">AQ580*AR580</f>
        <v>-297.63031039646881</v>
      </c>
    </row>
    <row r="581" spans="13:45" x14ac:dyDescent="0.3">
      <c r="M581" s="78">
        <v>45038.739583333336</v>
      </c>
      <c r="N581" s="5">
        <v>5.1810721844537097E-2</v>
      </c>
      <c r="O581" s="5">
        <v>73.415890989999994</v>
      </c>
      <c r="P581" s="2">
        <v>19497</v>
      </c>
      <c r="Q581" s="7">
        <f t="shared" si="163"/>
        <v>324.95</v>
      </c>
      <c r="R581" s="6">
        <f t="shared" si="164"/>
        <v>16.83589406338233</v>
      </c>
      <c r="S581" s="6">
        <f t="shared" si="165"/>
        <v>148.02717540159728</v>
      </c>
      <c r="T581" s="2">
        <f t="shared" si="166"/>
        <v>1</v>
      </c>
      <c r="U581" s="6">
        <f t="shared" si="167"/>
        <v>148.02717540159728</v>
      </c>
      <c r="V581">
        <f>IF((R581-$AB$774)/($Z$773-$AB$774)&lt;0, 0, IF((R581-$AB$774)/($Z$773-$AB$774)&gt;1, 1, (R581-$AB$774)/($Z$773-$AB$774)))</f>
        <v>0.35559058342654132</v>
      </c>
      <c r="W581" s="6">
        <f t="shared" si="168"/>
        <v>52.637069664036943</v>
      </c>
      <c r="AK581" s="78">
        <v>45037.739583333336</v>
      </c>
      <c r="AL581" s="5">
        <v>5.0139510934276703E-2</v>
      </c>
      <c r="AM581" s="5">
        <v>74.757192930000002</v>
      </c>
      <c r="AN581" s="2">
        <v>19174</v>
      </c>
      <c r="AO581" s="7">
        <f t="shared" si="162"/>
        <v>319.56666666666666</v>
      </c>
      <c r="AP581" s="5">
        <f t="shared" si="169"/>
        <v>16.022916377563693</v>
      </c>
      <c r="AQ581" s="6">
        <f t="shared" si="170"/>
        <v>144.48259645824794</v>
      </c>
      <c r="AR581" s="2">
        <f t="shared" si="171"/>
        <v>-2.1301186875174403</v>
      </c>
      <c r="AS581" s="2">
        <f t="shared" si="172"/>
        <v>-307.76507873675507</v>
      </c>
    </row>
    <row r="582" spans="13:45" x14ac:dyDescent="0.3">
      <c r="M582" s="78">
        <v>45038.75</v>
      </c>
      <c r="N582" s="5">
        <v>4.79925119079374E-2</v>
      </c>
      <c r="O582" s="5">
        <v>71.630262669999993</v>
      </c>
      <c r="P582" s="2">
        <v>19463</v>
      </c>
      <c r="Q582" s="7">
        <f t="shared" si="163"/>
        <v>324.38333333333333</v>
      </c>
      <c r="R582" s="6">
        <f t="shared" si="164"/>
        <v>15.567970987736427</v>
      </c>
      <c r="S582" s="6">
        <f t="shared" si="165"/>
        <v>142.45890758845132</v>
      </c>
      <c r="T582" s="2">
        <f t="shared" si="166"/>
        <v>1</v>
      </c>
      <c r="U582" s="6">
        <f t="shared" si="167"/>
        <v>142.45890758845132</v>
      </c>
      <c r="V582">
        <f>IF((R582-$AB$774)/($Z$773-$AB$774)&lt;0, 0, IF((R582-$AB$774)/($Z$773-$AB$774)&gt;1, 1, (R582-$AB$774)/($Z$773-$AB$774)))</f>
        <v>0.12349794854450233</v>
      </c>
      <c r="W582" s="6">
        <f t="shared" si="168"/>
        <v>17.593382839064574</v>
      </c>
      <c r="AK582" s="78">
        <v>45037.75</v>
      </c>
      <c r="AL582" s="5">
        <v>4.6964238809270697E-2</v>
      </c>
      <c r="AM582" s="5">
        <v>75.652056590000001</v>
      </c>
      <c r="AN582" s="2">
        <v>18921</v>
      </c>
      <c r="AO582" s="7">
        <f t="shared" si="162"/>
        <v>315.35000000000002</v>
      </c>
      <c r="AP582" s="5">
        <f t="shared" si="169"/>
        <v>14.810172708503515</v>
      </c>
      <c r="AQ582" s="6">
        <f t="shared" si="170"/>
        <v>139.01987220807712</v>
      </c>
      <c r="AR582" s="2">
        <f t="shared" si="171"/>
        <v>-2.1301186875174403</v>
      </c>
      <c r="AS582" s="2">
        <f t="shared" si="172"/>
        <v>-296.12882772671151</v>
      </c>
    </row>
    <row r="583" spans="13:45" x14ac:dyDescent="0.3">
      <c r="M583" s="78">
        <v>45038.760416666664</v>
      </c>
      <c r="N583" s="5">
        <v>4.9756536054832101E-2</v>
      </c>
      <c r="O583" s="5">
        <v>68.016396760000006</v>
      </c>
      <c r="P583" s="2">
        <v>19519</v>
      </c>
      <c r="Q583" s="7">
        <f t="shared" si="163"/>
        <v>325.31666666666666</v>
      </c>
      <c r="R583" s="6">
        <f t="shared" si="164"/>
        <v>16.186630454237797</v>
      </c>
      <c r="S583" s="6">
        <f t="shared" si="165"/>
        <v>145.20364120808964</v>
      </c>
      <c r="T583" s="2">
        <f t="shared" si="166"/>
        <v>1</v>
      </c>
      <c r="U583" s="6">
        <f t="shared" si="167"/>
        <v>145.20364120808964</v>
      </c>
      <c r="V583">
        <f>IF((R583-$AB$774)/($Z$773-$AB$774)&lt;0, 0, IF((R583-$AB$774)/($Z$773-$AB$774)&gt;1, 1, (R583-$AB$774)/($Z$773-$AB$774)))</f>
        <v>0.23674323008642392</v>
      </c>
      <c r="W583" s="6">
        <f t="shared" si="168"/>
        <v>34.375979039913311</v>
      </c>
      <c r="AK583" s="78">
        <v>45037.760416666664</v>
      </c>
      <c r="AL583" s="5">
        <v>4.7225087954495398E-2</v>
      </c>
      <c r="AM583" s="5">
        <v>72.069636250000002</v>
      </c>
      <c r="AN583" s="2">
        <v>19093</v>
      </c>
      <c r="AO583" s="7">
        <f t="shared" si="162"/>
        <v>318.21666666666664</v>
      </c>
      <c r="AP583" s="5">
        <f t="shared" si="169"/>
        <v>15.027810071919676</v>
      </c>
      <c r="AQ583" s="6">
        <f t="shared" si="170"/>
        <v>140.01656397886674</v>
      </c>
      <c r="AR583" s="2">
        <f t="shared" si="171"/>
        <v>-2.1301186875174403</v>
      </c>
      <c r="AS583" s="2">
        <f t="shared" si="172"/>
        <v>-298.25189949336533</v>
      </c>
    </row>
    <row r="584" spans="13:45" x14ac:dyDescent="0.3">
      <c r="M584" s="78">
        <v>45038.770833333336</v>
      </c>
      <c r="N584" s="5">
        <v>4.6770692405851098E-2</v>
      </c>
      <c r="O584" s="5">
        <v>70.279402750000003</v>
      </c>
      <c r="P584" s="2">
        <v>19405</v>
      </c>
      <c r="Q584" s="7">
        <f t="shared" si="163"/>
        <v>323.41666666666669</v>
      </c>
      <c r="R584" s="6">
        <f t="shared" si="164"/>
        <v>15.126421435592343</v>
      </c>
      <c r="S584" s="6">
        <f t="shared" si="165"/>
        <v>140.46573884306179</v>
      </c>
      <c r="T584" s="2">
        <f t="shared" si="166"/>
        <v>1</v>
      </c>
      <c r="U584" s="6">
        <f t="shared" si="167"/>
        <v>140.46573884306179</v>
      </c>
      <c r="V584">
        <f>IF((R584-$AB$774)/($Z$773-$AB$774)&lt;0, 0, IF((R584-$AB$774)/($Z$773-$AB$774)&gt;1, 1, (R584-$AB$774)/($Z$773-$AB$774)))</f>
        <v>4.2672541265043204E-2</v>
      </c>
      <c r="W584" s="6">
        <f t="shared" si="168"/>
        <v>5.9940300371053361</v>
      </c>
      <c r="AK584" s="78">
        <v>45037.770833333336</v>
      </c>
      <c r="AL584" s="5">
        <v>4.5043117551464E-2</v>
      </c>
      <c r="AM584" s="5">
        <v>70.727821939999998</v>
      </c>
      <c r="AN584" s="2">
        <v>19338</v>
      </c>
      <c r="AO584" s="7">
        <f t="shared" si="162"/>
        <v>322.3</v>
      </c>
      <c r="AP584" s="5">
        <f t="shared" si="169"/>
        <v>14.517396786836848</v>
      </c>
      <c r="AQ584" s="6">
        <f t="shared" si="170"/>
        <v>137.66721036200468</v>
      </c>
      <c r="AR584" s="2">
        <f t="shared" si="171"/>
        <v>-2.1301186875174403</v>
      </c>
      <c r="AS584" s="2">
        <f t="shared" si="172"/>
        <v>-293.24749745050076</v>
      </c>
    </row>
    <row r="585" spans="13:45" x14ac:dyDescent="0.3">
      <c r="M585" s="78">
        <v>45038.78125</v>
      </c>
      <c r="N585" s="5">
        <v>4.5542960536420499E-2</v>
      </c>
      <c r="O585" s="5">
        <v>69.373566690000004</v>
      </c>
      <c r="P585" s="2">
        <v>19129</v>
      </c>
      <c r="Q585" s="7">
        <f t="shared" si="163"/>
        <v>318.81666666666666</v>
      </c>
      <c r="R585" s="6">
        <f t="shared" si="164"/>
        <v>14.519854868353129</v>
      </c>
      <c r="S585" s="6">
        <f t="shared" si="165"/>
        <v>137.67862466479551</v>
      </c>
      <c r="T585" s="2">
        <f t="shared" si="166"/>
        <v>1</v>
      </c>
      <c r="U585" s="6">
        <f t="shared" si="167"/>
        <v>137.67862466479551</v>
      </c>
      <c r="V585">
        <f>IF((R585-$AB$774)/($Z$773-$AB$774)&lt;0, 0, IF((R585-$AB$774)/($Z$773-$AB$774)&gt;1, 1, (R585-$AB$774)/($Z$773-$AB$774)))</f>
        <v>0</v>
      </c>
      <c r="W585" s="6">
        <f t="shared" si="168"/>
        <v>0</v>
      </c>
      <c r="AK585" s="78">
        <v>45037.78125</v>
      </c>
      <c r="AL585" s="5">
        <v>4.5775345245209001E-2</v>
      </c>
      <c r="AM585" s="5">
        <v>75.652056590000001</v>
      </c>
      <c r="AN585" s="2">
        <v>18974</v>
      </c>
      <c r="AO585" s="7">
        <f t="shared" si="162"/>
        <v>316.23333333333335</v>
      </c>
      <c r="AP585" s="5">
        <f t="shared" si="169"/>
        <v>14.475690011376594</v>
      </c>
      <c r="AQ585" s="6">
        <f t="shared" si="170"/>
        <v>137.47339099447436</v>
      </c>
      <c r="AR585" s="2">
        <f t="shared" si="171"/>
        <v>-2.1301186875174403</v>
      </c>
      <c r="AS585" s="2">
        <f t="shared" si="172"/>
        <v>-292.83463919372161</v>
      </c>
    </row>
    <row r="586" spans="13:45" x14ac:dyDescent="0.3">
      <c r="M586" s="78">
        <v>45038.791666666664</v>
      </c>
      <c r="N586" s="5">
        <v>4.7220995540165199E-2</v>
      </c>
      <c r="O586" s="5">
        <v>74.757192930000002</v>
      </c>
      <c r="P586" s="2">
        <v>19977</v>
      </c>
      <c r="Q586" s="7">
        <f t="shared" si="163"/>
        <v>332.95</v>
      </c>
      <c r="R586" s="6">
        <f t="shared" si="164"/>
        <v>15.722230465098002</v>
      </c>
      <c r="S586" s="6">
        <f t="shared" si="165"/>
        <v>143.14842562218902</v>
      </c>
      <c r="T586" s="2">
        <f t="shared" si="166"/>
        <v>1</v>
      </c>
      <c r="U586" s="6">
        <f t="shared" si="167"/>
        <v>143.14842562218902</v>
      </c>
      <c r="V586">
        <f>IF((R586-$AB$774)/($Z$773-$AB$774)&lt;0, 0, IF((R586-$AB$774)/($Z$773-$AB$774)&gt;1, 1, (R586-$AB$774)/($Z$773-$AB$774)))</f>
        <v>0.15173506264398026</v>
      </c>
      <c r="W586" s="6">
        <f t="shared" si="168"/>
        <v>21.720635329170001</v>
      </c>
      <c r="AK586" s="78">
        <v>45037.791666666664</v>
      </c>
      <c r="AL586" s="5">
        <v>4.5971904350343103E-2</v>
      </c>
      <c r="AM586" s="5">
        <v>74.312865549999998</v>
      </c>
      <c r="AN586" s="2">
        <v>19862</v>
      </c>
      <c r="AO586" s="7">
        <f t="shared" si="162"/>
        <v>331.03333333333336</v>
      </c>
      <c r="AP586" s="5">
        <f t="shared" si="169"/>
        <v>15.218232736775246</v>
      </c>
      <c r="AQ586" s="6">
        <f t="shared" si="170"/>
        <v>140.88259806523789</v>
      </c>
      <c r="AR586" s="2">
        <f t="shared" si="171"/>
        <v>-2.1301186875174403</v>
      </c>
      <c r="AS586" s="2">
        <f t="shared" si="172"/>
        <v>-300.09665488477157</v>
      </c>
    </row>
    <row r="587" spans="13:45" x14ac:dyDescent="0.3">
      <c r="M587" s="78">
        <v>45038.802083333336</v>
      </c>
      <c r="N587" s="5">
        <v>4.55703494782118E-2</v>
      </c>
      <c r="O587" s="5">
        <v>72.069636250000002</v>
      </c>
      <c r="P587" s="2">
        <v>19937</v>
      </c>
      <c r="Q587" s="7">
        <f t="shared" si="163"/>
        <v>332.28333333333336</v>
      </c>
      <c r="R587" s="6">
        <f t="shared" si="164"/>
        <v>15.142267625785145</v>
      </c>
      <c r="S587" s="6">
        <f t="shared" si="165"/>
        <v>140.53777874994134</v>
      </c>
      <c r="T587" s="2">
        <f t="shared" si="166"/>
        <v>1</v>
      </c>
      <c r="U587" s="6">
        <f t="shared" si="167"/>
        <v>140.53777874994134</v>
      </c>
      <c r="V587">
        <f>IF((R587-$AB$774)/($Z$773-$AB$774)&lt;0, 0, IF((R587-$AB$774)/($Z$773-$AB$774)&gt;1, 1, (R587-$AB$774)/($Z$773-$AB$774)))</f>
        <v>4.5573177829935557E-2</v>
      </c>
      <c r="W587" s="6">
        <f t="shared" si="168"/>
        <v>6.4047531827952149</v>
      </c>
      <c r="AK587" s="78">
        <v>45037.802083333336</v>
      </c>
      <c r="AL587" s="5">
        <v>4.9248497033251397E-2</v>
      </c>
      <c r="AM587" s="5">
        <v>72.077340390000003</v>
      </c>
      <c r="AN587" s="2">
        <v>18879</v>
      </c>
      <c r="AO587" s="7">
        <f t="shared" si="162"/>
        <v>314.64999999999998</v>
      </c>
      <c r="AP587" s="5">
        <f t="shared" si="169"/>
        <v>15.496039591512551</v>
      </c>
      <c r="AQ587" s="6">
        <f t="shared" si="170"/>
        <v>142.13619264382922</v>
      </c>
      <c r="AR587" s="2">
        <f t="shared" si="171"/>
        <v>-2.1301186875174403</v>
      </c>
      <c r="AS587" s="2">
        <f t="shared" si="172"/>
        <v>-302.76696012319957</v>
      </c>
    </row>
    <row r="588" spans="13:45" x14ac:dyDescent="0.3">
      <c r="M588" s="78">
        <v>45038.8125</v>
      </c>
      <c r="N588" s="5">
        <v>4.6682495889572802E-2</v>
      </c>
      <c r="O588" s="5">
        <v>74.757192930000002</v>
      </c>
      <c r="P588" s="2">
        <v>20214</v>
      </c>
      <c r="Q588" s="7">
        <f t="shared" si="163"/>
        <v>336.9</v>
      </c>
      <c r="R588" s="6">
        <f t="shared" si="164"/>
        <v>15.727332865197075</v>
      </c>
      <c r="S588" s="6">
        <f t="shared" si="165"/>
        <v>143.17117350984944</v>
      </c>
      <c r="T588" s="2">
        <f t="shared" si="166"/>
        <v>1</v>
      </c>
      <c r="U588" s="6">
        <f t="shared" si="167"/>
        <v>143.17117350984944</v>
      </c>
      <c r="V588">
        <f>IF((R588-$AB$774)/($Z$773-$AB$774)&lt;0, 0, IF((R588-$AB$774)/($Z$773-$AB$774)&gt;1, 1, (R588-$AB$774)/($Z$773-$AB$774)))</f>
        <v>0.15266905422908722</v>
      </c>
      <c r="W588" s="6">
        <f t="shared" si="168"/>
        <v>21.857807652617261</v>
      </c>
      <c r="AK588" s="78">
        <v>45037.8125</v>
      </c>
      <c r="AL588" s="5">
        <v>4.7070934871342202E-2</v>
      </c>
      <c r="AM588" s="5">
        <v>69.822823</v>
      </c>
      <c r="AN588" s="2">
        <v>20131</v>
      </c>
      <c r="AO588" s="7">
        <f t="shared" si="162"/>
        <v>335.51666666666665</v>
      </c>
      <c r="AP588" s="5">
        <f t="shared" si="169"/>
        <v>15.793083164916498</v>
      </c>
      <c r="AQ588" s="6">
        <f t="shared" si="170"/>
        <v>143.46396996577158</v>
      </c>
      <c r="AR588" s="2">
        <f t="shared" si="171"/>
        <v>-2.1301186875174403</v>
      </c>
      <c r="AS588" s="2">
        <f t="shared" si="172"/>
        <v>-305.59528340953085</v>
      </c>
    </row>
    <row r="589" spans="13:45" x14ac:dyDescent="0.3">
      <c r="M589" s="78">
        <v>45038.822916666664</v>
      </c>
      <c r="N589" s="5">
        <v>4.49180156243143E-2</v>
      </c>
      <c r="O589" s="5">
        <v>71.17580074</v>
      </c>
      <c r="P589" s="2">
        <v>20854</v>
      </c>
      <c r="Q589" s="7">
        <f t="shared" si="163"/>
        <v>347.56666666666666</v>
      </c>
      <c r="R589" s="6">
        <f t="shared" si="164"/>
        <v>15.612004963824173</v>
      </c>
      <c r="S589" s="6">
        <f t="shared" si="165"/>
        <v>142.65608742785662</v>
      </c>
      <c r="T589" s="2">
        <f t="shared" si="166"/>
        <v>1</v>
      </c>
      <c r="U589" s="6">
        <f t="shared" si="167"/>
        <v>142.65608742785662</v>
      </c>
      <c r="V589">
        <f>IF((R589-$AB$774)/($Z$773-$AB$774)&lt;0, 0, IF((R589-$AB$774)/($Z$773-$AB$774)&gt;1, 1, (R589-$AB$774)/($Z$773-$AB$774)))</f>
        <v>0.13155834410858772</v>
      </c>
      <c r="W589" s="6">
        <f t="shared" si="168"/>
        <v>18.767598639018736</v>
      </c>
      <c r="AK589" s="78">
        <v>45037.822916666664</v>
      </c>
      <c r="AL589" s="5">
        <v>4.6558801606247202E-2</v>
      </c>
      <c r="AM589" s="5">
        <v>73.415890989999994</v>
      </c>
      <c r="AN589" s="2">
        <v>19376</v>
      </c>
      <c r="AO589" s="7">
        <f t="shared" si="162"/>
        <v>322.93333333333334</v>
      </c>
      <c r="AP589" s="5">
        <f t="shared" si="169"/>
        <v>15.035388998710763</v>
      </c>
      <c r="AQ589" s="6">
        <f t="shared" si="170"/>
        <v>140.05113925523696</v>
      </c>
      <c r="AR589" s="2">
        <f t="shared" si="171"/>
        <v>-2.1301186875174403</v>
      </c>
      <c r="AS589" s="2">
        <f t="shared" si="172"/>
        <v>-298.32554893568761</v>
      </c>
    </row>
    <row r="590" spans="13:45" x14ac:dyDescent="0.3">
      <c r="M590" s="78">
        <v>45038.833333333336</v>
      </c>
      <c r="N590" s="5">
        <v>4.4943546511061999E-2</v>
      </c>
      <c r="O590" s="5">
        <v>68.924680609999996</v>
      </c>
      <c r="P590" s="2">
        <v>19865</v>
      </c>
      <c r="Q590" s="7">
        <f t="shared" si="163"/>
        <v>331.08333333333331</v>
      </c>
      <c r="R590" s="6">
        <f t="shared" si="164"/>
        <v>14.88005919070411</v>
      </c>
      <c r="S590" s="6">
        <f t="shared" si="165"/>
        <v>139.34073405436385</v>
      </c>
      <c r="T590" s="2">
        <f t="shared" si="166"/>
        <v>1</v>
      </c>
      <c r="U590" s="6">
        <f t="shared" si="167"/>
        <v>139.34073405436385</v>
      </c>
      <c r="V590">
        <f>IF((R590-$AB$774)/($Z$773-$AB$774)&lt;0, 0, IF((R590-$AB$774)/($Z$773-$AB$774)&gt;1, 1, (R590-$AB$774)/($Z$773-$AB$774)))</f>
        <v>0</v>
      </c>
      <c r="W590" s="6">
        <f t="shared" si="168"/>
        <v>0</v>
      </c>
      <c r="AK590" s="78">
        <v>45037.833333333336</v>
      </c>
      <c r="AL590" s="5">
        <v>4.5229450430314302E-2</v>
      </c>
      <c r="AM590" s="5">
        <v>71.17580074</v>
      </c>
      <c r="AN590" s="2">
        <v>19504</v>
      </c>
      <c r="AO590" s="7">
        <f t="shared" si="162"/>
        <v>325.06666666666666</v>
      </c>
      <c r="AP590" s="5">
        <f t="shared" si="169"/>
        <v>14.702586686547502</v>
      </c>
      <c r="AQ590" s="6">
        <f t="shared" si="170"/>
        <v>138.52441074055292</v>
      </c>
      <c r="AR590" s="2">
        <f t="shared" si="171"/>
        <v>-2.1301186875174403</v>
      </c>
      <c r="AS590" s="2">
        <f t="shared" si="172"/>
        <v>-295.07343599579337</v>
      </c>
    </row>
    <row r="591" spans="13:45" x14ac:dyDescent="0.3">
      <c r="M591" s="78">
        <v>45038.84375</v>
      </c>
      <c r="N591" s="5">
        <v>4.3819127334795101E-2</v>
      </c>
      <c r="O591" s="5">
        <v>68.924680609999996</v>
      </c>
      <c r="P591" s="2">
        <v>20619</v>
      </c>
      <c r="Q591" s="7">
        <f t="shared" si="163"/>
        <v>343.65</v>
      </c>
      <c r="R591" s="6">
        <f t="shared" si="164"/>
        <v>15.058443108602335</v>
      </c>
      <c r="S591" s="6">
        <f t="shared" si="165"/>
        <v>140.15625811227972</v>
      </c>
      <c r="T591" s="2">
        <f t="shared" si="166"/>
        <v>1</v>
      </c>
      <c r="U591" s="6">
        <f t="shared" si="167"/>
        <v>140.15625811227972</v>
      </c>
      <c r="V591">
        <f>IF((R591-$AB$774)/($Z$773-$AB$774)&lt;0, 0, IF((R591-$AB$774)/($Z$773-$AB$774)&gt;1, 1, (R591-$AB$774)/($Z$773-$AB$774)))</f>
        <v>3.0229145187606356E-2</v>
      </c>
      <c r="W591" s="6">
        <f t="shared" si="168"/>
        <v>4.2368038754277348</v>
      </c>
      <c r="AK591" s="78">
        <v>45037.84375</v>
      </c>
      <c r="AL591" s="5">
        <v>4.6000196787949803E-2</v>
      </c>
      <c r="AM591" s="5">
        <v>76.544179459999995</v>
      </c>
      <c r="AN591" s="2">
        <v>18578</v>
      </c>
      <c r="AO591" s="7">
        <f t="shared" si="162"/>
        <v>309.63333333333333</v>
      </c>
      <c r="AP591" s="5">
        <f t="shared" si="169"/>
        <v>14.24319426544219</v>
      </c>
      <c r="AQ591" s="6">
        <f t="shared" si="170"/>
        <v>136.38767793242269</v>
      </c>
      <c r="AR591" s="2">
        <f t="shared" si="171"/>
        <v>-2.1301186875174403</v>
      </c>
      <c r="AS591" s="2">
        <f t="shared" si="172"/>
        <v>-290.52194151096359</v>
      </c>
    </row>
    <row r="592" spans="13:45" x14ac:dyDescent="0.3">
      <c r="M592" s="78">
        <v>45038.854166666664</v>
      </c>
      <c r="N592" s="5">
        <v>4.6576631841643901E-2</v>
      </c>
      <c r="O592" s="5">
        <v>67.565551839999998</v>
      </c>
      <c r="P592" s="2">
        <v>20132</v>
      </c>
      <c r="Q592" s="7">
        <f t="shared" si="163"/>
        <v>335.53333333333336</v>
      </c>
      <c r="R592" s="6">
        <f t="shared" si="164"/>
        <v>15.628012537266251</v>
      </c>
      <c r="S592" s="6">
        <f t="shared" si="165"/>
        <v>142.72769742573354</v>
      </c>
      <c r="T592" s="2">
        <f t="shared" si="166"/>
        <v>1</v>
      </c>
      <c r="U592" s="6">
        <f t="shared" si="167"/>
        <v>142.72769742573354</v>
      </c>
      <c r="V592">
        <f>IF((R592-$AB$774)/($Z$773-$AB$774)&lt;0, 0, IF((R592-$AB$774)/($Z$773-$AB$774)&gt;1, 1, (R592-$AB$774)/($Z$773-$AB$774)))</f>
        <v>0.13448852179018486</v>
      </c>
      <c r="W592" s="6">
        <f t="shared" si="168"/>
        <v>19.195237045303678</v>
      </c>
      <c r="AK592" s="78">
        <v>45037.854166666664</v>
      </c>
      <c r="AL592" s="5">
        <v>4.5515261686260799E-2</v>
      </c>
      <c r="AM592" s="5">
        <v>67.565551839999998</v>
      </c>
      <c r="AN592" s="2">
        <v>19369</v>
      </c>
      <c r="AO592" s="7">
        <f t="shared" si="162"/>
        <v>322.81666666666666</v>
      </c>
      <c r="AP592" s="5">
        <f t="shared" si="169"/>
        <v>14.693085060019756</v>
      </c>
      <c r="AQ592" s="6">
        <f t="shared" si="170"/>
        <v>138.48056451113993</v>
      </c>
      <c r="AR592" s="2">
        <f t="shared" si="171"/>
        <v>-2.1301186875174403</v>
      </c>
      <c r="AS592" s="2">
        <f t="shared" si="172"/>
        <v>-294.98003832314362</v>
      </c>
    </row>
    <row r="593" spans="13:45" x14ac:dyDescent="0.3">
      <c r="M593" s="78">
        <v>45038.864583333336</v>
      </c>
      <c r="N593" s="5">
        <v>4.7013499292283302E-2</v>
      </c>
      <c r="O593" s="5">
        <v>68.466857000000005</v>
      </c>
      <c r="P593" s="2">
        <v>20228</v>
      </c>
      <c r="Q593" s="7">
        <f t="shared" si="163"/>
        <v>337.13333333333333</v>
      </c>
      <c r="R593" s="6">
        <f t="shared" si="164"/>
        <v>15.849817728071777</v>
      </c>
      <c r="S593" s="6">
        <f t="shared" si="165"/>
        <v>143.71611835999929</v>
      </c>
      <c r="T593" s="2">
        <f t="shared" si="166"/>
        <v>1</v>
      </c>
      <c r="U593" s="6">
        <f t="shared" si="167"/>
        <v>143.71611835999929</v>
      </c>
      <c r="V593">
        <f>IF((R593-$AB$774)/($Z$773-$AB$774)&lt;0, 0, IF((R593-$AB$774)/($Z$773-$AB$774)&gt;1, 1, (R593-$AB$774)/($Z$773-$AB$774)))</f>
        <v>0.17508984229091268</v>
      </c>
      <c r="W593" s="6">
        <f t="shared" si="168"/>
        <v>25.163232498314414</v>
      </c>
      <c r="AK593" s="78">
        <v>45037.864583333336</v>
      </c>
      <c r="AL593" s="5">
        <v>4.5761788904281002E-2</v>
      </c>
      <c r="AM593" s="5">
        <v>68.466857000000005</v>
      </c>
      <c r="AN593" s="2">
        <v>19662</v>
      </c>
      <c r="AO593" s="7">
        <f t="shared" si="162"/>
        <v>327.7</v>
      </c>
      <c r="AP593" s="5">
        <f t="shared" si="169"/>
        <v>14.996138223932883</v>
      </c>
      <c r="AQ593" s="6">
        <f t="shared" si="170"/>
        <v>139.87197974111311</v>
      </c>
      <c r="AR593" s="2">
        <f t="shared" si="171"/>
        <v>-2.1301186875174403</v>
      </c>
      <c r="AS593" s="2">
        <f t="shared" si="172"/>
        <v>-297.94391790660586</v>
      </c>
    </row>
    <row r="594" spans="13:45" x14ac:dyDescent="0.3">
      <c r="M594" s="78">
        <v>45038.875</v>
      </c>
      <c r="N594" s="5">
        <v>4.5296965591354502E-2</v>
      </c>
      <c r="O594" s="5">
        <v>71.17580074</v>
      </c>
      <c r="P594" s="2">
        <v>20559</v>
      </c>
      <c r="Q594" s="7">
        <f t="shared" si="163"/>
        <v>342.65</v>
      </c>
      <c r="R594" s="6">
        <f t="shared" si="164"/>
        <v>15.521005259877619</v>
      </c>
      <c r="S594" s="6">
        <f t="shared" si="165"/>
        <v>142.24828573441195</v>
      </c>
      <c r="T594" s="2">
        <f t="shared" si="166"/>
        <v>1</v>
      </c>
      <c r="U594" s="6">
        <f t="shared" si="167"/>
        <v>142.24828573441195</v>
      </c>
      <c r="V594">
        <f>IF((R594-$AB$774)/($Z$773-$AB$774)&lt;0, 0, IF((R594-$AB$774)/($Z$773-$AB$774)&gt;1, 1, (R594-$AB$774)/($Z$773-$AB$774)))</f>
        <v>0.11490089740056705</v>
      </c>
      <c r="W594" s="6">
        <f t="shared" si="168"/>
        <v>16.344455684576214</v>
      </c>
      <c r="AK594" s="78">
        <v>45037.875</v>
      </c>
      <c r="AL594" s="5">
        <v>4.5349803742092E-2</v>
      </c>
      <c r="AM594" s="5">
        <v>71.17580074</v>
      </c>
      <c r="AN594" s="2">
        <v>19573</v>
      </c>
      <c r="AO594" s="7">
        <f t="shared" si="162"/>
        <v>326.21666666666664</v>
      </c>
      <c r="AP594" s="5">
        <f t="shared" si="169"/>
        <v>14.793861810732777</v>
      </c>
      <c r="AQ594" s="6">
        <f t="shared" si="170"/>
        <v>138.94487470215853</v>
      </c>
      <c r="AR594" s="2">
        <f t="shared" si="171"/>
        <v>-2.1301186875174403</v>
      </c>
      <c r="AS594" s="2">
        <f t="shared" si="172"/>
        <v>-295.96907413783714</v>
      </c>
    </row>
    <row r="595" spans="13:45" x14ac:dyDescent="0.3">
      <c r="M595" s="78">
        <v>45038.885416666664</v>
      </c>
      <c r="N595" s="5">
        <v>4.5125994354690099E-2</v>
      </c>
      <c r="O595" s="5">
        <v>72.077340390000003</v>
      </c>
      <c r="P595" s="2">
        <v>20399</v>
      </c>
      <c r="Q595" s="7">
        <f t="shared" si="163"/>
        <v>339.98333333333335</v>
      </c>
      <c r="R595" s="6">
        <f t="shared" si="164"/>
        <v>15.342085980688722</v>
      </c>
      <c r="S595" s="6">
        <f t="shared" si="165"/>
        <v>141.44291215044419</v>
      </c>
      <c r="T595" s="2">
        <f t="shared" si="166"/>
        <v>1</v>
      </c>
      <c r="U595" s="6">
        <f t="shared" si="167"/>
        <v>141.44291215044419</v>
      </c>
      <c r="V595">
        <f>IF((R595-$AB$774)/($Z$773-$AB$774)&lt;0, 0, IF((R595-$AB$774)/($Z$773-$AB$774)&gt;1, 1, (R595-$AB$774)/($Z$773-$AB$774)))</f>
        <v>8.2149819881931221E-2</v>
      </c>
      <c r="W595" s="6">
        <f t="shared" si="168"/>
        <v>11.619509756734811</v>
      </c>
      <c r="AK595" s="78">
        <v>45037.885416666664</v>
      </c>
      <c r="AL595" s="5">
        <v>4.7278438315722801E-2</v>
      </c>
      <c r="AM595" s="5">
        <v>77.875916610000004</v>
      </c>
      <c r="AN595" s="2">
        <v>18602</v>
      </c>
      <c r="AO595" s="7">
        <f t="shared" si="162"/>
        <v>310.03333333333336</v>
      </c>
      <c r="AP595" s="5">
        <f t="shared" si="169"/>
        <v>14.657891825817927</v>
      </c>
      <c r="AQ595" s="6">
        <f t="shared" si="170"/>
        <v>138.31803554575754</v>
      </c>
      <c r="AR595" s="2">
        <f t="shared" si="171"/>
        <v>-2.1301186875174403</v>
      </c>
      <c r="AS595" s="2">
        <f t="shared" si="172"/>
        <v>-294.63383233671971</v>
      </c>
    </row>
    <row r="596" spans="13:45" x14ac:dyDescent="0.3">
      <c r="M596" s="78">
        <v>45038.895833333336</v>
      </c>
      <c r="N596" s="5">
        <v>4.49685132255494E-2</v>
      </c>
      <c r="O596" s="5">
        <v>73.415890989999994</v>
      </c>
      <c r="P596" s="2">
        <v>20252</v>
      </c>
      <c r="Q596" s="7">
        <f t="shared" si="163"/>
        <v>337.53333333333336</v>
      </c>
      <c r="R596" s="6">
        <f t="shared" si="164"/>
        <v>15.178372164063775</v>
      </c>
      <c r="S596" s="6">
        <f t="shared" si="165"/>
        <v>140.70177355555217</v>
      </c>
      <c r="T596" s="2">
        <f t="shared" si="166"/>
        <v>1</v>
      </c>
      <c r="U596" s="6">
        <f t="shared" si="167"/>
        <v>140.70177355555217</v>
      </c>
      <c r="V596">
        <f>IF((R596-$AB$774)/($Z$773-$AB$774)&lt;0, 0, IF((R596-$AB$774)/($Z$773-$AB$774)&gt;1, 1, (R596-$AB$774)/($Z$773-$AB$774)))</f>
        <v>5.2182094081434538E-2</v>
      </c>
      <c r="W596" s="6">
        <f t="shared" si="168"/>
        <v>7.342113185100521</v>
      </c>
      <c r="AK596" s="78">
        <v>45037.895833333336</v>
      </c>
      <c r="AL596" s="5">
        <v>4.71335990601425E-2</v>
      </c>
      <c r="AM596" s="5">
        <v>70.727821939999998</v>
      </c>
      <c r="AN596" s="2">
        <v>18590</v>
      </c>
      <c r="AO596" s="7">
        <f t="shared" si="162"/>
        <v>309.83333333333331</v>
      </c>
      <c r="AP596" s="5">
        <f t="shared" si="169"/>
        <v>14.603560108800817</v>
      </c>
      <c r="AQ596" s="6">
        <f t="shared" si="170"/>
        <v>138.06672995955836</v>
      </c>
      <c r="AR596" s="2">
        <f t="shared" si="171"/>
        <v>-2.1301186875174403</v>
      </c>
      <c r="AS596" s="2">
        <f t="shared" si="172"/>
        <v>-294.0985216112793</v>
      </c>
    </row>
    <row r="597" spans="13:45" x14ac:dyDescent="0.3">
      <c r="M597" s="78">
        <v>45038.90625</v>
      </c>
      <c r="N597" s="5">
        <v>4.5940503766539402E-2</v>
      </c>
      <c r="O597" s="5">
        <v>71.17580074</v>
      </c>
      <c r="P597" s="2">
        <v>20433</v>
      </c>
      <c r="Q597" s="7">
        <f t="shared" si="163"/>
        <v>340.55</v>
      </c>
      <c r="R597" s="6">
        <f t="shared" si="164"/>
        <v>15.645038557694994</v>
      </c>
      <c r="S597" s="6">
        <f t="shared" si="165"/>
        <v>142.80382238782104</v>
      </c>
      <c r="T597" s="2">
        <f t="shared" si="166"/>
        <v>1</v>
      </c>
      <c r="U597" s="6">
        <f t="shared" si="167"/>
        <v>142.80382238782104</v>
      </c>
      <c r="V597">
        <f>IF((R597-$AB$774)/($Z$773-$AB$774)&lt;0, 0, IF((R597-$AB$774)/($Z$773-$AB$774)&gt;1, 1, (R597-$AB$774)/($Z$773-$AB$774)))</f>
        <v>0.13760512564318225</v>
      </c>
      <c r="W597" s="6">
        <f t="shared" si="168"/>
        <v>19.650537922002798</v>
      </c>
      <c r="AK597" s="78">
        <v>45037.90625</v>
      </c>
      <c r="AL597" s="5">
        <v>4.6631402719924601E-2</v>
      </c>
      <c r="AM597" s="5">
        <v>68.016396760000006</v>
      </c>
      <c r="AN597" s="2">
        <v>19399</v>
      </c>
      <c r="AO597" s="7">
        <f t="shared" si="162"/>
        <v>323.31666666666666</v>
      </c>
      <c r="AP597" s="5">
        <f t="shared" si="169"/>
        <v>15.076709689396955</v>
      </c>
      <c r="AQ597" s="6">
        <f t="shared" si="170"/>
        <v>140.23948917333561</v>
      </c>
      <c r="AR597" s="2">
        <f t="shared" si="171"/>
        <v>-2.1301186875174403</v>
      </c>
      <c r="AS597" s="2">
        <f t="shared" si="172"/>
        <v>-298.72675661602193</v>
      </c>
    </row>
    <row r="598" spans="13:45" x14ac:dyDescent="0.3">
      <c r="M598" s="78">
        <v>45038.916666666664</v>
      </c>
      <c r="N598" s="5">
        <v>4.7200486447597903E-2</v>
      </c>
      <c r="O598" s="5">
        <v>72.523974480000007</v>
      </c>
      <c r="P598" s="2">
        <v>20183</v>
      </c>
      <c r="Q598" s="7">
        <f t="shared" si="163"/>
        <v>336.38333333333333</v>
      </c>
      <c r="R598" s="6">
        <f t="shared" si="164"/>
        <v>15.877456966197808</v>
      </c>
      <c r="S598" s="6">
        <f t="shared" si="165"/>
        <v>143.83879002827649</v>
      </c>
      <c r="T598" s="2">
        <f t="shared" si="166"/>
        <v>1</v>
      </c>
      <c r="U598" s="6">
        <f t="shared" si="167"/>
        <v>143.83879002827649</v>
      </c>
      <c r="V598">
        <f>IF((R598-$AB$774)/($Z$773-$AB$774)&lt;0, 0, IF((R598-$AB$774)/($Z$773-$AB$774)&gt;1, 1, (R598-$AB$774)/($Z$773-$AB$774)))</f>
        <v>0.18014918991697818</v>
      </c>
      <c r="W598" s="6">
        <f t="shared" si="168"/>
        <v>25.91244150223233</v>
      </c>
      <c r="AK598" s="78">
        <v>45037.916666666664</v>
      </c>
      <c r="AL598" s="5">
        <v>4.6058074564186202E-2</v>
      </c>
      <c r="AM598" s="5">
        <v>68.466857000000005</v>
      </c>
      <c r="AN598" s="2">
        <v>19276</v>
      </c>
      <c r="AO598" s="7">
        <f t="shared" si="162"/>
        <v>321.26666666666665</v>
      </c>
      <c r="AP598" s="5">
        <f t="shared" si="169"/>
        <v>14.796924088320887</v>
      </c>
      <c r="AQ598" s="6">
        <f t="shared" si="170"/>
        <v>138.95895827026101</v>
      </c>
      <c r="AR598" s="2">
        <f t="shared" si="171"/>
        <v>-2.1301186875174403</v>
      </c>
      <c r="AS598" s="2">
        <f t="shared" si="172"/>
        <v>-295.99907380943915</v>
      </c>
    </row>
    <row r="599" spans="13:45" x14ac:dyDescent="0.3">
      <c r="M599" s="78">
        <v>45038.927083333336</v>
      </c>
      <c r="N599" s="5">
        <v>4.46227299113078E-2</v>
      </c>
      <c r="O599" s="5">
        <v>69.822823</v>
      </c>
      <c r="P599" s="2">
        <v>20410</v>
      </c>
      <c r="Q599" s="7">
        <f t="shared" si="163"/>
        <v>340.16666666666669</v>
      </c>
      <c r="R599" s="6">
        <f t="shared" si="164"/>
        <v>15.179165291496538</v>
      </c>
      <c r="S599" s="6">
        <f t="shared" si="165"/>
        <v>140.70537388016936</v>
      </c>
      <c r="T599" s="2">
        <f t="shared" si="166"/>
        <v>1</v>
      </c>
      <c r="U599" s="6">
        <f t="shared" si="167"/>
        <v>140.70537388016936</v>
      </c>
      <c r="V599">
        <f>IF((R599-$AB$774)/($Z$773-$AB$774)&lt;0, 0, IF((R599-$AB$774)/($Z$773-$AB$774)&gt;1, 1, (R599-$AB$774)/($Z$773-$AB$774)))</f>
        <v>5.2327275630065458E-2</v>
      </c>
      <c r="W599" s="6">
        <f t="shared" si="168"/>
        <v>7.3627288816590353</v>
      </c>
      <c r="AK599" s="78">
        <v>45037.927083333336</v>
      </c>
      <c r="AL599" s="5">
        <v>4.86418003998981E-2</v>
      </c>
      <c r="AM599" s="5">
        <v>72.077340390000003</v>
      </c>
      <c r="AN599" s="2">
        <v>19481</v>
      </c>
      <c r="AO599" s="7">
        <f t="shared" si="162"/>
        <v>324.68333333333334</v>
      </c>
      <c r="AP599" s="5">
        <f t="shared" si="169"/>
        <v>15.793181893173582</v>
      </c>
      <c r="AQ599" s="6">
        <f t="shared" si="170"/>
        <v>143.46440915006875</v>
      </c>
      <c r="AR599" s="2">
        <f t="shared" si="171"/>
        <v>-2.1301186875174403</v>
      </c>
      <c r="AS599" s="2">
        <f t="shared" si="172"/>
        <v>-305.5962189242095</v>
      </c>
    </row>
    <row r="600" spans="13:45" x14ac:dyDescent="0.3">
      <c r="M600" s="78">
        <v>45038.9375</v>
      </c>
      <c r="N600" s="5">
        <v>4.2405167489617597E-2</v>
      </c>
      <c r="O600" s="5">
        <v>69.822823</v>
      </c>
      <c r="P600" s="2">
        <v>20838</v>
      </c>
      <c r="Q600" s="7">
        <f t="shared" si="163"/>
        <v>347.3</v>
      </c>
      <c r="R600" s="6">
        <f t="shared" si="164"/>
        <v>14.727314669144192</v>
      </c>
      <c r="S600" s="6">
        <f t="shared" si="165"/>
        <v>138.6384528130987</v>
      </c>
      <c r="T600" s="2">
        <f t="shared" si="166"/>
        <v>1</v>
      </c>
      <c r="U600" s="6">
        <f t="shared" si="167"/>
        <v>138.6384528130987</v>
      </c>
      <c r="V600">
        <f>IF((R600-$AB$774)/($Z$773-$AB$774)&lt;0, 0, IF((R600-$AB$774)/($Z$773-$AB$774)&gt;1, 1, (R600-$AB$774)/($Z$773-$AB$774)))</f>
        <v>0</v>
      </c>
      <c r="W600" s="6">
        <f t="shared" si="168"/>
        <v>0</v>
      </c>
      <c r="AK600" s="78">
        <v>45037.9375</v>
      </c>
      <c r="AL600" s="5">
        <v>4.7855616144039402E-2</v>
      </c>
      <c r="AM600" s="5">
        <v>75.208694050000005</v>
      </c>
      <c r="AN600" s="2">
        <v>19741</v>
      </c>
      <c r="AO600" s="7">
        <f t="shared" si="162"/>
        <v>329.01666666666665</v>
      </c>
      <c r="AP600" s="5">
        <f t="shared" si="169"/>
        <v>15.745295304991362</v>
      </c>
      <c r="AQ600" s="6">
        <f t="shared" si="170"/>
        <v>143.25122500203548</v>
      </c>
      <c r="AR600" s="2">
        <f t="shared" si="171"/>
        <v>-2.1301186875174403</v>
      </c>
      <c r="AS600" s="2">
        <f t="shared" si="172"/>
        <v>-305.14211138660136</v>
      </c>
    </row>
    <row r="601" spans="13:45" x14ac:dyDescent="0.3">
      <c r="M601" s="78">
        <v>45038.947916666664</v>
      </c>
      <c r="N601" s="5">
        <v>4.3916010308128098E-2</v>
      </c>
      <c r="O601" s="5">
        <v>74.764849499999997</v>
      </c>
      <c r="P601" s="2">
        <v>21111</v>
      </c>
      <c r="Q601" s="7">
        <f t="shared" si="163"/>
        <v>351.85</v>
      </c>
      <c r="R601" s="6">
        <f t="shared" si="164"/>
        <v>15.451848226914873</v>
      </c>
      <c r="S601" s="6">
        <f t="shared" si="165"/>
        <v>141.93755213304084</v>
      </c>
      <c r="T601" s="2">
        <f t="shared" si="166"/>
        <v>1</v>
      </c>
      <c r="U601" s="6">
        <f t="shared" si="167"/>
        <v>141.93755213304084</v>
      </c>
      <c r="V601">
        <f>IF((R601-$AB$774)/($Z$773-$AB$774)&lt;0, 0, IF((R601-$AB$774)/($Z$773-$AB$774)&gt;1, 1, (R601-$AB$774)/($Z$773-$AB$774)))</f>
        <v>0.10224173983079797</v>
      </c>
      <c r="W601" s="6">
        <f t="shared" si="168"/>
        <v>14.511942277406686</v>
      </c>
      <c r="AK601" s="78">
        <v>45037.947916666664</v>
      </c>
      <c r="AL601" s="5">
        <v>5.2216474902382001E-2</v>
      </c>
      <c r="AM601" s="5">
        <v>72.970159429999995</v>
      </c>
      <c r="AN601" s="2">
        <v>19466</v>
      </c>
      <c r="AO601" s="7">
        <f t="shared" si="162"/>
        <v>324.43333333333334</v>
      </c>
      <c r="AP601" s="5">
        <f t="shared" si="169"/>
        <v>16.940765007496132</v>
      </c>
      <c r="AQ601" s="6">
        <f t="shared" si="170"/>
        <v>148.47799410130415</v>
      </c>
      <c r="AR601" s="2">
        <f t="shared" si="171"/>
        <v>-2.1301186875174403</v>
      </c>
      <c r="AS601" s="2">
        <f t="shared" si="172"/>
        <v>-316.27574992029224</v>
      </c>
    </row>
    <row r="602" spans="13:45" x14ac:dyDescent="0.3">
      <c r="M602" s="78">
        <v>45038.958333333336</v>
      </c>
      <c r="N602" s="5">
        <v>4.4733670157882502E-2</v>
      </c>
      <c r="O602" s="5">
        <v>73.423571839999994</v>
      </c>
      <c r="P602" s="2">
        <v>20225</v>
      </c>
      <c r="Q602" s="7">
        <f t="shared" si="163"/>
        <v>337.08333333333331</v>
      </c>
      <c r="R602" s="6">
        <f t="shared" si="164"/>
        <v>15.078974649052892</v>
      </c>
      <c r="S602" s="6">
        <f t="shared" si="165"/>
        <v>140.2498057991173</v>
      </c>
      <c r="T602" s="2">
        <f t="shared" si="166"/>
        <v>1</v>
      </c>
      <c r="U602" s="6">
        <f t="shared" si="167"/>
        <v>140.2498057991173</v>
      </c>
      <c r="V602">
        <f>IF((R602-$AB$774)/($Z$773-$AB$774)&lt;0, 0, IF((R602-$AB$774)/($Z$773-$AB$774)&gt;1, 1, (R602-$AB$774)/($Z$773-$AB$774)))</f>
        <v>3.3987432589174082E-2</v>
      </c>
      <c r="W602" s="6">
        <f t="shared" si="168"/>
        <v>4.7667308202422554</v>
      </c>
      <c r="AK602" s="78">
        <v>45037.958333333336</v>
      </c>
      <c r="AL602" s="5">
        <v>4.8044872768492897E-2</v>
      </c>
      <c r="AM602" s="5">
        <v>74.312865549999998</v>
      </c>
      <c r="AN602" s="2">
        <v>18286</v>
      </c>
      <c r="AO602" s="7">
        <f t="shared" si="162"/>
        <v>304.76666666666665</v>
      </c>
      <c r="AP602" s="5">
        <f t="shared" si="169"/>
        <v>14.642475724077684</v>
      </c>
      <c r="AQ602" s="6">
        <f t="shared" si="170"/>
        <v>138.24677837742948</v>
      </c>
      <c r="AR602" s="2">
        <f t="shared" si="171"/>
        <v>-2.1301186875174403</v>
      </c>
      <c r="AS602" s="2">
        <f t="shared" si="172"/>
        <v>-294.48204611084452</v>
      </c>
    </row>
    <row r="603" spans="13:45" x14ac:dyDescent="0.3">
      <c r="M603" s="78">
        <v>45038.96875</v>
      </c>
      <c r="N603" s="5">
        <v>4.2285115632069499E-2</v>
      </c>
      <c r="O603" s="5">
        <v>70.727821939999998</v>
      </c>
      <c r="P603" s="2">
        <v>21146</v>
      </c>
      <c r="Q603" s="7">
        <f t="shared" si="163"/>
        <v>352.43333333333334</v>
      </c>
      <c r="R603" s="6">
        <f t="shared" si="164"/>
        <v>14.902684252595694</v>
      </c>
      <c r="S603" s="6">
        <f t="shared" si="165"/>
        <v>139.44444507899945</v>
      </c>
      <c r="T603" s="2">
        <f t="shared" si="166"/>
        <v>1</v>
      </c>
      <c r="U603" s="6">
        <f t="shared" si="167"/>
        <v>139.44444507899945</v>
      </c>
      <c r="V603">
        <f>IF((R603-$AB$774)/($Z$773-$AB$774)&lt;0, 0, IF((R603-$AB$774)/($Z$773-$AB$774)&gt;1, 1, (R603-$AB$774)/($Z$773-$AB$774)))</f>
        <v>1.717570636147446E-3</v>
      </c>
      <c r="W603" s="6">
        <f t="shared" si="168"/>
        <v>0.23950568424156468</v>
      </c>
      <c r="AK603" s="78">
        <v>45037.96875</v>
      </c>
      <c r="AL603" s="5">
        <v>4.6307546261014E-2</v>
      </c>
      <c r="AM603" s="5">
        <v>67.565551839999998</v>
      </c>
      <c r="AN603" s="2">
        <v>19348</v>
      </c>
      <c r="AO603" s="7">
        <f t="shared" si="162"/>
        <v>322.46666666666664</v>
      </c>
      <c r="AP603" s="5">
        <f t="shared" si="169"/>
        <v>14.932640084301646</v>
      </c>
      <c r="AQ603" s="6">
        <f t="shared" si="170"/>
        <v>139.58163608262348</v>
      </c>
      <c r="AR603" s="2">
        <f t="shared" si="171"/>
        <v>-2.1301186875174403</v>
      </c>
      <c r="AS603" s="2">
        <f t="shared" si="172"/>
        <v>-297.3254514538549</v>
      </c>
    </row>
    <row r="604" spans="13:45" x14ac:dyDescent="0.3">
      <c r="M604" s="78">
        <v>45038.979166666664</v>
      </c>
      <c r="N604" s="5">
        <v>4.2051391832602203E-2</v>
      </c>
      <c r="O604" s="5">
        <v>71.17580074</v>
      </c>
      <c r="P604" s="2">
        <v>20478</v>
      </c>
      <c r="Q604" s="7">
        <f t="shared" si="163"/>
        <v>341.3</v>
      </c>
      <c r="R604" s="6">
        <f t="shared" si="164"/>
        <v>14.352140032467132</v>
      </c>
      <c r="S604" s="6">
        <f t="shared" si="165"/>
        <v>136.89755214158714</v>
      </c>
      <c r="T604" s="2">
        <f t="shared" si="166"/>
        <v>1</v>
      </c>
      <c r="U604" s="6">
        <f t="shared" si="167"/>
        <v>136.89755214158714</v>
      </c>
      <c r="V604">
        <f>IF((R604-$AB$774)/($Z$773-$AB$774)&lt;0, 0, IF((R604-$AB$774)/($Z$773-$AB$774)&gt;1, 1, (R604-$AB$774)/($Z$773-$AB$774)))</f>
        <v>0</v>
      </c>
      <c r="W604" s="6">
        <f t="shared" si="168"/>
        <v>0</v>
      </c>
      <c r="AK604" s="78">
        <v>45037.979166666664</v>
      </c>
      <c r="AL604" s="5">
        <v>4.6046306589722197E-2</v>
      </c>
      <c r="AM604" s="5">
        <v>68.466857000000005</v>
      </c>
      <c r="AN604" s="2">
        <v>19450</v>
      </c>
      <c r="AO604" s="7">
        <f t="shared" si="162"/>
        <v>324.16666666666669</v>
      </c>
      <c r="AP604" s="5">
        <f t="shared" si="169"/>
        <v>14.926677719501614</v>
      </c>
      <c r="AQ604" s="6">
        <f t="shared" si="170"/>
        <v>139.55434098910359</v>
      </c>
      <c r="AR604" s="2">
        <f t="shared" si="171"/>
        <v>-2.1301186875174403</v>
      </c>
      <c r="AS604" s="2">
        <f t="shared" si="172"/>
        <v>-297.26730966507068</v>
      </c>
    </row>
    <row r="605" spans="13:45" x14ac:dyDescent="0.3">
      <c r="M605" s="78">
        <v>45038.989583333336</v>
      </c>
      <c r="N605" s="5">
        <v>4.2627848215050002E-2</v>
      </c>
      <c r="O605" s="5">
        <v>72.523974480000007</v>
      </c>
      <c r="P605" s="2">
        <v>20331</v>
      </c>
      <c r="Q605" s="7">
        <f t="shared" si="163"/>
        <v>338.85</v>
      </c>
      <c r="R605" s="6">
        <f t="shared" si="164"/>
        <v>14.444446367669695</v>
      </c>
      <c r="S605" s="6">
        <f t="shared" si="165"/>
        <v>137.32800903654393</v>
      </c>
      <c r="T605" s="2">
        <f t="shared" si="166"/>
        <v>1</v>
      </c>
      <c r="U605" s="6">
        <f t="shared" si="167"/>
        <v>137.32800903654393</v>
      </c>
      <c r="V605">
        <f>IF((R605-$AB$774)/($Z$773-$AB$774)&lt;0, 0, IF((R605-$AB$774)/($Z$773-$AB$774)&gt;1, 1, (R605-$AB$774)/($Z$773-$AB$774)))</f>
        <v>0</v>
      </c>
      <c r="W605" s="6">
        <f t="shared" si="168"/>
        <v>0</v>
      </c>
      <c r="AK605" s="78">
        <v>45037.989583333336</v>
      </c>
      <c r="AL605" s="5">
        <v>4.3468414565427702E-2</v>
      </c>
      <c r="AM605" s="5">
        <v>72.069636250000002</v>
      </c>
      <c r="AN605" s="2">
        <v>19160</v>
      </c>
      <c r="AO605" s="7">
        <f t="shared" si="162"/>
        <v>319.33333333333331</v>
      </c>
      <c r="AP605" s="5">
        <f t="shared" si="169"/>
        <v>13.880913717893245</v>
      </c>
      <c r="AQ605" s="6">
        <f t="shared" si="170"/>
        <v>134.67770716266537</v>
      </c>
      <c r="AR605" s="2">
        <f t="shared" si="171"/>
        <v>-2.1301186875174403</v>
      </c>
      <c r="AS605" s="2">
        <f t="shared" si="172"/>
        <v>-286.8795008191949</v>
      </c>
    </row>
    <row r="606" spans="13:45" x14ac:dyDescent="0.3">
      <c r="M606" s="78">
        <v>45039</v>
      </c>
      <c r="N606" s="5">
        <v>4.3294691201115697E-2</v>
      </c>
      <c r="O606" s="5">
        <v>69.822823</v>
      </c>
      <c r="P606" s="2">
        <v>21779</v>
      </c>
      <c r="Q606" s="7">
        <f t="shared" si="163"/>
        <v>362.98333333333335</v>
      </c>
      <c r="R606" s="6">
        <f t="shared" si="164"/>
        <v>15.715251327818313</v>
      </c>
      <c r="S606" s="6">
        <f t="shared" si="165"/>
        <v>143.1173046281807</v>
      </c>
      <c r="T606" s="2">
        <f t="shared" si="166"/>
        <v>1</v>
      </c>
      <c r="U606" s="6">
        <f t="shared" si="167"/>
        <v>143.1173046281807</v>
      </c>
      <c r="V606">
        <f>IF((R606-$AB$774)/($Z$773-$AB$774)&lt;0, 0, IF((R606-$AB$774)/($Z$773-$AB$774)&gt;1, 1, (R606-$AB$774)/($Z$773-$AB$774)))</f>
        <v>0.15045753533056544</v>
      </c>
      <c r="W606" s="6">
        <f t="shared" si="168"/>
        <v>21.533076917509796</v>
      </c>
      <c r="AK606" s="78">
        <v>45038</v>
      </c>
      <c r="AL606" s="5">
        <v>4.7074677477527901E-2</v>
      </c>
      <c r="AM606" s="5">
        <v>71.17580074</v>
      </c>
      <c r="AN606" s="2">
        <v>19244</v>
      </c>
      <c r="AO606" s="7">
        <f t="shared" si="162"/>
        <v>320.73333333333335</v>
      </c>
      <c r="AP606" s="5">
        <f t="shared" si="169"/>
        <v>15.098418222959117</v>
      </c>
      <c r="AQ606" s="6">
        <f t="shared" si="170"/>
        <v>140.3383364876214</v>
      </c>
      <c r="AR606" s="2">
        <f t="shared" si="171"/>
        <v>-2.1301186875174403</v>
      </c>
      <c r="AS606" s="2">
        <f t="shared" si="172"/>
        <v>-298.937313127393</v>
      </c>
    </row>
    <row r="607" spans="13:45" x14ac:dyDescent="0.3">
      <c r="M607" s="78">
        <v>45039.010416666664</v>
      </c>
      <c r="N607" s="5">
        <v>4.1193086610595502E-2</v>
      </c>
      <c r="O607" s="5">
        <v>67.557775419999999</v>
      </c>
      <c r="P607" s="2">
        <v>21514</v>
      </c>
      <c r="Q607" s="7">
        <f t="shared" si="163"/>
        <v>358.56666666666666</v>
      </c>
      <c r="R607" s="6">
        <f t="shared" si="164"/>
        <v>14.770467755672527</v>
      </c>
      <c r="S607" s="6">
        <f t="shared" si="165"/>
        <v>138.8372351411374</v>
      </c>
      <c r="T607" s="2">
        <f t="shared" si="166"/>
        <v>1</v>
      </c>
      <c r="U607" s="6">
        <f t="shared" si="167"/>
        <v>138.8372351411374</v>
      </c>
      <c r="V607">
        <f>IF((R607-$AB$774)/($Z$773-$AB$774)&lt;0, 0, IF((R607-$AB$774)/($Z$773-$AB$774)&gt;1, 1, (R607-$AB$774)/($Z$773-$AB$774)))</f>
        <v>0</v>
      </c>
      <c r="W607" s="6">
        <f t="shared" si="168"/>
        <v>0</v>
      </c>
      <c r="AK607" s="78">
        <v>45038.010416666664</v>
      </c>
      <c r="AL607" s="5">
        <v>4.5291726376953098E-2</v>
      </c>
      <c r="AM607" s="5">
        <v>67.557775419999999</v>
      </c>
      <c r="AN607" s="2">
        <v>19689</v>
      </c>
      <c r="AO607" s="7">
        <f t="shared" si="162"/>
        <v>328.15</v>
      </c>
      <c r="AP607" s="5">
        <f t="shared" si="169"/>
        <v>14.862480010597158</v>
      </c>
      <c r="AQ607" s="6">
        <f t="shared" si="170"/>
        <v>139.26009728431822</v>
      </c>
      <c r="AR607" s="2">
        <f t="shared" si="171"/>
        <v>-2.1301186875174403</v>
      </c>
      <c r="AS607" s="2">
        <f t="shared" si="172"/>
        <v>-296.64053565082298</v>
      </c>
    </row>
    <row r="608" spans="13:45" x14ac:dyDescent="0.3">
      <c r="M608" s="78">
        <v>45039.020833333336</v>
      </c>
      <c r="N608" s="5">
        <v>4.2212522637713697E-2</v>
      </c>
      <c r="O608" s="5">
        <v>72.069636250000002</v>
      </c>
      <c r="P608" s="2">
        <v>20702</v>
      </c>
      <c r="Q608" s="7">
        <f t="shared" si="163"/>
        <v>345.03333333333336</v>
      </c>
      <c r="R608" s="6">
        <f t="shared" si="164"/>
        <v>14.564727394099151</v>
      </c>
      <c r="S608" s="6">
        <f t="shared" si="165"/>
        <v>137.88682086997744</v>
      </c>
      <c r="T608" s="2">
        <f t="shared" si="166"/>
        <v>1</v>
      </c>
      <c r="U608" s="6">
        <f t="shared" si="167"/>
        <v>137.88682086997744</v>
      </c>
      <c r="V608">
        <f>IF((R608-$AB$774)/($Z$773-$AB$774)&lt;0, 0, IF((R608-$AB$774)/($Z$773-$AB$774)&gt;1, 1, (R608-$AB$774)/($Z$773-$AB$774)))</f>
        <v>0</v>
      </c>
      <c r="W608" s="6">
        <f t="shared" si="168"/>
        <v>0</v>
      </c>
      <c r="AK608" s="78">
        <v>45038.020833333336</v>
      </c>
      <c r="AL608" s="5">
        <v>4.2917238964083997E-2</v>
      </c>
      <c r="AM608" s="5">
        <v>66.195962919999999</v>
      </c>
      <c r="AN608" s="2">
        <v>19777</v>
      </c>
      <c r="AO608" s="7">
        <f t="shared" si="162"/>
        <v>329.61666666666667</v>
      </c>
      <c r="AP608" s="5">
        <f t="shared" si="169"/>
        <v>14.146237249878153</v>
      </c>
      <c r="AQ608" s="6">
        <f t="shared" si="170"/>
        <v>135.93223566686351</v>
      </c>
      <c r="AR608" s="2">
        <f t="shared" si="171"/>
        <v>-2.1301186875174403</v>
      </c>
      <c r="AS608" s="2">
        <f t="shared" si="172"/>
        <v>-289.55179543001066</v>
      </c>
    </row>
    <row r="609" spans="13:45" x14ac:dyDescent="0.3">
      <c r="M609" s="78">
        <v>45039.03125</v>
      </c>
      <c r="N609" s="5">
        <v>4.4882206662449298E-2</v>
      </c>
      <c r="O609" s="5">
        <v>71.17580074</v>
      </c>
      <c r="P609" s="2">
        <v>20783</v>
      </c>
      <c r="Q609" s="7">
        <f t="shared" si="163"/>
        <v>346.38333333333333</v>
      </c>
      <c r="R609" s="6">
        <f t="shared" si="164"/>
        <v>15.546448351094728</v>
      </c>
      <c r="S609" s="6">
        <f t="shared" si="165"/>
        <v>142.36242777654184</v>
      </c>
      <c r="T609" s="2">
        <f t="shared" si="166"/>
        <v>1</v>
      </c>
      <c r="U609" s="6">
        <f t="shared" si="167"/>
        <v>142.36242777654184</v>
      </c>
      <c r="V609">
        <f>IF((R609-$AB$774)/($Z$773-$AB$774)&lt;0, 0, IF((R609-$AB$774)/($Z$773-$AB$774)&gt;1, 1, (R609-$AB$774)/($Z$773-$AB$774)))</f>
        <v>0.11955824151989766</v>
      </c>
      <c r="W609" s="6">
        <f t="shared" si="168"/>
        <v>17.020601523466777</v>
      </c>
      <c r="AK609" s="78">
        <v>45038.03125</v>
      </c>
      <c r="AL609" s="5">
        <v>4.5557018986710503E-2</v>
      </c>
      <c r="AM609" s="5">
        <v>66.195962919999999</v>
      </c>
      <c r="AN609" s="2">
        <v>19360</v>
      </c>
      <c r="AO609" s="7">
        <f t="shared" si="162"/>
        <v>322.66666666666669</v>
      </c>
      <c r="AP609" s="5">
        <f t="shared" si="169"/>
        <v>14.699731459711924</v>
      </c>
      <c r="AQ609" s="6">
        <f t="shared" si="170"/>
        <v>138.51123652380545</v>
      </c>
      <c r="AR609" s="2">
        <f t="shared" si="171"/>
        <v>-2.1301186875174403</v>
      </c>
      <c r="AS609" s="2">
        <f t="shared" si="172"/>
        <v>-295.04537335050622</v>
      </c>
    </row>
    <row r="610" spans="13:45" x14ac:dyDescent="0.3">
      <c r="M610" s="78">
        <v>45039.041666666664</v>
      </c>
      <c r="N610" s="5">
        <v>4.04559086187345E-2</v>
      </c>
      <c r="O610" s="5">
        <v>68.916923760000003</v>
      </c>
      <c r="P610" s="2">
        <v>21201</v>
      </c>
      <c r="Q610" s="7">
        <f t="shared" si="163"/>
        <v>353.35</v>
      </c>
      <c r="R610" s="6">
        <f t="shared" si="164"/>
        <v>14.295095310429836</v>
      </c>
      <c r="S610" s="6">
        <f t="shared" si="165"/>
        <v>136.63082593829455</v>
      </c>
      <c r="T610" s="2">
        <f t="shared" si="166"/>
        <v>1</v>
      </c>
      <c r="U610" s="6">
        <f t="shared" si="167"/>
        <v>136.63082593829455</v>
      </c>
      <c r="V610">
        <f>IF((R610-$AB$774)/($Z$773-$AB$774)&lt;0, 0, IF((R610-$AB$774)/($Z$773-$AB$774)&gt;1, 1, (R610-$AB$774)/($Z$773-$AB$774)))</f>
        <v>0</v>
      </c>
      <c r="W610" s="6">
        <f t="shared" si="168"/>
        <v>0</v>
      </c>
      <c r="AK610" s="78">
        <v>45038.041666666664</v>
      </c>
      <c r="AL610" s="5">
        <v>4.5721255773365499E-2</v>
      </c>
      <c r="AM610" s="5">
        <v>74.312865549999998</v>
      </c>
      <c r="AN610" s="2">
        <v>19209</v>
      </c>
      <c r="AO610" s="7">
        <f t="shared" si="162"/>
        <v>320.14999999999998</v>
      </c>
      <c r="AP610" s="5">
        <f t="shared" si="169"/>
        <v>14.637660035842963</v>
      </c>
      <c r="AQ610" s="6">
        <f t="shared" si="170"/>
        <v>138.22451118704527</v>
      </c>
      <c r="AR610" s="2">
        <f t="shared" si="171"/>
        <v>-2.1301186875174403</v>
      </c>
      <c r="AS610" s="2">
        <f t="shared" si="172"/>
        <v>-294.43461435248861</v>
      </c>
    </row>
    <row r="611" spans="13:45" x14ac:dyDescent="0.3">
      <c r="M611" s="78">
        <v>45039.052083333336</v>
      </c>
      <c r="N611" s="5">
        <v>4.23472753675153E-2</v>
      </c>
      <c r="O611" s="5">
        <v>72.523974480000007</v>
      </c>
      <c r="P611" s="2">
        <v>21634</v>
      </c>
      <c r="Q611" s="7">
        <f t="shared" si="163"/>
        <v>360.56666666666666</v>
      </c>
      <c r="R611" s="6">
        <f t="shared" si="164"/>
        <v>15.269015921680433</v>
      </c>
      <c r="S611" s="6">
        <f t="shared" si="165"/>
        <v>141.11262243978598</v>
      </c>
      <c r="T611" s="2">
        <f t="shared" si="166"/>
        <v>1</v>
      </c>
      <c r="U611" s="6">
        <f t="shared" si="167"/>
        <v>141.11262243978598</v>
      </c>
      <c r="V611">
        <f>IF((R611-$AB$774)/($Z$773-$AB$774)&lt;0, 0, IF((R611-$AB$774)/($Z$773-$AB$774)&gt;1, 1, (R611-$AB$774)/($Z$773-$AB$774)))</f>
        <v>6.8774385005820379E-2</v>
      </c>
      <c r="W611" s="6">
        <f t="shared" si="168"/>
        <v>9.7049338248548089</v>
      </c>
      <c r="AK611" s="78">
        <v>45038.052083333336</v>
      </c>
      <c r="AL611" s="5">
        <v>4.4166283830441001E-2</v>
      </c>
      <c r="AM611" s="5">
        <v>68.466857000000005</v>
      </c>
      <c r="AN611" s="2">
        <v>19772</v>
      </c>
      <c r="AO611" s="7">
        <f t="shared" si="162"/>
        <v>329.53333333333336</v>
      </c>
      <c r="AP611" s="5">
        <f t="shared" si="169"/>
        <v>14.554262731591326</v>
      </c>
      <c r="AQ611" s="6">
        <f t="shared" si="170"/>
        <v>137.83829700710399</v>
      </c>
      <c r="AR611" s="2">
        <f t="shared" si="171"/>
        <v>-2.1301186875174403</v>
      </c>
      <c r="AS611" s="2">
        <f t="shared" si="172"/>
        <v>-293.61193231041148</v>
      </c>
    </row>
    <row r="612" spans="13:45" x14ac:dyDescent="0.3">
      <c r="M612" s="78">
        <v>45039.0625</v>
      </c>
      <c r="N612" s="5">
        <v>4.36732538400482E-2</v>
      </c>
      <c r="O612" s="5">
        <v>75.652056590000001</v>
      </c>
      <c r="P612" s="2">
        <v>20746</v>
      </c>
      <c r="Q612" s="7">
        <f t="shared" si="163"/>
        <v>345.76666666666665</v>
      </c>
      <c r="R612" s="6">
        <f t="shared" si="164"/>
        <v>15.100755402760665</v>
      </c>
      <c r="S612" s="6">
        <f t="shared" si="165"/>
        <v>140.34897424178374</v>
      </c>
      <c r="T612" s="2">
        <f t="shared" si="166"/>
        <v>1</v>
      </c>
      <c r="U612" s="6">
        <f t="shared" si="167"/>
        <v>140.34897424178374</v>
      </c>
      <c r="V612">
        <f>IF((R612-$AB$774)/($Z$773-$AB$774)&lt;0, 0, IF((R612-$AB$774)/($Z$773-$AB$774)&gt;1, 1, (R612-$AB$774)/($Z$773-$AB$774)))</f>
        <v>3.7974387803455231E-2</v>
      </c>
      <c r="W612" s="6">
        <f t="shared" si="168"/>
        <v>5.3296663756746447</v>
      </c>
      <c r="AK612" s="78">
        <v>45038.0625</v>
      </c>
      <c r="AL612" s="5">
        <v>4.3885260926528703E-2</v>
      </c>
      <c r="AM612" s="5">
        <v>69.822823</v>
      </c>
      <c r="AN612" s="2">
        <v>19804</v>
      </c>
      <c r="AO612" s="7">
        <f t="shared" ref="AO612:AO675" si="173">AN612/60</f>
        <v>330.06666666666666</v>
      </c>
      <c r="AP612" s="5">
        <f t="shared" si="169"/>
        <v>14.485061789816241</v>
      </c>
      <c r="AQ612" s="6">
        <f t="shared" si="170"/>
        <v>137.51696823895426</v>
      </c>
      <c r="AR612" s="2">
        <f t="shared" si="171"/>
        <v>-2.1301186875174403</v>
      </c>
      <c r="AS612" s="2">
        <f t="shared" si="172"/>
        <v>-292.92746389653877</v>
      </c>
    </row>
    <row r="613" spans="13:45" x14ac:dyDescent="0.3">
      <c r="M613" s="78">
        <v>45039.072916666664</v>
      </c>
      <c r="N613" s="5">
        <v>4.2308266390625203E-2</v>
      </c>
      <c r="O613" s="5">
        <v>69.822823</v>
      </c>
      <c r="P613" s="2">
        <v>21415</v>
      </c>
      <c r="Q613" s="7">
        <f t="shared" si="163"/>
        <v>356.91666666666669</v>
      </c>
      <c r="R613" s="6">
        <f t="shared" si="164"/>
        <v>15.100525412587313</v>
      </c>
      <c r="S613" s="6">
        <f t="shared" si="165"/>
        <v>140.34792747088068</v>
      </c>
      <c r="T613" s="2">
        <f t="shared" si="166"/>
        <v>1</v>
      </c>
      <c r="U613" s="6">
        <f t="shared" si="167"/>
        <v>140.34792747088068</v>
      </c>
      <c r="V613">
        <f>IF((R613-$AB$774)/($Z$773-$AB$774)&lt;0, 0, IF((R613-$AB$774)/($Z$773-$AB$774)&gt;1, 1, (R613-$AB$774)/($Z$773-$AB$774)))</f>
        <v>3.7932288226315579E-2</v>
      </c>
      <c r="W613" s="6">
        <f t="shared" si="168"/>
        <v>5.3237180367914796</v>
      </c>
      <c r="AK613" s="78">
        <v>45038.072916666664</v>
      </c>
      <c r="AL613" s="5">
        <v>4.5538895977764601E-2</v>
      </c>
      <c r="AM613" s="5">
        <v>72.077340390000003</v>
      </c>
      <c r="AN613" s="2">
        <v>19869</v>
      </c>
      <c r="AO613" s="7">
        <f t="shared" si="173"/>
        <v>331.15</v>
      </c>
      <c r="AP613" s="5">
        <f t="shared" si="169"/>
        <v>15.080205403036747</v>
      </c>
      <c r="AQ613" s="6">
        <f t="shared" si="170"/>
        <v>140.25541140767675</v>
      </c>
      <c r="AR613" s="2">
        <f t="shared" si="171"/>
        <v>-2.1301186875174403</v>
      </c>
      <c r="AS613" s="2">
        <f t="shared" si="172"/>
        <v>-298.76067286493901</v>
      </c>
    </row>
    <row r="614" spans="13:45" x14ac:dyDescent="0.3">
      <c r="M614" s="78">
        <v>45039.083333333336</v>
      </c>
      <c r="N614" s="5">
        <v>4.4251993893251601E-2</v>
      </c>
      <c r="O614" s="5">
        <v>71.17580074</v>
      </c>
      <c r="P614" s="2">
        <v>21745</v>
      </c>
      <c r="Q614" s="7">
        <f t="shared" si="163"/>
        <v>362.41666666666669</v>
      </c>
      <c r="R614" s="6">
        <f t="shared" si="164"/>
        <v>16.037660120145937</v>
      </c>
      <c r="S614" s="6">
        <f t="shared" si="165"/>
        <v>144.54768580106762</v>
      </c>
      <c r="T614" s="2">
        <f t="shared" si="166"/>
        <v>1</v>
      </c>
      <c r="U614" s="6">
        <f t="shared" si="167"/>
        <v>144.54768580106762</v>
      </c>
      <c r="V614">
        <f>IF((R614-$AB$774)/($Z$773-$AB$774)&lt;0, 0, IF((R614-$AB$774)/($Z$773-$AB$774)&gt;1, 1, (R614-$AB$774)/($Z$773-$AB$774)))</f>
        <v>0.20947429080868077</v>
      </c>
      <c r="W614" s="6">
        <f t="shared" si="168"/>
        <v>30.279023971214652</v>
      </c>
      <c r="AK614" s="78">
        <v>45038.083333333336</v>
      </c>
      <c r="AL614" s="5">
        <v>4.6284690773693203E-2</v>
      </c>
      <c r="AM614" s="5">
        <v>72.523974480000007</v>
      </c>
      <c r="AN614" s="2">
        <v>19339</v>
      </c>
      <c r="AO614" s="7">
        <f t="shared" si="173"/>
        <v>322.31666666666666</v>
      </c>
      <c r="AP614" s="5">
        <f t="shared" si="169"/>
        <v>14.918327247874213</v>
      </c>
      <c r="AQ614" s="6">
        <f t="shared" si="170"/>
        <v>139.51610403349889</v>
      </c>
      <c r="AR614" s="2">
        <f t="shared" si="171"/>
        <v>-2.1301186875174403</v>
      </c>
      <c r="AS614" s="2">
        <f t="shared" si="172"/>
        <v>-297.18586041138332</v>
      </c>
    </row>
    <row r="615" spans="13:45" x14ac:dyDescent="0.3">
      <c r="M615" s="78">
        <v>45039.09375</v>
      </c>
      <c r="N615" s="5">
        <v>4.54325007028612E-2</v>
      </c>
      <c r="O615" s="5">
        <v>71.17580074</v>
      </c>
      <c r="P615" s="2">
        <v>20954</v>
      </c>
      <c r="Q615" s="7">
        <f t="shared" si="163"/>
        <v>349.23333333333335</v>
      </c>
      <c r="R615" s="6">
        <f t="shared" si="164"/>
        <v>15.866543662129228</v>
      </c>
      <c r="S615" s="6">
        <f t="shared" si="165"/>
        <v>143.79036636719982</v>
      </c>
      <c r="T615" s="2">
        <f t="shared" si="166"/>
        <v>1</v>
      </c>
      <c r="U615" s="6">
        <f t="shared" si="167"/>
        <v>143.79036636719982</v>
      </c>
      <c r="V615">
        <f>IF((R615-$AB$774)/($Z$773-$AB$774)&lt;0, 0, IF((R615-$AB$774)/($Z$773-$AB$774)&gt;1, 1, (R615-$AB$774)/($Z$773-$AB$774)))</f>
        <v>0.17815151549555841</v>
      </c>
      <c r="W615" s="6">
        <f t="shared" si="168"/>
        <v>25.616471681978219</v>
      </c>
      <c r="AK615" s="78">
        <v>45038.09375</v>
      </c>
      <c r="AL615" s="5">
        <v>4.5005674158774898E-2</v>
      </c>
      <c r="AM615" s="5">
        <v>66.203758769999993</v>
      </c>
      <c r="AN615" s="2">
        <v>20172</v>
      </c>
      <c r="AO615" s="7">
        <f t="shared" si="173"/>
        <v>336.2</v>
      </c>
      <c r="AP615" s="5">
        <f t="shared" si="169"/>
        <v>15.13090765218012</v>
      </c>
      <c r="AQ615" s="6">
        <f t="shared" si="170"/>
        <v>140.48613797524325</v>
      </c>
      <c r="AR615" s="2">
        <f t="shared" si="171"/>
        <v>-2.1301186875174403</v>
      </c>
      <c r="AS615" s="2">
        <f t="shared" si="172"/>
        <v>-299.25214783821917</v>
      </c>
    </row>
    <row r="616" spans="13:45" x14ac:dyDescent="0.3">
      <c r="M616" s="78">
        <v>45039.104166666664</v>
      </c>
      <c r="N616" s="5">
        <v>4.2087010031047901E-2</v>
      </c>
      <c r="O616" s="5">
        <v>72.077340390000003</v>
      </c>
      <c r="P616" s="2">
        <v>21702</v>
      </c>
      <c r="Q616" s="7">
        <f t="shared" si="163"/>
        <v>361.7</v>
      </c>
      <c r="R616" s="6">
        <f t="shared" si="164"/>
        <v>15.222871528230025</v>
      </c>
      <c r="S616" s="6">
        <f t="shared" si="165"/>
        <v>140.90362588809651</v>
      </c>
      <c r="T616" s="2">
        <f t="shared" si="166"/>
        <v>1</v>
      </c>
      <c r="U616" s="6">
        <f t="shared" si="167"/>
        <v>140.90362588809651</v>
      </c>
      <c r="V616">
        <f>IF((R616-$AB$774)/($Z$773-$AB$774)&lt;0, 0, IF((R616-$AB$774)/($Z$773-$AB$774)&gt;1, 1, (R616-$AB$774)/($Z$773-$AB$774)))</f>
        <v>6.0327678682187157E-2</v>
      </c>
      <c r="W616" s="6">
        <f t="shared" si="168"/>
        <v>8.500388667732194</v>
      </c>
      <c r="AK616" s="78">
        <v>45038.104166666664</v>
      </c>
      <c r="AL616" s="5">
        <v>4.34703194776399E-2</v>
      </c>
      <c r="AM616" s="5">
        <v>71.17580074</v>
      </c>
      <c r="AN616" s="2">
        <v>19927</v>
      </c>
      <c r="AO616" s="7">
        <f t="shared" si="173"/>
        <v>332.11666666666667</v>
      </c>
      <c r="AP616" s="5">
        <f t="shared" si="169"/>
        <v>14.437217603848838</v>
      </c>
      <c r="AQ616" s="6">
        <f t="shared" si="170"/>
        <v>137.29434952351801</v>
      </c>
      <c r="AR616" s="2">
        <f t="shared" si="171"/>
        <v>-2.1301186875174403</v>
      </c>
      <c r="AS616" s="2">
        <f t="shared" si="172"/>
        <v>-292.45325961059689</v>
      </c>
    </row>
    <row r="617" spans="13:45" x14ac:dyDescent="0.3">
      <c r="M617" s="78">
        <v>45039.114583333336</v>
      </c>
      <c r="N617" s="5">
        <v>4.2774441614528799E-2</v>
      </c>
      <c r="O617" s="5">
        <v>68.466857000000005</v>
      </c>
      <c r="P617" s="2">
        <v>22217</v>
      </c>
      <c r="Q617" s="7">
        <f t="shared" si="163"/>
        <v>370.28333333333336</v>
      </c>
      <c r="R617" s="6">
        <f t="shared" si="164"/>
        <v>15.838662822499773</v>
      </c>
      <c r="S617" s="6">
        <f t="shared" si="165"/>
        <v>143.66657844964467</v>
      </c>
      <c r="T617" s="2">
        <f t="shared" si="166"/>
        <v>1</v>
      </c>
      <c r="U617" s="6">
        <f t="shared" si="167"/>
        <v>143.66657844964467</v>
      </c>
      <c r="V617">
        <f>IF((R617-$AB$774)/($Z$773-$AB$774)&lt;0, 0, IF((R617-$AB$774)/($Z$773-$AB$774)&gt;1, 1, (R617-$AB$774)/($Z$773-$AB$774)))</f>
        <v>0.17304794284464858</v>
      </c>
      <c r="W617" s="6">
        <f t="shared" si="168"/>
        <v>24.861205856240332</v>
      </c>
      <c r="AK617" s="78">
        <v>45038.114583333336</v>
      </c>
      <c r="AL617" s="5">
        <v>4.7061926932466303E-2</v>
      </c>
      <c r="AM617" s="5">
        <v>70.720093730000002</v>
      </c>
      <c r="AN617" s="2">
        <v>19673</v>
      </c>
      <c r="AO617" s="7">
        <f t="shared" si="173"/>
        <v>327.88333333333333</v>
      </c>
      <c r="AP617" s="5">
        <f t="shared" si="169"/>
        <v>15.430821475706825</v>
      </c>
      <c r="AQ617" s="6">
        <f t="shared" si="170"/>
        <v>141.84293494775054</v>
      </c>
      <c r="AR617" s="2">
        <f t="shared" si="171"/>
        <v>-2.1301186875174403</v>
      </c>
      <c r="AS617" s="2">
        <f t="shared" si="172"/>
        <v>-302.142286424524</v>
      </c>
    </row>
    <row r="618" spans="13:45" x14ac:dyDescent="0.3">
      <c r="M618" s="78">
        <v>45039.125</v>
      </c>
      <c r="N618" s="5">
        <v>4.2096950798536099E-2</v>
      </c>
      <c r="O618" s="5">
        <v>72.077340390000003</v>
      </c>
      <c r="P618" s="2">
        <v>21496</v>
      </c>
      <c r="Q618" s="7">
        <f t="shared" si="163"/>
        <v>358.26666666666665</v>
      </c>
      <c r="R618" s="6">
        <f t="shared" si="164"/>
        <v>15.0819342394222</v>
      </c>
      <c r="S618" s="6">
        <f t="shared" si="165"/>
        <v>140.26328519472179</v>
      </c>
      <c r="T618" s="2">
        <f t="shared" si="166"/>
        <v>1</v>
      </c>
      <c r="U618" s="6">
        <f t="shared" si="167"/>
        <v>140.26328519472179</v>
      </c>
      <c r="V618">
        <f>IF((R618-$AB$774)/($Z$773-$AB$774)&lt;0, 0, IF((R618-$AB$774)/($Z$773-$AB$774)&gt;1, 1, (R618-$AB$774)/($Z$773-$AB$774)))</f>
        <v>3.4529184009412441E-2</v>
      </c>
      <c r="W618" s="6">
        <f t="shared" si="168"/>
        <v>4.8431767842532443</v>
      </c>
      <c r="AK618" s="78">
        <v>45038.125</v>
      </c>
      <c r="AL618" s="5">
        <v>4.3656561782316597E-2</v>
      </c>
      <c r="AM618" s="5">
        <v>74.312865549999998</v>
      </c>
      <c r="AN618" s="2">
        <v>19228</v>
      </c>
      <c r="AO618" s="7">
        <f t="shared" si="173"/>
        <v>320.46666666666664</v>
      </c>
      <c r="AP618" s="5">
        <f t="shared" si="169"/>
        <v>13.990472832506391</v>
      </c>
      <c r="AQ618" s="6">
        <f t="shared" si="170"/>
        <v>135.1972056158468</v>
      </c>
      <c r="AR618" s="2">
        <f t="shared" si="171"/>
        <v>-2.1301186875174403</v>
      </c>
      <c r="AS618" s="2">
        <f t="shared" si="172"/>
        <v>-287.98609418245309</v>
      </c>
    </row>
    <row r="619" spans="13:45" x14ac:dyDescent="0.3">
      <c r="M619" s="78">
        <v>45039.135416666664</v>
      </c>
      <c r="N619" s="5">
        <v>3.9055389544020602E-2</v>
      </c>
      <c r="O619" s="5">
        <v>71.17580074</v>
      </c>
      <c r="P619" s="2">
        <v>22535</v>
      </c>
      <c r="Q619" s="7">
        <f t="shared" si="163"/>
        <v>375.58333333333331</v>
      </c>
      <c r="R619" s="6">
        <f t="shared" si="164"/>
        <v>14.66855338957507</v>
      </c>
      <c r="S619" s="6">
        <f t="shared" si="165"/>
        <v>138.3672936547604</v>
      </c>
      <c r="T619" s="2">
        <f t="shared" si="166"/>
        <v>1</v>
      </c>
      <c r="U619" s="6">
        <f t="shared" si="167"/>
        <v>138.3672936547604</v>
      </c>
      <c r="V619">
        <f>IF((R619-$AB$774)/($Z$773-$AB$774)&lt;0, 0, IF((R619-$AB$774)/($Z$773-$AB$774)&gt;1, 1, (R619-$AB$774)/($Z$773-$AB$774)))</f>
        <v>0</v>
      </c>
      <c r="W619" s="6">
        <f t="shared" si="168"/>
        <v>0</v>
      </c>
      <c r="AK619" s="78">
        <v>45038.135416666664</v>
      </c>
      <c r="AL619" s="5">
        <v>4.5949488512810097E-2</v>
      </c>
      <c r="AM619" s="5">
        <v>66.195962919999999</v>
      </c>
      <c r="AN619" s="2">
        <v>19472</v>
      </c>
      <c r="AO619" s="7">
        <f t="shared" si="173"/>
        <v>324.53333333333336</v>
      </c>
      <c r="AP619" s="5">
        <f t="shared" si="169"/>
        <v>14.912140672023972</v>
      </c>
      <c r="AQ619" s="6">
        <f t="shared" si="170"/>
        <v>139.48776855073612</v>
      </c>
      <c r="AR619" s="2">
        <f t="shared" si="171"/>
        <v>-2.1301186875174403</v>
      </c>
      <c r="AS619" s="2">
        <f t="shared" si="172"/>
        <v>-297.12550247003048</v>
      </c>
    </row>
    <row r="620" spans="13:45" x14ac:dyDescent="0.3">
      <c r="M620" s="78">
        <v>45039.145833333336</v>
      </c>
      <c r="N620" s="5">
        <v>4.1193761883004297E-2</v>
      </c>
      <c r="O620" s="5">
        <v>73.423571839999994</v>
      </c>
      <c r="P620" s="2">
        <v>20764</v>
      </c>
      <c r="Q620" s="7">
        <f t="shared" si="163"/>
        <v>346.06666666666666</v>
      </c>
      <c r="R620" s="6">
        <f t="shared" si="164"/>
        <v>14.255787862311687</v>
      </c>
      <c r="S620" s="6">
        <f t="shared" si="165"/>
        <v>136.44671838591975</v>
      </c>
      <c r="T620" s="2">
        <f t="shared" si="166"/>
        <v>1</v>
      </c>
      <c r="U620" s="6">
        <f t="shared" si="167"/>
        <v>136.44671838591975</v>
      </c>
      <c r="V620">
        <f>IF((R620-$AB$774)/($Z$773-$AB$774)&lt;0, 0, IF((R620-$AB$774)/($Z$773-$AB$774)&gt;1, 1, (R620-$AB$774)/($Z$773-$AB$774)))</f>
        <v>0</v>
      </c>
      <c r="W620" s="6">
        <f t="shared" si="168"/>
        <v>0</v>
      </c>
      <c r="AK620" s="78">
        <v>45038.145833333336</v>
      </c>
      <c r="AL620" s="5">
        <v>4.619806825245E-2</v>
      </c>
      <c r="AM620" s="5">
        <v>72.069636250000002</v>
      </c>
      <c r="AN620" s="2">
        <v>19613</v>
      </c>
      <c r="AO620" s="7">
        <f t="shared" si="173"/>
        <v>326.88333333333333</v>
      </c>
      <c r="AP620" s="5">
        <f t="shared" si="169"/>
        <v>15.101378543921697</v>
      </c>
      <c r="AQ620" s="6">
        <f t="shared" si="170"/>
        <v>140.3518103483176</v>
      </c>
      <c r="AR620" s="2">
        <f t="shared" si="171"/>
        <v>-2.1301186875174403</v>
      </c>
      <c r="AS620" s="2">
        <f t="shared" si="172"/>
        <v>-298.96601404985495</v>
      </c>
    </row>
    <row r="621" spans="13:45" x14ac:dyDescent="0.3">
      <c r="M621" s="78">
        <v>45039.15625</v>
      </c>
      <c r="N621" s="5">
        <v>4.2419705701272598E-2</v>
      </c>
      <c r="O621" s="5">
        <v>72.523974480000007</v>
      </c>
      <c r="P621" s="2">
        <v>20855</v>
      </c>
      <c r="Q621" s="7">
        <f t="shared" si="163"/>
        <v>347.58333333333331</v>
      </c>
      <c r="R621" s="6">
        <f t="shared" si="164"/>
        <v>14.744382706667333</v>
      </c>
      <c r="S621" s="6">
        <f t="shared" si="165"/>
        <v>138.71711127747994</v>
      </c>
      <c r="T621" s="2">
        <f t="shared" si="166"/>
        <v>1</v>
      </c>
      <c r="U621" s="6">
        <f t="shared" si="167"/>
        <v>138.71711127747994</v>
      </c>
      <c r="V621">
        <f>IF((R621-$AB$774)/($Z$773-$AB$774)&lt;0, 0, IF((R621-$AB$774)/($Z$773-$AB$774)&gt;1, 1, (R621-$AB$774)/($Z$773-$AB$774)))</f>
        <v>0</v>
      </c>
      <c r="W621" s="6">
        <f t="shared" si="168"/>
        <v>0</v>
      </c>
      <c r="AK621" s="78">
        <v>45038.15625</v>
      </c>
      <c r="AL621" s="5">
        <v>4.9294298058308997E-2</v>
      </c>
      <c r="AM621" s="5">
        <v>74.312865549999998</v>
      </c>
      <c r="AN621" s="2">
        <v>19051</v>
      </c>
      <c r="AO621" s="7">
        <f t="shared" si="173"/>
        <v>317.51666666666665</v>
      </c>
      <c r="AP621" s="5">
        <f t="shared" si="169"/>
        <v>15.651761205147411</v>
      </c>
      <c r="AQ621" s="6">
        <f t="shared" si="170"/>
        <v>142.83386834388327</v>
      </c>
      <c r="AR621" s="2">
        <f t="shared" si="171"/>
        <v>-2.1301186875174403</v>
      </c>
      <c r="AS621" s="2">
        <f t="shared" si="172"/>
        <v>-304.25309216971146</v>
      </c>
    </row>
    <row r="622" spans="13:45" x14ac:dyDescent="0.3">
      <c r="M622" s="78">
        <v>45039.166666666664</v>
      </c>
      <c r="N622" s="5">
        <v>4.2167641248381002E-2</v>
      </c>
      <c r="O622" s="5">
        <v>66.203758769999993</v>
      </c>
      <c r="P622" s="2">
        <v>21106</v>
      </c>
      <c r="Q622" s="7">
        <f t="shared" si="163"/>
        <v>351.76666666666665</v>
      </c>
      <c r="R622" s="6">
        <f t="shared" si="164"/>
        <v>14.833170603138823</v>
      </c>
      <c r="S622" s="6">
        <f t="shared" si="165"/>
        <v>139.12554494970098</v>
      </c>
      <c r="T622" s="2">
        <f t="shared" si="166"/>
        <v>1</v>
      </c>
      <c r="U622" s="6">
        <f t="shared" si="167"/>
        <v>139.12554494970098</v>
      </c>
      <c r="V622">
        <f>IF((R622-$AB$774)/($Z$773-$AB$774)&lt;0, 0, IF((R622-$AB$774)/($Z$773-$AB$774)&gt;1, 1, (R622-$AB$774)/($Z$773-$AB$774)))</f>
        <v>0</v>
      </c>
      <c r="W622" s="6">
        <f t="shared" si="168"/>
        <v>0</v>
      </c>
      <c r="AK622" s="78">
        <v>45038.166666666664</v>
      </c>
      <c r="AL622" s="5">
        <v>4.7076772438016397E-2</v>
      </c>
      <c r="AM622" s="5">
        <v>73.415890989999994</v>
      </c>
      <c r="AN622" s="2">
        <v>19843</v>
      </c>
      <c r="AO622" s="7">
        <f t="shared" si="173"/>
        <v>330.71666666666664</v>
      </c>
      <c r="AP622" s="5">
        <f t="shared" si="169"/>
        <v>15.569073258125988</v>
      </c>
      <c r="AQ622" s="6">
        <f t="shared" si="170"/>
        <v>142.46384691791707</v>
      </c>
      <c r="AR622" s="2">
        <f t="shared" si="171"/>
        <v>-2.1301186875174403</v>
      </c>
      <c r="AS622" s="2">
        <f t="shared" si="172"/>
        <v>-303.46490261547905</v>
      </c>
    </row>
    <row r="623" spans="13:45" x14ac:dyDescent="0.3">
      <c r="M623" s="78">
        <v>45039.177083333336</v>
      </c>
      <c r="N623" s="5">
        <v>4.2245006060342698E-2</v>
      </c>
      <c r="O623" s="5">
        <v>68.924680609999996</v>
      </c>
      <c r="P623" s="2">
        <v>21894</v>
      </c>
      <c r="Q623" s="7">
        <f t="shared" si="163"/>
        <v>364.9</v>
      </c>
      <c r="R623" s="6">
        <f t="shared" si="164"/>
        <v>15.415202711419049</v>
      </c>
      <c r="S623" s="6">
        <f t="shared" si="165"/>
        <v>141.77261028802562</v>
      </c>
      <c r="T623" s="2">
        <f t="shared" si="166"/>
        <v>1</v>
      </c>
      <c r="U623" s="6">
        <f t="shared" si="167"/>
        <v>141.77261028802562</v>
      </c>
      <c r="V623">
        <f>IF((R623-$AB$774)/($Z$773-$AB$774)&lt;0, 0, IF((R623-$AB$774)/($Z$773-$AB$774)&gt;1, 1, (R623-$AB$774)/($Z$773-$AB$774)))</f>
        <v>9.5533797991579003E-2</v>
      </c>
      <c r="W623" s="6">
        <f t="shared" si="168"/>
        <v>13.544075911995094</v>
      </c>
      <c r="AK623" s="78">
        <v>45038.177083333336</v>
      </c>
      <c r="AL623" s="5">
        <v>4.4724558283883699E-2</v>
      </c>
      <c r="AM623" s="5">
        <v>73.415890989999994</v>
      </c>
      <c r="AN623" s="2">
        <v>19070</v>
      </c>
      <c r="AO623" s="7">
        <f t="shared" si="173"/>
        <v>317.83333333333331</v>
      </c>
      <c r="AP623" s="5">
        <f t="shared" si="169"/>
        <v>14.214955441227701</v>
      </c>
      <c r="AQ623" s="6">
        <f t="shared" si="170"/>
        <v>136.2551936646025</v>
      </c>
      <c r="AR623" s="2">
        <f t="shared" si="171"/>
        <v>-2.1301186875174403</v>
      </c>
      <c r="AS623" s="2">
        <f t="shared" si="172"/>
        <v>-290.23973429627773</v>
      </c>
    </row>
    <row r="624" spans="13:45" x14ac:dyDescent="0.3">
      <c r="M624" s="78">
        <v>45039.1875</v>
      </c>
      <c r="N624" s="5">
        <v>4.2084967635996201E-2</v>
      </c>
      <c r="O624" s="5">
        <v>68.924680609999996</v>
      </c>
      <c r="P624" s="2">
        <v>21431</v>
      </c>
      <c r="Q624" s="7">
        <f t="shared" si="163"/>
        <v>357.18333333333334</v>
      </c>
      <c r="R624" s="6">
        <f t="shared" si="164"/>
        <v>15.032049023450577</v>
      </c>
      <c r="S624" s="6">
        <f t="shared" si="165"/>
        <v>140.0359032908548</v>
      </c>
      <c r="T624" s="2">
        <f t="shared" si="166"/>
        <v>1</v>
      </c>
      <c r="U624" s="6">
        <f t="shared" si="167"/>
        <v>140.0359032908548</v>
      </c>
      <c r="V624">
        <f>IF((R624-$AB$774)/($Z$773-$AB$774)&lt;0, 0, IF((R624-$AB$774)/($Z$773-$AB$774)&gt;1, 1, (R624-$AB$774)/($Z$773-$AB$774)))</f>
        <v>2.5397722141652517E-2</v>
      </c>
      <c r="W624" s="6">
        <f t="shared" si="168"/>
        <v>3.5565929616364538</v>
      </c>
      <c r="AK624" s="78">
        <v>45038.1875</v>
      </c>
      <c r="AL624" s="5">
        <v>4.60943651227965E-2</v>
      </c>
      <c r="AM624" s="5">
        <v>65.290959470000004</v>
      </c>
      <c r="AN624" s="2">
        <v>20737</v>
      </c>
      <c r="AO624" s="7">
        <f t="shared" si="173"/>
        <v>345.61666666666667</v>
      </c>
      <c r="AP624" s="5">
        <f t="shared" si="169"/>
        <v>15.930980825857183</v>
      </c>
      <c r="AQ624" s="6">
        <f t="shared" si="170"/>
        <v>144.07603637226254</v>
      </c>
      <c r="AR624" s="2">
        <f t="shared" si="171"/>
        <v>-2.1301186875174403</v>
      </c>
      <c r="AS624" s="2">
        <f t="shared" si="172"/>
        <v>-306.89905749999883</v>
      </c>
    </row>
    <row r="625" spans="13:45" x14ac:dyDescent="0.3">
      <c r="M625" s="78">
        <v>45039.197916666664</v>
      </c>
      <c r="N625" s="5">
        <v>4.4277594219573599E-2</v>
      </c>
      <c r="O625" s="5">
        <v>65.290959470000004</v>
      </c>
      <c r="P625" s="2">
        <v>22096</v>
      </c>
      <c r="Q625" s="7">
        <f t="shared" si="163"/>
        <v>368.26666666666665</v>
      </c>
      <c r="R625" s="6">
        <f t="shared" si="164"/>
        <v>16.305962031261636</v>
      </c>
      <c r="S625" s="6">
        <f t="shared" si="165"/>
        <v>145.72687029047637</v>
      </c>
      <c r="T625" s="2">
        <f t="shared" si="166"/>
        <v>1</v>
      </c>
      <c r="U625" s="6">
        <f t="shared" si="167"/>
        <v>145.72687029047637</v>
      </c>
      <c r="V625">
        <f>IF((R625-$AB$774)/($Z$773-$AB$774)&lt;0, 0, IF((R625-$AB$774)/($Z$773-$AB$774)&gt;1, 1, (R625-$AB$774)/($Z$773-$AB$774)))</f>
        <v>0.25858681087462199</v>
      </c>
      <c r="W625" s="6">
        <f t="shared" si="168"/>
        <v>37.683046647153979</v>
      </c>
      <c r="AK625" s="78">
        <v>45038.197916666664</v>
      </c>
      <c r="AL625" s="5">
        <v>4.5990427405066397E-2</v>
      </c>
      <c r="AM625" s="5">
        <v>72.069636250000002</v>
      </c>
      <c r="AN625" s="2">
        <v>19425</v>
      </c>
      <c r="AO625" s="7">
        <f t="shared" si="173"/>
        <v>323.75</v>
      </c>
      <c r="AP625" s="5">
        <f t="shared" si="169"/>
        <v>14.889400872390246</v>
      </c>
      <c r="AQ625" s="6">
        <f t="shared" si="170"/>
        <v>139.38356513718549</v>
      </c>
      <c r="AR625" s="2">
        <f t="shared" si="171"/>
        <v>-2.1301186875174403</v>
      </c>
      <c r="AS625" s="2">
        <f t="shared" si="172"/>
        <v>-296.90353683152318</v>
      </c>
    </row>
    <row r="626" spans="13:45" x14ac:dyDescent="0.3">
      <c r="M626" s="78">
        <v>45039.208333333336</v>
      </c>
      <c r="N626" s="5">
        <v>4.5577838473469599E-2</v>
      </c>
      <c r="O626" s="5">
        <v>69.822823</v>
      </c>
      <c r="P626" s="2">
        <v>21622</v>
      </c>
      <c r="Q626" s="7">
        <f t="shared" si="163"/>
        <v>360.36666666666667</v>
      </c>
      <c r="R626" s="6">
        <f t="shared" si="164"/>
        <v>16.424733724555995</v>
      </c>
      <c r="S626" s="6">
        <f t="shared" si="165"/>
        <v>146.24570775538908</v>
      </c>
      <c r="T626" s="2">
        <f t="shared" si="166"/>
        <v>1</v>
      </c>
      <c r="U626" s="6">
        <f t="shared" si="167"/>
        <v>146.24570775538908</v>
      </c>
      <c r="V626">
        <f>IF((R626-$AB$774)/($Z$773-$AB$774)&lt;0, 0, IF((R626-$AB$774)/($Z$773-$AB$774)&gt;1, 1, (R626-$AB$774)/($Z$773-$AB$774)))</f>
        <v>0.28032790524822709</v>
      </c>
      <c r="W626" s="6">
        <f t="shared" si="168"/>
        <v>40.99675290661262</v>
      </c>
      <c r="AK626" s="78">
        <v>45038.208333333336</v>
      </c>
      <c r="AL626" s="5">
        <v>4.4072561525103401E-2</v>
      </c>
      <c r="AM626" s="5">
        <v>75.652056590000001</v>
      </c>
      <c r="AN626" s="2">
        <v>19676</v>
      </c>
      <c r="AO626" s="7">
        <f t="shared" si="173"/>
        <v>327.93333333333334</v>
      </c>
      <c r="AP626" s="5">
        <f t="shared" si="169"/>
        <v>14.452862009465576</v>
      </c>
      <c r="AQ626" s="6">
        <f t="shared" si="170"/>
        <v>137.36718421853314</v>
      </c>
      <c r="AR626" s="2">
        <f t="shared" si="171"/>
        <v>-2.1301186875174403</v>
      </c>
      <c r="AS626" s="2">
        <f t="shared" si="172"/>
        <v>-292.60840615554827</v>
      </c>
    </row>
    <row r="627" spans="13:45" x14ac:dyDescent="0.3">
      <c r="M627" s="78">
        <v>45039.21875</v>
      </c>
      <c r="N627" s="5">
        <v>4.2001746837998302E-2</v>
      </c>
      <c r="O627" s="5">
        <v>69.822823</v>
      </c>
      <c r="P627" s="2">
        <v>21384</v>
      </c>
      <c r="Q627" s="7">
        <f t="shared" si="163"/>
        <v>356.4</v>
      </c>
      <c r="R627" s="6">
        <f t="shared" si="164"/>
        <v>14.969422573062594</v>
      </c>
      <c r="S627" s="6">
        <f t="shared" si="165"/>
        <v>139.74989969309712</v>
      </c>
      <c r="T627" s="2">
        <f t="shared" si="166"/>
        <v>1</v>
      </c>
      <c r="U627" s="6">
        <f t="shared" si="167"/>
        <v>139.74989969309712</v>
      </c>
      <c r="V627">
        <f>IF((R627-$AB$774)/($Z$773-$AB$774)&lt;0, 0, IF((R627-$AB$774)/($Z$773-$AB$774)&gt;1, 1, (R627-$AB$774)/($Z$773-$AB$774)))</f>
        <v>1.3933984188581711E-2</v>
      </c>
      <c r="W627" s="6">
        <f t="shared" si="168"/>
        <v>1.9472728926794953</v>
      </c>
      <c r="AK627" s="78">
        <v>45038.21875</v>
      </c>
      <c r="AL627" s="5">
        <v>4.2428665026395702E-2</v>
      </c>
      <c r="AM627" s="5">
        <v>71.17580074</v>
      </c>
      <c r="AN627" s="2">
        <v>20827</v>
      </c>
      <c r="AO627" s="7">
        <f t="shared" si="173"/>
        <v>347.11666666666667</v>
      </c>
      <c r="AP627" s="5">
        <f t="shared" si="169"/>
        <v>14.727696775079055</v>
      </c>
      <c r="AQ627" s="6">
        <f t="shared" si="170"/>
        <v>138.64021426646158</v>
      </c>
      <c r="AR627" s="2">
        <f t="shared" si="171"/>
        <v>-2.1301186875174403</v>
      </c>
      <c r="AS627" s="2">
        <f t="shared" si="172"/>
        <v>-295.32011125041186</v>
      </c>
    </row>
    <row r="628" spans="13:45" x14ac:dyDescent="0.3">
      <c r="M628" s="78">
        <v>45039.229166666664</v>
      </c>
      <c r="N628" s="5">
        <v>4.1726706719062902E-2</v>
      </c>
      <c r="O628" s="5">
        <v>67.557775419999999</v>
      </c>
      <c r="P628" s="2">
        <v>21684</v>
      </c>
      <c r="Q628" s="7">
        <f t="shared" si="163"/>
        <v>361.4</v>
      </c>
      <c r="R628" s="6">
        <f t="shared" si="164"/>
        <v>15.080031808269332</v>
      </c>
      <c r="S628" s="6">
        <f t="shared" si="165"/>
        <v>140.25462076476936</v>
      </c>
      <c r="T628" s="2">
        <f t="shared" si="166"/>
        <v>1</v>
      </c>
      <c r="U628" s="6">
        <f t="shared" si="167"/>
        <v>140.25462076476936</v>
      </c>
      <c r="V628">
        <f>IF((R628-$AB$774)/($Z$773-$AB$774)&lt;0, 0, IF((R628-$AB$774)/($Z$773-$AB$774)&gt;1, 1, (R628-$AB$774)/($Z$773-$AB$774)))</f>
        <v>3.4180945013347355E-2</v>
      </c>
      <c r="W628" s="6">
        <f t="shared" si="168"/>
        <v>4.7940354802284677</v>
      </c>
      <c r="AK628" s="78">
        <v>45038.229166666664</v>
      </c>
      <c r="AL628" s="5">
        <v>4.8047914369413698E-2</v>
      </c>
      <c r="AM628" s="5">
        <v>67.565551839999998</v>
      </c>
      <c r="AN628" s="2">
        <v>20308</v>
      </c>
      <c r="AO628" s="7">
        <f t="shared" si="173"/>
        <v>338.46666666666664</v>
      </c>
      <c r="AP628" s="5">
        <f t="shared" si="169"/>
        <v>16.262617416900888</v>
      </c>
      <c r="AQ628" s="6">
        <f t="shared" si="170"/>
        <v>145.5370453336663</v>
      </c>
      <c r="AR628" s="2">
        <f t="shared" si="171"/>
        <v>-2.1301186875174403</v>
      </c>
      <c r="AS628" s="2">
        <f t="shared" si="172"/>
        <v>-310.01117999131549</v>
      </c>
    </row>
    <row r="629" spans="13:45" x14ac:dyDescent="0.3">
      <c r="M629" s="78">
        <v>45039.239583333336</v>
      </c>
      <c r="N629" s="5">
        <v>4.4706087012939599E-2</v>
      </c>
      <c r="O629" s="5">
        <v>71.17580074</v>
      </c>
      <c r="P629" s="2">
        <v>20768</v>
      </c>
      <c r="Q629" s="7">
        <f t="shared" si="163"/>
        <v>346.13333333333333</v>
      </c>
      <c r="R629" s="6">
        <f t="shared" si="164"/>
        <v>15.474266918078825</v>
      </c>
      <c r="S629" s="6">
        <f t="shared" si="165"/>
        <v>142.03836049350883</v>
      </c>
      <c r="T629" s="2">
        <f t="shared" si="166"/>
        <v>1</v>
      </c>
      <c r="U629" s="6">
        <f t="shared" si="167"/>
        <v>142.03836049350883</v>
      </c>
      <c r="V629">
        <f>IF((R629-$AB$774)/($Z$773-$AB$774)&lt;0, 0, IF((R629-$AB$774)/($Z$773-$AB$774)&gt;1, 1, (R629-$AB$774)/($Z$773-$AB$774)))</f>
        <v>0.10634546915223009</v>
      </c>
      <c r="W629" s="6">
        <f t="shared" si="168"/>
        <v>15.105136084295781</v>
      </c>
      <c r="AK629" s="78">
        <v>45038.239583333336</v>
      </c>
      <c r="AL629" s="5">
        <v>4.4302803688993801E-2</v>
      </c>
      <c r="AM629" s="5">
        <v>69.822823</v>
      </c>
      <c r="AN629" s="2">
        <v>20105</v>
      </c>
      <c r="AO629" s="7">
        <f t="shared" si="173"/>
        <v>335.08333333333331</v>
      </c>
      <c r="AP629" s="5">
        <f t="shared" si="169"/>
        <v>14.845131136120338</v>
      </c>
      <c r="AQ629" s="6">
        <f t="shared" si="170"/>
        <v>139.18046920793378</v>
      </c>
      <c r="AR629" s="2">
        <f t="shared" si="171"/>
        <v>-2.1301186875174403</v>
      </c>
      <c r="AS629" s="2">
        <f t="shared" si="172"/>
        <v>-296.47091839726539</v>
      </c>
    </row>
    <row r="630" spans="13:45" x14ac:dyDescent="0.3">
      <c r="M630" s="78">
        <v>45039.25</v>
      </c>
      <c r="N630" s="5">
        <v>4.0180156731239702E-2</v>
      </c>
      <c r="O630" s="5">
        <v>71.17580074</v>
      </c>
      <c r="P630" s="2">
        <v>21584</v>
      </c>
      <c r="Q630" s="7">
        <f t="shared" si="163"/>
        <v>359.73333333333335</v>
      </c>
      <c r="R630" s="6">
        <f t="shared" si="164"/>
        <v>14.45414171478463</v>
      </c>
      <c r="S630" s="6">
        <f t="shared" si="165"/>
        <v>137.37314028324664</v>
      </c>
      <c r="T630" s="2">
        <f t="shared" si="166"/>
        <v>1</v>
      </c>
      <c r="U630" s="6">
        <f t="shared" si="167"/>
        <v>137.37314028324664</v>
      </c>
      <c r="V630">
        <f>IF((R630-$AB$774)/($Z$773-$AB$774)&lt;0, 0, IF((R630-$AB$774)/($Z$773-$AB$774)&gt;1, 1, (R630-$AB$774)/($Z$773-$AB$774)))</f>
        <v>0</v>
      </c>
      <c r="W630" s="6">
        <f t="shared" si="168"/>
        <v>0</v>
      </c>
      <c r="AK630" s="78">
        <v>45038.25</v>
      </c>
      <c r="AL630" s="5">
        <v>4.3441326841123097E-2</v>
      </c>
      <c r="AM630" s="5">
        <v>70.720093730000002</v>
      </c>
      <c r="AN630" s="2">
        <v>20457</v>
      </c>
      <c r="AO630" s="7">
        <f t="shared" si="173"/>
        <v>340.95</v>
      </c>
      <c r="AP630" s="5">
        <f t="shared" si="169"/>
        <v>14.811320386480919</v>
      </c>
      <c r="AQ630" s="6">
        <f t="shared" si="170"/>
        <v>139.02514764369607</v>
      </c>
      <c r="AR630" s="2">
        <f t="shared" si="171"/>
        <v>-2.1301186875174403</v>
      </c>
      <c r="AS630" s="2">
        <f t="shared" si="172"/>
        <v>-296.14006503070823</v>
      </c>
    </row>
    <row r="631" spans="13:45" x14ac:dyDescent="0.3">
      <c r="M631" s="78">
        <v>45039.260416666664</v>
      </c>
      <c r="N631" s="5">
        <v>4.1764232595573603E-2</v>
      </c>
      <c r="O631" s="5">
        <v>71.17580074</v>
      </c>
      <c r="P631" s="2">
        <v>21340</v>
      </c>
      <c r="Q631" s="7">
        <f t="shared" si="163"/>
        <v>355.66666666666669</v>
      </c>
      <c r="R631" s="6">
        <f t="shared" si="164"/>
        <v>14.854145393159012</v>
      </c>
      <c r="S631" s="6">
        <f t="shared" si="165"/>
        <v>139.22184887849929</v>
      </c>
      <c r="T631" s="2">
        <f t="shared" si="166"/>
        <v>1</v>
      </c>
      <c r="U631" s="6">
        <f t="shared" si="167"/>
        <v>139.22184887849929</v>
      </c>
      <c r="V631">
        <f>IF((R631-$AB$774)/($Z$773-$AB$774)&lt;0, 0, IF((R631-$AB$774)/($Z$773-$AB$774)&gt;1, 1, (R631-$AB$774)/($Z$773-$AB$774)))</f>
        <v>0</v>
      </c>
      <c r="W631" s="6">
        <f t="shared" si="168"/>
        <v>0</v>
      </c>
      <c r="AK631" s="78">
        <v>45038.260416666664</v>
      </c>
      <c r="AL631" s="5">
        <v>4.3367291885815597E-2</v>
      </c>
      <c r="AM631" s="5">
        <v>68.466857000000005</v>
      </c>
      <c r="AN631" s="2">
        <v>19764</v>
      </c>
      <c r="AO631" s="7">
        <f t="shared" si="173"/>
        <v>329.4</v>
      </c>
      <c r="AP631" s="5">
        <f t="shared" si="169"/>
        <v>14.285185947187657</v>
      </c>
      <c r="AQ631" s="6">
        <f t="shared" si="170"/>
        <v>136.58443701158137</v>
      </c>
      <c r="AR631" s="2">
        <f t="shared" si="171"/>
        <v>-2.1301186875174403</v>
      </c>
      <c r="AS631" s="2">
        <f t="shared" si="172"/>
        <v>-290.94106170241821</v>
      </c>
    </row>
    <row r="632" spans="13:45" x14ac:dyDescent="0.3">
      <c r="M632" s="78">
        <v>45039.270833333336</v>
      </c>
      <c r="N632" s="5">
        <v>4.0557901629420898E-2</v>
      </c>
      <c r="O632" s="5">
        <v>74.764849499999997</v>
      </c>
      <c r="P632" s="2">
        <v>22874</v>
      </c>
      <c r="Q632" s="7">
        <f t="shared" si="163"/>
        <v>381.23333333333335</v>
      </c>
      <c r="R632" s="6">
        <f t="shared" si="164"/>
        <v>15.462024031189561</v>
      </c>
      <c r="S632" s="6">
        <f t="shared" si="165"/>
        <v>141.98331811345841</v>
      </c>
      <c r="T632" s="2">
        <f t="shared" si="166"/>
        <v>1</v>
      </c>
      <c r="U632" s="6">
        <f t="shared" si="167"/>
        <v>141.98331811345841</v>
      </c>
      <c r="V632">
        <f>IF((R632-$AB$774)/($Z$773-$AB$774)&lt;0, 0, IF((R632-$AB$774)/($Z$773-$AB$774)&gt;1, 1, (R632-$AB$774)/($Z$773-$AB$774)))</f>
        <v>0.10410441531286785</v>
      </c>
      <c r="W632" s="6">
        <f t="shared" si="168"/>
        <v>14.781090316382507</v>
      </c>
      <c r="AK632" s="78">
        <v>45038.270833333336</v>
      </c>
      <c r="AL632" s="5">
        <v>4.4328736645843497E-2</v>
      </c>
      <c r="AM632" s="5">
        <v>67.557775419999999</v>
      </c>
      <c r="AN632" s="2">
        <v>20823</v>
      </c>
      <c r="AO632" s="7">
        <f t="shared" si="173"/>
        <v>347.05</v>
      </c>
      <c r="AP632" s="5">
        <f t="shared" si="169"/>
        <v>15.384288052939986</v>
      </c>
      <c r="AQ632" s="6">
        <f t="shared" si="170"/>
        <v>141.633307423704</v>
      </c>
      <c r="AR632" s="2">
        <f t="shared" si="171"/>
        <v>-2.1301186875174403</v>
      </c>
      <c r="AS632" s="2">
        <f t="shared" si="172"/>
        <v>-301.69575491813447</v>
      </c>
    </row>
    <row r="633" spans="13:45" x14ac:dyDescent="0.3">
      <c r="M633" s="78">
        <v>45039.28125</v>
      </c>
      <c r="N633" s="5">
        <v>3.8064793720702698E-2</v>
      </c>
      <c r="O633" s="5">
        <v>73.423571839999994</v>
      </c>
      <c r="P633" s="2">
        <v>23239</v>
      </c>
      <c r="Q633" s="7">
        <f t="shared" si="163"/>
        <v>387.31666666666666</v>
      </c>
      <c r="R633" s="6">
        <f t="shared" si="164"/>
        <v>14.743129021256834</v>
      </c>
      <c r="S633" s="6">
        <f t="shared" si="165"/>
        <v>138.71133521956065</v>
      </c>
      <c r="T633" s="2">
        <f t="shared" si="166"/>
        <v>1</v>
      </c>
      <c r="U633" s="6">
        <f t="shared" si="167"/>
        <v>138.71133521956065</v>
      </c>
      <c r="V633">
        <f>IF((R633-$AB$774)/($Z$773-$AB$774)&lt;0, 0, IF((R633-$AB$774)/($Z$773-$AB$774)&gt;1, 1, (R633-$AB$774)/($Z$773-$AB$774)))</f>
        <v>0</v>
      </c>
      <c r="W633" s="6">
        <f t="shared" si="168"/>
        <v>0</v>
      </c>
      <c r="AK633" s="78">
        <v>45038.28125</v>
      </c>
      <c r="AL633" s="5">
        <v>4.6706372790022203E-2</v>
      </c>
      <c r="AM633" s="5">
        <v>68.466857000000005</v>
      </c>
      <c r="AN633" s="2">
        <v>20632</v>
      </c>
      <c r="AO633" s="7">
        <f t="shared" si="173"/>
        <v>343.86666666666667</v>
      </c>
      <c r="AP633" s="5">
        <f t="shared" si="169"/>
        <v>16.060764723395636</v>
      </c>
      <c r="AQ633" s="6">
        <f t="shared" si="170"/>
        <v>144.64962452783257</v>
      </c>
      <c r="AR633" s="2">
        <f t="shared" si="171"/>
        <v>-2.1301186875174403</v>
      </c>
      <c r="AS633" s="2">
        <f t="shared" si="172"/>
        <v>-308.12086834911725</v>
      </c>
    </row>
    <row r="634" spans="13:45" x14ac:dyDescent="0.3">
      <c r="M634" s="78">
        <v>45039.291666666664</v>
      </c>
      <c r="N634" s="5">
        <v>4.0331874078468999E-2</v>
      </c>
      <c r="O634" s="5">
        <v>70.727821939999998</v>
      </c>
      <c r="P634" s="2">
        <v>23015</v>
      </c>
      <c r="Q634" s="7">
        <f t="shared" si="163"/>
        <v>383.58333333333331</v>
      </c>
      <c r="R634" s="6">
        <f t="shared" si="164"/>
        <v>15.470634698599399</v>
      </c>
      <c r="S634" s="6">
        <f t="shared" si="165"/>
        <v>142.02203284034081</v>
      </c>
      <c r="T634" s="2">
        <f t="shared" si="166"/>
        <v>1</v>
      </c>
      <c r="U634" s="6">
        <f t="shared" si="167"/>
        <v>142.02203284034081</v>
      </c>
      <c r="V634">
        <f>IF((R634-$AB$774)/($Z$773-$AB$774)&lt;0, 0, IF((R634-$AB$774)/($Z$773-$AB$774)&gt;1, 1, (R634-$AB$774)/($Z$773-$AB$774)))</f>
        <v>0.10568059333630532</v>
      </c>
      <c r="W634" s="6">
        <f t="shared" si="168"/>
        <v>15.008972697395457</v>
      </c>
      <c r="AK634" s="78">
        <v>45038.291666666664</v>
      </c>
      <c r="AL634" s="5">
        <v>4.3865572725762601E-2</v>
      </c>
      <c r="AM634" s="5">
        <v>71.17580074</v>
      </c>
      <c r="AN634" s="2">
        <v>21476</v>
      </c>
      <c r="AO634" s="7">
        <f t="shared" si="173"/>
        <v>357.93333333333334</v>
      </c>
      <c r="AP634" s="5">
        <f t="shared" si="169"/>
        <v>15.70095066430796</v>
      </c>
      <c r="AQ634" s="6">
        <f t="shared" si="170"/>
        <v>143.05351383829387</v>
      </c>
      <c r="AR634" s="2">
        <f t="shared" si="171"/>
        <v>-2.1301186875174403</v>
      </c>
      <c r="AS634" s="2">
        <f t="shared" si="172"/>
        <v>-304.7209631419845</v>
      </c>
    </row>
    <row r="635" spans="13:45" x14ac:dyDescent="0.3">
      <c r="M635" s="78">
        <v>45039.302083333336</v>
      </c>
      <c r="N635" s="5">
        <v>4.3207031232908102E-2</v>
      </c>
      <c r="O635" s="5">
        <v>73.423571839999994</v>
      </c>
      <c r="P635" s="2">
        <v>23270</v>
      </c>
      <c r="Q635" s="7">
        <f t="shared" si="163"/>
        <v>387.83333333333331</v>
      </c>
      <c r="R635" s="6">
        <f t="shared" si="164"/>
        <v>16.757126946496193</v>
      </c>
      <c r="S635" s="6">
        <f t="shared" si="165"/>
        <v>147.68762858481637</v>
      </c>
      <c r="T635" s="2">
        <f t="shared" si="166"/>
        <v>1</v>
      </c>
      <c r="U635" s="6">
        <f t="shared" si="167"/>
        <v>147.68762858481637</v>
      </c>
      <c r="V635">
        <f>IF((R635-$AB$774)/($Z$773-$AB$774)&lt;0, 0, IF((R635-$AB$774)/($Z$773-$AB$774)&gt;1, 1, (R635-$AB$774)/($Z$773-$AB$774)))</f>
        <v>0.34117230517976965</v>
      </c>
      <c r="W635" s="6">
        <f t="shared" si="168"/>
        <v>50.386928690815438</v>
      </c>
      <c r="AK635" s="78">
        <v>45038.302083333336</v>
      </c>
      <c r="AL635" s="5">
        <v>4.3229463066423203E-2</v>
      </c>
      <c r="AM635" s="5">
        <v>65.290959470000004</v>
      </c>
      <c r="AN635" s="2">
        <v>20649</v>
      </c>
      <c r="AO635" s="7">
        <f t="shared" si="173"/>
        <v>344.15</v>
      </c>
      <c r="AP635" s="5">
        <f t="shared" si="169"/>
        <v>14.877419714309545</v>
      </c>
      <c r="AQ635" s="6">
        <f t="shared" si="170"/>
        <v>139.32862971813256</v>
      </c>
      <c r="AR635" s="2">
        <f t="shared" si="171"/>
        <v>-2.1301186875174403</v>
      </c>
      <c r="AS635" s="2">
        <f t="shared" si="172"/>
        <v>-296.78651786879198</v>
      </c>
    </row>
    <row r="636" spans="13:45" x14ac:dyDescent="0.3">
      <c r="M636" s="78">
        <v>45039.3125</v>
      </c>
      <c r="N636" s="5">
        <v>3.8180380631645201E-2</v>
      </c>
      <c r="O636" s="5">
        <v>67.557775419999999</v>
      </c>
      <c r="P636" s="2">
        <v>23558</v>
      </c>
      <c r="Q636" s="7">
        <f t="shared" si="163"/>
        <v>392.63333333333333</v>
      </c>
      <c r="R636" s="6">
        <f t="shared" si="164"/>
        <v>14.990890115338294</v>
      </c>
      <c r="S636" s="6">
        <f t="shared" si="165"/>
        <v>139.84800670780621</v>
      </c>
      <c r="T636" s="2">
        <f t="shared" si="166"/>
        <v>1</v>
      </c>
      <c r="U636" s="6">
        <f t="shared" si="167"/>
        <v>139.84800670780621</v>
      </c>
      <c r="V636">
        <f>IF((R636-$AB$774)/($Z$773-$AB$774)&lt;0, 0, IF((R636-$AB$774)/($Z$773-$AB$774)&gt;1, 1, (R636-$AB$774)/($Z$773-$AB$774)))</f>
        <v>1.7863606219216711E-2</v>
      </c>
      <c r="W636" s="6">
        <f t="shared" si="168"/>
        <v>2.4981897223706273</v>
      </c>
      <c r="AK636" s="78">
        <v>45038.3125</v>
      </c>
      <c r="AL636" s="5">
        <v>4.1891323612100503E-2</v>
      </c>
      <c r="AM636" s="5">
        <v>68.924680609999996</v>
      </c>
      <c r="AN636" s="2">
        <v>21153</v>
      </c>
      <c r="AO636" s="7">
        <f t="shared" si="173"/>
        <v>352.55</v>
      </c>
      <c r="AP636" s="5">
        <f t="shared" si="169"/>
        <v>14.768786139446034</v>
      </c>
      <c r="AQ636" s="6">
        <f t="shared" si="170"/>
        <v>138.82949442187103</v>
      </c>
      <c r="AR636" s="2">
        <f t="shared" si="171"/>
        <v>-2.1301186875174403</v>
      </c>
      <c r="AS636" s="2">
        <f t="shared" si="172"/>
        <v>-295.72330044662573</v>
      </c>
    </row>
    <row r="637" spans="13:45" x14ac:dyDescent="0.3">
      <c r="M637" s="78">
        <v>45039.322916666664</v>
      </c>
      <c r="N637" s="5">
        <v>3.8809755018313803E-2</v>
      </c>
      <c r="O637" s="5">
        <v>68.466857000000005</v>
      </c>
      <c r="P637" s="2">
        <v>22823</v>
      </c>
      <c r="Q637" s="7">
        <f t="shared" si="163"/>
        <v>380.38333333333333</v>
      </c>
      <c r="R637" s="6">
        <f t="shared" si="164"/>
        <v>14.762583979716265</v>
      </c>
      <c r="S637" s="6">
        <f t="shared" si="165"/>
        <v>138.80094110707537</v>
      </c>
      <c r="T637" s="2">
        <f t="shared" si="166"/>
        <v>1</v>
      </c>
      <c r="U637" s="6">
        <f t="shared" si="167"/>
        <v>138.80094110707537</v>
      </c>
      <c r="V637">
        <f>IF((R637-$AB$774)/($Z$773-$AB$774)&lt;0, 0, IF((R637-$AB$774)/($Z$773-$AB$774)&gt;1, 1, (R637-$AB$774)/($Z$773-$AB$774)))</f>
        <v>0</v>
      </c>
      <c r="W637" s="6">
        <f t="shared" si="168"/>
        <v>0</v>
      </c>
      <c r="AK637" s="78">
        <v>45038.322916666664</v>
      </c>
      <c r="AL637" s="5">
        <v>4.2478978786211999E-2</v>
      </c>
      <c r="AM637" s="5">
        <v>68.466857000000005</v>
      </c>
      <c r="AN637" s="2">
        <v>21202</v>
      </c>
      <c r="AO637" s="7">
        <f t="shared" si="173"/>
        <v>353.36666666666667</v>
      </c>
      <c r="AP637" s="5">
        <f t="shared" si="169"/>
        <v>15.010655137087781</v>
      </c>
      <c r="AQ637" s="6">
        <f t="shared" si="170"/>
        <v>139.93826980533439</v>
      </c>
      <c r="AR637" s="2">
        <f t="shared" si="171"/>
        <v>-2.1301186875174403</v>
      </c>
      <c r="AS637" s="2">
        <f t="shared" si="172"/>
        <v>-298.08512361120034</v>
      </c>
    </row>
    <row r="638" spans="13:45" x14ac:dyDescent="0.3">
      <c r="M638" s="78">
        <v>45039.333333333336</v>
      </c>
      <c r="N638" s="5">
        <v>3.9423724736067797E-2</v>
      </c>
      <c r="O638" s="5">
        <v>69.822823</v>
      </c>
      <c r="P638" s="2">
        <v>23304</v>
      </c>
      <c r="Q638" s="7">
        <f t="shared" si="163"/>
        <v>388.4</v>
      </c>
      <c r="R638" s="6">
        <f t="shared" si="164"/>
        <v>15.312174687488731</v>
      </c>
      <c r="S638" s="6">
        <f t="shared" si="165"/>
        <v>141.30780502070328</v>
      </c>
      <c r="T638" s="2">
        <f t="shared" si="166"/>
        <v>1</v>
      </c>
      <c r="U638" s="6">
        <f t="shared" si="167"/>
        <v>141.30780502070328</v>
      </c>
      <c r="V638">
        <f>IF((R638-$AB$774)/($Z$773-$AB$774)&lt;0, 0, IF((R638-$AB$774)/($Z$773-$AB$774)&gt;1, 1, (R638-$AB$774)/($Z$773-$AB$774)))</f>
        <v>7.667457380047743E-2</v>
      </c>
      <c r="W638" s="6">
        <f t="shared" si="168"/>
        <v>10.83471572464339</v>
      </c>
      <c r="AK638" s="78">
        <v>45038.333333333336</v>
      </c>
      <c r="AL638" s="5">
        <v>4.7227347871551903E-2</v>
      </c>
      <c r="AM638" s="5">
        <v>72.069636250000002</v>
      </c>
      <c r="AN638" s="2">
        <v>20959</v>
      </c>
      <c r="AO638" s="7">
        <f t="shared" si="173"/>
        <v>349.31666666666666</v>
      </c>
      <c r="AP638" s="5">
        <f t="shared" si="169"/>
        <v>16.497299733997604</v>
      </c>
      <c r="AQ638" s="6">
        <f t="shared" si="170"/>
        <v>146.56176036237977</v>
      </c>
      <c r="AR638" s="2">
        <f t="shared" si="171"/>
        <v>-2.1301186875174403</v>
      </c>
      <c r="AS638" s="2">
        <f t="shared" si="172"/>
        <v>-312.19394462335799</v>
      </c>
    </row>
    <row r="639" spans="13:45" x14ac:dyDescent="0.3">
      <c r="M639" s="78">
        <v>45039.34375</v>
      </c>
      <c r="N639" s="5">
        <v>4.0223251899363897E-2</v>
      </c>
      <c r="O639" s="5">
        <v>70.720093730000002</v>
      </c>
      <c r="P639" s="2">
        <v>22808</v>
      </c>
      <c r="Q639" s="7">
        <f t="shared" si="163"/>
        <v>380.13333333333333</v>
      </c>
      <c r="R639" s="6">
        <f t="shared" si="164"/>
        <v>15.290198822011529</v>
      </c>
      <c r="S639" s="6">
        <f t="shared" si="165"/>
        <v>141.20845579498013</v>
      </c>
      <c r="T639" s="2">
        <f t="shared" si="166"/>
        <v>1</v>
      </c>
      <c r="U639" s="6">
        <f t="shared" si="167"/>
        <v>141.20845579498013</v>
      </c>
      <c r="V639">
        <f>IF((R639-$AB$774)/($Z$773-$AB$774)&lt;0, 0, IF((R639-$AB$774)/($Z$773-$AB$774)&gt;1, 1, (R639-$AB$774)/($Z$773-$AB$774)))</f>
        <v>7.2651903482075952E-2</v>
      </c>
      <c r="W639" s="6">
        <f t="shared" si="168"/>
        <v>10.259063101269884</v>
      </c>
      <c r="AK639" s="78">
        <v>45038.34375</v>
      </c>
      <c r="AL639" s="5">
        <v>4.6117359043178097E-2</v>
      </c>
      <c r="AM639" s="5">
        <v>69.822823</v>
      </c>
      <c r="AN639" s="2">
        <v>20471</v>
      </c>
      <c r="AO639" s="7">
        <f t="shared" si="173"/>
        <v>341.18333333333334</v>
      </c>
      <c r="AP639" s="5">
        <f t="shared" si="169"/>
        <v>15.734474282881648</v>
      </c>
      <c r="AQ639" s="6">
        <f t="shared" si="170"/>
        <v>143.20300556928089</v>
      </c>
      <c r="AR639" s="2">
        <f t="shared" si="171"/>
        <v>-2.1301186875174403</v>
      </c>
      <c r="AS639" s="2">
        <f t="shared" si="172"/>
        <v>-305.03939827178931</v>
      </c>
    </row>
    <row r="640" spans="13:45" x14ac:dyDescent="0.3">
      <c r="M640" s="78">
        <v>45039.354166666664</v>
      </c>
      <c r="N640" s="5">
        <v>3.8140267031154799E-2</v>
      </c>
      <c r="O640" s="5">
        <v>65.283151739999994</v>
      </c>
      <c r="P640" s="2">
        <v>23656</v>
      </c>
      <c r="Q640" s="7">
        <f t="shared" si="163"/>
        <v>394.26666666666665</v>
      </c>
      <c r="R640" s="6">
        <f t="shared" si="164"/>
        <v>15.037435948149964</v>
      </c>
      <c r="S640" s="6">
        <f t="shared" si="165"/>
        <v>140.06047597043565</v>
      </c>
      <c r="T640" s="2">
        <f t="shared" si="166"/>
        <v>1</v>
      </c>
      <c r="U640" s="6">
        <f t="shared" si="167"/>
        <v>140.06047597043565</v>
      </c>
      <c r="V640">
        <f>IF((R640-$AB$774)/($Z$773-$AB$774)&lt;0, 0, IF((R640-$AB$774)/($Z$773-$AB$774)&gt;1, 1, (R640-$AB$774)/($Z$773-$AB$774)))</f>
        <v>2.6383795801330132E-2</v>
      </c>
      <c r="W640" s="6">
        <f t="shared" si="168"/>
        <v>3.6953269978410801</v>
      </c>
      <c r="AK640" s="78">
        <v>45038.354166666664</v>
      </c>
      <c r="AL640" s="5">
        <v>4.2739907094481597E-2</v>
      </c>
      <c r="AM640" s="5">
        <v>64.837941950000001</v>
      </c>
      <c r="AN640" s="2">
        <v>20878</v>
      </c>
      <c r="AO640" s="7">
        <f t="shared" si="173"/>
        <v>347.96666666666664</v>
      </c>
      <c r="AP640" s="5">
        <f t="shared" si="169"/>
        <v>14.872063005309778</v>
      </c>
      <c r="AQ640" s="6">
        <f t="shared" si="170"/>
        <v>139.30406109536182</v>
      </c>
      <c r="AR640" s="2">
        <f t="shared" si="171"/>
        <v>-2.1301186875174403</v>
      </c>
      <c r="AS640" s="2">
        <f t="shared" si="172"/>
        <v>-296.7341837863014</v>
      </c>
    </row>
    <row r="641" spans="13:45" x14ac:dyDescent="0.3">
      <c r="M641" s="78">
        <v>45039.364583333336</v>
      </c>
      <c r="N641" s="5">
        <v>4.0099419055172503E-2</v>
      </c>
      <c r="O641" s="5">
        <v>65.283151739999994</v>
      </c>
      <c r="P641" s="2">
        <v>23227</v>
      </c>
      <c r="Q641" s="7">
        <f t="shared" si="163"/>
        <v>387.11666666666667</v>
      </c>
      <c r="R641" s="6">
        <f t="shared" si="164"/>
        <v>15.523153439908196</v>
      </c>
      <c r="S641" s="6">
        <f t="shared" si="165"/>
        <v>142.25792652475596</v>
      </c>
      <c r="T641" s="2">
        <f t="shared" si="166"/>
        <v>1</v>
      </c>
      <c r="U641" s="6">
        <f t="shared" si="167"/>
        <v>142.25792652475596</v>
      </c>
      <c r="V641">
        <f>IF((R641-$AB$774)/($Z$773-$AB$774)&lt;0, 0, IF((R641-$AB$774)/($Z$773-$AB$774)&gt;1, 1, (R641-$AB$774)/($Z$773-$AB$774)))</f>
        <v>0.11529412059610172</v>
      </c>
      <c r="W641" s="6">
        <f t="shared" si="168"/>
        <v>16.40150253649659</v>
      </c>
      <c r="AK641" s="78">
        <v>45038.364583333336</v>
      </c>
      <c r="AL641" s="5">
        <v>4.6475840291317398E-2</v>
      </c>
      <c r="AM641" s="5">
        <v>69.822823</v>
      </c>
      <c r="AN641" s="2">
        <v>20522</v>
      </c>
      <c r="AO641" s="7">
        <f t="shared" si="173"/>
        <v>342.03333333333336</v>
      </c>
      <c r="AP641" s="5">
        <f t="shared" si="169"/>
        <v>15.896286574306929</v>
      </c>
      <c r="AQ641" s="6">
        <f t="shared" si="170"/>
        <v>143.92229937900993</v>
      </c>
      <c r="AR641" s="2">
        <f t="shared" si="171"/>
        <v>-2.1301186875174403</v>
      </c>
      <c r="AS641" s="2">
        <f t="shared" si="172"/>
        <v>-306.57157945770871</v>
      </c>
    </row>
    <row r="642" spans="13:45" x14ac:dyDescent="0.3">
      <c r="M642" s="78">
        <v>45039.375</v>
      </c>
      <c r="N642" s="5">
        <v>3.8413077978328602E-2</v>
      </c>
      <c r="O642" s="5">
        <v>67.557775419999999</v>
      </c>
      <c r="P642" s="2">
        <v>23752</v>
      </c>
      <c r="Q642" s="7">
        <f t="shared" si="163"/>
        <v>395.86666666666667</v>
      </c>
      <c r="R642" s="6">
        <f t="shared" si="164"/>
        <v>15.206457135687684</v>
      </c>
      <c r="S642" s="6">
        <f t="shared" si="165"/>
        <v>140.82920411069856</v>
      </c>
      <c r="T642" s="2">
        <f t="shared" si="166"/>
        <v>1</v>
      </c>
      <c r="U642" s="6">
        <f t="shared" si="167"/>
        <v>140.82920411069856</v>
      </c>
      <c r="V642">
        <f>IF((R642-$AB$774)/($Z$773-$AB$774)&lt;0, 0, IF((R642-$AB$774)/($Z$773-$AB$774)&gt;1, 1, (R642-$AB$774)/($Z$773-$AB$774)))</f>
        <v>5.732303298378838E-2</v>
      </c>
      <c r="W642" s="6">
        <f t="shared" si="168"/>
        <v>8.0727571123182393</v>
      </c>
      <c r="AK642" s="78">
        <v>45038.375</v>
      </c>
      <c r="AL642" s="5">
        <v>4.1699544492555703E-2</v>
      </c>
      <c r="AM642" s="5">
        <v>68.466857000000005</v>
      </c>
      <c r="AN642" s="2">
        <v>20384</v>
      </c>
      <c r="AO642" s="7">
        <f t="shared" si="173"/>
        <v>339.73333333333335</v>
      </c>
      <c r="AP642" s="5">
        <f t="shared" si="169"/>
        <v>14.166725248937592</v>
      </c>
      <c r="AQ642" s="6">
        <f t="shared" si="170"/>
        <v>136.02860764482517</v>
      </c>
      <c r="AR642" s="2">
        <f t="shared" si="171"/>
        <v>-2.1301186875174403</v>
      </c>
      <c r="AS642" s="2">
        <f t="shared" si="172"/>
        <v>-289.75707918121986</v>
      </c>
    </row>
    <row r="643" spans="13:45" x14ac:dyDescent="0.3">
      <c r="M643" s="78">
        <v>45039.385416666664</v>
      </c>
      <c r="N643" s="5">
        <v>3.5836119461257199E-2</v>
      </c>
      <c r="O643" s="5">
        <v>67.557775419999999</v>
      </c>
      <c r="P643" s="2">
        <v>23639</v>
      </c>
      <c r="Q643" s="7">
        <f t="shared" si="163"/>
        <v>393.98333333333335</v>
      </c>
      <c r="R643" s="6">
        <f t="shared" si="164"/>
        <v>14.118833799077649</v>
      </c>
      <c r="S643" s="6">
        <f t="shared" si="165"/>
        <v>135.80322319555148</v>
      </c>
      <c r="T643" s="2">
        <f t="shared" si="166"/>
        <v>1</v>
      </c>
      <c r="U643" s="6">
        <f t="shared" si="167"/>
        <v>135.80322319555148</v>
      </c>
      <c r="V643">
        <f>IF((R643-$AB$774)/($Z$773-$AB$774)&lt;0, 0, IF((R643-$AB$774)/($Z$773-$AB$774)&gt;1, 1, (R643-$AB$774)/($Z$773-$AB$774)))</f>
        <v>0</v>
      </c>
      <c r="W643" s="6">
        <f t="shared" si="168"/>
        <v>0</v>
      </c>
      <c r="AK643" s="78">
        <v>45038.385416666664</v>
      </c>
      <c r="AL643" s="5">
        <v>4.8104347210687098E-2</v>
      </c>
      <c r="AM643" s="5">
        <v>68.924680609999996</v>
      </c>
      <c r="AN643" s="2">
        <v>20160</v>
      </c>
      <c r="AO643" s="7">
        <f t="shared" si="173"/>
        <v>336</v>
      </c>
      <c r="AP643" s="5">
        <f t="shared" si="169"/>
        <v>16.163060662790866</v>
      </c>
      <c r="AQ643" s="6">
        <f t="shared" si="170"/>
        <v>145.10006301242768</v>
      </c>
      <c r="AR643" s="2">
        <f t="shared" si="171"/>
        <v>-2.1301186875174403</v>
      </c>
      <c r="AS643" s="2">
        <f t="shared" si="172"/>
        <v>-309.08035578273035</v>
      </c>
    </row>
    <row r="644" spans="13:45" x14ac:dyDescent="0.3">
      <c r="M644" s="78">
        <v>45039.395833333336</v>
      </c>
      <c r="N644" s="5">
        <v>4.0269738597361299E-2</v>
      </c>
      <c r="O644" s="5">
        <v>69.822823</v>
      </c>
      <c r="P644" s="2">
        <v>22973</v>
      </c>
      <c r="Q644" s="7">
        <f t="shared" ref="Q644:Q707" si="174">P644/60</f>
        <v>382.88333333333333</v>
      </c>
      <c r="R644" s="6">
        <f t="shared" ref="R644:R707" si="175">N644*Q644</f>
        <v>15.418611746619685</v>
      </c>
      <c r="S644" s="6">
        <f t="shared" ref="S644:S707" si="176">37.141*R644^0.4897</f>
        <v>141.78796282605157</v>
      </c>
      <c r="T644" s="2">
        <f t="shared" ref="T644:T707" si="177">IF((O644-$R$1)/($P$1-$R$1)&lt;0, 0, IF((O644-$R$1)/($P$1-$R$1)&gt;1, 1, (O644-$R$1)/($P$1-$R$1)))</f>
        <v>1</v>
      </c>
      <c r="U644" s="6">
        <f t="shared" ref="U644:U707" si="178">S644*T644</f>
        <v>141.78796282605157</v>
      </c>
      <c r="V644">
        <f>IF((R644-$AB$774)/($Z$773-$AB$774)&lt;0, 0, IF((R644-$AB$774)/($Z$773-$AB$774)&gt;1, 1, (R644-$AB$774)/($Z$773-$AB$774)))</f>
        <v>9.615782004569165E-2</v>
      </c>
      <c r="W644" s="6">
        <f t="shared" ref="W644:W707" si="179">S644*V644</f>
        <v>13.634021414072684</v>
      </c>
      <c r="AK644" s="78">
        <v>45038.395833333336</v>
      </c>
      <c r="AL644" s="5">
        <v>4.1360416322074101E-2</v>
      </c>
      <c r="AM644" s="5">
        <v>63.92387093</v>
      </c>
      <c r="AN644" s="2">
        <v>20999</v>
      </c>
      <c r="AO644" s="7">
        <f t="shared" si="173"/>
        <v>349.98333333333335</v>
      </c>
      <c r="AP644" s="5">
        <f t="shared" ref="AP644:AP707" si="180">AO644*AL644</f>
        <v>14.475456372453902</v>
      </c>
      <c r="AQ644" s="6">
        <f t="shared" ref="AQ644:AQ707" si="181">37.141*AP644^0.4897</f>
        <v>137.47230442760559</v>
      </c>
      <c r="AR644" s="2">
        <f t="shared" ref="AR644:AR707" si="182">IF((AM644-$AP$1)/($AN$1-$AP$1)&lt;0, 0, IF((AA644-$AP$1)/($AN$1-$AP$1)&gt;1, 1, (AA644-$AP$1)/($AN$1-$AP$1)))</f>
        <v>-2.1301186875174403</v>
      </c>
      <c r="AS644" s="2">
        <f t="shared" ref="AS644:AS707" si="183">AQ644*AR644</f>
        <v>-292.83232467732921</v>
      </c>
    </row>
    <row r="645" spans="13:45" x14ac:dyDescent="0.3">
      <c r="M645" s="78">
        <v>45039.40625</v>
      </c>
      <c r="N645" s="5">
        <v>4.38266605103447E-2</v>
      </c>
      <c r="O645" s="5">
        <v>63.92387093</v>
      </c>
      <c r="P645" s="2">
        <v>22835</v>
      </c>
      <c r="Q645" s="7">
        <f t="shared" si="174"/>
        <v>380.58333333333331</v>
      </c>
      <c r="R645" s="6">
        <f t="shared" si="175"/>
        <v>16.679696545895354</v>
      </c>
      <c r="S645" s="6">
        <f t="shared" si="176"/>
        <v>147.35304927197041</v>
      </c>
      <c r="T645" s="2">
        <f t="shared" si="177"/>
        <v>1</v>
      </c>
      <c r="U645" s="6">
        <f t="shared" si="178"/>
        <v>147.35304927197041</v>
      </c>
      <c r="V645">
        <f>IF((R645-$AB$774)/($Z$773-$AB$774)&lt;0, 0, IF((R645-$AB$774)/($Z$773-$AB$774)&gt;1, 1, (R645-$AB$774)/($Z$773-$AB$774)))</f>
        <v>0.32699871212778908</v>
      </c>
      <c r="W645" s="6">
        <f t="shared" si="179"/>
        <v>48.184257340036972</v>
      </c>
      <c r="AK645" s="78">
        <v>45038.40625</v>
      </c>
      <c r="AL645" s="5">
        <v>4.5223356235989901E-2</v>
      </c>
      <c r="AM645" s="5">
        <v>65.290959470000004</v>
      </c>
      <c r="AN645" s="2">
        <v>20509</v>
      </c>
      <c r="AO645" s="7">
        <f t="shared" si="173"/>
        <v>341.81666666666666</v>
      </c>
      <c r="AP645" s="5">
        <f t="shared" si="180"/>
        <v>15.458096884065281</v>
      </c>
      <c r="AQ645" s="6">
        <f t="shared" si="181"/>
        <v>141.96565747499127</v>
      </c>
      <c r="AR645" s="2">
        <f t="shared" si="182"/>
        <v>-2.1301186875174403</v>
      </c>
      <c r="AS645" s="2">
        <f t="shared" si="183"/>
        <v>-302.4036999731789</v>
      </c>
    </row>
    <row r="646" spans="13:45" x14ac:dyDescent="0.3">
      <c r="M646" s="78">
        <v>45039.416666666664</v>
      </c>
      <c r="N646" s="5">
        <v>4.0734077962752198E-2</v>
      </c>
      <c r="O646" s="5">
        <v>63.92387093</v>
      </c>
      <c r="P646" s="2">
        <v>23068</v>
      </c>
      <c r="Q646" s="7">
        <f t="shared" si="174"/>
        <v>384.46666666666664</v>
      </c>
      <c r="R646" s="6">
        <f t="shared" si="175"/>
        <v>15.66089517407946</v>
      </c>
      <c r="S646" s="6">
        <f t="shared" si="176"/>
        <v>142.87468082213198</v>
      </c>
      <c r="T646" s="2">
        <f t="shared" si="177"/>
        <v>1</v>
      </c>
      <c r="U646" s="6">
        <f t="shared" si="178"/>
        <v>142.87468082213198</v>
      </c>
      <c r="V646">
        <f>IF((R646-$AB$774)/($Z$773-$AB$774)&lt;0, 0, IF((R646-$AB$774)/($Z$773-$AB$774)&gt;1, 1, (R646-$AB$774)/($Z$773-$AB$774)))</f>
        <v>0.14050767071683332</v>
      </c>
      <c r="W646" s="6">
        <f t="shared" si="179"/>
        <v>20.07498860672878</v>
      </c>
      <c r="AK646" s="78">
        <v>45038.416666666664</v>
      </c>
      <c r="AL646" s="5">
        <v>4.4074450600114702E-2</v>
      </c>
      <c r="AM646" s="5">
        <v>66.203758769999993</v>
      </c>
      <c r="AN646" s="2">
        <v>21077</v>
      </c>
      <c r="AO646" s="7">
        <f t="shared" si="173"/>
        <v>351.28333333333336</v>
      </c>
      <c r="AP646" s="5">
        <f t="shared" si="180"/>
        <v>15.482619921643627</v>
      </c>
      <c r="AQ646" s="6">
        <f t="shared" si="181"/>
        <v>142.07590172668714</v>
      </c>
      <c r="AR646" s="2">
        <f t="shared" si="182"/>
        <v>-2.1301186875174403</v>
      </c>
      <c r="AS646" s="2">
        <f t="shared" si="183"/>
        <v>-302.6385333139076</v>
      </c>
    </row>
    <row r="647" spans="13:45" x14ac:dyDescent="0.3">
      <c r="M647" s="78">
        <v>45039.427083333336</v>
      </c>
      <c r="N647" s="5">
        <v>3.7628988619206397E-2</v>
      </c>
      <c r="O647" s="5">
        <v>63.92387093</v>
      </c>
      <c r="P647" s="2">
        <v>24360</v>
      </c>
      <c r="Q647" s="7">
        <f t="shared" si="174"/>
        <v>406</v>
      </c>
      <c r="R647" s="6">
        <f t="shared" si="175"/>
        <v>15.277369379397797</v>
      </c>
      <c r="S647" s="6">
        <f t="shared" si="176"/>
        <v>141.15042233425888</v>
      </c>
      <c r="T647" s="2">
        <f t="shared" si="177"/>
        <v>1</v>
      </c>
      <c r="U647" s="6">
        <f t="shared" si="178"/>
        <v>141.15042233425888</v>
      </c>
      <c r="V647">
        <f>IF((R647-$AB$774)/($Z$773-$AB$774)&lt;0, 0, IF((R647-$AB$774)/($Z$773-$AB$774)&gt;1, 1, (R647-$AB$774)/($Z$773-$AB$774)))</f>
        <v>7.0303480933829335E-2</v>
      </c>
      <c r="W647" s="6">
        <f t="shared" si="179"/>
        <v>9.9233660253785274</v>
      </c>
      <c r="AK647" s="78">
        <v>45038.427083333336</v>
      </c>
      <c r="AL647" s="5">
        <v>4.7013465123110602E-2</v>
      </c>
      <c r="AM647" s="5">
        <v>66.203758769999993</v>
      </c>
      <c r="AN647" s="2">
        <v>20620</v>
      </c>
      <c r="AO647" s="7">
        <f t="shared" si="173"/>
        <v>343.66666666666669</v>
      </c>
      <c r="AP647" s="5">
        <f t="shared" si="180"/>
        <v>16.156960847309012</v>
      </c>
      <c r="AQ647" s="6">
        <f t="shared" si="181"/>
        <v>145.07324462719549</v>
      </c>
      <c r="AR647" s="2">
        <f t="shared" si="182"/>
        <v>-2.1301186875174403</v>
      </c>
      <c r="AS647" s="2">
        <f t="shared" si="183"/>
        <v>-309.02322943917818</v>
      </c>
    </row>
    <row r="648" spans="13:45" x14ac:dyDescent="0.3">
      <c r="M648" s="78">
        <v>45039.4375</v>
      </c>
      <c r="N648" s="5">
        <v>3.8862558627362799E-2</v>
      </c>
      <c r="O648" s="5">
        <v>59.685691249999998</v>
      </c>
      <c r="P648" s="2">
        <v>23655</v>
      </c>
      <c r="Q648" s="7">
        <f t="shared" si="174"/>
        <v>394.25</v>
      </c>
      <c r="R648" s="6">
        <f t="shared" si="175"/>
        <v>15.321563738837783</v>
      </c>
      <c r="S648" s="6">
        <f t="shared" si="176"/>
        <v>141.3502291720186</v>
      </c>
      <c r="T648" s="2">
        <f t="shared" si="177"/>
        <v>1</v>
      </c>
      <c r="U648" s="6">
        <f t="shared" si="178"/>
        <v>141.3502291720186</v>
      </c>
      <c r="V648">
        <f>IF((R648-$AB$774)/($Z$773-$AB$774)&lt;0, 0, IF((R648-$AB$774)/($Z$773-$AB$774)&gt;1, 1, (R648-$AB$774)/($Z$773-$AB$774)))</f>
        <v>7.8393234584006516E-2</v>
      </c>
      <c r="W648" s="6">
        <f t="shared" si="179"/>
        <v>11.080901673985135</v>
      </c>
      <c r="AK648" s="78">
        <v>45038.4375</v>
      </c>
      <c r="AL648" s="5">
        <v>4.28567688970743E-2</v>
      </c>
      <c r="AM648" s="5">
        <v>66.655723199999997</v>
      </c>
      <c r="AN648" s="2">
        <v>20543</v>
      </c>
      <c r="AO648" s="7">
        <f t="shared" si="173"/>
        <v>342.38333333333333</v>
      </c>
      <c r="AP648" s="5">
        <f t="shared" si="180"/>
        <v>14.673443390876622</v>
      </c>
      <c r="AQ648" s="6">
        <f t="shared" si="181"/>
        <v>138.38988012177325</v>
      </c>
      <c r="AR648" s="2">
        <f t="shared" si="182"/>
        <v>-2.1301186875174403</v>
      </c>
      <c r="AS648" s="2">
        <f t="shared" si="183"/>
        <v>-294.78686981068751</v>
      </c>
    </row>
    <row r="649" spans="13:45" x14ac:dyDescent="0.3">
      <c r="M649" s="78">
        <v>45039.447916666664</v>
      </c>
      <c r="N649" s="5">
        <v>3.9718333508375198E-2</v>
      </c>
      <c r="O649" s="5">
        <v>63.92387093</v>
      </c>
      <c r="P649" s="2">
        <v>22616</v>
      </c>
      <c r="Q649" s="7">
        <f t="shared" si="174"/>
        <v>376.93333333333334</v>
      </c>
      <c r="R649" s="6">
        <f t="shared" si="175"/>
        <v>14.971163843756891</v>
      </c>
      <c r="S649" s="6">
        <f t="shared" si="176"/>
        <v>139.75786000275738</v>
      </c>
      <c r="T649" s="2">
        <f t="shared" si="177"/>
        <v>1</v>
      </c>
      <c r="U649" s="6">
        <f t="shared" si="178"/>
        <v>139.75786000275738</v>
      </c>
      <c r="V649">
        <f>IF((R649-$AB$774)/($Z$773-$AB$774)&lt;0, 0, IF((R649-$AB$774)/($Z$773-$AB$774)&gt;1, 1, (R649-$AB$774)/($Z$773-$AB$774)))</f>
        <v>1.4252722849660367E-2</v>
      </c>
      <c r="W649" s="6">
        <f t="shared" si="179"/>
        <v>1.9919300446809349</v>
      </c>
      <c r="AK649" s="78">
        <v>45038.447916666664</v>
      </c>
      <c r="AL649" s="5">
        <v>4.4068124671564603E-2</v>
      </c>
      <c r="AM649" s="5">
        <v>74.764849499999997</v>
      </c>
      <c r="AN649" s="2">
        <v>20457</v>
      </c>
      <c r="AO649" s="7">
        <f t="shared" si="173"/>
        <v>340.95</v>
      </c>
      <c r="AP649" s="5">
        <f t="shared" si="180"/>
        <v>15.025027106769951</v>
      </c>
      <c r="AQ649" s="6">
        <f t="shared" si="181"/>
        <v>140.00386578035474</v>
      </c>
      <c r="AR649" s="2">
        <f t="shared" si="182"/>
        <v>-2.1301186875174403</v>
      </c>
      <c r="AS649" s="2">
        <f t="shared" si="183"/>
        <v>-298.22485082341711</v>
      </c>
    </row>
    <row r="650" spans="13:45" x14ac:dyDescent="0.3">
      <c r="M650" s="78">
        <v>45039.458333333336</v>
      </c>
      <c r="N650" s="5">
        <v>3.8822848526278098E-2</v>
      </c>
      <c r="O650" s="5">
        <v>63.015482910000003</v>
      </c>
      <c r="P650" s="2">
        <v>23180</v>
      </c>
      <c r="Q650" s="7">
        <f t="shared" si="174"/>
        <v>386.33333333333331</v>
      </c>
      <c r="R650" s="6">
        <f t="shared" si="175"/>
        <v>14.998560480652104</v>
      </c>
      <c r="S650" s="6">
        <f t="shared" si="176"/>
        <v>139.88304301496822</v>
      </c>
      <c r="T650" s="2">
        <f t="shared" si="177"/>
        <v>1</v>
      </c>
      <c r="U650" s="6">
        <f t="shared" si="178"/>
        <v>139.88304301496822</v>
      </c>
      <c r="V650">
        <f>IF((R650-$AB$774)/($Z$773-$AB$774)&lt;0, 0, IF((R650-$AB$774)/($Z$773-$AB$774)&gt;1, 1, (R650-$AB$774)/($Z$773-$AB$774)))</f>
        <v>1.9267662451321457E-2</v>
      </c>
      <c r="W650" s="6">
        <f t="shared" si="179"/>
        <v>2.6952192554760876</v>
      </c>
      <c r="AK650" s="78">
        <v>45038.458333333336</v>
      </c>
      <c r="AL650" s="5">
        <v>4.4521931572575203E-2</v>
      </c>
      <c r="AM650" s="5">
        <v>71.17580074</v>
      </c>
      <c r="AN650" s="2">
        <v>20421</v>
      </c>
      <c r="AO650" s="7">
        <f t="shared" si="173"/>
        <v>340.35</v>
      </c>
      <c r="AP650" s="5">
        <f t="shared" si="180"/>
        <v>15.153039410725972</v>
      </c>
      <c r="AQ650" s="6">
        <f t="shared" si="181"/>
        <v>140.58672744737009</v>
      </c>
      <c r="AR650" s="2">
        <f t="shared" si="182"/>
        <v>-2.1301186875174403</v>
      </c>
      <c r="AS650" s="2">
        <f t="shared" si="183"/>
        <v>-299.46641535256407</v>
      </c>
    </row>
    <row r="651" spans="13:45" x14ac:dyDescent="0.3">
      <c r="M651" s="78">
        <v>45039.46875</v>
      </c>
      <c r="N651" s="5">
        <v>3.9035079626438797E-2</v>
      </c>
      <c r="O651" s="5">
        <v>61.92162476</v>
      </c>
      <c r="P651" s="2">
        <v>23016</v>
      </c>
      <c r="Q651" s="7">
        <f t="shared" si="174"/>
        <v>383.6</v>
      </c>
      <c r="R651" s="6">
        <f t="shared" si="175"/>
        <v>14.973856544701924</v>
      </c>
      <c r="S651" s="6">
        <f t="shared" si="176"/>
        <v>139.77016889519663</v>
      </c>
      <c r="T651" s="2">
        <f t="shared" si="177"/>
        <v>1</v>
      </c>
      <c r="U651" s="6">
        <f t="shared" si="178"/>
        <v>139.77016889519663</v>
      </c>
      <c r="V651">
        <f>IF((R651-$AB$774)/($Z$773-$AB$774)&lt;0, 0, IF((R651-$AB$774)/($Z$773-$AB$774)&gt;1, 1, (R651-$AB$774)/($Z$773-$AB$774)))</f>
        <v>1.4745620304786943E-2</v>
      </c>
      <c r="W651" s="6">
        <f t="shared" si="179"/>
        <v>2.0609978404645117</v>
      </c>
      <c r="AK651" s="78">
        <v>45038.46875</v>
      </c>
      <c r="AL651" s="5">
        <v>4.64733465378845E-2</v>
      </c>
      <c r="AM651" s="5">
        <v>66.203758769999993</v>
      </c>
      <c r="AN651" s="2">
        <v>19985</v>
      </c>
      <c r="AO651" s="7">
        <f t="shared" si="173"/>
        <v>333.08333333333331</v>
      </c>
      <c r="AP651" s="5">
        <f t="shared" si="180"/>
        <v>15.479497175993695</v>
      </c>
      <c r="AQ651" s="6">
        <f t="shared" si="181"/>
        <v>142.06186825780313</v>
      </c>
      <c r="AR651" s="2">
        <f t="shared" si="182"/>
        <v>-2.1301186875174403</v>
      </c>
      <c r="AS651" s="2">
        <f t="shared" si="183"/>
        <v>-302.60864035958713</v>
      </c>
    </row>
    <row r="652" spans="13:45" x14ac:dyDescent="0.3">
      <c r="M652" s="78">
        <v>45039.479166666664</v>
      </c>
      <c r="N652" s="5">
        <v>3.9878354368970102E-2</v>
      </c>
      <c r="O652" s="5">
        <v>63.92387093</v>
      </c>
      <c r="P652" s="2">
        <v>23092</v>
      </c>
      <c r="Q652" s="7">
        <f t="shared" si="174"/>
        <v>384.86666666666667</v>
      </c>
      <c r="R652" s="6">
        <f t="shared" si="175"/>
        <v>15.347849318137627</v>
      </c>
      <c r="S652" s="6">
        <f t="shared" si="176"/>
        <v>141.46892927578344</v>
      </c>
      <c r="T652" s="2">
        <f t="shared" si="177"/>
        <v>1</v>
      </c>
      <c r="U652" s="6">
        <f t="shared" si="178"/>
        <v>141.46892927578344</v>
      </c>
      <c r="V652">
        <f>IF((R652-$AB$774)/($Z$773-$AB$774)&lt;0, 0, IF((R652-$AB$774)/($Z$773-$AB$774)&gt;1, 1, (R652-$AB$774)/($Z$773-$AB$774)))</f>
        <v>8.32047956923124E-2</v>
      </c>
      <c r="W652" s="6">
        <f t="shared" si="179"/>
        <v>11.770893357201754</v>
      </c>
      <c r="AK652" s="78">
        <v>45038.479166666664</v>
      </c>
      <c r="AL652" s="5">
        <v>4.6040088601675903E-2</v>
      </c>
      <c r="AM652" s="5">
        <v>63.92387093</v>
      </c>
      <c r="AN652" s="2">
        <v>20315</v>
      </c>
      <c r="AO652" s="7">
        <f t="shared" si="173"/>
        <v>338.58333333333331</v>
      </c>
      <c r="AP652" s="5">
        <f t="shared" si="180"/>
        <v>15.588406665717432</v>
      </c>
      <c r="AQ652" s="6">
        <f t="shared" si="181"/>
        <v>142.55045190037137</v>
      </c>
      <c r="AR652" s="2">
        <f t="shared" si="182"/>
        <v>-2.1301186875174403</v>
      </c>
      <c r="AS652" s="2">
        <f t="shared" si="183"/>
        <v>-303.64938150703705</v>
      </c>
    </row>
    <row r="653" spans="13:45" x14ac:dyDescent="0.3">
      <c r="M653" s="78">
        <v>45039.489583333336</v>
      </c>
      <c r="N653" s="5">
        <v>3.9856946211001103E-2</v>
      </c>
      <c r="O653" s="5">
        <v>62.292408569999999</v>
      </c>
      <c r="P653" s="2">
        <v>22595</v>
      </c>
      <c r="Q653" s="7">
        <f t="shared" si="174"/>
        <v>376.58333333333331</v>
      </c>
      <c r="R653" s="6">
        <f t="shared" si="175"/>
        <v>15.009461660626165</v>
      </c>
      <c r="S653" s="6">
        <f t="shared" si="176"/>
        <v>139.93282114637762</v>
      </c>
      <c r="T653" s="2">
        <f t="shared" si="177"/>
        <v>1</v>
      </c>
      <c r="U653" s="6">
        <f t="shared" si="178"/>
        <v>139.93282114637762</v>
      </c>
      <c r="V653">
        <f>IF((R653-$AB$774)/($Z$773-$AB$774)&lt;0, 0, IF((R653-$AB$774)/($Z$773-$AB$774)&gt;1, 1, (R653-$AB$774)/($Z$773-$AB$774)))</f>
        <v>2.1263117563781075E-2</v>
      </c>
      <c r="W653" s="6">
        <f t="shared" si="179"/>
        <v>2.9754080270669778</v>
      </c>
      <c r="AK653" s="78">
        <v>45038.489583333336</v>
      </c>
      <c r="AL653" s="5">
        <v>4.4902386094674097E-2</v>
      </c>
      <c r="AM653" s="5">
        <v>66.655723199999997</v>
      </c>
      <c r="AN653" s="2">
        <v>19415</v>
      </c>
      <c r="AO653" s="7">
        <f t="shared" si="173"/>
        <v>323.58333333333331</v>
      </c>
      <c r="AP653" s="5">
        <f t="shared" si="180"/>
        <v>14.529663767134959</v>
      </c>
      <c r="AQ653" s="6">
        <f t="shared" si="181"/>
        <v>137.72416327389428</v>
      </c>
      <c r="AR653" s="2">
        <f t="shared" si="182"/>
        <v>-2.1301186875174403</v>
      </c>
      <c r="AS653" s="2">
        <f t="shared" si="183"/>
        <v>-293.36881391242531</v>
      </c>
    </row>
    <row r="654" spans="13:45" x14ac:dyDescent="0.3">
      <c r="M654" s="78">
        <v>45039.5</v>
      </c>
      <c r="N654" s="5">
        <v>4.1084957165398298E-2</v>
      </c>
      <c r="O654" s="5">
        <v>61.180993239999999</v>
      </c>
      <c r="P654" s="2">
        <v>22559</v>
      </c>
      <c r="Q654" s="7">
        <f t="shared" si="174"/>
        <v>375.98333333333335</v>
      </c>
      <c r="R654" s="6">
        <f t="shared" si="175"/>
        <v>15.44725914490367</v>
      </c>
      <c r="S654" s="6">
        <f t="shared" si="176"/>
        <v>141.91690756910791</v>
      </c>
      <c r="T654" s="2">
        <f t="shared" si="177"/>
        <v>1</v>
      </c>
      <c r="U654" s="6">
        <f t="shared" si="178"/>
        <v>141.91690756910791</v>
      </c>
      <c r="V654">
        <f>IF((R654-$AB$774)/($Z$773-$AB$774)&lt;0, 0, IF((R654-$AB$774)/($Z$773-$AB$774)&gt;1, 1, (R654-$AB$774)/($Z$773-$AB$774)))</f>
        <v>0.10140171084471207</v>
      </c>
      <c r="W654" s="6">
        <f t="shared" si="179"/>
        <v>14.39061722529841</v>
      </c>
      <c r="AK654" s="78">
        <v>45038.5</v>
      </c>
      <c r="AL654" s="5">
        <v>4.16438768692525E-2</v>
      </c>
      <c r="AM654" s="5">
        <v>64.377553680000005</v>
      </c>
      <c r="AN654" s="2">
        <v>20601</v>
      </c>
      <c r="AO654" s="7">
        <f t="shared" si="173"/>
        <v>343.35</v>
      </c>
      <c r="AP654" s="5">
        <f t="shared" si="180"/>
        <v>14.298425123057847</v>
      </c>
      <c r="AQ654" s="6">
        <f t="shared" si="181"/>
        <v>136.64641018193262</v>
      </c>
      <c r="AR654" s="2">
        <f t="shared" si="182"/>
        <v>-2.1301186875174403</v>
      </c>
      <c r="AS654" s="2">
        <f t="shared" si="183"/>
        <v>-291.07307191070811</v>
      </c>
    </row>
    <row r="655" spans="13:45" x14ac:dyDescent="0.3">
      <c r="M655" s="78">
        <v>45039.510416666664</v>
      </c>
      <c r="N655" s="5">
        <v>4.5408972830547199E-2</v>
      </c>
      <c r="O655" s="5">
        <v>66.195962919999999</v>
      </c>
      <c r="P655" s="2">
        <v>20919</v>
      </c>
      <c r="Q655" s="7">
        <f t="shared" si="174"/>
        <v>348.65</v>
      </c>
      <c r="R655" s="6">
        <f t="shared" si="175"/>
        <v>15.83183837737028</v>
      </c>
      <c r="S655" s="6">
        <f t="shared" si="176"/>
        <v>143.63626171389311</v>
      </c>
      <c r="T655" s="2">
        <f t="shared" si="177"/>
        <v>1</v>
      </c>
      <c r="U655" s="6">
        <f t="shared" si="178"/>
        <v>143.63626171389311</v>
      </c>
      <c r="V655">
        <f>IF((R655-$AB$774)/($Z$773-$AB$774)&lt;0, 0, IF((R655-$AB$774)/($Z$773-$AB$774)&gt;1, 1, (R655-$AB$774)/($Z$773-$AB$774)))</f>
        <v>0.17179873184586233</v>
      </c>
      <c r="W655" s="6">
        <f t="shared" si="179"/>
        <v>24.676527609527223</v>
      </c>
      <c r="AK655" s="78">
        <v>45038.510416666664</v>
      </c>
      <c r="AL655" s="5">
        <v>4.4258559122030403E-2</v>
      </c>
      <c r="AM655" s="5">
        <v>67.557775419999999</v>
      </c>
      <c r="AN655" s="2">
        <v>20064</v>
      </c>
      <c r="AO655" s="7">
        <f t="shared" si="173"/>
        <v>334.4</v>
      </c>
      <c r="AP655" s="5">
        <f t="shared" si="180"/>
        <v>14.800062170406965</v>
      </c>
      <c r="AQ655" s="6">
        <f t="shared" si="181"/>
        <v>138.97338892410744</v>
      </c>
      <c r="AR655" s="2">
        <f t="shared" si="182"/>
        <v>-2.1301186875174403</v>
      </c>
      <c r="AS655" s="2">
        <f t="shared" si="183"/>
        <v>-296.02981281487052</v>
      </c>
    </row>
    <row r="656" spans="13:45" x14ac:dyDescent="0.3">
      <c r="M656" s="78">
        <v>45039.520833333336</v>
      </c>
      <c r="N656" s="5">
        <v>4.4502935941860999E-2</v>
      </c>
      <c r="O656" s="5">
        <v>63.015482910000003</v>
      </c>
      <c r="P656" s="2">
        <v>21774</v>
      </c>
      <c r="Q656" s="7">
        <f t="shared" si="174"/>
        <v>362.9</v>
      </c>
      <c r="R656" s="6">
        <f t="shared" si="175"/>
        <v>16.150115453301357</v>
      </c>
      <c r="S656" s="6">
        <f t="shared" si="176"/>
        <v>145.04314208583475</v>
      </c>
      <c r="T656" s="2">
        <f t="shared" si="177"/>
        <v>1</v>
      </c>
      <c r="U656" s="6">
        <f t="shared" si="178"/>
        <v>145.04314208583475</v>
      </c>
      <c r="V656">
        <f>IF((R656-$AB$774)/($Z$773-$AB$774)&lt;0, 0, IF((R656-$AB$774)/($Z$773-$AB$774)&gt;1, 1, (R656-$AB$774)/($Z$773-$AB$774)))</f>
        <v>0.23005917886688035</v>
      </c>
      <c r="W656" s="6">
        <f t="shared" si="179"/>
        <v>33.368506168539398</v>
      </c>
      <c r="AK656" s="78">
        <v>45038.520833333336</v>
      </c>
      <c r="AL656" s="5">
        <v>4.9493389484232597E-2</v>
      </c>
      <c r="AM656" s="5">
        <v>65.283151739999994</v>
      </c>
      <c r="AN656" s="2">
        <v>19755</v>
      </c>
      <c r="AO656" s="7">
        <f t="shared" si="173"/>
        <v>329.25</v>
      </c>
      <c r="AP656" s="5">
        <f t="shared" si="180"/>
        <v>16.295698487683584</v>
      </c>
      <c r="AQ656" s="6">
        <f t="shared" si="181"/>
        <v>145.68194505003672</v>
      </c>
      <c r="AR656" s="2">
        <f t="shared" si="182"/>
        <v>-2.1301186875174403</v>
      </c>
      <c r="AS656" s="2">
        <f t="shared" si="183"/>
        <v>-310.31983358497206</v>
      </c>
    </row>
    <row r="657" spans="13:45" x14ac:dyDescent="0.3">
      <c r="M657" s="78">
        <v>45039.53125</v>
      </c>
      <c r="N657" s="5">
        <v>4.8937249988339197E-2</v>
      </c>
      <c r="O657" s="5">
        <v>66.647934039999996</v>
      </c>
      <c r="P657" s="2">
        <v>20805</v>
      </c>
      <c r="Q657" s="7">
        <f t="shared" si="174"/>
        <v>346.75</v>
      </c>
      <c r="R657" s="6">
        <f t="shared" si="175"/>
        <v>16.968991433456615</v>
      </c>
      <c r="S657" s="6">
        <f t="shared" si="176"/>
        <v>148.59909031210788</v>
      </c>
      <c r="T657" s="2">
        <f t="shared" si="177"/>
        <v>1</v>
      </c>
      <c r="U657" s="6">
        <f t="shared" si="178"/>
        <v>148.59909031210788</v>
      </c>
      <c r="V657">
        <f>IF((R657-$AB$774)/($Z$773-$AB$774)&lt;0, 0, IF((R657-$AB$774)/($Z$773-$AB$774)&gt;1, 1, (R657-$AB$774)/($Z$773-$AB$774)))</f>
        <v>0.37995398520521334</v>
      </c>
      <c r="W657" s="6">
        <f t="shared" si="179"/>
        <v>56.4608165619548</v>
      </c>
      <c r="AK657" s="78">
        <v>45038.53125</v>
      </c>
      <c r="AL657" s="5">
        <v>4.7747391769427099E-2</v>
      </c>
      <c r="AM657" s="5">
        <v>72.523974480000007</v>
      </c>
      <c r="AN657" s="2">
        <v>19437</v>
      </c>
      <c r="AO657" s="7">
        <f t="shared" si="173"/>
        <v>323.95</v>
      </c>
      <c r="AP657" s="5">
        <f t="shared" si="180"/>
        <v>15.467767563705909</v>
      </c>
      <c r="AQ657" s="6">
        <f t="shared" si="181"/>
        <v>142.00914303493255</v>
      </c>
      <c r="AR657" s="2">
        <f t="shared" si="182"/>
        <v>-2.1301186875174403</v>
      </c>
      <c r="AS657" s="2">
        <f t="shared" si="183"/>
        <v>-302.49632937704695</v>
      </c>
    </row>
    <row r="658" spans="13:45" x14ac:dyDescent="0.3">
      <c r="M658" s="78">
        <v>45039.541666666664</v>
      </c>
      <c r="N658" s="5">
        <v>4.5331701492402898E-2</v>
      </c>
      <c r="O658" s="5">
        <v>65.290959470000004</v>
      </c>
      <c r="P658" s="2">
        <v>20852</v>
      </c>
      <c r="Q658" s="7">
        <f t="shared" si="174"/>
        <v>347.53333333333336</v>
      </c>
      <c r="R658" s="6">
        <f t="shared" si="175"/>
        <v>15.754277325326422</v>
      </c>
      <c r="S658" s="6">
        <f t="shared" si="176"/>
        <v>143.29123683740394</v>
      </c>
      <c r="T658" s="2">
        <f t="shared" si="177"/>
        <v>1</v>
      </c>
      <c r="U658" s="6">
        <f t="shared" si="178"/>
        <v>143.29123683740394</v>
      </c>
      <c r="V658">
        <f>IF((R658-$AB$774)/($Z$773-$AB$774)&lt;0, 0, IF((R658-$AB$774)/($Z$773-$AB$774)&gt;1, 1, (R658-$AB$774)/($Z$773-$AB$774)))</f>
        <v>0.15760122311773084</v>
      </c>
      <c r="W658" s="6">
        <f t="shared" si="179"/>
        <v>22.582874187627311</v>
      </c>
      <c r="AK658" s="78">
        <v>45038.541666666664</v>
      </c>
      <c r="AL658" s="5">
        <v>5.2498685799496903E-2</v>
      </c>
      <c r="AM658" s="5">
        <v>67.557775419999999</v>
      </c>
      <c r="AN658" s="2">
        <v>19157</v>
      </c>
      <c r="AO658" s="7">
        <f t="shared" si="173"/>
        <v>319.28333333333336</v>
      </c>
      <c r="AP658" s="5">
        <f t="shared" si="180"/>
        <v>16.761955397682705</v>
      </c>
      <c r="AQ658" s="6">
        <f t="shared" si="181"/>
        <v>147.70846632318396</v>
      </c>
      <c r="AR658" s="2">
        <f t="shared" si="182"/>
        <v>-2.1301186875174403</v>
      </c>
      <c r="AS658" s="2">
        <f t="shared" si="183"/>
        <v>-314.63656441955465</v>
      </c>
    </row>
    <row r="659" spans="13:45" x14ac:dyDescent="0.3">
      <c r="M659" s="78">
        <v>45039.552083333336</v>
      </c>
      <c r="N659" s="5">
        <v>4.3630468848003097E-2</v>
      </c>
      <c r="O659" s="5">
        <v>65.743635260000005</v>
      </c>
      <c r="P659" s="2">
        <v>20899</v>
      </c>
      <c r="Q659" s="7">
        <f t="shared" si="174"/>
        <v>348.31666666666666</v>
      </c>
      <c r="R659" s="6">
        <f t="shared" si="175"/>
        <v>15.197219474240278</v>
      </c>
      <c r="S659" s="6">
        <f t="shared" si="176"/>
        <v>140.787303132761</v>
      </c>
      <c r="T659" s="2">
        <f t="shared" si="177"/>
        <v>1</v>
      </c>
      <c r="U659" s="6">
        <f t="shared" si="178"/>
        <v>140.787303132761</v>
      </c>
      <c r="V659">
        <f>IF((R659-$AB$774)/($Z$773-$AB$774)&lt;0, 0, IF((R659-$AB$774)/($Z$773-$AB$774)&gt;1, 1, (R659-$AB$774)/($Z$773-$AB$774)))</f>
        <v>5.5632084040072312E-2</v>
      </c>
      <c r="W659" s="6">
        <f t="shared" si="179"/>
        <v>7.8322910796568959</v>
      </c>
      <c r="AK659" s="78">
        <v>45038.552083333336</v>
      </c>
      <c r="AL659" s="5">
        <v>4.9054733055948999E-2</v>
      </c>
      <c r="AM659" s="5">
        <v>68.916923760000003</v>
      </c>
      <c r="AN659" s="2">
        <v>18754</v>
      </c>
      <c r="AO659" s="7">
        <f t="shared" si="173"/>
        <v>312.56666666666666</v>
      </c>
      <c r="AP659" s="5">
        <f t="shared" si="180"/>
        <v>15.332874395521126</v>
      </c>
      <c r="AQ659" s="6">
        <f t="shared" si="181"/>
        <v>141.4013184270045</v>
      </c>
      <c r="AR659" s="2">
        <f t="shared" si="182"/>
        <v>-2.1301186875174403</v>
      </c>
      <c r="AS659" s="2">
        <f t="shared" si="183"/>
        <v>-301.20159082096649</v>
      </c>
    </row>
    <row r="660" spans="13:45" x14ac:dyDescent="0.3">
      <c r="M660" s="78">
        <v>45039.5625</v>
      </c>
      <c r="N660" s="5">
        <v>4.50224612922158E-2</v>
      </c>
      <c r="O660" s="5">
        <v>67.557775419999999</v>
      </c>
      <c r="P660" s="2">
        <v>20677</v>
      </c>
      <c r="Q660" s="7">
        <f t="shared" si="174"/>
        <v>344.61666666666667</v>
      </c>
      <c r="R660" s="6">
        <f t="shared" si="175"/>
        <v>15.515490535652436</v>
      </c>
      <c r="S660" s="6">
        <f t="shared" si="176"/>
        <v>142.22353315424593</v>
      </c>
      <c r="T660" s="2">
        <f t="shared" si="177"/>
        <v>1</v>
      </c>
      <c r="U660" s="6">
        <f t="shared" si="178"/>
        <v>142.22353315424593</v>
      </c>
      <c r="V660">
        <f>IF((R660-$AB$774)/($Z$773-$AB$774)&lt;0, 0, IF((R660-$AB$774)/($Z$773-$AB$774)&gt;1, 1, (R660-$AB$774)/($Z$773-$AB$774)))</f>
        <v>0.11389143010664747</v>
      </c>
      <c r="W660" s="6">
        <f t="shared" si="179"/>
        <v>16.198041585757259</v>
      </c>
      <c r="AK660" s="78">
        <v>45038.5625</v>
      </c>
      <c r="AL660" s="5">
        <v>4.7559737477520098E-2</v>
      </c>
      <c r="AM660" s="5">
        <v>65.290959470000004</v>
      </c>
      <c r="AN660" s="2">
        <v>18943</v>
      </c>
      <c r="AO660" s="7">
        <f t="shared" si="173"/>
        <v>315.71666666666664</v>
      </c>
      <c r="AP660" s="5">
        <f t="shared" si="180"/>
        <v>15.015401783944386</v>
      </c>
      <c r="AQ660" s="6">
        <f t="shared" si="181"/>
        <v>139.95993780611909</v>
      </c>
      <c r="AR660" s="2">
        <f t="shared" si="182"/>
        <v>-2.1301186875174403</v>
      </c>
      <c r="AS660" s="2">
        <f t="shared" si="183"/>
        <v>-298.13127902459297</v>
      </c>
    </row>
    <row r="661" spans="13:45" x14ac:dyDescent="0.3">
      <c r="M661" s="78">
        <v>45039.572916666664</v>
      </c>
      <c r="N661" s="5">
        <v>4.8142601286309497E-2</v>
      </c>
      <c r="O661" s="5">
        <v>66.647934039999996</v>
      </c>
      <c r="P661" s="2">
        <v>20068</v>
      </c>
      <c r="Q661" s="7">
        <f t="shared" si="174"/>
        <v>334.46666666666664</v>
      </c>
      <c r="R661" s="6">
        <f t="shared" si="175"/>
        <v>16.102095376894315</v>
      </c>
      <c r="S661" s="6">
        <f t="shared" si="176"/>
        <v>144.83179105707407</v>
      </c>
      <c r="T661" s="2">
        <f t="shared" si="177"/>
        <v>1</v>
      </c>
      <c r="U661" s="6">
        <f t="shared" si="178"/>
        <v>144.83179105707407</v>
      </c>
      <c r="V661">
        <f>IF((R661-$AB$774)/($Z$773-$AB$774)&lt;0, 0, IF((R661-$AB$774)/($Z$773-$AB$774)&gt;1, 1, (R661-$AB$774)/($Z$773-$AB$774)))</f>
        <v>0.22126912979007052</v>
      </c>
      <c r="W661" s="6">
        <f t="shared" si="179"/>
        <v>32.046804373136098</v>
      </c>
      <c r="AK661" s="78">
        <v>45038.572916666664</v>
      </c>
      <c r="AL661" s="5">
        <v>4.7763214209554802E-2</v>
      </c>
      <c r="AM661" s="5">
        <v>64.377553680000005</v>
      </c>
      <c r="AN661" s="2">
        <v>18531</v>
      </c>
      <c r="AO661" s="7">
        <f t="shared" si="173"/>
        <v>308.85000000000002</v>
      </c>
      <c r="AP661" s="5">
        <f t="shared" si="180"/>
        <v>14.751668708621002</v>
      </c>
      <c r="AQ661" s="6">
        <f t="shared" si="181"/>
        <v>138.75067484230007</v>
      </c>
      <c r="AR661" s="2">
        <f t="shared" si="182"/>
        <v>-2.1301186875174403</v>
      </c>
      <c r="AS661" s="2">
        <f t="shared" si="183"/>
        <v>-295.55540538723938</v>
      </c>
    </row>
    <row r="662" spans="13:45" x14ac:dyDescent="0.3">
      <c r="M662" s="78">
        <v>45039.583333333336</v>
      </c>
      <c r="N662" s="5">
        <v>4.5319687364993998E-2</v>
      </c>
      <c r="O662" s="5">
        <v>65.290959470000004</v>
      </c>
      <c r="P662" s="2">
        <v>20137</v>
      </c>
      <c r="Q662" s="7">
        <f t="shared" si="174"/>
        <v>335.61666666666667</v>
      </c>
      <c r="R662" s="6">
        <f t="shared" si="175"/>
        <v>15.210042407814736</v>
      </c>
      <c r="S662" s="6">
        <f t="shared" si="176"/>
        <v>140.84546299676941</v>
      </c>
      <c r="T662" s="2">
        <f t="shared" si="177"/>
        <v>1</v>
      </c>
      <c r="U662" s="6">
        <f t="shared" si="178"/>
        <v>140.84546299676941</v>
      </c>
      <c r="V662">
        <f>IF((R662-$AB$774)/($Z$773-$AB$774)&lt;0, 0, IF((R662-$AB$774)/($Z$773-$AB$774)&gt;1, 1, (R662-$AB$774)/($Z$773-$AB$774)))</f>
        <v>5.7979315112191857E-2</v>
      </c>
      <c r="W662" s="6">
        <f t="shared" si="179"/>
        <v>8.1661234812122512</v>
      </c>
      <c r="AK662" s="78">
        <v>45038.583333333336</v>
      </c>
      <c r="AL662" s="5">
        <v>4.6805986367339202E-2</v>
      </c>
      <c r="AM662" s="5">
        <v>71.622551369999996</v>
      </c>
      <c r="AN662" s="2">
        <v>18777</v>
      </c>
      <c r="AO662" s="7">
        <f t="shared" si="173"/>
        <v>312.95</v>
      </c>
      <c r="AP662" s="5">
        <f t="shared" si="180"/>
        <v>14.647933433658803</v>
      </c>
      <c r="AQ662" s="6">
        <f t="shared" si="181"/>
        <v>138.27200968375371</v>
      </c>
      <c r="AR662" s="2">
        <f t="shared" si="182"/>
        <v>-2.1301186875174403</v>
      </c>
      <c r="AS662" s="2">
        <f t="shared" si="183"/>
        <v>-294.53579178795621</v>
      </c>
    </row>
    <row r="663" spans="13:45" x14ac:dyDescent="0.3">
      <c r="M663" s="78">
        <v>45039.59375</v>
      </c>
      <c r="N663" s="5">
        <v>4.3897346812263698E-2</v>
      </c>
      <c r="O663" s="5">
        <v>70.271667750000006</v>
      </c>
      <c r="P663" s="2">
        <v>20715</v>
      </c>
      <c r="Q663" s="7">
        <f t="shared" si="174"/>
        <v>345.25</v>
      </c>
      <c r="R663" s="6">
        <f t="shared" si="175"/>
        <v>15.155558986934041</v>
      </c>
      <c r="S663" s="6">
        <f t="shared" si="176"/>
        <v>140.59817423822173</v>
      </c>
      <c r="T663" s="2">
        <f t="shared" si="177"/>
        <v>1</v>
      </c>
      <c r="U663" s="6">
        <f t="shared" si="178"/>
        <v>140.59817423822173</v>
      </c>
      <c r="V663">
        <f>IF((R663-$AB$774)/($Z$773-$AB$774)&lt;0, 0, IF((R663-$AB$774)/($Z$773-$AB$774)&gt;1, 1, (R663-$AB$774)/($Z$773-$AB$774)))</f>
        <v>4.8006154316813231E-2</v>
      </c>
      <c r="W663" s="6">
        <f t="shared" si="179"/>
        <v>6.7495776491422665</v>
      </c>
      <c r="AK663" s="78">
        <v>45038.59375</v>
      </c>
      <c r="AL663" s="5">
        <v>4.7725647334364497E-2</v>
      </c>
      <c r="AM663" s="5">
        <v>68.916923760000003</v>
      </c>
      <c r="AN663" s="2">
        <v>18452</v>
      </c>
      <c r="AO663" s="7">
        <f t="shared" si="173"/>
        <v>307.53333333333336</v>
      </c>
      <c r="AP663" s="5">
        <f t="shared" si="180"/>
        <v>14.67722741022823</v>
      </c>
      <c r="AQ663" s="6">
        <f t="shared" si="181"/>
        <v>138.4073555236447</v>
      </c>
      <c r="AR663" s="2">
        <f t="shared" si="182"/>
        <v>-2.1301186875174403</v>
      </c>
      <c r="AS663" s="2">
        <f t="shared" si="183"/>
        <v>-294.8240944907858</v>
      </c>
    </row>
    <row r="664" spans="13:45" x14ac:dyDescent="0.3">
      <c r="M664" s="78">
        <v>45039.604166666664</v>
      </c>
      <c r="N664" s="5">
        <v>4.30991751043346E-2</v>
      </c>
      <c r="O664" s="5">
        <v>66.655723199999997</v>
      </c>
      <c r="P664" s="2">
        <v>20461</v>
      </c>
      <c r="Q664" s="7">
        <f t="shared" si="174"/>
        <v>341.01666666666665</v>
      </c>
      <c r="R664" s="6">
        <f t="shared" si="175"/>
        <v>14.69753703016317</v>
      </c>
      <c r="S664" s="6">
        <f t="shared" si="176"/>
        <v>138.50111038456168</v>
      </c>
      <c r="T664" s="2">
        <f t="shared" si="177"/>
        <v>1</v>
      </c>
      <c r="U664" s="6">
        <f t="shared" si="178"/>
        <v>138.50111038456168</v>
      </c>
      <c r="V664">
        <f>IF((R664-$AB$774)/($Z$773-$AB$774)&lt;0, 0, IF((R664-$AB$774)/($Z$773-$AB$774)&gt;1, 1, (R664-$AB$774)/($Z$773-$AB$774)))</f>
        <v>0</v>
      </c>
      <c r="W664" s="6">
        <f t="shared" si="179"/>
        <v>0</v>
      </c>
      <c r="AK664" s="78">
        <v>45038.604166666664</v>
      </c>
      <c r="AL664" s="5">
        <v>4.8241448542513901E-2</v>
      </c>
      <c r="AM664" s="5">
        <v>68.016396760000006</v>
      </c>
      <c r="AN664" s="2">
        <v>18602</v>
      </c>
      <c r="AO664" s="7">
        <f t="shared" si="173"/>
        <v>310.03333333333336</v>
      </c>
      <c r="AP664" s="5">
        <f t="shared" si="180"/>
        <v>14.956457096464062</v>
      </c>
      <c r="AQ664" s="6">
        <f t="shared" si="181"/>
        <v>139.69061247759802</v>
      </c>
      <c r="AR664" s="2">
        <f t="shared" si="182"/>
        <v>-2.1301186875174403</v>
      </c>
      <c r="AS664" s="2">
        <f t="shared" si="183"/>
        <v>-297.55758410928848</v>
      </c>
    </row>
    <row r="665" spans="13:45" x14ac:dyDescent="0.3">
      <c r="M665" s="78">
        <v>45039.614583333336</v>
      </c>
      <c r="N665" s="5">
        <v>4.8584789566825701E-2</v>
      </c>
      <c r="O665" s="5">
        <v>69.373566690000004</v>
      </c>
      <c r="P665" s="2">
        <v>18627</v>
      </c>
      <c r="Q665" s="7">
        <f t="shared" si="174"/>
        <v>310.45</v>
      </c>
      <c r="R665" s="6">
        <f t="shared" si="175"/>
        <v>15.083147921021038</v>
      </c>
      <c r="S665" s="6">
        <f t="shared" si="176"/>
        <v>140.26881249321093</v>
      </c>
      <c r="T665" s="2">
        <f t="shared" si="177"/>
        <v>1</v>
      </c>
      <c r="U665" s="6">
        <f t="shared" si="178"/>
        <v>140.26881249321093</v>
      </c>
      <c r="V665">
        <f>IF((R665-$AB$774)/($Z$773-$AB$774)&lt;0, 0, IF((R665-$AB$774)/($Z$773-$AB$774)&gt;1, 1, (R665-$AB$774)/($Z$773-$AB$774)))</f>
        <v>3.4751347771231032E-2</v>
      </c>
      <c r="W665" s="6">
        <f t="shared" si="179"/>
        <v>4.8745302844091691</v>
      </c>
      <c r="AK665" s="78">
        <v>45038.614583333336</v>
      </c>
      <c r="AL665" s="5">
        <v>5.1762976822516099E-2</v>
      </c>
      <c r="AM665" s="5">
        <v>69.822823</v>
      </c>
      <c r="AN665" s="2">
        <v>18924</v>
      </c>
      <c r="AO665" s="7">
        <f t="shared" si="173"/>
        <v>315.39999999999998</v>
      </c>
      <c r="AP665" s="5">
        <f t="shared" si="180"/>
        <v>16.326042889821576</v>
      </c>
      <c r="AQ665" s="6">
        <f t="shared" si="181"/>
        <v>145.81472583851607</v>
      </c>
      <c r="AR665" s="2">
        <f t="shared" si="182"/>
        <v>-2.1301186875174403</v>
      </c>
      <c r="AS665" s="2">
        <f t="shared" si="183"/>
        <v>-310.60267242385521</v>
      </c>
    </row>
    <row r="666" spans="13:45" x14ac:dyDescent="0.3">
      <c r="M666" s="78">
        <v>45039.625</v>
      </c>
      <c r="N666" s="5">
        <v>4.9386500505300801E-2</v>
      </c>
      <c r="O666" s="5">
        <v>74.764849499999997</v>
      </c>
      <c r="P666" s="2">
        <v>18118</v>
      </c>
      <c r="Q666" s="7">
        <f t="shared" si="174"/>
        <v>301.96666666666664</v>
      </c>
      <c r="R666" s="6">
        <f t="shared" si="175"/>
        <v>14.913076935917331</v>
      </c>
      <c r="S666" s="6">
        <f t="shared" si="176"/>
        <v>139.49205717064203</v>
      </c>
      <c r="T666" s="2">
        <f t="shared" si="177"/>
        <v>1</v>
      </c>
      <c r="U666" s="6">
        <f t="shared" si="178"/>
        <v>139.49205717064203</v>
      </c>
      <c r="V666">
        <f>IF((R666-$AB$774)/($Z$773-$AB$774)&lt;0, 0, IF((R666-$AB$774)/($Z$773-$AB$774)&gt;1, 1, (R666-$AB$774)/($Z$773-$AB$774)))</f>
        <v>3.6199457107430428E-3</v>
      </c>
      <c r="W666" s="6">
        <f t="shared" si="179"/>
        <v>0.50495367403758895</v>
      </c>
      <c r="AK666" s="78">
        <v>45038.625</v>
      </c>
      <c r="AL666" s="5">
        <v>4.9901970067500197E-2</v>
      </c>
      <c r="AM666" s="5">
        <v>70.271667750000006</v>
      </c>
      <c r="AN666" s="2">
        <v>18438</v>
      </c>
      <c r="AO666" s="7">
        <f t="shared" si="173"/>
        <v>307.3</v>
      </c>
      <c r="AP666" s="5">
        <f t="shared" si="180"/>
        <v>15.334875401742812</v>
      </c>
      <c r="AQ666" s="6">
        <f t="shared" si="181"/>
        <v>141.41035479613561</v>
      </c>
      <c r="AR666" s="2">
        <f t="shared" si="182"/>
        <v>-2.1301186875174403</v>
      </c>
      <c r="AS666" s="2">
        <f t="shared" si="183"/>
        <v>-301.22083935971995</v>
      </c>
    </row>
    <row r="667" spans="13:45" x14ac:dyDescent="0.3">
      <c r="M667" s="78">
        <v>45039.635416666664</v>
      </c>
      <c r="N667" s="5">
        <v>5.0563128331236197E-2</v>
      </c>
      <c r="O667" s="5">
        <v>69.822823</v>
      </c>
      <c r="P667" s="2">
        <v>17666</v>
      </c>
      <c r="Q667" s="7">
        <f t="shared" si="174"/>
        <v>294.43333333333334</v>
      </c>
      <c r="R667" s="6">
        <f t="shared" si="175"/>
        <v>14.887470418326977</v>
      </c>
      <c r="S667" s="6">
        <f t="shared" si="176"/>
        <v>139.37471523869712</v>
      </c>
      <c r="T667" s="2">
        <f t="shared" si="177"/>
        <v>1</v>
      </c>
      <c r="U667" s="6">
        <f t="shared" si="178"/>
        <v>139.37471523869712</v>
      </c>
      <c r="V667">
        <f>IF((R667-$AB$774)/($Z$773-$AB$774)&lt;0, 0, IF((R667-$AB$774)/($Z$773-$AB$774)&gt;1, 1, (R667-$AB$774)/($Z$773-$AB$774)))</f>
        <v>0</v>
      </c>
      <c r="W667" s="6">
        <f t="shared" si="179"/>
        <v>0</v>
      </c>
      <c r="AK667" s="78">
        <v>45038.635416666664</v>
      </c>
      <c r="AL667" s="5">
        <v>4.9119080365866298E-2</v>
      </c>
      <c r="AM667" s="5">
        <v>65.290959470000004</v>
      </c>
      <c r="AN667" s="2">
        <v>18740</v>
      </c>
      <c r="AO667" s="7">
        <f t="shared" si="173"/>
        <v>312.33333333333331</v>
      </c>
      <c r="AP667" s="5">
        <f t="shared" si="180"/>
        <v>15.341526100938907</v>
      </c>
      <c r="AQ667" s="6">
        <f t="shared" si="181"/>
        <v>141.44038444953395</v>
      </c>
      <c r="AR667" s="2">
        <f t="shared" si="182"/>
        <v>-2.1301186875174403</v>
      </c>
      <c r="AS667" s="2">
        <f t="shared" si="183"/>
        <v>-301.28480608560341</v>
      </c>
    </row>
    <row r="668" spans="13:45" x14ac:dyDescent="0.3">
      <c r="M668" s="78">
        <v>45039.645833333336</v>
      </c>
      <c r="N668" s="5">
        <v>4.7291435911352098E-2</v>
      </c>
      <c r="O668" s="5">
        <v>68.016396760000006</v>
      </c>
      <c r="P668" s="2">
        <v>20276</v>
      </c>
      <c r="Q668" s="7">
        <f t="shared" si="174"/>
        <v>337.93333333333334</v>
      </c>
      <c r="R668" s="6">
        <f t="shared" si="175"/>
        <v>15.981352575642919</v>
      </c>
      <c r="S668" s="6">
        <f t="shared" si="176"/>
        <v>144.29893963547391</v>
      </c>
      <c r="T668" s="2">
        <f t="shared" si="177"/>
        <v>1</v>
      </c>
      <c r="U668" s="6">
        <f t="shared" si="178"/>
        <v>144.29893963547391</v>
      </c>
      <c r="V668">
        <f>IF((R668-$AB$774)/($Z$773-$AB$774)&lt;0, 0, IF((R668-$AB$774)/($Z$773-$AB$774)&gt;1, 1, (R668-$AB$774)/($Z$773-$AB$774)))</f>
        <v>0.19916722516845212</v>
      </c>
      <c r="W668" s="6">
        <f t="shared" si="179"/>
        <v>28.739619401947312</v>
      </c>
      <c r="AK668" s="78">
        <v>45038.645833333336</v>
      </c>
      <c r="AL668" s="5">
        <v>5.1302114919567397E-2</v>
      </c>
      <c r="AM668" s="5">
        <v>66.655723199999997</v>
      </c>
      <c r="AN668" s="2">
        <v>18333</v>
      </c>
      <c r="AO668" s="7">
        <f t="shared" si="173"/>
        <v>305.55</v>
      </c>
      <c r="AP668" s="5">
        <f t="shared" si="180"/>
        <v>15.675361213673819</v>
      </c>
      <c r="AQ668" s="6">
        <f t="shared" si="181"/>
        <v>142.93929325941835</v>
      </c>
      <c r="AR668" s="2">
        <f t="shared" si="182"/>
        <v>-2.1301186875174403</v>
      </c>
      <c r="AS668" s="2">
        <f t="shared" si="183"/>
        <v>-304.47765975242271</v>
      </c>
    </row>
    <row r="669" spans="13:45" x14ac:dyDescent="0.3">
      <c r="M669" s="78">
        <v>45039.65625</v>
      </c>
      <c r="N669" s="5">
        <v>4.3210873178231399E-2</v>
      </c>
      <c r="O669" s="5">
        <v>72.523974480000007</v>
      </c>
      <c r="P669" s="2">
        <v>20011</v>
      </c>
      <c r="Q669" s="7">
        <f t="shared" si="174"/>
        <v>333.51666666666665</v>
      </c>
      <c r="R669" s="6">
        <f t="shared" si="175"/>
        <v>14.411546386159808</v>
      </c>
      <c r="S669" s="6">
        <f t="shared" si="176"/>
        <v>137.17474629540351</v>
      </c>
      <c r="T669" s="2">
        <f t="shared" si="177"/>
        <v>1</v>
      </c>
      <c r="U669" s="6">
        <f t="shared" si="178"/>
        <v>137.17474629540351</v>
      </c>
      <c r="V669">
        <f>IF((R669-$AB$774)/($Z$773-$AB$774)&lt;0, 0, IF((R669-$AB$774)/($Z$773-$AB$774)&gt;1, 1, (R669-$AB$774)/($Z$773-$AB$774)))</f>
        <v>0</v>
      </c>
      <c r="W669" s="6">
        <f t="shared" si="179"/>
        <v>0</v>
      </c>
      <c r="AK669" s="78">
        <v>45038.65625</v>
      </c>
      <c r="AL669" s="5">
        <v>5.2283086095183499E-2</v>
      </c>
      <c r="AM669" s="5">
        <v>68.008627450000006</v>
      </c>
      <c r="AN669" s="2">
        <v>17606</v>
      </c>
      <c r="AO669" s="7">
        <f t="shared" si="173"/>
        <v>293.43333333333334</v>
      </c>
      <c r="AP669" s="5">
        <f t="shared" si="180"/>
        <v>15.341600229863346</v>
      </c>
      <c r="AQ669" s="6">
        <f t="shared" si="181"/>
        <v>141.44071912365561</v>
      </c>
      <c r="AR669" s="2">
        <f t="shared" si="182"/>
        <v>-2.1301186875174403</v>
      </c>
      <c r="AS669" s="2">
        <f t="shared" si="183"/>
        <v>-301.28551898120423</v>
      </c>
    </row>
    <row r="670" spans="13:45" x14ac:dyDescent="0.3">
      <c r="M670" s="78">
        <v>45039.666666666664</v>
      </c>
      <c r="N670" s="5">
        <v>4.7228909982471097E-2</v>
      </c>
      <c r="O670" s="5">
        <v>71.630262669999993</v>
      </c>
      <c r="P670" s="2">
        <v>19682</v>
      </c>
      <c r="Q670" s="7">
        <f t="shared" si="174"/>
        <v>328.03333333333336</v>
      </c>
      <c r="R670" s="6">
        <f t="shared" si="175"/>
        <v>15.492656771249937</v>
      </c>
      <c r="S670" s="6">
        <f t="shared" si="176"/>
        <v>142.120997067372</v>
      </c>
      <c r="T670" s="2">
        <f t="shared" si="177"/>
        <v>1</v>
      </c>
      <c r="U670" s="6">
        <f t="shared" si="178"/>
        <v>142.120997067372</v>
      </c>
      <c r="V670">
        <f>IF((R670-$AB$774)/($Z$773-$AB$774)&lt;0, 0, IF((R670-$AB$774)/($Z$773-$AB$774)&gt;1, 1, (R670-$AB$774)/($Z$773-$AB$774)))</f>
        <v>0.10971172185285455</v>
      </c>
      <c r="W670" s="6">
        <f t="shared" si="179"/>
        <v>15.592339299705873</v>
      </c>
      <c r="AK670" s="78">
        <v>45038.666666666664</v>
      </c>
      <c r="AL670" s="5">
        <v>4.9445088497601902E-2</v>
      </c>
      <c r="AM670" s="5">
        <v>71.17580074</v>
      </c>
      <c r="AN670" s="2">
        <v>18264</v>
      </c>
      <c r="AO670" s="7">
        <f t="shared" si="173"/>
        <v>304.39999999999998</v>
      </c>
      <c r="AP670" s="5">
        <f t="shared" si="180"/>
        <v>15.051084938670018</v>
      </c>
      <c r="AQ670" s="6">
        <f t="shared" si="181"/>
        <v>140.12271630220951</v>
      </c>
      <c r="AR670" s="2">
        <f t="shared" si="182"/>
        <v>-2.1301186875174403</v>
      </c>
      <c r="AS670" s="2">
        <f t="shared" si="183"/>
        <v>-298.47801654104114</v>
      </c>
    </row>
    <row r="671" spans="13:45" x14ac:dyDescent="0.3">
      <c r="M671" s="78">
        <v>45039.677083333336</v>
      </c>
      <c r="N671" s="5">
        <v>4.5723363242808901E-2</v>
      </c>
      <c r="O671" s="5">
        <v>71.17580074</v>
      </c>
      <c r="P671" s="2">
        <v>19745</v>
      </c>
      <c r="Q671" s="7">
        <f t="shared" si="174"/>
        <v>329.08333333333331</v>
      </c>
      <c r="R671" s="6">
        <f t="shared" si="175"/>
        <v>15.046796787154362</v>
      </c>
      <c r="S671" s="6">
        <f t="shared" si="176"/>
        <v>140.10316514170552</v>
      </c>
      <c r="T671" s="2">
        <f t="shared" si="177"/>
        <v>1</v>
      </c>
      <c r="U671" s="6">
        <f t="shared" si="178"/>
        <v>140.10316514170552</v>
      </c>
      <c r="V671">
        <f>IF((R671-$AB$774)/($Z$773-$AB$774)&lt;0, 0, IF((R671-$AB$774)/($Z$773-$AB$774)&gt;1, 1, (R671-$AB$774)/($Z$773-$AB$774)))</f>
        <v>2.8097292330392383E-2</v>
      </c>
      <c r="W671" s="6">
        <f t="shared" si="179"/>
        <v>3.9365195873997401</v>
      </c>
      <c r="AK671" s="78">
        <v>45038.677083333336</v>
      </c>
      <c r="AL671" s="5">
        <v>4.9203790305636499E-2</v>
      </c>
      <c r="AM671" s="5">
        <v>64.377553680000005</v>
      </c>
      <c r="AN671" s="2">
        <v>18260</v>
      </c>
      <c r="AO671" s="7">
        <f t="shared" si="173"/>
        <v>304.33333333333331</v>
      </c>
      <c r="AP671" s="5">
        <f t="shared" si="180"/>
        <v>14.974353516348707</v>
      </c>
      <c r="AQ671" s="6">
        <f t="shared" si="181"/>
        <v>139.77244053181221</v>
      </c>
      <c r="AR671" s="2">
        <f t="shared" si="182"/>
        <v>-2.1301186875174403</v>
      </c>
      <c r="AS671" s="2">
        <f t="shared" si="183"/>
        <v>-297.7318875767333</v>
      </c>
    </row>
    <row r="672" spans="13:45" x14ac:dyDescent="0.3">
      <c r="M672" s="78">
        <v>45039.6875</v>
      </c>
      <c r="N672" s="5">
        <v>5.0206857604453599E-2</v>
      </c>
      <c r="O672" s="5">
        <v>73.868067069999995</v>
      </c>
      <c r="P672" s="2">
        <v>19967</v>
      </c>
      <c r="Q672" s="7">
        <f t="shared" si="174"/>
        <v>332.78333333333336</v>
      </c>
      <c r="R672" s="6">
        <f t="shared" si="175"/>
        <v>16.708005429802085</v>
      </c>
      <c r="S672" s="6">
        <f t="shared" si="176"/>
        <v>147.47546462394925</v>
      </c>
      <c r="T672" s="2">
        <f t="shared" si="177"/>
        <v>1</v>
      </c>
      <c r="U672" s="6">
        <f t="shared" si="178"/>
        <v>147.47546462394925</v>
      </c>
      <c r="V672">
        <f>IF((R672-$AB$774)/($Z$773-$AB$774)&lt;0, 0, IF((R672-$AB$774)/($Z$773-$AB$774)&gt;1, 1, (R672-$AB$774)/($Z$773-$AB$774)))</f>
        <v>0.33218063805270065</v>
      </c>
      <c r="W672" s="6">
        <f t="shared" si="179"/>
        <v>48.988493935901943</v>
      </c>
      <c r="AK672" s="78">
        <v>45038.6875</v>
      </c>
      <c r="AL672" s="5">
        <v>5.4487886121907997E-2</v>
      </c>
      <c r="AM672" s="5">
        <v>65.283151739999994</v>
      </c>
      <c r="AN672" s="2">
        <v>17955</v>
      </c>
      <c r="AO672" s="7">
        <f t="shared" si="173"/>
        <v>299.25</v>
      </c>
      <c r="AP672" s="5">
        <f t="shared" si="180"/>
        <v>16.305499921980967</v>
      </c>
      <c r="AQ672" s="6">
        <f t="shared" si="181"/>
        <v>145.72484787143208</v>
      </c>
      <c r="AR672" s="2">
        <f t="shared" si="182"/>
        <v>-2.1301186875174403</v>
      </c>
      <c r="AS672" s="2">
        <f t="shared" si="183"/>
        <v>-310.41122168657353</v>
      </c>
    </row>
    <row r="673" spans="13:45" x14ac:dyDescent="0.3">
      <c r="M673" s="78">
        <v>45039.697916666664</v>
      </c>
      <c r="N673" s="5">
        <v>4.40992138130138E-2</v>
      </c>
      <c r="O673" s="5">
        <v>70.279402750000003</v>
      </c>
      <c r="P673" s="2">
        <v>19938</v>
      </c>
      <c r="Q673" s="7">
        <f t="shared" si="174"/>
        <v>332.3</v>
      </c>
      <c r="R673" s="6">
        <f t="shared" si="175"/>
        <v>14.654168750064485</v>
      </c>
      <c r="S673" s="6">
        <f t="shared" si="176"/>
        <v>138.30083004071807</v>
      </c>
      <c r="T673" s="2">
        <f t="shared" si="177"/>
        <v>1</v>
      </c>
      <c r="U673" s="6">
        <f t="shared" si="178"/>
        <v>138.30083004071807</v>
      </c>
      <c r="V673">
        <f>IF((R673-$AB$774)/($Z$773-$AB$774)&lt;0, 0, IF((R673-$AB$774)/($Z$773-$AB$774)&gt;1, 1, (R673-$AB$774)/($Z$773-$AB$774)))</f>
        <v>0</v>
      </c>
      <c r="W673" s="6">
        <f t="shared" si="179"/>
        <v>0</v>
      </c>
      <c r="AK673" s="78">
        <v>45038.697916666664</v>
      </c>
      <c r="AL673" s="5">
        <v>5.2799928797640699E-2</v>
      </c>
      <c r="AM673" s="5">
        <v>63.015482910000003</v>
      </c>
      <c r="AN673" s="2">
        <v>18053</v>
      </c>
      <c r="AO673" s="7">
        <f t="shared" si="173"/>
        <v>300.88333333333333</v>
      </c>
      <c r="AP673" s="5">
        <f t="shared" si="180"/>
        <v>15.886618576396792</v>
      </c>
      <c r="AQ673" s="6">
        <f t="shared" si="181"/>
        <v>143.87942809740656</v>
      </c>
      <c r="AR673" s="2">
        <f t="shared" si="182"/>
        <v>-2.1301186875174403</v>
      </c>
      <c r="AS673" s="2">
        <f t="shared" si="183"/>
        <v>-306.48025853960758</v>
      </c>
    </row>
    <row r="674" spans="13:45" x14ac:dyDescent="0.3">
      <c r="M674" s="78">
        <v>45039.708333333336</v>
      </c>
      <c r="N674" s="5">
        <v>4.6176305548207598E-2</v>
      </c>
      <c r="O674" s="5">
        <v>66.655723199999997</v>
      </c>
      <c r="P674" s="2">
        <v>20111</v>
      </c>
      <c r="Q674" s="7">
        <f t="shared" si="174"/>
        <v>335.18333333333334</v>
      </c>
      <c r="R674" s="6">
        <f t="shared" si="175"/>
        <v>15.477528014666717</v>
      </c>
      <c r="S674" s="6">
        <f t="shared" si="176"/>
        <v>142.05301819869297</v>
      </c>
      <c r="T674" s="2">
        <f t="shared" si="177"/>
        <v>1</v>
      </c>
      <c r="U674" s="6">
        <f t="shared" si="178"/>
        <v>142.05301819869297</v>
      </c>
      <c r="V674">
        <f>IF((R674-$AB$774)/($Z$773-$AB$774)&lt;0, 0, IF((R674-$AB$774)/($Z$773-$AB$774)&gt;1, 1, (R674-$AB$774)/($Z$773-$AB$774)))</f>
        <v>0.10694241112310086</v>
      </c>
      <c r="W674" s="6">
        <f t="shared" si="179"/>
        <v>15.191492273481952</v>
      </c>
      <c r="AK674" s="78">
        <v>45038.708333333336</v>
      </c>
      <c r="AL674" s="5">
        <v>5.0156052569912103E-2</v>
      </c>
      <c r="AM674" s="5">
        <v>71.17580074</v>
      </c>
      <c r="AN674" s="2">
        <v>17869</v>
      </c>
      <c r="AO674" s="7">
        <f t="shared" si="173"/>
        <v>297.81666666666666</v>
      </c>
      <c r="AP674" s="5">
        <f t="shared" si="180"/>
        <v>14.937308389529322</v>
      </c>
      <c r="AQ674" s="6">
        <f t="shared" si="181"/>
        <v>139.6030032226854</v>
      </c>
      <c r="AR674" s="2">
        <f t="shared" si="182"/>
        <v>-2.1301186875174403</v>
      </c>
      <c r="AS674" s="2">
        <f t="shared" si="183"/>
        <v>-297.37096599819961</v>
      </c>
    </row>
    <row r="675" spans="13:45" x14ac:dyDescent="0.3">
      <c r="M675" s="78">
        <v>45039.71875</v>
      </c>
      <c r="N675" s="5">
        <v>4.9988353962613398E-2</v>
      </c>
      <c r="O675" s="5">
        <v>68.924680609999996</v>
      </c>
      <c r="P675" s="2">
        <v>19857</v>
      </c>
      <c r="Q675" s="7">
        <f t="shared" si="174"/>
        <v>330.95</v>
      </c>
      <c r="R675" s="6">
        <f t="shared" si="175"/>
        <v>16.543645743926902</v>
      </c>
      <c r="S675" s="6">
        <f t="shared" si="176"/>
        <v>146.76324377125931</v>
      </c>
      <c r="T675" s="2">
        <f t="shared" si="177"/>
        <v>1</v>
      </c>
      <c r="U675" s="6">
        <f t="shared" si="178"/>
        <v>146.76324377125931</v>
      </c>
      <c r="V675">
        <f>IF((R675-$AB$774)/($Z$773-$AB$774)&lt;0, 0, IF((R675-$AB$774)/($Z$773-$AB$774)&gt;1, 1, (R675-$AB$774)/($Z$773-$AB$774)))</f>
        <v>0.30209468623443048</v>
      </c>
      <c r="W675" s="6">
        <f t="shared" si="179"/>
        <v>44.336396077825817</v>
      </c>
      <c r="AK675" s="78">
        <v>45038.71875</v>
      </c>
      <c r="AL675" s="5">
        <v>5.02383733812337E-2</v>
      </c>
      <c r="AM675" s="5">
        <v>70.279402750000003</v>
      </c>
      <c r="AN675" s="2">
        <v>18584</v>
      </c>
      <c r="AO675" s="7">
        <f t="shared" si="173"/>
        <v>309.73333333333335</v>
      </c>
      <c r="AP675" s="5">
        <f t="shared" si="180"/>
        <v>15.560498848614118</v>
      </c>
      <c r="AQ675" s="6">
        <f t="shared" si="181"/>
        <v>142.42541984803222</v>
      </c>
      <c r="AR675" s="2">
        <f t="shared" si="182"/>
        <v>-2.1301186875174403</v>
      </c>
      <c r="AS675" s="2">
        <f t="shared" si="183"/>
        <v>-303.38304839581076</v>
      </c>
    </row>
    <row r="676" spans="13:45" x14ac:dyDescent="0.3">
      <c r="M676" s="78">
        <v>45039.729166666664</v>
      </c>
      <c r="N676" s="5">
        <v>4.2274039916317702E-2</v>
      </c>
      <c r="O676" s="5">
        <v>71.17580074</v>
      </c>
      <c r="P676" s="2">
        <v>20224</v>
      </c>
      <c r="Q676" s="7">
        <f t="shared" si="174"/>
        <v>337.06666666666666</v>
      </c>
      <c r="R676" s="6">
        <f t="shared" si="175"/>
        <v>14.249169721126821</v>
      </c>
      <c r="S676" s="6">
        <f t="shared" si="176"/>
        <v>136.41569498148232</v>
      </c>
      <c r="T676" s="2">
        <f t="shared" si="177"/>
        <v>1</v>
      </c>
      <c r="U676" s="6">
        <f t="shared" si="178"/>
        <v>136.41569498148232</v>
      </c>
      <c r="V676">
        <f>IF((R676-$AB$774)/($Z$773-$AB$774)&lt;0, 0, IF((R676-$AB$774)/($Z$773-$AB$774)&gt;1, 1, (R676-$AB$774)/($Z$773-$AB$774)))</f>
        <v>0</v>
      </c>
      <c r="W676" s="6">
        <f t="shared" si="179"/>
        <v>0</v>
      </c>
      <c r="AK676" s="78">
        <v>45038.729166666664</v>
      </c>
      <c r="AL676" s="5">
        <v>4.5724997316234098E-2</v>
      </c>
      <c r="AM676" s="5">
        <v>66.647934039999996</v>
      </c>
      <c r="AN676" s="2">
        <v>18749</v>
      </c>
      <c r="AO676" s="7">
        <f t="shared" ref="AO676:AO739" si="184">AN676/60</f>
        <v>312.48333333333335</v>
      </c>
      <c r="AP676" s="5">
        <f t="shared" si="180"/>
        <v>14.288299578034552</v>
      </c>
      <c r="AQ676" s="6">
        <f t="shared" si="181"/>
        <v>136.59901469094703</v>
      </c>
      <c r="AR676" s="2">
        <f t="shared" si="182"/>
        <v>-2.1301186875174403</v>
      </c>
      <c r="AS676" s="2">
        <f t="shared" si="183"/>
        <v>-290.97211388965565</v>
      </c>
    </row>
    <row r="677" spans="13:45" x14ac:dyDescent="0.3">
      <c r="M677" s="78">
        <v>45039.739583333336</v>
      </c>
      <c r="N677" s="5">
        <v>4.1154363030427597E-2</v>
      </c>
      <c r="O677" s="5">
        <v>78.323104580000006</v>
      </c>
      <c r="P677" s="2">
        <v>21495</v>
      </c>
      <c r="Q677" s="7">
        <f t="shared" si="174"/>
        <v>358.25</v>
      </c>
      <c r="R677" s="6">
        <f t="shared" si="175"/>
        <v>14.743550555650687</v>
      </c>
      <c r="S677" s="6">
        <f t="shared" si="176"/>
        <v>138.71327736718172</v>
      </c>
      <c r="T677" s="2">
        <f t="shared" si="177"/>
        <v>1</v>
      </c>
      <c r="U677" s="6">
        <f t="shared" si="178"/>
        <v>138.71327736718172</v>
      </c>
      <c r="V677">
        <f>IF((R677-$AB$774)/($Z$773-$AB$774)&lt;0, 0, IF((R677-$AB$774)/($Z$773-$AB$774)&gt;1, 1, (R677-$AB$774)/($Z$773-$AB$774)))</f>
        <v>0</v>
      </c>
      <c r="W677" s="6">
        <f t="shared" si="179"/>
        <v>0</v>
      </c>
      <c r="AK677" s="78">
        <v>45038.739583333336</v>
      </c>
      <c r="AL677" s="5">
        <v>5.1810721844537097E-2</v>
      </c>
      <c r="AM677" s="5">
        <v>73.415890989999994</v>
      </c>
      <c r="AN677" s="2">
        <v>19497</v>
      </c>
      <c r="AO677" s="7">
        <f t="shared" si="184"/>
        <v>324.95</v>
      </c>
      <c r="AP677" s="5">
        <f t="shared" si="180"/>
        <v>16.83589406338233</v>
      </c>
      <c r="AQ677" s="6">
        <f t="shared" si="181"/>
        <v>148.02717540159728</v>
      </c>
      <c r="AR677" s="2">
        <f t="shared" si="182"/>
        <v>-2.1301186875174403</v>
      </c>
      <c r="AS677" s="2">
        <f t="shared" si="183"/>
        <v>-315.31545258336433</v>
      </c>
    </row>
    <row r="678" spans="13:45" x14ac:dyDescent="0.3">
      <c r="M678" s="78">
        <v>45039.75</v>
      </c>
      <c r="N678" s="5">
        <v>4.02374814232404E-2</v>
      </c>
      <c r="O678" s="5">
        <v>74.764849499999997</v>
      </c>
      <c r="P678" s="2">
        <v>21330</v>
      </c>
      <c r="Q678" s="7">
        <f t="shared" si="174"/>
        <v>355.5</v>
      </c>
      <c r="R678" s="6">
        <f t="shared" si="175"/>
        <v>14.304424645961962</v>
      </c>
      <c r="S678" s="6">
        <f t="shared" si="176"/>
        <v>136.67448457351927</v>
      </c>
      <c r="T678" s="2">
        <f t="shared" si="177"/>
        <v>1</v>
      </c>
      <c r="U678" s="6">
        <f t="shared" si="178"/>
        <v>136.67448457351927</v>
      </c>
      <c r="V678">
        <f>IF((R678-$AB$774)/($Z$773-$AB$774)&lt;0, 0, IF((R678-$AB$774)/($Z$773-$AB$774)&gt;1, 1, (R678-$AB$774)/($Z$773-$AB$774)))</f>
        <v>0</v>
      </c>
      <c r="W678" s="6">
        <f t="shared" si="179"/>
        <v>0</v>
      </c>
      <c r="AK678" s="78">
        <v>45038.75</v>
      </c>
      <c r="AL678" s="5">
        <v>4.79925119079374E-2</v>
      </c>
      <c r="AM678" s="5">
        <v>71.630262669999993</v>
      </c>
      <c r="AN678" s="2">
        <v>19463</v>
      </c>
      <c r="AO678" s="7">
        <f t="shared" si="184"/>
        <v>324.38333333333333</v>
      </c>
      <c r="AP678" s="5">
        <f t="shared" si="180"/>
        <v>15.567970987736427</v>
      </c>
      <c r="AQ678" s="6">
        <f t="shared" si="181"/>
        <v>142.45890758845132</v>
      </c>
      <c r="AR678" s="2">
        <f t="shared" si="182"/>
        <v>-2.1301186875174403</v>
      </c>
      <c r="AS678" s="2">
        <f t="shared" si="183"/>
        <v>-303.45438125748024</v>
      </c>
    </row>
    <row r="679" spans="13:45" x14ac:dyDescent="0.3">
      <c r="M679" s="78">
        <v>45039.760416666664</v>
      </c>
      <c r="N679" s="5">
        <v>4.4423309042536101E-2</v>
      </c>
      <c r="O679" s="5">
        <v>77.435049230000004</v>
      </c>
      <c r="P679" s="2">
        <v>20268</v>
      </c>
      <c r="Q679" s="7">
        <f t="shared" si="174"/>
        <v>337.8</v>
      </c>
      <c r="R679" s="6">
        <f t="shared" si="175"/>
        <v>15.006193794568695</v>
      </c>
      <c r="S679" s="6">
        <f t="shared" si="176"/>
        <v>139.91790100449074</v>
      </c>
      <c r="T679" s="2">
        <f t="shared" si="177"/>
        <v>1</v>
      </c>
      <c r="U679" s="6">
        <f t="shared" si="178"/>
        <v>139.91790100449074</v>
      </c>
      <c r="V679">
        <f>IF((R679-$AB$774)/($Z$773-$AB$774)&lt;0, 0, IF((R679-$AB$774)/($Z$773-$AB$774)&gt;1, 1, (R679-$AB$774)/($Z$773-$AB$774)))</f>
        <v>2.0664936445156431E-2</v>
      </c>
      <c r="W679" s="6">
        <f t="shared" si="179"/>
        <v>2.8913945317974905</v>
      </c>
      <c r="AK679" s="78">
        <v>45038.760416666664</v>
      </c>
      <c r="AL679" s="5">
        <v>4.9756536054832101E-2</v>
      </c>
      <c r="AM679" s="5">
        <v>68.016396760000006</v>
      </c>
      <c r="AN679" s="2">
        <v>19519</v>
      </c>
      <c r="AO679" s="7">
        <f t="shared" si="184"/>
        <v>325.31666666666666</v>
      </c>
      <c r="AP679" s="5">
        <f t="shared" si="180"/>
        <v>16.186630454237797</v>
      </c>
      <c r="AQ679" s="6">
        <f t="shared" si="181"/>
        <v>145.20364120808964</v>
      </c>
      <c r="AR679" s="2">
        <f t="shared" si="182"/>
        <v>-2.1301186875174403</v>
      </c>
      <c r="AS679" s="2">
        <f t="shared" si="183"/>
        <v>-309.3009896329292</v>
      </c>
    </row>
    <row r="680" spans="13:45" x14ac:dyDescent="0.3">
      <c r="M680" s="78">
        <v>45039.770833333336</v>
      </c>
      <c r="N680" s="5">
        <v>4.4961153795091302E-2</v>
      </c>
      <c r="O680" s="5">
        <v>74.764849499999997</v>
      </c>
      <c r="P680" s="2">
        <v>19729</v>
      </c>
      <c r="Q680" s="7">
        <f t="shared" si="174"/>
        <v>328.81666666666666</v>
      </c>
      <c r="R680" s="6">
        <f t="shared" si="175"/>
        <v>14.783976720389271</v>
      </c>
      <c r="S680" s="6">
        <f t="shared" si="176"/>
        <v>138.89940252152607</v>
      </c>
      <c r="T680" s="2">
        <f t="shared" si="177"/>
        <v>1</v>
      </c>
      <c r="U680" s="6">
        <f t="shared" si="178"/>
        <v>138.89940252152607</v>
      </c>
      <c r="V680">
        <f>IF((R680-$AB$774)/($Z$773-$AB$774)&lt;0, 0, IF((R680-$AB$774)/($Z$773-$AB$774)&gt;1, 1, (R680-$AB$774)/($Z$773-$AB$774)))</f>
        <v>0</v>
      </c>
      <c r="W680" s="6">
        <f t="shared" si="179"/>
        <v>0</v>
      </c>
      <c r="AK680" s="78">
        <v>45038.770833333336</v>
      </c>
      <c r="AL680" s="5">
        <v>4.6770692405851098E-2</v>
      </c>
      <c r="AM680" s="5">
        <v>70.279402750000003</v>
      </c>
      <c r="AN680" s="2">
        <v>19405</v>
      </c>
      <c r="AO680" s="7">
        <f t="shared" si="184"/>
        <v>323.41666666666669</v>
      </c>
      <c r="AP680" s="5">
        <f t="shared" si="180"/>
        <v>15.126421435592343</v>
      </c>
      <c r="AQ680" s="6">
        <f t="shared" si="181"/>
        <v>140.46573884306179</v>
      </c>
      <c r="AR680" s="2">
        <f t="shared" si="182"/>
        <v>-2.1301186875174403</v>
      </c>
      <c r="AS680" s="2">
        <f t="shared" si="183"/>
        <v>-299.20869526555032</v>
      </c>
    </row>
    <row r="681" spans="13:45" x14ac:dyDescent="0.3">
      <c r="M681" s="78">
        <v>45039.78125</v>
      </c>
      <c r="N681" s="5">
        <v>4.6677569517793699E-2</v>
      </c>
      <c r="O681" s="5">
        <v>79.202259850000004</v>
      </c>
      <c r="P681" s="2">
        <v>19738</v>
      </c>
      <c r="Q681" s="7">
        <f t="shared" si="174"/>
        <v>328.96666666666664</v>
      </c>
      <c r="R681" s="6">
        <f t="shared" si="175"/>
        <v>15.3553644523702</v>
      </c>
      <c r="S681" s="6">
        <f t="shared" si="176"/>
        <v>141.50284695569505</v>
      </c>
      <c r="T681" s="2">
        <f t="shared" si="177"/>
        <v>1</v>
      </c>
      <c r="U681" s="6">
        <f t="shared" si="178"/>
        <v>141.50284695569505</v>
      </c>
      <c r="V681">
        <f>IF((R681-$AB$774)/($Z$773-$AB$774)&lt;0, 0, IF((R681-$AB$774)/($Z$773-$AB$774)&gt;1, 1, (R681-$AB$774)/($Z$773-$AB$774)))</f>
        <v>8.4580436958752489E-2</v>
      </c>
      <c r="W681" s="6">
        <f t="shared" si="179"/>
        <v>11.968372626420166</v>
      </c>
      <c r="AK681" s="78">
        <v>45038.78125</v>
      </c>
      <c r="AL681" s="5">
        <v>4.5542960536420499E-2</v>
      </c>
      <c r="AM681" s="5">
        <v>69.373566690000004</v>
      </c>
      <c r="AN681" s="2">
        <v>19129</v>
      </c>
      <c r="AO681" s="7">
        <f t="shared" si="184"/>
        <v>318.81666666666666</v>
      </c>
      <c r="AP681" s="5">
        <f t="shared" si="180"/>
        <v>14.519854868353129</v>
      </c>
      <c r="AQ681" s="6">
        <f t="shared" si="181"/>
        <v>137.67862466479551</v>
      </c>
      <c r="AR681" s="2">
        <f t="shared" si="182"/>
        <v>-2.1301186875174403</v>
      </c>
      <c r="AS681" s="2">
        <f t="shared" si="183"/>
        <v>-293.27181127018048</v>
      </c>
    </row>
    <row r="682" spans="13:45" x14ac:dyDescent="0.3">
      <c r="M682" s="78">
        <v>45039.791666666664</v>
      </c>
      <c r="N682" s="5">
        <v>4.8667418765403203E-2</v>
      </c>
      <c r="O682" s="5">
        <v>74.764849499999997</v>
      </c>
      <c r="P682" s="2">
        <v>21408</v>
      </c>
      <c r="Q682" s="7">
        <f t="shared" si="174"/>
        <v>356.8</v>
      </c>
      <c r="R682" s="6">
        <f t="shared" si="175"/>
        <v>17.364535015495864</v>
      </c>
      <c r="S682" s="6">
        <f t="shared" si="176"/>
        <v>150.28534800561133</v>
      </c>
      <c r="T682" s="2">
        <f t="shared" si="177"/>
        <v>1</v>
      </c>
      <c r="U682" s="6">
        <f t="shared" si="178"/>
        <v>150.28534800561133</v>
      </c>
      <c r="V682">
        <f>IF((R682-$AB$774)/($Z$773-$AB$774)&lt;0, 0, IF((R682-$AB$774)/($Z$773-$AB$774)&gt;1, 1, (R682-$AB$774)/($Z$773-$AB$774)))</f>
        <v>0.45235802447975937</v>
      </c>
      <c r="W682" s="6">
        <f t="shared" si="179"/>
        <v>67.982783132071489</v>
      </c>
      <c r="AK682" s="78">
        <v>45038.791666666664</v>
      </c>
      <c r="AL682" s="5">
        <v>4.7220995540165199E-2</v>
      </c>
      <c r="AM682" s="5">
        <v>74.757192930000002</v>
      </c>
      <c r="AN682" s="2">
        <v>19977</v>
      </c>
      <c r="AO682" s="7">
        <f t="shared" si="184"/>
        <v>332.95</v>
      </c>
      <c r="AP682" s="5">
        <f t="shared" si="180"/>
        <v>15.722230465098002</v>
      </c>
      <c r="AQ682" s="6">
        <f t="shared" si="181"/>
        <v>143.14842562218902</v>
      </c>
      <c r="AR682" s="2">
        <f t="shared" si="182"/>
        <v>-2.1301186875174403</v>
      </c>
      <c r="AS682" s="2">
        <f t="shared" si="183"/>
        <v>-304.92313650652522</v>
      </c>
    </row>
    <row r="683" spans="13:45" x14ac:dyDescent="0.3">
      <c r="M683" s="78">
        <v>45039.802083333336</v>
      </c>
      <c r="N683" s="5">
        <v>4.3688848556826199E-2</v>
      </c>
      <c r="O683" s="5">
        <v>70.279402750000003</v>
      </c>
      <c r="P683" s="2">
        <v>20926</v>
      </c>
      <c r="Q683" s="7">
        <f t="shared" si="174"/>
        <v>348.76666666666665</v>
      </c>
      <c r="R683" s="6">
        <f t="shared" si="175"/>
        <v>15.237214081669084</v>
      </c>
      <c r="S683" s="6">
        <f t="shared" si="176"/>
        <v>140.9686205669546</v>
      </c>
      <c r="T683" s="2">
        <f t="shared" si="177"/>
        <v>1</v>
      </c>
      <c r="U683" s="6">
        <f t="shared" si="178"/>
        <v>140.9686205669546</v>
      </c>
      <c r="V683">
        <f>IF((R683-$AB$774)/($Z$773-$AB$774)&lt;0, 0, IF((R683-$AB$774)/($Z$773-$AB$774)&gt;1, 1, (R683-$AB$774)/($Z$773-$AB$774)))</f>
        <v>6.2953075350602489E-2</v>
      </c>
      <c r="W683" s="6">
        <f t="shared" si="179"/>
        <v>8.8744081926219849</v>
      </c>
      <c r="AK683" s="78">
        <v>45038.802083333336</v>
      </c>
      <c r="AL683" s="5">
        <v>4.55703494782118E-2</v>
      </c>
      <c r="AM683" s="5">
        <v>72.069636250000002</v>
      </c>
      <c r="AN683" s="2">
        <v>19937</v>
      </c>
      <c r="AO683" s="7">
        <f t="shared" si="184"/>
        <v>332.28333333333336</v>
      </c>
      <c r="AP683" s="5">
        <f t="shared" si="180"/>
        <v>15.142267625785145</v>
      </c>
      <c r="AQ683" s="6">
        <f t="shared" si="181"/>
        <v>140.53777874994134</v>
      </c>
      <c r="AR683" s="2">
        <f t="shared" si="182"/>
        <v>-2.1301186875174403</v>
      </c>
      <c r="AS683" s="2">
        <f t="shared" si="183"/>
        <v>-299.36214881744144</v>
      </c>
    </row>
    <row r="684" spans="13:45" x14ac:dyDescent="0.3">
      <c r="M684" s="78">
        <v>45039.8125</v>
      </c>
      <c r="N684" s="5">
        <v>4.1691261076232201E-2</v>
      </c>
      <c r="O684" s="5">
        <v>76.993676070000006</v>
      </c>
      <c r="P684" s="2">
        <v>21716</v>
      </c>
      <c r="Q684" s="7">
        <f t="shared" si="174"/>
        <v>361.93333333333334</v>
      </c>
      <c r="R684" s="6">
        <f t="shared" si="175"/>
        <v>15.089457092190974</v>
      </c>
      <c r="S684" s="6">
        <f t="shared" si="176"/>
        <v>140.29754180353174</v>
      </c>
      <c r="T684" s="2">
        <f t="shared" si="177"/>
        <v>1</v>
      </c>
      <c r="U684" s="6">
        <f t="shared" si="178"/>
        <v>140.29754180353174</v>
      </c>
      <c r="V684">
        <f>IF((R684-$AB$774)/($Z$773-$AB$774)&lt;0, 0, IF((R684-$AB$774)/($Z$773-$AB$774)&gt;1, 1, (R684-$AB$774)/($Z$773-$AB$774)))</f>
        <v>3.5906238149739589E-2</v>
      </c>
      <c r="W684" s="6">
        <f t="shared" si="179"/>
        <v>5.0375569478206561</v>
      </c>
      <c r="AK684" s="78">
        <v>45038.8125</v>
      </c>
      <c r="AL684" s="5">
        <v>4.6682495889572802E-2</v>
      </c>
      <c r="AM684" s="5">
        <v>74.757192930000002</v>
      </c>
      <c r="AN684" s="2">
        <v>20214</v>
      </c>
      <c r="AO684" s="7">
        <f t="shared" si="184"/>
        <v>336.9</v>
      </c>
      <c r="AP684" s="5">
        <f t="shared" si="180"/>
        <v>15.727332865197075</v>
      </c>
      <c r="AQ684" s="6">
        <f t="shared" si="181"/>
        <v>143.17117350984944</v>
      </c>
      <c r="AR684" s="2">
        <f t="shared" si="182"/>
        <v>-2.1301186875174403</v>
      </c>
      <c r="AS684" s="2">
        <f t="shared" si="183"/>
        <v>-304.97159220713218</v>
      </c>
    </row>
    <row r="685" spans="13:45" x14ac:dyDescent="0.3">
      <c r="M685" s="78">
        <v>45039.822916666664</v>
      </c>
      <c r="N685" s="5">
        <v>4.4127287872783201E-2</v>
      </c>
      <c r="O685" s="5">
        <v>76.993676070000006</v>
      </c>
      <c r="P685" s="2">
        <v>21183</v>
      </c>
      <c r="Q685" s="7">
        <f t="shared" si="174"/>
        <v>353.05</v>
      </c>
      <c r="R685" s="6">
        <f t="shared" si="175"/>
        <v>15.579138983486109</v>
      </c>
      <c r="S685" s="6">
        <f t="shared" si="176"/>
        <v>142.50894369050724</v>
      </c>
      <c r="T685" s="2">
        <f t="shared" si="177"/>
        <v>1</v>
      </c>
      <c r="U685" s="6">
        <f t="shared" si="178"/>
        <v>142.50894369050724</v>
      </c>
      <c r="V685">
        <f>IF((R685-$AB$774)/($Z$773-$AB$774)&lt;0, 0, IF((R685-$AB$774)/($Z$773-$AB$774)&gt;1, 1, (R685-$AB$774)/($Z$773-$AB$774)))</f>
        <v>0.12554224414072745</v>
      </c>
      <c r="W685" s="6">
        <f t="shared" si="179"/>
        <v>17.890892601030842</v>
      </c>
      <c r="AK685" s="78">
        <v>45038.822916666664</v>
      </c>
      <c r="AL685" s="5">
        <v>4.49180156243143E-2</v>
      </c>
      <c r="AM685" s="5">
        <v>71.17580074</v>
      </c>
      <c r="AN685" s="2">
        <v>20854</v>
      </c>
      <c r="AO685" s="7">
        <f t="shared" si="184"/>
        <v>347.56666666666666</v>
      </c>
      <c r="AP685" s="5">
        <f t="shared" si="180"/>
        <v>15.612004963824173</v>
      </c>
      <c r="AQ685" s="6">
        <f t="shared" si="181"/>
        <v>142.65608742785662</v>
      </c>
      <c r="AR685" s="2">
        <f t="shared" si="182"/>
        <v>-2.1301186875174403</v>
      </c>
      <c r="AS685" s="2">
        <f t="shared" si="183"/>
        <v>-303.87439771819913</v>
      </c>
    </row>
    <row r="686" spans="13:45" x14ac:dyDescent="0.3">
      <c r="M686" s="78">
        <v>45039.833333333336</v>
      </c>
      <c r="N686" s="5">
        <v>4.2626422890655401E-2</v>
      </c>
      <c r="O686" s="5">
        <v>77.435049230000004</v>
      </c>
      <c r="P686" s="2">
        <v>20710</v>
      </c>
      <c r="Q686" s="7">
        <f t="shared" si="174"/>
        <v>345.16666666666669</v>
      </c>
      <c r="R686" s="6">
        <f t="shared" si="175"/>
        <v>14.713220301091223</v>
      </c>
      <c r="S686" s="6">
        <f t="shared" si="176"/>
        <v>138.57346350173418</v>
      </c>
      <c r="T686" s="2">
        <f t="shared" si="177"/>
        <v>1</v>
      </c>
      <c r="U686" s="6">
        <f t="shared" si="178"/>
        <v>138.57346350173418</v>
      </c>
      <c r="V686">
        <f>IF((R686-$AB$774)/($Z$773-$AB$774)&lt;0, 0, IF((R686-$AB$774)/($Z$773-$AB$774)&gt;1, 1, (R686-$AB$774)/($Z$773-$AB$774)))</f>
        <v>0</v>
      </c>
      <c r="W686" s="6">
        <f t="shared" si="179"/>
        <v>0</v>
      </c>
      <c r="AK686" s="78">
        <v>45038.833333333336</v>
      </c>
      <c r="AL686" s="5">
        <v>4.4943546511061999E-2</v>
      </c>
      <c r="AM686" s="5">
        <v>68.924680609999996</v>
      </c>
      <c r="AN686" s="2">
        <v>19865</v>
      </c>
      <c r="AO686" s="7">
        <f t="shared" si="184"/>
        <v>331.08333333333331</v>
      </c>
      <c r="AP686" s="5">
        <f t="shared" si="180"/>
        <v>14.88005919070411</v>
      </c>
      <c r="AQ686" s="6">
        <f t="shared" si="181"/>
        <v>139.34073405436385</v>
      </c>
      <c r="AR686" s="2">
        <f t="shared" si="182"/>
        <v>-2.1301186875174403</v>
      </c>
      <c r="AS686" s="2">
        <f t="shared" si="183"/>
        <v>-296.81230154159823</v>
      </c>
    </row>
    <row r="687" spans="13:45" x14ac:dyDescent="0.3">
      <c r="M687" s="78">
        <v>45039.84375</v>
      </c>
      <c r="N687" s="5">
        <v>4.45789273235591E-2</v>
      </c>
      <c r="O687" s="5">
        <v>74.764849499999997</v>
      </c>
      <c r="P687" s="2">
        <v>21087</v>
      </c>
      <c r="Q687" s="7">
        <f t="shared" si="174"/>
        <v>351.45</v>
      </c>
      <c r="R687" s="6">
        <f t="shared" si="175"/>
        <v>15.667264007864846</v>
      </c>
      <c r="S687" s="6">
        <f t="shared" si="176"/>
        <v>142.90313091267711</v>
      </c>
      <c r="T687" s="2">
        <f t="shared" si="177"/>
        <v>1</v>
      </c>
      <c r="U687" s="6">
        <f t="shared" si="178"/>
        <v>142.90313091267711</v>
      </c>
      <c r="V687">
        <f>IF((R687-$AB$774)/($Z$773-$AB$774)&lt;0, 0, IF((R687-$AB$774)/($Z$773-$AB$774)&gt;1, 1, (R687-$AB$774)/($Z$773-$AB$774)))</f>
        <v>0.1416734823049085</v>
      </c>
      <c r="W687" s="6">
        <f t="shared" si="179"/>
        <v>20.245584188673185</v>
      </c>
      <c r="AK687" s="78">
        <v>45038.84375</v>
      </c>
      <c r="AL687" s="5">
        <v>4.3819127334795101E-2</v>
      </c>
      <c r="AM687" s="5">
        <v>68.924680609999996</v>
      </c>
      <c r="AN687" s="2">
        <v>20619</v>
      </c>
      <c r="AO687" s="7">
        <f t="shared" si="184"/>
        <v>343.65</v>
      </c>
      <c r="AP687" s="5">
        <f t="shared" si="180"/>
        <v>15.058443108602335</v>
      </c>
      <c r="AQ687" s="6">
        <f t="shared" si="181"/>
        <v>140.15625811227972</v>
      </c>
      <c r="AR687" s="2">
        <f t="shared" si="182"/>
        <v>-2.1301186875174403</v>
      </c>
      <c r="AS687" s="2">
        <f t="shared" si="183"/>
        <v>-298.54946457748485</v>
      </c>
    </row>
    <row r="688" spans="13:45" x14ac:dyDescent="0.3">
      <c r="M688" s="78">
        <v>45039.854166666664</v>
      </c>
      <c r="N688" s="5">
        <v>4.4710827037043703E-2</v>
      </c>
      <c r="O688" s="5">
        <v>77.875916610000004</v>
      </c>
      <c r="P688" s="2">
        <v>21176</v>
      </c>
      <c r="Q688" s="7">
        <f t="shared" si="174"/>
        <v>352.93333333333334</v>
      </c>
      <c r="R688" s="6">
        <f t="shared" si="175"/>
        <v>15.779941222273958</v>
      </c>
      <c r="S688" s="6">
        <f t="shared" si="176"/>
        <v>143.40549663521531</v>
      </c>
      <c r="T688" s="2">
        <f t="shared" si="177"/>
        <v>1</v>
      </c>
      <c r="U688" s="6">
        <f t="shared" si="178"/>
        <v>143.40549663521531</v>
      </c>
      <c r="V688">
        <f>IF((R688-$AB$774)/($Z$773-$AB$774)&lt;0, 0, IF((R688-$AB$774)/($Z$773-$AB$774)&gt;1, 1, (R688-$AB$774)/($Z$773-$AB$774)))</f>
        <v>0.16229898560687914</v>
      </c>
      <c r="W688" s="6">
        <f t="shared" si="179"/>
        <v>23.274566634346165</v>
      </c>
      <c r="AK688" s="78">
        <v>45038.854166666664</v>
      </c>
      <c r="AL688" s="5">
        <v>4.6576631841643901E-2</v>
      </c>
      <c r="AM688" s="5">
        <v>67.565551839999998</v>
      </c>
      <c r="AN688" s="2">
        <v>20132</v>
      </c>
      <c r="AO688" s="7">
        <f t="shared" si="184"/>
        <v>335.53333333333336</v>
      </c>
      <c r="AP688" s="5">
        <f t="shared" si="180"/>
        <v>15.628012537266251</v>
      </c>
      <c r="AQ688" s="6">
        <f t="shared" si="181"/>
        <v>142.72769742573354</v>
      </c>
      <c r="AR688" s="2">
        <f t="shared" si="182"/>
        <v>-2.1301186875174403</v>
      </c>
      <c r="AS688" s="2">
        <f t="shared" si="183"/>
        <v>-304.02693551288985</v>
      </c>
    </row>
    <row r="689" spans="13:45" x14ac:dyDescent="0.3">
      <c r="M689" s="78">
        <v>45039.864583333336</v>
      </c>
      <c r="N689" s="5">
        <v>4.3242197907493798E-2</v>
      </c>
      <c r="O689" s="5">
        <v>76.101800600000004</v>
      </c>
      <c r="P689" s="2">
        <v>20544</v>
      </c>
      <c r="Q689" s="7">
        <f t="shared" si="174"/>
        <v>342.4</v>
      </c>
      <c r="R689" s="6">
        <f t="shared" si="175"/>
        <v>14.806128563525876</v>
      </c>
      <c r="S689" s="6">
        <f t="shared" si="176"/>
        <v>139.00128116130131</v>
      </c>
      <c r="T689" s="2">
        <f t="shared" si="177"/>
        <v>1</v>
      </c>
      <c r="U689" s="6">
        <f t="shared" si="178"/>
        <v>139.00128116130131</v>
      </c>
      <c r="V689">
        <f>IF((R689-$AB$774)/($Z$773-$AB$774)&lt;0, 0, IF((R689-$AB$774)/($Z$773-$AB$774)&gt;1, 1, (R689-$AB$774)/($Z$773-$AB$774)))</f>
        <v>0</v>
      </c>
      <c r="W689" s="6">
        <f t="shared" si="179"/>
        <v>0</v>
      </c>
      <c r="AK689" s="78">
        <v>45038.864583333336</v>
      </c>
      <c r="AL689" s="5">
        <v>4.7013499292283302E-2</v>
      </c>
      <c r="AM689" s="5">
        <v>68.466857000000005</v>
      </c>
      <c r="AN689" s="2">
        <v>20228</v>
      </c>
      <c r="AO689" s="7">
        <f t="shared" si="184"/>
        <v>337.13333333333333</v>
      </c>
      <c r="AP689" s="5">
        <f t="shared" si="180"/>
        <v>15.849817728071777</v>
      </c>
      <c r="AQ689" s="6">
        <f t="shared" si="181"/>
        <v>143.71611835999929</v>
      </c>
      <c r="AR689" s="2">
        <f t="shared" si="182"/>
        <v>-2.1301186875174403</v>
      </c>
      <c r="AS689" s="2">
        <f t="shared" si="183"/>
        <v>-306.1323894161028</v>
      </c>
    </row>
    <row r="690" spans="13:45" x14ac:dyDescent="0.3">
      <c r="M690" s="78">
        <v>45039.875</v>
      </c>
      <c r="N690" s="5">
        <v>4.4657067957642203E-2</v>
      </c>
      <c r="O690" s="5">
        <v>76.101800600000004</v>
      </c>
      <c r="P690" s="2">
        <v>21002</v>
      </c>
      <c r="Q690" s="7">
        <f t="shared" si="174"/>
        <v>350.03333333333336</v>
      </c>
      <c r="R690" s="6">
        <f t="shared" si="175"/>
        <v>15.631462354106693</v>
      </c>
      <c r="S690" s="6">
        <f t="shared" si="176"/>
        <v>142.74312530358131</v>
      </c>
      <c r="T690" s="2">
        <f t="shared" si="177"/>
        <v>1</v>
      </c>
      <c r="U690" s="6">
        <f t="shared" si="178"/>
        <v>142.74312530358131</v>
      </c>
      <c r="V690">
        <f>IF((R690-$AB$774)/($Z$773-$AB$774)&lt;0, 0, IF((R690-$AB$774)/($Z$773-$AB$774)&gt;1, 1, (R690-$AB$774)/($Z$773-$AB$774)))</f>
        <v>0.13512000890145995</v>
      </c>
      <c r="W690" s="6">
        <f t="shared" si="179"/>
        <v>19.287452361642121</v>
      </c>
      <c r="AK690" s="78">
        <v>45038.875</v>
      </c>
      <c r="AL690" s="5">
        <v>4.5296965591354502E-2</v>
      </c>
      <c r="AM690" s="5">
        <v>71.17580074</v>
      </c>
      <c r="AN690" s="2">
        <v>20559</v>
      </c>
      <c r="AO690" s="7">
        <f t="shared" si="184"/>
        <v>342.65</v>
      </c>
      <c r="AP690" s="5">
        <f t="shared" si="180"/>
        <v>15.521005259877619</v>
      </c>
      <c r="AQ690" s="6">
        <f t="shared" si="181"/>
        <v>142.24828573441195</v>
      </c>
      <c r="AR690" s="2">
        <f t="shared" si="182"/>
        <v>-2.1301186875174403</v>
      </c>
      <c r="AS690" s="2">
        <f t="shared" si="183"/>
        <v>-303.00573171019141</v>
      </c>
    </row>
    <row r="691" spans="13:45" x14ac:dyDescent="0.3">
      <c r="M691" s="78">
        <v>45039.885416666664</v>
      </c>
      <c r="N691" s="5">
        <v>4.69247384340458E-2</v>
      </c>
      <c r="O691" s="5">
        <v>73.415890989999994</v>
      </c>
      <c r="P691" s="2">
        <v>20866</v>
      </c>
      <c r="Q691" s="7">
        <f t="shared" si="174"/>
        <v>347.76666666666665</v>
      </c>
      <c r="R691" s="6">
        <f t="shared" si="175"/>
        <v>16.318859869413327</v>
      </c>
      <c r="S691" s="6">
        <f t="shared" si="176"/>
        <v>145.78330582131306</v>
      </c>
      <c r="T691" s="2">
        <f t="shared" si="177"/>
        <v>1</v>
      </c>
      <c r="U691" s="6">
        <f t="shared" si="178"/>
        <v>145.78330582131306</v>
      </c>
      <c r="V691">
        <f>IF((R691-$AB$774)/($Z$773-$AB$774)&lt;0, 0, IF((R691-$AB$774)/($Z$773-$AB$774)&gt;1, 1, (R691-$AB$774)/($Z$773-$AB$774)))</f>
        <v>0.26094775318918872</v>
      </c>
      <c r="W691" s="6">
        <f t="shared" si="179"/>
        <v>38.041826106564024</v>
      </c>
      <c r="AK691" s="78">
        <v>45038.885416666664</v>
      </c>
      <c r="AL691" s="5">
        <v>4.5125994354690099E-2</v>
      </c>
      <c r="AM691" s="5">
        <v>72.077340390000003</v>
      </c>
      <c r="AN691" s="2">
        <v>20399</v>
      </c>
      <c r="AO691" s="7">
        <f t="shared" si="184"/>
        <v>339.98333333333335</v>
      </c>
      <c r="AP691" s="5">
        <f t="shared" si="180"/>
        <v>15.342085980688722</v>
      </c>
      <c r="AQ691" s="6">
        <f t="shared" si="181"/>
        <v>141.44291215044419</v>
      </c>
      <c r="AR691" s="2">
        <f t="shared" si="182"/>
        <v>-2.1301186875174403</v>
      </c>
      <c r="AS691" s="2">
        <f t="shared" si="183"/>
        <v>-301.29019038854875</v>
      </c>
    </row>
    <row r="692" spans="13:45" x14ac:dyDescent="0.3">
      <c r="M692" s="78">
        <v>45039.895833333336</v>
      </c>
      <c r="N692" s="5">
        <v>4.5869043099457003E-2</v>
      </c>
      <c r="O692" s="5">
        <v>74.312865549999998</v>
      </c>
      <c r="P692" s="2">
        <v>20794</v>
      </c>
      <c r="Q692" s="7">
        <f t="shared" si="174"/>
        <v>346.56666666666666</v>
      </c>
      <c r="R692" s="6">
        <f t="shared" si="175"/>
        <v>15.896681370168482</v>
      </c>
      <c r="S692" s="6">
        <f t="shared" si="176"/>
        <v>143.92404975903619</v>
      </c>
      <c r="T692" s="2">
        <f t="shared" si="177"/>
        <v>1</v>
      </c>
      <c r="U692" s="6">
        <f t="shared" si="178"/>
        <v>143.92404975903619</v>
      </c>
      <c r="V692">
        <f>IF((R692-$AB$774)/($Z$773-$AB$774)&lt;0, 0, IF((R692-$AB$774)/($Z$773-$AB$774)&gt;1, 1, (R692-$AB$774)/($Z$773-$AB$774)))</f>
        <v>0.18366820669117589</v>
      </c>
      <c r="W692" s="6">
        <f t="shared" si="179"/>
        <v>26.434272118973745</v>
      </c>
      <c r="AK692" s="78">
        <v>45038.895833333336</v>
      </c>
      <c r="AL692" s="5">
        <v>4.49685132255494E-2</v>
      </c>
      <c r="AM692" s="5">
        <v>73.415890989999994</v>
      </c>
      <c r="AN692" s="2">
        <v>20252</v>
      </c>
      <c r="AO692" s="7">
        <f t="shared" si="184"/>
        <v>337.53333333333336</v>
      </c>
      <c r="AP692" s="5">
        <f t="shared" si="180"/>
        <v>15.178372164063775</v>
      </c>
      <c r="AQ692" s="6">
        <f t="shared" si="181"/>
        <v>140.70177355555217</v>
      </c>
      <c r="AR692" s="2">
        <f t="shared" si="182"/>
        <v>-2.1301186875174403</v>
      </c>
      <c r="AS692" s="2">
        <f t="shared" si="183"/>
        <v>-299.71147721752885</v>
      </c>
    </row>
    <row r="693" spans="13:45" x14ac:dyDescent="0.3">
      <c r="M693" s="78">
        <v>45039.90625</v>
      </c>
      <c r="N693" s="5">
        <v>4.1799342411317497E-2</v>
      </c>
      <c r="O693" s="5">
        <v>79.641055789999996</v>
      </c>
      <c r="P693" s="2">
        <v>21097</v>
      </c>
      <c r="Q693" s="7">
        <f t="shared" si="174"/>
        <v>351.61666666666667</v>
      </c>
      <c r="R693" s="6">
        <f t="shared" si="175"/>
        <v>14.697345447526088</v>
      </c>
      <c r="S693" s="6">
        <f t="shared" si="176"/>
        <v>138.50022629474645</v>
      </c>
      <c r="T693" s="2">
        <f t="shared" si="177"/>
        <v>1</v>
      </c>
      <c r="U693" s="6">
        <f t="shared" si="178"/>
        <v>138.50022629474645</v>
      </c>
      <c r="V693">
        <f>IF((R693-$AB$774)/($Z$773-$AB$774)&lt;0, 0, IF((R693-$AB$774)/($Z$773-$AB$774)&gt;1, 1, (R693-$AB$774)/($Z$773-$AB$774)))</f>
        <v>0</v>
      </c>
      <c r="W693" s="6">
        <f t="shared" si="179"/>
        <v>0</v>
      </c>
      <c r="AK693" s="78">
        <v>45038.90625</v>
      </c>
      <c r="AL693" s="5">
        <v>4.5940503766539402E-2</v>
      </c>
      <c r="AM693" s="5">
        <v>71.17580074</v>
      </c>
      <c r="AN693" s="2">
        <v>20433</v>
      </c>
      <c r="AO693" s="7">
        <f t="shared" si="184"/>
        <v>340.55</v>
      </c>
      <c r="AP693" s="5">
        <f t="shared" si="180"/>
        <v>15.645038557694994</v>
      </c>
      <c r="AQ693" s="6">
        <f t="shared" si="181"/>
        <v>142.80382238782104</v>
      </c>
      <c r="AR693" s="2">
        <f t="shared" si="182"/>
        <v>-2.1301186875174403</v>
      </c>
      <c r="AS693" s="2">
        <f t="shared" si="183"/>
        <v>-304.18909071721902</v>
      </c>
    </row>
    <row r="694" spans="13:45" x14ac:dyDescent="0.3">
      <c r="M694" s="78">
        <v>45039.916666666664</v>
      </c>
      <c r="N694" s="5">
        <v>4.0897207397816202E-2</v>
      </c>
      <c r="O694" s="5">
        <v>77.875916610000004</v>
      </c>
      <c r="P694" s="2">
        <v>21510</v>
      </c>
      <c r="Q694" s="7">
        <f t="shared" si="174"/>
        <v>358.5</v>
      </c>
      <c r="R694" s="6">
        <f t="shared" si="175"/>
        <v>14.661648852117109</v>
      </c>
      <c r="S694" s="6">
        <f t="shared" si="176"/>
        <v>138.33539568641334</v>
      </c>
      <c r="T694" s="2">
        <f t="shared" si="177"/>
        <v>1</v>
      </c>
      <c r="U694" s="6">
        <f t="shared" si="178"/>
        <v>138.33539568641334</v>
      </c>
      <c r="V694">
        <f>IF((R694-$AB$774)/($Z$773-$AB$774)&lt;0, 0, IF((R694-$AB$774)/($Z$773-$AB$774)&gt;1, 1, (R694-$AB$774)/($Z$773-$AB$774)))</f>
        <v>0</v>
      </c>
      <c r="W694" s="6">
        <f t="shared" si="179"/>
        <v>0</v>
      </c>
      <c r="AK694" s="78">
        <v>45038.916666666664</v>
      </c>
      <c r="AL694" s="5">
        <v>4.7200486447597903E-2</v>
      </c>
      <c r="AM694" s="5">
        <v>72.523974480000007</v>
      </c>
      <c r="AN694" s="2">
        <v>20183</v>
      </c>
      <c r="AO694" s="7">
        <f t="shared" si="184"/>
        <v>336.38333333333333</v>
      </c>
      <c r="AP694" s="5">
        <f t="shared" si="180"/>
        <v>15.877456966197808</v>
      </c>
      <c r="AQ694" s="6">
        <f t="shared" si="181"/>
        <v>143.83879002827649</v>
      </c>
      <c r="AR694" s="2">
        <f t="shared" si="182"/>
        <v>-2.1301186875174403</v>
      </c>
      <c r="AS694" s="2">
        <f t="shared" si="183"/>
        <v>-306.39369462912902</v>
      </c>
    </row>
    <row r="695" spans="13:45" x14ac:dyDescent="0.3">
      <c r="M695" s="78">
        <v>45039.927083333336</v>
      </c>
      <c r="N695" s="5">
        <v>4.3715688404430103E-2</v>
      </c>
      <c r="O695" s="5">
        <v>77.875916610000004</v>
      </c>
      <c r="P695" s="2">
        <v>21654</v>
      </c>
      <c r="Q695" s="7">
        <f t="shared" si="174"/>
        <v>360.9</v>
      </c>
      <c r="R695" s="6">
        <f t="shared" si="175"/>
        <v>15.776991945158823</v>
      </c>
      <c r="S695" s="6">
        <f t="shared" si="176"/>
        <v>143.39237080405533</v>
      </c>
      <c r="T695" s="2">
        <f t="shared" si="177"/>
        <v>1</v>
      </c>
      <c r="U695" s="6">
        <f t="shared" si="178"/>
        <v>143.39237080405533</v>
      </c>
      <c r="V695">
        <f>IF((R695-$AB$774)/($Z$773-$AB$774)&lt;0, 0, IF((R695-$AB$774)/($Z$773-$AB$774)&gt;1, 1, (R695-$AB$774)/($Z$773-$AB$774)))</f>
        <v>0.16175912202225246</v>
      </c>
      <c r="W695" s="6">
        <f t="shared" si="179"/>
        <v>23.195024005953258</v>
      </c>
      <c r="AK695" s="78">
        <v>45038.927083333336</v>
      </c>
      <c r="AL695" s="5">
        <v>4.46227299113078E-2</v>
      </c>
      <c r="AM695" s="5">
        <v>69.822823</v>
      </c>
      <c r="AN695" s="2">
        <v>20410</v>
      </c>
      <c r="AO695" s="7">
        <f t="shared" si="184"/>
        <v>340.16666666666669</v>
      </c>
      <c r="AP695" s="5">
        <f t="shared" si="180"/>
        <v>15.179165291496538</v>
      </c>
      <c r="AQ695" s="6">
        <f t="shared" si="181"/>
        <v>140.70537388016936</v>
      </c>
      <c r="AR695" s="2">
        <f t="shared" si="182"/>
        <v>-2.1301186875174403</v>
      </c>
      <c r="AS695" s="2">
        <f t="shared" si="183"/>
        <v>-299.71914633627711</v>
      </c>
    </row>
    <row r="696" spans="13:45" x14ac:dyDescent="0.3">
      <c r="M696" s="78">
        <v>45039.9375</v>
      </c>
      <c r="N696" s="5">
        <v>4.42067366937526E-2</v>
      </c>
      <c r="O696" s="5">
        <v>72.077340390000003</v>
      </c>
      <c r="P696" s="2">
        <v>21680</v>
      </c>
      <c r="Q696" s="7">
        <f t="shared" si="174"/>
        <v>361.33333333333331</v>
      </c>
      <c r="R696" s="6">
        <f t="shared" si="175"/>
        <v>15.973367525342605</v>
      </c>
      <c r="S696" s="6">
        <f t="shared" si="176"/>
        <v>144.26362841376942</v>
      </c>
      <c r="T696" s="2">
        <f t="shared" si="177"/>
        <v>1</v>
      </c>
      <c r="U696" s="6">
        <f t="shared" si="178"/>
        <v>144.26362841376942</v>
      </c>
      <c r="V696">
        <f>IF((R696-$AB$774)/($Z$773-$AB$774)&lt;0, 0, IF((R696-$AB$774)/($Z$773-$AB$774)&gt;1, 1, (R696-$AB$774)/($Z$773-$AB$774)))</f>
        <v>0.19770556601935779</v>
      </c>
      <c r="W696" s="6">
        <f t="shared" si="179"/>
        <v>28.52172231155059</v>
      </c>
      <c r="AK696" s="78">
        <v>45038.9375</v>
      </c>
      <c r="AL696" s="5">
        <v>4.2405167489617597E-2</v>
      </c>
      <c r="AM696" s="5">
        <v>69.822823</v>
      </c>
      <c r="AN696" s="2">
        <v>20838</v>
      </c>
      <c r="AO696" s="7">
        <f t="shared" si="184"/>
        <v>347.3</v>
      </c>
      <c r="AP696" s="5">
        <f t="shared" si="180"/>
        <v>14.727314669144192</v>
      </c>
      <c r="AQ696" s="6">
        <f t="shared" si="181"/>
        <v>138.6384528130987</v>
      </c>
      <c r="AR696" s="2">
        <f t="shared" si="182"/>
        <v>-2.1301186875174403</v>
      </c>
      <c r="AS696" s="2">
        <f t="shared" si="183"/>
        <v>-295.31635914568636</v>
      </c>
    </row>
    <row r="697" spans="13:45" x14ac:dyDescent="0.3">
      <c r="M697" s="78">
        <v>45039.947916666664</v>
      </c>
      <c r="N697" s="5">
        <v>4.4141256748980201E-2</v>
      </c>
      <c r="O697" s="5">
        <v>74.764849499999997</v>
      </c>
      <c r="P697" s="2">
        <v>20677</v>
      </c>
      <c r="Q697" s="7">
        <f t="shared" si="174"/>
        <v>344.61666666666667</v>
      </c>
      <c r="R697" s="6">
        <f t="shared" si="175"/>
        <v>15.211812763311061</v>
      </c>
      <c r="S697" s="6">
        <f t="shared" si="176"/>
        <v>140.85349067815875</v>
      </c>
      <c r="T697" s="2">
        <f t="shared" si="177"/>
        <v>1</v>
      </c>
      <c r="U697" s="6">
        <f t="shared" si="178"/>
        <v>140.85349067815875</v>
      </c>
      <c r="V697">
        <f>IF((R697-$AB$774)/($Z$773-$AB$774)&lt;0, 0, IF((R697-$AB$774)/($Z$773-$AB$774)&gt;1, 1, (R697-$AB$774)/($Z$773-$AB$774)))</f>
        <v>5.8303377730588891E-2</v>
      </c>
      <c r="W697" s="6">
        <f t="shared" si="179"/>
        <v>8.2122342716806713</v>
      </c>
      <c r="AK697" s="78">
        <v>45038.947916666664</v>
      </c>
      <c r="AL697" s="5">
        <v>4.3916010308128098E-2</v>
      </c>
      <c r="AM697" s="5">
        <v>74.764849499999997</v>
      </c>
      <c r="AN697" s="2">
        <v>21111</v>
      </c>
      <c r="AO697" s="7">
        <f t="shared" si="184"/>
        <v>351.85</v>
      </c>
      <c r="AP697" s="5">
        <f t="shared" si="180"/>
        <v>15.451848226914873</v>
      </c>
      <c r="AQ697" s="6">
        <f t="shared" si="181"/>
        <v>141.93755213304084</v>
      </c>
      <c r="AR697" s="2">
        <f t="shared" si="182"/>
        <v>-2.1301186875174403</v>
      </c>
      <c r="AS697" s="2">
        <f t="shared" si="183"/>
        <v>-302.34383225907123</v>
      </c>
    </row>
    <row r="698" spans="13:45" x14ac:dyDescent="0.3">
      <c r="M698" s="78">
        <v>45039.958333333336</v>
      </c>
      <c r="N698" s="5">
        <v>4.1939949104559199E-2</v>
      </c>
      <c r="O698" s="5">
        <v>69.822823</v>
      </c>
      <c r="P698" s="2">
        <v>21413</v>
      </c>
      <c r="Q698" s="7">
        <f t="shared" si="174"/>
        <v>356.88333333333333</v>
      </c>
      <c r="R698" s="6">
        <f t="shared" si="175"/>
        <v>14.967668836265435</v>
      </c>
      <c r="S698" s="6">
        <f t="shared" si="176"/>
        <v>139.74188191638135</v>
      </c>
      <c r="T698" s="2">
        <f t="shared" si="177"/>
        <v>1</v>
      </c>
      <c r="U698" s="6">
        <f t="shared" si="178"/>
        <v>139.74188191638135</v>
      </c>
      <c r="V698">
        <f>IF((R698-$AB$774)/($Z$773-$AB$774)&lt;0, 0, IF((R698-$AB$774)/($Z$773-$AB$774)&gt;1, 1, (R698-$AB$774)/($Z$773-$AB$774)))</f>
        <v>1.3612963614100162E-2</v>
      </c>
      <c r="W698" s="6">
        <f t="shared" si="179"/>
        <v>1.9023011538935806</v>
      </c>
      <c r="AK698" s="78">
        <v>45038.958333333336</v>
      </c>
      <c r="AL698" s="5">
        <v>4.4733670157882502E-2</v>
      </c>
      <c r="AM698" s="5">
        <v>73.423571839999994</v>
      </c>
      <c r="AN698" s="2">
        <v>20225</v>
      </c>
      <c r="AO698" s="7">
        <f t="shared" si="184"/>
        <v>337.08333333333331</v>
      </c>
      <c r="AP698" s="5">
        <f t="shared" si="180"/>
        <v>15.078974649052892</v>
      </c>
      <c r="AQ698" s="6">
        <f t="shared" si="181"/>
        <v>140.2498057991173</v>
      </c>
      <c r="AR698" s="2">
        <f t="shared" si="182"/>
        <v>-2.1301186875174403</v>
      </c>
      <c r="AS698" s="2">
        <f t="shared" si="183"/>
        <v>-298.74873225339161</v>
      </c>
    </row>
    <row r="699" spans="13:45" x14ac:dyDescent="0.3">
      <c r="M699" s="78">
        <v>45039.96875</v>
      </c>
      <c r="N699" s="5">
        <v>4.2631723422952301E-2</v>
      </c>
      <c r="O699" s="5">
        <v>74.764849499999997</v>
      </c>
      <c r="P699" s="2">
        <v>21045</v>
      </c>
      <c r="Q699" s="7">
        <f t="shared" si="174"/>
        <v>350.75</v>
      </c>
      <c r="R699" s="6">
        <f t="shared" si="175"/>
        <v>14.95307699060052</v>
      </c>
      <c r="S699" s="6">
        <f t="shared" si="176"/>
        <v>139.67515196306647</v>
      </c>
      <c r="T699" s="2">
        <f t="shared" si="177"/>
        <v>1</v>
      </c>
      <c r="U699" s="6">
        <f t="shared" si="178"/>
        <v>139.67515196306647</v>
      </c>
      <c r="V699">
        <f>IF((R699-$AB$774)/($Z$773-$AB$774)&lt;0, 0, IF((R699-$AB$774)/($Z$773-$AB$774)&gt;1, 1, (R699-$AB$774)/($Z$773-$AB$774)))</f>
        <v>1.0941934138248873E-2</v>
      </c>
      <c r="W699" s="6">
        <f t="shared" si="179"/>
        <v>1.5283163135297761</v>
      </c>
      <c r="AK699" s="78">
        <v>45038.96875</v>
      </c>
      <c r="AL699" s="5">
        <v>4.2285115632069499E-2</v>
      </c>
      <c r="AM699" s="5">
        <v>70.727821939999998</v>
      </c>
      <c r="AN699" s="2">
        <v>21146</v>
      </c>
      <c r="AO699" s="7">
        <f t="shared" si="184"/>
        <v>352.43333333333334</v>
      </c>
      <c r="AP699" s="5">
        <f t="shared" si="180"/>
        <v>14.902684252595694</v>
      </c>
      <c r="AQ699" s="6">
        <f t="shared" si="181"/>
        <v>139.44444507899945</v>
      </c>
      <c r="AR699" s="2">
        <f t="shared" si="182"/>
        <v>-2.1301186875174403</v>
      </c>
      <c r="AS699" s="2">
        <f t="shared" si="183"/>
        <v>-297.03321833327607</v>
      </c>
    </row>
    <row r="700" spans="13:45" x14ac:dyDescent="0.3">
      <c r="M700" s="78">
        <v>45039.979166666664</v>
      </c>
      <c r="N700" s="5">
        <v>4.2433082091957397E-2</v>
      </c>
      <c r="O700" s="5">
        <v>74.764849499999997</v>
      </c>
      <c r="P700" s="2">
        <v>21336</v>
      </c>
      <c r="Q700" s="7">
        <f t="shared" si="174"/>
        <v>355.6</v>
      </c>
      <c r="R700" s="6">
        <f t="shared" si="175"/>
        <v>15.089203991900051</v>
      </c>
      <c r="S700" s="6">
        <f t="shared" si="176"/>
        <v>140.29638940935703</v>
      </c>
      <c r="T700" s="2">
        <f t="shared" si="177"/>
        <v>1</v>
      </c>
      <c r="U700" s="6">
        <f t="shared" si="178"/>
        <v>140.29638940935703</v>
      </c>
      <c r="V700">
        <f>IF((R700-$AB$774)/($Z$773-$AB$774)&lt;0, 0, IF((R700-$AB$774)/($Z$773-$AB$774)&gt;1, 1, (R700-$AB$774)/($Z$773-$AB$774)))</f>
        <v>3.585990827804781E-2</v>
      </c>
      <c r="W700" s="6">
        <f t="shared" si="179"/>
        <v>5.0310156559608217</v>
      </c>
      <c r="AK700" s="78">
        <v>45038.979166666664</v>
      </c>
      <c r="AL700" s="5">
        <v>4.2051391832602203E-2</v>
      </c>
      <c r="AM700" s="5">
        <v>71.17580074</v>
      </c>
      <c r="AN700" s="2">
        <v>20478</v>
      </c>
      <c r="AO700" s="7">
        <f t="shared" si="184"/>
        <v>341.3</v>
      </c>
      <c r="AP700" s="5">
        <f t="shared" si="180"/>
        <v>14.352140032467132</v>
      </c>
      <c r="AQ700" s="6">
        <f t="shared" si="181"/>
        <v>136.89755214158714</v>
      </c>
      <c r="AR700" s="2">
        <f t="shared" si="182"/>
        <v>-2.1301186875174403</v>
      </c>
      <c r="AS700" s="2">
        <f t="shared" si="183"/>
        <v>-291.60803409218795</v>
      </c>
    </row>
    <row r="701" spans="13:45" x14ac:dyDescent="0.3">
      <c r="M701" s="78">
        <v>45039.989583333336</v>
      </c>
      <c r="N701" s="5">
        <v>4.4527561786609798E-2</v>
      </c>
      <c r="O701" s="5">
        <v>69.822823</v>
      </c>
      <c r="P701" s="2">
        <v>21866</v>
      </c>
      <c r="Q701" s="7">
        <f t="shared" si="174"/>
        <v>364.43333333333334</v>
      </c>
      <c r="R701" s="6">
        <f t="shared" si="175"/>
        <v>16.227327767100164</v>
      </c>
      <c r="S701" s="6">
        <f t="shared" si="176"/>
        <v>145.38230582478187</v>
      </c>
      <c r="T701" s="2">
        <f t="shared" si="177"/>
        <v>1</v>
      </c>
      <c r="U701" s="6">
        <f t="shared" si="178"/>
        <v>145.38230582478187</v>
      </c>
      <c r="V701">
        <f>IF((R701-$AB$774)/($Z$773-$AB$774)&lt;0, 0, IF((R701-$AB$774)/($Z$773-$AB$774)&gt;1, 1, (R701-$AB$774)/($Z$773-$AB$774)))</f>
        <v>0.2441928512474188</v>
      </c>
      <c r="W701" s="6">
        <f t="shared" si="179"/>
        <v>35.501319780277704</v>
      </c>
      <c r="AK701" s="78">
        <v>45038.989583333336</v>
      </c>
      <c r="AL701" s="5">
        <v>4.2627848215050002E-2</v>
      </c>
      <c r="AM701" s="5">
        <v>72.523974480000007</v>
      </c>
      <c r="AN701" s="2">
        <v>20331</v>
      </c>
      <c r="AO701" s="7">
        <f t="shared" si="184"/>
        <v>338.85</v>
      </c>
      <c r="AP701" s="5">
        <f t="shared" si="180"/>
        <v>14.444446367669695</v>
      </c>
      <c r="AQ701" s="6">
        <f t="shared" si="181"/>
        <v>137.32800903654393</v>
      </c>
      <c r="AR701" s="2">
        <f t="shared" si="182"/>
        <v>-2.1301186875174403</v>
      </c>
      <c r="AS701" s="2">
        <f t="shared" si="183"/>
        <v>-292.52495836830616</v>
      </c>
    </row>
    <row r="702" spans="13:45" x14ac:dyDescent="0.3">
      <c r="M702" s="78">
        <v>45040</v>
      </c>
      <c r="N702" s="5">
        <v>4.1953410838554403E-2</v>
      </c>
      <c r="O702" s="5">
        <v>75.659696060000002</v>
      </c>
      <c r="P702" s="2">
        <v>21534</v>
      </c>
      <c r="Q702" s="7">
        <f t="shared" si="174"/>
        <v>358.9</v>
      </c>
      <c r="R702" s="6">
        <f t="shared" si="175"/>
        <v>15.057079149957174</v>
      </c>
      <c r="S702" s="6">
        <f t="shared" si="176"/>
        <v>140.15004121393883</v>
      </c>
      <c r="T702" s="2">
        <f t="shared" si="177"/>
        <v>1</v>
      </c>
      <c r="U702" s="6">
        <f t="shared" si="178"/>
        <v>140.15004121393883</v>
      </c>
      <c r="V702">
        <f>IF((R702-$AB$774)/($Z$773-$AB$774)&lt;0, 0, IF((R702-$AB$774)/($Z$773-$AB$774)&gt;1, 1, (R702-$AB$774)/($Z$773-$AB$774)))</f>
        <v>2.9979473293541097E-2</v>
      </c>
      <c r="W702" s="6">
        <f t="shared" si="179"/>
        <v>4.2016244176619635</v>
      </c>
      <c r="AK702" s="78">
        <v>45039</v>
      </c>
      <c r="AL702" s="5">
        <v>4.3294691201115697E-2</v>
      </c>
      <c r="AM702" s="5">
        <v>69.822823</v>
      </c>
      <c r="AN702" s="2">
        <v>21779</v>
      </c>
      <c r="AO702" s="7">
        <f t="shared" si="184"/>
        <v>362.98333333333335</v>
      </c>
      <c r="AP702" s="5">
        <f t="shared" si="180"/>
        <v>15.715251327818313</v>
      </c>
      <c r="AQ702" s="6">
        <f t="shared" si="181"/>
        <v>143.1173046281807</v>
      </c>
      <c r="AR702" s="2">
        <f t="shared" si="182"/>
        <v>-2.1301186875174403</v>
      </c>
      <c r="AS702" s="2">
        <f t="shared" si="183"/>
        <v>-304.85684509561395</v>
      </c>
    </row>
    <row r="703" spans="13:45" x14ac:dyDescent="0.3">
      <c r="M703" s="78">
        <v>45040.010416666664</v>
      </c>
      <c r="N703" s="5">
        <v>3.9873062554470498E-2</v>
      </c>
      <c r="O703" s="5">
        <v>75.659696060000002</v>
      </c>
      <c r="P703" s="2">
        <v>22416</v>
      </c>
      <c r="Q703" s="7">
        <f t="shared" si="174"/>
        <v>373.6</v>
      </c>
      <c r="R703" s="6">
        <f t="shared" si="175"/>
        <v>14.89657617035018</v>
      </c>
      <c r="S703" s="6">
        <f t="shared" si="176"/>
        <v>139.41645416223901</v>
      </c>
      <c r="T703" s="2">
        <f t="shared" si="177"/>
        <v>1</v>
      </c>
      <c r="U703" s="6">
        <f t="shared" si="178"/>
        <v>139.41645416223901</v>
      </c>
      <c r="V703">
        <f>IF((R703-$AB$774)/($Z$773-$AB$774)&lt;0, 0, IF((R703-$AB$774)/($Z$773-$AB$774)&gt;1, 1, (R703-$AB$774)/($Z$773-$AB$774)))</f>
        <v>5.9948947675572358E-4</v>
      </c>
      <c r="W703" s="6">
        <f t="shared" si="179"/>
        <v>8.3578697156858978E-2</v>
      </c>
      <c r="AK703" s="78">
        <v>45039.010416666664</v>
      </c>
      <c r="AL703" s="5">
        <v>4.1193086610595502E-2</v>
      </c>
      <c r="AM703" s="5">
        <v>67.557775419999999</v>
      </c>
      <c r="AN703" s="2">
        <v>21514</v>
      </c>
      <c r="AO703" s="7">
        <f t="shared" si="184"/>
        <v>358.56666666666666</v>
      </c>
      <c r="AP703" s="5">
        <f t="shared" si="180"/>
        <v>14.770467755672527</v>
      </c>
      <c r="AQ703" s="6">
        <f t="shared" si="181"/>
        <v>138.8372351411374</v>
      </c>
      <c r="AR703" s="2">
        <f t="shared" si="182"/>
        <v>-2.1301186875174403</v>
      </c>
      <c r="AS703" s="2">
        <f t="shared" si="183"/>
        <v>-295.7397890973898</v>
      </c>
    </row>
    <row r="704" spans="13:45" x14ac:dyDescent="0.3">
      <c r="M704" s="78">
        <v>45040.020833333336</v>
      </c>
      <c r="N704" s="5">
        <v>3.91391560371196E-2</v>
      </c>
      <c r="O704" s="5">
        <v>76.993676070000006</v>
      </c>
      <c r="P704" s="2">
        <v>22953</v>
      </c>
      <c r="Q704" s="7">
        <f t="shared" si="174"/>
        <v>382.55</v>
      </c>
      <c r="R704" s="6">
        <f t="shared" si="175"/>
        <v>14.972684142000103</v>
      </c>
      <c r="S704" s="6">
        <f t="shared" si="176"/>
        <v>139.7648097390279</v>
      </c>
      <c r="T704" s="2">
        <f t="shared" si="177"/>
        <v>1</v>
      </c>
      <c r="U704" s="6">
        <f t="shared" si="178"/>
        <v>139.7648097390279</v>
      </c>
      <c r="V704">
        <f>IF((R704-$AB$774)/($Z$773-$AB$774)&lt;0, 0, IF((R704-$AB$774)/($Z$773-$AB$774)&gt;1, 1, (R704-$AB$774)/($Z$773-$AB$774)))</f>
        <v>1.4531012622795055E-2</v>
      </c>
      <c r="W704" s="6">
        <f t="shared" si="179"/>
        <v>2.0309242145403634</v>
      </c>
      <c r="AK704" s="78">
        <v>45039.020833333336</v>
      </c>
      <c r="AL704" s="5">
        <v>4.2212522637713697E-2</v>
      </c>
      <c r="AM704" s="5">
        <v>72.069636250000002</v>
      </c>
      <c r="AN704" s="2">
        <v>20702</v>
      </c>
      <c r="AO704" s="7">
        <f t="shared" si="184"/>
        <v>345.03333333333336</v>
      </c>
      <c r="AP704" s="5">
        <f t="shared" si="180"/>
        <v>14.564727394099151</v>
      </c>
      <c r="AQ704" s="6">
        <f t="shared" si="181"/>
        <v>137.88682086997744</v>
      </c>
      <c r="AR704" s="2">
        <f t="shared" si="182"/>
        <v>-2.1301186875174403</v>
      </c>
      <c r="AS704" s="2">
        <f t="shared" si="183"/>
        <v>-293.71529389750873</v>
      </c>
    </row>
    <row r="705" spans="13:45" x14ac:dyDescent="0.3">
      <c r="M705" s="78">
        <v>45040.03125</v>
      </c>
      <c r="N705" s="5">
        <v>3.9797140275100999E-2</v>
      </c>
      <c r="O705" s="5">
        <v>72.077340390000003</v>
      </c>
      <c r="P705" s="2">
        <v>22696</v>
      </c>
      <c r="Q705" s="7">
        <f t="shared" si="174"/>
        <v>378.26666666666665</v>
      </c>
      <c r="R705" s="6">
        <f t="shared" si="175"/>
        <v>15.053931594728205</v>
      </c>
      <c r="S705" s="6">
        <f t="shared" si="176"/>
        <v>140.13569361839495</v>
      </c>
      <c r="T705" s="2">
        <f t="shared" si="177"/>
        <v>1</v>
      </c>
      <c r="U705" s="6">
        <f t="shared" si="178"/>
        <v>140.13569361839495</v>
      </c>
      <c r="V705">
        <f>IF((R705-$AB$774)/($Z$773-$AB$774)&lt;0, 0, IF((R705-$AB$774)/($Z$773-$AB$774)&gt;1, 1, (R705-$AB$774)/($Z$773-$AB$774)))</f>
        <v>2.9403315007159276E-2</v>
      </c>
      <c r="W705" s="6">
        <f t="shared" si="179"/>
        <v>4.1204539432084264</v>
      </c>
      <c r="AK705" s="78">
        <v>45039.03125</v>
      </c>
      <c r="AL705" s="5">
        <v>4.4882206662449298E-2</v>
      </c>
      <c r="AM705" s="5">
        <v>71.17580074</v>
      </c>
      <c r="AN705" s="2">
        <v>20783</v>
      </c>
      <c r="AO705" s="7">
        <f t="shared" si="184"/>
        <v>346.38333333333333</v>
      </c>
      <c r="AP705" s="5">
        <f t="shared" si="180"/>
        <v>15.546448351094728</v>
      </c>
      <c r="AQ705" s="6">
        <f t="shared" si="181"/>
        <v>142.36242777654184</v>
      </c>
      <c r="AR705" s="2">
        <f t="shared" si="182"/>
        <v>-2.1301186875174403</v>
      </c>
      <c r="AS705" s="2">
        <f t="shared" si="183"/>
        <v>-303.24886780716366</v>
      </c>
    </row>
    <row r="706" spans="13:45" x14ac:dyDescent="0.3">
      <c r="M706" s="78">
        <v>45040.041666666664</v>
      </c>
      <c r="N706" s="5">
        <v>4.03372779369673E-2</v>
      </c>
      <c r="O706" s="5">
        <v>72.523974480000007</v>
      </c>
      <c r="P706" s="2">
        <v>22646</v>
      </c>
      <c r="Q706" s="7">
        <f t="shared" si="174"/>
        <v>377.43333333333334</v>
      </c>
      <c r="R706" s="6">
        <f t="shared" si="175"/>
        <v>15.224633269342691</v>
      </c>
      <c r="S706" s="6">
        <f t="shared" si="176"/>
        <v>140.91161107262477</v>
      </c>
      <c r="T706" s="2">
        <f t="shared" si="177"/>
        <v>1</v>
      </c>
      <c r="U706" s="6">
        <f t="shared" si="178"/>
        <v>140.91161107262477</v>
      </c>
      <c r="V706">
        <f>IF((R706-$AB$774)/($Z$773-$AB$774)&lt;0, 0, IF((R706-$AB$774)/($Z$773-$AB$774)&gt;1, 1, (R706-$AB$774)/($Z$773-$AB$774)))</f>
        <v>6.0650164442303547E-2</v>
      </c>
      <c r="W706" s="6">
        <f t="shared" si="179"/>
        <v>8.5463123833846133</v>
      </c>
      <c r="AK706" s="78">
        <v>45039.041666666664</v>
      </c>
      <c r="AL706" s="5">
        <v>4.04559086187345E-2</v>
      </c>
      <c r="AM706" s="5">
        <v>68.916923760000003</v>
      </c>
      <c r="AN706" s="2">
        <v>21201</v>
      </c>
      <c r="AO706" s="7">
        <f t="shared" si="184"/>
        <v>353.35</v>
      </c>
      <c r="AP706" s="5">
        <f t="shared" si="180"/>
        <v>14.295095310429836</v>
      </c>
      <c r="AQ706" s="6">
        <f t="shared" si="181"/>
        <v>136.63082593829455</v>
      </c>
      <c r="AR706" s="2">
        <f t="shared" si="182"/>
        <v>-2.1301186875174403</v>
      </c>
      <c r="AS706" s="2">
        <f t="shared" si="183"/>
        <v>-291.03987562210381</v>
      </c>
    </row>
    <row r="707" spans="13:45" x14ac:dyDescent="0.3">
      <c r="M707" s="78">
        <v>45040.052083333336</v>
      </c>
      <c r="N707" s="5">
        <v>3.9572280194794598E-2</v>
      </c>
      <c r="O707" s="5">
        <v>78.323104580000006</v>
      </c>
      <c r="P707" s="2">
        <v>23104</v>
      </c>
      <c r="Q707" s="7">
        <f t="shared" si="174"/>
        <v>385.06666666666666</v>
      </c>
      <c r="R707" s="6">
        <f t="shared" si="175"/>
        <v>15.237966027008907</v>
      </c>
      <c r="S707" s="6">
        <f t="shared" si="176"/>
        <v>140.97202721908928</v>
      </c>
      <c r="T707" s="2">
        <f t="shared" si="177"/>
        <v>1</v>
      </c>
      <c r="U707" s="6">
        <f t="shared" si="178"/>
        <v>140.97202721908928</v>
      </c>
      <c r="V707">
        <f>IF((R707-$AB$774)/($Z$773-$AB$774)&lt;0, 0, IF((R707-$AB$774)/($Z$773-$AB$774)&gt;1, 1, (R707-$AB$774)/($Z$773-$AB$774)))</f>
        <v>6.3090718539340895E-2</v>
      </c>
      <c r="W707" s="6">
        <f t="shared" si="179"/>
        <v>8.894026491199865</v>
      </c>
      <c r="AK707" s="78">
        <v>45039.052083333336</v>
      </c>
      <c r="AL707" s="5">
        <v>4.23472753675153E-2</v>
      </c>
      <c r="AM707" s="5">
        <v>72.523974480000007</v>
      </c>
      <c r="AN707" s="2">
        <v>21634</v>
      </c>
      <c r="AO707" s="7">
        <f t="shared" si="184"/>
        <v>360.56666666666666</v>
      </c>
      <c r="AP707" s="5">
        <f t="shared" si="180"/>
        <v>15.269015921680433</v>
      </c>
      <c r="AQ707" s="6">
        <f t="shared" si="181"/>
        <v>141.11262243978598</v>
      </c>
      <c r="AR707" s="2">
        <f t="shared" si="182"/>
        <v>-2.1301186875174403</v>
      </c>
      <c r="AS707" s="2">
        <f t="shared" si="183"/>
        <v>-300.58663410358099</v>
      </c>
    </row>
    <row r="708" spans="13:45" x14ac:dyDescent="0.3">
      <c r="M708" s="78">
        <v>45040.0625</v>
      </c>
      <c r="N708" s="5">
        <v>3.8832732695600801E-2</v>
      </c>
      <c r="O708" s="5">
        <v>73.868067069999995</v>
      </c>
      <c r="P708" s="2">
        <v>23039</v>
      </c>
      <c r="Q708" s="7">
        <f t="shared" ref="Q708:Q771" si="185">P708/60</f>
        <v>383.98333333333335</v>
      </c>
      <c r="R708" s="6">
        <f t="shared" ref="R708:R771" si="186">N708*Q708</f>
        <v>14.911122142899115</v>
      </c>
      <c r="S708" s="6">
        <f t="shared" ref="S708:S771" si="187">37.141*R708^0.4897</f>
        <v>139.48310295334161</v>
      </c>
      <c r="T708" s="2">
        <f t="shared" ref="T708:T771" si="188">IF((O708-$R$1)/($P$1-$R$1)&lt;0, 0, IF((O708-$R$1)/($P$1-$R$1)&gt;1, 1, (O708-$R$1)/($P$1-$R$1)))</f>
        <v>1</v>
      </c>
      <c r="U708" s="6">
        <f t="shared" ref="U708:U771" si="189">S708*T708</f>
        <v>139.48310295334161</v>
      </c>
      <c r="V708">
        <f>IF((R708-$AB$774)/($Z$773-$AB$774)&lt;0, 0, IF((R708-$AB$774)/($Z$773-$AB$774)&gt;1, 1, (R708-$AB$774)/($Z$773-$AB$774)))</f>
        <v>3.2621219034780443E-3</v>
      </c>
      <c r="W708" s="6">
        <f t="shared" ref="W708:W771" si="190">S708*V708</f>
        <v>0.45501088530917877</v>
      </c>
      <c r="AK708" s="78">
        <v>45039.0625</v>
      </c>
      <c r="AL708" s="5">
        <v>4.36732538400482E-2</v>
      </c>
      <c r="AM708" s="5">
        <v>75.652056590000001</v>
      </c>
      <c r="AN708" s="2">
        <v>20746</v>
      </c>
      <c r="AO708" s="7">
        <f t="shared" si="184"/>
        <v>345.76666666666665</v>
      </c>
      <c r="AP708" s="5">
        <f t="shared" ref="AP708:AP771" si="191">AO708*AL708</f>
        <v>15.100755402760665</v>
      </c>
      <c r="AQ708" s="6">
        <f t="shared" ref="AQ708:AQ771" si="192">37.141*AP708^0.4897</f>
        <v>140.34897424178374</v>
      </c>
      <c r="AR708" s="2">
        <f t="shared" ref="AR708:AR771" si="193">IF((AM708-$AP$1)/($AN$1-$AP$1)&lt;0, 0, IF((AA708-$AP$1)/($AN$1-$AP$1)&gt;1, 1, (AA708-$AP$1)/($AN$1-$AP$1)))</f>
        <v>-2.1301186875174403</v>
      </c>
      <c r="AS708" s="2">
        <f t="shared" ref="AS708:AS771" si="194">AQ708*AR708</f>
        <v>-298.95997280632741</v>
      </c>
    </row>
    <row r="709" spans="13:45" x14ac:dyDescent="0.3">
      <c r="M709" s="78">
        <v>45040.072916666664</v>
      </c>
      <c r="N709" s="5">
        <v>3.9291529974358003E-2</v>
      </c>
      <c r="O709" s="5">
        <v>76.101800600000004</v>
      </c>
      <c r="P709" s="2">
        <v>23244</v>
      </c>
      <c r="Q709" s="7">
        <f t="shared" si="185"/>
        <v>387.4</v>
      </c>
      <c r="R709" s="6">
        <f t="shared" si="186"/>
        <v>15.221538712066289</v>
      </c>
      <c r="S709" s="6">
        <f t="shared" si="187"/>
        <v>140.89758451518486</v>
      </c>
      <c r="T709" s="2">
        <f t="shared" si="188"/>
        <v>1</v>
      </c>
      <c r="U709" s="6">
        <f t="shared" si="189"/>
        <v>140.89758451518486</v>
      </c>
      <c r="V709">
        <f>IF((R709-$AB$774)/($Z$773-$AB$774)&lt;0, 0, IF((R709-$AB$774)/($Z$773-$AB$774)&gt;1, 1, (R709-$AB$774)/($Z$773-$AB$774)))</f>
        <v>6.0083707402543769E-2</v>
      </c>
      <c r="W709" s="6">
        <f t="shared" si="190"/>
        <v>8.4656492417355498</v>
      </c>
      <c r="AK709" s="78">
        <v>45039.072916666664</v>
      </c>
      <c r="AL709" s="5">
        <v>4.2308266390625203E-2</v>
      </c>
      <c r="AM709" s="5">
        <v>69.822823</v>
      </c>
      <c r="AN709" s="2">
        <v>21415</v>
      </c>
      <c r="AO709" s="7">
        <f t="shared" si="184"/>
        <v>356.91666666666669</v>
      </c>
      <c r="AP709" s="5">
        <f t="shared" si="191"/>
        <v>15.100525412587313</v>
      </c>
      <c r="AQ709" s="6">
        <f t="shared" si="192"/>
        <v>140.34792747088068</v>
      </c>
      <c r="AR709" s="2">
        <f t="shared" si="193"/>
        <v>-2.1301186875174403</v>
      </c>
      <c r="AS709" s="2">
        <f t="shared" si="194"/>
        <v>-298.95774306006524</v>
      </c>
    </row>
    <row r="710" spans="13:45" x14ac:dyDescent="0.3">
      <c r="M710" s="78">
        <v>45040.083333333336</v>
      </c>
      <c r="N710" s="5">
        <v>3.7195212526936999E-2</v>
      </c>
      <c r="O710" s="5">
        <v>74.764849499999997</v>
      </c>
      <c r="P710" s="2">
        <v>24515</v>
      </c>
      <c r="Q710" s="7">
        <f t="shared" si="185"/>
        <v>408.58333333333331</v>
      </c>
      <c r="R710" s="6">
        <f t="shared" si="186"/>
        <v>15.197343918297674</v>
      </c>
      <c r="S710" s="6">
        <f t="shared" si="187"/>
        <v>140.78786768315325</v>
      </c>
      <c r="T710" s="2">
        <f t="shared" si="188"/>
        <v>1</v>
      </c>
      <c r="U710" s="6">
        <f t="shared" si="189"/>
        <v>140.78786768315325</v>
      </c>
      <c r="V710">
        <f>IF((R710-$AB$774)/($Z$773-$AB$774)&lt;0, 0, IF((R710-$AB$774)/($Z$773-$AB$774)&gt;1, 1, (R710-$AB$774)/($Z$773-$AB$774)))</f>
        <v>5.5654863457634283E-2</v>
      </c>
      <c r="W710" s="6">
        <f t="shared" si="190"/>
        <v>7.8355295523973769</v>
      </c>
      <c r="AK710" s="78">
        <v>45039.083333333336</v>
      </c>
      <c r="AL710" s="5">
        <v>4.4251993893251601E-2</v>
      </c>
      <c r="AM710" s="5">
        <v>71.17580074</v>
      </c>
      <c r="AN710" s="2">
        <v>21745</v>
      </c>
      <c r="AO710" s="7">
        <f t="shared" si="184"/>
        <v>362.41666666666669</v>
      </c>
      <c r="AP710" s="5">
        <f t="shared" si="191"/>
        <v>16.037660120145937</v>
      </c>
      <c r="AQ710" s="6">
        <f t="shared" si="192"/>
        <v>144.54768580106762</v>
      </c>
      <c r="AR710" s="2">
        <f t="shared" si="193"/>
        <v>-2.1301186875174403</v>
      </c>
      <c r="AS710" s="2">
        <f t="shared" si="194"/>
        <v>-307.90372676225348</v>
      </c>
    </row>
    <row r="711" spans="13:45" x14ac:dyDescent="0.3">
      <c r="M711" s="78">
        <v>45040.09375</v>
      </c>
      <c r="N711" s="5">
        <v>3.77323067846611E-2</v>
      </c>
      <c r="O711" s="5">
        <v>79.202259850000004</v>
      </c>
      <c r="P711" s="2">
        <v>26067</v>
      </c>
      <c r="Q711" s="7">
        <f t="shared" si="185"/>
        <v>434.45</v>
      </c>
      <c r="R711" s="6">
        <f t="shared" si="186"/>
        <v>16.392800682596015</v>
      </c>
      <c r="S711" s="6">
        <f t="shared" si="187"/>
        <v>146.10640144748939</v>
      </c>
      <c r="T711" s="2">
        <f t="shared" si="188"/>
        <v>1</v>
      </c>
      <c r="U711" s="6">
        <f t="shared" si="189"/>
        <v>146.10640144748939</v>
      </c>
      <c r="V711">
        <f>IF((R711-$AB$774)/($Z$773-$AB$774)&lt;0, 0, IF((R711-$AB$774)/($Z$773-$AB$774)&gt;1, 1, (R711-$AB$774)/($Z$773-$AB$774)))</f>
        <v>0.27448257914710295</v>
      </c>
      <c r="W711" s="6">
        <f t="shared" si="190"/>
        <v>40.103661899208902</v>
      </c>
      <c r="AK711" s="78">
        <v>45039.09375</v>
      </c>
      <c r="AL711" s="5">
        <v>4.54325007028612E-2</v>
      </c>
      <c r="AM711" s="5">
        <v>71.17580074</v>
      </c>
      <c r="AN711" s="2">
        <v>20954</v>
      </c>
      <c r="AO711" s="7">
        <f t="shared" si="184"/>
        <v>349.23333333333335</v>
      </c>
      <c r="AP711" s="5">
        <f t="shared" si="191"/>
        <v>15.866543662129228</v>
      </c>
      <c r="AQ711" s="6">
        <f t="shared" si="192"/>
        <v>143.79036636719982</v>
      </c>
      <c r="AR711" s="2">
        <f t="shared" si="193"/>
        <v>-2.1301186875174403</v>
      </c>
      <c r="AS711" s="2">
        <f t="shared" si="194"/>
        <v>-306.2905464837516</v>
      </c>
    </row>
    <row r="712" spans="13:45" x14ac:dyDescent="0.3">
      <c r="M712" s="78">
        <v>45040.104166666664</v>
      </c>
      <c r="N712" s="5">
        <v>3.9194097837097402E-2</v>
      </c>
      <c r="O712" s="5">
        <v>73.415890989999994</v>
      </c>
      <c r="P712" s="2">
        <v>23513</v>
      </c>
      <c r="Q712" s="7">
        <f t="shared" si="185"/>
        <v>391.88333333333333</v>
      </c>
      <c r="R712" s="6">
        <f t="shared" si="186"/>
        <v>15.35951370739452</v>
      </c>
      <c r="S712" s="6">
        <f t="shared" si="187"/>
        <v>141.52156995158691</v>
      </c>
      <c r="T712" s="2">
        <f t="shared" si="188"/>
        <v>1</v>
      </c>
      <c r="U712" s="6">
        <f t="shared" si="189"/>
        <v>141.52156995158691</v>
      </c>
      <c r="V712">
        <f>IF((R712-$AB$774)/($Z$773-$AB$774)&lt;0, 0, IF((R712-$AB$774)/($Z$773-$AB$774)&gt;1, 1, (R712-$AB$774)/($Z$773-$AB$774)))</f>
        <v>8.5339955852200611E-2</v>
      </c>
      <c r="W712" s="6">
        <f t="shared" si="190"/>
        <v>12.077444531802547</v>
      </c>
      <c r="AK712" s="78">
        <v>45039.104166666664</v>
      </c>
      <c r="AL712" s="5">
        <v>4.2087010031047901E-2</v>
      </c>
      <c r="AM712" s="5">
        <v>72.077340390000003</v>
      </c>
      <c r="AN712" s="2">
        <v>21702</v>
      </c>
      <c r="AO712" s="7">
        <f t="shared" si="184"/>
        <v>361.7</v>
      </c>
      <c r="AP712" s="5">
        <f t="shared" si="191"/>
        <v>15.222871528230025</v>
      </c>
      <c r="AQ712" s="6">
        <f t="shared" si="192"/>
        <v>140.90362588809651</v>
      </c>
      <c r="AR712" s="2">
        <f t="shared" si="193"/>
        <v>-2.1301186875174403</v>
      </c>
      <c r="AS712" s="2">
        <f t="shared" si="194"/>
        <v>-300.14144664320054</v>
      </c>
    </row>
    <row r="713" spans="13:45" x14ac:dyDescent="0.3">
      <c r="M713" s="78">
        <v>45040.114583333336</v>
      </c>
      <c r="N713" s="5">
        <v>4.1505638219500998E-2</v>
      </c>
      <c r="O713" s="5">
        <v>73.868067069999995</v>
      </c>
      <c r="P713" s="2">
        <v>26782</v>
      </c>
      <c r="Q713" s="7">
        <f t="shared" si="185"/>
        <v>446.36666666666667</v>
      </c>
      <c r="R713" s="6">
        <f t="shared" si="186"/>
        <v>18.526733379911263</v>
      </c>
      <c r="S713" s="6">
        <f t="shared" si="187"/>
        <v>155.12960630112019</v>
      </c>
      <c r="T713" s="2">
        <f t="shared" si="188"/>
        <v>1</v>
      </c>
      <c r="U713" s="6">
        <f t="shared" si="189"/>
        <v>155.12960630112019</v>
      </c>
      <c r="V713">
        <f>IF((R713-$AB$774)/($Z$773-$AB$774)&lt;0, 0, IF((R713-$AB$774)/($Z$773-$AB$774)&gt;1, 1, (R713-$AB$774)/($Z$773-$AB$774)))</f>
        <v>0.66509780801541019</v>
      </c>
      <c r="W713" s="6">
        <f t="shared" si="190"/>
        <v>103.1763611091686</v>
      </c>
      <c r="AK713" s="78">
        <v>45039.114583333336</v>
      </c>
      <c r="AL713" s="5">
        <v>4.2774441614528799E-2</v>
      </c>
      <c r="AM713" s="5">
        <v>68.466857000000005</v>
      </c>
      <c r="AN713" s="2">
        <v>22217</v>
      </c>
      <c r="AO713" s="7">
        <f t="shared" si="184"/>
        <v>370.28333333333336</v>
      </c>
      <c r="AP713" s="5">
        <f t="shared" si="191"/>
        <v>15.838662822499773</v>
      </c>
      <c r="AQ713" s="6">
        <f t="shared" si="192"/>
        <v>143.66657844964467</v>
      </c>
      <c r="AR713" s="2">
        <f t="shared" si="193"/>
        <v>-2.1301186875174403</v>
      </c>
      <c r="AS713" s="2">
        <f t="shared" si="194"/>
        <v>-306.02686352727846</v>
      </c>
    </row>
    <row r="714" spans="13:45" x14ac:dyDescent="0.3">
      <c r="M714" s="78">
        <v>45040.125</v>
      </c>
      <c r="N714" s="5">
        <v>3.8747535059618497E-2</v>
      </c>
      <c r="O714" s="5">
        <v>68.008627450000006</v>
      </c>
      <c r="P714" s="2">
        <v>24132</v>
      </c>
      <c r="Q714" s="7">
        <f t="shared" si="185"/>
        <v>402.2</v>
      </c>
      <c r="R714" s="6">
        <f t="shared" si="186"/>
        <v>15.58425860097856</v>
      </c>
      <c r="S714" s="6">
        <f t="shared" si="187"/>
        <v>142.53187505395047</v>
      </c>
      <c r="T714" s="2">
        <f t="shared" si="188"/>
        <v>1</v>
      </c>
      <c r="U714" s="6">
        <f t="shared" si="189"/>
        <v>142.53187505395047</v>
      </c>
      <c r="V714">
        <f>IF((R714-$AB$774)/($Z$773-$AB$774)&lt;0, 0, IF((R714-$AB$774)/($Z$773-$AB$774)&gt;1, 1, (R714-$AB$774)/($Z$773-$AB$774)))</f>
        <v>0.12647938736040246</v>
      </c>
      <c r="W714" s="6">
        <f t="shared" si="190"/>
        <v>18.027344236153084</v>
      </c>
      <c r="AK714" s="78">
        <v>45039.125</v>
      </c>
      <c r="AL714" s="5">
        <v>4.2096950798536099E-2</v>
      </c>
      <c r="AM714" s="5">
        <v>72.077340390000003</v>
      </c>
      <c r="AN714" s="2">
        <v>21496</v>
      </c>
      <c r="AO714" s="7">
        <f t="shared" si="184"/>
        <v>358.26666666666665</v>
      </c>
      <c r="AP714" s="5">
        <f t="shared" si="191"/>
        <v>15.0819342394222</v>
      </c>
      <c r="AQ714" s="6">
        <f t="shared" si="192"/>
        <v>140.26328519472179</v>
      </c>
      <c r="AR714" s="2">
        <f t="shared" si="193"/>
        <v>-2.1301186875174403</v>
      </c>
      <c r="AS714" s="2">
        <f t="shared" si="194"/>
        <v>-298.77744496586519</v>
      </c>
    </row>
    <row r="715" spans="13:45" x14ac:dyDescent="0.3">
      <c r="M715" s="78">
        <v>45040.135416666664</v>
      </c>
      <c r="N715" s="5">
        <v>4.3097502174398401E-2</v>
      </c>
      <c r="O715" s="5">
        <v>71.17580074</v>
      </c>
      <c r="P715" s="2">
        <v>23813</v>
      </c>
      <c r="Q715" s="7">
        <f t="shared" si="185"/>
        <v>396.88333333333333</v>
      </c>
      <c r="R715" s="6">
        <f t="shared" si="186"/>
        <v>17.104680321315819</v>
      </c>
      <c r="S715" s="6">
        <f t="shared" si="187"/>
        <v>149.17978932572018</v>
      </c>
      <c r="T715" s="2">
        <f t="shared" si="188"/>
        <v>1</v>
      </c>
      <c r="U715" s="6">
        <f t="shared" si="189"/>
        <v>149.17978932572018</v>
      </c>
      <c r="V715">
        <f>IF((R715-$AB$774)/($Z$773-$AB$774)&lt;0, 0, IF((R715-$AB$774)/($Z$773-$AB$774)&gt;1, 1, (R715-$AB$774)/($Z$773-$AB$774)))</f>
        <v>0.40479176291614671</v>
      </c>
      <c r="W715" s="6">
        <f t="shared" si="190"/>
        <v>60.386749912617638</v>
      </c>
      <c r="AK715" s="78">
        <v>45039.135416666664</v>
      </c>
      <c r="AL715" s="5">
        <v>3.9055389544020602E-2</v>
      </c>
      <c r="AM715" s="5">
        <v>71.17580074</v>
      </c>
      <c r="AN715" s="2">
        <v>22535</v>
      </c>
      <c r="AO715" s="7">
        <f t="shared" si="184"/>
        <v>375.58333333333331</v>
      </c>
      <c r="AP715" s="5">
        <f t="shared" si="191"/>
        <v>14.66855338957507</v>
      </c>
      <c r="AQ715" s="6">
        <f t="shared" si="192"/>
        <v>138.3672936547604</v>
      </c>
      <c r="AR715" s="2">
        <f t="shared" si="193"/>
        <v>-2.1301186875174403</v>
      </c>
      <c r="AS715" s="2">
        <f t="shared" si="194"/>
        <v>-294.73875795521849</v>
      </c>
    </row>
    <row r="716" spans="13:45" x14ac:dyDescent="0.3">
      <c r="M716" s="78">
        <v>45040.145833333336</v>
      </c>
      <c r="N716" s="5">
        <v>4.3317222856301699E-2</v>
      </c>
      <c r="O716" s="5">
        <v>76.993676070000006</v>
      </c>
      <c r="P716" s="2">
        <v>23393</v>
      </c>
      <c r="Q716" s="7">
        <f t="shared" si="185"/>
        <v>389.88333333333333</v>
      </c>
      <c r="R716" s="6">
        <f t="shared" si="186"/>
        <v>16.888663237957761</v>
      </c>
      <c r="S716" s="6">
        <f t="shared" si="187"/>
        <v>148.25419783048048</v>
      </c>
      <c r="T716" s="2">
        <f t="shared" si="188"/>
        <v>1</v>
      </c>
      <c r="U716" s="6">
        <f t="shared" si="189"/>
        <v>148.25419783048048</v>
      </c>
      <c r="V716">
        <f>IF((R716-$AB$774)/($Z$773-$AB$774)&lt;0, 0, IF((R716-$AB$774)/($Z$773-$AB$774)&gt;1, 1, (R716-$AB$774)/($Z$773-$AB$774)))</f>
        <v>0.36524995236067248</v>
      </c>
      <c r="W716" s="6">
        <f t="shared" si="190"/>
        <v>54.149838694852711</v>
      </c>
      <c r="AK716" s="78">
        <v>45039.145833333336</v>
      </c>
      <c r="AL716" s="5">
        <v>4.1193761883004297E-2</v>
      </c>
      <c r="AM716" s="5">
        <v>73.423571839999994</v>
      </c>
      <c r="AN716" s="2">
        <v>20764</v>
      </c>
      <c r="AO716" s="7">
        <f t="shared" si="184"/>
        <v>346.06666666666666</v>
      </c>
      <c r="AP716" s="5">
        <f t="shared" si="191"/>
        <v>14.255787862311687</v>
      </c>
      <c r="AQ716" s="6">
        <f t="shared" si="192"/>
        <v>136.44671838591975</v>
      </c>
      <c r="AR716" s="2">
        <f t="shared" si="193"/>
        <v>-2.1301186875174403</v>
      </c>
      <c r="AS716" s="2">
        <f t="shared" si="194"/>
        <v>-290.64770468427719</v>
      </c>
    </row>
    <row r="717" spans="13:45" x14ac:dyDescent="0.3">
      <c r="M717" s="78">
        <v>45040.15625</v>
      </c>
      <c r="N717" s="5">
        <v>4.2964380809295301E-2</v>
      </c>
      <c r="O717" s="5">
        <v>74.764849499999997</v>
      </c>
      <c r="P717" s="2">
        <v>22669</v>
      </c>
      <c r="Q717" s="7">
        <f t="shared" si="185"/>
        <v>377.81666666666666</v>
      </c>
      <c r="R717" s="6">
        <f t="shared" si="186"/>
        <v>16.232659142765254</v>
      </c>
      <c r="S717" s="6">
        <f t="shared" si="187"/>
        <v>145.40569406427096</v>
      </c>
      <c r="T717" s="2">
        <f t="shared" si="188"/>
        <v>1</v>
      </c>
      <c r="U717" s="6">
        <f t="shared" si="189"/>
        <v>145.40569406427096</v>
      </c>
      <c r="V717">
        <f>IF((R717-$AB$774)/($Z$773-$AB$774)&lt;0, 0, IF((R717-$AB$774)/($Z$773-$AB$774)&gt;1, 1, (R717-$AB$774)/($Z$773-$AB$774)))</f>
        <v>0.24516875668634017</v>
      </c>
      <c r="W717" s="6">
        <f t="shared" si="190"/>
        <v>35.648933228851661</v>
      </c>
      <c r="AK717" s="78">
        <v>45039.15625</v>
      </c>
      <c r="AL717" s="5">
        <v>4.2419705701272598E-2</v>
      </c>
      <c r="AM717" s="5">
        <v>72.523974480000007</v>
      </c>
      <c r="AN717" s="2">
        <v>20855</v>
      </c>
      <c r="AO717" s="7">
        <f t="shared" si="184"/>
        <v>347.58333333333331</v>
      </c>
      <c r="AP717" s="5">
        <f t="shared" si="191"/>
        <v>14.744382706667333</v>
      </c>
      <c r="AQ717" s="6">
        <f t="shared" si="192"/>
        <v>138.71711127747994</v>
      </c>
      <c r="AR717" s="2">
        <f t="shared" si="193"/>
        <v>-2.1301186875174403</v>
      </c>
      <c r="AS717" s="2">
        <f t="shared" si="194"/>
        <v>-295.48391101059627</v>
      </c>
    </row>
    <row r="718" spans="13:45" x14ac:dyDescent="0.3">
      <c r="M718" s="78">
        <v>45040.166666666664</v>
      </c>
      <c r="N718" s="5">
        <v>3.9205796312387901E-2</v>
      </c>
      <c r="O718" s="5">
        <v>68.916923760000003</v>
      </c>
      <c r="P718" s="2">
        <v>23038</v>
      </c>
      <c r="Q718" s="7">
        <f t="shared" si="185"/>
        <v>383.96666666666664</v>
      </c>
      <c r="R718" s="6">
        <f t="shared" si="186"/>
        <v>15.053718924079874</v>
      </c>
      <c r="S718" s="6">
        <f t="shared" si="187"/>
        <v>140.13472414018185</v>
      </c>
      <c r="T718" s="2">
        <f t="shared" si="188"/>
        <v>1</v>
      </c>
      <c r="U718" s="6">
        <f t="shared" si="189"/>
        <v>140.13472414018185</v>
      </c>
      <c r="V718">
        <f>IF((R718-$AB$774)/($Z$773-$AB$774)&lt;0, 0, IF((R718-$AB$774)/($Z$773-$AB$774)&gt;1, 1, (R718-$AB$774)/($Z$773-$AB$774)))</f>
        <v>2.9364385759729921E-2</v>
      </c>
      <c r="W718" s="6">
        <f t="shared" si="190"/>
        <v>4.114970097985637</v>
      </c>
      <c r="AK718" s="78">
        <v>45039.166666666664</v>
      </c>
      <c r="AL718" s="5">
        <v>4.2167641248381002E-2</v>
      </c>
      <c r="AM718" s="5">
        <v>66.203758769999993</v>
      </c>
      <c r="AN718" s="2">
        <v>21106</v>
      </c>
      <c r="AO718" s="7">
        <f t="shared" si="184"/>
        <v>351.76666666666665</v>
      </c>
      <c r="AP718" s="5">
        <f t="shared" si="191"/>
        <v>14.833170603138823</v>
      </c>
      <c r="AQ718" s="6">
        <f t="shared" si="192"/>
        <v>139.12554494970098</v>
      </c>
      <c r="AR718" s="2">
        <f t="shared" si="193"/>
        <v>-2.1301186875174403</v>
      </c>
      <c r="AS718" s="2">
        <f t="shared" si="194"/>
        <v>-296.35392320840572</v>
      </c>
    </row>
    <row r="719" spans="13:45" x14ac:dyDescent="0.3">
      <c r="M719" s="78">
        <v>45040.177083333336</v>
      </c>
      <c r="N719" s="5">
        <v>4.2361078482174401E-2</v>
      </c>
      <c r="O719" s="5">
        <v>74.764849499999997</v>
      </c>
      <c r="P719" s="2">
        <v>23351</v>
      </c>
      <c r="Q719" s="7">
        <f t="shared" si="185"/>
        <v>389.18333333333334</v>
      </c>
      <c r="R719" s="6">
        <f t="shared" si="186"/>
        <v>16.486225727287575</v>
      </c>
      <c r="S719" s="6">
        <f t="shared" si="187"/>
        <v>146.51357478186986</v>
      </c>
      <c r="T719" s="2">
        <f t="shared" si="188"/>
        <v>1</v>
      </c>
      <c r="U719" s="6">
        <f t="shared" si="189"/>
        <v>146.51357478186986</v>
      </c>
      <c r="V719">
        <f>IF((R719-$AB$774)/($Z$773-$AB$774)&lt;0, 0, IF((R719-$AB$774)/($Z$773-$AB$774)&gt;1, 1, (R719-$AB$774)/($Z$773-$AB$774)))</f>
        <v>0.29158398316989087</v>
      </c>
      <c r="W719" s="6">
        <f t="shared" si="190"/>
        <v>42.721011723357293</v>
      </c>
      <c r="AK719" s="78">
        <v>45039.177083333336</v>
      </c>
      <c r="AL719" s="5">
        <v>4.2245006060342698E-2</v>
      </c>
      <c r="AM719" s="5">
        <v>68.924680609999996</v>
      </c>
      <c r="AN719" s="2">
        <v>21894</v>
      </c>
      <c r="AO719" s="7">
        <f t="shared" si="184"/>
        <v>364.9</v>
      </c>
      <c r="AP719" s="5">
        <f t="shared" si="191"/>
        <v>15.415202711419049</v>
      </c>
      <c r="AQ719" s="6">
        <f t="shared" si="192"/>
        <v>141.77261028802562</v>
      </c>
      <c r="AR719" s="2">
        <f t="shared" si="193"/>
        <v>-2.1301186875174403</v>
      </c>
      <c r="AS719" s="2">
        <f t="shared" si="194"/>
        <v>-301.99248655265069</v>
      </c>
    </row>
    <row r="720" spans="13:45" x14ac:dyDescent="0.3">
      <c r="M720" s="78">
        <v>45040.1875</v>
      </c>
      <c r="N720" s="5">
        <v>4.1840513280986001E-2</v>
      </c>
      <c r="O720" s="5">
        <v>69.822823</v>
      </c>
      <c r="P720" s="2">
        <v>22893</v>
      </c>
      <c r="Q720" s="7">
        <f t="shared" si="185"/>
        <v>381.55</v>
      </c>
      <c r="R720" s="6">
        <f t="shared" si="186"/>
        <v>15.964247842360209</v>
      </c>
      <c r="S720" s="6">
        <f t="shared" si="187"/>
        <v>144.22328863696475</v>
      </c>
      <c r="T720" s="2">
        <f t="shared" si="188"/>
        <v>1</v>
      </c>
      <c r="U720" s="6">
        <f t="shared" si="189"/>
        <v>144.22328863696475</v>
      </c>
      <c r="V720">
        <f>IF((R720-$AB$774)/($Z$773-$AB$774)&lt;0, 0, IF((R720-$AB$774)/($Z$773-$AB$774)&gt;1, 1, (R720-$AB$774)/($Z$773-$AB$774)))</f>
        <v>0.19603621297000584</v>
      </c>
      <c r="W720" s="6">
        <f t="shared" si="190"/>
        <v>28.272987326470645</v>
      </c>
      <c r="AK720" s="78">
        <v>45039.1875</v>
      </c>
      <c r="AL720" s="5">
        <v>4.2084967635996201E-2</v>
      </c>
      <c r="AM720" s="5">
        <v>68.924680609999996</v>
      </c>
      <c r="AN720" s="2">
        <v>21431</v>
      </c>
      <c r="AO720" s="7">
        <f t="shared" si="184"/>
        <v>357.18333333333334</v>
      </c>
      <c r="AP720" s="5">
        <f t="shared" si="191"/>
        <v>15.032049023450577</v>
      </c>
      <c r="AQ720" s="6">
        <f t="shared" si="192"/>
        <v>140.0359032908548</v>
      </c>
      <c r="AR720" s="2">
        <f t="shared" si="193"/>
        <v>-2.1301186875174403</v>
      </c>
      <c r="AS720" s="2">
        <f t="shared" si="194"/>
        <v>-298.29309452323486</v>
      </c>
    </row>
    <row r="721" spans="13:45" x14ac:dyDescent="0.3">
      <c r="M721" s="78">
        <v>45040.197916666664</v>
      </c>
      <c r="N721" s="5">
        <v>4.1471853904680403E-2</v>
      </c>
      <c r="O721" s="5">
        <v>67.557775419999999</v>
      </c>
      <c r="P721" s="2">
        <v>23926</v>
      </c>
      <c r="Q721" s="7">
        <f t="shared" si="185"/>
        <v>398.76666666666665</v>
      </c>
      <c r="R721" s="6">
        <f t="shared" si="186"/>
        <v>16.537592942056389</v>
      </c>
      <c r="S721" s="6">
        <f t="shared" si="187"/>
        <v>146.73694634839174</v>
      </c>
      <c r="T721" s="2">
        <f t="shared" si="188"/>
        <v>1</v>
      </c>
      <c r="U721" s="6">
        <f t="shared" si="189"/>
        <v>146.73694634839174</v>
      </c>
      <c r="V721">
        <f>IF((R721-$AB$774)/($Z$773-$AB$774)&lt;0, 0, IF((R721-$AB$774)/($Z$773-$AB$774)&gt;1, 1, (R721-$AB$774)/($Z$773-$AB$774)))</f>
        <v>0.30098672411785587</v>
      </c>
      <c r="W721" s="6">
        <f t="shared" si="190"/>
        <v>44.165872788460007</v>
      </c>
      <c r="AK721" s="78">
        <v>45039.197916666664</v>
      </c>
      <c r="AL721" s="5">
        <v>4.4277594219573599E-2</v>
      </c>
      <c r="AM721" s="5">
        <v>65.290959470000004</v>
      </c>
      <c r="AN721" s="2">
        <v>22096</v>
      </c>
      <c r="AO721" s="7">
        <f t="shared" si="184"/>
        <v>368.26666666666665</v>
      </c>
      <c r="AP721" s="5">
        <f t="shared" si="191"/>
        <v>16.305962031261636</v>
      </c>
      <c r="AQ721" s="6">
        <f t="shared" si="192"/>
        <v>145.72687029047637</v>
      </c>
      <c r="AR721" s="2">
        <f t="shared" si="193"/>
        <v>-2.1301186875174403</v>
      </c>
      <c r="AS721" s="2">
        <f t="shared" si="194"/>
        <v>-310.4155296791738</v>
      </c>
    </row>
    <row r="722" spans="13:45" x14ac:dyDescent="0.3">
      <c r="M722" s="78">
        <v>45040.208333333336</v>
      </c>
      <c r="N722" s="5">
        <v>4.5640260400581001E-2</v>
      </c>
      <c r="O722" s="5">
        <v>72.523974480000007</v>
      </c>
      <c r="P722" s="2">
        <v>23433</v>
      </c>
      <c r="Q722" s="7">
        <f t="shared" si="185"/>
        <v>390.55</v>
      </c>
      <c r="R722" s="6">
        <f t="shared" si="186"/>
        <v>17.82480369944691</v>
      </c>
      <c r="S722" s="6">
        <f t="shared" si="187"/>
        <v>152.22304866863473</v>
      </c>
      <c r="T722" s="2">
        <f t="shared" si="188"/>
        <v>1</v>
      </c>
      <c r="U722" s="6">
        <f t="shared" si="189"/>
        <v>152.22304866863473</v>
      </c>
      <c r="V722">
        <f>IF((R722-$AB$774)/($Z$773-$AB$774)&lt;0, 0, IF((R722-$AB$774)/($Z$773-$AB$774)&gt;1, 1, (R722-$AB$774)/($Z$773-$AB$774)))</f>
        <v>0.53660995873647133</v>
      </c>
      <c r="W722" s="6">
        <f t="shared" si="190"/>
        <v>81.684403864815948</v>
      </c>
      <c r="AK722" s="78">
        <v>45039.208333333336</v>
      </c>
      <c r="AL722" s="5">
        <v>4.5577838473469599E-2</v>
      </c>
      <c r="AM722" s="5">
        <v>69.822823</v>
      </c>
      <c r="AN722" s="2">
        <v>21622</v>
      </c>
      <c r="AO722" s="7">
        <f t="shared" si="184"/>
        <v>360.36666666666667</v>
      </c>
      <c r="AP722" s="5">
        <f t="shared" si="191"/>
        <v>16.424733724555995</v>
      </c>
      <c r="AQ722" s="6">
        <f t="shared" si="192"/>
        <v>146.24570775538908</v>
      </c>
      <c r="AR722" s="2">
        <f t="shared" si="193"/>
        <v>-2.1301186875174403</v>
      </c>
      <c r="AS722" s="2">
        <f t="shared" si="194"/>
        <v>-311.52071505896851</v>
      </c>
    </row>
    <row r="723" spans="13:45" x14ac:dyDescent="0.3">
      <c r="M723" s="78">
        <v>45040.21875</v>
      </c>
      <c r="N723" s="5">
        <v>4.3072718687881803E-2</v>
      </c>
      <c r="O723" s="5">
        <v>73.868067069999995</v>
      </c>
      <c r="P723" s="2">
        <v>22664</v>
      </c>
      <c r="Q723" s="7">
        <f t="shared" si="185"/>
        <v>377.73333333333335</v>
      </c>
      <c r="R723" s="6">
        <f t="shared" si="186"/>
        <v>16.270001605702554</v>
      </c>
      <c r="S723" s="6">
        <f t="shared" si="187"/>
        <v>145.56940214369138</v>
      </c>
      <c r="T723" s="2">
        <f t="shared" si="188"/>
        <v>1</v>
      </c>
      <c r="U723" s="6">
        <f t="shared" si="189"/>
        <v>145.56940214369138</v>
      </c>
      <c r="V723">
        <f>IF((R723-$AB$774)/($Z$773-$AB$774)&lt;0, 0, IF((R723-$AB$774)/($Z$773-$AB$774)&gt;1, 1, (R723-$AB$774)/($Z$773-$AB$774)))</f>
        <v>0.25200427437867945</v>
      </c>
      <c r="W723" s="6">
        <f t="shared" si="190"/>
        <v>36.684111558959131</v>
      </c>
      <c r="AK723" s="78">
        <v>45039.21875</v>
      </c>
      <c r="AL723" s="5">
        <v>4.2001746837998302E-2</v>
      </c>
      <c r="AM723" s="5">
        <v>69.822823</v>
      </c>
      <c r="AN723" s="2">
        <v>21384</v>
      </c>
      <c r="AO723" s="7">
        <f t="shared" si="184"/>
        <v>356.4</v>
      </c>
      <c r="AP723" s="5">
        <f t="shared" si="191"/>
        <v>14.969422573062594</v>
      </c>
      <c r="AQ723" s="6">
        <f t="shared" si="192"/>
        <v>139.74989969309712</v>
      </c>
      <c r="AR723" s="2">
        <f t="shared" si="193"/>
        <v>-2.1301186875174403</v>
      </c>
      <c r="AS723" s="2">
        <f t="shared" si="194"/>
        <v>-297.68387291495395</v>
      </c>
    </row>
    <row r="724" spans="13:45" x14ac:dyDescent="0.3">
      <c r="M724" s="78">
        <v>45040.229166666664</v>
      </c>
      <c r="N724" s="5">
        <v>4.8505725959480703E-2</v>
      </c>
      <c r="O724" s="5">
        <v>72.523974480000007</v>
      </c>
      <c r="P724" s="2">
        <v>22977</v>
      </c>
      <c r="Q724" s="7">
        <f t="shared" si="185"/>
        <v>382.95</v>
      </c>
      <c r="R724" s="6">
        <f t="shared" si="186"/>
        <v>18.575267756183134</v>
      </c>
      <c r="S724" s="6">
        <f t="shared" si="187"/>
        <v>155.32848368204506</v>
      </c>
      <c r="T724" s="2">
        <f t="shared" si="188"/>
        <v>1</v>
      </c>
      <c r="U724" s="6">
        <f t="shared" si="189"/>
        <v>155.32848368204506</v>
      </c>
      <c r="V724">
        <f>IF((R724-$AB$774)/($Z$773-$AB$774)&lt;0, 0, IF((R724-$AB$774)/($Z$773-$AB$774)&gt;1, 1, (R724-$AB$774)/($Z$773-$AB$774)))</f>
        <v>0.6739819994049836</v>
      </c>
      <c r="W724" s="6">
        <f t="shared" si="190"/>
        <v>104.6886019965691</v>
      </c>
      <c r="AK724" s="78">
        <v>45039.229166666664</v>
      </c>
      <c r="AL724" s="5">
        <v>4.1726706719062902E-2</v>
      </c>
      <c r="AM724" s="5">
        <v>67.557775419999999</v>
      </c>
      <c r="AN724" s="2">
        <v>21684</v>
      </c>
      <c r="AO724" s="7">
        <f t="shared" si="184"/>
        <v>361.4</v>
      </c>
      <c r="AP724" s="5">
        <f t="shared" si="191"/>
        <v>15.080031808269332</v>
      </c>
      <c r="AQ724" s="6">
        <f t="shared" si="192"/>
        <v>140.25462076476936</v>
      </c>
      <c r="AR724" s="2">
        <f t="shared" si="193"/>
        <v>-2.1301186875174403</v>
      </c>
      <c r="AS724" s="2">
        <f t="shared" si="194"/>
        <v>-298.75898870170681</v>
      </c>
    </row>
    <row r="725" spans="13:45" x14ac:dyDescent="0.3">
      <c r="M725" s="78">
        <v>45040.239583333336</v>
      </c>
      <c r="N725" s="5">
        <v>5.35504354103171E-2</v>
      </c>
      <c r="O725" s="5">
        <v>68.916923760000003</v>
      </c>
      <c r="P725" s="2">
        <v>22808</v>
      </c>
      <c r="Q725" s="7">
        <f t="shared" si="185"/>
        <v>380.13333333333333</v>
      </c>
      <c r="R725" s="6">
        <f t="shared" si="186"/>
        <v>20.356305513975208</v>
      </c>
      <c r="S725" s="6">
        <f t="shared" si="187"/>
        <v>162.45140565159011</v>
      </c>
      <c r="T725" s="2">
        <f t="shared" si="188"/>
        <v>1</v>
      </c>
      <c r="U725" s="6">
        <f t="shared" si="189"/>
        <v>162.45140565159011</v>
      </c>
      <c r="V725">
        <f>IF((R725-$AB$774)/($Z$773-$AB$774)&lt;0, 0, IF((R725-$AB$774)/($Z$773-$AB$774)&gt;1, 1, (R725-$AB$774)/($Z$773-$AB$774)))</f>
        <v>1</v>
      </c>
      <c r="W725" s="6">
        <f t="shared" si="190"/>
        <v>162.45140565159011</v>
      </c>
      <c r="AK725" s="78">
        <v>45039.239583333336</v>
      </c>
      <c r="AL725" s="5">
        <v>4.4706087012939599E-2</v>
      </c>
      <c r="AM725" s="5">
        <v>71.17580074</v>
      </c>
      <c r="AN725" s="2">
        <v>20768</v>
      </c>
      <c r="AO725" s="7">
        <f t="shared" si="184"/>
        <v>346.13333333333333</v>
      </c>
      <c r="AP725" s="5">
        <f t="shared" si="191"/>
        <v>15.474266918078825</v>
      </c>
      <c r="AQ725" s="6">
        <f t="shared" si="192"/>
        <v>142.03836049350883</v>
      </c>
      <c r="AR725" s="2">
        <f t="shared" si="193"/>
        <v>-2.1301186875174403</v>
      </c>
      <c r="AS725" s="2">
        <f t="shared" si="194"/>
        <v>-302.55856603156207</v>
      </c>
    </row>
    <row r="726" spans="13:45" x14ac:dyDescent="0.3">
      <c r="M726" s="78">
        <v>45040.25</v>
      </c>
      <c r="N726" s="5">
        <v>4.4222969191504799E-2</v>
      </c>
      <c r="O726" s="5">
        <v>71.17580074</v>
      </c>
      <c r="P726" s="2">
        <v>23200</v>
      </c>
      <c r="Q726" s="7">
        <f t="shared" si="185"/>
        <v>386.66666666666669</v>
      </c>
      <c r="R726" s="6">
        <f t="shared" si="186"/>
        <v>17.099548087381855</v>
      </c>
      <c r="S726" s="6">
        <f t="shared" si="187"/>
        <v>149.15786810031372</v>
      </c>
      <c r="T726" s="2">
        <f t="shared" si="188"/>
        <v>1</v>
      </c>
      <c r="U726" s="6">
        <f t="shared" si="189"/>
        <v>149.15786810031372</v>
      </c>
      <c r="V726">
        <f>IF((R726-$AB$774)/($Z$773-$AB$774)&lt;0, 0, IF((R726-$AB$774)/($Z$773-$AB$774)&gt;1, 1, (R726-$AB$774)/($Z$773-$AB$774)))</f>
        <v>0.40385231026366009</v>
      </c>
      <c r="W726" s="6">
        <f t="shared" si="190"/>
        <v>60.237749626313985</v>
      </c>
      <c r="AK726" s="78">
        <v>45039.25</v>
      </c>
      <c r="AL726" s="5">
        <v>4.0180156731239702E-2</v>
      </c>
      <c r="AM726" s="5">
        <v>71.17580074</v>
      </c>
      <c r="AN726" s="2">
        <v>21584</v>
      </c>
      <c r="AO726" s="7">
        <f t="shared" si="184"/>
        <v>359.73333333333335</v>
      </c>
      <c r="AP726" s="5">
        <f t="shared" si="191"/>
        <v>14.45414171478463</v>
      </c>
      <c r="AQ726" s="6">
        <f t="shared" si="192"/>
        <v>137.37314028324664</v>
      </c>
      <c r="AR726" s="2">
        <f t="shared" si="193"/>
        <v>-2.1301186875174403</v>
      </c>
      <c r="AS726" s="2">
        <f t="shared" si="194"/>
        <v>-292.62109328029857</v>
      </c>
    </row>
    <row r="727" spans="13:45" x14ac:dyDescent="0.3">
      <c r="M727" s="78">
        <v>45040.260416666664</v>
      </c>
      <c r="N727" s="5">
        <v>4.6915555082614198E-2</v>
      </c>
      <c r="O727" s="5">
        <v>71.17580074</v>
      </c>
      <c r="P727" s="2">
        <v>22497</v>
      </c>
      <c r="Q727" s="7">
        <f t="shared" si="185"/>
        <v>374.95</v>
      </c>
      <c r="R727" s="6">
        <f t="shared" si="186"/>
        <v>17.590987378226192</v>
      </c>
      <c r="S727" s="6">
        <f t="shared" si="187"/>
        <v>151.24193041412877</v>
      </c>
      <c r="T727" s="2">
        <f t="shared" si="188"/>
        <v>1</v>
      </c>
      <c r="U727" s="6">
        <f t="shared" si="189"/>
        <v>151.24193041412877</v>
      </c>
      <c r="V727">
        <f>IF((R727-$AB$774)/($Z$773-$AB$774)&lt;0, 0, IF((R727-$AB$774)/($Z$773-$AB$774)&gt;1, 1, (R727-$AB$774)/($Z$773-$AB$774)))</f>
        <v>0.49381000729391472</v>
      </c>
      <c r="W727" s="6">
        <f t="shared" si="190"/>
        <v>74.684778760946671</v>
      </c>
      <c r="AK727" s="78">
        <v>45039.260416666664</v>
      </c>
      <c r="AL727" s="5">
        <v>4.1764232595573603E-2</v>
      </c>
      <c r="AM727" s="5">
        <v>71.17580074</v>
      </c>
      <c r="AN727" s="2">
        <v>21340</v>
      </c>
      <c r="AO727" s="7">
        <f t="shared" si="184"/>
        <v>355.66666666666669</v>
      </c>
      <c r="AP727" s="5">
        <f t="shared" si="191"/>
        <v>14.854145393159012</v>
      </c>
      <c r="AQ727" s="6">
        <f t="shared" si="192"/>
        <v>139.22184887849929</v>
      </c>
      <c r="AR727" s="2">
        <f t="shared" si="193"/>
        <v>-2.1301186875174403</v>
      </c>
      <c r="AS727" s="2">
        <f t="shared" si="194"/>
        <v>-296.55906200682034</v>
      </c>
    </row>
    <row r="728" spans="13:45" x14ac:dyDescent="0.3">
      <c r="M728" s="78">
        <v>45040.270833333336</v>
      </c>
      <c r="N728" s="5">
        <v>4.2349038374693497E-2</v>
      </c>
      <c r="O728" s="5">
        <v>68.916923760000003</v>
      </c>
      <c r="P728" s="2">
        <v>23657</v>
      </c>
      <c r="Q728" s="7">
        <f t="shared" si="185"/>
        <v>394.28333333333336</v>
      </c>
      <c r="R728" s="6">
        <f t="shared" si="186"/>
        <v>16.697520013835401</v>
      </c>
      <c r="S728" s="6">
        <f t="shared" si="187"/>
        <v>147.43013516964933</v>
      </c>
      <c r="T728" s="2">
        <f t="shared" si="188"/>
        <v>1</v>
      </c>
      <c r="U728" s="6">
        <f t="shared" si="189"/>
        <v>147.43013516964933</v>
      </c>
      <c r="V728">
        <f>IF((R728-$AB$774)/($Z$773-$AB$774)&lt;0, 0, IF((R728-$AB$774)/($Z$773-$AB$774)&gt;1, 1, (R728-$AB$774)/($Z$773-$AB$774)))</f>
        <v>0.3302612883174636</v>
      </c>
      <c r="W728" s="6">
        <f t="shared" si="190"/>
        <v>48.690466377946187</v>
      </c>
      <c r="AK728" s="78">
        <v>45039.270833333336</v>
      </c>
      <c r="AL728" s="5">
        <v>4.0557901629420898E-2</v>
      </c>
      <c r="AM728" s="5">
        <v>74.764849499999997</v>
      </c>
      <c r="AN728" s="2">
        <v>22874</v>
      </c>
      <c r="AO728" s="7">
        <f t="shared" si="184"/>
        <v>381.23333333333335</v>
      </c>
      <c r="AP728" s="5">
        <f t="shared" si="191"/>
        <v>15.462024031189561</v>
      </c>
      <c r="AQ728" s="6">
        <f t="shared" si="192"/>
        <v>141.98331811345841</v>
      </c>
      <c r="AR728" s="2">
        <f t="shared" si="193"/>
        <v>-2.1301186875174403</v>
      </c>
      <c r="AS728" s="2">
        <f t="shared" si="194"/>
        <v>-302.44131922921122</v>
      </c>
    </row>
    <row r="729" spans="13:45" x14ac:dyDescent="0.3">
      <c r="M729" s="78">
        <v>45040.28125</v>
      </c>
      <c r="N729" s="5">
        <v>4.8111388549971698E-2</v>
      </c>
      <c r="O729" s="5">
        <v>68.008627450000006</v>
      </c>
      <c r="P729" s="2">
        <v>22645</v>
      </c>
      <c r="Q729" s="7">
        <f t="shared" si="185"/>
        <v>377.41666666666669</v>
      </c>
      <c r="R729" s="6">
        <f t="shared" si="186"/>
        <v>18.158039895235152</v>
      </c>
      <c r="S729" s="6">
        <f t="shared" si="187"/>
        <v>153.61006230891684</v>
      </c>
      <c r="T729" s="2">
        <f t="shared" si="188"/>
        <v>1</v>
      </c>
      <c r="U729" s="6">
        <f t="shared" si="189"/>
        <v>153.61006230891684</v>
      </c>
      <c r="V729">
        <f>IF((R729-$AB$774)/($Z$773-$AB$774)&lt;0, 0, IF((R729-$AB$774)/($Z$773-$AB$774)&gt;1, 1, (R729-$AB$774)/($Z$773-$AB$774)))</f>
        <v>0.59760866457606721</v>
      </c>
      <c r="W729" s="6">
        <f t="shared" si="190"/>
        <v>91.798704201878266</v>
      </c>
      <c r="AK729" s="78">
        <v>45039.28125</v>
      </c>
      <c r="AL729" s="5">
        <v>3.8064793720702698E-2</v>
      </c>
      <c r="AM729" s="5">
        <v>73.423571839999994</v>
      </c>
      <c r="AN729" s="2">
        <v>23239</v>
      </c>
      <c r="AO729" s="7">
        <f t="shared" si="184"/>
        <v>387.31666666666666</v>
      </c>
      <c r="AP729" s="5">
        <f t="shared" si="191"/>
        <v>14.743129021256834</v>
      </c>
      <c r="AQ729" s="6">
        <f t="shared" si="192"/>
        <v>138.71133521956065</v>
      </c>
      <c r="AR729" s="2">
        <f t="shared" si="193"/>
        <v>-2.1301186875174403</v>
      </c>
      <c r="AS729" s="2">
        <f t="shared" si="194"/>
        <v>-295.4716073216822</v>
      </c>
    </row>
    <row r="730" spans="13:45" x14ac:dyDescent="0.3">
      <c r="M730" s="78">
        <v>45040.291666666664</v>
      </c>
      <c r="N730" s="5">
        <v>4.7192746742812597E-2</v>
      </c>
      <c r="O730" s="5">
        <v>71.17580074</v>
      </c>
      <c r="P730" s="2">
        <v>22614</v>
      </c>
      <c r="Q730" s="7">
        <f t="shared" si="185"/>
        <v>376.9</v>
      </c>
      <c r="R730" s="6">
        <f t="shared" si="186"/>
        <v>17.786946247366068</v>
      </c>
      <c r="S730" s="6">
        <f t="shared" si="187"/>
        <v>152.06464228507917</v>
      </c>
      <c r="T730" s="2">
        <f t="shared" si="188"/>
        <v>1</v>
      </c>
      <c r="U730" s="6">
        <f t="shared" si="189"/>
        <v>152.06464228507917</v>
      </c>
      <c r="V730">
        <f>IF((R730-$AB$774)/($Z$773-$AB$774)&lt;0, 0, IF((R730-$AB$774)/($Z$773-$AB$774)&gt;1, 1, (R730-$AB$774)/($Z$773-$AB$774)))</f>
        <v>0.5296801725592718</v>
      </c>
      <c r="W730" s="6">
        <f t="shared" si="190"/>
        <v>80.545625965724682</v>
      </c>
      <c r="AK730" s="78">
        <v>45039.291666666664</v>
      </c>
      <c r="AL730" s="5">
        <v>4.0331874078468999E-2</v>
      </c>
      <c r="AM730" s="5">
        <v>70.727821939999998</v>
      </c>
      <c r="AN730" s="2">
        <v>23015</v>
      </c>
      <c r="AO730" s="7">
        <f t="shared" si="184"/>
        <v>383.58333333333331</v>
      </c>
      <c r="AP730" s="5">
        <f t="shared" si="191"/>
        <v>15.470634698599399</v>
      </c>
      <c r="AQ730" s="6">
        <f t="shared" si="192"/>
        <v>142.02203284034081</v>
      </c>
      <c r="AR730" s="2">
        <f t="shared" si="193"/>
        <v>-2.1301186875174403</v>
      </c>
      <c r="AS730" s="2">
        <f t="shared" si="194"/>
        <v>-302.52378619242558</v>
      </c>
    </row>
    <row r="731" spans="13:45" x14ac:dyDescent="0.3">
      <c r="M731" s="78">
        <v>45040.302083333336</v>
      </c>
      <c r="N731" s="5">
        <v>4.0364918276763202E-2</v>
      </c>
      <c r="O731" s="5">
        <v>68.916923760000003</v>
      </c>
      <c r="P731" s="2">
        <v>23189</v>
      </c>
      <c r="Q731" s="7">
        <f t="shared" si="185"/>
        <v>386.48333333333335</v>
      </c>
      <c r="R731" s="6">
        <f t="shared" si="186"/>
        <v>15.600368165331032</v>
      </c>
      <c r="S731" s="6">
        <f t="shared" si="187"/>
        <v>142.60400660176515</v>
      </c>
      <c r="T731" s="2">
        <f t="shared" si="188"/>
        <v>1</v>
      </c>
      <c r="U731" s="6">
        <f t="shared" si="189"/>
        <v>142.60400660176515</v>
      </c>
      <c r="V731">
        <f>IF((R731-$AB$774)/($Z$773-$AB$774)&lt;0, 0, IF((R731-$AB$774)/($Z$773-$AB$774)&gt;1, 1, (R731-$AB$774)/($Z$773-$AB$774)))</f>
        <v>0.12942823442311754</v>
      </c>
      <c r="W731" s="6">
        <f t="shared" si="190"/>
        <v>18.456984796129063</v>
      </c>
      <c r="AK731" s="78">
        <v>45039.302083333336</v>
      </c>
      <c r="AL731" s="5">
        <v>4.3207031232908102E-2</v>
      </c>
      <c r="AM731" s="5">
        <v>73.423571839999994</v>
      </c>
      <c r="AN731" s="2">
        <v>23270</v>
      </c>
      <c r="AO731" s="7">
        <f t="shared" si="184"/>
        <v>387.83333333333331</v>
      </c>
      <c r="AP731" s="5">
        <f t="shared" si="191"/>
        <v>16.757126946496193</v>
      </c>
      <c r="AQ731" s="6">
        <f t="shared" si="192"/>
        <v>147.68762858481637</v>
      </c>
      <c r="AR731" s="2">
        <f t="shared" si="193"/>
        <v>-2.1301186875174403</v>
      </c>
      <c r="AS731" s="2">
        <f t="shared" si="194"/>
        <v>-314.59217756365223</v>
      </c>
    </row>
    <row r="732" spans="13:45" x14ac:dyDescent="0.3">
      <c r="M732" s="78">
        <v>45040.3125</v>
      </c>
      <c r="N732" s="5">
        <v>4.2859783973355298E-2</v>
      </c>
      <c r="O732" s="5">
        <v>67.557775419999999</v>
      </c>
      <c r="P732" s="2">
        <v>23459</v>
      </c>
      <c r="Q732" s="7">
        <f t="shared" si="185"/>
        <v>390.98333333333335</v>
      </c>
      <c r="R732" s="6">
        <f t="shared" si="186"/>
        <v>16.757461203849033</v>
      </c>
      <c r="S732" s="6">
        <f t="shared" si="187"/>
        <v>147.68907120970491</v>
      </c>
      <c r="T732" s="2">
        <f t="shared" si="188"/>
        <v>1</v>
      </c>
      <c r="U732" s="6">
        <f t="shared" si="189"/>
        <v>147.68907120970491</v>
      </c>
      <c r="V732">
        <f>IF((R732-$AB$774)/($Z$773-$AB$774)&lt;0, 0, IF((R732-$AB$774)/($Z$773-$AB$774)&gt;1, 1, (R732-$AB$774)/($Z$773-$AB$774)))</f>
        <v>0.34123349080785659</v>
      </c>
      <c r="W732" s="6">
        <f t="shared" si="190"/>
        <v>50.396457323057717</v>
      </c>
      <c r="AK732" s="78">
        <v>45039.3125</v>
      </c>
      <c r="AL732" s="5">
        <v>3.8180380631645201E-2</v>
      </c>
      <c r="AM732" s="5">
        <v>67.557775419999999</v>
      </c>
      <c r="AN732" s="2">
        <v>23558</v>
      </c>
      <c r="AO732" s="7">
        <f t="shared" si="184"/>
        <v>392.63333333333333</v>
      </c>
      <c r="AP732" s="5">
        <f t="shared" si="191"/>
        <v>14.990890115338294</v>
      </c>
      <c r="AQ732" s="6">
        <f t="shared" si="192"/>
        <v>139.84800670780621</v>
      </c>
      <c r="AR732" s="2">
        <f t="shared" si="193"/>
        <v>-2.1301186875174403</v>
      </c>
      <c r="AS732" s="2">
        <f t="shared" si="194"/>
        <v>-297.89285250036232</v>
      </c>
    </row>
    <row r="733" spans="13:45" x14ac:dyDescent="0.3">
      <c r="M733" s="78">
        <v>45040.322916666664</v>
      </c>
      <c r="N733" s="5">
        <v>3.9480256031324698E-2</v>
      </c>
      <c r="O733" s="5">
        <v>68.008627450000006</v>
      </c>
      <c r="P733" s="2">
        <v>22741</v>
      </c>
      <c r="Q733" s="7">
        <f t="shared" si="185"/>
        <v>379.01666666666665</v>
      </c>
      <c r="R733" s="6">
        <f t="shared" si="186"/>
        <v>14.963675040139249</v>
      </c>
      <c r="S733" s="6">
        <f t="shared" si="187"/>
        <v>139.72362119258386</v>
      </c>
      <c r="T733" s="2">
        <f t="shared" si="188"/>
        <v>1</v>
      </c>
      <c r="U733" s="6">
        <f t="shared" si="189"/>
        <v>139.72362119258386</v>
      </c>
      <c r="V733">
        <f>IF((R733-$AB$774)/($Z$773-$AB$774)&lt;0, 0, IF((R733-$AB$774)/($Z$773-$AB$774)&gt;1, 1, (R733-$AB$774)/($Z$773-$AB$774)))</f>
        <v>1.2881901388076593E-2</v>
      </c>
      <c r="W733" s="6">
        <f t="shared" si="190"/>
        <v>1.799905909787834</v>
      </c>
      <c r="AK733" s="78">
        <v>45039.322916666664</v>
      </c>
      <c r="AL733" s="5">
        <v>3.8809755018313803E-2</v>
      </c>
      <c r="AM733" s="5">
        <v>68.466857000000005</v>
      </c>
      <c r="AN733" s="2">
        <v>22823</v>
      </c>
      <c r="AO733" s="7">
        <f t="shared" si="184"/>
        <v>380.38333333333333</v>
      </c>
      <c r="AP733" s="5">
        <f t="shared" si="191"/>
        <v>14.762583979716265</v>
      </c>
      <c r="AQ733" s="6">
        <f t="shared" si="192"/>
        <v>138.80094110707537</v>
      </c>
      <c r="AR733" s="2">
        <f t="shared" si="193"/>
        <v>-2.1301186875174403</v>
      </c>
      <c r="AS733" s="2">
        <f t="shared" si="194"/>
        <v>-295.66247849718894</v>
      </c>
    </row>
    <row r="734" spans="13:45" x14ac:dyDescent="0.3">
      <c r="M734" s="78">
        <v>45040.333333333336</v>
      </c>
      <c r="N734" s="5">
        <v>3.6905297596443801E-2</v>
      </c>
      <c r="O734" s="5">
        <v>61.92162476</v>
      </c>
      <c r="P734" s="2">
        <v>24563</v>
      </c>
      <c r="Q734" s="7">
        <f t="shared" si="185"/>
        <v>409.38333333333333</v>
      </c>
      <c r="R734" s="6">
        <f t="shared" si="186"/>
        <v>15.108413747690818</v>
      </c>
      <c r="S734" s="6">
        <f t="shared" si="187"/>
        <v>140.38382557610157</v>
      </c>
      <c r="T734" s="2">
        <f t="shared" si="188"/>
        <v>1</v>
      </c>
      <c r="U734" s="6">
        <f t="shared" si="189"/>
        <v>140.38382557610157</v>
      </c>
      <c r="V734">
        <f>IF((R734-$AB$774)/($Z$773-$AB$774)&lt;0, 0, IF((R734-$AB$774)/($Z$773-$AB$774)&gt;1, 1, (R734-$AB$774)/($Z$773-$AB$774)))</f>
        <v>3.9376243710817167E-2</v>
      </c>
      <c r="W734" s="6">
        <f t="shared" si="190"/>
        <v>5.5277877289414237</v>
      </c>
      <c r="AK734" s="78">
        <v>45039.333333333336</v>
      </c>
      <c r="AL734" s="5">
        <v>3.9423724736067797E-2</v>
      </c>
      <c r="AM734" s="5">
        <v>69.822823</v>
      </c>
      <c r="AN734" s="2">
        <v>23304</v>
      </c>
      <c r="AO734" s="7">
        <f t="shared" si="184"/>
        <v>388.4</v>
      </c>
      <c r="AP734" s="5">
        <f t="shared" si="191"/>
        <v>15.312174687488731</v>
      </c>
      <c r="AQ734" s="6">
        <f t="shared" si="192"/>
        <v>141.30780502070328</v>
      </c>
      <c r="AR734" s="2">
        <f t="shared" si="193"/>
        <v>-2.1301186875174403</v>
      </c>
      <c r="AS734" s="2">
        <f t="shared" si="194"/>
        <v>-301.00239616667085</v>
      </c>
    </row>
    <row r="735" spans="13:45" x14ac:dyDescent="0.3">
      <c r="M735" s="78">
        <v>45040.34375</v>
      </c>
      <c r="N735" s="5">
        <v>4.3302727644505198E-2</v>
      </c>
      <c r="O735" s="5">
        <v>66.647934039999996</v>
      </c>
      <c r="P735" s="2">
        <v>23561</v>
      </c>
      <c r="Q735" s="7">
        <f t="shared" si="185"/>
        <v>392.68333333333334</v>
      </c>
      <c r="R735" s="6">
        <f t="shared" si="186"/>
        <v>17.004259433869784</v>
      </c>
      <c r="S735" s="6">
        <f t="shared" si="187"/>
        <v>148.75025172256926</v>
      </c>
      <c r="T735" s="2">
        <f t="shared" si="188"/>
        <v>1</v>
      </c>
      <c r="U735" s="6">
        <f t="shared" si="189"/>
        <v>148.75025172256926</v>
      </c>
      <c r="V735">
        <f>IF((R735-$AB$774)/($Z$773-$AB$774)&lt;0, 0, IF((R735-$AB$774)/($Z$773-$AB$774)&gt;1, 1, (R735-$AB$774)/($Z$773-$AB$774)))</f>
        <v>0.38640977365179813</v>
      </c>
      <c r="W735" s="6">
        <f t="shared" si="190"/>
        <v>57.478551098765983</v>
      </c>
      <c r="AK735" s="78">
        <v>45039.34375</v>
      </c>
      <c r="AL735" s="5">
        <v>4.0223251899363897E-2</v>
      </c>
      <c r="AM735" s="5">
        <v>70.720093730000002</v>
      </c>
      <c r="AN735" s="2">
        <v>22808</v>
      </c>
      <c r="AO735" s="7">
        <f t="shared" si="184"/>
        <v>380.13333333333333</v>
      </c>
      <c r="AP735" s="5">
        <f t="shared" si="191"/>
        <v>15.290198822011529</v>
      </c>
      <c r="AQ735" s="6">
        <f t="shared" si="192"/>
        <v>141.20845579498013</v>
      </c>
      <c r="AR735" s="2">
        <f t="shared" si="193"/>
        <v>-2.1301186875174403</v>
      </c>
      <c r="AS735" s="2">
        <f t="shared" si="194"/>
        <v>-300.79077052436753</v>
      </c>
    </row>
    <row r="736" spans="13:45" x14ac:dyDescent="0.3">
      <c r="M736" s="78">
        <v>45040.354166666664</v>
      </c>
      <c r="N736" s="5">
        <v>4.26985168778585E-2</v>
      </c>
      <c r="O736" s="5">
        <v>66.655723199999997</v>
      </c>
      <c r="P736" s="2">
        <v>23289</v>
      </c>
      <c r="Q736" s="7">
        <f t="shared" si="185"/>
        <v>388.15</v>
      </c>
      <c r="R736" s="6">
        <f t="shared" si="186"/>
        <v>16.573429326140776</v>
      </c>
      <c r="S736" s="6">
        <f t="shared" si="187"/>
        <v>146.89257212765716</v>
      </c>
      <c r="T736" s="2">
        <f t="shared" si="188"/>
        <v>1</v>
      </c>
      <c r="U736" s="6">
        <f t="shared" si="189"/>
        <v>146.89257212765716</v>
      </c>
      <c r="V736">
        <f>IF((R736-$AB$774)/($Z$773-$AB$774)&lt;0, 0, IF((R736-$AB$774)/($Z$773-$AB$774)&gt;1, 1, (R736-$AB$774)/($Z$773-$AB$774)))</f>
        <v>0.30754655488878274</v>
      </c>
      <c r="W736" s="6">
        <f t="shared" si="190"/>
        <v>45.176304496612993</v>
      </c>
      <c r="AK736" s="78">
        <v>45039.354166666664</v>
      </c>
      <c r="AL736" s="5">
        <v>3.8140267031154799E-2</v>
      </c>
      <c r="AM736" s="5">
        <v>65.283151739999994</v>
      </c>
      <c r="AN736" s="2">
        <v>23656</v>
      </c>
      <c r="AO736" s="7">
        <f t="shared" si="184"/>
        <v>394.26666666666665</v>
      </c>
      <c r="AP736" s="5">
        <f t="shared" si="191"/>
        <v>15.037435948149964</v>
      </c>
      <c r="AQ736" s="6">
        <f t="shared" si="192"/>
        <v>140.06047597043565</v>
      </c>
      <c r="AR736" s="2">
        <f t="shared" si="193"/>
        <v>-2.1301186875174403</v>
      </c>
      <c r="AS736" s="2">
        <f t="shared" si="194"/>
        <v>-298.34543724721237</v>
      </c>
    </row>
    <row r="737" spans="13:45" x14ac:dyDescent="0.3">
      <c r="M737" s="78">
        <v>45040.364583333336</v>
      </c>
      <c r="N737" s="5">
        <v>4.45601798780789E-2</v>
      </c>
      <c r="O737" s="5">
        <v>69.822823</v>
      </c>
      <c r="P737" s="2">
        <v>23365</v>
      </c>
      <c r="Q737" s="7">
        <f t="shared" si="185"/>
        <v>389.41666666666669</v>
      </c>
      <c r="R737" s="6">
        <f t="shared" si="186"/>
        <v>17.352476714188558</v>
      </c>
      <c r="S737" s="6">
        <f t="shared" si="187"/>
        <v>150.23423320303968</v>
      </c>
      <c r="T737" s="2">
        <f t="shared" si="188"/>
        <v>1</v>
      </c>
      <c r="U737" s="6">
        <f t="shared" si="189"/>
        <v>150.23423320303968</v>
      </c>
      <c r="V737">
        <f>IF((R737-$AB$774)/($Z$773-$AB$774)&lt;0, 0, IF((R737-$AB$774)/($Z$773-$AB$774)&gt;1, 1, (R737-$AB$774)/($Z$773-$AB$774)))</f>
        <v>0.45015075893158052</v>
      </c>
      <c r="W737" s="6">
        <f t="shared" si="190"/>
        <v>67.62805409385237</v>
      </c>
      <c r="AK737" s="78">
        <v>45039.364583333336</v>
      </c>
      <c r="AL737" s="5">
        <v>4.0099419055172503E-2</v>
      </c>
      <c r="AM737" s="5">
        <v>65.283151739999994</v>
      </c>
      <c r="AN737" s="2">
        <v>23227</v>
      </c>
      <c r="AO737" s="7">
        <f t="shared" si="184"/>
        <v>387.11666666666667</v>
      </c>
      <c r="AP737" s="5">
        <f t="shared" si="191"/>
        <v>15.523153439908196</v>
      </c>
      <c r="AQ737" s="6">
        <f t="shared" si="192"/>
        <v>142.25792652475596</v>
      </c>
      <c r="AR737" s="2">
        <f t="shared" si="193"/>
        <v>-2.1301186875174403</v>
      </c>
      <c r="AS737" s="2">
        <f t="shared" si="194"/>
        <v>-303.02626773786562</v>
      </c>
    </row>
    <row r="738" spans="13:45" x14ac:dyDescent="0.3">
      <c r="M738" s="78">
        <v>45040.375</v>
      </c>
      <c r="N738" s="5">
        <v>4.0040342740748899E-2</v>
      </c>
      <c r="O738" s="5">
        <v>63.015482910000003</v>
      </c>
      <c r="P738" s="2">
        <v>24686</v>
      </c>
      <c r="Q738" s="7">
        <f t="shared" si="185"/>
        <v>411.43333333333334</v>
      </c>
      <c r="R738" s="6">
        <f t="shared" si="186"/>
        <v>16.473931681635456</v>
      </c>
      <c r="S738" s="6">
        <f t="shared" si="187"/>
        <v>146.46006117736718</v>
      </c>
      <c r="T738" s="2">
        <f t="shared" si="188"/>
        <v>1</v>
      </c>
      <c r="U738" s="6">
        <f t="shared" si="189"/>
        <v>146.46006117736718</v>
      </c>
      <c r="V738">
        <f>IF((R738-$AB$774)/($Z$773-$AB$774)&lt;0, 0, IF((R738-$AB$774)/($Z$773-$AB$774)&gt;1, 1, (R738-$AB$774)/($Z$773-$AB$774)))</f>
        <v>0.28933356474659117</v>
      </c>
      <c r="W738" s="6">
        <f t="shared" si="190"/>
        <v>42.375811593451473</v>
      </c>
      <c r="AK738" s="78">
        <v>45039.375</v>
      </c>
      <c r="AL738" s="5">
        <v>3.8413077978328602E-2</v>
      </c>
      <c r="AM738" s="5">
        <v>67.557775419999999</v>
      </c>
      <c r="AN738" s="2">
        <v>23752</v>
      </c>
      <c r="AO738" s="7">
        <f t="shared" si="184"/>
        <v>395.86666666666667</v>
      </c>
      <c r="AP738" s="5">
        <f t="shared" si="191"/>
        <v>15.206457135687684</v>
      </c>
      <c r="AQ738" s="6">
        <f t="shared" si="192"/>
        <v>140.82920411069856</v>
      </c>
      <c r="AR738" s="2">
        <f t="shared" si="193"/>
        <v>-2.1301186875174403</v>
      </c>
      <c r="AS738" s="2">
        <f t="shared" si="194"/>
        <v>-299.98291942440693</v>
      </c>
    </row>
    <row r="739" spans="13:45" x14ac:dyDescent="0.3">
      <c r="M739" s="78">
        <v>45040.385416666664</v>
      </c>
      <c r="N739" s="5">
        <v>3.8138440587823501E-2</v>
      </c>
      <c r="O739" s="5">
        <v>71.17580074</v>
      </c>
      <c r="P739" s="2">
        <v>24982</v>
      </c>
      <c r="Q739" s="7">
        <f t="shared" si="185"/>
        <v>416.36666666666667</v>
      </c>
      <c r="R739" s="6">
        <f t="shared" si="186"/>
        <v>15.879575379416778</v>
      </c>
      <c r="S739" s="6">
        <f t="shared" si="187"/>
        <v>143.84818771740703</v>
      </c>
      <c r="T739" s="2">
        <f t="shared" si="188"/>
        <v>1</v>
      </c>
      <c r="U739" s="6">
        <f t="shared" si="189"/>
        <v>143.84818771740703</v>
      </c>
      <c r="V739">
        <f>IF((R739-$AB$774)/($Z$773-$AB$774)&lt;0, 0, IF((R739-$AB$774)/($Z$773-$AB$774)&gt;1, 1, (R739-$AB$774)/($Z$773-$AB$774)))</f>
        <v>0.18053696431370894</v>
      </c>
      <c r="W739" s="6">
        <f t="shared" si="190"/>
        <v>25.969915132529216</v>
      </c>
      <c r="AK739" s="78">
        <v>45039.385416666664</v>
      </c>
      <c r="AL739" s="5">
        <v>3.5836119461257199E-2</v>
      </c>
      <c r="AM739" s="5">
        <v>67.557775419999999</v>
      </c>
      <c r="AN739" s="2">
        <v>23639</v>
      </c>
      <c r="AO739" s="7">
        <f t="shared" si="184"/>
        <v>393.98333333333335</v>
      </c>
      <c r="AP739" s="5">
        <f t="shared" si="191"/>
        <v>14.118833799077649</v>
      </c>
      <c r="AQ739" s="6">
        <f t="shared" si="192"/>
        <v>135.80322319555148</v>
      </c>
      <c r="AR739" s="2">
        <f t="shared" si="193"/>
        <v>-2.1301186875174403</v>
      </c>
      <c r="AS739" s="2">
        <f t="shared" si="194"/>
        <v>-289.27698355394614</v>
      </c>
    </row>
    <row r="740" spans="13:45" x14ac:dyDescent="0.3">
      <c r="M740" s="78">
        <v>45040.395833333336</v>
      </c>
      <c r="N740" s="5">
        <v>4.0240909586963899E-2</v>
      </c>
      <c r="O740" s="5">
        <v>68.016396760000006</v>
      </c>
      <c r="P740" s="2">
        <v>25125</v>
      </c>
      <c r="Q740" s="7">
        <f t="shared" si="185"/>
        <v>418.75</v>
      </c>
      <c r="R740" s="6">
        <f t="shared" si="186"/>
        <v>16.850880889541134</v>
      </c>
      <c r="S740" s="6">
        <f t="shared" si="187"/>
        <v>148.09168828222525</v>
      </c>
      <c r="T740" s="2">
        <f t="shared" si="188"/>
        <v>1</v>
      </c>
      <c r="U740" s="6">
        <f t="shared" si="189"/>
        <v>148.09168828222525</v>
      </c>
      <c r="V740">
        <f>IF((R740-$AB$774)/($Z$773-$AB$774)&lt;0, 0, IF((R740-$AB$774)/($Z$773-$AB$774)&gt;1, 1, (R740-$AB$774)/($Z$773-$AB$774)))</f>
        <v>0.35833391386868502</v>
      </c>
      <c r="W740" s="6">
        <f t="shared" si="190"/>
        <v>53.066274273591056</v>
      </c>
      <c r="AK740" s="78">
        <v>45039.395833333336</v>
      </c>
      <c r="AL740" s="5">
        <v>4.0269738597361299E-2</v>
      </c>
      <c r="AM740" s="5">
        <v>69.822823</v>
      </c>
      <c r="AN740" s="2">
        <v>22973</v>
      </c>
      <c r="AO740" s="7">
        <f t="shared" ref="AO740:AO803" si="195">AN740/60</f>
        <v>382.88333333333333</v>
      </c>
      <c r="AP740" s="5">
        <f t="shared" si="191"/>
        <v>15.418611746619685</v>
      </c>
      <c r="AQ740" s="6">
        <f t="shared" si="192"/>
        <v>141.78796282605157</v>
      </c>
      <c r="AR740" s="2">
        <f t="shared" si="193"/>
        <v>-2.1301186875174403</v>
      </c>
      <c r="AS740" s="2">
        <f t="shared" si="194"/>
        <v>-302.02518928080059</v>
      </c>
    </row>
    <row r="741" spans="13:45" x14ac:dyDescent="0.3">
      <c r="M741" s="78">
        <v>45040.40625</v>
      </c>
      <c r="N741" s="5">
        <v>4.8978535105162903E-2</v>
      </c>
      <c r="O741" s="5">
        <v>68.016396760000006</v>
      </c>
      <c r="P741" s="2">
        <v>23441</v>
      </c>
      <c r="Q741" s="7">
        <f t="shared" si="185"/>
        <v>390.68333333333334</v>
      </c>
      <c r="R741" s="6">
        <f t="shared" si="186"/>
        <v>19.135097356668727</v>
      </c>
      <c r="S741" s="6">
        <f t="shared" si="187"/>
        <v>157.60357871606917</v>
      </c>
      <c r="T741" s="2">
        <f t="shared" si="188"/>
        <v>1</v>
      </c>
      <c r="U741" s="6">
        <f t="shared" si="189"/>
        <v>157.60357871606917</v>
      </c>
      <c r="V741">
        <f>IF((R741-$AB$774)/($Z$773-$AB$774)&lt;0, 0, IF((R741-$AB$774)/($Z$773-$AB$774)&gt;1, 1, (R741-$AB$774)/($Z$773-$AB$774)))</f>
        <v>0.77645850571469832</v>
      </c>
      <c r="W741" s="6">
        <f t="shared" si="190"/>
        <v>122.3726392251679</v>
      </c>
      <c r="AK741" s="78">
        <v>45039.40625</v>
      </c>
      <c r="AL741" s="5">
        <v>4.38266605103447E-2</v>
      </c>
      <c r="AM741" s="5">
        <v>63.92387093</v>
      </c>
      <c r="AN741" s="2">
        <v>22835</v>
      </c>
      <c r="AO741" s="7">
        <f t="shared" si="195"/>
        <v>380.58333333333331</v>
      </c>
      <c r="AP741" s="5">
        <f t="shared" si="191"/>
        <v>16.679696545895354</v>
      </c>
      <c r="AQ741" s="6">
        <f t="shared" si="192"/>
        <v>147.35304927197041</v>
      </c>
      <c r="AR741" s="2">
        <f t="shared" si="193"/>
        <v>-2.1301186875174403</v>
      </c>
      <c r="AS741" s="2">
        <f t="shared" si="194"/>
        <v>-313.8794839169023</v>
      </c>
    </row>
    <row r="742" spans="13:45" x14ac:dyDescent="0.3">
      <c r="M742" s="78">
        <v>45040.416666666664</v>
      </c>
      <c r="N742" s="5">
        <v>4.1217776426243601E-2</v>
      </c>
      <c r="O742" s="5">
        <v>66.655723199999997</v>
      </c>
      <c r="P742" s="2">
        <v>24258</v>
      </c>
      <c r="Q742" s="7">
        <f t="shared" si="185"/>
        <v>404.3</v>
      </c>
      <c r="R742" s="6">
        <f t="shared" si="186"/>
        <v>16.664347009130289</v>
      </c>
      <c r="S742" s="6">
        <f t="shared" si="187"/>
        <v>147.28662934889115</v>
      </c>
      <c r="T742" s="2">
        <f t="shared" si="188"/>
        <v>1</v>
      </c>
      <c r="U742" s="6">
        <f t="shared" si="189"/>
        <v>147.28662934889115</v>
      </c>
      <c r="V742">
        <f>IF((R742-$AB$774)/($Z$773-$AB$774)&lt;0, 0, IF((R742-$AB$774)/($Z$773-$AB$774)&gt;1, 1, (R742-$AB$774)/($Z$773-$AB$774)))</f>
        <v>0.32418898770487187</v>
      </c>
      <c r="W742" s="6">
        <f t="shared" si="190"/>
        <v>47.748703271079691</v>
      </c>
      <c r="AK742" s="78">
        <v>45039.416666666664</v>
      </c>
      <c r="AL742" s="5">
        <v>4.0734077962752198E-2</v>
      </c>
      <c r="AM742" s="5">
        <v>63.92387093</v>
      </c>
      <c r="AN742" s="2">
        <v>23068</v>
      </c>
      <c r="AO742" s="7">
        <f t="shared" si="195"/>
        <v>384.46666666666664</v>
      </c>
      <c r="AP742" s="5">
        <f t="shared" si="191"/>
        <v>15.66089517407946</v>
      </c>
      <c r="AQ742" s="6">
        <f t="shared" si="192"/>
        <v>142.87468082213198</v>
      </c>
      <c r="AR742" s="2">
        <f t="shared" si="193"/>
        <v>-2.1301186875174403</v>
      </c>
      <c r="AS742" s="2">
        <f t="shared" si="194"/>
        <v>-304.34002759231294</v>
      </c>
    </row>
    <row r="743" spans="13:45" x14ac:dyDescent="0.3">
      <c r="M743" s="78">
        <v>45040.427083333336</v>
      </c>
      <c r="N743" s="5">
        <v>4.5874167120297502E-2</v>
      </c>
      <c r="O743" s="5">
        <v>63.92387093</v>
      </c>
      <c r="P743" s="2">
        <v>23599</v>
      </c>
      <c r="Q743" s="7">
        <f t="shared" si="185"/>
        <v>393.31666666666666</v>
      </c>
      <c r="R743" s="6">
        <f t="shared" si="186"/>
        <v>18.04307449786501</v>
      </c>
      <c r="S743" s="6">
        <f t="shared" si="187"/>
        <v>153.13302625371429</v>
      </c>
      <c r="T743" s="2">
        <f t="shared" si="188"/>
        <v>1</v>
      </c>
      <c r="U743" s="6">
        <f t="shared" si="189"/>
        <v>153.13302625371429</v>
      </c>
      <c r="V743">
        <f>IF((R743-$AB$774)/($Z$773-$AB$774)&lt;0, 0, IF((R743-$AB$774)/($Z$773-$AB$774)&gt;1, 1, (R743-$AB$774)/($Z$773-$AB$774)))</f>
        <v>0.57656431061768199</v>
      </c>
      <c r="W743" s="6">
        <f t="shared" si="190"/>
        <v>88.291037714772173</v>
      </c>
      <c r="AK743" s="78">
        <v>45039.427083333336</v>
      </c>
      <c r="AL743" s="5">
        <v>3.7628988619206397E-2</v>
      </c>
      <c r="AM743" s="5">
        <v>63.92387093</v>
      </c>
      <c r="AN743" s="2">
        <v>24360</v>
      </c>
      <c r="AO743" s="7">
        <f t="shared" si="195"/>
        <v>406</v>
      </c>
      <c r="AP743" s="5">
        <f t="shared" si="191"/>
        <v>15.277369379397797</v>
      </c>
      <c r="AQ743" s="6">
        <f t="shared" si="192"/>
        <v>141.15042233425888</v>
      </c>
      <c r="AR743" s="2">
        <f t="shared" si="193"/>
        <v>-2.1301186875174403</v>
      </c>
      <c r="AS743" s="2">
        <f t="shared" si="194"/>
        <v>-300.66715236518388</v>
      </c>
    </row>
    <row r="744" spans="13:45" x14ac:dyDescent="0.3">
      <c r="M744" s="78">
        <v>45040.4375</v>
      </c>
      <c r="N744" s="5">
        <v>4.3943778825243397E-2</v>
      </c>
      <c r="O744" s="5">
        <v>69.373566690000004</v>
      </c>
      <c r="P744" s="2">
        <v>23318</v>
      </c>
      <c r="Q744" s="7">
        <f t="shared" si="185"/>
        <v>388.63333333333333</v>
      </c>
      <c r="R744" s="6">
        <f t="shared" si="186"/>
        <v>17.078017244117092</v>
      </c>
      <c r="S744" s="6">
        <f t="shared" si="187"/>
        <v>149.06586715908236</v>
      </c>
      <c r="T744" s="2">
        <f t="shared" si="188"/>
        <v>1</v>
      </c>
      <c r="U744" s="6">
        <f t="shared" si="189"/>
        <v>149.06586715908236</v>
      </c>
      <c r="V744">
        <f>IF((R744-$AB$774)/($Z$773-$AB$774)&lt;0, 0, IF((R744-$AB$774)/($Z$773-$AB$774)&gt;1, 1, (R744-$AB$774)/($Z$773-$AB$774)))</f>
        <v>0.39991110102113131</v>
      </c>
      <c r="W744" s="6">
        <f t="shared" si="190"/>
        <v>59.613095060258324</v>
      </c>
      <c r="AK744" s="78">
        <v>45039.4375</v>
      </c>
      <c r="AL744" s="5">
        <v>3.8862558627362799E-2</v>
      </c>
      <c r="AM744" s="5">
        <v>59.685691249999998</v>
      </c>
      <c r="AN744" s="2">
        <v>23655</v>
      </c>
      <c r="AO744" s="7">
        <f t="shared" si="195"/>
        <v>394.25</v>
      </c>
      <c r="AP744" s="5">
        <f t="shared" si="191"/>
        <v>15.321563738837783</v>
      </c>
      <c r="AQ744" s="6">
        <f t="shared" si="192"/>
        <v>141.3502291720186</v>
      </c>
      <c r="AR744" s="2">
        <f t="shared" si="193"/>
        <v>-2.1301186875174403</v>
      </c>
      <c r="AS744" s="2">
        <f t="shared" si="194"/>
        <v>-301.09276464418969</v>
      </c>
    </row>
    <row r="745" spans="13:45" x14ac:dyDescent="0.3">
      <c r="M745" s="78">
        <v>45040.447916666664</v>
      </c>
      <c r="N745" s="5">
        <v>4.619593508303E-2</v>
      </c>
      <c r="O745" s="5">
        <v>66.655723199999997</v>
      </c>
      <c r="P745" s="2">
        <v>24383</v>
      </c>
      <c r="Q745" s="7">
        <f t="shared" si="185"/>
        <v>406.38333333333333</v>
      </c>
      <c r="R745" s="6">
        <f t="shared" si="186"/>
        <v>18.773258085492007</v>
      </c>
      <c r="S745" s="6">
        <f t="shared" si="187"/>
        <v>156.13704637687178</v>
      </c>
      <c r="T745" s="2">
        <f t="shared" si="188"/>
        <v>1</v>
      </c>
      <c r="U745" s="6">
        <f t="shared" si="189"/>
        <v>156.13704637687178</v>
      </c>
      <c r="V745">
        <f>IF((R745-$AB$774)/($Z$773-$AB$774)&lt;0, 0, IF((R745-$AB$774)/($Z$773-$AB$774)&gt;1, 1, (R745-$AB$774)/($Z$773-$AB$774)))</f>
        <v>0.71022402235818993</v>
      </c>
      <c r="W745" s="6">
        <f t="shared" si="190"/>
        <v>110.89228111690912</v>
      </c>
      <c r="AK745" s="78">
        <v>45039.447916666664</v>
      </c>
      <c r="AL745" s="5">
        <v>3.9718333508375198E-2</v>
      </c>
      <c r="AM745" s="5">
        <v>63.92387093</v>
      </c>
      <c r="AN745" s="2">
        <v>22616</v>
      </c>
      <c r="AO745" s="7">
        <f t="shared" si="195"/>
        <v>376.93333333333334</v>
      </c>
      <c r="AP745" s="5">
        <f t="shared" si="191"/>
        <v>14.971163843756891</v>
      </c>
      <c r="AQ745" s="6">
        <f t="shared" si="192"/>
        <v>139.75786000275738</v>
      </c>
      <c r="AR745" s="2">
        <f t="shared" si="193"/>
        <v>-2.1301186875174403</v>
      </c>
      <c r="AS745" s="2">
        <f t="shared" si="194"/>
        <v>-297.70082931931972</v>
      </c>
    </row>
    <row r="746" spans="13:45" x14ac:dyDescent="0.3">
      <c r="M746" s="78">
        <v>45040.458333333336</v>
      </c>
      <c r="N746" s="5">
        <v>3.8488217123468497E-2</v>
      </c>
      <c r="O746" s="5">
        <v>65.290959470000004</v>
      </c>
      <c r="P746" s="2">
        <v>23778</v>
      </c>
      <c r="Q746" s="7">
        <f t="shared" si="185"/>
        <v>396.3</v>
      </c>
      <c r="R746" s="6">
        <f t="shared" si="186"/>
        <v>15.252880446030566</v>
      </c>
      <c r="S746" s="6">
        <f t="shared" si="187"/>
        <v>141.03957855949309</v>
      </c>
      <c r="T746" s="2">
        <f t="shared" si="188"/>
        <v>1</v>
      </c>
      <c r="U746" s="6">
        <f t="shared" si="189"/>
        <v>141.03957855949309</v>
      </c>
      <c r="V746">
        <f>IF((R746-$AB$774)/($Z$773-$AB$774)&lt;0, 0, IF((R746-$AB$774)/($Z$773-$AB$774)&gt;1, 1, (R746-$AB$774)/($Z$773-$AB$774)))</f>
        <v>6.5820794894097923E-2</v>
      </c>
      <c r="W746" s="6">
        <f t="shared" si="190"/>
        <v>9.2833371723144058</v>
      </c>
      <c r="AK746" s="78">
        <v>45039.458333333336</v>
      </c>
      <c r="AL746" s="5">
        <v>3.8822848526278098E-2</v>
      </c>
      <c r="AM746" s="5">
        <v>63.015482910000003</v>
      </c>
      <c r="AN746" s="2">
        <v>23180</v>
      </c>
      <c r="AO746" s="7">
        <f t="shared" si="195"/>
        <v>386.33333333333331</v>
      </c>
      <c r="AP746" s="5">
        <f t="shared" si="191"/>
        <v>14.998560480652104</v>
      </c>
      <c r="AQ746" s="6">
        <f t="shared" si="192"/>
        <v>139.88304301496822</v>
      </c>
      <c r="AR746" s="2">
        <f t="shared" si="193"/>
        <v>-2.1301186875174403</v>
      </c>
      <c r="AS746" s="2">
        <f t="shared" si="194"/>
        <v>-297.96748399298974</v>
      </c>
    </row>
    <row r="747" spans="13:45" x14ac:dyDescent="0.3">
      <c r="M747" s="78">
        <v>45040.46875</v>
      </c>
      <c r="N747" s="5">
        <v>3.9061976832125297E-2</v>
      </c>
      <c r="O747" s="5">
        <v>63.92387093</v>
      </c>
      <c r="P747" s="2">
        <v>24175</v>
      </c>
      <c r="Q747" s="7">
        <f t="shared" si="185"/>
        <v>402.91666666666669</v>
      </c>
      <c r="R747" s="6">
        <f t="shared" si="186"/>
        <v>15.738721498610484</v>
      </c>
      <c r="S747" s="6">
        <f t="shared" si="187"/>
        <v>143.22193355557624</v>
      </c>
      <c r="T747" s="2">
        <f t="shared" si="188"/>
        <v>1</v>
      </c>
      <c r="U747" s="6">
        <f t="shared" si="189"/>
        <v>143.22193355557624</v>
      </c>
      <c r="V747">
        <f>IF((R747-$AB$774)/($Z$773-$AB$774)&lt;0, 0, IF((R747-$AB$774)/($Z$773-$AB$774)&gt;1, 1, (R747-$AB$774)/($Z$773-$AB$774)))</f>
        <v>0.15475373743061127</v>
      </c>
      <c r="W747" s="6">
        <f t="shared" si="190"/>
        <v>22.164129499764101</v>
      </c>
      <c r="AK747" s="78">
        <v>45039.46875</v>
      </c>
      <c r="AL747" s="5">
        <v>3.9035079626438797E-2</v>
      </c>
      <c r="AM747" s="5">
        <v>61.92162476</v>
      </c>
      <c r="AN747" s="2">
        <v>23016</v>
      </c>
      <c r="AO747" s="7">
        <f t="shared" si="195"/>
        <v>383.6</v>
      </c>
      <c r="AP747" s="5">
        <f t="shared" si="191"/>
        <v>14.973856544701924</v>
      </c>
      <c r="AQ747" s="6">
        <f t="shared" si="192"/>
        <v>139.77016889519663</v>
      </c>
      <c r="AR747" s="2">
        <f t="shared" si="193"/>
        <v>-2.1301186875174403</v>
      </c>
      <c r="AS747" s="2">
        <f t="shared" si="194"/>
        <v>-297.72704872112723</v>
      </c>
    </row>
    <row r="748" spans="13:45" x14ac:dyDescent="0.3">
      <c r="M748" s="78">
        <v>45040.479166666664</v>
      </c>
      <c r="N748" s="5">
        <v>3.8778577798987003E-2</v>
      </c>
      <c r="O748" s="5">
        <v>66.655723199999997</v>
      </c>
      <c r="P748" s="2">
        <v>23036</v>
      </c>
      <c r="Q748" s="7">
        <f t="shared" si="185"/>
        <v>383.93333333333334</v>
      </c>
      <c r="R748" s="6">
        <f t="shared" si="186"/>
        <v>14.888388636291078</v>
      </c>
      <c r="S748" s="6">
        <f t="shared" si="187"/>
        <v>139.37892475442337</v>
      </c>
      <c r="T748" s="2">
        <f t="shared" si="188"/>
        <v>1</v>
      </c>
      <c r="U748" s="6">
        <f t="shared" si="189"/>
        <v>139.37892475442337</v>
      </c>
      <c r="V748">
        <f>IF((R748-$AB$774)/($Z$773-$AB$774)&lt;0, 0, IF((R748-$AB$774)/($Z$773-$AB$774)&gt;1, 1, (R748-$AB$774)/($Z$773-$AB$774)))</f>
        <v>0</v>
      </c>
      <c r="W748" s="6">
        <f t="shared" si="190"/>
        <v>0</v>
      </c>
      <c r="AK748" s="78">
        <v>45039.479166666664</v>
      </c>
      <c r="AL748" s="5">
        <v>3.9878354368970102E-2</v>
      </c>
      <c r="AM748" s="5">
        <v>63.92387093</v>
      </c>
      <c r="AN748" s="2">
        <v>23092</v>
      </c>
      <c r="AO748" s="7">
        <f t="shared" si="195"/>
        <v>384.86666666666667</v>
      </c>
      <c r="AP748" s="5">
        <f t="shared" si="191"/>
        <v>15.347849318137627</v>
      </c>
      <c r="AQ748" s="6">
        <f t="shared" si="192"/>
        <v>141.46892927578344</v>
      </c>
      <c r="AR748" s="2">
        <f t="shared" si="193"/>
        <v>-2.1301186875174403</v>
      </c>
      <c r="AS748" s="2">
        <f t="shared" si="194"/>
        <v>-301.3456099534294</v>
      </c>
    </row>
    <row r="749" spans="13:45" x14ac:dyDescent="0.3">
      <c r="M749" s="78">
        <v>45040.489583333336</v>
      </c>
      <c r="N749" s="5">
        <v>3.9057883124591998E-2</v>
      </c>
      <c r="O749" s="5">
        <v>71.17580074</v>
      </c>
      <c r="P749" s="2">
        <v>23117</v>
      </c>
      <c r="Q749" s="7">
        <f t="shared" si="185"/>
        <v>385.28333333333336</v>
      </c>
      <c r="R749" s="6">
        <f t="shared" si="186"/>
        <v>15.048351403186555</v>
      </c>
      <c r="S749" s="6">
        <f t="shared" si="187"/>
        <v>140.11025350044395</v>
      </c>
      <c r="T749" s="2">
        <f t="shared" si="188"/>
        <v>1</v>
      </c>
      <c r="U749" s="6">
        <f t="shared" si="189"/>
        <v>140.11025350044395</v>
      </c>
      <c r="V749">
        <f>IF((R749-$AB$774)/($Z$773-$AB$774)&lt;0, 0, IF((R749-$AB$774)/($Z$773-$AB$774)&gt;1, 1, (R749-$AB$774)/($Z$773-$AB$774)))</f>
        <v>2.8381863956283566E-2</v>
      </c>
      <c r="W749" s="6">
        <f t="shared" si="190"/>
        <v>3.9765901537300032</v>
      </c>
      <c r="AK749" s="78">
        <v>45039.489583333336</v>
      </c>
      <c r="AL749" s="5">
        <v>3.9856946211001103E-2</v>
      </c>
      <c r="AM749" s="5">
        <v>62.292408569999999</v>
      </c>
      <c r="AN749" s="2">
        <v>22595</v>
      </c>
      <c r="AO749" s="7">
        <f t="shared" si="195"/>
        <v>376.58333333333331</v>
      </c>
      <c r="AP749" s="5">
        <f t="shared" si="191"/>
        <v>15.009461660626165</v>
      </c>
      <c r="AQ749" s="6">
        <f t="shared" si="192"/>
        <v>139.93282114637762</v>
      </c>
      <c r="AR749" s="2">
        <f t="shared" si="193"/>
        <v>-2.1301186875174403</v>
      </c>
      <c r="AS749" s="2">
        <f t="shared" si="194"/>
        <v>-298.07351732093463</v>
      </c>
    </row>
    <row r="750" spans="13:45" x14ac:dyDescent="0.3">
      <c r="M750" s="78">
        <v>45040.5</v>
      </c>
      <c r="N750" s="5">
        <v>4.0498791576762297E-2</v>
      </c>
      <c r="O750" s="5">
        <v>65.290959470000004</v>
      </c>
      <c r="P750" s="2">
        <v>22588</v>
      </c>
      <c r="Q750" s="7">
        <f t="shared" si="185"/>
        <v>376.46666666666664</v>
      </c>
      <c r="R750" s="6">
        <f t="shared" si="186"/>
        <v>15.246445068931779</v>
      </c>
      <c r="S750" s="6">
        <f t="shared" si="187"/>
        <v>141.01043517408647</v>
      </c>
      <c r="T750" s="2">
        <f t="shared" si="188"/>
        <v>1</v>
      </c>
      <c r="U750" s="6">
        <f t="shared" si="189"/>
        <v>141.01043517408647</v>
      </c>
      <c r="V750">
        <f>IF((R750-$AB$774)/($Z$773-$AB$774)&lt;0, 0, IF((R750-$AB$774)/($Z$773-$AB$774)&gt;1, 1, (R750-$AB$774)/($Z$773-$AB$774)))</f>
        <v>6.4642802588408363E-2</v>
      </c>
      <c r="W750" s="6">
        <f t="shared" si="190"/>
        <v>9.1153097238640264</v>
      </c>
      <c r="AK750" s="78">
        <v>45039.5</v>
      </c>
      <c r="AL750" s="5">
        <v>4.1084957165398298E-2</v>
      </c>
      <c r="AM750" s="5">
        <v>61.180993239999999</v>
      </c>
      <c r="AN750" s="2">
        <v>22559</v>
      </c>
      <c r="AO750" s="7">
        <f t="shared" si="195"/>
        <v>375.98333333333335</v>
      </c>
      <c r="AP750" s="5">
        <f t="shared" si="191"/>
        <v>15.44725914490367</v>
      </c>
      <c r="AQ750" s="6">
        <f t="shared" si="192"/>
        <v>141.91690756910791</v>
      </c>
      <c r="AR750" s="2">
        <f t="shared" si="193"/>
        <v>-2.1301186875174403</v>
      </c>
      <c r="AS750" s="2">
        <f t="shared" si="194"/>
        <v>-302.29985688764202</v>
      </c>
    </row>
    <row r="751" spans="13:45" x14ac:dyDescent="0.3">
      <c r="M751" s="78">
        <v>45040.510416666664</v>
      </c>
      <c r="N751" s="5">
        <v>4.16766685992856E-2</v>
      </c>
      <c r="O751" s="5">
        <v>71.17580074</v>
      </c>
      <c r="P751" s="2">
        <v>22386</v>
      </c>
      <c r="Q751" s="7">
        <f t="shared" si="185"/>
        <v>373.1</v>
      </c>
      <c r="R751" s="6">
        <f t="shared" si="186"/>
        <v>15.549565054393458</v>
      </c>
      <c r="S751" s="6">
        <f t="shared" si="187"/>
        <v>142.37640328279022</v>
      </c>
      <c r="T751" s="2">
        <f t="shared" si="188"/>
        <v>1</v>
      </c>
      <c r="U751" s="6">
        <f t="shared" si="189"/>
        <v>142.37640328279022</v>
      </c>
      <c r="V751">
        <f>IF((R751-$AB$774)/($Z$773-$AB$774)&lt;0, 0, IF((R751-$AB$774)/($Z$773-$AB$774)&gt;1, 1, (R751-$AB$774)/($Z$773-$AB$774)))</f>
        <v>0.12012875237709555</v>
      </c>
      <c r="W751" s="6">
        <f t="shared" si="190"/>
        <v>17.103499694299803</v>
      </c>
      <c r="AK751" s="78">
        <v>45039.510416666664</v>
      </c>
      <c r="AL751" s="5">
        <v>4.5408972830547199E-2</v>
      </c>
      <c r="AM751" s="5">
        <v>66.195962919999999</v>
      </c>
      <c r="AN751" s="2">
        <v>20919</v>
      </c>
      <c r="AO751" s="7">
        <f t="shared" si="195"/>
        <v>348.65</v>
      </c>
      <c r="AP751" s="5">
        <f t="shared" si="191"/>
        <v>15.83183837737028</v>
      </c>
      <c r="AQ751" s="6">
        <f t="shared" si="192"/>
        <v>143.63626171389311</v>
      </c>
      <c r="AR751" s="2">
        <f t="shared" si="193"/>
        <v>-2.1301186875174403</v>
      </c>
      <c r="AS751" s="2">
        <f t="shared" si="194"/>
        <v>-305.96228528190954</v>
      </c>
    </row>
    <row r="752" spans="13:45" x14ac:dyDescent="0.3">
      <c r="M752" s="78">
        <v>45040.520833333336</v>
      </c>
      <c r="N752" s="5">
        <v>4.1884715168368003E-2</v>
      </c>
      <c r="O752" s="5">
        <v>70.279402750000003</v>
      </c>
      <c r="P752" s="2">
        <v>21576</v>
      </c>
      <c r="Q752" s="7">
        <f t="shared" si="185"/>
        <v>359.6</v>
      </c>
      <c r="R752" s="6">
        <f t="shared" si="186"/>
        <v>15.061743574545135</v>
      </c>
      <c r="S752" s="6">
        <f t="shared" si="187"/>
        <v>140.17130038631697</v>
      </c>
      <c r="T752" s="2">
        <f t="shared" si="188"/>
        <v>1</v>
      </c>
      <c r="U752" s="6">
        <f t="shared" si="189"/>
        <v>140.17130038631697</v>
      </c>
      <c r="V752">
        <f>IF((R752-$AB$774)/($Z$773-$AB$774)&lt;0, 0, IF((R752-$AB$774)/($Z$773-$AB$774)&gt;1, 1, (R752-$AB$774)/($Z$773-$AB$774)))</f>
        <v>3.0833293697651185E-2</v>
      </c>
      <c r="W752" s="6">
        <f t="shared" si="190"/>
        <v>4.3219428727929978</v>
      </c>
      <c r="AK752" s="78">
        <v>45039.520833333336</v>
      </c>
      <c r="AL752" s="5">
        <v>4.4502935941860999E-2</v>
      </c>
      <c r="AM752" s="5">
        <v>63.015482910000003</v>
      </c>
      <c r="AN752" s="2">
        <v>21774</v>
      </c>
      <c r="AO752" s="7">
        <f t="shared" si="195"/>
        <v>362.9</v>
      </c>
      <c r="AP752" s="5">
        <f t="shared" si="191"/>
        <v>16.150115453301357</v>
      </c>
      <c r="AQ752" s="6">
        <f t="shared" si="192"/>
        <v>145.04314208583475</v>
      </c>
      <c r="AR752" s="2">
        <f t="shared" si="193"/>
        <v>-2.1301186875174403</v>
      </c>
      <c r="AS752" s="2">
        <f t="shared" si="194"/>
        <v>-308.95910745328393</v>
      </c>
    </row>
    <row r="753" spans="13:45" x14ac:dyDescent="0.3">
      <c r="M753" s="78">
        <v>45040.53125</v>
      </c>
      <c r="N753" s="5">
        <v>4.4284328870226902E-2</v>
      </c>
      <c r="O753" s="5">
        <v>71.630262669999993</v>
      </c>
      <c r="P753" s="2">
        <v>21241</v>
      </c>
      <c r="Q753" s="7">
        <f t="shared" si="185"/>
        <v>354.01666666666665</v>
      </c>
      <c r="R753" s="6">
        <f t="shared" si="186"/>
        <v>15.67739049220816</v>
      </c>
      <c r="S753" s="6">
        <f t="shared" si="187"/>
        <v>142.94835457997146</v>
      </c>
      <c r="T753" s="2">
        <f t="shared" si="188"/>
        <v>1</v>
      </c>
      <c r="U753" s="6">
        <f t="shared" si="189"/>
        <v>142.94835457997146</v>
      </c>
      <c r="V753">
        <f>IF((R753-$AB$774)/($Z$773-$AB$774)&lt;0, 0, IF((R753-$AB$774)/($Z$773-$AB$774)&gt;1, 1, (R753-$AB$774)/($Z$773-$AB$774)))</f>
        <v>0.14352712980015112</v>
      </c>
      <c r="W753" s="6">
        <f t="shared" si="190"/>
        <v>20.516967042517592</v>
      </c>
      <c r="AK753" s="78">
        <v>45039.53125</v>
      </c>
      <c r="AL753" s="5">
        <v>4.8937249988339197E-2</v>
      </c>
      <c r="AM753" s="5">
        <v>66.647934039999996</v>
      </c>
      <c r="AN753" s="2">
        <v>20805</v>
      </c>
      <c r="AO753" s="7">
        <f t="shared" si="195"/>
        <v>346.75</v>
      </c>
      <c r="AP753" s="5">
        <f t="shared" si="191"/>
        <v>16.968991433456615</v>
      </c>
      <c r="AQ753" s="6">
        <f t="shared" si="192"/>
        <v>148.59909031210788</v>
      </c>
      <c r="AR753" s="2">
        <f t="shared" si="193"/>
        <v>-2.1301186875174403</v>
      </c>
      <c r="AS753" s="2">
        <f t="shared" si="194"/>
        <v>-316.5336992219128</v>
      </c>
    </row>
    <row r="754" spans="13:45" x14ac:dyDescent="0.3">
      <c r="M754" s="78">
        <v>45040.541666666664</v>
      </c>
      <c r="N754" s="5">
        <v>4.1538226001459497E-2</v>
      </c>
      <c r="O754" s="5">
        <v>77.435049230000004</v>
      </c>
      <c r="P754" s="2">
        <v>21482</v>
      </c>
      <c r="Q754" s="7">
        <f t="shared" si="185"/>
        <v>358.03333333333336</v>
      </c>
      <c r="R754" s="6">
        <f t="shared" si="186"/>
        <v>14.872069516055882</v>
      </c>
      <c r="S754" s="6">
        <f t="shared" si="187"/>
        <v>139.30409095973312</v>
      </c>
      <c r="T754" s="2">
        <f t="shared" si="188"/>
        <v>1</v>
      </c>
      <c r="U754" s="6">
        <f t="shared" si="189"/>
        <v>139.30409095973312</v>
      </c>
      <c r="V754">
        <f>IF((R754-$AB$774)/($Z$773-$AB$774)&lt;0, 0, IF((R754-$AB$774)/($Z$773-$AB$774)&gt;1, 1, (R754-$AB$774)/($Z$773-$AB$774)))</f>
        <v>0</v>
      </c>
      <c r="W754" s="6">
        <f t="shared" si="190"/>
        <v>0</v>
      </c>
      <c r="AK754" s="78">
        <v>45039.541666666664</v>
      </c>
      <c r="AL754" s="5">
        <v>4.5331701492402898E-2</v>
      </c>
      <c r="AM754" s="5">
        <v>65.290959470000004</v>
      </c>
      <c r="AN754" s="2">
        <v>20852</v>
      </c>
      <c r="AO754" s="7">
        <f t="shared" si="195"/>
        <v>347.53333333333336</v>
      </c>
      <c r="AP754" s="5">
        <f t="shared" si="191"/>
        <v>15.754277325326422</v>
      </c>
      <c r="AQ754" s="6">
        <f t="shared" si="192"/>
        <v>143.29123683740394</v>
      </c>
      <c r="AR754" s="2">
        <f t="shared" si="193"/>
        <v>-2.1301186875174403</v>
      </c>
      <c r="AS754" s="2">
        <f t="shared" si="194"/>
        <v>-305.22734134484159</v>
      </c>
    </row>
    <row r="755" spans="13:45" x14ac:dyDescent="0.3">
      <c r="M755" s="78">
        <v>45040.552083333336</v>
      </c>
      <c r="N755" s="5">
        <v>4.1890681476625197E-2</v>
      </c>
      <c r="O755" s="5">
        <v>64.377553680000005</v>
      </c>
      <c r="P755" s="2">
        <v>21613</v>
      </c>
      <c r="Q755" s="7">
        <f t="shared" si="185"/>
        <v>360.21666666666664</v>
      </c>
      <c r="R755" s="6">
        <f t="shared" si="186"/>
        <v>15.089721645905005</v>
      </c>
      <c r="S755" s="6">
        <f t="shared" si="187"/>
        <v>140.29874633589037</v>
      </c>
      <c r="T755" s="2">
        <f t="shared" si="188"/>
        <v>1</v>
      </c>
      <c r="U755" s="6">
        <f t="shared" si="189"/>
        <v>140.29874633589037</v>
      </c>
      <c r="V755">
        <f>IF((R755-$AB$774)/($Z$773-$AB$774)&lt;0, 0, IF((R755-$AB$774)/($Z$773-$AB$774)&gt;1, 1, (R755-$AB$774)/($Z$773-$AB$774)))</f>
        <v>3.5954664564351473E-2</v>
      </c>
      <c r="W755" s="6">
        <f t="shared" si="190"/>
        <v>5.0443943633059734</v>
      </c>
      <c r="AK755" s="78">
        <v>45039.552083333336</v>
      </c>
      <c r="AL755" s="5">
        <v>4.3630468848003097E-2</v>
      </c>
      <c r="AM755" s="5">
        <v>65.743635260000005</v>
      </c>
      <c r="AN755" s="2">
        <v>20899</v>
      </c>
      <c r="AO755" s="7">
        <f t="shared" si="195"/>
        <v>348.31666666666666</v>
      </c>
      <c r="AP755" s="5">
        <f t="shared" si="191"/>
        <v>15.197219474240278</v>
      </c>
      <c r="AQ755" s="6">
        <f t="shared" si="192"/>
        <v>140.787303132761</v>
      </c>
      <c r="AR755" s="2">
        <f t="shared" si="193"/>
        <v>-2.1301186875174403</v>
      </c>
      <c r="AS755" s="2">
        <f t="shared" si="194"/>
        <v>-299.89366536827686</v>
      </c>
    </row>
    <row r="756" spans="13:45" x14ac:dyDescent="0.3">
      <c r="M756" s="78">
        <v>45040.5625</v>
      </c>
      <c r="N756" s="5">
        <v>4.5734262511046099E-2</v>
      </c>
      <c r="O756" s="5">
        <v>72.970159429999995</v>
      </c>
      <c r="P756" s="2">
        <v>19417</v>
      </c>
      <c r="Q756" s="7">
        <f t="shared" si="185"/>
        <v>323.61666666666667</v>
      </c>
      <c r="R756" s="6">
        <f t="shared" si="186"/>
        <v>14.800369586283036</v>
      </c>
      <c r="S756" s="6">
        <f t="shared" si="187"/>
        <v>138.97480251000232</v>
      </c>
      <c r="T756" s="2">
        <f t="shared" si="188"/>
        <v>1</v>
      </c>
      <c r="U756" s="6">
        <f t="shared" si="189"/>
        <v>138.97480251000232</v>
      </c>
      <c r="V756">
        <f>IF((R756-$AB$774)/($Z$773-$AB$774)&lt;0, 0, IF((R756-$AB$774)/($Z$773-$AB$774)&gt;1, 1, (R756-$AB$774)/($Z$773-$AB$774)))</f>
        <v>0</v>
      </c>
      <c r="W756" s="6">
        <f t="shared" si="190"/>
        <v>0</v>
      </c>
      <c r="AK756" s="78">
        <v>45039.5625</v>
      </c>
      <c r="AL756" s="5">
        <v>4.50224612922158E-2</v>
      </c>
      <c r="AM756" s="5">
        <v>67.557775419999999</v>
      </c>
      <c r="AN756" s="2">
        <v>20677</v>
      </c>
      <c r="AO756" s="7">
        <f t="shared" si="195"/>
        <v>344.61666666666667</v>
      </c>
      <c r="AP756" s="5">
        <f t="shared" si="191"/>
        <v>15.515490535652436</v>
      </c>
      <c r="AQ756" s="6">
        <f t="shared" si="192"/>
        <v>142.22353315424593</v>
      </c>
      <c r="AR756" s="2">
        <f t="shared" si="193"/>
        <v>-2.1301186875174403</v>
      </c>
      <c r="AS756" s="2">
        <f t="shared" si="194"/>
        <v>-302.9530057766155</v>
      </c>
    </row>
    <row r="757" spans="13:45" x14ac:dyDescent="0.3">
      <c r="M757" s="78">
        <v>45040.572916666664</v>
      </c>
      <c r="N757" s="5">
        <v>5.0955703507025399E-2</v>
      </c>
      <c r="O757" s="5">
        <v>75.208694050000005</v>
      </c>
      <c r="P757" s="2">
        <v>19424</v>
      </c>
      <c r="Q757" s="7">
        <f t="shared" si="185"/>
        <v>323.73333333333335</v>
      </c>
      <c r="R757" s="6">
        <f t="shared" si="186"/>
        <v>16.496059748674355</v>
      </c>
      <c r="S757" s="6">
        <f t="shared" si="187"/>
        <v>146.55636571843874</v>
      </c>
      <c r="T757" s="2">
        <f t="shared" si="188"/>
        <v>1</v>
      </c>
      <c r="U757" s="6">
        <f t="shared" si="189"/>
        <v>146.55636571843874</v>
      </c>
      <c r="V757">
        <f>IF((R757-$AB$774)/($Z$773-$AB$774)&lt;0, 0, IF((R757-$AB$774)/($Z$773-$AB$774)&gt;1, 1, (R757-$AB$774)/($Z$773-$AB$774)))</f>
        <v>0.29338409547874006</v>
      </c>
      <c r="W757" s="6">
        <f t="shared" si="190"/>
        <v>42.997306792955577</v>
      </c>
      <c r="AK757" s="78">
        <v>45039.572916666664</v>
      </c>
      <c r="AL757" s="5">
        <v>4.8142601286309497E-2</v>
      </c>
      <c r="AM757" s="5">
        <v>66.647934039999996</v>
      </c>
      <c r="AN757" s="2">
        <v>20068</v>
      </c>
      <c r="AO757" s="7">
        <f t="shared" si="195"/>
        <v>334.46666666666664</v>
      </c>
      <c r="AP757" s="5">
        <f t="shared" si="191"/>
        <v>16.102095376894315</v>
      </c>
      <c r="AQ757" s="6">
        <f t="shared" si="192"/>
        <v>144.83179105707407</v>
      </c>
      <c r="AR757" s="2">
        <f t="shared" si="193"/>
        <v>-2.1301186875174403</v>
      </c>
      <c r="AS757" s="2">
        <f t="shared" si="194"/>
        <v>-308.50890467729477</v>
      </c>
    </row>
    <row r="758" spans="13:45" x14ac:dyDescent="0.3">
      <c r="M758" s="78">
        <v>45040.588888888888</v>
      </c>
      <c r="N758" s="5">
        <v>4.7942322726913601E-2</v>
      </c>
      <c r="O758" s="5">
        <v>71.620816880000007</v>
      </c>
      <c r="P758" s="2">
        <v>20040</v>
      </c>
      <c r="Q758" s="7">
        <f t="shared" si="185"/>
        <v>334</v>
      </c>
      <c r="R758" s="6">
        <f t="shared" si="186"/>
        <v>16.012735790789144</v>
      </c>
      <c r="S758" s="6">
        <f t="shared" si="187"/>
        <v>144.43763428356698</v>
      </c>
      <c r="T758" s="2">
        <f t="shared" si="188"/>
        <v>1</v>
      </c>
      <c r="U758" s="6">
        <f t="shared" si="189"/>
        <v>144.43763428356698</v>
      </c>
      <c r="V758">
        <f>IF((R758-$AB$774)/($Z$773-$AB$774)&lt;0, 0, IF((R758-$AB$774)/($Z$773-$AB$774)&gt;1, 1, (R758-$AB$774)/($Z$773-$AB$774)))</f>
        <v>0.2049119057679803</v>
      </c>
      <c r="W758" s="6">
        <f t="shared" si="190"/>
        <v>29.596990905664278</v>
      </c>
      <c r="AK758" s="78">
        <v>45039.583333333336</v>
      </c>
      <c r="AL758" s="5">
        <v>4.5319687364993998E-2</v>
      </c>
      <c r="AM758" s="5">
        <v>65.290959470000004</v>
      </c>
      <c r="AN758" s="2">
        <v>20137</v>
      </c>
      <c r="AO758" s="7">
        <f t="shared" si="195"/>
        <v>335.61666666666667</v>
      </c>
      <c r="AP758" s="5">
        <f t="shared" si="191"/>
        <v>15.210042407814736</v>
      </c>
      <c r="AQ758" s="6">
        <f t="shared" si="192"/>
        <v>140.84546299676941</v>
      </c>
      <c r="AR758" s="2">
        <f t="shared" si="193"/>
        <v>-2.1301186875174403</v>
      </c>
      <c r="AS758" s="2">
        <f t="shared" si="194"/>
        <v>-300.01755278146464</v>
      </c>
    </row>
    <row r="759" spans="13:45" x14ac:dyDescent="0.3">
      <c r="M759" s="78">
        <v>45040.604166666664</v>
      </c>
      <c r="N759" s="5">
        <v>4.9769337300923901E-2</v>
      </c>
      <c r="O759" s="5">
        <v>77.435049230000004</v>
      </c>
      <c r="P759" s="2">
        <v>18965</v>
      </c>
      <c r="Q759" s="7">
        <f t="shared" si="185"/>
        <v>316.08333333333331</v>
      </c>
      <c r="R759" s="6">
        <f t="shared" si="186"/>
        <v>15.731258031867029</v>
      </c>
      <c r="S759" s="6">
        <f t="shared" si="187"/>
        <v>143.18867040782771</v>
      </c>
      <c r="T759" s="2">
        <f t="shared" si="188"/>
        <v>1</v>
      </c>
      <c r="U759" s="6">
        <f t="shared" si="189"/>
        <v>143.18867040782771</v>
      </c>
      <c r="V759">
        <f>IF((R759-$AB$774)/($Z$773-$AB$774)&lt;0, 0, IF((R759-$AB$774)/($Z$773-$AB$774)&gt;1, 1, (R759-$AB$774)/($Z$773-$AB$774)))</f>
        <v>0.15338755387017664</v>
      </c>
      <c r="W759" s="6">
        <f t="shared" si="190"/>
        <v>21.963359895779639</v>
      </c>
      <c r="AK759" s="78">
        <v>45039.59375</v>
      </c>
      <c r="AL759" s="5">
        <v>4.3897346812263698E-2</v>
      </c>
      <c r="AM759" s="5">
        <v>70.271667750000006</v>
      </c>
      <c r="AN759" s="2">
        <v>20715</v>
      </c>
      <c r="AO759" s="7">
        <f t="shared" si="195"/>
        <v>345.25</v>
      </c>
      <c r="AP759" s="5">
        <f t="shared" si="191"/>
        <v>15.155558986934041</v>
      </c>
      <c r="AQ759" s="6">
        <f t="shared" si="192"/>
        <v>140.59817423822173</v>
      </c>
      <c r="AR759" s="2">
        <f t="shared" si="193"/>
        <v>-2.1301186875174403</v>
      </c>
      <c r="AS759" s="2">
        <f t="shared" si="194"/>
        <v>-299.49079837566927</v>
      </c>
    </row>
    <row r="760" spans="13:45" x14ac:dyDescent="0.3">
      <c r="M760" s="78">
        <v>45040.614583333336</v>
      </c>
      <c r="N760" s="5">
        <v>4.6109999669778898E-2</v>
      </c>
      <c r="O760" s="5">
        <v>80.961047410000006</v>
      </c>
      <c r="P760" s="2">
        <v>19617</v>
      </c>
      <c r="Q760" s="7">
        <f t="shared" si="185"/>
        <v>326.95</v>
      </c>
      <c r="R760" s="6">
        <f t="shared" si="186"/>
        <v>15.075664392034209</v>
      </c>
      <c r="S760" s="6">
        <f t="shared" si="187"/>
        <v>140.23472769962927</v>
      </c>
      <c r="T760" s="2">
        <f t="shared" si="188"/>
        <v>1</v>
      </c>
      <c r="U760" s="6">
        <f t="shared" si="189"/>
        <v>140.23472769962927</v>
      </c>
      <c r="V760">
        <f>IF((R760-$AB$774)/($Z$773-$AB$774)&lt;0, 0, IF((R760-$AB$774)/($Z$773-$AB$774)&gt;1, 1, (R760-$AB$774)/($Z$773-$AB$774)))</f>
        <v>3.3381491827971788E-2</v>
      </c>
      <c r="W760" s="6">
        <f t="shared" si="190"/>
        <v>4.6812444167030236</v>
      </c>
      <c r="AK760" s="78">
        <v>45039.604166666664</v>
      </c>
      <c r="AL760" s="5">
        <v>4.30991751043346E-2</v>
      </c>
      <c r="AM760" s="5">
        <v>66.655723199999997</v>
      </c>
      <c r="AN760" s="2">
        <v>20461</v>
      </c>
      <c r="AO760" s="7">
        <f t="shared" si="195"/>
        <v>341.01666666666665</v>
      </c>
      <c r="AP760" s="5">
        <f t="shared" si="191"/>
        <v>14.69753703016317</v>
      </c>
      <c r="AQ760" s="6">
        <f t="shared" si="192"/>
        <v>138.50111038456168</v>
      </c>
      <c r="AR760" s="2">
        <f t="shared" si="193"/>
        <v>-2.1301186875174403</v>
      </c>
      <c r="AS760" s="2">
        <f t="shared" si="194"/>
        <v>-295.02380347207065</v>
      </c>
    </row>
    <row r="761" spans="13:45" x14ac:dyDescent="0.3">
      <c r="M761" s="78">
        <v>45040.625</v>
      </c>
      <c r="N761" s="5">
        <v>4.5741724508734698E-2</v>
      </c>
      <c r="O761" s="5">
        <v>83.153095449999995</v>
      </c>
      <c r="P761" s="2">
        <v>19580</v>
      </c>
      <c r="Q761" s="7">
        <f t="shared" si="185"/>
        <v>326.33333333333331</v>
      </c>
      <c r="R761" s="6">
        <f t="shared" si="186"/>
        <v>14.927049431350422</v>
      </c>
      <c r="S761" s="6">
        <f t="shared" si="187"/>
        <v>139.55604281035954</v>
      </c>
      <c r="T761" s="2">
        <f t="shared" si="188"/>
        <v>1</v>
      </c>
      <c r="U761" s="6">
        <f t="shared" si="189"/>
        <v>139.55604281035954</v>
      </c>
      <c r="V761">
        <f>IF((R761-$AB$774)/($Z$773-$AB$774)&lt;0, 0, IF((R761-$AB$774)/($Z$773-$AB$774)&gt;1, 1, (R761-$AB$774)/($Z$773-$AB$774)))</f>
        <v>6.1776034608327446E-3</v>
      </c>
      <c r="W761" s="6">
        <f t="shared" si="190"/>
        <v>0.86212189304539977</v>
      </c>
      <c r="AK761" s="78">
        <v>45039.614583333336</v>
      </c>
      <c r="AL761" s="5">
        <v>4.8584789566825701E-2</v>
      </c>
      <c r="AM761" s="5">
        <v>69.373566690000004</v>
      </c>
      <c r="AN761" s="2">
        <v>18627</v>
      </c>
      <c r="AO761" s="7">
        <f t="shared" si="195"/>
        <v>310.45</v>
      </c>
      <c r="AP761" s="5">
        <f t="shared" si="191"/>
        <v>15.083147921021038</v>
      </c>
      <c r="AQ761" s="6">
        <f t="shared" si="192"/>
        <v>140.26881249321093</v>
      </c>
      <c r="AR761" s="2">
        <f t="shared" si="193"/>
        <v>-2.1301186875174403</v>
      </c>
      <c r="AS761" s="2">
        <f t="shared" si="194"/>
        <v>-298.78921876766839</v>
      </c>
    </row>
    <row r="762" spans="13:45" x14ac:dyDescent="0.3">
      <c r="M762" s="78">
        <v>45040.635416666664</v>
      </c>
      <c r="N762" s="5">
        <v>4.6410674191892598E-2</v>
      </c>
      <c r="O762" s="5">
        <v>84.460540300000005</v>
      </c>
      <c r="P762" s="2">
        <v>18979</v>
      </c>
      <c r="Q762" s="7">
        <f t="shared" si="185"/>
        <v>316.31666666666666</v>
      </c>
      <c r="R762" s="6">
        <f t="shared" si="186"/>
        <v>14.68046975813216</v>
      </c>
      <c r="S762" s="6">
        <f t="shared" si="187"/>
        <v>138.42232754325809</v>
      </c>
      <c r="T762" s="2">
        <f t="shared" si="188"/>
        <v>1</v>
      </c>
      <c r="U762" s="6">
        <f t="shared" si="189"/>
        <v>138.42232754325809</v>
      </c>
      <c r="V762">
        <f>IF((R762-$AB$774)/($Z$773-$AB$774)&lt;0, 0, IF((R762-$AB$774)/($Z$773-$AB$774)&gt;1, 1, (R762-$AB$774)/($Z$773-$AB$774)))</f>
        <v>0</v>
      </c>
      <c r="W762" s="6">
        <f t="shared" si="190"/>
        <v>0</v>
      </c>
      <c r="AK762" s="78">
        <v>45039.625</v>
      </c>
      <c r="AL762" s="5">
        <v>4.9386500505300801E-2</v>
      </c>
      <c r="AM762" s="5">
        <v>74.764849499999997</v>
      </c>
      <c r="AN762" s="2">
        <v>18118</v>
      </c>
      <c r="AO762" s="7">
        <f t="shared" si="195"/>
        <v>301.96666666666664</v>
      </c>
      <c r="AP762" s="5">
        <f t="shared" si="191"/>
        <v>14.913076935917331</v>
      </c>
      <c r="AQ762" s="6">
        <f t="shared" si="192"/>
        <v>139.49205717064203</v>
      </c>
      <c r="AR762" s="2">
        <f t="shared" si="193"/>
        <v>-2.1301186875174403</v>
      </c>
      <c r="AS762" s="2">
        <f t="shared" si="194"/>
        <v>-297.13463773943573</v>
      </c>
    </row>
    <row r="763" spans="13:45" x14ac:dyDescent="0.3">
      <c r="M763" s="78">
        <v>45040.645833333336</v>
      </c>
      <c r="N763" s="5">
        <v>4.70293063729183E-2</v>
      </c>
      <c r="O763" s="5">
        <v>80.961047410000006</v>
      </c>
      <c r="P763" s="2">
        <v>19222</v>
      </c>
      <c r="Q763" s="7">
        <f t="shared" si="185"/>
        <v>320.36666666666667</v>
      </c>
      <c r="R763" s="6">
        <f t="shared" si="186"/>
        <v>15.066622118337261</v>
      </c>
      <c r="S763" s="6">
        <f t="shared" si="187"/>
        <v>140.19353186128214</v>
      </c>
      <c r="T763" s="2">
        <f t="shared" si="188"/>
        <v>1</v>
      </c>
      <c r="U763" s="6">
        <f t="shared" si="189"/>
        <v>140.19353186128214</v>
      </c>
      <c r="V763">
        <f>IF((R763-$AB$774)/($Z$773-$AB$774)&lt;0, 0, IF((R763-$AB$774)/($Z$773-$AB$774)&gt;1, 1, (R763-$AB$774)/($Z$773-$AB$774)))</f>
        <v>3.1726308506554377E-2</v>
      </c>
      <c r="W763" s="6">
        <f t="shared" si="190"/>
        <v>4.4478232424544979</v>
      </c>
      <c r="AK763" s="78">
        <v>45039.635416666664</v>
      </c>
      <c r="AL763" s="5">
        <v>5.0563128331236197E-2</v>
      </c>
      <c r="AM763" s="5">
        <v>69.822823</v>
      </c>
      <c r="AN763" s="2">
        <v>17666</v>
      </c>
      <c r="AO763" s="7">
        <f t="shared" si="195"/>
        <v>294.43333333333334</v>
      </c>
      <c r="AP763" s="5">
        <f t="shared" si="191"/>
        <v>14.887470418326977</v>
      </c>
      <c r="AQ763" s="6">
        <f t="shared" si="192"/>
        <v>139.37471523869712</v>
      </c>
      <c r="AR763" s="2">
        <f t="shared" si="193"/>
        <v>-2.1301186875174403</v>
      </c>
      <c r="AS763" s="2">
        <f t="shared" si="194"/>
        <v>-296.88468549737047</v>
      </c>
    </row>
    <row r="764" spans="13:45" x14ac:dyDescent="0.3">
      <c r="M764" s="78">
        <v>45040.65625</v>
      </c>
      <c r="N764" s="5">
        <v>4.8007880254012203E-2</v>
      </c>
      <c r="O764" s="5">
        <v>85.331044809999995</v>
      </c>
      <c r="P764" s="2">
        <v>18804</v>
      </c>
      <c r="Q764" s="7">
        <f t="shared" si="185"/>
        <v>313.39999999999998</v>
      </c>
      <c r="R764" s="6">
        <f t="shared" si="186"/>
        <v>15.045669671607424</v>
      </c>
      <c r="S764" s="6">
        <f t="shared" si="187"/>
        <v>140.0980257616346</v>
      </c>
      <c r="T764" s="2">
        <f t="shared" si="188"/>
        <v>1</v>
      </c>
      <c r="U764" s="6">
        <f t="shared" si="189"/>
        <v>140.0980257616346</v>
      </c>
      <c r="V764">
        <f>IF((R764-$AB$774)/($Z$773-$AB$774)&lt;0, 0, IF((R764-$AB$774)/($Z$773-$AB$774)&gt;1, 1, (R764-$AB$774)/($Z$773-$AB$774)))</f>
        <v>2.7890974437666902E-2</v>
      </c>
      <c r="W764" s="6">
        <f t="shared" si="190"/>
        <v>3.9074704552853499</v>
      </c>
      <c r="AK764" s="78">
        <v>45039.645833333336</v>
      </c>
      <c r="AL764" s="5">
        <v>4.7291435911352098E-2</v>
      </c>
      <c r="AM764" s="5">
        <v>68.016396760000006</v>
      </c>
      <c r="AN764" s="2">
        <v>20276</v>
      </c>
      <c r="AO764" s="7">
        <f t="shared" si="195"/>
        <v>337.93333333333334</v>
      </c>
      <c r="AP764" s="5">
        <f t="shared" si="191"/>
        <v>15.981352575642919</v>
      </c>
      <c r="AQ764" s="6">
        <f t="shared" si="192"/>
        <v>144.29893963547391</v>
      </c>
      <c r="AR764" s="2">
        <f t="shared" si="193"/>
        <v>-2.1301186875174403</v>
      </c>
      <c r="AS764" s="2">
        <f t="shared" si="194"/>
        <v>-307.37386790647406</v>
      </c>
    </row>
    <row r="765" spans="13:45" x14ac:dyDescent="0.3">
      <c r="M765" s="78">
        <v>45040.666666666664</v>
      </c>
      <c r="N765" s="5">
        <v>4.7628064348916303E-2</v>
      </c>
      <c r="O765" s="5">
        <v>76.101800600000004</v>
      </c>
      <c r="P765" s="2">
        <v>19424</v>
      </c>
      <c r="Q765" s="7">
        <f t="shared" si="185"/>
        <v>323.73333333333335</v>
      </c>
      <c r="R765" s="6">
        <f t="shared" si="186"/>
        <v>15.418792031889172</v>
      </c>
      <c r="S765" s="6">
        <f t="shared" si="187"/>
        <v>141.78877468978541</v>
      </c>
      <c r="T765" s="2">
        <f t="shared" si="188"/>
        <v>1</v>
      </c>
      <c r="U765" s="6">
        <f t="shared" si="189"/>
        <v>141.78877468978541</v>
      </c>
      <c r="V765">
        <f>IF((R765-$AB$774)/($Z$773-$AB$774)&lt;0, 0, IF((R765-$AB$774)/($Z$773-$AB$774)&gt;1, 1, (R765-$AB$774)/($Z$773-$AB$774)))</f>
        <v>9.6190821166997245E-2</v>
      </c>
      <c r="W765" s="6">
        <f t="shared" si="190"/>
        <v>13.638778669672813</v>
      </c>
      <c r="AK765" s="78">
        <v>45039.65625</v>
      </c>
      <c r="AL765" s="5">
        <v>4.3210873178231399E-2</v>
      </c>
      <c r="AM765" s="5">
        <v>72.523974480000007</v>
      </c>
      <c r="AN765" s="2">
        <v>20011</v>
      </c>
      <c r="AO765" s="7">
        <f t="shared" si="195"/>
        <v>333.51666666666665</v>
      </c>
      <c r="AP765" s="5">
        <f t="shared" si="191"/>
        <v>14.411546386159808</v>
      </c>
      <c r="AQ765" s="6">
        <f t="shared" si="192"/>
        <v>137.17474629540351</v>
      </c>
      <c r="AR765" s="2">
        <f t="shared" si="193"/>
        <v>-2.1301186875174403</v>
      </c>
      <c r="AS765" s="2">
        <f t="shared" si="194"/>
        <v>-292.19849053930278</v>
      </c>
    </row>
    <row r="766" spans="13:45" x14ac:dyDescent="0.3">
      <c r="M766" s="78">
        <v>45040.677083333336</v>
      </c>
      <c r="N766" s="5">
        <v>4.7394658740267999E-2</v>
      </c>
      <c r="O766" s="5">
        <v>79.648616399999995</v>
      </c>
      <c r="P766" s="2">
        <v>19337</v>
      </c>
      <c r="Q766" s="7">
        <f t="shared" si="185"/>
        <v>322.28333333333336</v>
      </c>
      <c r="R766" s="6">
        <f t="shared" si="186"/>
        <v>15.274508601009373</v>
      </c>
      <c r="S766" s="6">
        <f t="shared" si="187"/>
        <v>141.13747832918966</v>
      </c>
      <c r="T766" s="2">
        <f t="shared" si="188"/>
        <v>1</v>
      </c>
      <c r="U766" s="6">
        <f t="shared" si="189"/>
        <v>141.13747832918966</v>
      </c>
      <c r="V766">
        <f>IF((R766-$AB$774)/($Z$773-$AB$774)&lt;0, 0, IF((R766-$AB$774)/($Z$773-$AB$774)&gt;1, 1, (R766-$AB$774)/($Z$773-$AB$774)))</f>
        <v>6.9779816993377194E-2</v>
      </c>
      <c r="W766" s="6">
        <f t="shared" si="190"/>
        <v>9.8485474087175948</v>
      </c>
      <c r="AK766" s="78">
        <v>45039.666666666664</v>
      </c>
      <c r="AL766" s="5">
        <v>4.7228909982471097E-2</v>
      </c>
      <c r="AM766" s="5">
        <v>71.630262669999993</v>
      </c>
      <c r="AN766" s="2">
        <v>19682</v>
      </c>
      <c r="AO766" s="7">
        <f t="shared" si="195"/>
        <v>328.03333333333336</v>
      </c>
      <c r="AP766" s="5">
        <f t="shared" si="191"/>
        <v>15.492656771249937</v>
      </c>
      <c r="AQ766" s="6">
        <f t="shared" si="192"/>
        <v>142.120997067372</v>
      </c>
      <c r="AR766" s="2">
        <f t="shared" si="193"/>
        <v>-2.1301186875174403</v>
      </c>
      <c r="AS766" s="2">
        <f t="shared" si="194"/>
        <v>-302.73459174182045</v>
      </c>
    </row>
    <row r="767" spans="13:45" x14ac:dyDescent="0.3">
      <c r="M767" s="78">
        <v>45040.6875</v>
      </c>
      <c r="N767" s="5">
        <v>4.7479984061053901E-2</v>
      </c>
      <c r="O767" s="5">
        <v>80.086877509999994</v>
      </c>
      <c r="P767" s="2">
        <v>19953</v>
      </c>
      <c r="Q767" s="7">
        <f t="shared" si="185"/>
        <v>332.55</v>
      </c>
      <c r="R767" s="6">
        <f t="shared" si="186"/>
        <v>15.789468699503475</v>
      </c>
      <c r="S767" s="6">
        <f t="shared" si="187"/>
        <v>143.44789035757933</v>
      </c>
      <c r="T767" s="2">
        <f t="shared" si="188"/>
        <v>1</v>
      </c>
      <c r="U767" s="6">
        <f t="shared" si="189"/>
        <v>143.44789035757933</v>
      </c>
      <c r="V767">
        <f>IF((R767-$AB$774)/($Z$773-$AB$774)&lt;0, 0, IF((R767-$AB$774)/($Z$773-$AB$774)&gt;1, 1, (R767-$AB$774)/($Z$773-$AB$774)))</f>
        <v>0.16404298517313887</v>
      </c>
      <c r="W767" s="6">
        <f t="shared" si="190"/>
        <v>23.531620151046436</v>
      </c>
      <c r="AK767" s="78">
        <v>45039.677083333336</v>
      </c>
      <c r="AL767" s="5">
        <v>4.5723363242808901E-2</v>
      </c>
      <c r="AM767" s="5">
        <v>71.17580074</v>
      </c>
      <c r="AN767" s="2">
        <v>19745</v>
      </c>
      <c r="AO767" s="7">
        <f t="shared" si="195"/>
        <v>329.08333333333331</v>
      </c>
      <c r="AP767" s="5">
        <f t="shared" si="191"/>
        <v>15.046796787154362</v>
      </c>
      <c r="AQ767" s="6">
        <f t="shared" si="192"/>
        <v>140.10316514170552</v>
      </c>
      <c r="AR767" s="2">
        <f t="shared" si="193"/>
        <v>-2.1301186875174403</v>
      </c>
      <c r="AS767" s="2">
        <f t="shared" si="194"/>
        <v>-298.43637024868895</v>
      </c>
    </row>
    <row r="768" spans="13:45" x14ac:dyDescent="0.3">
      <c r="M768" s="78">
        <v>45040.697916666664</v>
      </c>
      <c r="N768" s="5">
        <v>5.2504206636571099E-2</v>
      </c>
      <c r="O768" s="5">
        <v>89.209976960000006</v>
      </c>
      <c r="P768" s="2">
        <v>18370</v>
      </c>
      <c r="Q768" s="7">
        <f t="shared" si="185"/>
        <v>306.16666666666669</v>
      </c>
      <c r="R768" s="6">
        <f t="shared" si="186"/>
        <v>16.075037931896851</v>
      </c>
      <c r="S768" s="6">
        <f t="shared" si="187"/>
        <v>144.71256128475397</v>
      </c>
      <c r="T768" s="2">
        <f t="shared" si="188"/>
        <v>1</v>
      </c>
      <c r="U768" s="6">
        <f t="shared" si="189"/>
        <v>144.71256128475397</v>
      </c>
      <c r="V768">
        <f>IF((R768-$AB$774)/($Z$773-$AB$774)&lt;0, 0, IF((R768-$AB$774)/($Z$773-$AB$774)&gt;1, 1, (R768-$AB$774)/($Z$773-$AB$774)))</f>
        <v>0.2163162790822796</v>
      </c>
      <c r="W768" s="6">
        <f t="shared" si="190"/>
        <v>31.303682793584329</v>
      </c>
      <c r="AK768" s="78">
        <v>45039.6875</v>
      </c>
      <c r="AL768" s="5">
        <v>5.0206857604453599E-2</v>
      </c>
      <c r="AM768" s="5">
        <v>73.868067069999995</v>
      </c>
      <c r="AN768" s="2">
        <v>19967</v>
      </c>
      <c r="AO768" s="7">
        <f t="shared" si="195"/>
        <v>332.78333333333336</v>
      </c>
      <c r="AP768" s="5">
        <f t="shared" si="191"/>
        <v>16.708005429802085</v>
      </c>
      <c r="AQ768" s="6">
        <f t="shared" si="192"/>
        <v>147.47546462394925</v>
      </c>
      <c r="AR768" s="2">
        <f t="shared" si="193"/>
        <v>-2.1301186875174403</v>
      </c>
      <c r="AS768" s="2">
        <f t="shared" si="194"/>
        <v>-314.14024314579149</v>
      </c>
    </row>
    <row r="769" spans="13:45" x14ac:dyDescent="0.3">
      <c r="M769" s="78">
        <v>45040.708333333336</v>
      </c>
      <c r="N769" s="5">
        <v>4.4890857577919198E-2</v>
      </c>
      <c r="O769" s="5">
        <v>83.153095449999995</v>
      </c>
      <c r="P769" s="2">
        <v>19964</v>
      </c>
      <c r="Q769" s="7">
        <f t="shared" si="185"/>
        <v>332.73333333333335</v>
      </c>
      <c r="R769" s="6">
        <f t="shared" si="186"/>
        <v>14.936684678092982</v>
      </c>
      <c r="S769" s="6">
        <f t="shared" si="187"/>
        <v>139.60014865166733</v>
      </c>
      <c r="T769" s="2">
        <f t="shared" si="188"/>
        <v>1</v>
      </c>
      <c r="U769" s="6">
        <f t="shared" si="189"/>
        <v>139.60014865166733</v>
      </c>
      <c r="V769">
        <f>IF((R769-$AB$774)/($Z$773-$AB$774)&lt;0, 0, IF((R769-$AB$774)/($Z$773-$AB$774)&gt;1, 1, (R769-$AB$774)/($Z$773-$AB$774)))</f>
        <v>7.9413301783074122E-3</v>
      </c>
      <c r="W769" s="6">
        <f t="shared" si="190"/>
        <v>1.1086108733836866</v>
      </c>
      <c r="AK769" s="78">
        <v>45039.697916666664</v>
      </c>
      <c r="AL769" s="5">
        <v>4.40992138130138E-2</v>
      </c>
      <c r="AM769" s="5">
        <v>70.279402750000003</v>
      </c>
      <c r="AN769" s="2">
        <v>19938</v>
      </c>
      <c r="AO769" s="7">
        <f t="shared" si="195"/>
        <v>332.3</v>
      </c>
      <c r="AP769" s="5">
        <f t="shared" si="191"/>
        <v>14.654168750064485</v>
      </c>
      <c r="AQ769" s="6">
        <f t="shared" si="192"/>
        <v>138.30083004071807</v>
      </c>
      <c r="AR769" s="2">
        <f t="shared" si="193"/>
        <v>-2.1301186875174403</v>
      </c>
      <c r="AS769" s="2">
        <f t="shared" si="194"/>
        <v>-294.59718256890693</v>
      </c>
    </row>
    <row r="770" spans="13:45" x14ac:dyDescent="0.3">
      <c r="M770" s="78">
        <v>45040.71875</v>
      </c>
      <c r="N770" s="5">
        <v>4.5541676085037702E-2</v>
      </c>
      <c r="O770" s="5">
        <v>85.323607859999996</v>
      </c>
      <c r="P770" s="2">
        <v>19700</v>
      </c>
      <c r="Q770" s="7">
        <f t="shared" si="185"/>
        <v>328.33333333333331</v>
      </c>
      <c r="R770" s="6">
        <f t="shared" si="186"/>
        <v>14.952850314587378</v>
      </c>
      <c r="S770" s="6">
        <f t="shared" si="187"/>
        <v>139.67411508919082</v>
      </c>
      <c r="T770" s="2">
        <f t="shared" si="188"/>
        <v>1</v>
      </c>
      <c r="U770" s="6">
        <f t="shared" si="189"/>
        <v>139.67411508919082</v>
      </c>
      <c r="V770">
        <f>IF((R770-$AB$774)/($Z$773-$AB$774)&lt;0, 0, IF((R770-$AB$774)/($Z$773-$AB$774)&gt;1, 1, (R770-$AB$774)/($Z$773-$AB$774)))</f>
        <v>1.0900441216347537E-2</v>
      </c>
      <c r="W770" s="6">
        <f t="shared" si="190"/>
        <v>1.5225094809750852</v>
      </c>
      <c r="AK770" s="78">
        <v>45039.708333333336</v>
      </c>
      <c r="AL770" s="5">
        <v>4.6176305548207598E-2</v>
      </c>
      <c r="AM770" s="5">
        <v>66.655723199999997</v>
      </c>
      <c r="AN770" s="2">
        <v>20111</v>
      </c>
      <c r="AO770" s="7">
        <f t="shared" si="195"/>
        <v>335.18333333333334</v>
      </c>
      <c r="AP770" s="5">
        <f t="shared" si="191"/>
        <v>15.477528014666717</v>
      </c>
      <c r="AQ770" s="6">
        <f t="shared" si="192"/>
        <v>142.05301819869297</v>
      </c>
      <c r="AR770" s="2">
        <f t="shared" si="193"/>
        <v>-2.1301186875174403</v>
      </c>
      <c r="AS770" s="2">
        <f t="shared" si="194"/>
        <v>-302.58978868329092</v>
      </c>
    </row>
    <row r="771" spans="13:45" x14ac:dyDescent="0.3">
      <c r="M771" s="78">
        <v>45040.729166666664</v>
      </c>
      <c r="N771" s="5">
        <v>4.39182791469536E-2</v>
      </c>
      <c r="O771" s="5">
        <v>80.968580889999998</v>
      </c>
      <c r="P771" s="2">
        <v>20073</v>
      </c>
      <c r="Q771" s="7">
        <f t="shared" si="185"/>
        <v>334.55</v>
      </c>
      <c r="R771" s="6">
        <f t="shared" si="186"/>
        <v>14.692860288613327</v>
      </c>
      <c r="S771" s="6">
        <f t="shared" si="187"/>
        <v>138.47952710528514</v>
      </c>
      <c r="T771" s="2">
        <f t="shared" si="188"/>
        <v>1</v>
      </c>
      <c r="U771" s="6">
        <f t="shared" si="189"/>
        <v>138.47952710528514</v>
      </c>
      <c r="V771">
        <f>IF((R771-$AB$774)/($Z$773-$AB$774)&lt;0, 0, IF((R771-$AB$774)/($Z$773-$AB$774)&gt;1, 1, (R771-$AB$774)/($Z$773-$AB$774)))</f>
        <v>0</v>
      </c>
      <c r="W771" s="6">
        <f t="shared" si="190"/>
        <v>0</v>
      </c>
      <c r="AK771" s="78">
        <v>45039.71875</v>
      </c>
      <c r="AL771" s="5">
        <v>4.9988353962613398E-2</v>
      </c>
      <c r="AM771" s="5">
        <v>68.924680609999996</v>
      </c>
      <c r="AN771" s="2">
        <v>19857</v>
      </c>
      <c r="AO771" s="7">
        <f t="shared" si="195"/>
        <v>330.95</v>
      </c>
      <c r="AP771" s="5">
        <f t="shared" si="191"/>
        <v>16.543645743926902</v>
      </c>
      <c r="AQ771" s="6">
        <f t="shared" si="192"/>
        <v>146.76324377125931</v>
      </c>
      <c r="AR771" s="2">
        <f t="shared" si="193"/>
        <v>-2.1301186875174403</v>
      </c>
      <c r="AS771" s="2">
        <f t="shared" si="194"/>
        <v>-312.62312819783705</v>
      </c>
    </row>
    <row r="772" spans="13:45" x14ac:dyDescent="0.3">
      <c r="M772" s="78">
        <v>45040.739583333336</v>
      </c>
      <c r="N772" s="5">
        <v>4.4480396595809497E-2</v>
      </c>
      <c r="O772" s="5">
        <v>83.153095449999995</v>
      </c>
      <c r="P772" s="2">
        <v>21288</v>
      </c>
      <c r="Q772" s="7">
        <f t="shared" ref="Q772:Q835" si="196">P772/60</f>
        <v>354.8</v>
      </c>
      <c r="R772" s="6">
        <f t="shared" ref="R772:R835" si="197">N772*Q772</f>
        <v>15.781644712193209</v>
      </c>
      <c r="S772" s="6">
        <f t="shared" ref="S772:S776" si="198">37.141*R772^0.4897</f>
        <v>143.41307748911316</v>
      </c>
      <c r="T772" s="2">
        <f t="shared" ref="T772:T776" si="199">IF((O772-$R$1)/($P$1-$R$1)&lt;0, 0, IF((O772-$R$1)/($P$1-$R$1)&gt;1, 1, (O772-$R$1)/($P$1-$R$1)))</f>
        <v>1</v>
      </c>
      <c r="U772" s="6">
        <f t="shared" ref="U772:U776" si="200">S772*T772</f>
        <v>143.41307748911316</v>
      </c>
      <c r="V772">
        <f>IF((R772-$AB$774)/($Z$773-$AB$774)&lt;0, 0, IF((R772-$AB$774)/($Z$773-$AB$774)&gt;1, 1, (R772-$AB$774)/($Z$773-$AB$774)))</f>
        <v>0.16261080851747056</v>
      </c>
      <c r="W772" s="6">
        <f t="shared" ref="W772:W835" si="201">S772*V772</f>
        <v>23.320516482483349</v>
      </c>
      <c r="AK772" s="78">
        <v>45039.729166666664</v>
      </c>
      <c r="AL772" s="5">
        <v>4.2274039916317702E-2</v>
      </c>
      <c r="AM772" s="5">
        <v>71.17580074</v>
      </c>
      <c r="AN772" s="2">
        <v>20224</v>
      </c>
      <c r="AO772" s="7">
        <f t="shared" si="195"/>
        <v>337.06666666666666</v>
      </c>
      <c r="AP772" s="5">
        <f t="shared" ref="AP772:AP835" si="202">AO772*AL772</f>
        <v>14.249169721126821</v>
      </c>
      <c r="AQ772" s="6">
        <f t="shared" ref="AQ772:AQ835" si="203">37.141*AP772^0.4897</f>
        <v>136.41569498148232</v>
      </c>
      <c r="AR772" s="2">
        <f t="shared" ref="AR772:AR835" si="204">IF((AM772-$AP$1)/($AN$1-$AP$1)&lt;0, 0, IF((AA772-$AP$1)/($AN$1-$AP$1)&gt;1, 1, (AA772-$AP$1)/($AN$1-$AP$1)))</f>
        <v>-2.1301186875174403</v>
      </c>
      <c r="AS772" s="2">
        <f t="shared" ref="AS772:AS835" si="205">AQ772*AR772</f>
        <v>-290.58162115073458</v>
      </c>
    </row>
    <row r="773" spans="13:45" x14ac:dyDescent="0.3">
      <c r="M773" s="78">
        <v>45040.75</v>
      </c>
      <c r="N773" s="5">
        <v>4.1603536808416601E-2</v>
      </c>
      <c r="O773" s="5">
        <v>85.331044809999995</v>
      </c>
      <c r="P773" s="2">
        <v>21577</v>
      </c>
      <c r="Q773" s="7">
        <f t="shared" si="196"/>
        <v>359.61666666666667</v>
      </c>
      <c r="R773" s="6">
        <f t="shared" si="197"/>
        <v>14.96132522858675</v>
      </c>
      <c r="S773" s="6">
        <f t="shared" si="198"/>
        <v>139.71287605192236</v>
      </c>
      <c r="T773" s="2">
        <f t="shared" si="199"/>
        <v>1</v>
      </c>
      <c r="U773" s="6">
        <f t="shared" si="200"/>
        <v>139.71287605192236</v>
      </c>
      <c r="V773">
        <f>IF((R773-$AB$774)/($Z$773-$AB$774)&lt;0, 0, IF((R773-$AB$774)/($Z$773-$AB$774)&gt;1, 1, (R773-$AB$774)/($Z$773-$AB$774)))</f>
        <v>1.2451769651245594E-2</v>
      </c>
      <c r="W773" s="6">
        <f t="shared" si="201"/>
        <v>1.7396725499115642</v>
      </c>
      <c r="Y773" s="113" t="s">
        <v>54</v>
      </c>
      <c r="Z773" s="114">
        <f>INDEX(R680:R776, MATCH(MAX(S680:S776), S680:S776, 0))</f>
        <v>20.356305513975208</v>
      </c>
      <c r="AA773" s="113" t="s">
        <v>55</v>
      </c>
      <c r="AB773" s="115">
        <f>AVERAGE(R680:R776)</f>
        <v>15.910627534842149</v>
      </c>
      <c r="AK773" s="78">
        <v>45039.739583333336</v>
      </c>
      <c r="AL773" s="5">
        <v>4.1154363030427597E-2</v>
      </c>
      <c r="AM773" s="5">
        <v>78.323104580000006</v>
      </c>
      <c r="AN773" s="2">
        <v>21495</v>
      </c>
      <c r="AO773" s="7">
        <f t="shared" si="195"/>
        <v>358.25</v>
      </c>
      <c r="AP773" s="5">
        <f t="shared" si="202"/>
        <v>14.743550555650687</v>
      </c>
      <c r="AQ773" s="6">
        <f t="shared" si="203"/>
        <v>138.71327736718172</v>
      </c>
      <c r="AR773" s="2" t="e">
        <f t="shared" si="204"/>
        <v>#VALUE!</v>
      </c>
      <c r="AS773" s="2" t="e">
        <f t="shared" si="205"/>
        <v>#VALUE!</v>
      </c>
    </row>
    <row r="774" spans="13:45" x14ac:dyDescent="0.3">
      <c r="M774" s="78">
        <v>45040.760416666664</v>
      </c>
      <c r="N774" s="5">
        <v>4.43685100851385E-2</v>
      </c>
      <c r="O774" s="5">
        <v>89.635700749999998</v>
      </c>
      <c r="P774" s="2">
        <v>20854</v>
      </c>
      <c r="Q774" s="7">
        <f t="shared" si="196"/>
        <v>347.56666666666666</v>
      </c>
      <c r="R774" s="6">
        <f t="shared" si="197"/>
        <v>15.421015155257971</v>
      </c>
      <c r="S774" s="6">
        <f t="shared" si="198"/>
        <v>141.79878549913482</v>
      </c>
      <c r="T774" s="2">
        <f t="shared" si="199"/>
        <v>1</v>
      </c>
      <c r="U774" s="6">
        <f t="shared" si="200"/>
        <v>141.79878549913482</v>
      </c>
      <c r="V774">
        <f>IF((R774-$AB$774)/($Z$773-$AB$774)&lt;0, 0, IF((R774-$AB$774)/($Z$773-$AB$774)&gt;1, 1, (R774-$AB$774)/($Z$773-$AB$774)))</f>
        <v>9.6597762700157255E-2</v>
      </c>
      <c r="W774" s="6">
        <f t="shared" si="201"/>
        <v>13.697445432815925</v>
      </c>
      <c r="AB774" s="115">
        <f>_xlfn.PERCENTILE.INC(R680:R776, 0.1)</f>
        <v>14.893301156726539</v>
      </c>
      <c r="AK774" s="78">
        <v>45039.75</v>
      </c>
      <c r="AL774" s="5">
        <v>4.02374814232404E-2</v>
      </c>
      <c r="AM774" s="5">
        <v>74.764849499999997</v>
      </c>
      <c r="AN774" s="2">
        <v>21330</v>
      </c>
      <c r="AO774" s="7">
        <f t="shared" si="195"/>
        <v>355.5</v>
      </c>
      <c r="AP774" s="5">
        <f t="shared" si="202"/>
        <v>14.304424645961962</v>
      </c>
      <c r="AQ774" s="6">
        <f t="shared" si="203"/>
        <v>136.67448457351927</v>
      </c>
      <c r="AR774" s="2">
        <f t="shared" si="204"/>
        <v>-2.1301186875174403</v>
      </c>
      <c r="AS774" s="2">
        <f t="shared" si="205"/>
        <v>-291.13287369686748</v>
      </c>
    </row>
    <row r="775" spans="13:45" x14ac:dyDescent="0.3">
      <c r="M775" s="78">
        <v>45040.770833333336</v>
      </c>
      <c r="N775" s="5">
        <v>4.4733820400243901E-2</v>
      </c>
      <c r="O775" s="5">
        <v>83.153095449999995</v>
      </c>
      <c r="P775" s="2">
        <v>21269</v>
      </c>
      <c r="Q775" s="7">
        <f t="shared" si="196"/>
        <v>354.48333333333335</v>
      </c>
      <c r="R775" s="6">
        <f>N775*Q775</f>
        <v>15.857393768213127</v>
      </c>
      <c r="S775" s="6">
        <f t="shared" si="198"/>
        <v>143.74975407167878</v>
      </c>
      <c r="T775" s="2">
        <f t="shared" si="199"/>
        <v>1</v>
      </c>
      <c r="U775" s="6">
        <f t="shared" si="200"/>
        <v>143.74975407167878</v>
      </c>
      <c r="V775">
        <f>IF((R775-$AB$774)/($Z$773-$AB$774)&lt;0, 0, IF((R775-$AB$774)/($Z$773-$AB$774)&gt;1, 1, (R775-$AB$774)/($Z$773-$AB$774)))</f>
        <v>0.17647663235109223</v>
      </c>
      <c r="W775" s="6">
        <f t="shared" si="201"/>
        <v>25.368472499867579</v>
      </c>
      <c r="AK775" s="78">
        <v>45039.760416666664</v>
      </c>
      <c r="AL775" s="5">
        <v>4.4423309042536101E-2</v>
      </c>
      <c r="AM775" s="5">
        <v>77.435049230000004</v>
      </c>
      <c r="AN775" s="2">
        <v>20268</v>
      </c>
      <c r="AO775" s="7">
        <f t="shared" si="195"/>
        <v>337.8</v>
      </c>
      <c r="AP775" s="5">
        <f t="shared" si="202"/>
        <v>15.006193794568695</v>
      </c>
      <c r="AQ775" s="6">
        <f t="shared" si="203"/>
        <v>139.91790100449074</v>
      </c>
      <c r="AR775" s="2">
        <f t="shared" si="204"/>
        <v>-2.1301186875174403</v>
      </c>
      <c r="AS775" s="2">
        <f t="shared" si="205"/>
        <v>-298.04173564788096</v>
      </c>
    </row>
    <row r="776" spans="13:45" x14ac:dyDescent="0.3">
      <c r="M776" s="78">
        <v>45040.78125</v>
      </c>
      <c r="N776" s="5">
        <v>3.9811471664587601E-2</v>
      </c>
      <c r="O776" s="5">
        <v>78.323104580000006</v>
      </c>
      <c r="P776" s="2">
        <v>23518</v>
      </c>
      <c r="Q776" s="7">
        <f t="shared" si="196"/>
        <v>391.96666666666664</v>
      </c>
      <c r="R776" s="6">
        <f t="shared" si="197"/>
        <v>15.604769843462853</v>
      </c>
      <c r="S776" s="6">
        <f>37.141*R776^0.4897</f>
        <v>142.62370876912755</v>
      </c>
      <c r="T776" s="2">
        <f>IF((O776-$R$1)/($P$1-$R$1)&lt;0, 0, IF((O776-$R$1)/($P$1-$R$1)&gt;1, 1, (O776-$R$1)/($P$1-$R$1)))</f>
        <v>1</v>
      </c>
      <c r="U776" s="6">
        <f>S776*T776</f>
        <v>142.62370876912755</v>
      </c>
      <c r="V776">
        <f>IF((R776-$AB$774)/($Z$773-$AB$774)&lt;0, 0, IF((R776-$AB$774)/($Z$773-$AB$774)&gt;1, 1, (R776-$AB$774)/($Z$773-$AB$774)))</f>
        <v>0.1302339592301974</v>
      </c>
      <c r="W776" s="6">
        <f t="shared" si="201"/>
        <v>18.574450273098105</v>
      </c>
      <c r="AK776" s="78">
        <v>45039.770833333336</v>
      </c>
      <c r="AL776" s="5">
        <v>4.4961153795091302E-2</v>
      </c>
      <c r="AM776" s="5">
        <v>74.764849499999997</v>
      </c>
      <c r="AN776" s="2">
        <v>19729</v>
      </c>
      <c r="AO776" s="7">
        <f t="shared" si="195"/>
        <v>328.81666666666666</v>
      </c>
      <c r="AP776" s="5">
        <f t="shared" si="202"/>
        <v>14.783976720389271</v>
      </c>
      <c r="AQ776" s="6">
        <f t="shared" si="203"/>
        <v>138.89940252152607</v>
      </c>
      <c r="AR776" s="2">
        <f t="shared" si="204"/>
        <v>-2.1301186875174403</v>
      </c>
      <c r="AS776" s="2">
        <f t="shared" si="205"/>
        <v>-295.87221299610974</v>
      </c>
    </row>
    <row r="777" spans="13:45" x14ac:dyDescent="0.3">
      <c r="M777" s="78">
        <v>45040.791666666664</v>
      </c>
      <c r="N777" s="79">
        <v>4.0587915411554099E-2</v>
      </c>
      <c r="O777" s="5">
        <v>86.192545629999998</v>
      </c>
      <c r="P777" s="2">
        <v>22518</v>
      </c>
      <c r="Q777" s="7">
        <f t="shared" si="196"/>
        <v>375.3</v>
      </c>
      <c r="R777" s="6">
        <f t="shared" si="197"/>
        <v>15.232644653956253</v>
      </c>
      <c r="S777" s="6">
        <f t="shared" ref="S777:S840" si="206">37.141*R777^0.4897</f>
        <v>140.94791714992965</v>
      </c>
      <c r="T777" s="2">
        <f t="shared" ref="T777:T840" si="207">IF((O777-$R$1)/($P$1-$R$1)&lt;0, 0, IF((O777-$R$1)/($P$1-$R$1)&gt;1, 1, (O777-$R$1)/($P$1-$R$1)))</f>
        <v>1</v>
      </c>
      <c r="U777" s="6">
        <f t="shared" ref="U777:U840" si="208">S777*T777</f>
        <v>140.94791714992965</v>
      </c>
      <c r="V777">
        <f t="shared" ref="V777:V840" si="209">IF((R777-$AB$774)/($Z$773-$AB$774)&lt;0, 0, IF((R777-$AB$774)/($Z$773-$AB$774)&gt;1, 1, (R777-$AB$774)/($Z$773-$AB$774)))</f>
        <v>6.2116644073228984E-2</v>
      </c>
      <c r="W777" s="6">
        <f t="shared" si="201"/>
        <v>8.7552116024651472</v>
      </c>
      <c r="AK777" s="78">
        <v>45039.78125</v>
      </c>
      <c r="AL777" s="5">
        <v>4.6677569517793699E-2</v>
      </c>
      <c r="AM777" s="5">
        <v>79.202259850000004</v>
      </c>
      <c r="AN777" s="2">
        <v>19738</v>
      </c>
      <c r="AO777" s="7">
        <f t="shared" si="195"/>
        <v>328.96666666666664</v>
      </c>
      <c r="AP777" s="5">
        <f t="shared" si="202"/>
        <v>15.3553644523702</v>
      </c>
      <c r="AQ777" s="6">
        <f t="shared" si="203"/>
        <v>141.50284695569505</v>
      </c>
      <c r="AR777" s="2">
        <f t="shared" si="204"/>
        <v>-2.1301186875174403</v>
      </c>
      <c r="AS777" s="2">
        <f t="shared" si="205"/>
        <v>-301.41785863724635</v>
      </c>
    </row>
    <row r="778" spans="13:45" x14ac:dyDescent="0.3">
      <c r="M778" s="78">
        <v>45040.802083333336</v>
      </c>
      <c r="N778" s="79">
        <v>4.2446031096114598E-2</v>
      </c>
      <c r="O778" s="5">
        <v>79.641055789999996</v>
      </c>
      <c r="P778" s="2">
        <v>23645</v>
      </c>
      <c r="Q778" s="7">
        <f t="shared" si="196"/>
        <v>394.08333333333331</v>
      </c>
      <c r="R778" s="6">
        <f t="shared" si="197"/>
        <v>16.727273421127162</v>
      </c>
      <c r="S778" s="6">
        <f t="shared" si="206"/>
        <v>147.55872415843518</v>
      </c>
      <c r="T778" s="2">
        <f t="shared" si="207"/>
        <v>1</v>
      </c>
      <c r="U778" s="6">
        <f t="shared" si="208"/>
        <v>147.55872415843518</v>
      </c>
      <c r="V778">
        <f t="shared" si="209"/>
        <v>0.33570763346860405</v>
      </c>
      <c r="W778" s="6">
        <f t="shared" si="201"/>
        <v>49.53659008487481</v>
      </c>
      <c r="AK778" s="78">
        <v>45039.791666666664</v>
      </c>
      <c r="AL778" s="5">
        <v>4.8667418765403203E-2</v>
      </c>
      <c r="AM778" s="5">
        <v>74.764849499999997</v>
      </c>
      <c r="AN778" s="2">
        <v>21408</v>
      </c>
      <c r="AO778" s="7">
        <f t="shared" si="195"/>
        <v>356.8</v>
      </c>
      <c r="AP778" s="5">
        <f t="shared" si="202"/>
        <v>17.364535015495864</v>
      </c>
      <c r="AQ778" s="6">
        <f t="shared" si="203"/>
        <v>150.28534800561133</v>
      </c>
      <c r="AR778" s="2">
        <f t="shared" si="204"/>
        <v>-2.1301186875174403</v>
      </c>
      <c r="AS778" s="2">
        <f t="shared" si="205"/>
        <v>-320.12562824681453</v>
      </c>
    </row>
    <row r="779" spans="13:45" x14ac:dyDescent="0.3">
      <c r="M779" s="78">
        <v>45040.8125</v>
      </c>
      <c r="N779" s="79">
        <v>4.3562537202998797E-2</v>
      </c>
      <c r="O779" s="5">
        <v>78.762941850000004</v>
      </c>
      <c r="P779" s="2">
        <v>20938</v>
      </c>
      <c r="Q779" s="7">
        <f t="shared" si="196"/>
        <v>348.96666666666664</v>
      </c>
      <c r="R779" s="6">
        <f t="shared" si="197"/>
        <v>15.201873399273145</v>
      </c>
      <c r="S779" s="6">
        <f t="shared" si="206"/>
        <v>140.80841442956316</v>
      </c>
      <c r="T779" s="2">
        <f t="shared" si="207"/>
        <v>1</v>
      </c>
      <c r="U779" s="6">
        <f t="shared" si="208"/>
        <v>140.80841442956316</v>
      </c>
      <c r="V779">
        <f t="shared" si="209"/>
        <v>5.6483982506287576E-2</v>
      </c>
      <c r="W779" s="6">
        <f t="shared" si="201"/>
        <v>7.9534200173775362</v>
      </c>
      <c r="AK779" s="78">
        <v>45039.802083333336</v>
      </c>
      <c r="AL779" s="5">
        <v>4.3688848556826199E-2</v>
      </c>
      <c r="AM779" s="5">
        <v>70.279402750000003</v>
      </c>
      <c r="AN779" s="2">
        <v>20926</v>
      </c>
      <c r="AO779" s="7">
        <f t="shared" si="195"/>
        <v>348.76666666666665</v>
      </c>
      <c r="AP779" s="5">
        <f t="shared" si="202"/>
        <v>15.237214081669084</v>
      </c>
      <c r="AQ779" s="6">
        <f t="shared" si="203"/>
        <v>140.9686205669546</v>
      </c>
      <c r="AR779" s="2">
        <f t="shared" si="204"/>
        <v>-2.1301186875174403</v>
      </c>
      <c r="AS779" s="2">
        <f t="shared" si="205"/>
        <v>-300.27989302322538</v>
      </c>
    </row>
    <row r="780" spans="13:45" x14ac:dyDescent="0.3">
      <c r="M780" s="78">
        <v>45040.822916666664</v>
      </c>
      <c r="N780" s="79">
        <v>4.5332065887622001E-2</v>
      </c>
      <c r="O780" s="5">
        <v>84.020316870000002</v>
      </c>
      <c r="P780" s="2">
        <v>21157</v>
      </c>
      <c r="Q780" s="7">
        <f t="shared" si="196"/>
        <v>352.61666666666667</v>
      </c>
      <c r="R780" s="6">
        <f t="shared" si="197"/>
        <v>15.984841966406979</v>
      </c>
      <c r="S780" s="6">
        <f t="shared" si="206"/>
        <v>144.31436747545297</v>
      </c>
      <c r="T780" s="2">
        <f t="shared" si="207"/>
        <v>1</v>
      </c>
      <c r="U780" s="6">
        <f t="shared" si="208"/>
        <v>144.31436747545297</v>
      </c>
      <c r="V780">
        <f t="shared" si="209"/>
        <v>0.19980595626509301</v>
      </c>
      <c r="W780" s="6">
        <f t="shared" si="201"/>
        <v>28.834870196224916</v>
      </c>
      <c r="AK780" s="78">
        <v>45039.8125</v>
      </c>
      <c r="AL780" s="5">
        <v>4.1691261076232201E-2</v>
      </c>
      <c r="AM780" s="5">
        <v>76.993676070000006</v>
      </c>
      <c r="AN780" s="2">
        <v>21716</v>
      </c>
      <c r="AO780" s="7">
        <f t="shared" si="195"/>
        <v>361.93333333333334</v>
      </c>
      <c r="AP780" s="5">
        <f t="shared" si="202"/>
        <v>15.089457092190974</v>
      </c>
      <c r="AQ780" s="6">
        <f t="shared" si="203"/>
        <v>140.29754180353174</v>
      </c>
      <c r="AR780" s="2">
        <f t="shared" si="204"/>
        <v>-2.1301186875174403</v>
      </c>
      <c r="AS780" s="2">
        <f t="shared" si="205"/>
        <v>-298.85041560846224</v>
      </c>
    </row>
    <row r="781" spans="13:45" x14ac:dyDescent="0.3">
      <c r="M781" s="78">
        <v>45040.833333333336</v>
      </c>
      <c r="N781" s="79">
        <v>4.5053723201619503E-2</v>
      </c>
      <c r="O781" s="5">
        <v>80.961047410000006</v>
      </c>
      <c r="P781" s="2">
        <v>20356</v>
      </c>
      <c r="Q781" s="7">
        <f t="shared" si="196"/>
        <v>339.26666666666665</v>
      </c>
      <c r="R781" s="6">
        <f t="shared" si="197"/>
        <v>15.285226491536109</v>
      </c>
      <c r="S781" s="6">
        <f t="shared" si="206"/>
        <v>141.18596661085851</v>
      </c>
      <c r="T781" s="2">
        <f t="shared" si="207"/>
        <v>1</v>
      </c>
      <c r="U781" s="6">
        <f t="shared" si="208"/>
        <v>141.18596661085851</v>
      </c>
      <c r="V781">
        <f t="shared" si="209"/>
        <v>7.1741721071398895E-2</v>
      </c>
      <c r="W781" s="6">
        <f t="shared" si="201"/>
        <v>10.128924235792049</v>
      </c>
      <c r="AK781" s="78">
        <v>45039.822916666664</v>
      </c>
      <c r="AL781" s="5">
        <v>4.4127287872783201E-2</v>
      </c>
      <c r="AM781" s="5">
        <v>76.993676070000006</v>
      </c>
      <c r="AN781" s="2">
        <v>21183</v>
      </c>
      <c r="AO781" s="7">
        <f t="shared" si="195"/>
        <v>353.05</v>
      </c>
      <c r="AP781" s="5">
        <f t="shared" si="202"/>
        <v>15.579138983486109</v>
      </c>
      <c r="AQ781" s="6">
        <f t="shared" si="203"/>
        <v>142.50894369050724</v>
      </c>
      <c r="AR781" s="2">
        <f t="shared" si="204"/>
        <v>-2.1301186875174403</v>
      </c>
      <c r="AS781" s="2">
        <f t="shared" si="205"/>
        <v>-303.56096409352006</v>
      </c>
    </row>
    <row r="782" spans="13:45" x14ac:dyDescent="0.3">
      <c r="M782" s="78">
        <v>45040.84375</v>
      </c>
      <c r="N782" s="79">
        <v>4.4181419124073501E-2</v>
      </c>
      <c r="O782" s="5">
        <v>80.523852189999999</v>
      </c>
      <c r="P782" s="2">
        <v>21698</v>
      </c>
      <c r="Q782" s="7">
        <f t="shared" si="196"/>
        <v>361.63333333333333</v>
      </c>
      <c r="R782" s="6">
        <f t="shared" si="197"/>
        <v>15.97747386923578</v>
      </c>
      <c r="S782" s="6">
        <f t="shared" si="206"/>
        <v>144.28178847482744</v>
      </c>
      <c r="T782" s="2">
        <f t="shared" si="207"/>
        <v>1</v>
      </c>
      <c r="U782" s="6">
        <f t="shared" si="208"/>
        <v>144.28178847482744</v>
      </c>
      <c r="V782">
        <f t="shared" si="209"/>
        <v>0.19845723005340288</v>
      </c>
      <c r="W782" s="6">
        <f t="shared" si="201"/>
        <v>28.633764087865242</v>
      </c>
      <c r="AK782" s="78">
        <v>45039.833333333336</v>
      </c>
      <c r="AL782" s="5">
        <v>4.2626422890655401E-2</v>
      </c>
      <c r="AM782" s="5">
        <v>77.435049230000004</v>
      </c>
      <c r="AN782" s="2">
        <v>20710</v>
      </c>
      <c r="AO782" s="7">
        <f t="shared" si="195"/>
        <v>345.16666666666669</v>
      </c>
      <c r="AP782" s="5">
        <f t="shared" si="202"/>
        <v>14.713220301091223</v>
      </c>
      <c r="AQ782" s="6">
        <f t="shared" si="203"/>
        <v>138.57346350173418</v>
      </c>
      <c r="AR782" s="2">
        <f t="shared" si="204"/>
        <v>-2.1301186875174403</v>
      </c>
      <c r="AS782" s="2">
        <f t="shared" si="205"/>
        <v>-295.17792419905993</v>
      </c>
    </row>
    <row r="783" spans="13:45" x14ac:dyDescent="0.3">
      <c r="M783" s="78">
        <v>45040.854166666664</v>
      </c>
      <c r="N783" s="79">
        <v>4.2888788109608E-2</v>
      </c>
      <c r="O783" s="5">
        <v>78.762941850000004</v>
      </c>
      <c r="P783" s="2">
        <v>21494</v>
      </c>
      <c r="Q783" s="7">
        <f t="shared" si="196"/>
        <v>358.23333333333335</v>
      </c>
      <c r="R783" s="6">
        <f t="shared" si="197"/>
        <v>15.364193527131906</v>
      </c>
      <c r="S783" s="6">
        <f t="shared" si="206"/>
        <v>141.54268395766471</v>
      </c>
      <c r="T783" s="2">
        <f t="shared" si="207"/>
        <v>1</v>
      </c>
      <c r="U783" s="6">
        <f t="shared" si="208"/>
        <v>141.54268395766471</v>
      </c>
      <c r="V783">
        <f t="shared" si="209"/>
        <v>8.6196594330106499E-2</v>
      </c>
      <c r="W783" s="6">
        <f t="shared" si="201"/>
        <v>12.200497309493297</v>
      </c>
      <c r="AK783" s="78">
        <v>45039.84375</v>
      </c>
      <c r="AL783" s="5">
        <v>4.45789273235591E-2</v>
      </c>
      <c r="AM783" s="5">
        <v>74.764849499999997</v>
      </c>
      <c r="AN783" s="2">
        <v>21087</v>
      </c>
      <c r="AO783" s="7">
        <f t="shared" si="195"/>
        <v>351.45</v>
      </c>
      <c r="AP783" s="5">
        <f t="shared" si="202"/>
        <v>15.667264007864846</v>
      </c>
      <c r="AQ783" s="6">
        <f t="shared" si="203"/>
        <v>142.90313091267711</v>
      </c>
      <c r="AR783" s="2">
        <f t="shared" si="204"/>
        <v>-2.1301186875174403</v>
      </c>
      <c r="AS783" s="2">
        <f t="shared" si="205"/>
        <v>-304.40062966184473</v>
      </c>
    </row>
    <row r="784" spans="13:45" x14ac:dyDescent="0.3">
      <c r="M784" s="78">
        <v>45040.864583333336</v>
      </c>
      <c r="N784" s="79">
        <v>3.9706326405720298E-2</v>
      </c>
      <c r="O784" s="5">
        <v>78.323104580000006</v>
      </c>
      <c r="P784" s="2">
        <v>22117</v>
      </c>
      <c r="Q784" s="7">
        <f t="shared" si="196"/>
        <v>368.61666666666667</v>
      </c>
      <c r="R784" s="6">
        <f t="shared" si="197"/>
        <v>14.636413685255263</v>
      </c>
      <c r="S784" s="6">
        <f t="shared" si="206"/>
        <v>138.21874759585657</v>
      </c>
      <c r="T784" s="2">
        <f t="shared" si="207"/>
        <v>1</v>
      </c>
      <c r="U784" s="6">
        <f t="shared" si="208"/>
        <v>138.21874759585657</v>
      </c>
      <c r="V784">
        <f t="shared" si="209"/>
        <v>0</v>
      </c>
      <c r="W784" s="6">
        <f t="shared" si="201"/>
        <v>0</v>
      </c>
      <c r="AK784" s="78">
        <v>45039.854166666664</v>
      </c>
      <c r="AL784" s="5">
        <v>4.4710827037043703E-2</v>
      </c>
      <c r="AM784" s="5">
        <v>77.875916610000004</v>
      </c>
      <c r="AN784" s="2">
        <v>21176</v>
      </c>
      <c r="AO784" s="7">
        <f t="shared" si="195"/>
        <v>352.93333333333334</v>
      </c>
      <c r="AP784" s="5">
        <f t="shared" si="202"/>
        <v>15.779941222273958</v>
      </c>
      <c r="AQ784" s="6">
        <f t="shared" si="203"/>
        <v>143.40549663521531</v>
      </c>
      <c r="AR784" s="2">
        <f t="shared" si="204"/>
        <v>-2.1301186875174403</v>
      </c>
      <c r="AS784" s="2">
        <f t="shared" si="205"/>
        <v>-305.47072827539154</v>
      </c>
    </row>
    <row r="785" spans="13:45" x14ac:dyDescent="0.3">
      <c r="M785" s="78">
        <v>45040.875</v>
      </c>
      <c r="N785" s="79">
        <v>4.1555355846796302E-2</v>
      </c>
      <c r="O785" s="5">
        <v>80.523852189999999</v>
      </c>
      <c r="P785" s="2">
        <v>21350</v>
      </c>
      <c r="Q785" s="7">
        <f t="shared" si="196"/>
        <v>355.83333333333331</v>
      </c>
      <c r="R785" s="6">
        <f t="shared" si="197"/>
        <v>14.78678078881835</v>
      </c>
      <c r="S785" s="6">
        <f t="shared" si="206"/>
        <v>138.91230302926226</v>
      </c>
      <c r="T785" s="2">
        <f t="shared" si="207"/>
        <v>1</v>
      </c>
      <c r="U785" s="6">
        <f t="shared" si="208"/>
        <v>138.91230302926226</v>
      </c>
      <c r="V785">
        <f t="shared" si="209"/>
        <v>0</v>
      </c>
      <c r="W785" s="6">
        <f t="shared" si="201"/>
        <v>0</v>
      </c>
      <c r="AK785" s="78">
        <v>45039.864583333336</v>
      </c>
      <c r="AL785" s="5">
        <v>4.3242197907493798E-2</v>
      </c>
      <c r="AM785" s="5">
        <v>76.101800600000004</v>
      </c>
      <c r="AN785" s="2">
        <v>20544</v>
      </c>
      <c r="AO785" s="7">
        <f t="shared" si="195"/>
        <v>342.4</v>
      </c>
      <c r="AP785" s="5">
        <f t="shared" si="202"/>
        <v>14.806128563525876</v>
      </c>
      <c r="AQ785" s="6">
        <f t="shared" si="203"/>
        <v>139.00128116130131</v>
      </c>
      <c r="AR785" s="2">
        <f t="shared" si="204"/>
        <v>-2.1301186875174403</v>
      </c>
      <c r="AS785" s="2">
        <f t="shared" si="205"/>
        <v>-296.08922659055384</v>
      </c>
    </row>
    <row r="786" spans="13:45" x14ac:dyDescent="0.3">
      <c r="M786" s="78">
        <v>45040.885416666664</v>
      </c>
      <c r="N786" s="79">
        <v>4.30016960118213E-2</v>
      </c>
      <c r="O786" s="5">
        <v>79.641055789999996</v>
      </c>
      <c r="P786" s="2">
        <v>21765</v>
      </c>
      <c r="Q786" s="7">
        <f t="shared" si="196"/>
        <v>362.75</v>
      </c>
      <c r="R786" s="6">
        <f t="shared" si="197"/>
        <v>15.598865228288176</v>
      </c>
      <c r="S786" s="6">
        <f t="shared" si="206"/>
        <v>142.59727871848585</v>
      </c>
      <c r="T786" s="2">
        <f t="shared" si="207"/>
        <v>1</v>
      </c>
      <c r="U786" s="6">
        <f t="shared" si="208"/>
        <v>142.59727871848585</v>
      </c>
      <c r="V786">
        <f t="shared" si="209"/>
        <v>0.12915312260834078</v>
      </c>
      <c r="W786" s="6">
        <f t="shared" si="201"/>
        <v>18.416883821944346</v>
      </c>
      <c r="AK786" s="78">
        <v>45039.875</v>
      </c>
      <c r="AL786" s="5">
        <v>4.4657067957642203E-2</v>
      </c>
      <c r="AM786" s="5">
        <v>76.101800600000004</v>
      </c>
      <c r="AN786" s="2">
        <v>21002</v>
      </c>
      <c r="AO786" s="7">
        <f t="shared" si="195"/>
        <v>350.03333333333336</v>
      </c>
      <c r="AP786" s="5">
        <f t="shared" si="202"/>
        <v>15.631462354106693</v>
      </c>
      <c r="AQ786" s="6">
        <f t="shared" si="203"/>
        <v>142.74312530358131</v>
      </c>
      <c r="AR786" s="2">
        <f t="shared" si="204"/>
        <v>-2.1301186875174403</v>
      </c>
      <c r="AS786" s="2">
        <f t="shared" si="205"/>
        <v>-304.05979872380215</v>
      </c>
    </row>
    <row r="787" spans="13:45" x14ac:dyDescent="0.3">
      <c r="M787" s="78">
        <v>45040.895833333336</v>
      </c>
      <c r="N787" s="79">
        <v>4.6251438127268299E-2</v>
      </c>
      <c r="O787" s="5">
        <v>82.718647970000006</v>
      </c>
      <c r="P787" s="2">
        <v>21787</v>
      </c>
      <c r="Q787" s="7">
        <f t="shared" si="196"/>
        <v>363.11666666666667</v>
      </c>
      <c r="R787" s="6">
        <f t="shared" si="197"/>
        <v>16.794668041313241</v>
      </c>
      <c r="S787" s="6">
        <f t="shared" si="206"/>
        <v>147.84956091119591</v>
      </c>
      <c r="T787" s="2">
        <f t="shared" si="207"/>
        <v>1</v>
      </c>
      <c r="U787" s="6">
        <f t="shared" si="208"/>
        <v>147.84956091119591</v>
      </c>
      <c r="V787">
        <f t="shared" si="209"/>
        <v>0.34804418233052381</v>
      </c>
      <c r="W787" s="6">
        <f t="shared" si="201"/>
        <v>51.458179535264158</v>
      </c>
      <c r="AK787" s="78">
        <v>45039.885416666664</v>
      </c>
      <c r="AL787" s="5">
        <v>4.69247384340458E-2</v>
      </c>
      <c r="AM787" s="5">
        <v>73.415890989999994</v>
      </c>
      <c r="AN787" s="2">
        <v>20866</v>
      </c>
      <c r="AO787" s="7">
        <f t="shared" si="195"/>
        <v>347.76666666666665</v>
      </c>
      <c r="AP787" s="5">
        <f t="shared" si="202"/>
        <v>16.318859869413327</v>
      </c>
      <c r="AQ787" s="6">
        <f t="shared" si="203"/>
        <v>145.78330582131306</v>
      </c>
      <c r="AR787" s="2">
        <f t="shared" si="204"/>
        <v>-2.1301186875174403</v>
      </c>
      <c r="AS787" s="2">
        <f t="shared" si="205"/>
        <v>-310.53574405804898</v>
      </c>
    </row>
    <row r="788" spans="13:45" x14ac:dyDescent="0.3">
      <c r="M788" s="78">
        <v>45040.90625</v>
      </c>
      <c r="N788" s="79">
        <v>4.0996528361051499E-2</v>
      </c>
      <c r="O788" s="5">
        <v>79.202259850000004</v>
      </c>
      <c r="P788" s="2">
        <v>21763</v>
      </c>
      <c r="Q788" s="7">
        <f t="shared" si="196"/>
        <v>362.71666666666664</v>
      </c>
      <c r="R788" s="6">
        <f t="shared" si="197"/>
        <v>14.870124112026062</v>
      </c>
      <c r="S788" s="6">
        <f t="shared" si="206"/>
        <v>139.29516722042325</v>
      </c>
      <c r="T788" s="2">
        <f t="shared" si="207"/>
        <v>1</v>
      </c>
      <c r="U788" s="6">
        <f t="shared" si="208"/>
        <v>139.29516722042325</v>
      </c>
      <c r="V788">
        <f t="shared" si="209"/>
        <v>0</v>
      </c>
      <c r="W788" s="6">
        <f t="shared" si="201"/>
        <v>0</v>
      </c>
      <c r="AK788" s="78">
        <v>45039.895833333336</v>
      </c>
      <c r="AL788" s="5">
        <v>4.5869043099457003E-2</v>
      </c>
      <c r="AM788" s="5">
        <v>74.312865549999998</v>
      </c>
      <c r="AN788" s="2">
        <v>20794</v>
      </c>
      <c r="AO788" s="7">
        <f t="shared" si="195"/>
        <v>346.56666666666666</v>
      </c>
      <c r="AP788" s="5">
        <f t="shared" si="202"/>
        <v>15.896681370168482</v>
      </c>
      <c r="AQ788" s="6">
        <f t="shared" si="203"/>
        <v>143.92404975903619</v>
      </c>
      <c r="AR788" s="2">
        <f t="shared" si="204"/>
        <v>-2.1301186875174403</v>
      </c>
      <c r="AS788" s="2">
        <f t="shared" si="205"/>
        <v>-306.57530797491296</v>
      </c>
    </row>
    <row r="789" spans="13:45" x14ac:dyDescent="0.3">
      <c r="M789" s="78">
        <v>45040.916666666664</v>
      </c>
      <c r="N789" s="79">
        <v>4.3171941406459899E-2</v>
      </c>
      <c r="O789" s="5">
        <v>83.153095449999995</v>
      </c>
      <c r="P789" s="2">
        <v>21020</v>
      </c>
      <c r="Q789" s="7">
        <f t="shared" si="196"/>
        <v>350.33333333333331</v>
      </c>
      <c r="R789" s="6">
        <f t="shared" si="197"/>
        <v>15.12457013939645</v>
      </c>
      <c r="S789" s="6">
        <f t="shared" si="206"/>
        <v>140.45731997337828</v>
      </c>
      <c r="T789" s="2">
        <f t="shared" si="207"/>
        <v>1</v>
      </c>
      <c r="U789" s="6">
        <f t="shared" si="208"/>
        <v>140.45731997337828</v>
      </c>
      <c r="V789">
        <f t="shared" si="209"/>
        <v>4.2333662495262145E-2</v>
      </c>
      <c r="W789" s="6">
        <f t="shared" si="201"/>
        <v>5.9460727787420389</v>
      </c>
      <c r="AK789" s="78">
        <v>45039.90625</v>
      </c>
      <c r="AL789" s="5">
        <v>4.1799342411317497E-2</v>
      </c>
      <c r="AM789" s="5">
        <v>79.641055789999996</v>
      </c>
      <c r="AN789" s="2">
        <v>21097</v>
      </c>
      <c r="AO789" s="7">
        <f t="shared" si="195"/>
        <v>351.61666666666667</v>
      </c>
      <c r="AP789" s="5">
        <f t="shared" si="202"/>
        <v>14.697345447526088</v>
      </c>
      <c r="AQ789" s="6">
        <f t="shared" si="203"/>
        <v>138.50022629474645</v>
      </c>
      <c r="AR789" s="2">
        <f t="shared" si="204"/>
        <v>-2.1301186875174403</v>
      </c>
      <c r="AS789" s="2">
        <f t="shared" si="205"/>
        <v>-295.02192025583378</v>
      </c>
    </row>
    <row r="790" spans="13:45" x14ac:dyDescent="0.3">
      <c r="M790" s="78">
        <v>45040.927083333336</v>
      </c>
      <c r="N790" s="79">
        <v>4.5705985469355899E-2</v>
      </c>
      <c r="O790" s="5">
        <v>86.622428940000006</v>
      </c>
      <c r="P790" s="2">
        <v>22100</v>
      </c>
      <c r="Q790" s="7">
        <f t="shared" si="196"/>
        <v>368.33333333333331</v>
      </c>
      <c r="R790" s="6">
        <f t="shared" si="197"/>
        <v>16.835037981212754</v>
      </c>
      <c r="S790" s="6">
        <f t="shared" si="206"/>
        <v>148.02348939202963</v>
      </c>
      <c r="T790" s="2">
        <f t="shared" si="207"/>
        <v>1</v>
      </c>
      <c r="U790" s="6">
        <f t="shared" si="208"/>
        <v>148.02348939202963</v>
      </c>
      <c r="V790">
        <f t="shared" si="209"/>
        <v>0.3554338780473042</v>
      </c>
      <c r="W790" s="6">
        <f t="shared" si="201"/>
        <v>52.612562876703088</v>
      </c>
      <c r="AK790" s="78">
        <v>45039.916666666664</v>
      </c>
      <c r="AL790" s="5">
        <v>4.0897207397816202E-2</v>
      </c>
      <c r="AM790" s="5">
        <v>77.875916610000004</v>
      </c>
      <c r="AN790" s="2">
        <v>21510</v>
      </c>
      <c r="AO790" s="7">
        <f t="shared" si="195"/>
        <v>358.5</v>
      </c>
      <c r="AP790" s="5">
        <f t="shared" si="202"/>
        <v>14.661648852117109</v>
      </c>
      <c r="AQ790" s="6">
        <f t="shared" si="203"/>
        <v>138.33539568641334</v>
      </c>
      <c r="AR790" s="2">
        <f t="shared" si="204"/>
        <v>-2.1301186875174403</v>
      </c>
      <c r="AS790" s="2">
        <f t="shared" si="205"/>
        <v>-294.67081149674857</v>
      </c>
    </row>
    <row r="791" spans="13:45" x14ac:dyDescent="0.3">
      <c r="M791" s="78">
        <v>45040.9375</v>
      </c>
      <c r="N791" s="79">
        <v>4.1601899196901299E-2</v>
      </c>
      <c r="O791" s="5">
        <v>78.315517589999999</v>
      </c>
      <c r="P791" s="2">
        <v>21989</v>
      </c>
      <c r="Q791" s="7">
        <f t="shared" si="196"/>
        <v>366.48333333333335</v>
      </c>
      <c r="R791" s="6">
        <f t="shared" si="197"/>
        <v>15.246402690677712</v>
      </c>
      <c r="S791" s="6">
        <f t="shared" si="206"/>
        <v>141.01024323822256</v>
      </c>
      <c r="T791" s="2">
        <f t="shared" si="207"/>
        <v>1</v>
      </c>
      <c r="U791" s="6">
        <f t="shared" si="208"/>
        <v>141.01024323822256</v>
      </c>
      <c r="V791">
        <f t="shared" si="209"/>
        <v>6.4635045271866851E-2</v>
      </c>
      <c r="W791" s="6">
        <f t="shared" si="201"/>
        <v>9.1142034554994709</v>
      </c>
      <c r="AK791" s="78">
        <v>45039.927083333336</v>
      </c>
      <c r="AL791" s="5">
        <v>4.3715688404430103E-2</v>
      </c>
      <c r="AM791" s="5">
        <v>77.875916610000004</v>
      </c>
      <c r="AN791" s="2">
        <v>21654</v>
      </c>
      <c r="AO791" s="7">
        <f t="shared" si="195"/>
        <v>360.9</v>
      </c>
      <c r="AP791" s="5">
        <f t="shared" si="202"/>
        <v>15.776991945158823</v>
      </c>
      <c r="AQ791" s="6">
        <f t="shared" si="203"/>
        <v>143.39237080405533</v>
      </c>
      <c r="AR791" s="2">
        <f t="shared" si="204"/>
        <v>-2.1301186875174403</v>
      </c>
      <c r="AS791" s="2">
        <f t="shared" si="205"/>
        <v>-305.44276869714844</v>
      </c>
    </row>
    <row r="792" spans="13:45" x14ac:dyDescent="0.3">
      <c r="M792" s="78">
        <v>45040.947916666664</v>
      </c>
      <c r="N792" s="79">
        <v>4.1889297863655701E-2</v>
      </c>
      <c r="O792" s="5">
        <v>76.986061320000005</v>
      </c>
      <c r="P792" s="2">
        <v>23086</v>
      </c>
      <c r="Q792" s="7">
        <f t="shared" si="196"/>
        <v>384.76666666666665</v>
      </c>
      <c r="R792" s="6">
        <f t="shared" si="197"/>
        <v>16.117605508005926</v>
      </c>
      <c r="S792" s="6">
        <f t="shared" si="206"/>
        <v>144.90009100645807</v>
      </c>
      <c r="T792" s="2">
        <f t="shared" si="207"/>
        <v>1</v>
      </c>
      <c r="U792" s="6">
        <f t="shared" si="208"/>
        <v>144.90009100645807</v>
      </c>
      <c r="V792">
        <f t="shared" si="209"/>
        <v>0.22410825092147349</v>
      </c>
      <c r="W792" s="6">
        <f t="shared" si="201"/>
        <v>32.473305953819647</v>
      </c>
      <c r="AK792" s="78">
        <v>45039.9375</v>
      </c>
      <c r="AL792" s="5">
        <v>4.42067366937526E-2</v>
      </c>
      <c r="AM792" s="5">
        <v>72.077340390000003</v>
      </c>
      <c r="AN792" s="2">
        <v>21680</v>
      </c>
      <c r="AO792" s="7">
        <f t="shared" si="195"/>
        <v>361.33333333333331</v>
      </c>
      <c r="AP792" s="5">
        <f t="shared" si="202"/>
        <v>15.973367525342605</v>
      </c>
      <c r="AQ792" s="6">
        <f t="shared" si="203"/>
        <v>144.26362841376942</v>
      </c>
      <c r="AR792" s="2">
        <f t="shared" si="204"/>
        <v>-2.1301186875174403</v>
      </c>
      <c r="AS792" s="2">
        <f t="shared" si="205"/>
        <v>-307.2986508132422</v>
      </c>
    </row>
    <row r="793" spans="13:45" x14ac:dyDescent="0.3">
      <c r="M793" s="78">
        <v>45040.958333333336</v>
      </c>
      <c r="N793" s="79">
        <v>4.0279309962177802E-2</v>
      </c>
      <c r="O793" s="5">
        <v>76.101800600000004</v>
      </c>
      <c r="P793" s="2">
        <v>22901</v>
      </c>
      <c r="Q793" s="7">
        <f t="shared" si="196"/>
        <v>381.68333333333334</v>
      </c>
      <c r="R793" s="6">
        <f t="shared" si="197"/>
        <v>15.373941290730563</v>
      </c>
      <c r="S793" s="6">
        <f t="shared" si="206"/>
        <v>141.58665254003671</v>
      </c>
      <c r="T793" s="2">
        <f t="shared" si="207"/>
        <v>1</v>
      </c>
      <c r="U793" s="6">
        <f t="shared" si="208"/>
        <v>141.58665254003671</v>
      </c>
      <c r="V793">
        <f t="shared" si="209"/>
        <v>8.7980917197380659E-2</v>
      </c>
      <c r="W793" s="6">
        <f t="shared" si="201"/>
        <v>12.456923553379276</v>
      </c>
      <c r="AK793" s="78">
        <v>45039.947916666664</v>
      </c>
      <c r="AL793" s="5">
        <v>4.4141256748980201E-2</v>
      </c>
      <c r="AM793" s="5">
        <v>74.764849499999997</v>
      </c>
      <c r="AN793" s="2">
        <v>20677</v>
      </c>
      <c r="AO793" s="7">
        <f t="shared" si="195"/>
        <v>344.61666666666667</v>
      </c>
      <c r="AP793" s="5">
        <f t="shared" si="202"/>
        <v>15.211812763311061</v>
      </c>
      <c r="AQ793" s="6">
        <f t="shared" si="203"/>
        <v>140.85349067815875</v>
      </c>
      <c r="AR793" s="2">
        <f t="shared" si="204"/>
        <v>-2.1301186875174403</v>
      </c>
      <c r="AS793" s="2">
        <f t="shared" si="205"/>
        <v>-300.03465269560951</v>
      </c>
    </row>
    <row r="794" spans="13:45" x14ac:dyDescent="0.3">
      <c r="M794" s="78">
        <v>45040.96875</v>
      </c>
      <c r="N794" s="79">
        <v>4.36246901428596E-2</v>
      </c>
      <c r="O794" s="5">
        <v>72.523974480000007</v>
      </c>
      <c r="P794" s="2">
        <v>23548</v>
      </c>
      <c r="Q794" s="7">
        <f t="shared" si="196"/>
        <v>392.46666666666664</v>
      </c>
      <c r="R794" s="6">
        <f t="shared" si="197"/>
        <v>17.121236724734295</v>
      </c>
      <c r="S794" s="6">
        <f t="shared" si="206"/>
        <v>149.250483546585</v>
      </c>
      <c r="T794" s="2">
        <f t="shared" si="207"/>
        <v>1</v>
      </c>
      <c r="U794" s="6">
        <f t="shared" si="208"/>
        <v>149.250483546585</v>
      </c>
      <c r="V794">
        <f t="shared" si="209"/>
        <v>0.4078224036287994</v>
      </c>
      <c r="W794" s="6">
        <f t="shared" si="201"/>
        <v>60.867690942728871</v>
      </c>
      <c r="AK794" s="78">
        <v>45039.958333333336</v>
      </c>
      <c r="AL794" s="5">
        <v>4.1939949104559199E-2</v>
      </c>
      <c r="AM794" s="5">
        <v>69.822823</v>
      </c>
      <c r="AN794" s="2">
        <v>21413</v>
      </c>
      <c r="AO794" s="7">
        <f t="shared" si="195"/>
        <v>356.88333333333333</v>
      </c>
      <c r="AP794" s="5">
        <f t="shared" si="202"/>
        <v>14.967668836265435</v>
      </c>
      <c r="AQ794" s="6">
        <f t="shared" si="203"/>
        <v>139.74188191638135</v>
      </c>
      <c r="AR794" s="2">
        <f t="shared" si="204"/>
        <v>-2.1301186875174403</v>
      </c>
      <c r="AS794" s="2">
        <f t="shared" si="205"/>
        <v>-297.66679409893936</v>
      </c>
    </row>
    <row r="795" spans="13:45" x14ac:dyDescent="0.3">
      <c r="M795" s="78">
        <v>45040.979166666664</v>
      </c>
      <c r="N795" s="79">
        <v>4.0293755777987598E-2</v>
      </c>
      <c r="O795" s="5">
        <v>73.423571839999994</v>
      </c>
      <c r="P795" s="2">
        <v>22830</v>
      </c>
      <c r="Q795" s="7">
        <f t="shared" si="196"/>
        <v>380.5</v>
      </c>
      <c r="R795" s="6">
        <f t="shared" si="197"/>
        <v>15.331774073524281</v>
      </c>
      <c r="S795" s="6">
        <f t="shared" si="206"/>
        <v>141.39634921263729</v>
      </c>
      <c r="T795" s="2">
        <f t="shared" si="207"/>
        <v>1</v>
      </c>
      <c r="U795" s="6">
        <f t="shared" si="208"/>
        <v>141.39634921263729</v>
      </c>
      <c r="V795">
        <f t="shared" si="209"/>
        <v>8.0262230839327112E-2</v>
      </c>
      <c r="W795" s="6">
        <f t="shared" si="201"/>
        <v>11.348786420342803</v>
      </c>
      <c r="AK795" s="78">
        <v>45039.96875</v>
      </c>
      <c r="AL795" s="5">
        <v>4.2631723422952301E-2</v>
      </c>
      <c r="AM795" s="5">
        <v>74.764849499999997</v>
      </c>
      <c r="AN795" s="2">
        <v>21045</v>
      </c>
      <c r="AO795" s="7">
        <f t="shared" si="195"/>
        <v>350.75</v>
      </c>
      <c r="AP795" s="5">
        <f t="shared" si="202"/>
        <v>14.95307699060052</v>
      </c>
      <c r="AQ795" s="6">
        <f t="shared" si="203"/>
        <v>139.67515196306647</v>
      </c>
      <c r="AR795" s="2">
        <f t="shared" si="204"/>
        <v>-2.1301186875174403</v>
      </c>
      <c r="AS795" s="2">
        <f t="shared" si="205"/>
        <v>-297.52465137836617</v>
      </c>
    </row>
    <row r="796" spans="13:45" x14ac:dyDescent="0.3">
      <c r="M796" s="78">
        <v>45040.989583333336</v>
      </c>
      <c r="N796" s="79">
        <v>3.98086444249134E-2</v>
      </c>
      <c r="O796" s="5">
        <v>81.841333250000005</v>
      </c>
      <c r="P796" s="2">
        <v>22869</v>
      </c>
      <c r="Q796" s="7">
        <f t="shared" si="196"/>
        <v>381.15</v>
      </c>
      <c r="R796" s="6">
        <f t="shared" si="197"/>
        <v>15.173064822555741</v>
      </c>
      <c r="S796" s="6">
        <f t="shared" si="206"/>
        <v>140.67767892542679</v>
      </c>
      <c r="T796" s="2">
        <f t="shared" si="207"/>
        <v>1</v>
      </c>
      <c r="U796" s="6">
        <f t="shared" si="208"/>
        <v>140.67767892542679</v>
      </c>
      <c r="V796">
        <f t="shared" si="209"/>
        <v>5.121058808199444E-2</v>
      </c>
      <c r="W796" s="6">
        <f t="shared" si="201"/>
        <v>7.2041866677811015</v>
      </c>
      <c r="AK796" s="78">
        <v>45039.979166666664</v>
      </c>
      <c r="AL796" s="5">
        <v>4.2433082091957397E-2</v>
      </c>
      <c r="AM796" s="5">
        <v>74.764849499999997</v>
      </c>
      <c r="AN796" s="2">
        <v>21336</v>
      </c>
      <c r="AO796" s="7">
        <f t="shared" si="195"/>
        <v>355.6</v>
      </c>
      <c r="AP796" s="5">
        <f t="shared" si="202"/>
        <v>15.089203991900051</v>
      </c>
      <c r="AQ796" s="6">
        <f t="shared" si="203"/>
        <v>140.29638940935703</v>
      </c>
      <c r="AR796" s="2">
        <f t="shared" si="204"/>
        <v>-2.1301186875174403</v>
      </c>
      <c r="AS796" s="2">
        <f t="shared" si="205"/>
        <v>-298.84796087209531</v>
      </c>
    </row>
    <row r="797" spans="13:45" x14ac:dyDescent="0.3">
      <c r="M797" s="78">
        <v>45041</v>
      </c>
      <c r="N797" s="79">
        <v>4.14905612091305E-2</v>
      </c>
      <c r="O797" s="5">
        <v>77.435049230000004</v>
      </c>
      <c r="P797" s="2">
        <v>22492</v>
      </c>
      <c r="Q797" s="7">
        <f t="shared" si="196"/>
        <v>374.86666666666667</v>
      </c>
      <c r="R797" s="6">
        <f t="shared" si="197"/>
        <v>15.553428378596054</v>
      </c>
      <c r="S797" s="6">
        <f t="shared" si="206"/>
        <v>142.39372470318679</v>
      </c>
      <c r="T797" s="2">
        <f t="shared" si="207"/>
        <v>1</v>
      </c>
      <c r="U797" s="6">
        <f t="shared" si="208"/>
        <v>142.39372470318679</v>
      </c>
      <c r="V797">
        <f t="shared" si="209"/>
        <v>0.12083593178790276</v>
      </c>
      <c r="W797" s="6">
        <f t="shared" si="201"/>
        <v>17.206278405259685</v>
      </c>
      <c r="AK797" s="78">
        <v>45039.989583333336</v>
      </c>
      <c r="AL797" s="5">
        <v>4.4527561786609798E-2</v>
      </c>
      <c r="AM797" s="5">
        <v>69.822823</v>
      </c>
      <c r="AN797" s="2">
        <v>21866</v>
      </c>
      <c r="AO797" s="7">
        <f t="shared" si="195"/>
        <v>364.43333333333334</v>
      </c>
      <c r="AP797" s="5">
        <f t="shared" si="202"/>
        <v>16.227327767100164</v>
      </c>
      <c r="AQ797" s="6">
        <f t="shared" si="203"/>
        <v>145.38230582478187</v>
      </c>
      <c r="AR797" s="2">
        <f t="shared" si="204"/>
        <v>-2.1301186875174403</v>
      </c>
      <c r="AS797" s="2">
        <f t="shared" si="205"/>
        <v>-309.68156647174345</v>
      </c>
    </row>
    <row r="798" spans="13:45" x14ac:dyDescent="0.3">
      <c r="M798" s="78">
        <v>45041.010416666664</v>
      </c>
      <c r="N798" s="79">
        <v>4.0780406845192602E-2</v>
      </c>
      <c r="O798" s="5">
        <v>71.17580074</v>
      </c>
      <c r="P798" s="2">
        <v>22026</v>
      </c>
      <c r="Q798" s="7">
        <f t="shared" si="196"/>
        <v>367.1</v>
      </c>
      <c r="R798" s="6">
        <f t="shared" si="197"/>
        <v>14.970487352870204</v>
      </c>
      <c r="S798" s="6">
        <f t="shared" si="206"/>
        <v>139.75476744556275</v>
      </c>
      <c r="T798" s="2">
        <f t="shared" si="207"/>
        <v>1</v>
      </c>
      <c r="U798" s="6">
        <f t="shared" si="208"/>
        <v>139.75476744556275</v>
      </c>
      <c r="V798">
        <f t="shared" si="209"/>
        <v>1.4128891557856857E-2</v>
      </c>
      <c r="W798" s="6">
        <f t="shared" si="201"/>
        <v>1.9745799539318598</v>
      </c>
      <c r="AK798" s="78">
        <v>45040</v>
      </c>
      <c r="AL798" s="5">
        <v>4.1953410838554403E-2</v>
      </c>
      <c r="AM798" s="5">
        <v>75.659696060000002</v>
      </c>
      <c r="AN798" s="2">
        <v>21534</v>
      </c>
      <c r="AO798" s="7">
        <f t="shared" si="195"/>
        <v>358.9</v>
      </c>
      <c r="AP798" s="5">
        <f t="shared" si="202"/>
        <v>15.057079149957174</v>
      </c>
      <c r="AQ798" s="6">
        <f t="shared" si="203"/>
        <v>140.15004121393883</v>
      </c>
      <c r="AR798" s="2">
        <f t="shared" si="204"/>
        <v>-2.1301186875174403</v>
      </c>
      <c r="AS798" s="2">
        <f t="shared" si="205"/>
        <v>-298.53622184615057</v>
      </c>
    </row>
    <row r="799" spans="13:45" x14ac:dyDescent="0.3">
      <c r="M799" s="78">
        <v>45041.020833333336</v>
      </c>
      <c r="N799" s="79">
        <v>4.0008510253739103E-2</v>
      </c>
      <c r="O799" s="5">
        <v>73.423571839999994</v>
      </c>
      <c r="P799" s="2">
        <v>22664</v>
      </c>
      <c r="Q799" s="7">
        <f t="shared" si="196"/>
        <v>377.73333333333335</v>
      </c>
      <c r="R799" s="6">
        <f t="shared" si="197"/>
        <v>15.112547939845719</v>
      </c>
      <c r="S799" s="6">
        <f t="shared" si="206"/>
        <v>140.40263556969489</v>
      </c>
      <c r="T799" s="2">
        <f t="shared" si="207"/>
        <v>1</v>
      </c>
      <c r="U799" s="6">
        <f t="shared" si="208"/>
        <v>140.40263556969489</v>
      </c>
      <c r="V799">
        <f t="shared" si="209"/>
        <v>4.0133005354145351E-2</v>
      </c>
      <c r="W799" s="6">
        <f t="shared" si="201"/>
        <v>5.6347797250546838</v>
      </c>
      <c r="AK799" s="78">
        <v>45040.010416666664</v>
      </c>
      <c r="AL799" s="5">
        <v>3.9873062554470498E-2</v>
      </c>
      <c r="AM799" s="5">
        <v>75.659696060000002</v>
      </c>
      <c r="AN799" s="2">
        <v>22416</v>
      </c>
      <c r="AO799" s="7">
        <f t="shared" si="195"/>
        <v>373.6</v>
      </c>
      <c r="AP799" s="5">
        <f t="shared" si="202"/>
        <v>14.89657617035018</v>
      </c>
      <c r="AQ799" s="6">
        <f t="shared" si="203"/>
        <v>139.41645416223901</v>
      </c>
      <c r="AR799" s="2">
        <f t="shared" si="204"/>
        <v>-2.1301186875174403</v>
      </c>
      <c r="AS799" s="2">
        <f t="shared" si="205"/>
        <v>-296.97359435840394</v>
      </c>
    </row>
    <row r="800" spans="13:45" x14ac:dyDescent="0.3">
      <c r="M800" s="78">
        <v>45041.03125</v>
      </c>
      <c r="N800" s="79">
        <v>3.94948437255618E-2</v>
      </c>
      <c r="O800" s="5">
        <v>80.523852189999999</v>
      </c>
      <c r="P800" s="2">
        <v>22992</v>
      </c>
      <c r="Q800" s="7">
        <f t="shared" si="196"/>
        <v>383.2</v>
      </c>
      <c r="R800" s="6">
        <f t="shared" si="197"/>
        <v>15.134424115635282</v>
      </c>
      <c r="S800" s="6">
        <f t="shared" si="206"/>
        <v>140.50212541625521</v>
      </c>
      <c r="T800" s="2">
        <f t="shared" si="207"/>
        <v>1</v>
      </c>
      <c r="U800" s="6">
        <f t="shared" si="208"/>
        <v>140.50212541625521</v>
      </c>
      <c r="V800">
        <f t="shared" si="209"/>
        <v>4.4137427529012625E-2</v>
      </c>
      <c r="W800" s="6">
        <f t="shared" si="201"/>
        <v>6.2014023782322072</v>
      </c>
      <c r="AK800" s="78">
        <v>45040.020833333336</v>
      </c>
      <c r="AL800" s="5">
        <v>3.91391560371196E-2</v>
      </c>
      <c r="AM800" s="5">
        <v>76.993676070000006</v>
      </c>
      <c r="AN800" s="2">
        <v>22953</v>
      </c>
      <c r="AO800" s="7">
        <f t="shared" si="195"/>
        <v>382.55</v>
      </c>
      <c r="AP800" s="5">
        <f t="shared" si="202"/>
        <v>14.972684142000103</v>
      </c>
      <c r="AQ800" s="6">
        <f t="shared" si="203"/>
        <v>139.7648097390279</v>
      </c>
      <c r="AR800" s="2">
        <f t="shared" si="204"/>
        <v>-2.1301186875174403</v>
      </c>
      <c r="AS800" s="2">
        <f t="shared" si="205"/>
        <v>-297.71563308242287</v>
      </c>
    </row>
    <row r="801" spans="13:45" x14ac:dyDescent="0.3">
      <c r="M801" s="78">
        <v>45041.041666666664</v>
      </c>
      <c r="N801" s="79">
        <v>4.0479808897144802E-2</v>
      </c>
      <c r="O801" s="5">
        <v>76.094169239999999</v>
      </c>
      <c r="P801" s="2">
        <v>22272</v>
      </c>
      <c r="Q801" s="7">
        <f t="shared" si="196"/>
        <v>371.2</v>
      </c>
      <c r="R801" s="6">
        <f t="shared" si="197"/>
        <v>15.02610506262015</v>
      </c>
      <c r="S801" s="6">
        <f t="shared" si="206"/>
        <v>140.00878445268006</v>
      </c>
      <c r="T801" s="2">
        <f t="shared" si="207"/>
        <v>1</v>
      </c>
      <c r="U801" s="6">
        <f t="shared" si="208"/>
        <v>140.00878445268006</v>
      </c>
      <c r="V801">
        <f t="shared" si="209"/>
        <v>2.4309683318739957E-2</v>
      </c>
      <c r="W801" s="6">
        <f t="shared" si="201"/>
        <v>3.4035692118863747</v>
      </c>
      <c r="AK801" s="78">
        <v>45040.03125</v>
      </c>
      <c r="AL801" s="5">
        <v>3.9797140275100999E-2</v>
      </c>
      <c r="AM801" s="5">
        <v>72.077340390000003</v>
      </c>
      <c r="AN801" s="2">
        <v>22696</v>
      </c>
      <c r="AO801" s="7">
        <f t="shared" si="195"/>
        <v>378.26666666666665</v>
      </c>
      <c r="AP801" s="5">
        <f t="shared" si="202"/>
        <v>15.053931594728205</v>
      </c>
      <c r="AQ801" s="6">
        <f t="shared" si="203"/>
        <v>140.13569361839495</v>
      </c>
      <c r="AR801" s="2">
        <f t="shared" si="204"/>
        <v>-2.1301186875174403</v>
      </c>
      <c r="AS801" s="2">
        <f t="shared" si="205"/>
        <v>-298.50565976476156</v>
      </c>
    </row>
    <row r="802" spans="13:45" x14ac:dyDescent="0.3">
      <c r="M802" s="78">
        <v>45041.052083333336</v>
      </c>
      <c r="N802" s="79">
        <v>3.9867976770156098E-2</v>
      </c>
      <c r="O802" s="5">
        <v>73.868067069999995</v>
      </c>
      <c r="P802" s="2">
        <v>22010</v>
      </c>
      <c r="Q802" s="7">
        <f t="shared" si="196"/>
        <v>366.83333333333331</v>
      </c>
      <c r="R802" s="6">
        <f t="shared" si="197"/>
        <v>14.624902811852261</v>
      </c>
      <c r="S802" s="6">
        <f t="shared" si="206"/>
        <v>138.16550517032698</v>
      </c>
      <c r="T802" s="2">
        <f t="shared" si="207"/>
        <v>1</v>
      </c>
      <c r="U802" s="6">
        <f t="shared" si="208"/>
        <v>138.16550517032698</v>
      </c>
      <c r="V802">
        <f t="shared" si="209"/>
        <v>0</v>
      </c>
      <c r="W802" s="6">
        <f t="shared" si="201"/>
        <v>0</v>
      </c>
      <c r="AK802" s="78">
        <v>45040.041666666664</v>
      </c>
      <c r="AL802" s="5">
        <v>4.03372779369673E-2</v>
      </c>
      <c r="AM802" s="5">
        <v>72.523974480000007</v>
      </c>
      <c r="AN802" s="2">
        <v>22646</v>
      </c>
      <c r="AO802" s="7">
        <f t="shared" si="195"/>
        <v>377.43333333333334</v>
      </c>
      <c r="AP802" s="5">
        <f t="shared" si="202"/>
        <v>15.224633269342691</v>
      </c>
      <c r="AQ802" s="6">
        <f t="shared" si="203"/>
        <v>140.91161107262477</v>
      </c>
      <c r="AR802" s="2">
        <f t="shared" si="204"/>
        <v>-2.1301186875174403</v>
      </c>
      <c r="AS802" s="2">
        <f t="shared" si="205"/>
        <v>-300.15845603398748</v>
      </c>
    </row>
    <row r="803" spans="13:45" x14ac:dyDescent="0.3">
      <c r="M803" s="78">
        <v>45041.0625</v>
      </c>
      <c r="N803" s="79">
        <v>3.9628222454038901E-2</v>
      </c>
      <c r="O803" s="5">
        <v>80.961047410000006</v>
      </c>
      <c r="P803" s="2">
        <v>22407</v>
      </c>
      <c r="Q803" s="7">
        <f t="shared" si="196"/>
        <v>373.45</v>
      </c>
      <c r="R803" s="6">
        <f t="shared" si="197"/>
        <v>14.799159675460828</v>
      </c>
      <c r="S803" s="6">
        <f t="shared" si="206"/>
        <v>138.96923890832593</v>
      </c>
      <c r="T803" s="2">
        <f t="shared" si="207"/>
        <v>1</v>
      </c>
      <c r="U803" s="6">
        <f t="shared" si="208"/>
        <v>138.96923890832593</v>
      </c>
      <c r="V803">
        <f t="shared" si="209"/>
        <v>0</v>
      </c>
      <c r="W803" s="6">
        <f t="shared" si="201"/>
        <v>0</v>
      </c>
      <c r="AK803" s="78">
        <v>45040.052083333336</v>
      </c>
      <c r="AL803" s="5">
        <v>3.9572280194794598E-2</v>
      </c>
      <c r="AM803" s="5">
        <v>78.323104580000006</v>
      </c>
      <c r="AN803" s="2">
        <v>23104</v>
      </c>
      <c r="AO803" s="7">
        <f t="shared" si="195"/>
        <v>385.06666666666666</v>
      </c>
      <c r="AP803" s="5">
        <f t="shared" si="202"/>
        <v>15.237966027008907</v>
      </c>
      <c r="AQ803" s="6">
        <f t="shared" si="203"/>
        <v>140.97202721908928</v>
      </c>
      <c r="AR803" s="2">
        <f t="shared" si="204"/>
        <v>-2.1301186875174403</v>
      </c>
      <c r="AS803" s="2">
        <f t="shared" si="205"/>
        <v>-300.28714959659931</v>
      </c>
    </row>
    <row r="804" spans="13:45" x14ac:dyDescent="0.3">
      <c r="M804" s="78">
        <v>45041.072916666664</v>
      </c>
      <c r="N804" s="79">
        <v>3.9239043127513397E-2</v>
      </c>
      <c r="O804" s="5">
        <v>81.841333250000005</v>
      </c>
      <c r="P804" s="2">
        <v>22587</v>
      </c>
      <c r="Q804" s="7">
        <f t="shared" si="196"/>
        <v>376.45</v>
      </c>
      <c r="R804" s="6">
        <f t="shared" si="197"/>
        <v>14.771537785352418</v>
      </c>
      <c r="S804" s="6">
        <f t="shared" si="206"/>
        <v>138.84216040620464</v>
      </c>
      <c r="T804" s="2">
        <f t="shared" si="207"/>
        <v>1</v>
      </c>
      <c r="U804" s="6">
        <f t="shared" si="208"/>
        <v>138.84216040620464</v>
      </c>
      <c r="V804">
        <f t="shared" si="209"/>
        <v>0</v>
      </c>
      <c r="W804" s="6">
        <f t="shared" si="201"/>
        <v>0</v>
      </c>
      <c r="AK804" s="78">
        <v>45040.0625</v>
      </c>
      <c r="AL804" s="5">
        <v>3.8832732695600801E-2</v>
      </c>
      <c r="AM804" s="5">
        <v>73.868067069999995</v>
      </c>
      <c r="AN804" s="2">
        <v>23039</v>
      </c>
      <c r="AO804" s="7">
        <f t="shared" ref="AO804:AO867" si="210">AN804/60</f>
        <v>383.98333333333335</v>
      </c>
      <c r="AP804" s="5">
        <f t="shared" si="202"/>
        <v>14.911122142899115</v>
      </c>
      <c r="AQ804" s="6">
        <f t="shared" si="203"/>
        <v>139.48310295334161</v>
      </c>
      <c r="AR804" s="2">
        <f t="shared" si="204"/>
        <v>-2.1301186875174403</v>
      </c>
      <c r="AS804" s="2">
        <f t="shared" si="205"/>
        <v>-297.11556419383203</v>
      </c>
    </row>
    <row r="805" spans="13:45" x14ac:dyDescent="0.3">
      <c r="M805" s="78">
        <v>45041.083333333336</v>
      </c>
      <c r="N805" s="79">
        <v>4.2264191506344501E-2</v>
      </c>
      <c r="O805" s="5">
        <v>77.427442880000001</v>
      </c>
      <c r="P805" s="2">
        <v>22160</v>
      </c>
      <c r="Q805" s="7">
        <f t="shared" si="196"/>
        <v>369.33333333333331</v>
      </c>
      <c r="R805" s="6">
        <f t="shared" si="197"/>
        <v>15.609574729676568</v>
      </c>
      <c r="S805" s="6">
        <f t="shared" si="206"/>
        <v>142.64521248205787</v>
      </c>
      <c r="T805" s="2">
        <f t="shared" si="207"/>
        <v>1</v>
      </c>
      <c r="U805" s="6">
        <f t="shared" si="208"/>
        <v>142.64521248205787</v>
      </c>
      <c r="V805">
        <f t="shared" si="209"/>
        <v>0.13111349105911502</v>
      </c>
      <c r="W805" s="6">
        <f t="shared" si="201"/>
        <v>18.702711791391856</v>
      </c>
      <c r="AK805" s="78">
        <v>45040.072916666664</v>
      </c>
      <c r="AL805" s="5">
        <v>3.9291529974358003E-2</v>
      </c>
      <c r="AM805" s="5">
        <v>76.101800600000004</v>
      </c>
      <c r="AN805" s="2">
        <v>23244</v>
      </c>
      <c r="AO805" s="7">
        <f t="shared" si="210"/>
        <v>387.4</v>
      </c>
      <c r="AP805" s="5">
        <f t="shared" si="202"/>
        <v>15.221538712066289</v>
      </c>
      <c r="AQ805" s="6">
        <f t="shared" si="203"/>
        <v>140.89758451518486</v>
      </c>
      <c r="AR805" s="2">
        <f t="shared" si="204"/>
        <v>-2.1301186875174403</v>
      </c>
      <c r="AS805" s="2">
        <f t="shared" si="205"/>
        <v>-300.12857780186317</v>
      </c>
    </row>
    <row r="806" spans="13:45" x14ac:dyDescent="0.3">
      <c r="M806" s="78">
        <v>45041.09375</v>
      </c>
      <c r="N806" s="79">
        <v>4.0067421658539902E-2</v>
      </c>
      <c r="O806" s="5">
        <v>78.315517589999999</v>
      </c>
      <c r="P806" s="2">
        <v>22378</v>
      </c>
      <c r="Q806" s="7">
        <f t="shared" si="196"/>
        <v>372.96666666666664</v>
      </c>
      <c r="R806" s="6">
        <f t="shared" si="197"/>
        <v>14.943812697913431</v>
      </c>
      <c r="S806" s="6">
        <f t="shared" si="206"/>
        <v>139.63276818921</v>
      </c>
      <c r="T806" s="2">
        <f t="shared" si="207"/>
        <v>1</v>
      </c>
      <c r="U806" s="6">
        <f t="shared" si="208"/>
        <v>139.63276818921</v>
      </c>
      <c r="V806">
        <f t="shared" si="209"/>
        <v>9.2461103604778994E-3</v>
      </c>
      <c r="W806" s="6">
        <f t="shared" si="201"/>
        <v>1.2910599846164634</v>
      </c>
      <c r="AK806" s="78">
        <v>45040.083333333336</v>
      </c>
      <c r="AL806" s="5">
        <v>3.7195212526936999E-2</v>
      </c>
      <c r="AM806" s="5">
        <v>74.764849499999997</v>
      </c>
      <c r="AN806" s="2">
        <v>24515</v>
      </c>
      <c r="AO806" s="7">
        <f t="shared" si="210"/>
        <v>408.58333333333331</v>
      </c>
      <c r="AP806" s="5">
        <f t="shared" si="202"/>
        <v>15.197343918297674</v>
      </c>
      <c r="AQ806" s="6">
        <f t="shared" si="203"/>
        <v>140.78786768315325</v>
      </c>
      <c r="AR806" s="2">
        <f t="shared" si="204"/>
        <v>-2.1301186875174403</v>
      </c>
      <c r="AS806" s="2">
        <f t="shared" si="205"/>
        <v>-299.89486792761744</v>
      </c>
    </row>
    <row r="807" spans="13:45" x14ac:dyDescent="0.3">
      <c r="M807" s="78">
        <v>45041.104166666664</v>
      </c>
      <c r="N807" s="79">
        <v>4.0165230454132901E-2</v>
      </c>
      <c r="O807" s="5">
        <v>77.435049230000004</v>
      </c>
      <c r="P807" s="2">
        <v>22402</v>
      </c>
      <c r="Q807" s="7">
        <f t="shared" si="196"/>
        <v>373.36666666666667</v>
      </c>
      <c r="R807" s="6">
        <f t="shared" si="197"/>
        <v>14.996358210558087</v>
      </c>
      <c r="S807" s="6">
        <f t="shared" si="206"/>
        <v>139.87298453282222</v>
      </c>
      <c r="T807" s="2">
        <f t="shared" si="207"/>
        <v>1</v>
      </c>
      <c r="U807" s="6">
        <f t="shared" si="208"/>
        <v>139.87298453282222</v>
      </c>
      <c r="V807">
        <f t="shared" si="209"/>
        <v>1.886453809885872E-2</v>
      </c>
      <c r="W807" s="6">
        <f t="shared" si="201"/>
        <v>2.6386392457205012</v>
      </c>
      <c r="AK807" s="78">
        <v>45040.09375</v>
      </c>
      <c r="AL807" s="5">
        <v>3.77323067846611E-2</v>
      </c>
      <c r="AM807" s="5">
        <v>79.202259850000004</v>
      </c>
      <c r="AN807" s="2">
        <v>26067</v>
      </c>
      <c r="AO807" s="7">
        <f t="shared" si="210"/>
        <v>434.45</v>
      </c>
      <c r="AP807" s="5">
        <f t="shared" si="202"/>
        <v>16.392800682596015</v>
      </c>
      <c r="AQ807" s="6">
        <f t="shared" si="203"/>
        <v>146.10640144748939</v>
      </c>
      <c r="AR807" s="2">
        <f t="shared" si="204"/>
        <v>-2.1301186875174403</v>
      </c>
      <c r="AS807" s="2">
        <f t="shared" si="205"/>
        <v>-311.22397608922233</v>
      </c>
    </row>
    <row r="808" spans="13:45" x14ac:dyDescent="0.3">
      <c r="M808" s="78">
        <v>45041.114583333336</v>
      </c>
      <c r="N808" s="79">
        <v>4.0188095558735502E-2</v>
      </c>
      <c r="O808" s="5">
        <v>76.544179459999995</v>
      </c>
      <c r="P808" s="2">
        <v>22789</v>
      </c>
      <c r="Q808" s="7">
        <f t="shared" si="196"/>
        <v>379.81666666666666</v>
      </c>
      <c r="R808" s="6">
        <f t="shared" si="197"/>
        <v>15.264108494800389</v>
      </c>
      <c r="S808" s="6">
        <f t="shared" si="206"/>
        <v>141.09041111949344</v>
      </c>
      <c r="T808" s="2">
        <f t="shared" si="207"/>
        <v>1</v>
      </c>
      <c r="U808" s="6">
        <f t="shared" si="208"/>
        <v>141.09041111949344</v>
      </c>
      <c r="V808">
        <f t="shared" si="209"/>
        <v>6.7876083163257869E-2</v>
      </c>
      <c r="W808" s="6">
        <f t="shared" si="201"/>
        <v>9.5766644786849788</v>
      </c>
      <c r="AK808" s="78">
        <v>45040.104166666664</v>
      </c>
      <c r="AL808" s="5">
        <v>3.9194097837097402E-2</v>
      </c>
      <c r="AM808" s="5">
        <v>73.415890989999994</v>
      </c>
      <c r="AN808" s="2">
        <v>23513</v>
      </c>
      <c r="AO808" s="7">
        <f t="shared" si="210"/>
        <v>391.88333333333333</v>
      </c>
      <c r="AP808" s="5">
        <f t="shared" si="202"/>
        <v>15.35951370739452</v>
      </c>
      <c r="AQ808" s="6">
        <f t="shared" si="203"/>
        <v>141.52156995158691</v>
      </c>
      <c r="AR808" s="2">
        <f t="shared" si="204"/>
        <v>-2.1301186875174403</v>
      </c>
      <c r="AS808" s="2">
        <f t="shared" si="205"/>
        <v>-301.45774084068194</v>
      </c>
    </row>
    <row r="809" spans="13:45" x14ac:dyDescent="0.3">
      <c r="M809" s="78">
        <v>45041.125</v>
      </c>
      <c r="N809" s="79">
        <v>3.7150636014872701E-2</v>
      </c>
      <c r="O809" s="5">
        <v>73.868067069999995</v>
      </c>
      <c r="P809" s="2">
        <v>23446</v>
      </c>
      <c r="Q809" s="7">
        <f t="shared" si="196"/>
        <v>390.76666666666665</v>
      </c>
      <c r="R809" s="6">
        <f t="shared" si="197"/>
        <v>14.517230200078423</v>
      </c>
      <c r="S809" s="6">
        <f t="shared" si="206"/>
        <v>137.66643676706886</v>
      </c>
      <c r="T809" s="2">
        <f t="shared" si="207"/>
        <v>1</v>
      </c>
      <c r="U809" s="6">
        <f t="shared" si="208"/>
        <v>137.66643676706886</v>
      </c>
      <c r="V809">
        <f t="shared" si="209"/>
        <v>0</v>
      </c>
      <c r="W809" s="6">
        <f t="shared" si="201"/>
        <v>0</v>
      </c>
      <c r="AK809" s="78">
        <v>45040.114583333336</v>
      </c>
      <c r="AL809" s="5">
        <v>4.1505638219500998E-2</v>
      </c>
      <c r="AM809" s="5">
        <v>73.868067069999995</v>
      </c>
      <c r="AN809" s="2">
        <v>26782</v>
      </c>
      <c r="AO809" s="7">
        <f t="shared" si="210"/>
        <v>446.36666666666667</v>
      </c>
      <c r="AP809" s="5">
        <f t="shared" si="202"/>
        <v>18.526733379911263</v>
      </c>
      <c r="AQ809" s="6">
        <f t="shared" si="203"/>
        <v>155.12960630112019</v>
      </c>
      <c r="AR809" s="2">
        <f t="shared" si="204"/>
        <v>-2.1301186875174403</v>
      </c>
      <c r="AS809" s="2">
        <f t="shared" si="205"/>
        <v>-330.44447336923935</v>
      </c>
    </row>
    <row r="810" spans="13:45" x14ac:dyDescent="0.3">
      <c r="M810" s="78">
        <v>45041.135416666664</v>
      </c>
      <c r="N810" s="79">
        <v>3.8467499820187802E-2</v>
      </c>
      <c r="O810" s="5">
        <v>78.762941850000004</v>
      </c>
      <c r="P810" s="2">
        <v>22908</v>
      </c>
      <c r="Q810" s="7">
        <f t="shared" si="196"/>
        <v>381.8</v>
      </c>
      <c r="R810" s="6">
        <f t="shared" si="197"/>
        <v>14.686891431347703</v>
      </c>
      <c r="S810" s="6">
        <f t="shared" si="206"/>
        <v>138.45197558658478</v>
      </c>
      <c r="T810" s="2">
        <f t="shared" si="207"/>
        <v>1</v>
      </c>
      <c r="U810" s="6">
        <f t="shared" si="208"/>
        <v>138.45197558658478</v>
      </c>
      <c r="V810">
        <f t="shared" si="209"/>
        <v>0</v>
      </c>
      <c r="W810" s="6">
        <f t="shared" si="201"/>
        <v>0</v>
      </c>
      <c r="AK810" s="78">
        <v>45040.125</v>
      </c>
      <c r="AL810" s="5">
        <v>3.8747535059618497E-2</v>
      </c>
      <c r="AM810" s="5">
        <v>68.008627450000006</v>
      </c>
      <c r="AN810" s="2">
        <v>24132</v>
      </c>
      <c r="AO810" s="7">
        <f t="shared" si="210"/>
        <v>402.2</v>
      </c>
      <c r="AP810" s="5">
        <f t="shared" si="202"/>
        <v>15.58425860097856</v>
      </c>
      <c r="AQ810" s="6">
        <f t="shared" si="203"/>
        <v>142.53187505395047</v>
      </c>
      <c r="AR810" s="2">
        <f t="shared" si="204"/>
        <v>-2.1301186875174403</v>
      </c>
      <c r="AS810" s="2">
        <f t="shared" si="205"/>
        <v>-303.60981061932074</v>
      </c>
    </row>
    <row r="811" spans="13:45" x14ac:dyDescent="0.3">
      <c r="M811" s="78">
        <v>45041.145833333336</v>
      </c>
      <c r="N811" s="79">
        <v>3.87330153614283E-2</v>
      </c>
      <c r="O811" s="5">
        <v>72.523974480000007</v>
      </c>
      <c r="P811" s="2">
        <v>22871</v>
      </c>
      <c r="Q811" s="7">
        <f t="shared" si="196"/>
        <v>381.18333333333334</v>
      </c>
      <c r="R811" s="6">
        <f t="shared" si="197"/>
        <v>14.764379905520444</v>
      </c>
      <c r="S811" s="6">
        <f t="shared" si="206"/>
        <v>138.80920976535666</v>
      </c>
      <c r="T811" s="2">
        <f t="shared" si="207"/>
        <v>1</v>
      </c>
      <c r="U811" s="6">
        <f t="shared" si="208"/>
        <v>138.80920976535666</v>
      </c>
      <c r="V811">
        <f t="shared" si="209"/>
        <v>0</v>
      </c>
      <c r="W811" s="6">
        <f t="shared" si="201"/>
        <v>0</v>
      </c>
      <c r="AK811" s="78">
        <v>45040.135416666664</v>
      </c>
      <c r="AL811" s="5">
        <v>4.3097502174398401E-2</v>
      </c>
      <c r="AM811" s="5">
        <v>71.17580074</v>
      </c>
      <c r="AN811" s="2">
        <v>23813</v>
      </c>
      <c r="AO811" s="7">
        <f t="shared" si="210"/>
        <v>396.88333333333333</v>
      </c>
      <c r="AP811" s="5">
        <f t="shared" si="202"/>
        <v>17.104680321315819</v>
      </c>
      <c r="AQ811" s="6">
        <f t="shared" si="203"/>
        <v>149.17978932572018</v>
      </c>
      <c r="AR811" s="2">
        <f t="shared" si="204"/>
        <v>-2.1301186875174403</v>
      </c>
      <c r="AS811" s="2">
        <f t="shared" si="205"/>
        <v>-317.77065704263134</v>
      </c>
    </row>
    <row r="812" spans="13:45" x14ac:dyDescent="0.3">
      <c r="M812" s="78">
        <v>45041.15625</v>
      </c>
      <c r="N812" s="79">
        <v>4.1444113171500402E-2</v>
      </c>
      <c r="O812" s="5">
        <v>75.208694050000005</v>
      </c>
      <c r="P812" s="2">
        <v>22316</v>
      </c>
      <c r="Q812" s="7">
        <f t="shared" si="196"/>
        <v>371.93333333333334</v>
      </c>
      <c r="R812" s="6">
        <f t="shared" si="197"/>
        <v>15.41444715892005</v>
      </c>
      <c r="S812" s="6">
        <f t="shared" si="206"/>
        <v>141.76920743433047</v>
      </c>
      <c r="T812" s="2">
        <f t="shared" si="207"/>
        <v>1</v>
      </c>
      <c r="U812" s="6">
        <f t="shared" si="208"/>
        <v>141.76920743433047</v>
      </c>
      <c r="V812">
        <f t="shared" si="209"/>
        <v>9.5395494514299739E-2</v>
      </c>
      <c r="W812" s="6">
        <f t="shared" si="201"/>
        <v>13.524143650098294</v>
      </c>
      <c r="AK812" s="78">
        <v>45040.145833333336</v>
      </c>
      <c r="AL812" s="5">
        <v>4.3317222856301699E-2</v>
      </c>
      <c r="AM812" s="5">
        <v>76.993676070000006</v>
      </c>
      <c r="AN812" s="2">
        <v>23393</v>
      </c>
      <c r="AO812" s="7">
        <f t="shared" si="210"/>
        <v>389.88333333333333</v>
      </c>
      <c r="AP812" s="5">
        <f t="shared" si="202"/>
        <v>16.888663237957761</v>
      </c>
      <c r="AQ812" s="6">
        <f t="shared" si="203"/>
        <v>148.25419783048048</v>
      </c>
      <c r="AR812" s="2">
        <f t="shared" si="204"/>
        <v>-2.1301186875174403</v>
      </c>
      <c r="AS812" s="2">
        <f t="shared" si="205"/>
        <v>-315.79903730161402</v>
      </c>
    </row>
    <row r="813" spans="13:45" x14ac:dyDescent="0.3">
      <c r="M813" s="78">
        <v>45041.166666666664</v>
      </c>
      <c r="N813" s="79">
        <v>4.1396578198200799E-2</v>
      </c>
      <c r="O813" s="5">
        <v>77.435049230000004</v>
      </c>
      <c r="P813" s="2">
        <v>22824</v>
      </c>
      <c r="Q813" s="7">
        <f t="shared" si="196"/>
        <v>380.4</v>
      </c>
      <c r="R813" s="6">
        <f t="shared" si="197"/>
        <v>15.747258346595583</v>
      </c>
      <c r="S813" s="6">
        <f t="shared" si="206"/>
        <v>143.25997067689957</v>
      </c>
      <c r="T813" s="2">
        <f t="shared" si="207"/>
        <v>1</v>
      </c>
      <c r="U813" s="6">
        <f t="shared" si="208"/>
        <v>143.25997067689957</v>
      </c>
      <c r="V813">
        <f t="shared" si="209"/>
        <v>0.15631640284817977</v>
      </c>
      <c r="W813" s="6">
        <f t="shared" si="201"/>
        <v>22.393883288348654</v>
      </c>
      <c r="AK813" s="78">
        <v>45040.15625</v>
      </c>
      <c r="AL813" s="5">
        <v>4.2964380809295301E-2</v>
      </c>
      <c r="AM813" s="5">
        <v>74.764849499999997</v>
      </c>
      <c r="AN813" s="2">
        <v>22669</v>
      </c>
      <c r="AO813" s="7">
        <f t="shared" si="210"/>
        <v>377.81666666666666</v>
      </c>
      <c r="AP813" s="5">
        <f t="shared" si="202"/>
        <v>16.232659142765254</v>
      </c>
      <c r="AQ813" s="6">
        <f t="shared" si="203"/>
        <v>145.40569406427096</v>
      </c>
      <c r="AR813" s="2">
        <f t="shared" si="204"/>
        <v>-2.1301186875174403</v>
      </c>
      <c r="AS813" s="2">
        <f t="shared" si="205"/>
        <v>-309.73138619774733</v>
      </c>
    </row>
    <row r="814" spans="13:45" x14ac:dyDescent="0.3">
      <c r="M814" s="78">
        <v>45041.177083333336</v>
      </c>
      <c r="N814" s="79">
        <v>4.3133470738994498E-2</v>
      </c>
      <c r="O814" s="5">
        <v>79.641055789999996</v>
      </c>
      <c r="P814" s="2">
        <v>22683</v>
      </c>
      <c r="Q814" s="7">
        <f t="shared" si="196"/>
        <v>378.05</v>
      </c>
      <c r="R814" s="6">
        <f t="shared" si="197"/>
        <v>16.306608612876872</v>
      </c>
      <c r="S814" s="6">
        <f t="shared" si="206"/>
        <v>145.72970000271445</v>
      </c>
      <c r="T814" s="2">
        <f t="shared" si="207"/>
        <v>1</v>
      </c>
      <c r="U814" s="6">
        <f t="shared" si="208"/>
        <v>145.72970000271445</v>
      </c>
      <c r="V814">
        <f t="shared" si="209"/>
        <v>0.25870516729042414</v>
      </c>
      <c r="W814" s="6">
        <f t="shared" si="201"/>
        <v>37.701026418385567</v>
      </c>
      <c r="AK814" s="78">
        <v>45040.166666666664</v>
      </c>
      <c r="AL814" s="5">
        <v>3.9205796312387901E-2</v>
      </c>
      <c r="AM814" s="5">
        <v>68.916923760000003</v>
      </c>
      <c r="AN814" s="2">
        <v>23038</v>
      </c>
      <c r="AO814" s="7">
        <f t="shared" si="210"/>
        <v>383.96666666666664</v>
      </c>
      <c r="AP814" s="5">
        <f t="shared" si="202"/>
        <v>15.053718924079874</v>
      </c>
      <c r="AQ814" s="6">
        <f t="shared" si="203"/>
        <v>140.13472414018185</v>
      </c>
      <c r="AR814" s="2">
        <f t="shared" si="204"/>
        <v>-2.1301186875174403</v>
      </c>
      <c r="AS814" s="2">
        <f t="shared" si="205"/>
        <v>-298.50359466110268</v>
      </c>
    </row>
    <row r="815" spans="13:45" x14ac:dyDescent="0.3">
      <c r="M815" s="78">
        <v>45041.1875</v>
      </c>
      <c r="N815" s="79">
        <v>3.8080654656153998E-2</v>
      </c>
      <c r="O815" s="5">
        <v>72.970159429999995</v>
      </c>
      <c r="P815" s="2">
        <v>23356</v>
      </c>
      <c r="Q815" s="7">
        <f t="shared" si="196"/>
        <v>389.26666666666665</v>
      </c>
      <c r="R815" s="6">
        <f t="shared" si="197"/>
        <v>14.823529502485545</v>
      </c>
      <c r="S815" s="6">
        <f t="shared" si="206"/>
        <v>139.08125536087164</v>
      </c>
      <c r="T815" s="2">
        <f t="shared" si="207"/>
        <v>1</v>
      </c>
      <c r="U815" s="6">
        <f t="shared" si="208"/>
        <v>139.08125536087164</v>
      </c>
      <c r="V815">
        <f t="shared" si="209"/>
        <v>0</v>
      </c>
      <c r="W815" s="6">
        <f t="shared" si="201"/>
        <v>0</v>
      </c>
      <c r="AK815" s="78">
        <v>45040.177083333336</v>
      </c>
      <c r="AL815" s="5">
        <v>4.2361078482174401E-2</v>
      </c>
      <c r="AM815" s="5">
        <v>74.764849499999997</v>
      </c>
      <c r="AN815" s="2">
        <v>23351</v>
      </c>
      <c r="AO815" s="7">
        <f t="shared" si="210"/>
        <v>389.18333333333334</v>
      </c>
      <c r="AP815" s="5">
        <f t="shared" si="202"/>
        <v>16.486225727287575</v>
      </c>
      <c r="AQ815" s="6">
        <f t="shared" si="203"/>
        <v>146.51357478186986</v>
      </c>
      <c r="AR815" s="2">
        <f t="shared" si="204"/>
        <v>-2.1301186875174403</v>
      </c>
      <c r="AS815" s="2">
        <f t="shared" si="205"/>
        <v>-312.09130361784497</v>
      </c>
    </row>
    <row r="816" spans="13:45" x14ac:dyDescent="0.3">
      <c r="M816" s="78">
        <v>45041.197916666664</v>
      </c>
      <c r="N816" s="79">
        <v>3.8219449564839997E-2</v>
      </c>
      <c r="O816" s="5">
        <v>76.101800600000004</v>
      </c>
      <c r="P816" s="2">
        <v>23073</v>
      </c>
      <c r="Q816" s="7">
        <f t="shared" si="196"/>
        <v>384.55</v>
      </c>
      <c r="R816" s="6">
        <f t="shared" si="197"/>
        <v>14.69728933015922</v>
      </c>
      <c r="S816" s="6">
        <f t="shared" si="206"/>
        <v>138.49996733074738</v>
      </c>
      <c r="T816" s="2">
        <f t="shared" si="207"/>
        <v>1</v>
      </c>
      <c r="U816" s="6">
        <f t="shared" si="208"/>
        <v>138.49996733074738</v>
      </c>
      <c r="V816">
        <f t="shared" si="209"/>
        <v>0</v>
      </c>
      <c r="W816" s="6">
        <f t="shared" si="201"/>
        <v>0</v>
      </c>
      <c r="AK816" s="78">
        <v>45040.1875</v>
      </c>
      <c r="AL816" s="5">
        <v>4.1840513280986001E-2</v>
      </c>
      <c r="AM816" s="5">
        <v>69.822823</v>
      </c>
      <c r="AN816" s="2">
        <v>22893</v>
      </c>
      <c r="AO816" s="7">
        <f t="shared" si="210"/>
        <v>381.55</v>
      </c>
      <c r="AP816" s="5">
        <f t="shared" si="202"/>
        <v>15.964247842360209</v>
      </c>
      <c r="AQ816" s="6">
        <f t="shared" si="203"/>
        <v>144.22328863696475</v>
      </c>
      <c r="AR816" s="2">
        <f t="shared" si="204"/>
        <v>-2.1301186875174403</v>
      </c>
      <c r="AS816" s="2">
        <f t="shared" si="205"/>
        <v>-307.2127223008203</v>
      </c>
    </row>
    <row r="817" spans="13:45" x14ac:dyDescent="0.3">
      <c r="M817" s="78">
        <v>45041.208333333336</v>
      </c>
      <c r="N817" s="79">
        <v>3.82334256165772E-2</v>
      </c>
      <c r="O817" s="5">
        <v>79.641055789999996</v>
      </c>
      <c r="P817" s="2">
        <v>22870</v>
      </c>
      <c r="Q817" s="7">
        <f t="shared" si="196"/>
        <v>381.16666666666669</v>
      </c>
      <c r="R817" s="6">
        <f t="shared" si="197"/>
        <v>14.573307397518677</v>
      </c>
      <c r="S817" s="6">
        <f t="shared" si="206"/>
        <v>137.92659243673231</v>
      </c>
      <c r="T817" s="2">
        <f t="shared" si="207"/>
        <v>1</v>
      </c>
      <c r="U817" s="6">
        <f t="shared" si="208"/>
        <v>137.92659243673231</v>
      </c>
      <c r="V817">
        <f t="shared" si="209"/>
        <v>0</v>
      </c>
      <c r="W817" s="6">
        <f t="shared" si="201"/>
        <v>0</v>
      </c>
      <c r="AK817" s="78">
        <v>45040.197916666664</v>
      </c>
      <c r="AL817" s="5">
        <v>4.1471853904680403E-2</v>
      </c>
      <c r="AM817" s="5">
        <v>67.557775419999999</v>
      </c>
      <c r="AN817" s="2">
        <v>23926</v>
      </c>
      <c r="AO817" s="7">
        <f t="shared" si="210"/>
        <v>398.76666666666665</v>
      </c>
      <c r="AP817" s="5">
        <f t="shared" si="202"/>
        <v>16.537592942056389</v>
      </c>
      <c r="AQ817" s="6">
        <f t="shared" si="203"/>
        <v>146.73694634839174</v>
      </c>
      <c r="AR817" s="2">
        <f t="shared" si="204"/>
        <v>-2.1301186875174403</v>
      </c>
      <c r="AS817" s="2">
        <f t="shared" si="205"/>
        <v>-312.56711156595327</v>
      </c>
    </row>
    <row r="818" spans="13:45" x14ac:dyDescent="0.3">
      <c r="M818" s="78">
        <v>45041.21875</v>
      </c>
      <c r="N818" s="79">
        <v>3.7477931124156198E-2</v>
      </c>
      <c r="O818" s="5">
        <v>76.544179459999995</v>
      </c>
      <c r="P818" s="2">
        <v>22901</v>
      </c>
      <c r="Q818" s="7">
        <f t="shared" si="196"/>
        <v>381.68333333333334</v>
      </c>
      <c r="R818" s="6">
        <f t="shared" si="197"/>
        <v>14.304701677905019</v>
      </c>
      <c r="S818" s="6">
        <f t="shared" si="206"/>
        <v>136.67578078199401</v>
      </c>
      <c r="T818" s="2">
        <f t="shared" si="207"/>
        <v>1</v>
      </c>
      <c r="U818" s="6">
        <f t="shared" si="208"/>
        <v>136.67578078199401</v>
      </c>
      <c r="V818">
        <f t="shared" si="209"/>
        <v>0</v>
      </c>
      <c r="W818" s="6">
        <f t="shared" si="201"/>
        <v>0</v>
      </c>
      <c r="AK818" s="78">
        <v>45040.208333333336</v>
      </c>
      <c r="AL818" s="5">
        <v>4.5640260400581001E-2</v>
      </c>
      <c r="AM818" s="5">
        <v>72.523974480000007</v>
      </c>
      <c r="AN818" s="2">
        <v>23433</v>
      </c>
      <c r="AO818" s="7">
        <f t="shared" si="210"/>
        <v>390.55</v>
      </c>
      <c r="AP818" s="5">
        <f t="shared" si="202"/>
        <v>17.82480369944691</v>
      </c>
      <c r="AQ818" s="6">
        <f t="shared" si="203"/>
        <v>152.22304866863473</v>
      </c>
      <c r="AR818" s="2">
        <f t="shared" si="204"/>
        <v>-2.1301186875174403</v>
      </c>
      <c r="AS818" s="2">
        <f t="shared" si="205"/>
        <v>-324.25316063993563</v>
      </c>
    </row>
    <row r="819" spans="13:45" x14ac:dyDescent="0.3">
      <c r="M819" s="78">
        <v>45041.229166666664</v>
      </c>
      <c r="N819" s="79">
        <v>4.0585797856442701E-2</v>
      </c>
      <c r="O819" s="5">
        <v>75.208694050000005</v>
      </c>
      <c r="P819" s="2">
        <v>23377</v>
      </c>
      <c r="Q819" s="7">
        <f t="shared" si="196"/>
        <v>389.61666666666667</v>
      </c>
      <c r="R819" s="6">
        <f t="shared" si="197"/>
        <v>15.812903274834351</v>
      </c>
      <c r="S819" s="6">
        <f t="shared" si="206"/>
        <v>143.55210997366547</v>
      </c>
      <c r="T819" s="2">
        <f t="shared" si="207"/>
        <v>1</v>
      </c>
      <c r="U819" s="6">
        <f t="shared" si="208"/>
        <v>143.55210997366547</v>
      </c>
      <c r="V819">
        <f t="shared" si="209"/>
        <v>0.16833267154320036</v>
      </c>
      <c r="W819" s="6">
        <f t="shared" si="201"/>
        <v>24.164510177530406</v>
      </c>
      <c r="AK819" s="78">
        <v>45040.21875</v>
      </c>
      <c r="AL819" s="5">
        <v>4.3072718687881803E-2</v>
      </c>
      <c r="AM819" s="5">
        <v>73.868067069999995</v>
      </c>
      <c r="AN819" s="2">
        <v>22664</v>
      </c>
      <c r="AO819" s="7">
        <f t="shared" si="210"/>
        <v>377.73333333333335</v>
      </c>
      <c r="AP819" s="5">
        <f t="shared" si="202"/>
        <v>16.270001605702554</v>
      </c>
      <c r="AQ819" s="6">
        <f t="shared" si="203"/>
        <v>145.56940214369138</v>
      </c>
      <c r="AR819" s="2">
        <f t="shared" si="204"/>
        <v>-2.1301186875174403</v>
      </c>
      <c r="AS819" s="2">
        <f t="shared" si="205"/>
        <v>-310.08010383701833</v>
      </c>
    </row>
    <row r="820" spans="13:45" x14ac:dyDescent="0.3">
      <c r="M820" s="78">
        <v>45041.239583333336</v>
      </c>
      <c r="N820" s="79">
        <v>3.73745453063907E-2</v>
      </c>
      <c r="O820" s="5">
        <v>76.101800600000004</v>
      </c>
      <c r="P820" s="2">
        <v>23538</v>
      </c>
      <c r="Q820" s="7">
        <f t="shared" si="196"/>
        <v>392.3</v>
      </c>
      <c r="R820" s="6">
        <f t="shared" si="197"/>
        <v>14.662034123697072</v>
      </c>
      <c r="S820" s="6">
        <f t="shared" si="206"/>
        <v>138.33717578751481</v>
      </c>
      <c r="T820" s="2">
        <f t="shared" si="207"/>
        <v>1</v>
      </c>
      <c r="U820" s="6">
        <f t="shared" si="208"/>
        <v>138.33717578751481</v>
      </c>
      <c r="V820">
        <f t="shared" si="209"/>
        <v>0</v>
      </c>
      <c r="W820" s="6">
        <f t="shared" si="201"/>
        <v>0</v>
      </c>
      <c r="AK820" s="78">
        <v>45040.229166666664</v>
      </c>
      <c r="AL820" s="5">
        <v>4.8505725959480703E-2</v>
      </c>
      <c r="AM820" s="5">
        <v>72.523974480000007</v>
      </c>
      <c r="AN820" s="2">
        <v>22977</v>
      </c>
      <c r="AO820" s="7">
        <f t="shared" si="210"/>
        <v>382.95</v>
      </c>
      <c r="AP820" s="5">
        <f t="shared" si="202"/>
        <v>18.575267756183134</v>
      </c>
      <c r="AQ820" s="6">
        <f t="shared" si="203"/>
        <v>155.32848368204506</v>
      </c>
      <c r="AR820" s="2">
        <f t="shared" si="204"/>
        <v>-2.1301186875174403</v>
      </c>
      <c r="AS820" s="2">
        <f t="shared" si="205"/>
        <v>-330.86810579487195</v>
      </c>
    </row>
    <row r="821" spans="13:45" x14ac:dyDescent="0.3">
      <c r="M821" s="78">
        <v>45041.25</v>
      </c>
      <c r="N821" s="79">
        <v>4.1035279996291397E-2</v>
      </c>
      <c r="O821" s="5">
        <v>77.435049230000004</v>
      </c>
      <c r="P821" s="2">
        <v>22877</v>
      </c>
      <c r="Q821" s="7">
        <f t="shared" si="196"/>
        <v>381.28333333333336</v>
      </c>
      <c r="R821" s="6">
        <f t="shared" si="197"/>
        <v>15.64606834125264</v>
      </c>
      <c r="S821" s="6">
        <f t="shared" si="206"/>
        <v>142.80842529225527</v>
      </c>
      <c r="T821" s="2">
        <f t="shared" si="207"/>
        <v>1</v>
      </c>
      <c r="U821" s="6">
        <f t="shared" si="208"/>
        <v>142.80842529225527</v>
      </c>
      <c r="V821">
        <f t="shared" si="209"/>
        <v>0.13779362696778394</v>
      </c>
      <c r="W821" s="6">
        <f t="shared" si="201"/>
        <v>19.678090882577663</v>
      </c>
      <c r="AK821" s="78">
        <v>45040.239583333336</v>
      </c>
      <c r="AL821" s="5">
        <v>5.35504354103171E-2</v>
      </c>
      <c r="AM821" s="5">
        <v>68.916923760000003</v>
      </c>
      <c r="AN821" s="2">
        <v>22808</v>
      </c>
      <c r="AO821" s="7">
        <f t="shared" si="210"/>
        <v>380.13333333333333</v>
      </c>
      <c r="AP821" s="5">
        <f t="shared" si="202"/>
        <v>20.356305513975208</v>
      </c>
      <c r="AQ821" s="6">
        <f t="shared" si="203"/>
        <v>162.45140565159011</v>
      </c>
      <c r="AR821" s="2">
        <f t="shared" si="204"/>
        <v>-2.1301186875174403</v>
      </c>
      <c r="AS821" s="2">
        <f t="shared" si="205"/>
        <v>-346.0407749919284</v>
      </c>
    </row>
    <row r="822" spans="13:45" x14ac:dyDescent="0.3">
      <c r="M822" s="78">
        <v>45041.260416666664</v>
      </c>
      <c r="N822" s="79">
        <v>3.9227500344454901E-2</v>
      </c>
      <c r="O822" s="5">
        <v>70.271667750000006</v>
      </c>
      <c r="P822" s="2">
        <v>23027</v>
      </c>
      <c r="Q822" s="7">
        <f t="shared" si="196"/>
        <v>383.78333333333336</v>
      </c>
      <c r="R822" s="6">
        <f t="shared" si="197"/>
        <v>15.054860840529384</v>
      </c>
      <c r="S822" s="6">
        <f t="shared" si="206"/>
        <v>140.1399295866882</v>
      </c>
      <c r="T822" s="2">
        <f t="shared" si="207"/>
        <v>1</v>
      </c>
      <c r="U822" s="6">
        <f t="shared" si="208"/>
        <v>140.1399295866882</v>
      </c>
      <c r="V822">
        <f t="shared" si="209"/>
        <v>2.9573412949685463E-2</v>
      </c>
      <c r="W822" s="6">
        <f t="shared" si="201"/>
        <v>4.1444160084069734</v>
      </c>
      <c r="AK822" s="78">
        <v>45040.25</v>
      </c>
      <c r="AL822" s="5">
        <v>4.4222969191504799E-2</v>
      </c>
      <c r="AM822" s="5">
        <v>71.17580074</v>
      </c>
      <c r="AN822" s="2">
        <v>23200</v>
      </c>
      <c r="AO822" s="7">
        <f t="shared" si="210"/>
        <v>386.66666666666669</v>
      </c>
      <c r="AP822" s="5">
        <f t="shared" si="202"/>
        <v>17.099548087381855</v>
      </c>
      <c r="AQ822" s="6">
        <f t="shared" si="203"/>
        <v>149.15786810031372</v>
      </c>
      <c r="AR822" s="2">
        <f t="shared" si="204"/>
        <v>-2.1301186875174403</v>
      </c>
      <c r="AS822" s="2">
        <f t="shared" si="205"/>
        <v>-317.72396223073974</v>
      </c>
    </row>
    <row r="823" spans="13:45" x14ac:dyDescent="0.3">
      <c r="M823" s="78">
        <v>45041.270833333336</v>
      </c>
      <c r="N823" s="79">
        <v>4.0149270128805502E-2</v>
      </c>
      <c r="O823" s="5">
        <v>74.764849499999997</v>
      </c>
      <c r="P823" s="2">
        <v>23303</v>
      </c>
      <c r="Q823" s="7">
        <f t="shared" si="196"/>
        <v>388.38333333333333</v>
      </c>
      <c r="R823" s="6">
        <f t="shared" si="197"/>
        <v>15.593307363525909</v>
      </c>
      <c r="S823" s="6">
        <f t="shared" si="206"/>
        <v>142.57239611621569</v>
      </c>
      <c r="T823" s="2">
        <f t="shared" si="207"/>
        <v>1</v>
      </c>
      <c r="U823" s="6">
        <f t="shared" si="208"/>
        <v>142.57239611621569</v>
      </c>
      <c r="V823">
        <f t="shared" si="209"/>
        <v>0.1281357584623847</v>
      </c>
      <c r="W823" s="6">
        <f t="shared" si="201"/>
        <v>18.268622112150847</v>
      </c>
      <c r="AK823" s="78">
        <v>45040.260416666664</v>
      </c>
      <c r="AL823" s="5">
        <v>4.6915555082614198E-2</v>
      </c>
      <c r="AM823" s="5">
        <v>71.17580074</v>
      </c>
      <c r="AN823" s="2">
        <v>22497</v>
      </c>
      <c r="AO823" s="7">
        <f t="shared" si="210"/>
        <v>374.95</v>
      </c>
      <c r="AP823" s="5">
        <f t="shared" si="202"/>
        <v>17.590987378226192</v>
      </c>
      <c r="AQ823" s="6">
        <f t="shared" si="203"/>
        <v>151.24193041412877</v>
      </c>
      <c r="AR823" s="2">
        <f t="shared" si="204"/>
        <v>-2.1301186875174403</v>
      </c>
      <c r="AS823" s="2">
        <f t="shared" si="205"/>
        <v>-322.16326231134803</v>
      </c>
    </row>
    <row r="824" spans="13:45" x14ac:dyDescent="0.3">
      <c r="M824" s="78">
        <v>45041.28125</v>
      </c>
      <c r="N824" s="79">
        <v>3.6681883943148003E-2</v>
      </c>
      <c r="O824" s="5">
        <v>74.764849499999997</v>
      </c>
      <c r="P824" s="2">
        <v>23385</v>
      </c>
      <c r="Q824" s="7">
        <f t="shared" si="196"/>
        <v>389.75</v>
      </c>
      <c r="R824" s="6">
        <f t="shared" si="197"/>
        <v>14.296764266841935</v>
      </c>
      <c r="S824" s="6">
        <f t="shared" si="206"/>
        <v>136.63863724697563</v>
      </c>
      <c r="T824" s="2">
        <f t="shared" si="207"/>
        <v>1</v>
      </c>
      <c r="U824" s="6">
        <f t="shared" si="208"/>
        <v>136.63863724697563</v>
      </c>
      <c r="V824">
        <f t="shared" si="209"/>
        <v>0</v>
      </c>
      <c r="W824" s="6">
        <f t="shared" si="201"/>
        <v>0</v>
      </c>
      <c r="AK824" s="78">
        <v>45040.270833333336</v>
      </c>
      <c r="AL824" s="5">
        <v>4.2349038374693497E-2</v>
      </c>
      <c r="AM824" s="5">
        <v>68.916923760000003</v>
      </c>
      <c r="AN824" s="2">
        <v>23657</v>
      </c>
      <c r="AO824" s="7">
        <f t="shared" si="210"/>
        <v>394.28333333333336</v>
      </c>
      <c r="AP824" s="5">
        <f t="shared" si="202"/>
        <v>16.697520013835401</v>
      </c>
      <c r="AQ824" s="6">
        <f t="shared" si="203"/>
        <v>147.43013516964933</v>
      </c>
      <c r="AR824" s="2">
        <f t="shared" si="204"/>
        <v>-2.1301186875174403</v>
      </c>
      <c r="AS824" s="2">
        <f t="shared" si="205"/>
        <v>-314.04368602809222</v>
      </c>
    </row>
    <row r="825" spans="13:45" x14ac:dyDescent="0.3">
      <c r="M825" s="78">
        <v>45041.291666666664</v>
      </c>
      <c r="N825" s="79">
        <v>3.7068521665311098E-2</v>
      </c>
      <c r="O825" s="5">
        <v>76.544179459999995</v>
      </c>
      <c r="P825" s="2">
        <v>23352</v>
      </c>
      <c r="Q825" s="7">
        <f t="shared" si="196"/>
        <v>389.2</v>
      </c>
      <c r="R825" s="6">
        <f t="shared" si="197"/>
        <v>14.427068632139079</v>
      </c>
      <c r="S825" s="6">
        <f t="shared" si="206"/>
        <v>137.24707804080842</v>
      </c>
      <c r="T825" s="2">
        <f t="shared" si="207"/>
        <v>1</v>
      </c>
      <c r="U825" s="6">
        <f t="shared" si="208"/>
        <v>137.24707804080842</v>
      </c>
      <c r="V825">
        <f t="shared" si="209"/>
        <v>0</v>
      </c>
      <c r="W825" s="6">
        <f t="shared" si="201"/>
        <v>0</v>
      </c>
      <c r="AK825" s="78">
        <v>45040.28125</v>
      </c>
      <c r="AL825" s="5">
        <v>4.8111388549971698E-2</v>
      </c>
      <c r="AM825" s="5">
        <v>68.008627450000006</v>
      </c>
      <c r="AN825" s="2">
        <v>22645</v>
      </c>
      <c r="AO825" s="7">
        <f t="shared" si="210"/>
        <v>377.41666666666669</v>
      </c>
      <c r="AP825" s="5">
        <f t="shared" si="202"/>
        <v>18.158039895235152</v>
      </c>
      <c r="AQ825" s="6">
        <f t="shared" si="203"/>
        <v>153.61006230891684</v>
      </c>
      <c r="AR825" s="2">
        <f t="shared" si="204"/>
        <v>-2.1301186875174403</v>
      </c>
      <c r="AS825" s="2">
        <f t="shared" si="205"/>
        <v>-327.20766431494218</v>
      </c>
    </row>
    <row r="826" spans="13:45" x14ac:dyDescent="0.3">
      <c r="M826" s="78">
        <v>45041.302083333336</v>
      </c>
      <c r="N826" s="79">
        <v>3.9881517753567103E-2</v>
      </c>
      <c r="O826" s="5">
        <v>77.435049230000004</v>
      </c>
      <c r="P826" s="2">
        <v>22597</v>
      </c>
      <c r="Q826" s="7">
        <f t="shared" si="196"/>
        <v>376.61666666666667</v>
      </c>
      <c r="R826" s="6">
        <f t="shared" si="197"/>
        <v>15.020044277955931</v>
      </c>
      <c r="S826" s="6">
        <f t="shared" si="206"/>
        <v>139.9811269779523</v>
      </c>
      <c r="T826" s="2">
        <f t="shared" si="207"/>
        <v>1</v>
      </c>
      <c r="U826" s="6">
        <f t="shared" si="208"/>
        <v>139.9811269779523</v>
      </c>
      <c r="V826">
        <f t="shared" si="209"/>
        <v>2.3200259956084626E-2</v>
      </c>
      <c r="W826" s="6">
        <f t="shared" si="201"/>
        <v>3.247598534834184</v>
      </c>
      <c r="AK826" s="78">
        <v>45040.291666666664</v>
      </c>
      <c r="AL826" s="5">
        <v>4.7192746742812597E-2</v>
      </c>
      <c r="AM826" s="5">
        <v>71.17580074</v>
      </c>
      <c r="AN826" s="2">
        <v>22614</v>
      </c>
      <c r="AO826" s="7">
        <f t="shared" si="210"/>
        <v>376.9</v>
      </c>
      <c r="AP826" s="5">
        <f t="shared" si="202"/>
        <v>17.786946247366068</v>
      </c>
      <c r="AQ826" s="6">
        <f t="shared" si="203"/>
        <v>152.06464228507917</v>
      </c>
      <c r="AR826" s="2">
        <f t="shared" si="204"/>
        <v>-2.1301186875174403</v>
      </c>
      <c r="AS826" s="2">
        <f t="shared" si="205"/>
        <v>-323.9157362421019</v>
      </c>
    </row>
    <row r="827" spans="13:45" x14ac:dyDescent="0.3">
      <c r="M827" s="78">
        <v>45041.3125</v>
      </c>
      <c r="N827" s="79">
        <v>3.9627183414747101E-2</v>
      </c>
      <c r="O827" s="5">
        <v>71.622551369999996</v>
      </c>
      <c r="P827" s="2">
        <v>23391</v>
      </c>
      <c r="Q827" s="7">
        <f t="shared" si="196"/>
        <v>389.85</v>
      </c>
      <c r="R827" s="6">
        <f t="shared" si="197"/>
        <v>15.448657454239159</v>
      </c>
      <c r="S827" s="6">
        <f t="shared" si="206"/>
        <v>141.92319837141693</v>
      </c>
      <c r="T827" s="2">
        <f t="shared" si="207"/>
        <v>1</v>
      </c>
      <c r="U827" s="6">
        <f t="shared" si="208"/>
        <v>141.92319837141693</v>
      </c>
      <c r="V827">
        <f t="shared" si="209"/>
        <v>0.10165767061410771</v>
      </c>
      <c r="W827" s="6">
        <f t="shared" si="201"/>
        <v>14.427581752542171</v>
      </c>
      <c r="AK827" s="78">
        <v>45040.302083333336</v>
      </c>
      <c r="AL827" s="5">
        <v>4.0364918276763202E-2</v>
      </c>
      <c r="AM827" s="5">
        <v>68.916923760000003</v>
      </c>
      <c r="AN827" s="2">
        <v>23189</v>
      </c>
      <c r="AO827" s="7">
        <f t="shared" si="210"/>
        <v>386.48333333333335</v>
      </c>
      <c r="AP827" s="5">
        <f t="shared" si="202"/>
        <v>15.600368165331032</v>
      </c>
      <c r="AQ827" s="6">
        <f t="shared" si="203"/>
        <v>142.60400660176515</v>
      </c>
      <c r="AR827" s="2">
        <f t="shared" si="204"/>
        <v>-2.1301186875174403</v>
      </c>
      <c r="AS827" s="2">
        <f t="shared" si="205"/>
        <v>-303.76345937728036</v>
      </c>
    </row>
    <row r="828" spans="13:45" x14ac:dyDescent="0.3">
      <c r="M828" s="78">
        <v>45041.322916666664</v>
      </c>
      <c r="N828" s="79">
        <v>4.0219027308571097E-2</v>
      </c>
      <c r="O828" s="5">
        <v>73.868067069999995</v>
      </c>
      <c r="P828" s="2">
        <v>22983</v>
      </c>
      <c r="Q828" s="7">
        <f t="shared" si="196"/>
        <v>383.05</v>
      </c>
      <c r="R828" s="6">
        <f t="shared" si="197"/>
        <v>15.40589841054816</v>
      </c>
      <c r="S828" s="6">
        <f t="shared" si="206"/>
        <v>141.7306996914275</v>
      </c>
      <c r="T828" s="2">
        <f t="shared" si="207"/>
        <v>1</v>
      </c>
      <c r="U828" s="6">
        <f t="shared" si="208"/>
        <v>141.7306996914275</v>
      </c>
      <c r="V828">
        <f t="shared" si="209"/>
        <v>9.3830650737349974E-2</v>
      </c>
      <c r="W828" s="6">
        <f t="shared" si="201"/>
        <v>13.29868378150657</v>
      </c>
      <c r="AK828" s="78">
        <v>45040.3125</v>
      </c>
      <c r="AL828" s="5">
        <v>4.2859783973355298E-2</v>
      </c>
      <c r="AM828" s="5">
        <v>67.557775419999999</v>
      </c>
      <c r="AN828" s="2">
        <v>23459</v>
      </c>
      <c r="AO828" s="7">
        <f t="shared" si="210"/>
        <v>390.98333333333335</v>
      </c>
      <c r="AP828" s="5">
        <f t="shared" si="202"/>
        <v>16.757461203849033</v>
      </c>
      <c r="AQ828" s="6">
        <f t="shared" si="203"/>
        <v>147.68907120970491</v>
      </c>
      <c r="AR828" s="2">
        <f t="shared" si="204"/>
        <v>-2.1301186875174403</v>
      </c>
      <c r="AS828" s="2">
        <f t="shared" si="205"/>
        <v>-314.5952505258864</v>
      </c>
    </row>
    <row r="829" spans="13:45" x14ac:dyDescent="0.3">
      <c r="M829" s="78">
        <v>45041.333333333336</v>
      </c>
      <c r="N829" s="79">
        <v>3.7496724339887003E-2</v>
      </c>
      <c r="O829" s="5">
        <v>68.916923760000003</v>
      </c>
      <c r="P829" s="2">
        <v>23419</v>
      </c>
      <c r="Q829" s="7">
        <f t="shared" si="196"/>
        <v>390.31666666666666</v>
      </c>
      <c r="R829" s="6">
        <f t="shared" si="197"/>
        <v>14.635596455263562</v>
      </c>
      <c r="S829" s="6">
        <f t="shared" si="206"/>
        <v>138.21496828282179</v>
      </c>
      <c r="T829" s="2">
        <f t="shared" si="207"/>
        <v>1</v>
      </c>
      <c r="U829" s="6">
        <f t="shared" si="208"/>
        <v>138.21496828282179</v>
      </c>
      <c r="V829">
        <f t="shared" si="209"/>
        <v>0</v>
      </c>
      <c r="W829" s="6">
        <f t="shared" si="201"/>
        <v>0</v>
      </c>
      <c r="AK829" s="78">
        <v>45040.322916666664</v>
      </c>
      <c r="AL829" s="5">
        <v>3.9480256031324698E-2</v>
      </c>
      <c r="AM829" s="5">
        <v>68.008627450000006</v>
      </c>
      <c r="AN829" s="2">
        <v>22741</v>
      </c>
      <c r="AO829" s="7">
        <f t="shared" si="210"/>
        <v>379.01666666666665</v>
      </c>
      <c r="AP829" s="5">
        <f t="shared" si="202"/>
        <v>14.963675040139249</v>
      </c>
      <c r="AQ829" s="6">
        <f t="shared" si="203"/>
        <v>139.72362119258386</v>
      </c>
      <c r="AR829" s="2">
        <f t="shared" si="204"/>
        <v>-2.1301186875174403</v>
      </c>
      <c r="AS829" s="2">
        <f t="shared" si="205"/>
        <v>-297.62789658993074</v>
      </c>
    </row>
    <row r="830" spans="13:45" x14ac:dyDescent="0.3">
      <c r="M830" s="78">
        <v>45041.34375</v>
      </c>
      <c r="N830" s="79">
        <v>3.9587823934832601E-2</v>
      </c>
      <c r="O830" s="5">
        <v>74.757192930000002</v>
      </c>
      <c r="P830" s="2">
        <v>23365</v>
      </c>
      <c r="Q830" s="7">
        <f t="shared" si="196"/>
        <v>389.41666666666669</v>
      </c>
      <c r="R830" s="6">
        <f t="shared" si="197"/>
        <v>15.416158437289397</v>
      </c>
      <c r="S830" s="6">
        <f t="shared" si="206"/>
        <v>141.77691455966496</v>
      </c>
      <c r="T830" s="2">
        <f t="shared" si="207"/>
        <v>1</v>
      </c>
      <c r="U830" s="6">
        <f t="shared" si="208"/>
        <v>141.77691455966496</v>
      </c>
      <c r="V830">
        <f t="shared" si="209"/>
        <v>9.5708743096479018E-2</v>
      </c>
      <c r="W830" s="6">
        <f t="shared" si="201"/>
        <v>13.56929029260243</v>
      </c>
      <c r="AK830" s="78">
        <v>45040.333333333336</v>
      </c>
      <c r="AL830" s="5">
        <v>3.6905297596443801E-2</v>
      </c>
      <c r="AM830" s="5">
        <v>61.92162476</v>
      </c>
      <c r="AN830" s="2">
        <v>24563</v>
      </c>
      <c r="AO830" s="7">
        <f t="shared" si="210"/>
        <v>409.38333333333333</v>
      </c>
      <c r="AP830" s="5">
        <f t="shared" si="202"/>
        <v>15.108413747690818</v>
      </c>
      <c r="AQ830" s="6">
        <f t="shared" si="203"/>
        <v>140.38382557610157</v>
      </c>
      <c r="AR830" s="2">
        <f t="shared" si="204"/>
        <v>-2.1301186875174403</v>
      </c>
      <c r="AS830" s="2">
        <f t="shared" si="205"/>
        <v>-299.03421028484274</v>
      </c>
    </row>
    <row r="831" spans="13:45" x14ac:dyDescent="0.3">
      <c r="M831" s="78">
        <v>45041.354166666664</v>
      </c>
      <c r="N831" s="79">
        <v>3.7982272948188699E-2</v>
      </c>
      <c r="O831" s="5">
        <v>68.916923760000003</v>
      </c>
      <c r="P831" s="2">
        <v>23384</v>
      </c>
      <c r="Q831" s="7">
        <f t="shared" si="196"/>
        <v>389.73333333333335</v>
      </c>
      <c r="R831" s="6">
        <f t="shared" si="197"/>
        <v>14.802957843674076</v>
      </c>
      <c r="S831" s="6">
        <f t="shared" si="206"/>
        <v>138.98670346176678</v>
      </c>
      <c r="T831" s="2">
        <f t="shared" si="207"/>
        <v>1</v>
      </c>
      <c r="U831" s="6">
        <f t="shared" si="208"/>
        <v>138.98670346176678</v>
      </c>
      <c r="V831">
        <f t="shared" si="209"/>
        <v>0</v>
      </c>
      <c r="W831" s="6">
        <f t="shared" si="201"/>
        <v>0</v>
      </c>
      <c r="AK831" s="78">
        <v>45040.34375</v>
      </c>
      <c r="AL831" s="5">
        <v>4.3302727644505198E-2</v>
      </c>
      <c r="AM831" s="5">
        <v>66.647934039999996</v>
      </c>
      <c r="AN831" s="2">
        <v>23561</v>
      </c>
      <c r="AO831" s="7">
        <f t="shared" si="210"/>
        <v>392.68333333333334</v>
      </c>
      <c r="AP831" s="5">
        <f t="shared" si="202"/>
        <v>17.004259433869784</v>
      </c>
      <c r="AQ831" s="6">
        <f t="shared" si="203"/>
        <v>148.75025172256926</v>
      </c>
      <c r="AR831" s="2">
        <f t="shared" si="204"/>
        <v>-2.1301186875174403</v>
      </c>
      <c r="AS831" s="2">
        <f t="shared" si="205"/>
        <v>-316.85569096716807</v>
      </c>
    </row>
    <row r="832" spans="13:45" x14ac:dyDescent="0.3">
      <c r="M832" s="78">
        <v>45041.364583333336</v>
      </c>
      <c r="N832" s="79">
        <v>3.84526482619948E-2</v>
      </c>
      <c r="O832" s="5">
        <v>66.655723199999997</v>
      </c>
      <c r="P832" s="2">
        <v>23457</v>
      </c>
      <c r="Q832" s="7">
        <f t="shared" si="196"/>
        <v>390.95</v>
      </c>
      <c r="R832" s="6">
        <f t="shared" si="197"/>
        <v>15.033062838026867</v>
      </c>
      <c r="S832" s="6">
        <f t="shared" si="206"/>
        <v>140.04052819116049</v>
      </c>
      <c r="T832" s="2">
        <f t="shared" si="207"/>
        <v>1</v>
      </c>
      <c r="U832" s="6">
        <f t="shared" si="208"/>
        <v>140.04052819116049</v>
      </c>
      <c r="V832">
        <f t="shared" si="209"/>
        <v>2.5583300352833013E-2</v>
      </c>
      <c r="W832" s="6">
        <f t="shared" si="201"/>
        <v>3.5826988942838378</v>
      </c>
      <c r="AK832" s="78">
        <v>45040.354166666664</v>
      </c>
      <c r="AL832" s="5">
        <v>4.26985168778585E-2</v>
      </c>
      <c r="AM832" s="5">
        <v>66.655723199999997</v>
      </c>
      <c r="AN832" s="2">
        <v>23289</v>
      </c>
      <c r="AO832" s="7">
        <f t="shared" si="210"/>
        <v>388.15</v>
      </c>
      <c r="AP832" s="5">
        <f t="shared" si="202"/>
        <v>16.573429326140776</v>
      </c>
      <c r="AQ832" s="6">
        <f t="shared" si="203"/>
        <v>146.89257212765716</v>
      </c>
      <c r="AR832" s="2">
        <f t="shared" si="204"/>
        <v>-2.1301186875174403</v>
      </c>
      <c r="AS832" s="2">
        <f t="shared" si="205"/>
        <v>-312.89861294662597</v>
      </c>
    </row>
    <row r="833" spans="13:45" x14ac:dyDescent="0.3">
      <c r="M833" s="78">
        <v>45041.375</v>
      </c>
      <c r="N833" s="79">
        <v>3.8039866561709497E-2</v>
      </c>
      <c r="O833" s="5">
        <v>65.283151739999994</v>
      </c>
      <c r="P833" s="2">
        <v>23434</v>
      </c>
      <c r="Q833" s="7">
        <f t="shared" si="196"/>
        <v>390.56666666666666</v>
      </c>
      <c r="R833" s="6">
        <f t="shared" si="197"/>
        <v>14.857103883451673</v>
      </c>
      <c r="S833" s="6">
        <f t="shared" si="206"/>
        <v>139.23542694435443</v>
      </c>
      <c r="T833" s="2">
        <f t="shared" si="207"/>
        <v>1</v>
      </c>
      <c r="U833" s="6">
        <f t="shared" si="208"/>
        <v>139.23542694435443</v>
      </c>
      <c r="V833">
        <f t="shared" si="209"/>
        <v>0</v>
      </c>
      <c r="W833" s="6">
        <f t="shared" si="201"/>
        <v>0</v>
      </c>
      <c r="AK833" s="78">
        <v>45040.364583333336</v>
      </c>
      <c r="AL833" s="5">
        <v>4.45601798780789E-2</v>
      </c>
      <c r="AM833" s="5">
        <v>69.822823</v>
      </c>
      <c r="AN833" s="2">
        <v>23365</v>
      </c>
      <c r="AO833" s="7">
        <f t="shared" si="210"/>
        <v>389.41666666666669</v>
      </c>
      <c r="AP833" s="5">
        <f t="shared" si="202"/>
        <v>17.352476714188558</v>
      </c>
      <c r="AQ833" s="6">
        <f t="shared" si="203"/>
        <v>150.23423320303968</v>
      </c>
      <c r="AR833" s="2">
        <f t="shared" si="204"/>
        <v>-2.1301186875174403</v>
      </c>
      <c r="AS833" s="2">
        <f t="shared" si="205"/>
        <v>-320.01674765064791</v>
      </c>
    </row>
    <row r="834" spans="13:45" x14ac:dyDescent="0.3">
      <c r="M834" s="78">
        <v>45041.385416666664</v>
      </c>
      <c r="N834" s="79">
        <v>3.8530048106451498E-2</v>
      </c>
      <c r="O834" s="5">
        <v>70.271667750000006</v>
      </c>
      <c r="P834" s="2">
        <v>23358</v>
      </c>
      <c r="Q834" s="7">
        <f t="shared" si="196"/>
        <v>389.3</v>
      </c>
      <c r="R834" s="6">
        <f t="shared" si="197"/>
        <v>14.999747727841568</v>
      </c>
      <c r="S834" s="6">
        <f t="shared" si="206"/>
        <v>139.88846524546938</v>
      </c>
      <c r="T834" s="2">
        <f t="shared" si="207"/>
        <v>1</v>
      </c>
      <c r="U834" s="6">
        <f t="shared" si="208"/>
        <v>139.88846524546938</v>
      </c>
      <c r="V834">
        <f t="shared" si="209"/>
        <v>1.9484987408766908E-2</v>
      </c>
      <c r="W834" s="6">
        <f t="shared" si="201"/>
        <v>2.7257249839396982</v>
      </c>
      <c r="AK834" s="78">
        <v>45040.375</v>
      </c>
      <c r="AL834" s="5">
        <v>4.0040342740748899E-2</v>
      </c>
      <c r="AM834" s="5">
        <v>63.015482910000003</v>
      </c>
      <c r="AN834" s="2">
        <v>24686</v>
      </c>
      <c r="AO834" s="7">
        <f t="shared" si="210"/>
        <v>411.43333333333334</v>
      </c>
      <c r="AP834" s="5">
        <f t="shared" si="202"/>
        <v>16.473931681635456</v>
      </c>
      <c r="AQ834" s="6">
        <f t="shared" si="203"/>
        <v>146.46006117736718</v>
      </c>
      <c r="AR834" s="2">
        <f t="shared" si="204"/>
        <v>-2.1301186875174403</v>
      </c>
      <c r="AS834" s="2">
        <f t="shared" si="205"/>
        <v>-311.97731328885737</v>
      </c>
    </row>
    <row r="835" spans="13:45" x14ac:dyDescent="0.3">
      <c r="M835" s="78">
        <v>45041.395833333336</v>
      </c>
      <c r="N835" s="79">
        <v>4.0657940547412799E-2</v>
      </c>
      <c r="O835" s="5">
        <v>70.271667750000006</v>
      </c>
      <c r="P835" s="2">
        <v>23039</v>
      </c>
      <c r="Q835" s="7">
        <f t="shared" si="196"/>
        <v>383.98333333333335</v>
      </c>
      <c r="R835" s="6">
        <f t="shared" si="197"/>
        <v>15.611971537864058</v>
      </c>
      <c r="S835" s="6">
        <f t="shared" si="206"/>
        <v>142.65593785738608</v>
      </c>
      <c r="T835" s="2">
        <f t="shared" si="207"/>
        <v>1</v>
      </c>
      <c r="U835" s="6">
        <f t="shared" si="208"/>
        <v>142.65593785738608</v>
      </c>
      <c r="V835">
        <f t="shared" si="209"/>
        <v>0.13155222550462378</v>
      </c>
      <c r="W835" s="6">
        <f t="shared" si="201"/>
        <v>18.766706106588451</v>
      </c>
      <c r="AK835" s="78">
        <v>45040.385416666664</v>
      </c>
      <c r="AL835" s="5">
        <v>3.8138440587823501E-2</v>
      </c>
      <c r="AM835" s="5">
        <v>71.17580074</v>
      </c>
      <c r="AN835" s="2">
        <v>24982</v>
      </c>
      <c r="AO835" s="7">
        <f t="shared" si="210"/>
        <v>416.36666666666667</v>
      </c>
      <c r="AP835" s="5">
        <f t="shared" si="202"/>
        <v>15.879575379416778</v>
      </c>
      <c r="AQ835" s="6">
        <f t="shared" si="203"/>
        <v>143.84818771740703</v>
      </c>
      <c r="AR835" s="2">
        <f t="shared" si="204"/>
        <v>-2.1301186875174403</v>
      </c>
      <c r="AS835" s="2">
        <f t="shared" si="205"/>
        <v>-306.41371282236543</v>
      </c>
    </row>
    <row r="836" spans="13:45" x14ac:dyDescent="0.3">
      <c r="M836" s="78">
        <v>45041.40625</v>
      </c>
      <c r="N836" s="79">
        <v>3.7325700322742399E-2</v>
      </c>
      <c r="O836" s="5">
        <v>69.373566690000004</v>
      </c>
      <c r="P836" s="2">
        <v>22815</v>
      </c>
      <c r="Q836" s="7">
        <f t="shared" ref="Q836:Q899" si="211">P836/60</f>
        <v>380.25</v>
      </c>
      <c r="R836" s="6">
        <f t="shared" ref="R836:R899" si="212">N836*Q836</f>
        <v>14.193097547722797</v>
      </c>
      <c r="S836" s="6">
        <f t="shared" si="206"/>
        <v>136.15255370784936</v>
      </c>
      <c r="T836" s="2">
        <f t="shared" si="207"/>
        <v>1</v>
      </c>
      <c r="U836" s="6">
        <f t="shared" si="208"/>
        <v>136.15255370784936</v>
      </c>
      <c r="V836">
        <f t="shared" si="209"/>
        <v>0</v>
      </c>
      <c r="W836" s="6">
        <f t="shared" ref="W836:W899" si="213">S836*V836</f>
        <v>0</v>
      </c>
      <c r="AK836" s="78">
        <v>45040.395833333336</v>
      </c>
      <c r="AL836" s="5">
        <v>4.0240909586963899E-2</v>
      </c>
      <c r="AM836" s="5">
        <v>68.016396760000006</v>
      </c>
      <c r="AN836" s="2">
        <v>25125</v>
      </c>
      <c r="AO836" s="7">
        <f t="shared" si="210"/>
        <v>418.75</v>
      </c>
      <c r="AP836" s="5">
        <f t="shared" ref="AP836:AP899" si="214">AO836*AL836</f>
        <v>16.850880889541134</v>
      </c>
      <c r="AQ836" s="6">
        <f t="shared" ref="AQ836:AQ899" si="215">37.141*AP836^0.4897</f>
        <v>148.09168828222525</v>
      </c>
      <c r="AR836" s="2">
        <f t="shared" ref="AR836:AR899" si="216">IF((AM836-$AP$1)/($AN$1-$AP$1)&lt;0, 0, IF((AA836-$AP$1)/($AN$1-$AP$1)&gt;1, 1, (AA836-$AP$1)/($AN$1-$AP$1)))</f>
        <v>-2.1301186875174403</v>
      </c>
      <c r="AS836" s="2">
        <f t="shared" ref="AS836:AS899" si="217">AQ836*AR836</f>
        <v>-315.45287267597553</v>
      </c>
    </row>
    <row r="837" spans="13:45" x14ac:dyDescent="0.3">
      <c r="M837" s="78">
        <v>45041.416666666664</v>
      </c>
      <c r="N837" s="79">
        <v>3.8130458511081301E-2</v>
      </c>
      <c r="O837" s="5">
        <v>68.016396760000006</v>
      </c>
      <c r="P837" s="2">
        <v>22823</v>
      </c>
      <c r="Q837" s="7">
        <f t="shared" si="211"/>
        <v>380.38333333333333</v>
      </c>
      <c r="R837" s="6">
        <f t="shared" si="212"/>
        <v>14.504190909973476</v>
      </c>
      <c r="S837" s="6">
        <f t="shared" si="206"/>
        <v>137.60587090226829</v>
      </c>
      <c r="T837" s="2">
        <f t="shared" si="207"/>
        <v>1</v>
      </c>
      <c r="U837" s="6">
        <f t="shared" si="208"/>
        <v>137.60587090226829</v>
      </c>
      <c r="V837">
        <f t="shared" si="209"/>
        <v>0</v>
      </c>
      <c r="W837" s="6">
        <f t="shared" si="213"/>
        <v>0</v>
      </c>
      <c r="AK837" s="78">
        <v>45040.40625</v>
      </c>
      <c r="AL837" s="5">
        <v>4.8978535105162903E-2</v>
      </c>
      <c r="AM837" s="5">
        <v>68.016396760000006</v>
      </c>
      <c r="AN837" s="2">
        <v>23441</v>
      </c>
      <c r="AO837" s="7">
        <f t="shared" si="210"/>
        <v>390.68333333333334</v>
      </c>
      <c r="AP837" s="5">
        <f t="shared" si="214"/>
        <v>19.135097356668727</v>
      </c>
      <c r="AQ837" s="6">
        <f t="shared" si="215"/>
        <v>157.60357871606917</v>
      </c>
      <c r="AR837" s="2">
        <f t="shared" si="216"/>
        <v>-2.1301186875174403</v>
      </c>
      <c r="AS837" s="2">
        <f t="shared" si="217"/>
        <v>-335.71432824272483</v>
      </c>
    </row>
    <row r="838" spans="13:45" x14ac:dyDescent="0.3">
      <c r="M838" s="78">
        <v>45041.427083333336</v>
      </c>
      <c r="N838" s="79">
        <v>3.9030162637991403E-2</v>
      </c>
      <c r="O838" s="5">
        <v>67.106545600000004</v>
      </c>
      <c r="P838" s="2">
        <v>22631</v>
      </c>
      <c r="Q838" s="7">
        <f t="shared" si="211"/>
        <v>377.18333333333334</v>
      </c>
      <c r="R838" s="6">
        <f t="shared" si="212"/>
        <v>14.721526844339724</v>
      </c>
      <c r="S838" s="6">
        <f t="shared" si="206"/>
        <v>138.61176892121406</v>
      </c>
      <c r="T838" s="2">
        <f t="shared" si="207"/>
        <v>1</v>
      </c>
      <c r="U838" s="6">
        <f t="shared" si="208"/>
        <v>138.61176892121406</v>
      </c>
      <c r="V838">
        <f t="shared" si="209"/>
        <v>0</v>
      </c>
      <c r="W838" s="6">
        <f t="shared" si="213"/>
        <v>0</v>
      </c>
      <c r="AK838" s="78">
        <v>45040.416666666664</v>
      </c>
      <c r="AL838" s="5">
        <v>4.1217776426243601E-2</v>
      </c>
      <c r="AM838" s="5">
        <v>66.655723199999997</v>
      </c>
      <c r="AN838" s="2">
        <v>24258</v>
      </c>
      <c r="AO838" s="7">
        <f t="shared" si="210"/>
        <v>404.3</v>
      </c>
      <c r="AP838" s="5">
        <f t="shared" si="214"/>
        <v>16.664347009130289</v>
      </c>
      <c r="AQ838" s="6">
        <f t="shared" si="215"/>
        <v>147.28662934889115</v>
      </c>
      <c r="AR838" s="2">
        <f t="shared" si="216"/>
        <v>-2.1301186875174403</v>
      </c>
      <c r="AS838" s="2">
        <f t="shared" si="217"/>
        <v>-313.73800159752773</v>
      </c>
    </row>
    <row r="839" spans="13:45" x14ac:dyDescent="0.3">
      <c r="M839" s="78">
        <v>45041.4375</v>
      </c>
      <c r="N839" s="79">
        <v>3.9233070269200601E-2</v>
      </c>
      <c r="O839" s="5">
        <v>68.016396760000006</v>
      </c>
      <c r="P839" s="2">
        <v>22568</v>
      </c>
      <c r="Q839" s="7">
        <f t="shared" si="211"/>
        <v>376.13333333333333</v>
      </c>
      <c r="R839" s="6">
        <f t="shared" si="212"/>
        <v>14.756865497255319</v>
      </c>
      <c r="S839" s="6">
        <f t="shared" si="206"/>
        <v>138.77460910642912</v>
      </c>
      <c r="T839" s="2">
        <f t="shared" si="207"/>
        <v>1</v>
      </c>
      <c r="U839" s="6">
        <f t="shared" si="208"/>
        <v>138.77460910642912</v>
      </c>
      <c r="V839">
        <f t="shared" si="209"/>
        <v>0</v>
      </c>
      <c r="W839" s="6">
        <f t="shared" si="213"/>
        <v>0</v>
      </c>
      <c r="AK839" s="78">
        <v>45040.427083333336</v>
      </c>
      <c r="AL839" s="5">
        <v>4.5874167120297502E-2</v>
      </c>
      <c r="AM839" s="5">
        <v>63.92387093</v>
      </c>
      <c r="AN839" s="2">
        <v>23599</v>
      </c>
      <c r="AO839" s="7">
        <f t="shared" si="210"/>
        <v>393.31666666666666</v>
      </c>
      <c r="AP839" s="5">
        <f t="shared" si="214"/>
        <v>18.04307449786501</v>
      </c>
      <c r="AQ839" s="6">
        <f t="shared" si="215"/>
        <v>153.13302625371429</v>
      </c>
      <c r="AR839" s="2">
        <f t="shared" si="216"/>
        <v>-2.1301186875174403</v>
      </c>
      <c r="AS839" s="2">
        <f t="shared" si="217"/>
        <v>-326.19152089913558</v>
      </c>
    </row>
    <row r="840" spans="13:45" x14ac:dyDescent="0.3">
      <c r="M840" s="78">
        <v>45041.447916666664</v>
      </c>
      <c r="N840" s="79">
        <v>4.23512431556635E-2</v>
      </c>
      <c r="O840" s="5">
        <v>65.743635260000005</v>
      </c>
      <c r="P840" s="2">
        <v>22720</v>
      </c>
      <c r="Q840" s="7">
        <f t="shared" si="211"/>
        <v>378.66666666666669</v>
      </c>
      <c r="R840" s="6">
        <f t="shared" si="212"/>
        <v>16.03700407494458</v>
      </c>
      <c r="S840" s="6">
        <f t="shared" si="206"/>
        <v>144.54479020126882</v>
      </c>
      <c r="T840" s="2">
        <f t="shared" si="207"/>
        <v>1</v>
      </c>
      <c r="U840" s="6">
        <f t="shared" si="208"/>
        <v>144.54479020126882</v>
      </c>
      <c r="V840">
        <f t="shared" si="209"/>
        <v>0.20935420208854527</v>
      </c>
      <c r="W840" s="6">
        <f t="shared" si="213"/>
        <v>30.261059218642814</v>
      </c>
      <c r="AK840" s="78">
        <v>45040.4375</v>
      </c>
      <c r="AL840" s="5">
        <v>4.3943778825243397E-2</v>
      </c>
      <c r="AM840" s="5">
        <v>69.373566690000004</v>
      </c>
      <c r="AN840" s="2">
        <v>23318</v>
      </c>
      <c r="AO840" s="7">
        <f t="shared" si="210"/>
        <v>388.63333333333333</v>
      </c>
      <c r="AP840" s="5">
        <f t="shared" si="214"/>
        <v>17.078017244117092</v>
      </c>
      <c r="AQ840" s="6">
        <f t="shared" si="215"/>
        <v>149.06586715908236</v>
      </c>
      <c r="AR840" s="2">
        <f t="shared" si="216"/>
        <v>-2.1301186875174403</v>
      </c>
      <c r="AS840" s="2">
        <f t="shared" si="217"/>
        <v>-317.52798930655359</v>
      </c>
    </row>
    <row r="841" spans="13:45" x14ac:dyDescent="0.3">
      <c r="M841" s="78">
        <v>45041.458333333336</v>
      </c>
      <c r="N841" s="79">
        <v>3.8134543649486201E-2</v>
      </c>
      <c r="O841" s="5">
        <v>65.290959470000004</v>
      </c>
      <c r="P841" s="2">
        <v>23448</v>
      </c>
      <c r="Q841" s="7">
        <f t="shared" si="211"/>
        <v>390.8</v>
      </c>
      <c r="R841" s="6">
        <f t="shared" si="212"/>
        <v>14.902979658219207</v>
      </c>
      <c r="S841" s="6">
        <f t="shared" ref="S841:S904" si="218">37.141*R841^0.4897</f>
        <v>139.44579865730279</v>
      </c>
      <c r="T841" s="2">
        <f t="shared" ref="T841:T904" si="219">IF((O841-$R$1)/($P$1-$R$1)&lt;0, 0, IF((O841-$R$1)/($P$1-$R$1)&gt;1, 1, (O841-$R$1)/($P$1-$R$1)))</f>
        <v>1</v>
      </c>
      <c r="U841" s="6">
        <f t="shared" ref="U841:U904" si="220">S841*T841</f>
        <v>139.44579865730279</v>
      </c>
      <c r="V841">
        <f t="shared" ref="V841:V904" si="221">IF((R841-$AB$774)/($Z$773-$AB$774)&lt;0, 0, IF((R841-$AB$774)/($Z$773-$AB$774)&gt;1, 1, (R841-$AB$774)/($Z$773-$AB$774)))</f>
        <v>1.7716444761437422E-3</v>
      </c>
      <c r="W841" s="6">
        <f t="shared" si="213"/>
        <v>0.24704837891266296</v>
      </c>
      <c r="AK841" s="78">
        <v>45040.447916666664</v>
      </c>
      <c r="AL841" s="5">
        <v>4.619593508303E-2</v>
      </c>
      <c r="AM841" s="5">
        <v>66.655723199999997</v>
      </c>
      <c r="AN841" s="2">
        <v>24383</v>
      </c>
      <c r="AO841" s="7">
        <f t="shared" si="210"/>
        <v>406.38333333333333</v>
      </c>
      <c r="AP841" s="5">
        <f t="shared" si="214"/>
        <v>18.773258085492007</v>
      </c>
      <c r="AQ841" s="6">
        <f t="shared" si="215"/>
        <v>156.13704637687178</v>
      </c>
      <c r="AR841" s="2">
        <f t="shared" si="216"/>
        <v>-2.1301186875174403</v>
      </c>
      <c r="AS841" s="2">
        <f t="shared" si="217"/>
        <v>-332.59044030115183</v>
      </c>
    </row>
    <row r="842" spans="13:45" x14ac:dyDescent="0.3">
      <c r="M842" s="78">
        <v>45041.46875</v>
      </c>
      <c r="N842" s="79">
        <v>4.0352579958023403E-2</v>
      </c>
      <c r="O842" s="5">
        <v>69.373566690000004</v>
      </c>
      <c r="P842" s="2">
        <v>23437</v>
      </c>
      <c r="Q842" s="7">
        <f t="shared" si="211"/>
        <v>390.61666666666667</v>
      </c>
      <c r="R842" s="6">
        <f t="shared" si="212"/>
        <v>15.762390274603241</v>
      </c>
      <c r="S842" s="6">
        <f t="shared" si="218"/>
        <v>143.32736725300936</v>
      </c>
      <c r="T842" s="2">
        <f t="shared" si="219"/>
        <v>1</v>
      </c>
      <c r="U842" s="6">
        <f t="shared" si="220"/>
        <v>143.32736725300936</v>
      </c>
      <c r="V842">
        <f t="shared" si="221"/>
        <v>0.15908629410546576</v>
      </c>
      <c r="W842" s="6">
        <f t="shared" si="213"/>
        <v>22.80141970017435</v>
      </c>
      <c r="AK842" s="78">
        <v>45040.458333333336</v>
      </c>
      <c r="AL842" s="5">
        <v>3.8488217123468497E-2</v>
      </c>
      <c r="AM842" s="5">
        <v>65.290959470000004</v>
      </c>
      <c r="AN842" s="2">
        <v>23778</v>
      </c>
      <c r="AO842" s="7">
        <f t="shared" si="210"/>
        <v>396.3</v>
      </c>
      <c r="AP842" s="5">
        <f t="shared" si="214"/>
        <v>15.252880446030566</v>
      </c>
      <c r="AQ842" s="6">
        <f t="shared" si="215"/>
        <v>141.03957855949309</v>
      </c>
      <c r="AR842" s="2">
        <f t="shared" si="216"/>
        <v>-2.1301186875174403</v>
      </c>
      <c r="AS842" s="2">
        <f t="shared" si="217"/>
        <v>-300.43104196916033</v>
      </c>
    </row>
    <row r="843" spans="13:45" x14ac:dyDescent="0.3">
      <c r="M843" s="78">
        <v>45041.479166666664</v>
      </c>
      <c r="N843" s="79">
        <v>4.4070342305739897E-2</v>
      </c>
      <c r="O843" s="5">
        <v>70.279402750000003</v>
      </c>
      <c r="P843" s="2">
        <v>22959</v>
      </c>
      <c r="Q843" s="7">
        <f t="shared" si="211"/>
        <v>382.65</v>
      </c>
      <c r="R843" s="6">
        <f t="shared" si="212"/>
        <v>16.86351648329137</v>
      </c>
      <c r="S843" s="6">
        <f t="shared" si="218"/>
        <v>148.14605720977079</v>
      </c>
      <c r="T843" s="2">
        <f t="shared" si="219"/>
        <v>1</v>
      </c>
      <c r="U843" s="6">
        <f t="shared" si="220"/>
        <v>148.14605720977079</v>
      </c>
      <c r="V843">
        <f t="shared" si="221"/>
        <v>0.36064685248706085</v>
      </c>
      <c r="W843" s="6">
        <f t="shared" si="213"/>
        <v>53.428409241071883</v>
      </c>
      <c r="AK843" s="78">
        <v>45040.46875</v>
      </c>
      <c r="AL843" s="5">
        <v>3.9061976832125297E-2</v>
      </c>
      <c r="AM843" s="5">
        <v>63.92387093</v>
      </c>
      <c r="AN843" s="2">
        <v>24175</v>
      </c>
      <c r="AO843" s="7">
        <f t="shared" si="210"/>
        <v>402.91666666666669</v>
      </c>
      <c r="AP843" s="5">
        <f t="shared" si="214"/>
        <v>15.738721498610484</v>
      </c>
      <c r="AQ843" s="6">
        <f t="shared" si="215"/>
        <v>143.22193355557624</v>
      </c>
      <c r="AR843" s="2">
        <f t="shared" si="216"/>
        <v>-2.1301186875174403</v>
      </c>
      <c r="AS843" s="2">
        <f t="shared" si="217"/>
        <v>-305.0797171291141</v>
      </c>
    </row>
    <row r="844" spans="13:45" x14ac:dyDescent="0.3">
      <c r="M844" s="78">
        <v>45041.489583333336</v>
      </c>
      <c r="N844" s="79">
        <v>3.8933018580582998E-2</v>
      </c>
      <c r="O844" s="5">
        <v>68.924680609999996</v>
      </c>
      <c r="P844" s="2">
        <v>21932</v>
      </c>
      <c r="Q844" s="7">
        <f t="shared" si="211"/>
        <v>365.53333333333336</v>
      </c>
      <c r="R844" s="6">
        <f t="shared" si="212"/>
        <v>14.231316058489107</v>
      </c>
      <c r="S844" s="6">
        <f t="shared" si="218"/>
        <v>136.33196690481424</v>
      </c>
      <c r="T844" s="2">
        <f t="shared" si="219"/>
        <v>1</v>
      </c>
      <c r="U844" s="6">
        <f t="shared" si="220"/>
        <v>136.33196690481424</v>
      </c>
      <c r="V844">
        <f t="shared" si="221"/>
        <v>0</v>
      </c>
      <c r="W844" s="6">
        <f t="shared" si="213"/>
        <v>0</v>
      </c>
      <c r="AK844" s="78">
        <v>45040.479166666664</v>
      </c>
      <c r="AL844" s="5">
        <v>3.8778577798987003E-2</v>
      </c>
      <c r="AM844" s="5">
        <v>66.655723199999997</v>
      </c>
      <c r="AN844" s="2">
        <v>23036</v>
      </c>
      <c r="AO844" s="7">
        <f t="shared" si="210"/>
        <v>383.93333333333334</v>
      </c>
      <c r="AP844" s="5">
        <f t="shared" si="214"/>
        <v>14.888388636291078</v>
      </c>
      <c r="AQ844" s="6">
        <f t="shared" si="215"/>
        <v>139.37892475442337</v>
      </c>
      <c r="AR844" s="2">
        <f t="shared" si="216"/>
        <v>-2.1301186875174403</v>
      </c>
      <c r="AS844" s="2">
        <f t="shared" si="217"/>
        <v>-296.89365226548438</v>
      </c>
    </row>
    <row r="845" spans="13:45" x14ac:dyDescent="0.3">
      <c r="M845" s="78">
        <v>45041.5</v>
      </c>
      <c r="N845" s="79">
        <v>3.97280601593702E-2</v>
      </c>
      <c r="O845" s="5">
        <v>68.466857000000005</v>
      </c>
      <c r="P845" s="2">
        <v>22464</v>
      </c>
      <c r="Q845" s="7">
        <f t="shared" si="211"/>
        <v>374.4</v>
      </c>
      <c r="R845" s="6">
        <f t="shared" si="212"/>
        <v>14.874185723668202</v>
      </c>
      <c r="S845" s="6">
        <f t="shared" si="218"/>
        <v>139.31379751369585</v>
      </c>
      <c r="T845" s="2">
        <f t="shared" si="219"/>
        <v>1</v>
      </c>
      <c r="U845" s="6">
        <f t="shared" si="220"/>
        <v>139.31379751369585</v>
      </c>
      <c r="V845">
        <f t="shared" si="221"/>
        <v>0</v>
      </c>
      <c r="W845" s="6">
        <f t="shared" si="213"/>
        <v>0</v>
      </c>
      <c r="AK845" s="78">
        <v>45040.489583333336</v>
      </c>
      <c r="AL845" s="5">
        <v>3.9057883124591998E-2</v>
      </c>
      <c r="AM845" s="5">
        <v>71.17580074</v>
      </c>
      <c r="AN845" s="2">
        <v>23117</v>
      </c>
      <c r="AO845" s="7">
        <f t="shared" si="210"/>
        <v>385.28333333333336</v>
      </c>
      <c r="AP845" s="5">
        <f t="shared" si="214"/>
        <v>15.048351403186555</v>
      </c>
      <c r="AQ845" s="6">
        <f t="shared" si="215"/>
        <v>140.11025350044395</v>
      </c>
      <c r="AR845" s="2">
        <f t="shared" si="216"/>
        <v>-2.1301186875174403</v>
      </c>
      <c r="AS845" s="2">
        <f t="shared" si="217"/>
        <v>-298.45146929410151</v>
      </c>
    </row>
    <row r="846" spans="13:45" x14ac:dyDescent="0.3">
      <c r="M846" s="78">
        <v>45041.510416666664</v>
      </c>
      <c r="N846" s="79">
        <v>4.0507401014419499E-2</v>
      </c>
      <c r="O846" s="5">
        <v>71.622551369999996</v>
      </c>
      <c r="P846" s="2">
        <v>21876</v>
      </c>
      <c r="Q846" s="7">
        <f t="shared" si="211"/>
        <v>364.6</v>
      </c>
      <c r="R846" s="6">
        <f t="shared" si="212"/>
        <v>14.76899840985735</v>
      </c>
      <c r="S846" s="6">
        <f t="shared" si="218"/>
        <v>138.83047155764419</v>
      </c>
      <c r="T846" s="2">
        <f t="shared" si="219"/>
        <v>1</v>
      </c>
      <c r="U846" s="6">
        <f t="shared" si="220"/>
        <v>138.83047155764419</v>
      </c>
      <c r="V846">
        <f t="shared" si="221"/>
        <v>0</v>
      </c>
      <c r="W846" s="6">
        <f t="shared" si="213"/>
        <v>0</v>
      </c>
      <c r="AK846" s="78">
        <v>45040.5</v>
      </c>
      <c r="AL846" s="5">
        <v>4.0498791576762297E-2</v>
      </c>
      <c r="AM846" s="5">
        <v>65.290959470000004</v>
      </c>
      <c r="AN846" s="2">
        <v>22588</v>
      </c>
      <c r="AO846" s="7">
        <f t="shared" si="210"/>
        <v>376.46666666666664</v>
      </c>
      <c r="AP846" s="5">
        <f t="shared" si="214"/>
        <v>15.246445068931779</v>
      </c>
      <c r="AQ846" s="6">
        <f t="shared" si="215"/>
        <v>141.01043517408647</v>
      </c>
      <c r="AR846" s="2">
        <f t="shared" si="216"/>
        <v>-2.1301186875174403</v>
      </c>
      <c r="AS846" s="2">
        <f t="shared" si="217"/>
        <v>-300.36896309928818</v>
      </c>
    </row>
    <row r="847" spans="13:45" x14ac:dyDescent="0.3">
      <c r="M847" s="78">
        <v>45041.520833333336</v>
      </c>
      <c r="N847" s="79">
        <v>4.0336640959438598E-2</v>
      </c>
      <c r="O847" s="5">
        <v>63.015482910000003</v>
      </c>
      <c r="P847" s="2">
        <v>22375</v>
      </c>
      <c r="Q847" s="7">
        <f t="shared" si="211"/>
        <v>372.91666666666669</v>
      </c>
      <c r="R847" s="6">
        <f t="shared" si="212"/>
        <v>15.042205691123979</v>
      </c>
      <c r="S847" s="6">
        <f t="shared" si="218"/>
        <v>140.082229600788</v>
      </c>
      <c r="T847" s="2">
        <f t="shared" si="219"/>
        <v>1</v>
      </c>
      <c r="U847" s="6">
        <f t="shared" si="220"/>
        <v>140.082229600788</v>
      </c>
      <c r="V847">
        <f t="shared" si="221"/>
        <v>2.7256894679182121E-2</v>
      </c>
      <c r="W847" s="6">
        <f t="shared" si="213"/>
        <v>3.8182065786536863</v>
      </c>
      <c r="AK847" s="78">
        <v>45040.510416666664</v>
      </c>
      <c r="AL847" s="5">
        <v>4.16766685992856E-2</v>
      </c>
      <c r="AM847" s="5">
        <v>71.17580074</v>
      </c>
      <c r="AN847" s="2">
        <v>22386</v>
      </c>
      <c r="AO847" s="7">
        <f t="shared" si="210"/>
        <v>373.1</v>
      </c>
      <c r="AP847" s="5">
        <f t="shared" si="214"/>
        <v>15.549565054393458</v>
      </c>
      <c r="AQ847" s="6">
        <f t="shared" si="215"/>
        <v>142.37640328279022</v>
      </c>
      <c r="AR847" s="2">
        <f t="shared" si="216"/>
        <v>-2.1301186875174403</v>
      </c>
      <c r="AS847" s="2">
        <f t="shared" si="217"/>
        <v>-303.2786372941909</v>
      </c>
    </row>
    <row r="848" spans="13:45" x14ac:dyDescent="0.3">
      <c r="M848" s="78">
        <v>45041.53125</v>
      </c>
      <c r="N848" s="79">
        <v>3.9006681435811798E-2</v>
      </c>
      <c r="O848" s="5">
        <v>64.377553680000005</v>
      </c>
      <c r="P848" s="2">
        <v>23388</v>
      </c>
      <c r="Q848" s="7">
        <f t="shared" si="211"/>
        <v>389.8</v>
      </c>
      <c r="R848" s="6">
        <f t="shared" si="212"/>
        <v>15.204804423679439</v>
      </c>
      <c r="S848" s="6">
        <f t="shared" si="218"/>
        <v>140.82170855193453</v>
      </c>
      <c r="T848" s="2">
        <f t="shared" si="219"/>
        <v>1</v>
      </c>
      <c r="U848" s="6">
        <f t="shared" si="220"/>
        <v>140.82170855193453</v>
      </c>
      <c r="V848">
        <f t="shared" si="221"/>
        <v>5.7020504942409199E-2</v>
      </c>
      <c r="W848" s="6">
        <f t="shared" si="213"/>
        <v>8.0297249284840913</v>
      </c>
      <c r="AK848" s="78">
        <v>45040.520833333336</v>
      </c>
      <c r="AL848" s="5">
        <v>4.1884715168368003E-2</v>
      </c>
      <c r="AM848" s="5">
        <v>70.279402750000003</v>
      </c>
      <c r="AN848" s="2">
        <v>21576</v>
      </c>
      <c r="AO848" s="7">
        <f t="shared" si="210"/>
        <v>359.6</v>
      </c>
      <c r="AP848" s="5">
        <f t="shared" si="214"/>
        <v>15.061743574545135</v>
      </c>
      <c r="AQ848" s="6">
        <f t="shared" si="215"/>
        <v>140.17130038631697</v>
      </c>
      <c r="AR848" s="2">
        <f t="shared" si="216"/>
        <v>-2.1301186875174403</v>
      </c>
      <c r="AS848" s="2">
        <f t="shared" si="217"/>
        <v>-298.58150640651439</v>
      </c>
    </row>
    <row r="849" spans="13:45" x14ac:dyDescent="0.3">
      <c r="M849" s="78">
        <v>45041.541666666664</v>
      </c>
      <c r="N849" s="79">
        <v>4.00481587122552E-2</v>
      </c>
      <c r="O849" s="5">
        <v>65.743635260000005</v>
      </c>
      <c r="P849" s="2">
        <v>22800</v>
      </c>
      <c r="Q849" s="7">
        <f t="shared" si="211"/>
        <v>380</v>
      </c>
      <c r="R849" s="6">
        <f t="shared" si="212"/>
        <v>15.218300310656975</v>
      </c>
      <c r="S849" s="6">
        <f t="shared" si="218"/>
        <v>140.88290440375783</v>
      </c>
      <c r="T849" s="2">
        <f t="shared" si="219"/>
        <v>1</v>
      </c>
      <c r="U849" s="6">
        <f t="shared" si="220"/>
        <v>140.88290440375783</v>
      </c>
      <c r="V849">
        <f t="shared" si="221"/>
        <v>5.9490919771866269E-2</v>
      </c>
      <c r="W849" s="6">
        <f t="shared" si="213"/>
        <v>8.3812535631114624</v>
      </c>
      <c r="AK849" s="78">
        <v>45040.53125</v>
      </c>
      <c r="AL849" s="5">
        <v>4.4284328870226902E-2</v>
      </c>
      <c r="AM849" s="5">
        <v>71.630262669999993</v>
      </c>
      <c r="AN849" s="2">
        <v>21241</v>
      </c>
      <c r="AO849" s="7">
        <f t="shared" si="210"/>
        <v>354.01666666666665</v>
      </c>
      <c r="AP849" s="5">
        <f t="shared" si="214"/>
        <v>15.67739049220816</v>
      </c>
      <c r="AQ849" s="6">
        <f t="shared" si="215"/>
        <v>142.94835457997146</v>
      </c>
      <c r="AR849" s="2">
        <f t="shared" si="216"/>
        <v>-2.1301186875174403</v>
      </c>
      <c r="AS849" s="2">
        <f t="shared" si="217"/>
        <v>-304.4969614406665</v>
      </c>
    </row>
    <row r="850" spans="13:45" x14ac:dyDescent="0.3">
      <c r="M850" s="78">
        <v>45041.552083333336</v>
      </c>
      <c r="N850" s="79">
        <v>4.2879868257736903E-2</v>
      </c>
      <c r="O850" s="5">
        <v>70.727821939999998</v>
      </c>
      <c r="P850" s="2">
        <v>21599</v>
      </c>
      <c r="Q850" s="7">
        <f t="shared" si="211"/>
        <v>359.98333333333335</v>
      </c>
      <c r="R850" s="6">
        <f t="shared" si="212"/>
        <v>15.436037908314324</v>
      </c>
      <c r="S850" s="6">
        <f t="shared" si="218"/>
        <v>141.8664142351663</v>
      </c>
      <c r="T850" s="2">
        <f t="shared" si="219"/>
        <v>1</v>
      </c>
      <c r="U850" s="6">
        <f t="shared" si="220"/>
        <v>141.8664142351663</v>
      </c>
      <c r="V850">
        <f t="shared" si="221"/>
        <v>9.934766954151282E-2</v>
      </c>
      <c r="W850" s="6">
        <f t="shared" si="213"/>
        <v>14.094097640474672</v>
      </c>
      <c r="AK850" s="78">
        <v>45040.541666666664</v>
      </c>
      <c r="AL850" s="5">
        <v>4.1538226001459497E-2</v>
      </c>
      <c r="AM850" s="5">
        <v>77.435049230000004</v>
      </c>
      <c r="AN850" s="2">
        <v>21482</v>
      </c>
      <c r="AO850" s="7">
        <f t="shared" si="210"/>
        <v>358.03333333333336</v>
      </c>
      <c r="AP850" s="5">
        <f t="shared" si="214"/>
        <v>14.872069516055882</v>
      </c>
      <c r="AQ850" s="6">
        <f t="shared" si="215"/>
        <v>139.30409095973312</v>
      </c>
      <c r="AR850" s="2">
        <f t="shared" si="216"/>
        <v>-2.1301186875174403</v>
      </c>
      <c r="AS850" s="2">
        <f t="shared" si="217"/>
        <v>-296.7342474009568</v>
      </c>
    </row>
    <row r="851" spans="13:45" x14ac:dyDescent="0.3">
      <c r="M851" s="78">
        <v>45041.5625</v>
      </c>
      <c r="N851" s="79">
        <v>4.0710207796402498E-2</v>
      </c>
      <c r="O851" s="5">
        <v>67.106545600000004</v>
      </c>
      <c r="P851" s="2">
        <v>21566</v>
      </c>
      <c r="Q851" s="7">
        <f t="shared" si="211"/>
        <v>359.43333333333334</v>
      </c>
      <c r="R851" s="6">
        <f t="shared" si="212"/>
        <v>14.632605688953605</v>
      </c>
      <c r="S851" s="6">
        <f t="shared" si="218"/>
        <v>138.2011364452076</v>
      </c>
      <c r="T851" s="2">
        <f t="shared" si="219"/>
        <v>1</v>
      </c>
      <c r="U851" s="6">
        <f t="shared" si="220"/>
        <v>138.2011364452076</v>
      </c>
      <c r="V851">
        <f t="shared" si="221"/>
        <v>0</v>
      </c>
      <c r="W851" s="6">
        <f t="shared" si="213"/>
        <v>0</v>
      </c>
      <c r="AK851" s="78">
        <v>45040.552083333336</v>
      </c>
      <c r="AL851" s="5">
        <v>4.1890681476625197E-2</v>
      </c>
      <c r="AM851" s="5">
        <v>64.377553680000005</v>
      </c>
      <c r="AN851" s="2">
        <v>21613</v>
      </c>
      <c r="AO851" s="7">
        <f t="shared" si="210"/>
        <v>360.21666666666664</v>
      </c>
      <c r="AP851" s="5">
        <f t="shared" si="214"/>
        <v>15.089721645905005</v>
      </c>
      <c r="AQ851" s="6">
        <f t="shared" si="215"/>
        <v>140.29874633589037</v>
      </c>
      <c r="AR851" s="2">
        <f t="shared" si="216"/>
        <v>-2.1301186875174403</v>
      </c>
      <c r="AS851" s="2">
        <f t="shared" si="217"/>
        <v>-298.85298140534906</v>
      </c>
    </row>
    <row r="852" spans="13:45" x14ac:dyDescent="0.3">
      <c r="M852" s="78">
        <v>45041.572916666664</v>
      </c>
      <c r="N852" s="79">
        <v>4.03892503780671E-2</v>
      </c>
      <c r="O852" s="5">
        <v>69.36581735</v>
      </c>
      <c r="P852" s="2">
        <v>22104</v>
      </c>
      <c r="Q852" s="7">
        <f t="shared" si="211"/>
        <v>368.4</v>
      </c>
      <c r="R852" s="6">
        <f t="shared" si="212"/>
        <v>14.87939983927992</v>
      </c>
      <c r="S852" s="6">
        <f t="shared" si="218"/>
        <v>139.33771044697383</v>
      </c>
      <c r="T852" s="2">
        <f t="shared" si="219"/>
        <v>1</v>
      </c>
      <c r="U852" s="6">
        <f t="shared" si="220"/>
        <v>139.33771044697383</v>
      </c>
      <c r="V852">
        <f t="shared" si="221"/>
        <v>0</v>
      </c>
      <c r="W852" s="6">
        <f t="shared" si="213"/>
        <v>0</v>
      </c>
      <c r="AK852" s="78">
        <v>45040.5625</v>
      </c>
      <c r="AL852" s="5">
        <v>4.5734262511046099E-2</v>
      </c>
      <c r="AM852" s="5">
        <v>72.970159429999995</v>
      </c>
      <c r="AN852" s="2">
        <v>19417</v>
      </c>
      <c r="AO852" s="7">
        <f t="shared" si="210"/>
        <v>323.61666666666667</v>
      </c>
      <c r="AP852" s="5">
        <f t="shared" si="214"/>
        <v>14.800369586283036</v>
      </c>
      <c r="AQ852" s="6">
        <f t="shared" si="215"/>
        <v>138.97480251000232</v>
      </c>
      <c r="AR852" s="2">
        <f t="shared" si="216"/>
        <v>-2.1301186875174403</v>
      </c>
      <c r="AS852" s="2">
        <f t="shared" si="217"/>
        <v>-296.03282392060163</v>
      </c>
    </row>
    <row r="853" spans="13:45" x14ac:dyDescent="0.3">
      <c r="M853" s="78">
        <v>45041.583333333336</v>
      </c>
      <c r="N853" s="79">
        <v>4.5148818660177198E-2</v>
      </c>
      <c r="O853" s="5">
        <v>67.106545600000004</v>
      </c>
      <c r="P853" s="2">
        <v>22208</v>
      </c>
      <c r="Q853" s="7">
        <f t="shared" si="211"/>
        <v>370.13333333333333</v>
      </c>
      <c r="R853" s="6">
        <f t="shared" si="212"/>
        <v>16.711082746753586</v>
      </c>
      <c r="S853" s="6">
        <f t="shared" si="218"/>
        <v>147.48876540335419</v>
      </c>
      <c r="T853" s="2">
        <f t="shared" si="219"/>
        <v>1</v>
      </c>
      <c r="U853" s="6">
        <f t="shared" si="220"/>
        <v>147.48876540335419</v>
      </c>
      <c r="V853">
        <f t="shared" si="221"/>
        <v>0.33274393926028945</v>
      </c>
      <c r="W853" s="6">
        <f t="shared" si="213"/>
        <v>49.075992796948768</v>
      </c>
      <c r="AK853" s="78">
        <v>45040.572916666664</v>
      </c>
      <c r="AL853" s="5">
        <v>5.0955703507025399E-2</v>
      </c>
      <c r="AM853" s="5">
        <v>75.208694050000005</v>
      </c>
      <c r="AN853" s="2">
        <v>19424</v>
      </c>
      <c r="AO853" s="7">
        <f t="shared" si="210"/>
        <v>323.73333333333335</v>
      </c>
      <c r="AP853" s="5">
        <f t="shared" si="214"/>
        <v>16.496059748674355</v>
      </c>
      <c r="AQ853" s="6">
        <f t="shared" si="215"/>
        <v>146.55636571843874</v>
      </c>
      <c r="AR853" s="2">
        <f t="shared" si="216"/>
        <v>-2.1301186875174403</v>
      </c>
      <c r="AS853" s="2">
        <f t="shared" si="217"/>
        <v>-312.18245339148672</v>
      </c>
    </row>
    <row r="854" spans="13:45" x14ac:dyDescent="0.3">
      <c r="M854" s="78">
        <v>45041.59375</v>
      </c>
      <c r="N854" s="79">
        <v>4.2907962597862802E-2</v>
      </c>
      <c r="O854" s="5">
        <v>68.016396760000006</v>
      </c>
      <c r="P854" s="2">
        <v>22455</v>
      </c>
      <c r="Q854" s="7">
        <f t="shared" si="211"/>
        <v>374.25</v>
      </c>
      <c r="R854" s="6">
        <f t="shared" si="212"/>
        <v>16.058305002250155</v>
      </c>
      <c r="S854" s="6">
        <f t="shared" si="218"/>
        <v>144.6387756694298</v>
      </c>
      <c r="T854" s="2">
        <f t="shared" si="219"/>
        <v>1</v>
      </c>
      <c r="U854" s="6">
        <f t="shared" si="220"/>
        <v>144.6387756694298</v>
      </c>
      <c r="V854">
        <f t="shared" si="221"/>
        <v>0.21325332533879698</v>
      </c>
      <c r="W854" s="6">
        <f t="shared" si="213"/>
        <v>30.844699884438189</v>
      </c>
      <c r="AK854" s="78">
        <v>45040.588888888888</v>
      </c>
      <c r="AL854" s="5">
        <v>4.7942322726913601E-2</v>
      </c>
      <c r="AM854" s="5">
        <v>71.620816880000007</v>
      </c>
      <c r="AN854" s="2">
        <v>20040</v>
      </c>
      <c r="AO854" s="7">
        <f t="shared" si="210"/>
        <v>334</v>
      </c>
      <c r="AP854" s="5">
        <f t="shared" si="214"/>
        <v>16.012735790789144</v>
      </c>
      <c r="AQ854" s="6">
        <f t="shared" si="215"/>
        <v>144.43763428356698</v>
      </c>
      <c r="AR854" s="2">
        <f t="shared" si="216"/>
        <v>-2.1301186875174403</v>
      </c>
      <c r="AS854" s="2">
        <f t="shared" si="217"/>
        <v>-307.66930396823574</v>
      </c>
    </row>
    <row r="855" spans="13:45" x14ac:dyDescent="0.3">
      <c r="M855" s="78">
        <v>45041.604166666664</v>
      </c>
      <c r="N855" s="79">
        <v>4.1120890674348598E-2</v>
      </c>
      <c r="O855" s="5">
        <v>71.630262669999993</v>
      </c>
      <c r="P855" s="2">
        <v>22216</v>
      </c>
      <c r="Q855" s="7">
        <f t="shared" si="211"/>
        <v>370.26666666666665</v>
      </c>
      <c r="R855" s="6">
        <f t="shared" si="212"/>
        <v>15.225695120355473</v>
      </c>
      <c r="S855" s="6">
        <f t="shared" si="218"/>
        <v>140.91642374060689</v>
      </c>
      <c r="T855" s="2">
        <f t="shared" si="219"/>
        <v>1</v>
      </c>
      <c r="U855" s="6">
        <f t="shared" si="220"/>
        <v>140.91642374060689</v>
      </c>
      <c r="V855">
        <f t="shared" si="221"/>
        <v>6.0844535697265674E-2</v>
      </c>
      <c r="W855" s="6">
        <f t="shared" si="213"/>
        <v>8.5739943746163725</v>
      </c>
      <c r="AK855" s="78">
        <v>45040.604166666664</v>
      </c>
      <c r="AL855" s="5">
        <v>4.9769337300923901E-2</v>
      </c>
      <c r="AM855" s="5">
        <v>77.435049230000004</v>
      </c>
      <c r="AN855" s="2">
        <v>18965</v>
      </c>
      <c r="AO855" s="7">
        <f t="shared" si="210"/>
        <v>316.08333333333331</v>
      </c>
      <c r="AP855" s="5">
        <f t="shared" si="214"/>
        <v>15.731258031867029</v>
      </c>
      <c r="AQ855" s="6">
        <f t="shared" si="215"/>
        <v>143.18867040782771</v>
      </c>
      <c r="AR855" s="2">
        <f t="shared" si="216"/>
        <v>-2.1301186875174403</v>
      </c>
      <c r="AS855" s="2">
        <f t="shared" si="217"/>
        <v>-305.00886267648929</v>
      </c>
    </row>
    <row r="856" spans="13:45" x14ac:dyDescent="0.3">
      <c r="M856" s="78">
        <v>45041.614583333336</v>
      </c>
      <c r="N856" s="79">
        <v>4.0544589921001198E-2</v>
      </c>
      <c r="O856" s="5">
        <v>72.523974480000007</v>
      </c>
      <c r="P856" s="2">
        <v>22555</v>
      </c>
      <c r="Q856" s="7">
        <f t="shared" si="211"/>
        <v>375.91666666666669</v>
      </c>
      <c r="R856" s="6">
        <f t="shared" si="212"/>
        <v>15.241387094469701</v>
      </c>
      <c r="S856" s="6">
        <f t="shared" si="218"/>
        <v>140.98752511752605</v>
      </c>
      <c r="T856" s="2">
        <f t="shared" si="219"/>
        <v>1</v>
      </c>
      <c r="U856" s="6">
        <f t="shared" si="220"/>
        <v>140.98752511752605</v>
      </c>
      <c r="V856">
        <f t="shared" si="221"/>
        <v>6.3716943092183218E-2</v>
      </c>
      <c r="W856" s="6">
        <f t="shared" si="213"/>
        <v>8.9832941146211596</v>
      </c>
      <c r="AK856" s="78">
        <v>45040.614583333336</v>
      </c>
      <c r="AL856" s="5">
        <v>4.6109999669778898E-2</v>
      </c>
      <c r="AM856" s="5">
        <v>80.961047410000006</v>
      </c>
      <c r="AN856" s="2">
        <v>19617</v>
      </c>
      <c r="AO856" s="7">
        <f t="shared" si="210"/>
        <v>326.95</v>
      </c>
      <c r="AP856" s="5">
        <f t="shared" si="214"/>
        <v>15.075664392034209</v>
      </c>
      <c r="AQ856" s="6">
        <f t="shared" si="215"/>
        <v>140.23472769962927</v>
      </c>
      <c r="AR856" s="2">
        <f t="shared" si="216"/>
        <v>-2.1301186875174403</v>
      </c>
      <c r="AS856" s="2">
        <f t="shared" si="217"/>
        <v>-298.71661411189996</v>
      </c>
    </row>
    <row r="857" spans="13:45" x14ac:dyDescent="0.3">
      <c r="M857" s="78">
        <v>45041.625</v>
      </c>
      <c r="N857" s="79">
        <v>3.75991384293905E-2</v>
      </c>
      <c r="O857" s="5">
        <v>68.008627450000006</v>
      </c>
      <c r="P857" s="2">
        <v>22553</v>
      </c>
      <c r="Q857" s="7">
        <f t="shared" si="211"/>
        <v>375.88333333333333</v>
      </c>
      <c r="R857" s="6">
        <f t="shared" si="212"/>
        <v>14.132889483300731</v>
      </c>
      <c r="S857" s="6">
        <f t="shared" si="218"/>
        <v>135.86941177711469</v>
      </c>
      <c r="T857" s="2">
        <f t="shared" si="219"/>
        <v>1</v>
      </c>
      <c r="U857" s="6">
        <f t="shared" si="220"/>
        <v>135.86941177711469</v>
      </c>
      <c r="V857">
        <f t="shared" si="221"/>
        <v>0</v>
      </c>
      <c r="W857" s="6">
        <f t="shared" si="213"/>
        <v>0</v>
      </c>
      <c r="AK857" s="78">
        <v>45040.625</v>
      </c>
      <c r="AL857" s="5">
        <v>4.5741724508734698E-2</v>
      </c>
      <c r="AM857" s="5">
        <v>83.153095449999995</v>
      </c>
      <c r="AN857" s="2">
        <v>19580</v>
      </c>
      <c r="AO857" s="7">
        <f t="shared" si="210"/>
        <v>326.33333333333331</v>
      </c>
      <c r="AP857" s="5">
        <f t="shared" si="214"/>
        <v>14.927049431350422</v>
      </c>
      <c r="AQ857" s="6">
        <f t="shared" si="215"/>
        <v>139.55604281035954</v>
      </c>
      <c r="AR857" s="2">
        <f t="shared" si="216"/>
        <v>-2.1301186875174403</v>
      </c>
      <c r="AS857" s="2">
        <f t="shared" si="217"/>
        <v>-297.27093474633079</v>
      </c>
    </row>
    <row r="858" spans="13:45" x14ac:dyDescent="0.3">
      <c r="M858" s="78">
        <v>45041.635416666664</v>
      </c>
      <c r="N858" s="79">
        <v>3.9778115748490099E-2</v>
      </c>
      <c r="O858" s="5">
        <v>70.727821939999998</v>
      </c>
      <c r="P858" s="2">
        <v>22421</v>
      </c>
      <c r="Q858" s="7">
        <f t="shared" si="211"/>
        <v>373.68333333333334</v>
      </c>
      <c r="R858" s="6">
        <f t="shared" si="212"/>
        <v>14.864418886614942</v>
      </c>
      <c r="S858" s="6">
        <f t="shared" si="218"/>
        <v>139.26899341386573</v>
      </c>
      <c r="T858" s="2">
        <f t="shared" si="219"/>
        <v>1</v>
      </c>
      <c r="U858" s="6">
        <f t="shared" si="220"/>
        <v>139.26899341386573</v>
      </c>
      <c r="V858">
        <f t="shared" si="221"/>
        <v>0</v>
      </c>
      <c r="W858" s="6">
        <f t="shared" si="213"/>
        <v>0</v>
      </c>
      <c r="AK858" s="78">
        <v>45040.635416666664</v>
      </c>
      <c r="AL858" s="5">
        <v>4.6410674191892598E-2</v>
      </c>
      <c r="AM858" s="5">
        <v>84.460540300000005</v>
      </c>
      <c r="AN858" s="2">
        <v>18979</v>
      </c>
      <c r="AO858" s="7">
        <f t="shared" si="210"/>
        <v>316.31666666666666</v>
      </c>
      <c r="AP858" s="5">
        <f t="shared" si="214"/>
        <v>14.68046975813216</v>
      </c>
      <c r="AQ858" s="6">
        <f t="shared" si="215"/>
        <v>138.42232754325809</v>
      </c>
      <c r="AR858" s="2">
        <f t="shared" si="216"/>
        <v>-2.1301186875174403</v>
      </c>
      <c r="AS858" s="2">
        <f t="shared" si="217"/>
        <v>-294.85598666955417</v>
      </c>
    </row>
    <row r="859" spans="13:45" x14ac:dyDescent="0.3">
      <c r="M859" s="78">
        <v>45041.645833333336</v>
      </c>
      <c r="N859" s="79">
        <v>4.2923484592490402E-2</v>
      </c>
      <c r="O859" s="5">
        <v>68.008627450000006</v>
      </c>
      <c r="P859" s="2">
        <v>22830</v>
      </c>
      <c r="Q859" s="7">
        <f t="shared" si="211"/>
        <v>380.5</v>
      </c>
      <c r="R859" s="6">
        <f t="shared" si="212"/>
        <v>16.332385887442598</v>
      </c>
      <c r="S859" s="6">
        <f t="shared" si="218"/>
        <v>145.84246555763895</v>
      </c>
      <c r="T859" s="2">
        <f t="shared" si="219"/>
        <v>1</v>
      </c>
      <c r="U859" s="6">
        <f t="shared" si="220"/>
        <v>145.84246555763895</v>
      </c>
      <c r="V859">
        <f t="shared" si="221"/>
        <v>0.2634236834914086</v>
      </c>
      <c r="W859" s="6">
        <f t="shared" si="213"/>
        <v>38.418359486662141</v>
      </c>
      <c r="AK859" s="78">
        <v>45040.645833333336</v>
      </c>
      <c r="AL859" s="5">
        <v>4.70293063729183E-2</v>
      </c>
      <c r="AM859" s="5">
        <v>80.961047410000006</v>
      </c>
      <c r="AN859" s="2">
        <v>19222</v>
      </c>
      <c r="AO859" s="7">
        <f t="shared" si="210"/>
        <v>320.36666666666667</v>
      </c>
      <c r="AP859" s="5">
        <f t="shared" si="214"/>
        <v>15.066622118337261</v>
      </c>
      <c r="AQ859" s="6">
        <f t="shared" si="215"/>
        <v>140.19353186128214</v>
      </c>
      <c r="AR859" s="2">
        <f t="shared" si="216"/>
        <v>-2.1301186875174403</v>
      </c>
      <c r="AS859" s="2">
        <f t="shared" si="217"/>
        <v>-298.62886208678873</v>
      </c>
    </row>
    <row r="860" spans="13:45" x14ac:dyDescent="0.3">
      <c r="M860" s="78">
        <v>45041.65625</v>
      </c>
      <c r="N860" s="79">
        <v>4.0323108901956402E-2</v>
      </c>
      <c r="O860" s="5">
        <v>69.822823</v>
      </c>
      <c r="P860" s="2">
        <v>22557</v>
      </c>
      <c r="Q860" s="7">
        <f t="shared" si="211"/>
        <v>375.95</v>
      </c>
      <c r="R860" s="6">
        <f t="shared" si="212"/>
        <v>15.15947279169051</v>
      </c>
      <c r="S860" s="6">
        <f t="shared" si="218"/>
        <v>140.6159532807803</v>
      </c>
      <c r="T860" s="2">
        <f t="shared" si="219"/>
        <v>1</v>
      </c>
      <c r="U860" s="6">
        <f t="shared" si="220"/>
        <v>140.6159532807803</v>
      </c>
      <c r="V860">
        <f t="shared" si="221"/>
        <v>4.872257416576966E-2</v>
      </c>
      <c r="W860" s="6">
        <f t="shared" si="213"/>
        <v>6.8511712126132194</v>
      </c>
      <c r="AK860" s="78">
        <v>45040.65625</v>
      </c>
      <c r="AL860" s="5">
        <v>4.8007880254012203E-2</v>
      </c>
      <c r="AM860" s="5">
        <v>85.331044809999995</v>
      </c>
      <c r="AN860" s="2">
        <v>18804</v>
      </c>
      <c r="AO860" s="7">
        <f t="shared" si="210"/>
        <v>313.39999999999998</v>
      </c>
      <c r="AP860" s="5">
        <f t="shared" si="214"/>
        <v>15.045669671607424</v>
      </c>
      <c r="AQ860" s="6">
        <f t="shared" si="215"/>
        <v>140.0980257616346</v>
      </c>
      <c r="AR860" s="2">
        <f t="shared" si="216"/>
        <v>-2.1301186875174403</v>
      </c>
      <c r="AS860" s="2">
        <f t="shared" si="217"/>
        <v>-298.42542275915764</v>
      </c>
    </row>
    <row r="861" spans="13:45" x14ac:dyDescent="0.3">
      <c r="M861" s="78">
        <v>45041.666666666664</v>
      </c>
      <c r="N861" s="79">
        <v>3.8157603749684001E-2</v>
      </c>
      <c r="O861" s="5">
        <v>69.373566690000004</v>
      </c>
      <c r="P861" s="2">
        <v>22046</v>
      </c>
      <c r="Q861" s="7">
        <f t="shared" si="211"/>
        <v>367.43333333333334</v>
      </c>
      <c r="R861" s="6">
        <f t="shared" si="212"/>
        <v>14.020375537758891</v>
      </c>
      <c r="S861" s="6">
        <f t="shared" si="218"/>
        <v>135.3386348713907</v>
      </c>
      <c r="T861" s="2">
        <f t="shared" si="219"/>
        <v>1</v>
      </c>
      <c r="U861" s="6">
        <f t="shared" si="220"/>
        <v>135.3386348713907</v>
      </c>
      <c r="V861">
        <f t="shared" si="221"/>
        <v>0</v>
      </c>
      <c r="W861" s="6">
        <f t="shared" si="213"/>
        <v>0</v>
      </c>
      <c r="AK861" s="78">
        <v>45040.666666666664</v>
      </c>
      <c r="AL861" s="5">
        <v>4.7628064348916303E-2</v>
      </c>
      <c r="AM861" s="5">
        <v>76.101800600000004</v>
      </c>
      <c r="AN861" s="2">
        <v>19424</v>
      </c>
      <c r="AO861" s="7">
        <f t="shared" si="210"/>
        <v>323.73333333333335</v>
      </c>
      <c r="AP861" s="5">
        <f t="shared" si="214"/>
        <v>15.418792031889172</v>
      </c>
      <c r="AQ861" s="6">
        <f t="shared" si="215"/>
        <v>141.78877468978541</v>
      </c>
      <c r="AR861" s="2">
        <f t="shared" si="216"/>
        <v>-2.1301186875174403</v>
      </c>
      <c r="AS861" s="2">
        <f t="shared" si="217"/>
        <v>-302.02691864691178</v>
      </c>
    </row>
    <row r="862" spans="13:45" x14ac:dyDescent="0.3">
      <c r="M862" s="78">
        <v>45041.677083333336</v>
      </c>
      <c r="N862" s="79">
        <v>3.90120250443508E-2</v>
      </c>
      <c r="O862" s="5">
        <v>70.727821939999998</v>
      </c>
      <c r="P862" s="2">
        <v>22082</v>
      </c>
      <c r="Q862" s="7">
        <f t="shared" si="211"/>
        <v>368.03333333333336</v>
      </c>
      <c r="R862" s="6">
        <f t="shared" si="212"/>
        <v>14.357725617155907</v>
      </c>
      <c r="S862" s="6">
        <f t="shared" si="218"/>
        <v>136.92363977274593</v>
      </c>
      <c r="T862" s="2">
        <f t="shared" si="219"/>
        <v>1</v>
      </c>
      <c r="U862" s="6">
        <f t="shared" si="220"/>
        <v>136.92363977274593</v>
      </c>
      <c r="V862">
        <f t="shared" si="221"/>
        <v>0</v>
      </c>
      <c r="W862" s="6">
        <f t="shared" si="213"/>
        <v>0</v>
      </c>
      <c r="AK862" s="78">
        <v>45040.677083333336</v>
      </c>
      <c r="AL862" s="5">
        <v>4.7394658740267999E-2</v>
      </c>
      <c r="AM862" s="5">
        <v>79.648616399999995</v>
      </c>
      <c r="AN862" s="2">
        <v>19337</v>
      </c>
      <c r="AO862" s="7">
        <f t="shared" si="210"/>
        <v>322.28333333333336</v>
      </c>
      <c r="AP862" s="5">
        <f t="shared" si="214"/>
        <v>15.274508601009373</v>
      </c>
      <c r="AQ862" s="6">
        <f t="shared" si="215"/>
        <v>141.13747832918966</v>
      </c>
      <c r="AR862" s="2">
        <f t="shared" si="216"/>
        <v>-2.1301186875174403</v>
      </c>
      <c r="AS862" s="2">
        <f t="shared" si="217"/>
        <v>-300.63958009809465</v>
      </c>
    </row>
    <row r="863" spans="13:45" x14ac:dyDescent="0.3">
      <c r="M863" s="78">
        <v>45041.6875</v>
      </c>
      <c r="N863" s="79">
        <v>3.9616605157675198E-2</v>
      </c>
      <c r="O863" s="5">
        <v>62.648273320000001</v>
      </c>
      <c r="P863" s="2">
        <v>22922</v>
      </c>
      <c r="Q863" s="7">
        <f t="shared" si="211"/>
        <v>382.03333333333336</v>
      </c>
      <c r="R863" s="6">
        <f t="shared" si="212"/>
        <v>15.134863723737183</v>
      </c>
      <c r="S863" s="6">
        <f t="shared" si="218"/>
        <v>140.50412394117092</v>
      </c>
      <c r="T863" s="2">
        <f t="shared" si="219"/>
        <v>1</v>
      </c>
      <c r="U863" s="6">
        <f t="shared" si="220"/>
        <v>140.50412394117092</v>
      </c>
      <c r="V863">
        <f t="shared" si="221"/>
        <v>4.4217897554872675E-2</v>
      </c>
      <c r="W863" s="6">
        <f t="shared" si="213"/>
        <v>6.2127969584678286</v>
      </c>
      <c r="AK863" s="78">
        <v>45040.6875</v>
      </c>
      <c r="AL863" s="5">
        <v>4.7479984061053901E-2</v>
      </c>
      <c r="AM863" s="5">
        <v>80.086877509999994</v>
      </c>
      <c r="AN863" s="2">
        <v>19953</v>
      </c>
      <c r="AO863" s="7">
        <f t="shared" si="210"/>
        <v>332.55</v>
      </c>
      <c r="AP863" s="5">
        <f t="shared" si="214"/>
        <v>15.789468699503475</v>
      </c>
      <c r="AQ863" s="6">
        <f t="shared" si="215"/>
        <v>143.44789035757933</v>
      </c>
      <c r="AR863" s="2">
        <f t="shared" si="216"/>
        <v>-2.1301186875174403</v>
      </c>
      <c r="AS863" s="2">
        <f t="shared" si="217"/>
        <v>-305.56103193563257</v>
      </c>
    </row>
    <row r="864" spans="13:45" x14ac:dyDescent="0.3">
      <c r="M864" s="78">
        <v>45041.697916666664</v>
      </c>
      <c r="N864" s="79">
        <v>4.0907832569264502E-2</v>
      </c>
      <c r="O864" s="5">
        <v>69.822823</v>
      </c>
      <c r="P864" s="2">
        <v>22796</v>
      </c>
      <c r="Q864" s="7">
        <f t="shared" si="211"/>
        <v>379.93333333333334</v>
      </c>
      <c r="R864" s="6">
        <f t="shared" si="212"/>
        <v>15.542249187482559</v>
      </c>
      <c r="S864" s="6">
        <f t="shared" si="218"/>
        <v>142.34359618476932</v>
      </c>
      <c r="T864" s="2">
        <f t="shared" si="219"/>
        <v>1</v>
      </c>
      <c r="U864" s="6">
        <f t="shared" si="220"/>
        <v>142.34359618476932</v>
      </c>
      <c r="V864">
        <f t="shared" si="221"/>
        <v>0.11878958688637219</v>
      </c>
      <c r="W864" s="6">
        <f t="shared" si="213"/>
        <v>16.908936986709332</v>
      </c>
      <c r="AK864" s="78">
        <v>45040.697916666664</v>
      </c>
      <c r="AL864" s="5">
        <v>5.2504206636571099E-2</v>
      </c>
      <c r="AM864" s="5">
        <v>89.209976960000006</v>
      </c>
      <c r="AN864" s="2">
        <v>18370</v>
      </c>
      <c r="AO864" s="7">
        <f t="shared" si="210"/>
        <v>306.16666666666669</v>
      </c>
      <c r="AP864" s="5">
        <f t="shared" si="214"/>
        <v>16.075037931896851</v>
      </c>
      <c r="AQ864" s="6">
        <f t="shared" si="215"/>
        <v>144.71256128475397</v>
      </c>
      <c r="AR864" s="2">
        <f t="shared" si="216"/>
        <v>-2.1301186875174403</v>
      </c>
      <c r="AS864" s="2">
        <f t="shared" si="217"/>
        <v>-308.25493111116725</v>
      </c>
    </row>
    <row r="865" spans="13:45" x14ac:dyDescent="0.3">
      <c r="M865" s="78">
        <v>45041.708333333336</v>
      </c>
      <c r="N865" s="79">
        <v>4.1264200742172998E-2</v>
      </c>
      <c r="O865" s="5">
        <v>72.523974480000007</v>
      </c>
      <c r="P865" s="2">
        <v>22553</v>
      </c>
      <c r="Q865" s="7">
        <f t="shared" si="211"/>
        <v>375.88333333333333</v>
      </c>
      <c r="R865" s="6">
        <f t="shared" si="212"/>
        <v>15.510525322303794</v>
      </c>
      <c r="S865" s="6">
        <f t="shared" si="218"/>
        <v>142.20124318669514</v>
      </c>
      <c r="T865" s="2">
        <f t="shared" si="219"/>
        <v>1</v>
      </c>
      <c r="U865" s="6">
        <f t="shared" si="220"/>
        <v>142.20124318669514</v>
      </c>
      <c r="V865">
        <f t="shared" si="221"/>
        <v>0.11298255048218699</v>
      </c>
      <c r="W865" s="6">
        <f t="shared" si="213"/>
        <v>16.066259136970533</v>
      </c>
      <c r="AK865" s="78">
        <v>45040.708333333336</v>
      </c>
      <c r="AL865" s="5">
        <v>4.4890857577919198E-2</v>
      </c>
      <c r="AM865" s="5">
        <v>83.153095449999995</v>
      </c>
      <c r="AN865" s="2">
        <v>19964</v>
      </c>
      <c r="AO865" s="7">
        <f t="shared" si="210"/>
        <v>332.73333333333335</v>
      </c>
      <c r="AP865" s="5">
        <f t="shared" si="214"/>
        <v>14.936684678092982</v>
      </c>
      <c r="AQ865" s="6">
        <f t="shared" si="215"/>
        <v>139.60014865166733</v>
      </c>
      <c r="AR865" s="2">
        <f t="shared" si="216"/>
        <v>-2.1301186875174403</v>
      </c>
      <c r="AS865" s="2">
        <f t="shared" si="217"/>
        <v>-297.36488542312918</v>
      </c>
    </row>
    <row r="866" spans="13:45" x14ac:dyDescent="0.3">
      <c r="M866" s="78">
        <v>45041.71875</v>
      </c>
      <c r="N866" s="79">
        <v>3.7124716118625299E-2</v>
      </c>
      <c r="O866" s="5">
        <v>69.36581735</v>
      </c>
      <c r="P866" s="2">
        <v>23559</v>
      </c>
      <c r="Q866" s="7">
        <f t="shared" si="211"/>
        <v>392.65</v>
      </c>
      <c r="R866" s="6">
        <f t="shared" si="212"/>
        <v>14.577019783978223</v>
      </c>
      <c r="S866" s="6">
        <f t="shared" si="218"/>
        <v>137.94379705100525</v>
      </c>
      <c r="T866" s="2">
        <f t="shared" si="219"/>
        <v>1</v>
      </c>
      <c r="U866" s="6">
        <f t="shared" si="220"/>
        <v>137.94379705100525</v>
      </c>
      <c r="V866">
        <f t="shared" si="221"/>
        <v>0</v>
      </c>
      <c r="W866" s="6">
        <f t="shared" si="213"/>
        <v>0</v>
      </c>
      <c r="AK866" s="78">
        <v>45040.71875</v>
      </c>
      <c r="AL866" s="5">
        <v>4.5541676085037702E-2</v>
      </c>
      <c r="AM866" s="5">
        <v>85.323607859999996</v>
      </c>
      <c r="AN866" s="2">
        <v>19700</v>
      </c>
      <c r="AO866" s="7">
        <f t="shared" si="210"/>
        <v>328.33333333333331</v>
      </c>
      <c r="AP866" s="5">
        <f t="shared" si="214"/>
        <v>14.952850314587378</v>
      </c>
      <c r="AQ866" s="6">
        <f t="shared" si="215"/>
        <v>139.67411508919082</v>
      </c>
      <c r="AR866" s="2">
        <f t="shared" si="216"/>
        <v>-2.1301186875174403</v>
      </c>
      <c r="AS866" s="2">
        <f t="shared" si="217"/>
        <v>-297.52244271394704</v>
      </c>
    </row>
    <row r="867" spans="13:45" x14ac:dyDescent="0.3">
      <c r="M867" s="78">
        <v>45041.729166666664</v>
      </c>
      <c r="N867" s="79">
        <v>4.0301536603150903E-2</v>
      </c>
      <c r="O867" s="5">
        <v>70.271667750000006</v>
      </c>
      <c r="P867" s="2">
        <v>22506</v>
      </c>
      <c r="Q867" s="7">
        <f t="shared" si="211"/>
        <v>375.1</v>
      </c>
      <c r="R867" s="6">
        <f t="shared" si="212"/>
        <v>15.117106379841905</v>
      </c>
      <c r="S867" s="6">
        <f t="shared" si="218"/>
        <v>140.42337278777811</v>
      </c>
      <c r="T867" s="2">
        <f t="shared" si="219"/>
        <v>1</v>
      </c>
      <c r="U867" s="6">
        <f t="shared" si="220"/>
        <v>140.42337278777811</v>
      </c>
      <c r="V867">
        <f t="shared" si="221"/>
        <v>4.0967425335915637E-2</v>
      </c>
      <c r="W867" s="6">
        <f t="shared" si="213"/>
        <v>5.7527840401007468</v>
      </c>
      <c r="AK867" s="78">
        <v>45040.729166666664</v>
      </c>
      <c r="AL867" s="5">
        <v>4.39182791469536E-2</v>
      </c>
      <c r="AM867" s="5">
        <v>80.968580889999998</v>
      </c>
      <c r="AN867" s="2">
        <v>20073</v>
      </c>
      <c r="AO867" s="7">
        <f t="shared" si="210"/>
        <v>334.55</v>
      </c>
      <c r="AP867" s="5">
        <f t="shared" si="214"/>
        <v>14.692860288613327</v>
      </c>
      <c r="AQ867" s="6">
        <f t="shared" si="215"/>
        <v>138.47952710528514</v>
      </c>
      <c r="AR867" s="2">
        <f t="shared" si="216"/>
        <v>-2.1301186875174403</v>
      </c>
      <c r="AS867" s="2">
        <f t="shared" si="217"/>
        <v>-294.97782852554576</v>
      </c>
    </row>
    <row r="868" spans="13:45" x14ac:dyDescent="0.3">
      <c r="M868" s="78">
        <v>45041.739583333336</v>
      </c>
      <c r="N868" s="79">
        <v>4.4679810669200903E-2</v>
      </c>
      <c r="O868" s="5">
        <v>69.373566690000004</v>
      </c>
      <c r="P868" s="2">
        <v>22416</v>
      </c>
      <c r="Q868" s="7">
        <f t="shared" si="211"/>
        <v>373.6</v>
      </c>
      <c r="R868" s="6">
        <f t="shared" si="212"/>
        <v>16.692377266013459</v>
      </c>
      <c r="S868" s="6">
        <f t="shared" si="218"/>
        <v>147.40789727047186</v>
      </c>
      <c r="T868" s="2">
        <f t="shared" si="219"/>
        <v>1</v>
      </c>
      <c r="U868" s="6">
        <f t="shared" si="220"/>
        <v>147.40789727047186</v>
      </c>
      <c r="V868">
        <f t="shared" si="221"/>
        <v>0.32931991110345521</v>
      </c>
      <c r="W868" s="6">
        <f t="shared" si="213"/>
        <v>48.544355625059055</v>
      </c>
      <c r="AK868" s="78">
        <v>45040.739583333336</v>
      </c>
      <c r="AL868" s="5">
        <v>4.4480396595809497E-2</v>
      </c>
      <c r="AM868" s="5">
        <v>83.153095449999995</v>
      </c>
      <c r="AN868" s="2">
        <v>21288</v>
      </c>
      <c r="AO868" s="7">
        <f t="shared" ref="AO868:AO931" si="222">AN868/60</f>
        <v>354.8</v>
      </c>
      <c r="AP868" s="5">
        <f t="shared" si="214"/>
        <v>15.781644712193209</v>
      </c>
      <c r="AQ868" s="6">
        <f t="shared" si="215"/>
        <v>143.41307748911316</v>
      </c>
      <c r="AR868" s="2">
        <f t="shared" si="216"/>
        <v>-2.1301186875174403</v>
      </c>
      <c r="AS868" s="2">
        <f t="shared" si="217"/>
        <v>-305.48687639394672</v>
      </c>
    </row>
    <row r="869" spans="13:45" x14ac:dyDescent="0.3">
      <c r="M869" s="78">
        <v>45041.75</v>
      </c>
      <c r="N869" s="79">
        <v>4.02055424061247E-2</v>
      </c>
      <c r="O869" s="5">
        <v>69.373566690000004</v>
      </c>
      <c r="P869" s="2">
        <v>23458</v>
      </c>
      <c r="Q869" s="7">
        <f t="shared" si="211"/>
        <v>390.96666666666664</v>
      </c>
      <c r="R869" s="6">
        <f t="shared" si="212"/>
        <v>15.719026896047886</v>
      </c>
      <c r="S869" s="6">
        <f t="shared" si="218"/>
        <v>143.13414131466169</v>
      </c>
      <c r="T869" s="2">
        <f t="shared" si="219"/>
        <v>1</v>
      </c>
      <c r="U869" s="6">
        <f t="shared" si="220"/>
        <v>143.13414131466169</v>
      </c>
      <c r="V869">
        <f t="shared" si="221"/>
        <v>0.15114865105785993</v>
      </c>
      <c r="W869" s="6">
        <f t="shared" si="213"/>
        <v>21.634532380036212</v>
      </c>
      <c r="AK869" s="78">
        <v>45040.75</v>
      </c>
      <c r="AL869" s="5">
        <v>4.1603536808416601E-2</v>
      </c>
      <c r="AM869" s="5">
        <v>85.331044809999995</v>
      </c>
      <c r="AN869" s="2">
        <v>21577</v>
      </c>
      <c r="AO869" s="7">
        <f t="shared" si="222"/>
        <v>359.61666666666667</v>
      </c>
      <c r="AP869" s="5">
        <f t="shared" si="214"/>
        <v>14.96132522858675</v>
      </c>
      <c r="AQ869" s="6">
        <f t="shared" si="215"/>
        <v>139.71287605192236</v>
      </c>
      <c r="AR869" s="2">
        <f t="shared" si="216"/>
        <v>-2.1301186875174403</v>
      </c>
      <c r="AS869" s="2">
        <f t="shared" si="217"/>
        <v>-297.60500816500769</v>
      </c>
    </row>
    <row r="870" spans="13:45" x14ac:dyDescent="0.3">
      <c r="M870" s="78">
        <v>45041.760416666664</v>
      </c>
      <c r="N870" s="79">
        <v>3.9440446052926403E-2</v>
      </c>
      <c r="O870" s="5">
        <v>70.271667750000006</v>
      </c>
      <c r="P870" s="2">
        <v>22157</v>
      </c>
      <c r="Q870" s="7">
        <f t="shared" si="211"/>
        <v>369.28333333333336</v>
      </c>
      <c r="R870" s="6">
        <f t="shared" si="212"/>
        <v>14.564699386578173</v>
      </c>
      <c r="S870" s="6">
        <f t="shared" si="218"/>
        <v>137.88669102493125</v>
      </c>
      <c r="T870" s="2">
        <f t="shared" si="219"/>
        <v>1</v>
      </c>
      <c r="U870" s="6">
        <f t="shared" si="220"/>
        <v>137.88669102493125</v>
      </c>
      <c r="V870">
        <f t="shared" si="221"/>
        <v>0</v>
      </c>
      <c r="W870" s="6">
        <f t="shared" si="213"/>
        <v>0</v>
      </c>
      <c r="AK870" s="78">
        <v>45040.760416666664</v>
      </c>
      <c r="AL870" s="5">
        <v>4.43685100851385E-2</v>
      </c>
      <c r="AM870" s="5">
        <v>89.635700749999998</v>
      </c>
      <c r="AN870" s="2">
        <v>20854</v>
      </c>
      <c r="AO870" s="7">
        <f t="shared" si="222"/>
        <v>347.56666666666666</v>
      </c>
      <c r="AP870" s="5">
        <f t="shared" si="214"/>
        <v>15.421015155257971</v>
      </c>
      <c r="AQ870" s="6">
        <f t="shared" si="215"/>
        <v>141.79878549913482</v>
      </c>
      <c r="AR870" s="2">
        <f t="shared" si="216"/>
        <v>-2.1301186875174403</v>
      </c>
      <c r="AS870" s="2">
        <f t="shared" si="217"/>
        <v>-302.04824285898411</v>
      </c>
    </row>
    <row r="871" spans="13:45" x14ac:dyDescent="0.3">
      <c r="M871" s="78">
        <v>45041.770833333336</v>
      </c>
      <c r="N871" s="79">
        <v>4.0600758258799101E-2</v>
      </c>
      <c r="O871" s="5">
        <v>72.523974480000007</v>
      </c>
      <c r="P871" s="2">
        <v>22325</v>
      </c>
      <c r="Q871" s="7">
        <f t="shared" si="211"/>
        <v>372.08333333333331</v>
      </c>
      <c r="R871" s="6">
        <f t="shared" si="212"/>
        <v>15.106865468794831</v>
      </c>
      <c r="S871" s="6">
        <f t="shared" si="218"/>
        <v>140.37678044859322</v>
      </c>
      <c r="T871" s="2">
        <f t="shared" si="219"/>
        <v>1</v>
      </c>
      <c r="U871" s="6">
        <f t="shared" si="220"/>
        <v>140.37678044859322</v>
      </c>
      <c r="V871">
        <f t="shared" si="221"/>
        <v>3.9092832094289258E-2</v>
      </c>
      <c r="W871" s="6">
        <f t="shared" si="213"/>
        <v>5.4877259080137621</v>
      </c>
      <c r="AK871" s="78">
        <v>45040.770833333336</v>
      </c>
      <c r="AL871" s="5">
        <v>4.4733820400243901E-2</v>
      </c>
      <c r="AM871" s="5">
        <v>83.153095449999995</v>
      </c>
      <c r="AN871" s="2">
        <v>21269</v>
      </c>
      <c r="AO871" s="7">
        <f t="shared" si="222"/>
        <v>354.48333333333335</v>
      </c>
      <c r="AP871" s="5">
        <f t="shared" si="214"/>
        <v>15.857393768213127</v>
      </c>
      <c r="AQ871" s="6">
        <f t="shared" si="215"/>
        <v>143.74975407167878</v>
      </c>
      <c r="AR871" s="2">
        <f t="shared" si="216"/>
        <v>-2.1301186875174403</v>
      </c>
      <c r="AS871" s="2">
        <f t="shared" si="217"/>
        <v>-306.20403747411922</v>
      </c>
    </row>
    <row r="872" spans="13:45" x14ac:dyDescent="0.3">
      <c r="M872" s="78">
        <v>45041.78125</v>
      </c>
      <c r="N872" s="79">
        <v>4.0088812129256898E-2</v>
      </c>
      <c r="O872" s="5">
        <v>70.727821939999998</v>
      </c>
      <c r="P872" s="2">
        <v>23149</v>
      </c>
      <c r="Q872" s="7">
        <f t="shared" si="211"/>
        <v>385.81666666666666</v>
      </c>
      <c r="R872" s="6">
        <f t="shared" si="212"/>
        <v>15.466931866336132</v>
      </c>
      <c r="S872" s="6">
        <f t="shared" si="218"/>
        <v>142.00538575289974</v>
      </c>
      <c r="T872" s="2">
        <f t="shared" si="219"/>
        <v>1</v>
      </c>
      <c r="U872" s="6">
        <f t="shared" si="220"/>
        <v>142.00538575289974</v>
      </c>
      <c r="V872">
        <f t="shared" si="221"/>
        <v>0.10500279188839806</v>
      </c>
      <c r="W872" s="6">
        <f t="shared" si="213"/>
        <v>14.910961967243418</v>
      </c>
      <c r="AK872" s="78">
        <v>45040.78125</v>
      </c>
      <c r="AL872" s="5">
        <v>3.9811471664587601E-2</v>
      </c>
      <c r="AM872" s="5">
        <v>78.323104580000006</v>
      </c>
      <c r="AN872" s="2">
        <v>23518</v>
      </c>
      <c r="AO872" s="7">
        <f t="shared" si="222"/>
        <v>391.96666666666664</v>
      </c>
      <c r="AP872" s="5">
        <f t="shared" si="214"/>
        <v>15.604769843462853</v>
      </c>
      <c r="AQ872" s="6">
        <f t="shared" si="215"/>
        <v>142.62370876912755</v>
      </c>
      <c r="AR872" s="2">
        <f t="shared" si="216"/>
        <v>-2.1301186875174403</v>
      </c>
      <c r="AS872" s="2">
        <f t="shared" si="217"/>
        <v>-303.80542733216362</v>
      </c>
    </row>
    <row r="873" spans="13:45" x14ac:dyDescent="0.3">
      <c r="M873" s="78">
        <v>45041.791666666664</v>
      </c>
      <c r="N873" s="79">
        <v>3.8068014940046899E-2</v>
      </c>
      <c r="O873" s="5">
        <v>68.008627450000006</v>
      </c>
      <c r="P873" s="2">
        <v>23257</v>
      </c>
      <c r="Q873" s="7">
        <f t="shared" si="211"/>
        <v>387.61666666666667</v>
      </c>
      <c r="R873" s="6">
        <f t="shared" si="212"/>
        <v>14.755797057677846</v>
      </c>
      <c r="S873" s="6">
        <f t="shared" si="218"/>
        <v>138.76968866588999</v>
      </c>
      <c r="T873" s="2">
        <f t="shared" si="219"/>
        <v>1</v>
      </c>
      <c r="U873" s="6">
        <f t="shared" si="220"/>
        <v>138.76968866588999</v>
      </c>
      <c r="V873">
        <f t="shared" si="221"/>
        <v>0</v>
      </c>
      <c r="W873" s="6">
        <f t="shared" si="213"/>
        <v>0</v>
      </c>
      <c r="AK873" s="78">
        <v>45040.791666666664</v>
      </c>
      <c r="AL873" s="79">
        <v>4.0587915411554099E-2</v>
      </c>
      <c r="AM873" s="5">
        <v>86.192545629999998</v>
      </c>
      <c r="AN873" s="2">
        <v>22518</v>
      </c>
      <c r="AO873" s="7">
        <f t="shared" si="222"/>
        <v>375.3</v>
      </c>
      <c r="AP873" s="5">
        <f t="shared" si="214"/>
        <v>15.232644653956253</v>
      </c>
      <c r="AQ873" s="6">
        <f t="shared" si="215"/>
        <v>140.94791714992965</v>
      </c>
      <c r="AR873" s="2">
        <f t="shared" si="216"/>
        <v>-2.1301186875174403</v>
      </c>
      <c r="AS873" s="2">
        <f t="shared" si="217"/>
        <v>-300.23579228772508</v>
      </c>
    </row>
    <row r="874" spans="13:45" x14ac:dyDescent="0.3">
      <c r="M874" s="78">
        <v>45041.802083333336</v>
      </c>
      <c r="N874" s="79">
        <v>3.8508319877799499E-2</v>
      </c>
      <c r="O874" s="5">
        <v>68.466857000000005</v>
      </c>
      <c r="P874" s="2">
        <v>23473</v>
      </c>
      <c r="Q874" s="7">
        <f t="shared" si="211"/>
        <v>391.21666666666664</v>
      </c>
      <c r="R874" s="6">
        <f t="shared" si="212"/>
        <v>15.06509654152646</v>
      </c>
      <c r="S874" s="6">
        <f t="shared" si="218"/>
        <v>140.18658021790898</v>
      </c>
      <c r="T874" s="2">
        <f t="shared" si="219"/>
        <v>1</v>
      </c>
      <c r="U874" s="6">
        <f t="shared" si="220"/>
        <v>140.18658021790898</v>
      </c>
      <c r="V874">
        <f t="shared" si="221"/>
        <v>3.1447052494470717E-2</v>
      </c>
      <c r="W874" s="6">
        <f t="shared" si="213"/>
        <v>4.4084547471329136</v>
      </c>
      <c r="AK874" s="78">
        <v>45040.802083333336</v>
      </c>
      <c r="AL874" s="79">
        <v>4.2446031096114598E-2</v>
      </c>
      <c r="AM874" s="5">
        <v>79.641055789999996</v>
      </c>
      <c r="AN874" s="2">
        <v>23645</v>
      </c>
      <c r="AO874" s="7">
        <f t="shared" si="222"/>
        <v>394.08333333333331</v>
      </c>
      <c r="AP874" s="5">
        <f t="shared" si="214"/>
        <v>16.727273421127162</v>
      </c>
      <c r="AQ874" s="6">
        <f t="shared" si="215"/>
        <v>147.55872415843518</v>
      </c>
      <c r="AR874" s="2">
        <f t="shared" si="216"/>
        <v>-2.1301186875174403</v>
      </c>
      <c r="AS874" s="2">
        <f t="shared" si="217"/>
        <v>-314.31759583611398</v>
      </c>
    </row>
    <row r="875" spans="13:45" x14ac:dyDescent="0.3">
      <c r="M875" s="78">
        <v>45041.8125</v>
      </c>
      <c r="N875" s="79">
        <v>4.0484737354305897E-2</v>
      </c>
      <c r="O875" s="5">
        <v>68.008627450000006</v>
      </c>
      <c r="P875" s="2">
        <v>23379</v>
      </c>
      <c r="Q875" s="7">
        <f t="shared" si="211"/>
        <v>389.65</v>
      </c>
      <c r="R875" s="6">
        <f t="shared" si="212"/>
        <v>15.774877910105293</v>
      </c>
      <c r="S875" s="6">
        <f t="shared" si="218"/>
        <v>143.38296146802628</v>
      </c>
      <c r="T875" s="2">
        <f t="shared" si="219"/>
        <v>1</v>
      </c>
      <c r="U875" s="6">
        <f t="shared" si="220"/>
        <v>143.38296146802628</v>
      </c>
      <c r="V875">
        <f t="shared" si="221"/>
        <v>0.16137214904634309</v>
      </c>
      <c r="W875" s="6">
        <f t="shared" si="213"/>
        <v>23.138016628724404</v>
      </c>
      <c r="AK875" s="78">
        <v>45040.8125</v>
      </c>
      <c r="AL875" s="79">
        <v>4.3562537202998797E-2</v>
      </c>
      <c r="AM875" s="5">
        <v>78.762941850000004</v>
      </c>
      <c r="AN875" s="2">
        <v>20938</v>
      </c>
      <c r="AO875" s="7">
        <f t="shared" si="222"/>
        <v>348.96666666666664</v>
      </c>
      <c r="AP875" s="5">
        <f t="shared" si="214"/>
        <v>15.201873399273145</v>
      </c>
      <c r="AQ875" s="6">
        <f t="shared" si="215"/>
        <v>140.80841442956316</v>
      </c>
      <c r="AR875" s="2">
        <f t="shared" si="216"/>
        <v>-2.1301186875174403</v>
      </c>
      <c r="AS875" s="2">
        <f t="shared" si="217"/>
        <v>-299.93863493611286</v>
      </c>
    </row>
    <row r="876" spans="13:45" x14ac:dyDescent="0.3">
      <c r="M876" s="78">
        <v>45041.822916666664</v>
      </c>
      <c r="N876" s="79">
        <v>3.87244749668346E-2</v>
      </c>
      <c r="O876" s="5">
        <v>69.36581735</v>
      </c>
      <c r="P876" s="2">
        <v>24107</v>
      </c>
      <c r="Q876" s="7">
        <f t="shared" si="211"/>
        <v>401.78333333333336</v>
      </c>
      <c r="R876" s="6">
        <f t="shared" si="212"/>
        <v>15.55884863375803</v>
      </c>
      <c r="S876" s="6">
        <f t="shared" si="218"/>
        <v>142.41802300604675</v>
      </c>
      <c r="T876" s="2">
        <f t="shared" si="219"/>
        <v>1</v>
      </c>
      <c r="U876" s="6">
        <f t="shared" si="220"/>
        <v>142.41802300604675</v>
      </c>
      <c r="V876">
        <f t="shared" si="221"/>
        <v>0.12182810657077366</v>
      </c>
      <c r="W876" s="6">
        <f t="shared" si="213"/>
        <v>17.350518084379559</v>
      </c>
      <c r="AK876" s="78">
        <v>45040.822916666664</v>
      </c>
      <c r="AL876" s="79">
        <v>4.5332065887622001E-2</v>
      </c>
      <c r="AM876" s="5">
        <v>84.020316870000002</v>
      </c>
      <c r="AN876" s="2">
        <v>21157</v>
      </c>
      <c r="AO876" s="7">
        <f t="shared" si="222"/>
        <v>352.61666666666667</v>
      </c>
      <c r="AP876" s="5">
        <f t="shared" si="214"/>
        <v>15.984841966406979</v>
      </c>
      <c r="AQ876" s="6">
        <f t="shared" si="215"/>
        <v>144.31436747545297</v>
      </c>
      <c r="AR876" s="2">
        <f t="shared" si="216"/>
        <v>-2.1301186875174403</v>
      </c>
      <c r="AS876" s="2">
        <f t="shared" si="217"/>
        <v>-307.40673103672145</v>
      </c>
    </row>
    <row r="877" spans="13:45" x14ac:dyDescent="0.3">
      <c r="M877" s="78">
        <v>45041.833333333336</v>
      </c>
      <c r="N877" s="79">
        <v>4.2386953923909301E-2</v>
      </c>
      <c r="O877" s="5">
        <v>64.377553680000005</v>
      </c>
      <c r="P877" s="2">
        <v>23807</v>
      </c>
      <c r="Q877" s="7">
        <f t="shared" si="211"/>
        <v>396.78333333333336</v>
      </c>
      <c r="R877" s="6">
        <f t="shared" si="212"/>
        <v>16.818436867775148</v>
      </c>
      <c r="S877" s="6">
        <f t="shared" si="218"/>
        <v>147.95199151124061</v>
      </c>
      <c r="T877" s="2">
        <f t="shared" si="219"/>
        <v>1</v>
      </c>
      <c r="U877" s="6">
        <f t="shared" si="220"/>
        <v>147.95199151124061</v>
      </c>
      <c r="V877">
        <f t="shared" si="221"/>
        <v>0.35239505318977349</v>
      </c>
      <c r="W877" s="6">
        <f t="shared" si="213"/>
        <v>52.13754991813655</v>
      </c>
      <c r="AK877" s="78">
        <v>45040.833333333336</v>
      </c>
      <c r="AL877" s="79">
        <v>4.5053723201619503E-2</v>
      </c>
      <c r="AM877" s="5">
        <v>80.961047410000006</v>
      </c>
      <c r="AN877" s="2">
        <v>20356</v>
      </c>
      <c r="AO877" s="7">
        <f t="shared" si="222"/>
        <v>339.26666666666665</v>
      </c>
      <c r="AP877" s="5">
        <f t="shared" si="214"/>
        <v>15.285226491536109</v>
      </c>
      <c r="AQ877" s="6">
        <f t="shared" si="215"/>
        <v>141.18596661085851</v>
      </c>
      <c r="AR877" s="2">
        <f t="shared" si="216"/>
        <v>-2.1301186875174403</v>
      </c>
      <c r="AS877" s="2">
        <f t="shared" si="217"/>
        <v>-300.74286589300306</v>
      </c>
    </row>
    <row r="878" spans="13:45" x14ac:dyDescent="0.3">
      <c r="M878" s="78">
        <v>45041.84375</v>
      </c>
      <c r="N878" s="79">
        <v>3.9241243520820097E-2</v>
      </c>
      <c r="O878" s="5">
        <v>68.016396760000006</v>
      </c>
      <c r="P878" s="2">
        <v>23874</v>
      </c>
      <c r="Q878" s="7">
        <f t="shared" si="211"/>
        <v>397.9</v>
      </c>
      <c r="R878" s="6">
        <f t="shared" si="212"/>
        <v>15.614090796934315</v>
      </c>
      <c r="S878" s="6">
        <f t="shared" si="218"/>
        <v>142.66542054001835</v>
      </c>
      <c r="T878" s="2">
        <f t="shared" si="219"/>
        <v>1</v>
      </c>
      <c r="U878" s="6">
        <f t="shared" si="220"/>
        <v>142.66542054001835</v>
      </c>
      <c r="V878">
        <f t="shared" si="221"/>
        <v>0.13194015473397636</v>
      </c>
      <c r="W878" s="6">
        <f t="shared" si="213"/>
        <v>18.823297661237831</v>
      </c>
      <c r="AK878" s="78">
        <v>45040.84375</v>
      </c>
      <c r="AL878" s="79">
        <v>4.4181419124073501E-2</v>
      </c>
      <c r="AM878" s="5">
        <v>80.523852189999999</v>
      </c>
      <c r="AN878" s="2">
        <v>21698</v>
      </c>
      <c r="AO878" s="7">
        <f t="shared" si="222"/>
        <v>361.63333333333333</v>
      </c>
      <c r="AP878" s="5">
        <f t="shared" si="214"/>
        <v>15.97747386923578</v>
      </c>
      <c r="AQ878" s="6">
        <f t="shared" si="215"/>
        <v>144.28178847482744</v>
      </c>
      <c r="AR878" s="2">
        <f t="shared" si="216"/>
        <v>-2.1301186875174403</v>
      </c>
      <c r="AS878" s="2">
        <f t="shared" si="217"/>
        <v>-307.33733389866836</v>
      </c>
    </row>
    <row r="879" spans="13:45" x14ac:dyDescent="0.3">
      <c r="M879" s="78">
        <v>45041.854166666664</v>
      </c>
      <c r="N879" s="79">
        <v>3.6445591702826102E-2</v>
      </c>
      <c r="O879" s="5">
        <v>69.373566690000004</v>
      </c>
      <c r="P879" s="2">
        <v>24220</v>
      </c>
      <c r="Q879" s="7">
        <f t="shared" si="211"/>
        <v>403.66666666666669</v>
      </c>
      <c r="R879" s="6">
        <f t="shared" si="212"/>
        <v>14.711870517374138</v>
      </c>
      <c r="S879" s="6">
        <f t="shared" si="218"/>
        <v>138.56723796515877</v>
      </c>
      <c r="T879" s="2">
        <f t="shared" si="219"/>
        <v>1</v>
      </c>
      <c r="U879" s="6">
        <f t="shared" si="220"/>
        <v>138.56723796515877</v>
      </c>
      <c r="V879">
        <f t="shared" si="221"/>
        <v>0</v>
      </c>
      <c r="W879" s="6">
        <f t="shared" si="213"/>
        <v>0</v>
      </c>
      <c r="AK879" s="78">
        <v>45040.854166666664</v>
      </c>
      <c r="AL879" s="79">
        <v>4.2888788109608E-2</v>
      </c>
      <c r="AM879" s="5">
        <v>78.762941850000004</v>
      </c>
      <c r="AN879" s="2">
        <v>21494</v>
      </c>
      <c r="AO879" s="7">
        <f t="shared" si="222"/>
        <v>358.23333333333335</v>
      </c>
      <c r="AP879" s="5">
        <f t="shared" si="214"/>
        <v>15.364193527131906</v>
      </c>
      <c r="AQ879" s="6">
        <f t="shared" si="215"/>
        <v>141.54268395766471</v>
      </c>
      <c r="AR879" s="2">
        <f t="shared" si="216"/>
        <v>-2.1301186875174403</v>
      </c>
      <c r="AS879" s="2">
        <f t="shared" si="217"/>
        <v>-301.50271617959658</v>
      </c>
    </row>
    <row r="880" spans="13:45" x14ac:dyDescent="0.3">
      <c r="M880" s="78">
        <v>45041.864583333336</v>
      </c>
      <c r="N880" s="79">
        <v>3.8253905590587299E-2</v>
      </c>
      <c r="O880" s="5">
        <v>68.016396760000006</v>
      </c>
      <c r="P880" s="2">
        <v>24995</v>
      </c>
      <c r="Q880" s="7">
        <f t="shared" si="211"/>
        <v>416.58333333333331</v>
      </c>
      <c r="R880" s="6">
        <f t="shared" si="212"/>
        <v>15.935939503945491</v>
      </c>
      <c r="S880" s="6">
        <f t="shared" si="218"/>
        <v>144.09799528181517</v>
      </c>
      <c r="T880" s="2">
        <f t="shared" si="219"/>
        <v>1</v>
      </c>
      <c r="U880" s="6">
        <f t="shared" si="220"/>
        <v>144.09799528181517</v>
      </c>
      <c r="V880">
        <f t="shared" si="221"/>
        <v>0.19085438689711315</v>
      </c>
      <c r="W880" s="6">
        <f t="shared" si="213"/>
        <v>27.501734542613939</v>
      </c>
      <c r="AK880" s="78">
        <v>45040.864583333336</v>
      </c>
      <c r="AL880" s="79">
        <v>3.9706326405720298E-2</v>
      </c>
      <c r="AM880" s="5">
        <v>78.323104580000006</v>
      </c>
      <c r="AN880" s="2">
        <v>22117</v>
      </c>
      <c r="AO880" s="7">
        <f t="shared" si="222"/>
        <v>368.61666666666667</v>
      </c>
      <c r="AP880" s="5">
        <f t="shared" si="214"/>
        <v>14.636413685255263</v>
      </c>
      <c r="AQ880" s="6">
        <f t="shared" si="215"/>
        <v>138.21874759585657</v>
      </c>
      <c r="AR880" s="2">
        <f t="shared" si="216"/>
        <v>-2.1301186875174403</v>
      </c>
      <c r="AS880" s="2">
        <f t="shared" si="217"/>
        <v>-294.42233721919035</v>
      </c>
    </row>
    <row r="881" spans="13:45" x14ac:dyDescent="0.3">
      <c r="M881" s="78">
        <v>45041.875</v>
      </c>
      <c r="N881" s="79">
        <v>3.7434736502189599E-2</v>
      </c>
      <c r="O881" s="5">
        <v>66.655723199999997</v>
      </c>
      <c r="P881" s="2">
        <v>24997</v>
      </c>
      <c r="Q881" s="7">
        <f t="shared" si="211"/>
        <v>416.61666666666667</v>
      </c>
      <c r="R881" s="6">
        <f t="shared" si="212"/>
        <v>15.595935139087224</v>
      </c>
      <c r="S881" s="6">
        <f t="shared" si="218"/>
        <v>142.58416125108147</v>
      </c>
      <c r="T881" s="2">
        <f t="shared" si="219"/>
        <v>1</v>
      </c>
      <c r="U881" s="6">
        <f t="shared" si="220"/>
        <v>142.58416125108147</v>
      </c>
      <c r="V881">
        <f t="shared" si="221"/>
        <v>0.12861677136105251</v>
      </c>
      <c r="W881" s="6">
        <f t="shared" si="213"/>
        <v>18.338714467337788</v>
      </c>
      <c r="AK881" s="78">
        <v>45040.875</v>
      </c>
      <c r="AL881" s="79">
        <v>4.1555355846796302E-2</v>
      </c>
      <c r="AM881" s="5">
        <v>80.523852189999999</v>
      </c>
      <c r="AN881" s="2">
        <v>21350</v>
      </c>
      <c r="AO881" s="7">
        <f t="shared" si="222"/>
        <v>355.83333333333331</v>
      </c>
      <c r="AP881" s="5">
        <f t="shared" si="214"/>
        <v>14.78678078881835</v>
      </c>
      <c r="AQ881" s="6">
        <f t="shared" si="215"/>
        <v>138.91230302926226</v>
      </c>
      <c r="AR881" s="2">
        <f t="shared" si="216"/>
        <v>-2.1301186875174403</v>
      </c>
      <c r="AS881" s="2">
        <f t="shared" si="217"/>
        <v>-295.89969260871709</v>
      </c>
    </row>
    <row r="882" spans="13:45" x14ac:dyDescent="0.3">
      <c r="M882" s="78">
        <v>45041.885416666664</v>
      </c>
      <c r="N882" s="79">
        <v>3.6160894885698902E-2</v>
      </c>
      <c r="O882" s="5">
        <v>69.36581735</v>
      </c>
      <c r="P882" s="2">
        <v>23963</v>
      </c>
      <c r="Q882" s="7">
        <f t="shared" si="211"/>
        <v>399.38333333333333</v>
      </c>
      <c r="R882" s="6">
        <f t="shared" si="212"/>
        <v>14.442058735766713</v>
      </c>
      <c r="S882" s="6">
        <f t="shared" si="218"/>
        <v>137.31689238435106</v>
      </c>
      <c r="T882" s="2">
        <f t="shared" si="219"/>
        <v>1</v>
      </c>
      <c r="U882" s="6">
        <f t="shared" si="220"/>
        <v>137.31689238435106</v>
      </c>
      <c r="V882">
        <f t="shared" si="221"/>
        <v>0</v>
      </c>
      <c r="W882" s="6">
        <f t="shared" si="213"/>
        <v>0</v>
      </c>
      <c r="AK882" s="78">
        <v>45040.885416666664</v>
      </c>
      <c r="AL882" s="79">
        <v>4.30016960118213E-2</v>
      </c>
      <c r="AM882" s="5">
        <v>79.641055789999996</v>
      </c>
      <c r="AN882" s="2">
        <v>21765</v>
      </c>
      <c r="AO882" s="7">
        <f t="shared" si="222"/>
        <v>362.75</v>
      </c>
      <c r="AP882" s="5">
        <f t="shared" si="214"/>
        <v>15.598865228288176</v>
      </c>
      <c r="AQ882" s="6">
        <f t="shared" si="215"/>
        <v>142.59727871848585</v>
      </c>
      <c r="AR882" s="2">
        <f t="shared" si="216"/>
        <v>-2.1301186875174403</v>
      </c>
      <c r="AS882" s="2">
        <f t="shared" si="217"/>
        <v>-303.74912818737971</v>
      </c>
    </row>
    <row r="883" spans="13:45" x14ac:dyDescent="0.3">
      <c r="M883" s="78">
        <v>45041.895833333336</v>
      </c>
      <c r="N883" s="79">
        <v>3.78923669362091E-2</v>
      </c>
      <c r="O883" s="5">
        <v>70.271667750000006</v>
      </c>
      <c r="P883" s="2">
        <v>24179</v>
      </c>
      <c r="Q883" s="7">
        <f t="shared" si="211"/>
        <v>402.98333333333335</v>
      </c>
      <c r="R883" s="6">
        <f t="shared" si="212"/>
        <v>15.26999233584333</v>
      </c>
      <c r="S883" s="6">
        <f t="shared" si="218"/>
        <v>141.11704131668651</v>
      </c>
      <c r="T883" s="2">
        <f t="shared" si="219"/>
        <v>1</v>
      </c>
      <c r="U883" s="6">
        <f t="shared" si="220"/>
        <v>141.11704131668651</v>
      </c>
      <c r="V883">
        <f t="shared" si="221"/>
        <v>6.8953117091509059E-2</v>
      </c>
      <c r="W883" s="6">
        <f t="shared" si="213"/>
        <v>9.7304598735168071</v>
      </c>
      <c r="AK883" s="78">
        <v>45040.895833333336</v>
      </c>
      <c r="AL883" s="79">
        <v>4.6251438127268299E-2</v>
      </c>
      <c r="AM883" s="5">
        <v>82.718647970000006</v>
      </c>
      <c r="AN883" s="2">
        <v>21787</v>
      </c>
      <c r="AO883" s="7">
        <f t="shared" si="222"/>
        <v>363.11666666666667</v>
      </c>
      <c r="AP883" s="5">
        <f t="shared" si="214"/>
        <v>16.794668041313241</v>
      </c>
      <c r="AQ883" s="6">
        <f t="shared" si="215"/>
        <v>147.84956091119591</v>
      </c>
      <c r="AR883" s="2">
        <f t="shared" si="216"/>
        <v>-2.1301186875174403</v>
      </c>
      <c r="AS883" s="2">
        <f t="shared" si="217"/>
        <v>-314.93711263818648</v>
      </c>
    </row>
    <row r="884" spans="13:45" x14ac:dyDescent="0.3">
      <c r="M884" s="78">
        <v>45041.90625</v>
      </c>
      <c r="N884" s="79">
        <v>3.7266882577579701E-2</v>
      </c>
      <c r="O884" s="5">
        <v>70.271667750000006</v>
      </c>
      <c r="P884" s="2">
        <v>24577</v>
      </c>
      <c r="Q884" s="7">
        <f t="shared" si="211"/>
        <v>409.61666666666667</v>
      </c>
      <c r="R884" s="6">
        <f t="shared" si="212"/>
        <v>15.265136218486273</v>
      </c>
      <c r="S884" s="6">
        <f t="shared" si="218"/>
        <v>141.09506296265474</v>
      </c>
      <c r="T884" s="2">
        <f t="shared" si="219"/>
        <v>1</v>
      </c>
      <c r="U884" s="6">
        <f t="shared" si="220"/>
        <v>141.09506296265474</v>
      </c>
      <c r="V884">
        <f t="shared" si="221"/>
        <v>6.8064207429444787E-2</v>
      </c>
      <c r="W884" s="6">
        <f t="shared" si="213"/>
        <v>9.6035236327607052</v>
      </c>
      <c r="AK884" s="78">
        <v>45040.90625</v>
      </c>
      <c r="AL884" s="79">
        <v>4.0996528361051499E-2</v>
      </c>
      <c r="AM884" s="5">
        <v>79.202259850000004</v>
      </c>
      <c r="AN884" s="2">
        <v>21763</v>
      </c>
      <c r="AO884" s="7">
        <f t="shared" si="222"/>
        <v>362.71666666666664</v>
      </c>
      <c r="AP884" s="5">
        <f t="shared" si="214"/>
        <v>14.870124112026062</v>
      </c>
      <c r="AQ884" s="6">
        <f t="shared" si="215"/>
        <v>139.29516722042325</v>
      </c>
      <c r="AR884" s="2">
        <f t="shared" si="216"/>
        <v>-2.1301186875174403</v>
      </c>
      <c r="AS884" s="2">
        <f t="shared" si="217"/>
        <v>-296.71523877709035</v>
      </c>
    </row>
    <row r="885" spans="13:45" x14ac:dyDescent="0.3">
      <c r="M885" s="78">
        <v>45041.916666666664</v>
      </c>
      <c r="N885" s="79">
        <v>3.98860733812346E-2</v>
      </c>
      <c r="O885" s="5">
        <v>66.647934039999996</v>
      </c>
      <c r="P885" s="2">
        <v>23578</v>
      </c>
      <c r="Q885" s="7">
        <f t="shared" si="211"/>
        <v>392.96666666666664</v>
      </c>
      <c r="R885" s="6">
        <f t="shared" si="212"/>
        <v>15.673897303045823</v>
      </c>
      <c r="S885" s="6">
        <f t="shared" si="218"/>
        <v>142.93275609979133</v>
      </c>
      <c r="T885" s="2">
        <f t="shared" si="219"/>
        <v>1</v>
      </c>
      <c r="U885" s="6">
        <f t="shared" si="220"/>
        <v>142.93275609979133</v>
      </c>
      <c r="V885">
        <f t="shared" si="221"/>
        <v>0.14288770340875512</v>
      </c>
      <c r="W885" s="6">
        <f t="shared" si="213"/>
        <v>20.423333260982918</v>
      </c>
      <c r="AK885" s="78">
        <v>45040.916666666664</v>
      </c>
      <c r="AL885" s="79">
        <v>4.3171941406459899E-2</v>
      </c>
      <c r="AM885" s="5">
        <v>83.153095449999995</v>
      </c>
      <c r="AN885" s="2">
        <v>21020</v>
      </c>
      <c r="AO885" s="7">
        <f t="shared" si="222"/>
        <v>350.33333333333331</v>
      </c>
      <c r="AP885" s="5">
        <f t="shared" si="214"/>
        <v>15.12457013939645</v>
      </c>
      <c r="AQ885" s="6">
        <f t="shared" si="215"/>
        <v>140.45731997337828</v>
      </c>
      <c r="AR885" s="2">
        <f t="shared" si="216"/>
        <v>-2.1301186875174403</v>
      </c>
      <c r="AS885" s="2">
        <f t="shared" si="217"/>
        <v>-299.1907620739097</v>
      </c>
    </row>
    <row r="886" spans="13:45" x14ac:dyDescent="0.3">
      <c r="M886" s="78">
        <v>45041.927083333336</v>
      </c>
      <c r="N886" s="79">
        <v>3.8562711136407503E-2</v>
      </c>
      <c r="O886" s="5">
        <v>65.743635260000005</v>
      </c>
      <c r="P886" s="2">
        <v>23492</v>
      </c>
      <c r="Q886" s="7">
        <f t="shared" si="211"/>
        <v>391.53333333333336</v>
      </c>
      <c r="R886" s="6">
        <f t="shared" si="212"/>
        <v>15.098586833608085</v>
      </c>
      <c r="S886" s="6">
        <f t="shared" si="218"/>
        <v>140.3391039529059</v>
      </c>
      <c r="T886" s="2">
        <f t="shared" si="219"/>
        <v>1</v>
      </c>
      <c r="U886" s="6">
        <f t="shared" si="220"/>
        <v>140.3391039529059</v>
      </c>
      <c r="V886">
        <f t="shared" si="221"/>
        <v>3.7577432390138936E-2</v>
      </c>
      <c r="W886" s="6">
        <f t="shared" si="213"/>
        <v>5.2735831904830013</v>
      </c>
      <c r="AK886" s="78">
        <v>45040.927083333336</v>
      </c>
      <c r="AL886" s="79">
        <v>4.5705985469355899E-2</v>
      </c>
      <c r="AM886" s="5">
        <v>86.622428940000006</v>
      </c>
      <c r="AN886" s="2">
        <v>22100</v>
      </c>
      <c r="AO886" s="7">
        <f t="shared" si="222"/>
        <v>368.33333333333331</v>
      </c>
      <c r="AP886" s="5">
        <f t="shared" si="214"/>
        <v>16.835037981212754</v>
      </c>
      <c r="AQ886" s="6">
        <f t="shared" si="215"/>
        <v>148.02348939202963</v>
      </c>
      <c r="AR886" s="2">
        <f t="shared" si="216"/>
        <v>-2.1301186875174403</v>
      </c>
      <c r="AS886" s="2">
        <f t="shared" si="217"/>
        <v>-315.30760094550192</v>
      </c>
    </row>
    <row r="887" spans="13:45" x14ac:dyDescent="0.3">
      <c r="M887" s="78">
        <v>45041.9375</v>
      </c>
      <c r="N887" s="79">
        <v>3.9066235216980598E-2</v>
      </c>
      <c r="O887" s="5">
        <v>68.916923760000003</v>
      </c>
      <c r="P887" s="2">
        <v>22835</v>
      </c>
      <c r="Q887" s="7">
        <f t="shared" si="211"/>
        <v>380.58333333333331</v>
      </c>
      <c r="R887" s="6">
        <f t="shared" si="212"/>
        <v>14.867958019662531</v>
      </c>
      <c r="S887" s="6">
        <f t="shared" si="218"/>
        <v>139.28523046333405</v>
      </c>
      <c r="T887" s="2">
        <f t="shared" si="219"/>
        <v>1</v>
      </c>
      <c r="U887" s="6">
        <f t="shared" si="220"/>
        <v>139.28523046333405</v>
      </c>
      <c r="V887">
        <f t="shared" si="221"/>
        <v>0</v>
      </c>
      <c r="W887" s="6">
        <f t="shared" si="213"/>
        <v>0</v>
      </c>
      <c r="AK887" s="78">
        <v>45040.9375</v>
      </c>
      <c r="AL887" s="79">
        <v>4.1601899196901299E-2</v>
      </c>
      <c r="AM887" s="5">
        <v>78.315517589999999</v>
      </c>
      <c r="AN887" s="2">
        <v>21989</v>
      </c>
      <c r="AO887" s="7">
        <f t="shared" si="222"/>
        <v>366.48333333333335</v>
      </c>
      <c r="AP887" s="5">
        <f t="shared" si="214"/>
        <v>15.246402690677712</v>
      </c>
      <c r="AQ887" s="6">
        <f t="shared" si="215"/>
        <v>141.01024323822256</v>
      </c>
      <c r="AR887" s="2">
        <f t="shared" si="216"/>
        <v>-2.1301186875174403</v>
      </c>
      <c r="AS887" s="2">
        <f t="shared" si="217"/>
        <v>-300.36855425311762</v>
      </c>
    </row>
    <row r="888" spans="13:45" x14ac:dyDescent="0.3">
      <c r="M888" s="78">
        <v>45041.947916666664</v>
      </c>
      <c r="N888" s="79">
        <v>3.7088090269824701E-2</v>
      </c>
      <c r="O888" s="5">
        <v>62.292408569999999</v>
      </c>
      <c r="P888" s="2">
        <v>25227</v>
      </c>
      <c r="Q888" s="7">
        <f t="shared" si="211"/>
        <v>420.45</v>
      </c>
      <c r="R888" s="6">
        <f t="shared" si="212"/>
        <v>15.593687553947795</v>
      </c>
      <c r="S888" s="6">
        <f t="shared" si="218"/>
        <v>142.57409837577973</v>
      </c>
      <c r="T888" s="2">
        <f t="shared" si="219"/>
        <v>1</v>
      </c>
      <c r="U888" s="6">
        <f t="shared" si="220"/>
        <v>142.57409837577973</v>
      </c>
      <c r="V888">
        <f t="shared" si="221"/>
        <v>0.12820535211397707</v>
      </c>
      <c r="W888" s="6">
        <f t="shared" si="213"/>
        <v>18.278762484599646</v>
      </c>
      <c r="AK888" s="78">
        <v>45040.947916666664</v>
      </c>
      <c r="AL888" s="79">
        <v>4.1889297863655701E-2</v>
      </c>
      <c r="AM888" s="5">
        <v>76.986061320000005</v>
      </c>
      <c r="AN888" s="2">
        <v>23086</v>
      </c>
      <c r="AO888" s="7">
        <f t="shared" si="222"/>
        <v>384.76666666666665</v>
      </c>
      <c r="AP888" s="5">
        <f t="shared" si="214"/>
        <v>16.117605508005926</v>
      </c>
      <c r="AQ888" s="6">
        <f t="shared" si="215"/>
        <v>144.90009100645807</v>
      </c>
      <c r="AR888" s="2">
        <f t="shared" si="216"/>
        <v>-2.1301186875174403</v>
      </c>
      <c r="AS888" s="2">
        <f t="shared" si="217"/>
        <v>-308.65439167583412</v>
      </c>
    </row>
    <row r="889" spans="13:45" x14ac:dyDescent="0.3">
      <c r="M889" s="78">
        <v>45041.958333333336</v>
      </c>
      <c r="N889" s="79">
        <v>3.5523300168103497E-2</v>
      </c>
      <c r="O889" s="5">
        <v>61.92162476</v>
      </c>
      <c r="P889" s="2">
        <v>26023</v>
      </c>
      <c r="Q889" s="7">
        <f t="shared" si="211"/>
        <v>433.71666666666664</v>
      </c>
      <c r="R889" s="6">
        <f t="shared" si="212"/>
        <v>15.407047337909287</v>
      </c>
      <c r="S889" s="6">
        <f t="shared" si="218"/>
        <v>141.73587565622344</v>
      </c>
      <c r="T889" s="2">
        <f t="shared" si="219"/>
        <v>1</v>
      </c>
      <c r="U889" s="6">
        <f t="shared" si="220"/>
        <v>141.73587565622344</v>
      </c>
      <c r="V889">
        <f t="shared" si="221"/>
        <v>9.4040961270894161E-2</v>
      </c>
      <c r="W889" s="6">
        <f t="shared" si="213"/>
        <v>13.328977993283178</v>
      </c>
      <c r="AK889" s="78">
        <v>45040.958333333336</v>
      </c>
      <c r="AL889" s="79">
        <v>4.0279309962177802E-2</v>
      </c>
      <c r="AM889" s="5">
        <v>76.101800600000004</v>
      </c>
      <c r="AN889" s="2">
        <v>22901</v>
      </c>
      <c r="AO889" s="7">
        <f t="shared" si="222"/>
        <v>381.68333333333334</v>
      </c>
      <c r="AP889" s="5">
        <f t="shared" si="214"/>
        <v>15.373941290730563</v>
      </c>
      <c r="AQ889" s="6">
        <f t="shared" si="215"/>
        <v>141.58665254003671</v>
      </c>
      <c r="AR889" s="2">
        <f t="shared" si="216"/>
        <v>-2.1301186875174403</v>
      </c>
      <c r="AS889" s="2">
        <f t="shared" si="217"/>
        <v>-301.59637447857085</v>
      </c>
    </row>
    <row r="890" spans="13:45" x14ac:dyDescent="0.3">
      <c r="M890" s="78">
        <v>45041.96875</v>
      </c>
      <c r="N890" s="79">
        <v>4.0817249537399902E-2</v>
      </c>
      <c r="O890" s="5">
        <v>68.916923760000003</v>
      </c>
      <c r="P890" s="2">
        <v>24992</v>
      </c>
      <c r="Q890" s="7">
        <f t="shared" si="211"/>
        <v>416.53333333333336</v>
      </c>
      <c r="R890" s="6">
        <f t="shared" si="212"/>
        <v>17.001745007311641</v>
      </c>
      <c r="S890" s="6">
        <f t="shared" si="218"/>
        <v>148.73947999322382</v>
      </c>
      <c r="T890" s="2">
        <f t="shared" si="219"/>
        <v>1</v>
      </c>
      <c r="U890" s="6">
        <f t="shared" si="220"/>
        <v>148.73947999322382</v>
      </c>
      <c r="V890">
        <f t="shared" si="221"/>
        <v>0.38594950922700288</v>
      </c>
      <c r="W890" s="6">
        <f t="shared" si="213"/>
        <v>57.405929306064351</v>
      </c>
      <c r="AK890" s="78">
        <v>45040.96875</v>
      </c>
      <c r="AL890" s="79">
        <v>4.36246901428596E-2</v>
      </c>
      <c r="AM890" s="5">
        <v>72.523974480000007</v>
      </c>
      <c r="AN890" s="2">
        <v>23548</v>
      </c>
      <c r="AO890" s="7">
        <f t="shared" si="222"/>
        <v>392.46666666666664</v>
      </c>
      <c r="AP890" s="5">
        <f t="shared" si="214"/>
        <v>17.121236724734295</v>
      </c>
      <c r="AQ890" s="6">
        <f t="shared" si="215"/>
        <v>149.250483546585</v>
      </c>
      <c r="AR890" s="2">
        <f t="shared" si="216"/>
        <v>-2.1301186875174403</v>
      </c>
      <c r="AS890" s="2">
        <f t="shared" si="217"/>
        <v>-317.92124412359493</v>
      </c>
    </row>
    <row r="891" spans="13:45" x14ac:dyDescent="0.3">
      <c r="M891" s="78">
        <v>45041.979166666664</v>
      </c>
      <c r="N891" s="79">
        <v>3.8041754614311502E-2</v>
      </c>
      <c r="O891" s="5">
        <v>69.36581735</v>
      </c>
      <c r="P891" s="2">
        <v>26115</v>
      </c>
      <c r="Q891" s="7">
        <f t="shared" si="211"/>
        <v>435.25</v>
      </c>
      <c r="R891" s="6">
        <f t="shared" si="212"/>
        <v>16.557673695879082</v>
      </c>
      <c r="S891" s="6">
        <f t="shared" si="218"/>
        <v>146.82417171535312</v>
      </c>
      <c r="T891" s="2">
        <f t="shared" si="219"/>
        <v>1</v>
      </c>
      <c r="U891" s="6">
        <f t="shared" si="220"/>
        <v>146.82417171535312</v>
      </c>
      <c r="V891">
        <f t="shared" si="221"/>
        <v>0.30466249527041755</v>
      </c>
      <c r="W891" s="6">
        <f t="shared" si="213"/>
        <v>44.731818520811743</v>
      </c>
      <c r="AK891" s="78">
        <v>45040.979166666664</v>
      </c>
      <c r="AL891" s="79">
        <v>4.0293755777987598E-2</v>
      </c>
      <c r="AM891" s="5">
        <v>73.423571839999994</v>
      </c>
      <c r="AN891" s="2">
        <v>22830</v>
      </c>
      <c r="AO891" s="7">
        <f t="shared" si="222"/>
        <v>380.5</v>
      </c>
      <c r="AP891" s="5">
        <f t="shared" si="214"/>
        <v>15.331774073524281</v>
      </c>
      <c r="AQ891" s="6">
        <f t="shared" si="215"/>
        <v>141.39634921263729</v>
      </c>
      <c r="AR891" s="2">
        <f t="shared" si="216"/>
        <v>-2.1301186875174403</v>
      </c>
      <c r="AS891" s="2">
        <f t="shared" si="217"/>
        <v>-301.19100580458058</v>
      </c>
    </row>
    <row r="892" spans="13:45" x14ac:dyDescent="0.3">
      <c r="M892" s="78">
        <v>45041.989583333336</v>
      </c>
      <c r="N892" s="79">
        <v>4.0060204256728203E-2</v>
      </c>
      <c r="O892" s="5">
        <v>66.647934039999996</v>
      </c>
      <c r="P892" s="2">
        <v>25302</v>
      </c>
      <c r="Q892" s="7">
        <f t="shared" si="211"/>
        <v>421.7</v>
      </c>
      <c r="R892" s="6">
        <f t="shared" si="212"/>
        <v>16.893388135062281</v>
      </c>
      <c r="S892" s="6">
        <f t="shared" si="218"/>
        <v>148.27450751534755</v>
      </c>
      <c r="T892" s="2">
        <f t="shared" si="219"/>
        <v>1</v>
      </c>
      <c r="U892" s="6">
        <f t="shared" si="220"/>
        <v>148.27450751534755</v>
      </c>
      <c r="V892">
        <f t="shared" si="221"/>
        <v>0.36611484222631036</v>
      </c>
      <c r="W892" s="6">
        <f t="shared" si="213"/>
        <v>54.285497925165338</v>
      </c>
      <c r="AK892" s="78">
        <v>45040.989583333336</v>
      </c>
      <c r="AL892" s="79">
        <v>3.98086444249134E-2</v>
      </c>
      <c r="AM892" s="5">
        <v>81.841333250000005</v>
      </c>
      <c r="AN892" s="2">
        <v>22869</v>
      </c>
      <c r="AO892" s="7">
        <f t="shared" si="222"/>
        <v>381.15</v>
      </c>
      <c r="AP892" s="5">
        <f t="shared" si="214"/>
        <v>15.173064822555741</v>
      </c>
      <c r="AQ892" s="6">
        <f t="shared" si="215"/>
        <v>140.67767892542679</v>
      </c>
      <c r="AR892" s="2">
        <f t="shared" si="216"/>
        <v>-2.1301186875174403</v>
      </c>
      <c r="AS892" s="2">
        <f t="shared" si="217"/>
        <v>-299.66015279562998</v>
      </c>
    </row>
    <row r="893" spans="13:45" x14ac:dyDescent="0.3">
      <c r="M893" s="78">
        <v>45042</v>
      </c>
      <c r="N893" s="79">
        <v>3.52413840319011E-2</v>
      </c>
      <c r="O893" s="5">
        <v>70.271667750000006</v>
      </c>
      <c r="P893" s="2">
        <v>25735</v>
      </c>
      <c r="Q893" s="7">
        <f t="shared" si="211"/>
        <v>428.91666666666669</v>
      </c>
      <c r="R893" s="6">
        <f t="shared" si="212"/>
        <v>15.115616967682914</v>
      </c>
      <c r="S893" s="6">
        <f t="shared" si="218"/>
        <v>140.41659751714116</v>
      </c>
      <c r="T893" s="2">
        <f t="shared" si="219"/>
        <v>1</v>
      </c>
      <c r="U893" s="6">
        <f t="shared" si="220"/>
        <v>140.41659751714116</v>
      </c>
      <c r="V893">
        <f t="shared" si="221"/>
        <v>4.0694789243832984E-2</v>
      </c>
      <c r="W893" s="6">
        <f t="shared" si="213"/>
        <v>5.7142238422961809</v>
      </c>
      <c r="AK893" s="78">
        <v>45041</v>
      </c>
      <c r="AL893" s="79">
        <v>4.14905612091305E-2</v>
      </c>
      <c r="AM893" s="5">
        <v>77.435049230000004</v>
      </c>
      <c r="AN893" s="2">
        <v>22492</v>
      </c>
      <c r="AO893" s="7">
        <f t="shared" si="222"/>
        <v>374.86666666666667</v>
      </c>
      <c r="AP893" s="5">
        <f t="shared" si="214"/>
        <v>15.553428378596054</v>
      </c>
      <c r="AQ893" s="6">
        <f t="shared" si="215"/>
        <v>142.39372470318679</v>
      </c>
      <c r="AR893" s="2">
        <f t="shared" si="216"/>
        <v>-2.1301186875174403</v>
      </c>
      <c r="AS893" s="2">
        <f t="shared" si="217"/>
        <v>-303.31553397547196</v>
      </c>
    </row>
    <row r="894" spans="13:45" x14ac:dyDescent="0.3">
      <c r="M894" s="78">
        <v>45042.010416666664</v>
      </c>
      <c r="N894" s="79">
        <v>3.7338421897430203E-2</v>
      </c>
      <c r="O894" s="5">
        <v>71.17580074</v>
      </c>
      <c r="P894" s="2">
        <v>25197</v>
      </c>
      <c r="Q894" s="7">
        <f t="shared" si="211"/>
        <v>419.95</v>
      </c>
      <c r="R894" s="6">
        <f t="shared" si="212"/>
        <v>15.680270275825814</v>
      </c>
      <c r="S894" s="6">
        <f t="shared" si="218"/>
        <v>142.96121262648026</v>
      </c>
      <c r="T894" s="2">
        <f t="shared" si="219"/>
        <v>1</v>
      </c>
      <c r="U894" s="6">
        <f t="shared" si="220"/>
        <v>142.96121262648026</v>
      </c>
      <c r="V894">
        <f t="shared" si="221"/>
        <v>0.14405427263755952</v>
      </c>
      <c r="W894" s="6">
        <f t="shared" si="213"/>
        <v>20.594173500291102</v>
      </c>
      <c r="AK894" s="78">
        <v>45041.010416666664</v>
      </c>
      <c r="AL894" s="79">
        <v>4.0780406845192602E-2</v>
      </c>
      <c r="AM894" s="5">
        <v>71.17580074</v>
      </c>
      <c r="AN894" s="2">
        <v>22026</v>
      </c>
      <c r="AO894" s="7">
        <f t="shared" si="222"/>
        <v>367.1</v>
      </c>
      <c r="AP894" s="5">
        <f t="shared" si="214"/>
        <v>14.970487352870204</v>
      </c>
      <c r="AQ894" s="6">
        <f t="shared" si="215"/>
        <v>139.75476744556275</v>
      </c>
      <c r="AR894" s="2">
        <f t="shared" si="216"/>
        <v>-2.1301186875174403</v>
      </c>
      <c r="AS894" s="2">
        <f t="shared" si="217"/>
        <v>-297.69424180544723</v>
      </c>
    </row>
    <row r="895" spans="13:45" x14ac:dyDescent="0.3">
      <c r="M895" s="78">
        <v>45042.020833333336</v>
      </c>
      <c r="N895" s="79">
        <v>3.5642045315609203E-2</v>
      </c>
      <c r="O895" s="5">
        <v>65.743635260000005</v>
      </c>
      <c r="P895" s="2">
        <v>25089</v>
      </c>
      <c r="Q895" s="7">
        <f t="shared" si="211"/>
        <v>418.15</v>
      </c>
      <c r="R895" s="6">
        <f t="shared" si="212"/>
        <v>14.903721248721988</v>
      </c>
      <c r="S895" s="6">
        <f t="shared" si="218"/>
        <v>139.44919663930898</v>
      </c>
      <c r="T895" s="2">
        <f t="shared" si="219"/>
        <v>1</v>
      </c>
      <c r="U895" s="6">
        <f t="shared" si="220"/>
        <v>139.44919663930898</v>
      </c>
      <c r="V895">
        <f t="shared" si="221"/>
        <v>1.9073922175484445E-3</v>
      </c>
      <c r="W895" s="6">
        <f t="shared" si="213"/>
        <v>0.26598431241320064</v>
      </c>
      <c r="AK895" s="78">
        <v>45041.020833333336</v>
      </c>
      <c r="AL895" s="79">
        <v>4.0008510253739103E-2</v>
      </c>
      <c r="AM895" s="5">
        <v>73.423571839999994</v>
      </c>
      <c r="AN895" s="2">
        <v>22664</v>
      </c>
      <c r="AO895" s="7">
        <f t="shared" si="222"/>
        <v>377.73333333333335</v>
      </c>
      <c r="AP895" s="5">
        <f t="shared" si="214"/>
        <v>15.112547939845719</v>
      </c>
      <c r="AQ895" s="6">
        <f t="shared" si="215"/>
        <v>140.40263556969489</v>
      </c>
      <c r="AR895" s="2">
        <f t="shared" si="216"/>
        <v>-2.1301186875174403</v>
      </c>
      <c r="AS895" s="2">
        <f t="shared" si="217"/>
        <v>-299.07427780370796</v>
      </c>
    </row>
    <row r="896" spans="13:45" x14ac:dyDescent="0.3">
      <c r="M896" s="78">
        <v>45042.03125</v>
      </c>
      <c r="N896" s="79">
        <v>3.5504248150316699E-2</v>
      </c>
      <c r="O896" s="5">
        <v>66.655723199999997</v>
      </c>
      <c r="P896" s="2">
        <v>26469</v>
      </c>
      <c r="Q896" s="7">
        <f t="shared" si="211"/>
        <v>441.15</v>
      </c>
      <c r="R896" s="6">
        <f t="shared" si="212"/>
        <v>15.662699071512211</v>
      </c>
      <c r="S896" s="6">
        <f t="shared" si="218"/>
        <v>142.88273957563459</v>
      </c>
      <c r="T896" s="2">
        <f t="shared" si="219"/>
        <v>1</v>
      </c>
      <c r="U896" s="6">
        <f t="shared" si="220"/>
        <v>142.88273957563459</v>
      </c>
      <c r="V896">
        <f t="shared" si="221"/>
        <v>0.1408378731685955</v>
      </c>
      <c r="W896" s="6">
        <f t="shared" si="213"/>
        <v>20.123301154334683</v>
      </c>
      <c r="AK896" s="78">
        <v>45041.03125</v>
      </c>
      <c r="AL896" s="79">
        <v>3.94948437255618E-2</v>
      </c>
      <c r="AM896" s="5">
        <v>80.523852189999999</v>
      </c>
      <c r="AN896" s="2">
        <v>22992</v>
      </c>
      <c r="AO896" s="7">
        <f t="shared" si="222"/>
        <v>383.2</v>
      </c>
      <c r="AP896" s="5">
        <f t="shared" si="214"/>
        <v>15.134424115635282</v>
      </c>
      <c r="AQ896" s="6">
        <f t="shared" si="215"/>
        <v>140.50212541625521</v>
      </c>
      <c r="AR896" s="2">
        <f t="shared" si="216"/>
        <v>-2.1301186875174403</v>
      </c>
      <c r="AS896" s="2">
        <f t="shared" si="217"/>
        <v>-299.28620298508434</v>
      </c>
    </row>
    <row r="897" spans="13:45" x14ac:dyDescent="0.3">
      <c r="M897" s="78">
        <v>45042.041666666664</v>
      </c>
      <c r="N897" s="79">
        <v>3.2430883692575199E-2</v>
      </c>
      <c r="O897" s="5">
        <v>68.916923760000003</v>
      </c>
      <c r="P897" s="2">
        <v>26152</v>
      </c>
      <c r="Q897" s="7">
        <f t="shared" si="211"/>
        <v>435.86666666666667</v>
      </c>
      <c r="R897" s="6">
        <f t="shared" si="212"/>
        <v>14.13554117213711</v>
      </c>
      <c r="S897" s="6">
        <f t="shared" si="218"/>
        <v>135.88189488164653</v>
      </c>
      <c r="T897" s="2">
        <f t="shared" si="219"/>
        <v>1</v>
      </c>
      <c r="U897" s="6">
        <f t="shared" si="220"/>
        <v>135.88189488164653</v>
      </c>
      <c r="V897">
        <f t="shared" si="221"/>
        <v>0</v>
      </c>
      <c r="W897" s="6">
        <f t="shared" si="213"/>
        <v>0</v>
      </c>
      <c r="AK897" s="78">
        <v>45041.041666666664</v>
      </c>
      <c r="AL897" s="79">
        <v>4.0479808897144802E-2</v>
      </c>
      <c r="AM897" s="5">
        <v>76.094169239999999</v>
      </c>
      <c r="AN897" s="2">
        <v>22272</v>
      </c>
      <c r="AO897" s="7">
        <f t="shared" si="222"/>
        <v>371.2</v>
      </c>
      <c r="AP897" s="5">
        <f t="shared" si="214"/>
        <v>15.02610506262015</v>
      </c>
      <c r="AQ897" s="6">
        <f t="shared" si="215"/>
        <v>140.00878445268006</v>
      </c>
      <c r="AR897" s="2">
        <f t="shared" si="216"/>
        <v>-2.1301186875174403</v>
      </c>
      <c r="AS897" s="2">
        <f t="shared" si="217"/>
        <v>-298.23532817925502</v>
      </c>
    </row>
    <row r="898" spans="13:45" x14ac:dyDescent="0.3">
      <c r="M898" s="78">
        <v>45042.052083333336</v>
      </c>
      <c r="N898" s="79">
        <v>3.6033682980987303E-2</v>
      </c>
      <c r="O898" s="5">
        <v>70.271667750000006</v>
      </c>
      <c r="P898" s="2">
        <v>26508</v>
      </c>
      <c r="Q898" s="7">
        <f t="shared" si="211"/>
        <v>441.8</v>
      </c>
      <c r="R898" s="6">
        <f t="shared" si="212"/>
        <v>15.91968114100019</v>
      </c>
      <c r="S898" s="6">
        <f t="shared" si="218"/>
        <v>144.02598404329689</v>
      </c>
      <c r="T898" s="2">
        <f t="shared" si="219"/>
        <v>1</v>
      </c>
      <c r="U898" s="6">
        <f t="shared" si="220"/>
        <v>144.02598404329689</v>
      </c>
      <c r="V898">
        <f t="shared" si="221"/>
        <v>0.18787830233226588</v>
      </c>
      <c r="W898" s="6">
        <f t="shared" si="213"/>
        <v>27.059357373788632</v>
      </c>
      <c r="AK898" s="78">
        <v>45041.052083333336</v>
      </c>
      <c r="AL898" s="79">
        <v>3.9867976770156098E-2</v>
      </c>
      <c r="AM898" s="5">
        <v>73.868067069999995</v>
      </c>
      <c r="AN898" s="2">
        <v>22010</v>
      </c>
      <c r="AO898" s="7">
        <f t="shared" si="222"/>
        <v>366.83333333333331</v>
      </c>
      <c r="AP898" s="5">
        <f t="shared" si="214"/>
        <v>14.624902811852261</v>
      </c>
      <c r="AQ898" s="6">
        <f t="shared" si="215"/>
        <v>138.16550517032698</v>
      </c>
      <c r="AR898" s="2">
        <f t="shared" si="216"/>
        <v>-2.1301186875174403</v>
      </c>
      <c r="AS898" s="2">
        <f t="shared" si="217"/>
        <v>-294.30892453360104</v>
      </c>
    </row>
    <row r="899" spans="13:45" x14ac:dyDescent="0.3">
      <c r="M899" s="78">
        <v>45042.0625</v>
      </c>
      <c r="N899" s="79">
        <v>3.35057925361451E-2</v>
      </c>
      <c r="O899" s="5">
        <v>67.106545600000004</v>
      </c>
      <c r="P899" s="2">
        <v>26518</v>
      </c>
      <c r="Q899" s="7">
        <f t="shared" si="211"/>
        <v>441.96666666666664</v>
      </c>
      <c r="R899" s="6">
        <f t="shared" si="212"/>
        <v>14.808443441224929</v>
      </c>
      <c r="S899" s="6">
        <f t="shared" si="218"/>
        <v>139.01192303544425</v>
      </c>
      <c r="T899" s="2">
        <f t="shared" si="219"/>
        <v>1</v>
      </c>
      <c r="U899" s="6">
        <f t="shared" si="220"/>
        <v>139.01192303544425</v>
      </c>
      <c r="V899">
        <f t="shared" si="221"/>
        <v>0</v>
      </c>
      <c r="W899" s="6">
        <f t="shared" si="213"/>
        <v>0</v>
      </c>
      <c r="AK899" s="78">
        <v>45041.0625</v>
      </c>
      <c r="AL899" s="79">
        <v>3.9628222454038901E-2</v>
      </c>
      <c r="AM899" s="5">
        <v>80.961047410000006</v>
      </c>
      <c r="AN899" s="2">
        <v>22407</v>
      </c>
      <c r="AO899" s="7">
        <f t="shared" si="222"/>
        <v>373.45</v>
      </c>
      <c r="AP899" s="5">
        <f t="shared" si="214"/>
        <v>14.799159675460828</v>
      </c>
      <c r="AQ899" s="6">
        <f t="shared" si="215"/>
        <v>138.96923890832593</v>
      </c>
      <c r="AR899" s="2">
        <f t="shared" si="216"/>
        <v>-2.1301186875174403</v>
      </c>
      <c r="AS899" s="2">
        <f t="shared" si="217"/>
        <v>-296.02097278870082</v>
      </c>
    </row>
    <row r="900" spans="13:45" x14ac:dyDescent="0.3">
      <c r="M900" s="78">
        <v>45042.072916666664</v>
      </c>
      <c r="N900" s="79">
        <v>3.4821548340359103E-2</v>
      </c>
      <c r="O900" s="5">
        <v>67.106545600000004</v>
      </c>
      <c r="P900" s="2">
        <v>26138</v>
      </c>
      <c r="Q900" s="7">
        <f t="shared" ref="Q900:Q963" si="223">P900/60</f>
        <v>435.63333333333333</v>
      </c>
      <c r="R900" s="6">
        <f t="shared" ref="R900:R963" si="224">N900*Q900</f>
        <v>15.169427175338438</v>
      </c>
      <c r="S900" s="6">
        <f t="shared" si="218"/>
        <v>140.66116200289392</v>
      </c>
      <c r="T900" s="2">
        <f t="shared" si="219"/>
        <v>1</v>
      </c>
      <c r="U900" s="6">
        <f t="shared" si="220"/>
        <v>140.66116200289392</v>
      </c>
      <c r="V900">
        <f t="shared" si="221"/>
        <v>5.0544718721579868E-2</v>
      </c>
      <c r="W900" s="6">
        <f t="shared" ref="W900:W963" si="225">S900*V900</f>
        <v>7.109678868486851</v>
      </c>
      <c r="AK900" s="78">
        <v>45041.072916666664</v>
      </c>
      <c r="AL900" s="79">
        <v>3.9239043127513397E-2</v>
      </c>
      <c r="AM900" s="5">
        <v>81.841333250000005</v>
      </c>
      <c r="AN900" s="2">
        <v>22587</v>
      </c>
      <c r="AO900" s="7">
        <f t="shared" si="222"/>
        <v>376.45</v>
      </c>
      <c r="AP900" s="5">
        <f t="shared" ref="AP900:AP963" si="226">AO900*AL900</f>
        <v>14.771537785352418</v>
      </c>
      <c r="AQ900" s="6">
        <f t="shared" ref="AQ900:AQ963" si="227">37.141*AP900^0.4897</f>
        <v>138.84216040620464</v>
      </c>
      <c r="AR900" s="2">
        <f t="shared" ref="AR900:AR963" si="228">IF((AM900-$AP$1)/($AN$1-$AP$1)&lt;0, 0, IF((AA900-$AP$1)/($AN$1-$AP$1)&gt;1, 1, (AA900-$AP$1)/($AN$1-$AP$1)))</f>
        <v>-2.1301186875174403</v>
      </c>
      <c r="AS900" s="2">
        <f t="shared" ref="AS900:AS963" si="229">AQ900*AR900</f>
        <v>-295.75028049655054</v>
      </c>
    </row>
    <row r="901" spans="13:45" x14ac:dyDescent="0.3">
      <c r="M901" s="78">
        <v>45042.083333333336</v>
      </c>
      <c r="N901" s="79">
        <v>3.47817410943147E-2</v>
      </c>
      <c r="O901" s="5">
        <v>70.279402750000003</v>
      </c>
      <c r="P901" s="2">
        <v>27196</v>
      </c>
      <c r="Q901" s="7">
        <f t="shared" si="223"/>
        <v>453.26666666666665</v>
      </c>
      <c r="R901" s="6">
        <f t="shared" si="224"/>
        <v>15.765403846683043</v>
      </c>
      <c r="S901" s="6">
        <f t="shared" si="218"/>
        <v>143.3407855546555</v>
      </c>
      <c r="T901" s="2">
        <f t="shared" si="219"/>
        <v>1</v>
      </c>
      <c r="U901" s="6">
        <f t="shared" si="220"/>
        <v>143.3407855546555</v>
      </c>
      <c r="V901">
        <f t="shared" si="221"/>
        <v>0.15963792684868386</v>
      </c>
      <c r="W901" s="6">
        <f t="shared" si="225"/>
        <v>22.882625838806973</v>
      </c>
      <c r="AK901" s="78">
        <v>45041.083333333336</v>
      </c>
      <c r="AL901" s="79">
        <v>4.2264191506344501E-2</v>
      </c>
      <c r="AM901" s="5">
        <v>77.427442880000001</v>
      </c>
      <c r="AN901" s="2">
        <v>22160</v>
      </c>
      <c r="AO901" s="7">
        <f t="shared" si="222"/>
        <v>369.33333333333331</v>
      </c>
      <c r="AP901" s="5">
        <f t="shared" si="226"/>
        <v>15.609574729676568</v>
      </c>
      <c r="AQ901" s="6">
        <f t="shared" si="227"/>
        <v>142.64521248205787</v>
      </c>
      <c r="AR901" s="2">
        <f t="shared" si="228"/>
        <v>-2.1301186875174403</v>
      </c>
      <c r="AS901" s="2">
        <f t="shared" si="229"/>
        <v>-303.85123279292748</v>
      </c>
    </row>
    <row r="902" spans="13:45" x14ac:dyDescent="0.3">
      <c r="M902" s="78">
        <v>45042.09375</v>
      </c>
      <c r="N902" s="79">
        <v>3.5468407607876097E-2</v>
      </c>
      <c r="O902" s="5">
        <v>70.279402750000003</v>
      </c>
      <c r="P902" s="2">
        <v>26570</v>
      </c>
      <c r="Q902" s="7">
        <f t="shared" si="223"/>
        <v>442.83333333333331</v>
      </c>
      <c r="R902" s="6">
        <f t="shared" si="224"/>
        <v>15.706593169021131</v>
      </c>
      <c r="S902" s="6">
        <f t="shared" si="218"/>
        <v>143.07868682802177</v>
      </c>
      <c r="T902" s="2">
        <f t="shared" si="219"/>
        <v>1</v>
      </c>
      <c r="U902" s="6">
        <f t="shared" si="220"/>
        <v>143.07868682802177</v>
      </c>
      <c r="V902">
        <f t="shared" si="221"/>
        <v>0.14887266403429897</v>
      </c>
      <c r="W902" s="6">
        <f t="shared" si="225"/>
        <v>21.300505274616764</v>
      </c>
      <c r="AK902" s="78">
        <v>45041.09375</v>
      </c>
      <c r="AL902" s="79">
        <v>4.0067421658539902E-2</v>
      </c>
      <c r="AM902" s="5">
        <v>78.315517589999999</v>
      </c>
      <c r="AN902" s="2">
        <v>22378</v>
      </c>
      <c r="AO902" s="7">
        <f t="shared" si="222"/>
        <v>372.96666666666664</v>
      </c>
      <c r="AP902" s="5">
        <f t="shared" si="226"/>
        <v>14.943812697913431</v>
      </c>
      <c r="AQ902" s="6">
        <f t="shared" si="227"/>
        <v>139.63276818921</v>
      </c>
      <c r="AR902" s="2">
        <f t="shared" si="228"/>
        <v>-2.1301186875174403</v>
      </c>
      <c r="AS902" s="2">
        <f t="shared" si="229"/>
        <v>-297.43436890962698</v>
      </c>
    </row>
    <row r="903" spans="13:45" x14ac:dyDescent="0.3">
      <c r="M903" s="78">
        <v>45042.104166666664</v>
      </c>
      <c r="N903" s="79">
        <v>3.6100078766910397E-2</v>
      </c>
      <c r="O903" s="5">
        <v>64.837941950000001</v>
      </c>
      <c r="P903" s="2">
        <v>26103</v>
      </c>
      <c r="Q903" s="7">
        <f t="shared" si="223"/>
        <v>435.05</v>
      </c>
      <c r="R903" s="6">
        <f t="shared" si="224"/>
        <v>15.705339267544369</v>
      </c>
      <c r="S903" s="6">
        <f t="shared" si="218"/>
        <v>143.07309317768036</v>
      </c>
      <c r="T903" s="2">
        <f t="shared" si="219"/>
        <v>1</v>
      </c>
      <c r="U903" s="6">
        <f t="shared" si="220"/>
        <v>143.07309317768036</v>
      </c>
      <c r="V903">
        <f t="shared" si="221"/>
        <v>0.14864313804552723</v>
      </c>
      <c r="W903" s="6">
        <f t="shared" si="225"/>
        <v>21.266833539810523</v>
      </c>
      <c r="AK903" s="78">
        <v>45041.104166666664</v>
      </c>
      <c r="AL903" s="79">
        <v>4.0165230454132901E-2</v>
      </c>
      <c r="AM903" s="5">
        <v>77.435049230000004</v>
      </c>
      <c r="AN903" s="2">
        <v>22402</v>
      </c>
      <c r="AO903" s="7">
        <f t="shared" si="222"/>
        <v>373.36666666666667</v>
      </c>
      <c r="AP903" s="5">
        <f t="shared" si="226"/>
        <v>14.996358210558087</v>
      </c>
      <c r="AQ903" s="6">
        <f t="shared" si="227"/>
        <v>139.87298453282222</v>
      </c>
      <c r="AR903" s="2">
        <f t="shared" si="228"/>
        <v>-2.1301186875174403</v>
      </c>
      <c r="AS903" s="2">
        <f t="shared" si="229"/>
        <v>-297.94605823220246</v>
      </c>
    </row>
    <row r="904" spans="13:45" x14ac:dyDescent="0.3">
      <c r="M904" s="78">
        <v>45042.114583333336</v>
      </c>
      <c r="N904" s="79">
        <v>3.8832710865128801E-2</v>
      </c>
      <c r="O904" s="5">
        <v>67.106545600000004</v>
      </c>
      <c r="P904" s="2">
        <v>26302</v>
      </c>
      <c r="Q904" s="7">
        <f t="shared" si="223"/>
        <v>438.36666666666667</v>
      </c>
      <c r="R904" s="6">
        <f t="shared" si="224"/>
        <v>17.022966019576963</v>
      </c>
      <c r="S904" s="6">
        <f t="shared" si="218"/>
        <v>148.83036468026603</v>
      </c>
      <c r="T904" s="2">
        <f t="shared" si="219"/>
        <v>1</v>
      </c>
      <c r="U904" s="6">
        <f t="shared" si="220"/>
        <v>148.83036468026603</v>
      </c>
      <c r="V904">
        <f t="shared" si="221"/>
        <v>0.38983400407225488</v>
      </c>
      <c r="W904" s="6">
        <f t="shared" si="225"/>
        <v>58.019136990842007</v>
      </c>
      <c r="AK904" s="78">
        <v>45041.114583333336</v>
      </c>
      <c r="AL904" s="79">
        <v>4.0188095558735502E-2</v>
      </c>
      <c r="AM904" s="5">
        <v>76.544179459999995</v>
      </c>
      <c r="AN904" s="2">
        <v>22789</v>
      </c>
      <c r="AO904" s="7">
        <f t="shared" si="222"/>
        <v>379.81666666666666</v>
      </c>
      <c r="AP904" s="5">
        <f t="shared" si="226"/>
        <v>15.264108494800389</v>
      </c>
      <c r="AQ904" s="6">
        <f t="shared" si="227"/>
        <v>141.09041111949344</v>
      </c>
      <c r="AR904" s="2">
        <f t="shared" si="228"/>
        <v>-2.1301186875174403</v>
      </c>
      <c r="AS904" s="2">
        <f t="shared" si="229"/>
        <v>-300.5393213551514</v>
      </c>
    </row>
    <row r="905" spans="13:45" x14ac:dyDescent="0.3">
      <c r="M905" s="78">
        <v>45042.125</v>
      </c>
      <c r="N905" s="79">
        <v>3.5487298616621303E-2</v>
      </c>
      <c r="O905" s="5">
        <v>66.655723199999997</v>
      </c>
      <c r="P905" s="2">
        <v>26391</v>
      </c>
      <c r="Q905" s="7">
        <f t="shared" si="223"/>
        <v>439.85</v>
      </c>
      <c r="R905" s="6">
        <f t="shared" si="224"/>
        <v>15.609088296520881</v>
      </c>
      <c r="S905" s="6">
        <f t="shared" ref="S905:S968" si="230">37.141*R905^0.4897</f>
        <v>142.64303566037165</v>
      </c>
      <c r="T905" s="2">
        <f t="shared" ref="T905:T968" si="231">IF((O905-$R$1)/($P$1-$R$1)&lt;0, 0, IF((O905-$R$1)/($P$1-$R$1)&gt;1, 1, (O905-$R$1)/($P$1-$R$1)))</f>
        <v>1</v>
      </c>
      <c r="U905" s="6">
        <f t="shared" ref="U905:U968" si="232">S905*T905</f>
        <v>142.64303566037165</v>
      </c>
      <c r="V905">
        <f t="shared" ref="V905:V968" si="233">IF((R905-$AB$774)/($Z$773-$AB$774)&lt;0, 0, IF((R905-$AB$774)/($Z$773-$AB$774)&gt;1, 1, (R905-$AB$774)/($Z$773-$AB$774)))</f>
        <v>0.13102444973242408</v>
      </c>
      <c r="W905" s="6">
        <f t="shared" si="225"/>
        <v>18.689725255562742</v>
      </c>
      <c r="AK905" s="78">
        <v>45041.125</v>
      </c>
      <c r="AL905" s="79">
        <v>3.7150636014872701E-2</v>
      </c>
      <c r="AM905" s="5">
        <v>73.868067069999995</v>
      </c>
      <c r="AN905" s="2">
        <v>23446</v>
      </c>
      <c r="AO905" s="7">
        <f t="shared" si="222"/>
        <v>390.76666666666665</v>
      </c>
      <c r="AP905" s="5">
        <f t="shared" si="226"/>
        <v>14.517230200078423</v>
      </c>
      <c r="AQ905" s="6">
        <f t="shared" si="227"/>
        <v>137.66643676706886</v>
      </c>
      <c r="AR905" s="2">
        <f t="shared" si="228"/>
        <v>-2.1301186875174403</v>
      </c>
      <c r="AS905" s="2">
        <f t="shared" si="229"/>
        <v>-293.24584960147138</v>
      </c>
    </row>
    <row r="906" spans="13:45" x14ac:dyDescent="0.3">
      <c r="M906" s="78">
        <v>45042.135416666664</v>
      </c>
      <c r="N906" s="79">
        <v>3.5011312446602799E-2</v>
      </c>
      <c r="O906" s="5">
        <v>67.106545600000004</v>
      </c>
      <c r="P906" s="2">
        <v>26703</v>
      </c>
      <c r="Q906" s="7">
        <f t="shared" si="223"/>
        <v>445.05</v>
      </c>
      <c r="R906" s="6">
        <f t="shared" si="224"/>
        <v>15.581784604360577</v>
      </c>
      <c r="S906" s="6">
        <f t="shared" si="230"/>
        <v>142.52079421481616</v>
      </c>
      <c r="T906" s="2">
        <f t="shared" si="231"/>
        <v>1</v>
      </c>
      <c r="U906" s="6">
        <f t="shared" si="232"/>
        <v>142.52079421481616</v>
      </c>
      <c r="V906">
        <f t="shared" si="233"/>
        <v>0.1260265236143393</v>
      </c>
      <c r="W906" s="6">
        <f t="shared" si="225"/>
        <v>17.961400237647922</v>
      </c>
      <c r="AK906" s="78">
        <v>45041.135416666664</v>
      </c>
      <c r="AL906" s="79">
        <v>3.8467499820187802E-2</v>
      </c>
      <c r="AM906" s="5">
        <v>78.762941850000004</v>
      </c>
      <c r="AN906" s="2">
        <v>22908</v>
      </c>
      <c r="AO906" s="7">
        <f t="shared" si="222"/>
        <v>381.8</v>
      </c>
      <c r="AP906" s="5">
        <f t="shared" si="226"/>
        <v>14.686891431347703</v>
      </c>
      <c r="AQ906" s="6">
        <f t="shared" si="227"/>
        <v>138.45197558658478</v>
      </c>
      <c r="AR906" s="2">
        <f t="shared" si="228"/>
        <v>-2.1301186875174403</v>
      </c>
      <c r="AS906" s="2">
        <f t="shared" si="229"/>
        <v>-294.91914052069268</v>
      </c>
    </row>
    <row r="907" spans="13:45" x14ac:dyDescent="0.3">
      <c r="M907" s="78">
        <v>45042.145833333336</v>
      </c>
      <c r="N907" s="79">
        <v>3.4626673475440399E-2</v>
      </c>
      <c r="O907" s="5">
        <v>65.743635260000005</v>
      </c>
      <c r="P907" s="2">
        <v>27766</v>
      </c>
      <c r="Q907" s="7">
        <f t="shared" si="223"/>
        <v>462.76666666666665</v>
      </c>
      <c r="R907" s="6">
        <f t="shared" si="224"/>
        <v>16.024070261984633</v>
      </c>
      <c r="S907" s="6">
        <f t="shared" si="230"/>
        <v>144.48769162504249</v>
      </c>
      <c r="T907" s="2">
        <f t="shared" si="231"/>
        <v>1</v>
      </c>
      <c r="U907" s="6">
        <f t="shared" si="232"/>
        <v>144.48769162504249</v>
      </c>
      <c r="V907">
        <f t="shared" si="233"/>
        <v>0.20698667460473771</v>
      </c>
      <c r="W907" s="6">
        <f t="shared" si="225"/>
        <v>29.907026810782355</v>
      </c>
      <c r="AK907" s="78">
        <v>45041.145833333336</v>
      </c>
      <c r="AL907" s="79">
        <v>3.87330153614283E-2</v>
      </c>
      <c r="AM907" s="5">
        <v>72.523974480000007</v>
      </c>
      <c r="AN907" s="2">
        <v>22871</v>
      </c>
      <c r="AO907" s="7">
        <f t="shared" si="222"/>
        <v>381.18333333333334</v>
      </c>
      <c r="AP907" s="5">
        <f t="shared" si="226"/>
        <v>14.764379905520444</v>
      </c>
      <c r="AQ907" s="6">
        <f t="shared" si="227"/>
        <v>138.80920976535666</v>
      </c>
      <c r="AR907" s="2">
        <f t="shared" si="228"/>
        <v>-2.1301186875174403</v>
      </c>
      <c r="AS907" s="2">
        <f t="shared" si="229"/>
        <v>-295.68009172071459</v>
      </c>
    </row>
    <row r="908" spans="13:45" x14ac:dyDescent="0.3">
      <c r="M908" s="78">
        <v>45042.15625</v>
      </c>
      <c r="N908" s="79">
        <v>3.40966961880384E-2</v>
      </c>
      <c r="O908" s="5">
        <v>64.377553680000005</v>
      </c>
      <c r="P908" s="2">
        <v>27703</v>
      </c>
      <c r="Q908" s="7">
        <f t="shared" si="223"/>
        <v>461.71666666666664</v>
      </c>
      <c r="R908" s="6">
        <f t="shared" si="224"/>
        <v>15.743012908287129</v>
      </c>
      <c r="S908" s="6">
        <f t="shared" si="230"/>
        <v>143.24105584782211</v>
      </c>
      <c r="T908" s="2">
        <f t="shared" si="231"/>
        <v>1</v>
      </c>
      <c r="U908" s="6">
        <f t="shared" si="232"/>
        <v>143.24105584782211</v>
      </c>
      <c r="V908">
        <f t="shared" si="233"/>
        <v>0.15553927765646716</v>
      </c>
      <c r="W908" s="6">
        <f t="shared" si="225"/>
        <v>22.279610357319921</v>
      </c>
      <c r="AK908" s="78">
        <v>45041.15625</v>
      </c>
      <c r="AL908" s="79">
        <v>4.1444113171500402E-2</v>
      </c>
      <c r="AM908" s="5">
        <v>75.208694050000005</v>
      </c>
      <c r="AN908" s="2">
        <v>22316</v>
      </c>
      <c r="AO908" s="7">
        <f t="shared" si="222"/>
        <v>371.93333333333334</v>
      </c>
      <c r="AP908" s="5">
        <f t="shared" si="226"/>
        <v>15.41444715892005</v>
      </c>
      <c r="AQ908" s="6">
        <f t="shared" si="227"/>
        <v>141.76920743433047</v>
      </c>
      <c r="AR908" s="2">
        <f t="shared" si="228"/>
        <v>-2.1301186875174403</v>
      </c>
      <c r="AS908" s="2">
        <f t="shared" si="229"/>
        <v>-301.98523807040374</v>
      </c>
    </row>
    <row r="909" spans="13:45" x14ac:dyDescent="0.3">
      <c r="M909" s="78">
        <v>45042.166666666664</v>
      </c>
      <c r="N909" s="79">
        <v>3.4957020772338997E-2</v>
      </c>
      <c r="O909" s="5">
        <v>64.377553680000005</v>
      </c>
      <c r="P909" s="2">
        <v>27868</v>
      </c>
      <c r="Q909" s="7">
        <f t="shared" si="223"/>
        <v>464.46666666666664</v>
      </c>
      <c r="R909" s="6">
        <f t="shared" si="224"/>
        <v>16.236370914725718</v>
      </c>
      <c r="S909" s="6">
        <f t="shared" si="230"/>
        <v>145.42197494142434</v>
      </c>
      <c r="T909" s="2">
        <f t="shared" si="231"/>
        <v>1</v>
      </c>
      <c r="U909" s="6">
        <f t="shared" si="232"/>
        <v>145.42197494142434</v>
      </c>
      <c r="V909">
        <f t="shared" si="233"/>
        <v>0.24584819454099599</v>
      </c>
      <c r="W909" s="6">
        <f t="shared" si="225"/>
        <v>35.751729985935135</v>
      </c>
      <c r="AK909" s="78">
        <v>45041.166666666664</v>
      </c>
      <c r="AL909" s="79">
        <v>4.1396578198200799E-2</v>
      </c>
      <c r="AM909" s="5">
        <v>77.435049230000004</v>
      </c>
      <c r="AN909" s="2">
        <v>22824</v>
      </c>
      <c r="AO909" s="7">
        <f t="shared" si="222"/>
        <v>380.4</v>
      </c>
      <c r="AP909" s="5">
        <f t="shared" si="226"/>
        <v>15.747258346595583</v>
      </c>
      <c r="AQ909" s="6">
        <f t="shared" si="227"/>
        <v>143.25997067689957</v>
      </c>
      <c r="AR909" s="2">
        <f t="shared" si="228"/>
        <v>-2.1301186875174403</v>
      </c>
      <c r="AS909" s="2">
        <f t="shared" si="229"/>
        <v>-305.1607407120643</v>
      </c>
    </row>
    <row r="910" spans="13:45" x14ac:dyDescent="0.3">
      <c r="M910" s="78">
        <v>45042.177083333336</v>
      </c>
      <c r="N910" s="79">
        <v>3.4734308967119397E-2</v>
      </c>
      <c r="O910" s="5">
        <v>65.743635260000005</v>
      </c>
      <c r="P910" s="2">
        <v>26307</v>
      </c>
      <c r="Q910" s="7">
        <f t="shared" si="223"/>
        <v>438.45</v>
      </c>
      <c r="R910" s="6">
        <f t="shared" si="224"/>
        <v>15.229257766633499</v>
      </c>
      <c r="S910" s="6">
        <f t="shared" si="230"/>
        <v>140.93256960745282</v>
      </c>
      <c r="T910" s="2">
        <f t="shared" si="231"/>
        <v>1</v>
      </c>
      <c r="U910" s="6">
        <f t="shared" si="232"/>
        <v>140.93256960745282</v>
      </c>
      <c r="V910">
        <f t="shared" si="233"/>
        <v>6.1496676176212614E-2</v>
      </c>
      <c r="W910" s="6">
        <f t="shared" si="225"/>
        <v>8.6668845958310694</v>
      </c>
      <c r="AK910" s="78">
        <v>45041.177083333336</v>
      </c>
      <c r="AL910" s="79">
        <v>4.3133470738994498E-2</v>
      </c>
      <c r="AM910" s="5">
        <v>79.641055789999996</v>
      </c>
      <c r="AN910" s="2">
        <v>22683</v>
      </c>
      <c r="AO910" s="7">
        <f t="shared" si="222"/>
        <v>378.05</v>
      </c>
      <c r="AP910" s="5">
        <f t="shared" si="226"/>
        <v>16.306608612876872</v>
      </c>
      <c r="AQ910" s="6">
        <f t="shared" si="227"/>
        <v>145.72970000271445</v>
      </c>
      <c r="AR910" s="2">
        <f t="shared" si="228"/>
        <v>-2.1301186875174403</v>
      </c>
      <c r="AS910" s="2">
        <f t="shared" si="229"/>
        <v>-310.42155730209242</v>
      </c>
    </row>
    <row r="911" spans="13:45" x14ac:dyDescent="0.3">
      <c r="M911" s="78">
        <v>45042.1875</v>
      </c>
      <c r="N911" s="79">
        <v>3.8545281706849698E-2</v>
      </c>
      <c r="O911" s="5">
        <v>66.655723199999997</v>
      </c>
      <c r="P911" s="2">
        <v>25488</v>
      </c>
      <c r="Q911" s="7">
        <f t="shared" si="223"/>
        <v>424.8</v>
      </c>
      <c r="R911" s="6">
        <f t="shared" si="224"/>
        <v>16.374035669069752</v>
      </c>
      <c r="S911" s="6">
        <f t="shared" si="230"/>
        <v>146.02447540581827</v>
      </c>
      <c r="T911" s="2">
        <f t="shared" si="231"/>
        <v>1</v>
      </c>
      <c r="U911" s="6">
        <f t="shared" si="232"/>
        <v>146.02447540581827</v>
      </c>
      <c r="V911">
        <f t="shared" si="233"/>
        <v>0.27104765354588789</v>
      </c>
      <c r="W911" s="6">
        <f t="shared" si="225"/>
        <v>39.579591419016253</v>
      </c>
      <c r="AK911" s="78">
        <v>45041.1875</v>
      </c>
      <c r="AL911" s="79">
        <v>3.8080654656153998E-2</v>
      </c>
      <c r="AM911" s="5">
        <v>72.970159429999995</v>
      </c>
      <c r="AN911" s="2">
        <v>23356</v>
      </c>
      <c r="AO911" s="7">
        <f t="shared" si="222"/>
        <v>389.26666666666665</v>
      </c>
      <c r="AP911" s="5">
        <f t="shared" si="226"/>
        <v>14.823529502485545</v>
      </c>
      <c r="AQ911" s="6">
        <f t="shared" si="227"/>
        <v>139.08125536087164</v>
      </c>
      <c r="AR911" s="2">
        <f t="shared" si="228"/>
        <v>-2.1301186875174403</v>
      </c>
      <c r="AS911" s="2">
        <f t="shared" si="229"/>
        <v>-296.25958112757786</v>
      </c>
    </row>
    <row r="912" spans="13:45" x14ac:dyDescent="0.3">
      <c r="M912" s="78">
        <v>45042.197916666664</v>
      </c>
      <c r="N912" s="79">
        <v>3.4617419873908699E-2</v>
      </c>
      <c r="O912" s="5">
        <v>63.015482910000003</v>
      </c>
      <c r="P912" s="2">
        <v>26186</v>
      </c>
      <c r="Q912" s="7">
        <f t="shared" si="223"/>
        <v>436.43333333333334</v>
      </c>
      <c r="R912" s="6">
        <f t="shared" si="224"/>
        <v>15.108195946969554</v>
      </c>
      <c r="S912" s="6">
        <f t="shared" si="230"/>
        <v>140.38283454058572</v>
      </c>
      <c r="T912" s="2">
        <f t="shared" si="231"/>
        <v>1</v>
      </c>
      <c r="U912" s="6">
        <f t="shared" si="232"/>
        <v>140.38283454058572</v>
      </c>
      <c r="V912">
        <f t="shared" si="233"/>
        <v>3.9336375406305281E-2</v>
      </c>
      <c r="W912" s="6">
        <f t="shared" si="225"/>
        <v>5.5221518800897194</v>
      </c>
      <c r="AK912" s="78">
        <v>45041.197916666664</v>
      </c>
      <c r="AL912" s="79">
        <v>3.8219449564839997E-2</v>
      </c>
      <c r="AM912" s="5">
        <v>76.101800600000004</v>
      </c>
      <c r="AN912" s="2">
        <v>23073</v>
      </c>
      <c r="AO912" s="7">
        <f t="shared" si="222"/>
        <v>384.55</v>
      </c>
      <c r="AP912" s="5">
        <f t="shared" si="226"/>
        <v>14.69728933015922</v>
      </c>
      <c r="AQ912" s="6">
        <f t="shared" si="227"/>
        <v>138.49996733074738</v>
      </c>
      <c r="AR912" s="2">
        <f t="shared" si="228"/>
        <v>-2.1301186875174403</v>
      </c>
      <c r="AS912" s="2">
        <f t="shared" si="229"/>
        <v>-295.02136863177998</v>
      </c>
    </row>
    <row r="913" spans="13:45" x14ac:dyDescent="0.3">
      <c r="M913" s="78">
        <v>45042.208333333336</v>
      </c>
      <c r="N913" s="79">
        <v>3.6208123882413498E-2</v>
      </c>
      <c r="O913" s="5">
        <v>65.290959470000004</v>
      </c>
      <c r="P913" s="2">
        <v>26922</v>
      </c>
      <c r="Q913" s="7">
        <f t="shared" si="223"/>
        <v>448.7</v>
      </c>
      <c r="R913" s="6">
        <f t="shared" si="224"/>
        <v>16.246585186038935</v>
      </c>
      <c r="S913" s="6">
        <f t="shared" si="230"/>
        <v>145.46676780977617</v>
      </c>
      <c r="T913" s="2">
        <f t="shared" si="231"/>
        <v>1</v>
      </c>
      <c r="U913" s="6">
        <f t="shared" si="232"/>
        <v>145.46676780977617</v>
      </c>
      <c r="V913">
        <f t="shared" si="233"/>
        <v>0.24771791139371346</v>
      </c>
      <c r="W913" s="6">
        <f t="shared" si="225"/>
        <v>36.034723899032024</v>
      </c>
      <c r="AK913" s="78">
        <v>45041.208333333336</v>
      </c>
      <c r="AL913" s="79">
        <v>3.82334256165772E-2</v>
      </c>
      <c r="AM913" s="5">
        <v>79.641055789999996</v>
      </c>
      <c r="AN913" s="2">
        <v>22870</v>
      </c>
      <c r="AO913" s="7">
        <f t="shared" si="222"/>
        <v>381.16666666666669</v>
      </c>
      <c r="AP913" s="5">
        <f t="shared" si="226"/>
        <v>14.573307397518677</v>
      </c>
      <c r="AQ913" s="6">
        <f t="shared" si="227"/>
        <v>137.92659243673231</v>
      </c>
      <c r="AR913" s="2">
        <f t="shared" si="228"/>
        <v>-2.1301186875174403</v>
      </c>
      <c r="AS913" s="2">
        <f t="shared" si="229"/>
        <v>-293.80001205508512</v>
      </c>
    </row>
    <row r="914" spans="13:45" x14ac:dyDescent="0.3">
      <c r="M914" s="78">
        <v>45042.21875</v>
      </c>
      <c r="N914" s="79">
        <v>3.5421184818305702E-2</v>
      </c>
      <c r="O914" s="5">
        <v>66.655723199999997</v>
      </c>
      <c r="P914" s="2">
        <v>26749</v>
      </c>
      <c r="Q914" s="7">
        <f t="shared" si="223"/>
        <v>445.81666666666666</v>
      </c>
      <c r="R914" s="6">
        <f t="shared" si="224"/>
        <v>15.791354545080987</v>
      </c>
      <c r="S914" s="6">
        <f t="shared" si="230"/>
        <v>143.45628011968336</v>
      </c>
      <c r="T914" s="2">
        <f t="shared" si="231"/>
        <v>1</v>
      </c>
      <c r="U914" s="6">
        <f t="shared" si="232"/>
        <v>143.45628011968336</v>
      </c>
      <c r="V914">
        <f t="shared" si="233"/>
        <v>0.16438818818858392</v>
      </c>
      <c r="W914" s="6">
        <f t="shared" si="225"/>
        <v>23.582517973148718</v>
      </c>
      <c r="AK914" s="78">
        <v>45041.21875</v>
      </c>
      <c r="AL914" s="79">
        <v>3.7477931124156198E-2</v>
      </c>
      <c r="AM914" s="5">
        <v>76.544179459999995</v>
      </c>
      <c r="AN914" s="2">
        <v>22901</v>
      </c>
      <c r="AO914" s="7">
        <f t="shared" si="222"/>
        <v>381.68333333333334</v>
      </c>
      <c r="AP914" s="5">
        <f t="shared" si="226"/>
        <v>14.304701677905019</v>
      </c>
      <c r="AQ914" s="6">
        <f t="shared" si="227"/>
        <v>136.67578078199401</v>
      </c>
      <c r="AR914" s="2">
        <f t="shared" si="228"/>
        <v>-2.1301186875174403</v>
      </c>
      <c r="AS914" s="2">
        <f t="shared" si="229"/>
        <v>-291.13563477476248</v>
      </c>
    </row>
    <row r="915" spans="13:45" x14ac:dyDescent="0.3">
      <c r="M915" s="78">
        <v>45042.229166666664</v>
      </c>
      <c r="N915" s="79">
        <v>3.2939942789452802E-2</v>
      </c>
      <c r="O915" s="5">
        <v>65.290959470000004</v>
      </c>
      <c r="P915" s="2">
        <v>26106</v>
      </c>
      <c r="Q915" s="7">
        <f t="shared" si="223"/>
        <v>435.1</v>
      </c>
      <c r="R915" s="6">
        <f t="shared" si="224"/>
        <v>14.332169107690914</v>
      </c>
      <c r="S915" s="6">
        <f t="shared" si="230"/>
        <v>136.80423496894392</v>
      </c>
      <c r="T915" s="2">
        <f t="shared" si="231"/>
        <v>1</v>
      </c>
      <c r="U915" s="6">
        <f t="shared" si="232"/>
        <v>136.80423496894392</v>
      </c>
      <c r="V915">
        <f t="shared" si="233"/>
        <v>0</v>
      </c>
      <c r="W915" s="6">
        <f t="shared" si="225"/>
        <v>0</v>
      </c>
      <c r="AK915" s="78">
        <v>45041.229166666664</v>
      </c>
      <c r="AL915" s="79">
        <v>4.0585797856442701E-2</v>
      </c>
      <c r="AM915" s="5">
        <v>75.208694050000005</v>
      </c>
      <c r="AN915" s="2">
        <v>23377</v>
      </c>
      <c r="AO915" s="7">
        <f t="shared" si="222"/>
        <v>389.61666666666667</v>
      </c>
      <c r="AP915" s="5">
        <f t="shared" si="226"/>
        <v>15.812903274834351</v>
      </c>
      <c r="AQ915" s="6">
        <f t="shared" si="227"/>
        <v>143.55210997366547</v>
      </c>
      <c r="AR915" s="2">
        <f t="shared" si="228"/>
        <v>-2.1301186875174403</v>
      </c>
      <c r="AS915" s="2">
        <f t="shared" si="229"/>
        <v>-305.78303208746354</v>
      </c>
    </row>
    <row r="916" spans="13:45" x14ac:dyDescent="0.3">
      <c r="M916" s="78">
        <v>45042.239583333336</v>
      </c>
      <c r="N916" s="79">
        <v>3.5320729765703697E-2</v>
      </c>
      <c r="O916" s="5">
        <v>66.655723199999997</v>
      </c>
      <c r="P916" s="2">
        <v>25863</v>
      </c>
      <c r="Q916" s="7">
        <f t="shared" si="223"/>
        <v>431.05</v>
      </c>
      <c r="R916" s="6">
        <f t="shared" si="224"/>
        <v>15.22500056550658</v>
      </c>
      <c r="S916" s="6">
        <f t="shared" si="230"/>
        <v>140.9132758024615</v>
      </c>
      <c r="T916" s="2">
        <f t="shared" si="231"/>
        <v>1</v>
      </c>
      <c r="U916" s="6">
        <f t="shared" si="232"/>
        <v>140.9132758024615</v>
      </c>
      <c r="V916">
        <f t="shared" si="233"/>
        <v>6.0717397806926691E-2</v>
      </c>
      <c r="W916" s="6">
        <f t="shared" si="225"/>
        <v>8.555887423175232</v>
      </c>
      <c r="AK916" s="78">
        <v>45041.239583333336</v>
      </c>
      <c r="AL916" s="79">
        <v>3.73745453063907E-2</v>
      </c>
      <c r="AM916" s="5">
        <v>76.101800600000004</v>
      </c>
      <c r="AN916" s="2">
        <v>23538</v>
      </c>
      <c r="AO916" s="7">
        <f t="shared" si="222"/>
        <v>392.3</v>
      </c>
      <c r="AP916" s="5">
        <f t="shared" si="226"/>
        <v>14.662034123697072</v>
      </c>
      <c r="AQ916" s="6">
        <f t="shared" si="227"/>
        <v>138.33717578751481</v>
      </c>
      <c r="AR916" s="2">
        <f t="shared" si="228"/>
        <v>-2.1301186875174403</v>
      </c>
      <c r="AS916" s="2">
        <f t="shared" si="229"/>
        <v>-294.67460332337043</v>
      </c>
    </row>
    <row r="917" spans="13:45" x14ac:dyDescent="0.3">
      <c r="M917" s="78">
        <v>45042.25</v>
      </c>
      <c r="N917" s="79">
        <v>3.4780633913005003E-2</v>
      </c>
      <c r="O917" s="5">
        <v>68.008627450000006</v>
      </c>
      <c r="P917" s="2">
        <v>27398</v>
      </c>
      <c r="Q917" s="7">
        <f t="shared" si="223"/>
        <v>456.63333333333333</v>
      </c>
      <c r="R917" s="6">
        <f t="shared" si="224"/>
        <v>15.88199679914185</v>
      </c>
      <c r="S917" s="6">
        <f t="shared" si="230"/>
        <v>143.8589288182354</v>
      </c>
      <c r="T917" s="2">
        <f t="shared" si="231"/>
        <v>1</v>
      </c>
      <c r="U917" s="6">
        <f t="shared" si="232"/>
        <v>143.8589288182354</v>
      </c>
      <c r="V917">
        <f t="shared" si="233"/>
        <v>0.18098020388789299</v>
      </c>
      <c r="W917" s="6">
        <f t="shared" si="225"/>
        <v>26.035618268618126</v>
      </c>
      <c r="AK917" s="78">
        <v>45041.25</v>
      </c>
      <c r="AL917" s="79">
        <v>4.1035279996291397E-2</v>
      </c>
      <c r="AM917" s="5">
        <v>77.435049230000004</v>
      </c>
      <c r="AN917" s="2">
        <v>22877</v>
      </c>
      <c r="AO917" s="7">
        <f t="shared" si="222"/>
        <v>381.28333333333336</v>
      </c>
      <c r="AP917" s="5">
        <f t="shared" si="226"/>
        <v>15.64606834125264</v>
      </c>
      <c r="AQ917" s="6">
        <f t="shared" si="227"/>
        <v>142.80842529225527</v>
      </c>
      <c r="AR917" s="2">
        <f t="shared" si="228"/>
        <v>-2.1301186875174403</v>
      </c>
      <c r="AS917" s="2">
        <f t="shared" si="229"/>
        <v>-304.19889544997119</v>
      </c>
    </row>
    <row r="918" spans="13:45" x14ac:dyDescent="0.3">
      <c r="M918" s="78">
        <v>45042.260416666664</v>
      </c>
      <c r="N918" s="79">
        <v>3.3546052150809198E-2</v>
      </c>
      <c r="O918" s="5">
        <v>68.016396760000006</v>
      </c>
      <c r="P918" s="2">
        <v>25907</v>
      </c>
      <c r="Q918" s="7">
        <f t="shared" si="223"/>
        <v>431.78333333333336</v>
      </c>
      <c r="R918" s="6">
        <f t="shared" si="224"/>
        <v>14.484626217850233</v>
      </c>
      <c r="S918" s="6">
        <f t="shared" si="230"/>
        <v>137.51494321906378</v>
      </c>
      <c r="T918" s="2">
        <f t="shared" si="231"/>
        <v>1</v>
      </c>
      <c r="U918" s="6">
        <f t="shared" si="232"/>
        <v>137.51494321906378</v>
      </c>
      <c r="V918">
        <f t="shared" si="233"/>
        <v>0</v>
      </c>
      <c r="W918" s="6">
        <f t="shared" si="225"/>
        <v>0</v>
      </c>
      <c r="AK918" s="78">
        <v>45041.260416666664</v>
      </c>
      <c r="AL918" s="79">
        <v>3.9227500344454901E-2</v>
      </c>
      <c r="AM918" s="5">
        <v>70.271667750000006</v>
      </c>
      <c r="AN918" s="2">
        <v>23027</v>
      </c>
      <c r="AO918" s="7">
        <f t="shared" si="222"/>
        <v>383.78333333333336</v>
      </c>
      <c r="AP918" s="5">
        <f t="shared" si="226"/>
        <v>15.054860840529384</v>
      </c>
      <c r="AQ918" s="6">
        <f t="shared" si="227"/>
        <v>140.1399295866882</v>
      </c>
      <c r="AR918" s="2">
        <f t="shared" si="228"/>
        <v>-2.1301186875174403</v>
      </c>
      <c r="AS918" s="2">
        <f t="shared" si="229"/>
        <v>-298.51468287998279</v>
      </c>
    </row>
    <row r="919" spans="13:45" x14ac:dyDescent="0.3">
      <c r="M919" s="78">
        <v>45042.270833333336</v>
      </c>
      <c r="N919" s="79">
        <v>3.5637011128185E-2</v>
      </c>
      <c r="O919" s="5">
        <v>68.008627450000006</v>
      </c>
      <c r="P919" s="2">
        <v>25317</v>
      </c>
      <c r="Q919" s="7">
        <f t="shared" si="223"/>
        <v>421.95</v>
      </c>
      <c r="R919" s="6">
        <f t="shared" si="224"/>
        <v>15.03703684553766</v>
      </c>
      <c r="S919" s="6">
        <f t="shared" si="230"/>
        <v>140.05865560147004</v>
      </c>
      <c r="T919" s="2">
        <f t="shared" si="231"/>
        <v>1</v>
      </c>
      <c r="U919" s="6">
        <f t="shared" si="232"/>
        <v>140.05865560147004</v>
      </c>
      <c r="V919">
        <f t="shared" si="233"/>
        <v>2.6310740283485873E-2</v>
      </c>
      <c r="W919" s="6">
        <f t="shared" si="225"/>
        <v>3.6850469119844718</v>
      </c>
      <c r="AK919" s="78">
        <v>45041.270833333336</v>
      </c>
      <c r="AL919" s="79">
        <v>4.0149270128805502E-2</v>
      </c>
      <c r="AM919" s="5">
        <v>74.764849499999997</v>
      </c>
      <c r="AN919" s="2">
        <v>23303</v>
      </c>
      <c r="AO919" s="7">
        <f t="shared" si="222"/>
        <v>388.38333333333333</v>
      </c>
      <c r="AP919" s="5">
        <f t="shared" si="226"/>
        <v>15.593307363525909</v>
      </c>
      <c r="AQ919" s="6">
        <f t="shared" si="227"/>
        <v>142.57239611621569</v>
      </c>
      <c r="AR919" s="2">
        <f t="shared" si="228"/>
        <v>-2.1301186875174403</v>
      </c>
      <c r="AS919" s="2">
        <f t="shared" si="229"/>
        <v>-303.69612529128995</v>
      </c>
    </row>
    <row r="920" spans="13:45" x14ac:dyDescent="0.3">
      <c r="M920" s="78">
        <v>45042.28125</v>
      </c>
      <c r="N920" s="79">
        <v>3.2940764767365002E-2</v>
      </c>
      <c r="O920" s="5">
        <v>70.271667750000006</v>
      </c>
      <c r="P920" s="2">
        <v>27341</v>
      </c>
      <c r="Q920" s="7">
        <f t="shared" si="223"/>
        <v>455.68333333333334</v>
      </c>
      <c r="R920" s="6">
        <f t="shared" si="224"/>
        <v>15.010557491742109</v>
      </c>
      <c r="S920" s="6">
        <f t="shared" si="230"/>
        <v>139.93782402672545</v>
      </c>
      <c r="T920" s="2">
        <f t="shared" si="231"/>
        <v>1</v>
      </c>
      <c r="U920" s="6">
        <f t="shared" si="232"/>
        <v>139.93782402672545</v>
      </c>
      <c r="V920">
        <f t="shared" si="233"/>
        <v>2.1463708858292758E-2</v>
      </c>
      <c r="W920" s="6">
        <f t="shared" si="225"/>
        <v>3.0035847131726401</v>
      </c>
      <c r="AK920" s="78">
        <v>45041.28125</v>
      </c>
      <c r="AL920" s="79">
        <v>3.6681883943148003E-2</v>
      </c>
      <c r="AM920" s="5">
        <v>74.764849499999997</v>
      </c>
      <c r="AN920" s="2">
        <v>23385</v>
      </c>
      <c r="AO920" s="7">
        <f t="shared" si="222"/>
        <v>389.75</v>
      </c>
      <c r="AP920" s="5">
        <f t="shared" si="226"/>
        <v>14.296764266841935</v>
      </c>
      <c r="AQ920" s="6">
        <f t="shared" si="227"/>
        <v>136.63863724697563</v>
      </c>
      <c r="AR920" s="2">
        <f t="shared" si="228"/>
        <v>-2.1301186875174403</v>
      </c>
      <c r="AS920" s="2">
        <f t="shared" si="229"/>
        <v>-291.05651463669938</v>
      </c>
    </row>
    <row r="921" spans="13:45" x14ac:dyDescent="0.3">
      <c r="M921" s="78">
        <v>45042.291666666664</v>
      </c>
      <c r="N921" s="79">
        <v>3.4877567299764302E-2</v>
      </c>
      <c r="O921" s="5">
        <v>63.015482910000003</v>
      </c>
      <c r="P921" s="2">
        <v>26893</v>
      </c>
      <c r="Q921" s="7">
        <f t="shared" si="223"/>
        <v>448.21666666666664</v>
      </c>
      <c r="R921" s="6">
        <f t="shared" si="224"/>
        <v>15.632706956542689</v>
      </c>
      <c r="S921" s="6">
        <f t="shared" si="230"/>
        <v>142.74869084629628</v>
      </c>
      <c r="T921" s="2">
        <f t="shared" si="231"/>
        <v>1</v>
      </c>
      <c r="U921" s="6">
        <f t="shared" si="232"/>
        <v>142.74869084629628</v>
      </c>
      <c r="V921">
        <f t="shared" si="233"/>
        <v>0.13534783270583686</v>
      </c>
      <c r="W921" s="6">
        <f t="shared" si="225"/>
        <v>19.320725927641735</v>
      </c>
      <c r="AK921" s="78">
        <v>45041.291666666664</v>
      </c>
      <c r="AL921" s="79">
        <v>3.7068521665311098E-2</v>
      </c>
      <c r="AM921" s="5">
        <v>76.544179459999995</v>
      </c>
      <c r="AN921" s="2">
        <v>23352</v>
      </c>
      <c r="AO921" s="7">
        <f t="shared" si="222"/>
        <v>389.2</v>
      </c>
      <c r="AP921" s="5">
        <f t="shared" si="226"/>
        <v>14.427068632139079</v>
      </c>
      <c r="AQ921" s="6">
        <f t="shared" si="227"/>
        <v>137.24707804080842</v>
      </c>
      <c r="AR921" s="2">
        <f t="shared" si="228"/>
        <v>-2.1301186875174403</v>
      </c>
      <c r="AS921" s="2">
        <f t="shared" si="229"/>
        <v>-292.35256574189054</v>
      </c>
    </row>
    <row r="922" spans="13:45" x14ac:dyDescent="0.3">
      <c r="M922" s="78">
        <v>45042.302083333336</v>
      </c>
      <c r="N922" s="79">
        <v>3.5392081595778703E-2</v>
      </c>
      <c r="O922" s="5">
        <v>63.015482910000003</v>
      </c>
      <c r="P922" s="2">
        <v>26751</v>
      </c>
      <c r="Q922" s="7">
        <f t="shared" si="223"/>
        <v>445.85</v>
      </c>
      <c r="R922" s="6">
        <f t="shared" si="224"/>
        <v>15.779559579477935</v>
      </c>
      <c r="S922" s="6">
        <f t="shared" si="230"/>
        <v>143.4037981949796</v>
      </c>
      <c r="T922" s="2">
        <f t="shared" si="231"/>
        <v>1</v>
      </c>
      <c r="U922" s="6">
        <f t="shared" si="232"/>
        <v>143.4037981949796</v>
      </c>
      <c r="V922">
        <f t="shared" si="233"/>
        <v>0.16222912609898452</v>
      </c>
      <c r="W922" s="6">
        <f t="shared" si="225"/>
        <v>23.264272860446674</v>
      </c>
      <c r="AK922" s="78">
        <v>45041.302083333336</v>
      </c>
      <c r="AL922" s="79">
        <v>3.9881517753567103E-2</v>
      </c>
      <c r="AM922" s="5">
        <v>77.435049230000004</v>
      </c>
      <c r="AN922" s="2">
        <v>22597</v>
      </c>
      <c r="AO922" s="7">
        <f t="shared" si="222"/>
        <v>376.61666666666667</v>
      </c>
      <c r="AP922" s="5">
        <f t="shared" si="226"/>
        <v>15.020044277955931</v>
      </c>
      <c r="AQ922" s="6">
        <f t="shared" si="227"/>
        <v>139.9811269779523</v>
      </c>
      <c r="AR922" s="2">
        <f t="shared" si="228"/>
        <v>-2.1301186875174403</v>
      </c>
      <c r="AS922" s="2">
        <f t="shared" si="229"/>
        <v>-298.17641447548789</v>
      </c>
    </row>
    <row r="923" spans="13:45" x14ac:dyDescent="0.3">
      <c r="M923" s="78">
        <v>45042.3125</v>
      </c>
      <c r="N923" s="79">
        <v>3.3383489888230797E-2</v>
      </c>
      <c r="O923" s="5">
        <v>65.290959470000004</v>
      </c>
      <c r="P923" s="2">
        <v>25999</v>
      </c>
      <c r="Q923" s="7">
        <f t="shared" si="223"/>
        <v>433.31666666666666</v>
      </c>
      <c r="R923" s="6">
        <f t="shared" si="224"/>
        <v>14.465622560068541</v>
      </c>
      <c r="S923" s="6">
        <f t="shared" si="230"/>
        <v>137.4265629417711</v>
      </c>
      <c r="T923" s="2">
        <f t="shared" si="231"/>
        <v>1</v>
      </c>
      <c r="U923" s="6">
        <f t="shared" si="232"/>
        <v>137.4265629417711</v>
      </c>
      <c r="V923">
        <f t="shared" si="233"/>
        <v>0</v>
      </c>
      <c r="W923" s="6">
        <f t="shared" si="225"/>
        <v>0</v>
      </c>
      <c r="AK923" s="78">
        <v>45041.3125</v>
      </c>
      <c r="AL923" s="79">
        <v>3.9627183414747101E-2</v>
      </c>
      <c r="AM923" s="5">
        <v>71.622551369999996</v>
      </c>
      <c r="AN923" s="2">
        <v>23391</v>
      </c>
      <c r="AO923" s="7">
        <f t="shared" si="222"/>
        <v>389.85</v>
      </c>
      <c r="AP923" s="5">
        <f t="shared" si="226"/>
        <v>15.448657454239159</v>
      </c>
      <c r="AQ923" s="6">
        <f t="shared" si="227"/>
        <v>141.92319837141693</v>
      </c>
      <c r="AR923" s="2">
        <f t="shared" si="228"/>
        <v>-2.1301186875174403</v>
      </c>
      <c r="AS923" s="2">
        <f t="shared" si="229"/>
        <v>-302.31325704319994</v>
      </c>
    </row>
    <row r="924" spans="13:45" x14ac:dyDescent="0.3">
      <c r="M924" s="78">
        <v>45042.322916666664</v>
      </c>
      <c r="N924" s="79">
        <v>3.3001387009601701E-2</v>
      </c>
      <c r="O924" s="5">
        <v>66.655723199999997</v>
      </c>
      <c r="P924" s="2">
        <v>27814</v>
      </c>
      <c r="Q924" s="7">
        <f t="shared" si="223"/>
        <v>463.56666666666666</v>
      </c>
      <c r="R924" s="6">
        <f t="shared" si="224"/>
        <v>15.298342971417695</v>
      </c>
      <c r="S924" s="6">
        <f t="shared" si="230"/>
        <v>141.24528263009961</v>
      </c>
      <c r="T924" s="2">
        <f t="shared" si="231"/>
        <v>1</v>
      </c>
      <c r="U924" s="6">
        <f t="shared" si="232"/>
        <v>141.24528263009961</v>
      </c>
      <c r="V924">
        <f t="shared" si="233"/>
        <v>7.4142685636653438E-2</v>
      </c>
      <c r="W924" s="6">
        <f t="shared" si="225"/>
        <v>10.472304587703741</v>
      </c>
      <c r="AK924" s="78">
        <v>45041.322916666664</v>
      </c>
      <c r="AL924" s="79">
        <v>4.0219027308571097E-2</v>
      </c>
      <c r="AM924" s="5">
        <v>73.868067069999995</v>
      </c>
      <c r="AN924" s="2">
        <v>22983</v>
      </c>
      <c r="AO924" s="7">
        <f t="shared" si="222"/>
        <v>383.05</v>
      </c>
      <c r="AP924" s="5">
        <f t="shared" si="226"/>
        <v>15.40589841054816</v>
      </c>
      <c r="AQ924" s="6">
        <f t="shared" si="227"/>
        <v>141.7306996914275</v>
      </c>
      <c r="AR924" s="2">
        <f t="shared" si="228"/>
        <v>-2.1301186875174403</v>
      </c>
      <c r="AS924" s="2">
        <f t="shared" si="229"/>
        <v>-301.90321200763202</v>
      </c>
    </row>
    <row r="925" spans="13:45" x14ac:dyDescent="0.3">
      <c r="M925" s="78">
        <v>45042.333333333336</v>
      </c>
      <c r="N925" s="79">
        <v>3.5101031163172099E-2</v>
      </c>
      <c r="O925" s="5">
        <v>63.015482910000003</v>
      </c>
      <c r="P925" s="2">
        <v>27057</v>
      </c>
      <c r="Q925" s="7">
        <f t="shared" si="223"/>
        <v>450.95</v>
      </c>
      <c r="R925" s="6">
        <f t="shared" si="224"/>
        <v>15.828810003032457</v>
      </c>
      <c r="S925" s="6">
        <f t="shared" si="230"/>
        <v>143.62280640708218</v>
      </c>
      <c r="T925" s="2">
        <f t="shared" si="231"/>
        <v>1</v>
      </c>
      <c r="U925" s="6">
        <f t="shared" si="232"/>
        <v>143.62280640708218</v>
      </c>
      <c r="V925">
        <f t="shared" si="233"/>
        <v>0.17124438955729995</v>
      </c>
      <c r="W925" s="6">
        <f t="shared" si="225"/>
        <v>24.594599809687058</v>
      </c>
      <c r="AK925" s="78">
        <v>45041.333333333336</v>
      </c>
      <c r="AL925" s="79">
        <v>3.7496724339887003E-2</v>
      </c>
      <c r="AM925" s="5">
        <v>68.916923760000003</v>
      </c>
      <c r="AN925" s="2">
        <v>23419</v>
      </c>
      <c r="AO925" s="7">
        <f t="shared" si="222"/>
        <v>390.31666666666666</v>
      </c>
      <c r="AP925" s="5">
        <f t="shared" si="226"/>
        <v>14.635596455263562</v>
      </c>
      <c r="AQ925" s="6">
        <f t="shared" si="227"/>
        <v>138.21496828282179</v>
      </c>
      <c r="AR925" s="2">
        <f t="shared" si="228"/>
        <v>-2.1301186875174403</v>
      </c>
      <c r="AS925" s="2">
        <f t="shared" si="229"/>
        <v>-294.41428683386897</v>
      </c>
    </row>
    <row r="926" spans="13:45" x14ac:dyDescent="0.3">
      <c r="M926" s="78">
        <v>45042.34375</v>
      </c>
      <c r="N926" s="79">
        <v>3.5276066084965002E-2</v>
      </c>
      <c r="O926" s="5">
        <v>60.060669519999998</v>
      </c>
      <c r="P926" s="2">
        <v>27507</v>
      </c>
      <c r="Q926" s="7">
        <f t="shared" si="223"/>
        <v>458.45</v>
      </c>
      <c r="R926" s="6">
        <f t="shared" si="224"/>
        <v>16.172312496652204</v>
      </c>
      <c r="S926" s="6">
        <f t="shared" si="230"/>
        <v>145.14072967317205</v>
      </c>
      <c r="T926" s="2">
        <f t="shared" si="231"/>
        <v>1</v>
      </c>
      <c r="U926" s="6">
        <f t="shared" si="232"/>
        <v>145.14072967317205</v>
      </c>
      <c r="V926">
        <f t="shared" si="233"/>
        <v>0.23412233567571469</v>
      </c>
      <c r="W926" s="6">
        <f t="shared" si="225"/>
        <v>33.980686632760552</v>
      </c>
      <c r="AK926" s="78">
        <v>45041.34375</v>
      </c>
      <c r="AL926" s="79">
        <v>3.9587823934832601E-2</v>
      </c>
      <c r="AM926" s="5">
        <v>74.757192930000002</v>
      </c>
      <c r="AN926" s="2">
        <v>23365</v>
      </c>
      <c r="AO926" s="7">
        <f t="shared" si="222"/>
        <v>389.41666666666669</v>
      </c>
      <c r="AP926" s="5">
        <f t="shared" si="226"/>
        <v>15.416158437289397</v>
      </c>
      <c r="AQ926" s="6">
        <f t="shared" si="227"/>
        <v>141.77691455966496</v>
      </c>
      <c r="AR926" s="2">
        <f t="shared" si="228"/>
        <v>-2.1301186875174403</v>
      </c>
      <c r="AS926" s="2">
        <f t="shared" si="229"/>
        <v>-302.00165516210581</v>
      </c>
    </row>
    <row r="927" spans="13:45" x14ac:dyDescent="0.3">
      <c r="M927" s="78">
        <v>45042.354166666664</v>
      </c>
      <c r="N927" s="79">
        <v>3.2269001317418597E-2</v>
      </c>
      <c r="O927" s="5">
        <v>65.283151739999994</v>
      </c>
      <c r="P927" s="2">
        <v>28111</v>
      </c>
      <c r="Q927" s="7">
        <f t="shared" si="223"/>
        <v>468.51666666666665</v>
      </c>
      <c r="R927" s="6">
        <f t="shared" si="224"/>
        <v>15.118564933899236</v>
      </c>
      <c r="S927" s="6">
        <f t="shared" si="230"/>
        <v>140.43000735614197</v>
      </c>
      <c r="T927" s="2">
        <f t="shared" si="231"/>
        <v>1</v>
      </c>
      <c r="U927" s="6">
        <f t="shared" si="232"/>
        <v>140.43000735614197</v>
      </c>
      <c r="V927">
        <f t="shared" si="233"/>
        <v>4.1234412869139141E-2</v>
      </c>
      <c r="W927" s="6">
        <f t="shared" si="225"/>
        <v>5.7905489025394044</v>
      </c>
      <c r="AK927" s="78">
        <v>45041.354166666664</v>
      </c>
      <c r="AL927" s="79">
        <v>3.7982272948188699E-2</v>
      </c>
      <c r="AM927" s="5">
        <v>68.916923760000003</v>
      </c>
      <c r="AN927" s="2">
        <v>23384</v>
      </c>
      <c r="AO927" s="7">
        <f t="shared" si="222"/>
        <v>389.73333333333335</v>
      </c>
      <c r="AP927" s="5">
        <f t="shared" si="226"/>
        <v>14.802957843674076</v>
      </c>
      <c r="AQ927" s="6">
        <f t="shared" si="227"/>
        <v>138.98670346176678</v>
      </c>
      <c r="AR927" s="2">
        <f t="shared" si="228"/>
        <v>-2.1301186875174403</v>
      </c>
      <c r="AS927" s="2">
        <f t="shared" si="229"/>
        <v>-296.05817436035431</v>
      </c>
    </row>
    <row r="928" spans="13:45" x14ac:dyDescent="0.3">
      <c r="M928" s="78">
        <v>45042.364583333336</v>
      </c>
      <c r="N928" s="79">
        <v>3.3130792034830998E-2</v>
      </c>
      <c r="O928" s="5">
        <v>64.377553680000005</v>
      </c>
      <c r="P928" s="2">
        <v>26847</v>
      </c>
      <c r="Q928" s="7">
        <f t="shared" si="223"/>
        <v>447.45</v>
      </c>
      <c r="R928" s="6">
        <f t="shared" si="224"/>
        <v>14.82437289598513</v>
      </c>
      <c r="S928" s="6">
        <f t="shared" si="230"/>
        <v>139.0851303548225</v>
      </c>
      <c r="T928" s="2">
        <f t="shared" si="231"/>
        <v>1</v>
      </c>
      <c r="U928" s="6">
        <f t="shared" si="232"/>
        <v>139.0851303548225</v>
      </c>
      <c r="V928">
        <f t="shared" si="233"/>
        <v>0</v>
      </c>
      <c r="W928" s="6">
        <f t="shared" si="225"/>
        <v>0</v>
      </c>
      <c r="AK928" s="78">
        <v>45041.364583333336</v>
      </c>
      <c r="AL928" s="79">
        <v>3.84526482619948E-2</v>
      </c>
      <c r="AM928" s="5">
        <v>66.655723199999997</v>
      </c>
      <c r="AN928" s="2">
        <v>23457</v>
      </c>
      <c r="AO928" s="7">
        <f t="shared" si="222"/>
        <v>390.95</v>
      </c>
      <c r="AP928" s="5">
        <f t="shared" si="226"/>
        <v>15.033062838026867</v>
      </c>
      <c r="AQ928" s="6">
        <f t="shared" si="227"/>
        <v>140.04052819116049</v>
      </c>
      <c r="AR928" s="2">
        <f t="shared" si="228"/>
        <v>-2.1301186875174403</v>
      </c>
      <c r="AS928" s="2">
        <f t="shared" si="229"/>
        <v>-298.30294610980388</v>
      </c>
    </row>
    <row r="929" spans="13:45" x14ac:dyDescent="0.3">
      <c r="M929" s="78">
        <v>45042.375</v>
      </c>
      <c r="N929" s="79">
        <v>3.4514317352219499E-2</v>
      </c>
      <c r="O929" s="5">
        <v>60.060669519999998</v>
      </c>
      <c r="P929" s="2">
        <v>26986</v>
      </c>
      <c r="Q929" s="7">
        <f t="shared" si="223"/>
        <v>449.76666666666665</v>
      </c>
      <c r="R929" s="6">
        <f t="shared" si="224"/>
        <v>15.523389467783256</v>
      </c>
      <c r="S929" s="6">
        <f t="shared" si="230"/>
        <v>142.25898574979789</v>
      </c>
      <c r="T929" s="2">
        <f t="shared" si="231"/>
        <v>1</v>
      </c>
      <c r="U929" s="6">
        <f t="shared" si="232"/>
        <v>142.25898574979789</v>
      </c>
      <c r="V929">
        <f t="shared" si="233"/>
        <v>0.11533732537128126</v>
      </c>
      <c r="W929" s="6">
        <f t="shared" si="225"/>
        <v>16.407770926412905</v>
      </c>
      <c r="AK929" s="78">
        <v>45041.375</v>
      </c>
      <c r="AL929" s="79">
        <v>3.8039866561709497E-2</v>
      </c>
      <c r="AM929" s="5">
        <v>65.283151739999994</v>
      </c>
      <c r="AN929" s="2">
        <v>23434</v>
      </c>
      <c r="AO929" s="7">
        <f t="shared" si="222"/>
        <v>390.56666666666666</v>
      </c>
      <c r="AP929" s="5">
        <f t="shared" si="226"/>
        <v>14.857103883451673</v>
      </c>
      <c r="AQ929" s="6">
        <f t="shared" si="227"/>
        <v>139.23542694435443</v>
      </c>
      <c r="AR929" s="2">
        <f t="shared" si="228"/>
        <v>-2.1301186875174403</v>
      </c>
      <c r="AS929" s="2">
        <f t="shared" si="229"/>
        <v>-296.58798489863869</v>
      </c>
    </row>
    <row r="930" spans="13:45" x14ac:dyDescent="0.3">
      <c r="M930" s="78">
        <v>45042.385416666664</v>
      </c>
      <c r="N930" s="79">
        <v>3.22220322683264E-2</v>
      </c>
      <c r="O930" s="5">
        <v>62.648273320000001</v>
      </c>
      <c r="P930" s="2">
        <v>27368</v>
      </c>
      <c r="Q930" s="7">
        <f t="shared" si="223"/>
        <v>456.13333333333333</v>
      </c>
      <c r="R930" s="6">
        <f t="shared" si="224"/>
        <v>14.697542985325949</v>
      </c>
      <c r="S930" s="6">
        <f t="shared" si="230"/>
        <v>138.50113786555261</v>
      </c>
      <c r="T930" s="2">
        <f t="shared" si="231"/>
        <v>1</v>
      </c>
      <c r="U930" s="6">
        <f t="shared" si="232"/>
        <v>138.50113786555261</v>
      </c>
      <c r="V930">
        <f t="shared" si="233"/>
        <v>0</v>
      </c>
      <c r="W930" s="6">
        <f t="shared" si="225"/>
        <v>0</v>
      </c>
      <c r="AK930" s="78">
        <v>45041.385416666664</v>
      </c>
      <c r="AL930" s="79">
        <v>3.8530048106451498E-2</v>
      </c>
      <c r="AM930" s="5">
        <v>70.271667750000006</v>
      </c>
      <c r="AN930" s="2">
        <v>23358</v>
      </c>
      <c r="AO930" s="7">
        <f t="shared" si="222"/>
        <v>389.3</v>
      </c>
      <c r="AP930" s="5">
        <f t="shared" si="226"/>
        <v>14.999747727841568</v>
      </c>
      <c r="AQ930" s="6">
        <f t="shared" si="227"/>
        <v>139.88846524546938</v>
      </c>
      <c r="AR930" s="2">
        <f t="shared" si="228"/>
        <v>-2.1301186875174403</v>
      </c>
      <c r="AS930" s="2">
        <f t="shared" si="229"/>
        <v>-297.97903398750827</v>
      </c>
    </row>
    <row r="931" spans="13:45" x14ac:dyDescent="0.3">
      <c r="M931" s="78">
        <v>45042.395833333336</v>
      </c>
      <c r="N931" s="79">
        <v>3.14039252354383E-2</v>
      </c>
      <c r="O931" s="5">
        <v>60.811216330000001</v>
      </c>
      <c r="P931" s="2">
        <v>27306</v>
      </c>
      <c r="Q931" s="7">
        <f t="shared" si="223"/>
        <v>455.1</v>
      </c>
      <c r="R931" s="6">
        <f t="shared" si="224"/>
        <v>14.291926374647971</v>
      </c>
      <c r="S931" s="6">
        <f t="shared" si="230"/>
        <v>136.61599291266288</v>
      </c>
      <c r="T931" s="2">
        <f t="shared" si="231"/>
        <v>1</v>
      </c>
      <c r="U931" s="6">
        <f t="shared" si="232"/>
        <v>136.61599291266288</v>
      </c>
      <c r="V931">
        <f t="shared" si="233"/>
        <v>0</v>
      </c>
      <c r="W931" s="6">
        <f t="shared" si="225"/>
        <v>0</v>
      </c>
      <c r="AK931" s="78">
        <v>45041.395833333336</v>
      </c>
      <c r="AL931" s="79">
        <v>4.0657940547412799E-2</v>
      </c>
      <c r="AM931" s="5">
        <v>70.271667750000006</v>
      </c>
      <c r="AN931" s="2">
        <v>23039</v>
      </c>
      <c r="AO931" s="7">
        <f t="shared" si="222"/>
        <v>383.98333333333335</v>
      </c>
      <c r="AP931" s="5">
        <f t="shared" si="226"/>
        <v>15.611971537864058</v>
      </c>
      <c r="AQ931" s="6">
        <f t="shared" si="227"/>
        <v>142.65593785738608</v>
      </c>
      <c r="AR931" s="2">
        <f t="shared" si="228"/>
        <v>-2.1301186875174403</v>
      </c>
      <c r="AS931" s="2">
        <f t="shared" si="229"/>
        <v>-303.87407911534473</v>
      </c>
    </row>
    <row r="932" spans="13:45" x14ac:dyDescent="0.3">
      <c r="M932" s="78">
        <v>45042.40625</v>
      </c>
      <c r="N932" s="79">
        <v>2.9731491686768498E-2</v>
      </c>
      <c r="O932" s="5">
        <v>65.290959470000004</v>
      </c>
      <c r="P932" s="2">
        <v>28833</v>
      </c>
      <c r="Q932" s="7">
        <f t="shared" si="223"/>
        <v>480.55</v>
      </c>
      <c r="R932" s="6">
        <f t="shared" si="224"/>
        <v>14.287468330076603</v>
      </c>
      <c r="S932" s="6">
        <f t="shared" si="230"/>
        <v>136.59512303747951</v>
      </c>
      <c r="T932" s="2">
        <f t="shared" si="231"/>
        <v>1</v>
      </c>
      <c r="U932" s="6">
        <f t="shared" si="232"/>
        <v>136.59512303747951</v>
      </c>
      <c r="V932">
        <f t="shared" si="233"/>
        <v>0</v>
      </c>
      <c r="W932" s="6">
        <f t="shared" si="225"/>
        <v>0</v>
      </c>
      <c r="AK932" s="78">
        <v>45041.40625</v>
      </c>
      <c r="AL932" s="79">
        <v>3.7325700322742399E-2</v>
      </c>
      <c r="AM932" s="5">
        <v>69.373566690000004</v>
      </c>
      <c r="AN932" s="2">
        <v>22815</v>
      </c>
      <c r="AO932" s="7">
        <f t="shared" ref="AO932:AO995" si="234">AN932/60</f>
        <v>380.25</v>
      </c>
      <c r="AP932" s="5">
        <f t="shared" si="226"/>
        <v>14.193097547722797</v>
      </c>
      <c r="AQ932" s="6">
        <f t="shared" si="227"/>
        <v>136.15255370784936</v>
      </c>
      <c r="AR932" s="2">
        <f t="shared" si="228"/>
        <v>-2.1301186875174403</v>
      </c>
      <c r="AS932" s="2">
        <f t="shared" si="229"/>
        <v>-290.02109900631189</v>
      </c>
    </row>
    <row r="933" spans="13:45" x14ac:dyDescent="0.3">
      <c r="M933" s="78">
        <v>45042.416666666664</v>
      </c>
      <c r="N933" s="79">
        <v>3.3247534535633998E-2</v>
      </c>
      <c r="O933" s="5">
        <v>64.377553680000005</v>
      </c>
      <c r="P933" s="2">
        <v>27251</v>
      </c>
      <c r="Q933" s="7">
        <f t="shared" si="223"/>
        <v>454.18333333333334</v>
      </c>
      <c r="R933" s="6">
        <f t="shared" si="224"/>
        <v>15.100476060509369</v>
      </c>
      <c r="S933" s="6">
        <f t="shared" si="230"/>
        <v>140.34770285014019</v>
      </c>
      <c r="T933" s="2">
        <f t="shared" si="231"/>
        <v>1</v>
      </c>
      <c r="U933" s="6">
        <f t="shared" si="232"/>
        <v>140.34770285014019</v>
      </c>
      <c r="V933">
        <f t="shared" si="233"/>
        <v>3.7923254355076062E-2</v>
      </c>
      <c r="W933" s="6">
        <f t="shared" si="225"/>
        <v>5.3224416333365001</v>
      </c>
      <c r="AK933" s="78">
        <v>45041.416666666664</v>
      </c>
      <c r="AL933" s="79">
        <v>3.8130458511081301E-2</v>
      </c>
      <c r="AM933" s="5">
        <v>68.016396760000006</v>
      </c>
      <c r="AN933" s="2">
        <v>22823</v>
      </c>
      <c r="AO933" s="7">
        <f t="shared" si="234"/>
        <v>380.38333333333333</v>
      </c>
      <c r="AP933" s="5">
        <f t="shared" si="226"/>
        <v>14.504190909973476</v>
      </c>
      <c r="AQ933" s="6">
        <f t="shared" si="227"/>
        <v>137.60587090226829</v>
      </c>
      <c r="AR933" s="2">
        <f t="shared" si="228"/>
        <v>-2.1301186875174403</v>
      </c>
      <c r="AS933" s="2">
        <f t="shared" si="229"/>
        <v>-293.11683712103405</v>
      </c>
    </row>
    <row r="934" spans="13:45" x14ac:dyDescent="0.3">
      <c r="M934" s="78">
        <v>45042.427083333336</v>
      </c>
      <c r="N934" s="79">
        <v>3.3325192155827202E-2</v>
      </c>
      <c r="O934" s="5">
        <v>59.302493679999998</v>
      </c>
      <c r="P934" s="2">
        <v>28572</v>
      </c>
      <c r="Q934" s="7">
        <f t="shared" si="223"/>
        <v>476.2</v>
      </c>
      <c r="R934" s="6">
        <f t="shared" si="224"/>
        <v>15.869456504604914</v>
      </c>
      <c r="S934" s="6">
        <f t="shared" si="230"/>
        <v>143.80329266688599</v>
      </c>
      <c r="T934" s="2">
        <f t="shared" si="231"/>
        <v>1</v>
      </c>
      <c r="U934" s="6">
        <f t="shared" si="232"/>
        <v>143.80329266688599</v>
      </c>
      <c r="V934">
        <f t="shared" si="233"/>
        <v>0.17868470973909237</v>
      </c>
      <c r="W934" s="6">
        <f t="shared" si="225"/>
        <v>25.695449609708273</v>
      </c>
      <c r="AK934" s="78">
        <v>45041.427083333336</v>
      </c>
      <c r="AL934" s="79">
        <v>3.9030162637991403E-2</v>
      </c>
      <c r="AM934" s="5">
        <v>67.106545600000004</v>
      </c>
      <c r="AN934" s="2">
        <v>22631</v>
      </c>
      <c r="AO934" s="7">
        <f t="shared" si="234"/>
        <v>377.18333333333334</v>
      </c>
      <c r="AP934" s="5">
        <f t="shared" si="226"/>
        <v>14.721526844339724</v>
      </c>
      <c r="AQ934" s="6">
        <f t="shared" si="227"/>
        <v>138.61176892121406</v>
      </c>
      <c r="AR934" s="2">
        <f t="shared" si="228"/>
        <v>-2.1301186875174403</v>
      </c>
      <c r="AS934" s="2">
        <f t="shared" si="229"/>
        <v>-295.25951928892721</v>
      </c>
    </row>
    <row r="935" spans="13:45" x14ac:dyDescent="0.3">
      <c r="M935" s="78">
        <v>45042.4375</v>
      </c>
      <c r="N935" s="79">
        <v>3.4383770207928599E-2</v>
      </c>
      <c r="O935" s="5">
        <v>56.227261830000003</v>
      </c>
      <c r="P935" s="2">
        <v>29080</v>
      </c>
      <c r="Q935" s="7">
        <f t="shared" si="223"/>
        <v>484.66666666666669</v>
      </c>
      <c r="R935" s="6">
        <f t="shared" si="224"/>
        <v>16.664667294109396</v>
      </c>
      <c r="S935" s="6">
        <f t="shared" si="230"/>
        <v>147.28801559253731</v>
      </c>
      <c r="T935" s="2">
        <f t="shared" si="231"/>
        <v>1</v>
      </c>
      <c r="U935" s="6">
        <f t="shared" si="232"/>
        <v>147.28801559253731</v>
      </c>
      <c r="V935">
        <f t="shared" si="233"/>
        <v>0.32424761569748589</v>
      </c>
      <c r="W935" s="6">
        <f t="shared" si="225"/>
        <v>47.757787876694344</v>
      </c>
      <c r="AK935" s="78">
        <v>45041.4375</v>
      </c>
      <c r="AL935" s="79">
        <v>3.9233070269200601E-2</v>
      </c>
      <c r="AM935" s="5">
        <v>68.016396760000006</v>
      </c>
      <c r="AN935" s="2">
        <v>22568</v>
      </c>
      <c r="AO935" s="7">
        <f t="shared" si="234"/>
        <v>376.13333333333333</v>
      </c>
      <c r="AP935" s="5">
        <f t="shared" si="226"/>
        <v>14.756865497255319</v>
      </c>
      <c r="AQ935" s="6">
        <f t="shared" si="227"/>
        <v>138.77460910642912</v>
      </c>
      <c r="AR935" s="2">
        <f t="shared" si="228"/>
        <v>-2.1301186875174403</v>
      </c>
      <c r="AS935" s="2">
        <f t="shared" si="229"/>
        <v>-295.6063882105326</v>
      </c>
    </row>
    <row r="936" spans="13:45" x14ac:dyDescent="0.3">
      <c r="M936" s="78">
        <v>45042.447916666664</v>
      </c>
      <c r="N936" s="79">
        <v>3.3324204952933097E-2</v>
      </c>
      <c r="O936" s="5">
        <v>63.015482910000003</v>
      </c>
      <c r="P936" s="2">
        <v>26854</v>
      </c>
      <c r="Q936" s="7">
        <f t="shared" si="223"/>
        <v>447.56666666666666</v>
      </c>
      <c r="R936" s="6">
        <f t="shared" si="224"/>
        <v>14.914803330101089</v>
      </c>
      <c r="S936" s="6">
        <f t="shared" si="230"/>
        <v>139.49996467539637</v>
      </c>
      <c r="T936" s="2">
        <f t="shared" si="231"/>
        <v>1</v>
      </c>
      <c r="U936" s="6">
        <f t="shared" si="232"/>
        <v>139.49996467539637</v>
      </c>
      <c r="V936">
        <f t="shared" si="233"/>
        <v>3.935961234594239E-3</v>
      </c>
      <c r="W936" s="6">
        <f t="shared" si="225"/>
        <v>0.54906645318962577</v>
      </c>
      <c r="AK936" s="78">
        <v>45041.447916666664</v>
      </c>
      <c r="AL936" s="79">
        <v>4.23512431556635E-2</v>
      </c>
      <c r="AM936" s="5">
        <v>65.743635260000005</v>
      </c>
      <c r="AN936" s="2">
        <v>22720</v>
      </c>
      <c r="AO936" s="7">
        <f t="shared" si="234"/>
        <v>378.66666666666669</v>
      </c>
      <c r="AP936" s="5">
        <f t="shared" si="226"/>
        <v>16.03700407494458</v>
      </c>
      <c r="AQ936" s="6">
        <f t="shared" si="227"/>
        <v>144.54479020126882</v>
      </c>
      <c r="AR936" s="2">
        <f t="shared" si="228"/>
        <v>-2.1301186875174403</v>
      </c>
      <c r="AS936" s="2">
        <f t="shared" si="229"/>
        <v>-307.89755879101051</v>
      </c>
    </row>
    <row r="937" spans="13:45" x14ac:dyDescent="0.3">
      <c r="M937" s="78">
        <v>45042.458333333336</v>
      </c>
      <c r="N937" s="79">
        <v>3.12412835095656E-2</v>
      </c>
      <c r="O937" s="5">
        <v>61.92162476</v>
      </c>
      <c r="P937" s="2">
        <v>28052</v>
      </c>
      <c r="Q937" s="7">
        <f t="shared" si="223"/>
        <v>467.53333333333336</v>
      </c>
      <c r="R937" s="6">
        <f t="shared" si="224"/>
        <v>14.606341416838903</v>
      </c>
      <c r="S937" s="6">
        <f t="shared" si="230"/>
        <v>138.07960617956473</v>
      </c>
      <c r="T937" s="2">
        <f t="shared" si="231"/>
        <v>1</v>
      </c>
      <c r="U937" s="6">
        <f t="shared" si="232"/>
        <v>138.07960617956473</v>
      </c>
      <c r="V937">
        <f t="shared" si="233"/>
        <v>0</v>
      </c>
      <c r="W937" s="6">
        <f t="shared" si="225"/>
        <v>0</v>
      </c>
      <c r="AK937" s="78">
        <v>45041.458333333336</v>
      </c>
      <c r="AL937" s="79">
        <v>3.8134543649486201E-2</v>
      </c>
      <c r="AM937" s="5">
        <v>65.290959470000004</v>
      </c>
      <c r="AN937" s="2">
        <v>23448</v>
      </c>
      <c r="AO937" s="7">
        <f t="shared" si="234"/>
        <v>390.8</v>
      </c>
      <c r="AP937" s="5">
        <f t="shared" si="226"/>
        <v>14.902979658219207</v>
      </c>
      <c r="AQ937" s="6">
        <f t="shared" si="227"/>
        <v>139.44579865730279</v>
      </c>
      <c r="AR937" s="2">
        <f t="shared" si="228"/>
        <v>-2.1301186875174403</v>
      </c>
      <c r="AS937" s="2">
        <f t="shared" si="229"/>
        <v>-297.03610161571504</v>
      </c>
    </row>
    <row r="938" spans="13:45" x14ac:dyDescent="0.3">
      <c r="M938" s="78">
        <v>45042.46875</v>
      </c>
      <c r="N938" s="79">
        <v>3.3414786053130599E-2</v>
      </c>
      <c r="O938" s="5">
        <v>59.685691249999998</v>
      </c>
      <c r="P938" s="2">
        <v>27005</v>
      </c>
      <c r="Q938" s="7">
        <f t="shared" si="223"/>
        <v>450.08333333333331</v>
      </c>
      <c r="R938" s="6">
        <f t="shared" si="224"/>
        <v>15.039438289413196</v>
      </c>
      <c r="S938" s="6">
        <f t="shared" si="230"/>
        <v>140.06960858763344</v>
      </c>
      <c r="T938" s="2">
        <f t="shared" si="231"/>
        <v>1</v>
      </c>
      <c r="U938" s="6">
        <f t="shared" si="232"/>
        <v>140.06960858763344</v>
      </c>
      <c r="V938">
        <f t="shared" si="233"/>
        <v>2.6750323289190383E-2</v>
      </c>
      <c r="W938" s="6">
        <f t="shared" si="225"/>
        <v>3.7469073127095522</v>
      </c>
      <c r="AK938" s="78">
        <v>45041.46875</v>
      </c>
      <c r="AL938" s="79">
        <v>4.0352579958023403E-2</v>
      </c>
      <c r="AM938" s="5">
        <v>69.373566690000004</v>
      </c>
      <c r="AN938" s="2">
        <v>23437</v>
      </c>
      <c r="AO938" s="7">
        <f t="shared" si="234"/>
        <v>390.61666666666667</v>
      </c>
      <c r="AP938" s="5">
        <f t="shared" si="226"/>
        <v>15.762390274603241</v>
      </c>
      <c r="AQ938" s="6">
        <f t="shared" si="227"/>
        <v>143.32736725300936</v>
      </c>
      <c r="AR938" s="2">
        <f t="shared" si="228"/>
        <v>-2.1301186875174403</v>
      </c>
      <c r="AS938" s="2">
        <f t="shared" si="229"/>
        <v>-305.30430341831044</v>
      </c>
    </row>
    <row r="939" spans="13:45" x14ac:dyDescent="0.3">
      <c r="M939" s="78">
        <v>45042.479166666664</v>
      </c>
      <c r="N939" s="79">
        <v>3.2481967564629101E-2</v>
      </c>
      <c r="O939" s="5">
        <v>61.92162476</v>
      </c>
      <c r="P939" s="2">
        <v>27270</v>
      </c>
      <c r="Q939" s="7">
        <f t="shared" si="223"/>
        <v>454.5</v>
      </c>
      <c r="R939" s="6">
        <f t="shared" si="224"/>
        <v>14.763054258123926</v>
      </c>
      <c r="S939" s="6">
        <f t="shared" si="230"/>
        <v>138.80310637500091</v>
      </c>
      <c r="T939" s="2">
        <f t="shared" si="231"/>
        <v>1</v>
      </c>
      <c r="U939" s="6">
        <f t="shared" si="232"/>
        <v>138.80310637500091</v>
      </c>
      <c r="V939">
        <f t="shared" si="233"/>
        <v>0</v>
      </c>
      <c r="W939" s="6">
        <f t="shared" si="225"/>
        <v>0</v>
      </c>
      <c r="AK939" s="78">
        <v>45041.479166666664</v>
      </c>
      <c r="AL939" s="79">
        <v>4.4070342305739897E-2</v>
      </c>
      <c r="AM939" s="5">
        <v>70.279402750000003</v>
      </c>
      <c r="AN939" s="2">
        <v>22959</v>
      </c>
      <c r="AO939" s="7">
        <f t="shared" si="234"/>
        <v>382.65</v>
      </c>
      <c r="AP939" s="5">
        <f t="shared" si="226"/>
        <v>16.86351648329137</v>
      </c>
      <c r="AQ939" s="6">
        <f t="shared" si="227"/>
        <v>148.14605720977079</v>
      </c>
      <c r="AR939" s="2">
        <f t="shared" si="228"/>
        <v>-2.1301186875174403</v>
      </c>
      <c r="AS939" s="2">
        <f t="shared" si="229"/>
        <v>-315.56868494456057</v>
      </c>
    </row>
    <row r="940" spans="13:45" x14ac:dyDescent="0.3">
      <c r="M940" s="78">
        <v>45042.489583333336</v>
      </c>
      <c r="N940" s="79">
        <v>3.5055138356157603E-2</v>
      </c>
      <c r="O940" s="5">
        <v>62.654512349999997</v>
      </c>
      <c r="P940" s="2">
        <v>26333</v>
      </c>
      <c r="Q940" s="7">
        <f t="shared" si="223"/>
        <v>438.88333333333333</v>
      </c>
      <c r="R940" s="6">
        <f t="shared" si="224"/>
        <v>15.385115972211636</v>
      </c>
      <c r="S940" s="6">
        <f t="shared" si="230"/>
        <v>141.63703992637014</v>
      </c>
      <c r="T940" s="2">
        <f t="shared" si="231"/>
        <v>1</v>
      </c>
      <c r="U940" s="6">
        <f t="shared" si="232"/>
        <v>141.63703992637014</v>
      </c>
      <c r="V940">
        <f t="shared" si="233"/>
        <v>9.0026436613129548E-2</v>
      </c>
      <c r="W940" s="6">
        <f t="shared" si="225"/>
        <v>12.75107799700266</v>
      </c>
      <c r="AK940" s="78">
        <v>45041.489583333336</v>
      </c>
      <c r="AL940" s="79">
        <v>3.8933018580582998E-2</v>
      </c>
      <c r="AM940" s="5">
        <v>68.924680609999996</v>
      </c>
      <c r="AN940" s="2">
        <v>21932</v>
      </c>
      <c r="AO940" s="7">
        <f t="shared" si="234"/>
        <v>365.53333333333336</v>
      </c>
      <c r="AP940" s="5">
        <f t="shared" si="226"/>
        <v>14.231316058489107</v>
      </c>
      <c r="AQ940" s="6">
        <f t="shared" si="227"/>
        <v>136.33196690481424</v>
      </c>
      <c r="AR940" s="2">
        <f t="shared" si="228"/>
        <v>-2.1301186875174403</v>
      </c>
      <c r="AS940" s="2">
        <f t="shared" si="229"/>
        <v>-290.40327040995402</v>
      </c>
    </row>
    <row r="941" spans="13:45" x14ac:dyDescent="0.3">
      <c r="M941" s="78">
        <v>45042.5</v>
      </c>
      <c r="N941" s="79">
        <v>3.6250531728761401E-2</v>
      </c>
      <c r="O941" s="5">
        <v>63.92387093</v>
      </c>
      <c r="P941" s="2">
        <v>25914</v>
      </c>
      <c r="Q941" s="7">
        <f t="shared" si="223"/>
        <v>431.9</v>
      </c>
      <c r="R941" s="6">
        <f t="shared" si="224"/>
        <v>15.656604653652048</v>
      </c>
      <c r="S941" s="6">
        <f t="shared" si="230"/>
        <v>142.85551139520635</v>
      </c>
      <c r="T941" s="2">
        <f t="shared" si="231"/>
        <v>1</v>
      </c>
      <c r="U941" s="6">
        <f t="shared" si="232"/>
        <v>142.85551139520635</v>
      </c>
      <c r="V941">
        <f t="shared" si="233"/>
        <v>0.1397222932675696</v>
      </c>
      <c r="W941" s="6">
        <f t="shared" si="225"/>
        <v>19.960099658049653</v>
      </c>
      <c r="AK941" s="78">
        <v>45041.5</v>
      </c>
      <c r="AL941" s="79">
        <v>3.97280601593702E-2</v>
      </c>
      <c r="AM941" s="5">
        <v>68.466857000000005</v>
      </c>
      <c r="AN941" s="2">
        <v>22464</v>
      </c>
      <c r="AO941" s="7">
        <f t="shared" si="234"/>
        <v>374.4</v>
      </c>
      <c r="AP941" s="5">
        <f t="shared" si="226"/>
        <v>14.874185723668202</v>
      </c>
      <c r="AQ941" s="6">
        <f t="shared" si="227"/>
        <v>139.31379751369585</v>
      </c>
      <c r="AR941" s="2">
        <f t="shared" si="228"/>
        <v>-2.1301186875174403</v>
      </c>
      <c r="AS941" s="2">
        <f t="shared" si="229"/>
        <v>-296.75492351294423</v>
      </c>
    </row>
    <row r="942" spans="13:45" x14ac:dyDescent="0.3">
      <c r="M942" s="78">
        <v>45042.510416666664</v>
      </c>
      <c r="N942" s="79">
        <v>3.4564545743549897E-2</v>
      </c>
      <c r="O942" s="5">
        <v>61.92162476</v>
      </c>
      <c r="P942" s="2">
        <v>26655</v>
      </c>
      <c r="Q942" s="7">
        <f t="shared" si="223"/>
        <v>444.25</v>
      </c>
      <c r="R942" s="6">
        <f t="shared" si="224"/>
        <v>15.355299446572042</v>
      </c>
      <c r="S942" s="6">
        <f t="shared" si="230"/>
        <v>141.50255360459769</v>
      </c>
      <c r="T942" s="2">
        <f t="shared" si="231"/>
        <v>1</v>
      </c>
      <c r="U942" s="6">
        <f t="shared" si="232"/>
        <v>141.50255360459769</v>
      </c>
      <c r="V942">
        <f t="shared" si="233"/>
        <v>8.4568537682473952E-2</v>
      </c>
      <c r="W942" s="6">
        <f t="shared" si="225"/>
        <v>11.966664036676711</v>
      </c>
      <c r="AK942" s="78">
        <v>45041.510416666664</v>
      </c>
      <c r="AL942" s="79">
        <v>4.0507401014419499E-2</v>
      </c>
      <c r="AM942" s="5">
        <v>71.622551369999996</v>
      </c>
      <c r="AN942" s="2">
        <v>21876</v>
      </c>
      <c r="AO942" s="7">
        <f t="shared" si="234"/>
        <v>364.6</v>
      </c>
      <c r="AP942" s="5">
        <f t="shared" si="226"/>
        <v>14.76899840985735</v>
      </c>
      <c r="AQ942" s="6">
        <f t="shared" si="227"/>
        <v>138.83047155764419</v>
      </c>
      <c r="AR942" s="2">
        <f t="shared" si="228"/>
        <v>-2.1301186875174403</v>
      </c>
      <c r="AS942" s="2">
        <f t="shared" si="229"/>
        <v>-295.72538186179634</v>
      </c>
    </row>
    <row r="943" spans="13:45" x14ac:dyDescent="0.3">
      <c r="M943" s="78">
        <v>45042.520833333336</v>
      </c>
      <c r="N943" s="79">
        <v>3.36620463308063E-2</v>
      </c>
      <c r="O943" s="5">
        <v>61.92162476</v>
      </c>
      <c r="P943" s="2">
        <v>27029</v>
      </c>
      <c r="Q943" s="7">
        <f t="shared" si="223"/>
        <v>450.48333333333335</v>
      </c>
      <c r="R943" s="6">
        <f t="shared" si="224"/>
        <v>15.164190837922725</v>
      </c>
      <c r="S943" s="6">
        <f t="shared" si="230"/>
        <v>140.63738259685675</v>
      </c>
      <c r="T943" s="2">
        <f t="shared" si="231"/>
        <v>1</v>
      </c>
      <c r="U943" s="6">
        <f t="shared" si="232"/>
        <v>140.63738259685675</v>
      </c>
      <c r="V943">
        <f t="shared" si="233"/>
        <v>4.9586209982928536E-2</v>
      </c>
      <c r="W943" s="6">
        <f t="shared" si="225"/>
        <v>6.9736747848971987</v>
      </c>
      <c r="AK943" s="78">
        <v>45041.520833333336</v>
      </c>
      <c r="AL943" s="79">
        <v>4.0336640959438598E-2</v>
      </c>
      <c r="AM943" s="5">
        <v>63.015482910000003</v>
      </c>
      <c r="AN943" s="2">
        <v>22375</v>
      </c>
      <c r="AO943" s="7">
        <f t="shared" si="234"/>
        <v>372.91666666666669</v>
      </c>
      <c r="AP943" s="5">
        <f t="shared" si="226"/>
        <v>15.042205691123979</v>
      </c>
      <c r="AQ943" s="6">
        <f t="shared" si="227"/>
        <v>140.082229600788</v>
      </c>
      <c r="AR943" s="2">
        <f t="shared" si="228"/>
        <v>-2.1301186875174403</v>
      </c>
      <c r="AS943" s="2">
        <f t="shared" si="229"/>
        <v>-298.39177506174724</v>
      </c>
    </row>
    <row r="944" spans="13:45" x14ac:dyDescent="0.3">
      <c r="M944" s="78">
        <v>45042.53125</v>
      </c>
      <c r="N944" s="79">
        <v>3.3350332216230898E-2</v>
      </c>
      <c r="O944" s="5">
        <v>60.811216330000001</v>
      </c>
      <c r="P944" s="2">
        <v>27221</v>
      </c>
      <c r="Q944" s="7">
        <f t="shared" si="223"/>
        <v>453.68333333333334</v>
      </c>
      <c r="R944" s="6">
        <f t="shared" si="224"/>
        <v>15.130489887633688</v>
      </c>
      <c r="S944" s="6">
        <f t="shared" si="230"/>
        <v>140.48423850175018</v>
      </c>
      <c r="T944" s="2">
        <f t="shared" si="231"/>
        <v>1</v>
      </c>
      <c r="U944" s="6">
        <f t="shared" si="232"/>
        <v>140.48423850175018</v>
      </c>
      <c r="V944">
        <f t="shared" si="233"/>
        <v>4.3417269216055487E-2</v>
      </c>
      <c r="W944" s="6">
        <f t="shared" si="225"/>
        <v>6.099442003643035</v>
      </c>
      <c r="AK944" s="78">
        <v>45041.53125</v>
      </c>
      <c r="AL944" s="79">
        <v>3.9006681435811798E-2</v>
      </c>
      <c r="AM944" s="5">
        <v>64.377553680000005</v>
      </c>
      <c r="AN944" s="2">
        <v>23388</v>
      </c>
      <c r="AO944" s="7">
        <f t="shared" si="234"/>
        <v>389.8</v>
      </c>
      <c r="AP944" s="5">
        <f t="shared" si="226"/>
        <v>15.204804423679439</v>
      </c>
      <c r="AQ944" s="6">
        <f t="shared" si="227"/>
        <v>140.82170855193453</v>
      </c>
      <c r="AR944" s="2">
        <f t="shared" si="228"/>
        <v>-2.1301186875174403</v>
      </c>
      <c r="AS944" s="2">
        <f t="shared" si="229"/>
        <v>-299.96695299461027</v>
      </c>
    </row>
    <row r="945" spans="13:45" x14ac:dyDescent="0.3">
      <c r="M945" s="78">
        <v>45042.541666666664</v>
      </c>
      <c r="N945" s="79">
        <v>3.3571568075573099E-2</v>
      </c>
      <c r="O945" s="5">
        <v>60.060669519999998</v>
      </c>
      <c r="P945" s="2">
        <v>27437</v>
      </c>
      <c r="Q945" s="7">
        <f t="shared" si="223"/>
        <v>457.28333333333336</v>
      </c>
      <c r="R945" s="6">
        <f t="shared" si="224"/>
        <v>15.351718554824986</v>
      </c>
      <c r="S945" s="6">
        <f t="shared" si="230"/>
        <v>141.4863931666153</v>
      </c>
      <c r="T945" s="2">
        <f t="shared" si="231"/>
        <v>1</v>
      </c>
      <c r="U945" s="6">
        <f t="shared" si="232"/>
        <v>141.4863931666153</v>
      </c>
      <c r="V945">
        <f t="shared" si="233"/>
        <v>8.3913057380265374E-2</v>
      </c>
      <c r="W945" s="6">
        <f t="shared" si="225"/>
        <v>11.872555828316976</v>
      </c>
      <c r="AK945" s="78">
        <v>45041.541666666664</v>
      </c>
      <c r="AL945" s="79">
        <v>4.00481587122552E-2</v>
      </c>
      <c r="AM945" s="5">
        <v>65.743635260000005</v>
      </c>
      <c r="AN945" s="2">
        <v>22800</v>
      </c>
      <c r="AO945" s="7">
        <f t="shared" si="234"/>
        <v>380</v>
      </c>
      <c r="AP945" s="5">
        <f t="shared" si="226"/>
        <v>15.218300310656975</v>
      </c>
      <c r="AQ945" s="6">
        <f t="shared" si="227"/>
        <v>140.88290440375783</v>
      </c>
      <c r="AR945" s="2">
        <f t="shared" si="228"/>
        <v>-2.1301186875174403</v>
      </c>
      <c r="AS945" s="2">
        <f t="shared" si="229"/>
        <v>-300.09730742217766</v>
      </c>
    </row>
    <row r="946" spans="13:45" x14ac:dyDescent="0.3">
      <c r="M946" s="78">
        <v>45042.552083333336</v>
      </c>
      <c r="N946" s="79">
        <v>3.2749714660045198E-2</v>
      </c>
      <c r="O946" s="5">
        <v>60.060669519999998</v>
      </c>
      <c r="P946" s="2">
        <v>26832</v>
      </c>
      <c r="Q946" s="7">
        <f t="shared" si="223"/>
        <v>447.2</v>
      </c>
      <c r="R946" s="6">
        <f t="shared" si="224"/>
        <v>14.645672395972213</v>
      </c>
      <c r="S946" s="6">
        <f t="shared" si="230"/>
        <v>138.26155735819927</v>
      </c>
      <c r="T946" s="2">
        <f t="shared" si="231"/>
        <v>1</v>
      </c>
      <c r="U946" s="6">
        <f t="shared" si="232"/>
        <v>138.26155735819927</v>
      </c>
      <c r="V946">
        <f t="shared" si="233"/>
        <v>0</v>
      </c>
      <c r="W946" s="6">
        <f t="shared" si="225"/>
        <v>0</v>
      </c>
      <c r="AK946" s="78">
        <v>45041.552083333336</v>
      </c>
      <c r="AL946" s="79">
        <v>4.2879868257736903E-2</v>
      </c>
      <c r="AM946" s="5">
        <v>70.727821939999998</v>
      </c>
      <c r="AN946" s="2">
        <v>21599</v>
      </c>
      <c r="AO946" s="7">
        <f t="shared" si="234"/>
        <v>359.98333333333335</v>
      </c>
      <c r="AP946" s="5">
        <f t="shared" si="226"/>
        <v>15.436037908314324</v>
      </c>
      <c r="AQ946" s="6">
        <f t="shared" si="227"/>
        <v>141.8664142351663</v>
      </c>
      <c r="AR946" s="2">
        <f t="shared" si="228"/>
        <v>-2.1301186875174403</v>
      </c>
      <c r="AS946" s="2">
        <f t="shared" si="229"/>
        <v>-302.19230009341794</v>
      </c>
    </row>
    <row r="947" spans="13:45" x14ac:dyDescent="0.3">
      <c r="M947" s="78">
        <v>45042.5625</v>
      </c>
      <c r="N947" s="79">
        <v>3.15055143036388E-2</v>
      </c>
      <c r="O947" s="5">
        <v>57.774288900000002</v>
      </c>
      <c r="P947" s="2">
        <v>27109</v>
      </c>
      <c r="Q947" s="7">
        <f t="shared" si="223"/>
        <v>451.81666666666666</v>
      </c>
      <c r="R947" s="6">
        <f t="shared" si="224"/>
        <v>14.234716454289071</v>
      </c>
      <c r="S947" s="6">
        <f t="shared" si="230"/>
        <v>136.34791782483146</v>
      </c>
      <c r="T947" s="2">
        <f t="shared" si="231"/>
        <v>1</v>
      </c>
      <c r="U947" s="6">
        <f t="shared" si="232"/>
        <v>136.34791782483146</v>
      </c>
      <c r="V947">
        <f t="shared" si="233"/>
        <v>0</v>
      </c>
      <c r="W947" s="6">
        <f t="shared" si="225"/>
        <v>0</v>
      </c>
      <c r="AK947" s="78">
        <v>45041.5625</v>
      </c>
      <c r="AL947" s="79">
        <v>4.0710207796402498E-2</v>
      </c>
      <c r="AM947" s="5">
        <v>67.106545600000004</v>
      </c>
      <c r="AN947" s="2">
        <v>21566</v>
      </c>
      <c r="AO947" s="7">
        <f t="shared" si="234"/>
        <v>359.43333333333334</v>
      </c>
      <c r="AP947" s="5">
        <f t="shared" si="226"/>
        <v>14.632605688953605</v>
      </c>
      <c r="AQ947" s="6">
        <f t="shared" si="227"/>
        <v>138.2011364452076</v>
      </c>
      <c r="AR947" s="2">
        <f t="shared" si="228"/>
        <v>-2.1301186875174403</v>
      </c>
      <c r="AS947" s="2">
        <f t="shared" si="229"/>
        <v>-294.38482337808426</v>
      </c>
    </row>
    <row r="948" spans="13:45" x14ac:dyDescent="0.3">
      <c r="M948" s="78">
        <v>45042.572916666664</v>
      </c>
      <c r="N948" s="79">
        <v>3.4891205404402298E-2</v>
      </c>
      <c r="O948" s="5">
        <v>59.685691249999998</v>
      </c>
      <c r="P948" s="2">
        <v>27088</v>
      </c>
      <c r="Q948" s="7">
        <f t="shared" si="223"/>
        <v>451.46666666666664</v>
      </c>
      <c r="R948" s="6">
        <f t="shared" si="224"/>
        <v>15.75221619990749</v>
      </c>
      <c r="S948" s="6">
        <f t="shared" si="230"/>
        <v>143.28205625640928</v>
      </c>
      <c r="T948" s="2">
        <f t="shared" si="231"/>
        <v>1</v>
      </c>
      <c r="U948" s="6">
        <f t="shared" si="232"/>
        <v>143.28205625640928</v>
      </c>
      <c r="V948">
        <f t="shared" si="233"/>
        <v>0.1572239352218871</v>
      </c>
      <c r="W948" s="6">
        <f t="shared" si="225"/>
        <v>22.527368731316475</v>
      </c>
      <c r="AK948" s="78">
        <v>45041.572916666664</v>
      </c>
      <c r="AL948" s="79">
        <v>4.03892503780671E-2</v>
      </c>
      <c r="AM948" s="5">
        <v>69.36581735</v>
      </c>
      <c r="AN948" s="2">
        <v>22104</v>
      </c>
      <c r="AO948" s="7">
        <f t="shared" si="234"/>
        <v>368.4</v>
      </c>
      <c r="AP948" s="5">
        <f t="shared" si="226"/>
        <v>14.87939983927992</v>
      </c>
      <c r="AQ948" s="6">
        <f t="shared" si="227"/>
        <v>139.33771044697383</v>
      </c>
      <c r="AR948" s="2">
        <f t="shared" si="228"/>
        <v>-2.1301186875174403</v>
      </c>
      <c r="AS948" s="2">
        <f t="shared" si="229"/>
        <v>-296.80586089899305</v>
      </c>
    </row>
    <row r="949" spans="13:45" x14ac:dyDescent="0.3">
      <c r="M949" s="78">
        <v>45042.583333333336</v>
      </c>
      <c r="N949" s="79">
        <v>3.4876731329106903E-2</v>
      </c>
      <c r="O949" s="5">
        <v>58.924071830000003</v>
      </c>
      <c r="P949" s="2">
        <v>26807</v>
      </c>
      <c r="Q949" s="7">
        <f t="shared" si="223"/>
        <v>446.78333333333336</v>
      </c>
      <c r="R949" s="6">
        <f t="shared" si="224"/>
        <v>15.582342278989479</v>
      </c>
      <c r="S949" s="6">
        <f t="shared" si="230"/>
        <v>142.52329207463785</v>
      </c>
      <c r="T949" s="2">
        <f t="shared" si="231"/>
        <v>1</v>
      </c>
      <c r="U949" s="6">
        <f t="shared" si="232"/>
        <v>142.52329207463785</v>
      </c>
      <c r="V949">
        <f t="shared" si="233"/>
        <v>0.12612860565426351</v>
      </c>
      <c r="W949" s="6">
        <f t="shared" si="225"/>
        <v>17.976264102629418</v>
      </c>
      <c r="AK949" s="78">
        <v>45041.583333333336</v>
      </c>
      <c r="AL949" s="79">
        <v>4.5148818660177198E-2</v>
      </c>
      <c r="AM949" s="5">
        <v>67.106545600000004</v>
      </c>
      <c r="AN949" s="2">
        <v>22208</v>
      </c>
      <c r="AO949" s="7">
        <f t="shared" si="234"/>
        <v>370.13333333333333</v>
      </c>
      <c r="AP949" s="5">
        <f t="shared" si="226"/>
        <v>16.711082746753586</v>
      </c>
      <c r="AQ949" s="6">
        <f t="shared" si="227"/>
        <v>147.48876540335419</v>
      </c>
      <c r="AR949" s="2">
        <f t="shared" si="228"/>
        <v>-2.1301186875174403</v>
      </c>
      <c r="AS949" s="2">
        <f t="shared" si="229"/>
        <v>-314.16857538456048</v>
      </c>
    </row>
    <row r="950" spans="13:45" x14ac:dyDescent="0.3">
      <c r="M950" s="78">
        <v>45042.59375</v>
      </c>
      <c r="N950" s="79">
        <v>3.6069673640418201E-2</v>
      </c>
      <c r="O950" s="5">
        <v>59.685691249999998</v>
      </c>
      <c r="P950" s="2">
        <v>26241</v>
      </c>
      <c r="Q950" s="7">
        <f t="shared" si="223"/>
        <v>437.35</v>
      </c>
      <c r="R950" s="6">
        <f t="shared" si="224"/>
        <v>15.7750717666369</v>
      </c>
      <c r="S950" s="6">
        <f t="shared" si="230"/>
        <v>143.38382432878794</v>
      </c>
      <c r="T950" s="2">
        <f t="shared" si="231"/>
        <v>1</v>
      </c>
      <c r="U950" s="6">
        <f t="shared" si="232"/>
        <v>143.38382432878794</v>
      </c>
      <c r="V950">
        <f t="shared" si="233"/>
        <v>0.1614076343798575</v>
      </c>
      <c r="W950" s="6">
        <f t="shared" si="225"/>
        <v>23.143243893246719</v>
      </c>
      <c r="AK950" s="78">
        <v>45041.59375</v>
      </c>
      <c r="AL950" s="79">
        <v>4.2907962597862802E-2</v>
      </c>
      <c r="AM950" s="5">
        <v>68.016396760000006</v>
      </c>
      <c r="AN950" s="2">
        <v>22455</v>
      </c>
      <c r="AO950" s="7">
        <f t="shared" si="234"/>
        <v>374.25</v>
      </c>
      <c r="AP950" s="5">
        <f t="shared" si="226"/>
        <v>16.058305002250155</v>
      </c>
      <c r="AQ950" s="6">
        <f t="shared" si="227"/>
        <v>144.6387756694298</v>
      </c>
      <c r="AR950" s="2">
        <f t="shared" si="228"/>
        <v>-2.1301186875174403</v>
      </c>
      <c r="AS950" s="2">
        <f t="shared" si="229"/>
        <v>-308.09775899309528</v>
      </c>
    </row>
    <row r="951" spans="13:45" x14ac:dyDescent="0.3">
      <c r="M951" s="78">
        <v>45042.604166666664</v>
      </c>
      <c r="N951" s="79">
        <v>4.58237357568081E-2</v>
      </c>
      <c r="O951" s="5">
        <v>59.685691249999998</v>
      </c>
      <c r="P951" s="2">
        <v>20775</v>
      </c>
      <c r="Q951" s="7">
        <f t="shared" si="223"/>
        <v>346.25</v>
      </c>
      <c r="R951" s="6">
        <f t="shared" si="224"/>
        <v>15.866468505794804</v>
      </c>
      <c r="S951" s="6">
        <f t="shared" si="230"/>
        <v>143.79003283046089</v>
      </c>
      <c r="T951" s="2">
        <f t="shared" si="231"/>
        <v>1</v>
      </c>
      <c r="U951" s="6">
        <f t="shared" si="232"/>
        <v>143.79003283046089</v>
      </c>
      <c r="V951">
        <f t="shared" si="233"/>
        <v>0.17813775816909322</v>
      </c>
      <c r="W951" s="6">
        <f t="shared" si="225"/>
        <v>25.614434095478614</v>
      </c>
      <c r="AK951" s="78">
        <v>45041.604166666664</v>
      </c>
      <c r="AL951" s="79">
        <v>4.1120890674348598E-2</v>
      </c>
      <c r="AM951" s="5">
        <v>71.630262669999993</v>
      </c>
      <c r="AN951" s="2">
        <v>22216</v>
      </c>
      <c r="AO951" s="7">
        <f t="shared" si="234"/>
        <v>370.26666666666665</v>
      </c>
      <c r="AP951" s="5">
        <f t="shared" si="226"/>
        <v>15.225695120355473</v>
      </c>
      <c r="AQ951" s="6">
        <f t="shared" si="227"/>
        <v>140.91642374060689</v>
      </c>
      <c r="AR951" s="2">
        <f t="shared" si="228"/>
        <v>-2.1301186875174403</v>
      </c>
      <c r="AS951" s="2">
        <f t="shared" si="229"/>
        <v>-300.16870758799303</v>
      </c>
    </row>
    <row r="952" spans="13:45" x14ac:dyDescent="0.3">
      <c r="M952" s="78">
        <v>45042.614583333336</v>
      </c>
      <c r="N952" s="79">
        <v>4.7486316195154303E-2</v>
      </c>
      <c r="O952" s="5">
        <v>60.811216330000001</v>
      </c>
      <c r="P952" s="2">
        <v>22155</v>
      </c>
      <c r="Q952" s="7">
        <f t="shared" si="223"/>
        <v>369.25</v>
      </c>
      <c r="R952" s="6">
        <f t="shared" si="224"/>
        <v>17.534322255060726</v>
      </c>
      <c r="S952" s="6">
        <f t="shared" si="230"/>
        <v>151.0031573583714</v>
      </c>
      <c r="T952" s="2">
        <f t="shared" si="231"/>
        <v>1</v>
      </c>
      <c r="U952" s="6">
        <f t="shared" si="232"/>
        <v>151.0031573583714</v>
      </c>
      <c r="V952">
        <f t="shared" si="233"/>
        <v>0.48343748707245837</v>
      </c>
      <c r="W952" s="6">
        <f t="shared" si="225"/>
        <v>73.00058693333807</v>
      </c>
      <c r="AK952" s="78">
        <v>45041.614583333336</v>
      </c>
      <c r="AL952" s="79">
        <v>4.0544589921001198E-2</v>
      </c>
      <c r="AM952" s="5">
        <v>72.523974480000007</v>
      </c>
      <c r="AN952" s="2">
        <v>22555</v>
      </c>
      <c r="AO952" s="7">
        <f t="shared" si="234"/>
        <v>375.91666666666669</v>
      </c>
      <c r="AP952" s="5">
        <f t="shared" si="226"/>
        <v>15.241387094469701</v>
      </c>
      <c r="AQ952" s="6">
        <f t="shared" si="227"/>
        <v>140.98752511752605</v>
      </c>
      <c r="AR952" s="2">
        <f t="shared" si="228"/>
        <v>-2.1301186875174403</v>
      </c>
      <c r="AS952" s="2">
        <f t="shared" si="229"/>
        <v>-300.32016195967674</v>
      </c>
    </row>
    <row r="953" spans="13:45" x14ac:dyDescent="0.3">
      <c r="M953" s="78">
        <v>45042.625</v>
      </c>
      <c r="N953" s="79">
        <v>7.7381155196565896E-2</v>
      </c>
      <c r="O953" s="5">
        <v>58.924071830000003</v>
      </c>
      <c r="P953" s="2">
        <v>15620</v>
      </c>
      <c r="Q953" s="7">
        <f t="shared" si="223"/>
        <v>260.33333333333331</v>
      </c>
      <c r="R953" s="6">
        <f t="shared" si="224"/>
        <v>20.144894069505987</v>
      </c>
      <c r="S953" s="6">
        <f t="shared" si="230"/>
        <v>161.62300877156159</v>
      </c>
      <c r="T953" s="2">
        <f t="shared" si="231"/>
        <v>1</v>
      </c>
      <c r="U953" s="6">
        <f t="shared" si="232"/>
        <v>161.62300877156159</v>
      </c>
      <c r="V953">
        <f t="shared" si="233"/>
        <v>0.9613012491581292</v>
      </c>
      <c r="W953" s="6">
        <f t="shared" si="225"/>
        <v>155.36840022479743</v>
      </c>
      <c r="AK953" s="78">
        <v>45041.625</v>
      </c>
      <c r="AL953" s="79">
        <v>3.75991384293905E-2</v>
      </c>
      <c r="AM953" s="5">
        <v>68.008627450000006</v>
      </c>
      <c r="AN953" s="2">
        <v>22553</v>
      </c>
      <c r="AO953" s="7">
        <f t="shared" si="234"/>
        <v>375.88333333333333</v>
      </c>
      <c r="AP953" s="5">
        <f t="shared" si="226"/>
        <v>14.132889483300731</v>
      </c>
      <c r="AQ953" s="6">
        <f t="shared" si="227"/>
        <v>135.86941177711469</v>
      </c>
      <c r="AR953" s="2">
        <f t="shared" si="228"/>
        <v>-2.1301186875174403</v>
      </c>
      <c r="AS953" s="2">
        <f t="shared" si="229"/>
        <v>-289.41797308843417</v>
      </c>
    </row>
    <row r="954" spans="13:45" x14ac:dyDescent="0.3">
      <c r="M954" s="78">
        <v>45042.635416666664</v>
      </c>
      <c r="N954" s="79">
        <v>3.55790504824057E-2</v>
      </c>
      <c r="O954" s="5">
        <v>58.924071830000003</v>
      </c>
      <c r="P954" s="2">
        <v>26435</v>
      </c>
      <c r="Q954" s="7">
        <f t="shared" si="223"/>
        <v>440.58333333333331</v>
      </c>
      <c r="R954" s="6">
        <f t="shared" si="224"/>
        <v>15.675536658373243</v>
      </c>
      <c r="S954" s="6">
        <f t="shared" si="230"/>
        <v>142.9400766948134</v>
      </c>
      <c r="T954" s="2">
        <f t="shared" si="231"/>
        <v>1</v>
      </c>
      <c r="U954" s="6">
        <f t="shared" si="232"/>
        <v>142.9400766948134</v>
      </c>
      <c r="V954">
        <f t="shared" si="233"/>
        <v>0.14318778651691605</v>
      </c>
      <c r="W954" s="6">
        <f t="shared" si="225"/>
        <v>20.467273186488548</v>
      </c>
      <c r="AK954" s="78">
        <v>45041.635416666664</v>
      </c>
      <c r="AL954" s="79">
        <v>3.9778115748490099E-2</v>
      </c>
      <c r="AM954" s="5">
        <v>70.727821939999998</v>
      </c>
      <c r="AN954" s="2">
        <v>22421</v>
      </c>
      <c r="AO954" s="7">
        <f t="shared" si="234"/>
        <v>373.68333333333334</v>
      </c>
      <c r="AP954" s="5">
        <f t="shared" si="226"/>
        <v>14.864418886614942</v>
      </c>
      <c r="AQ954" s="6">
        <f t="shared" si="227"/>
        <v>139.26899341386573</v>
      </c>
      <c r="AR954" s="2">
        <f t="shared" si="228"/>
        <v>-2.1301186875174403</v>
      </c>
      <c r="AS954" s="2">
        <f t="shared" si="229"/>
        <v>-296.6594854626187</v>
      </c>
    </row>
    <row r="955" spans="13:45" x14ac:dyDescent="0.3">
      <c r="M955" s="78">
        <v>45042.645833333336</v>
      </c>
      <c r="N955" s="79">
        <v>4.4263396206633901E-2</v>
      </c>
      <c r="O955" s="5">
        <v>60.811216330000001</v>
      </c>
      <c r="P955" s="2">
        <v>25724</v>
      </c>
      <c r="Q955" s="7">
        <f t="shared" si="223"/>
        <v>428.73333333333335</v>
      </c>
      <c r="R955" s="6">
        <f t="shared" si="224"/>
        <v>18.977193400324175</v>
      </c>
      <c r="S955" s="6">
        <f t="shared" si="230"/>
        <v>156.96535082970448</v>
      </c>
      <c r="T955" s="2">
        <f t="shared" si="231"/>
        <v>1</v>
      </c>
      <c r="U955" s="6">
        <f t="shared" si="232"/>
        <v>156.96535082970448</v>
      </c>
      <c r="V955">
        <f t="shared" si="233"/>
        <v>0.74755427170378563</v>
      </c>
      <c r="W955" s="6">
        <f t="shared" si="225"/>
        <v>117.34011852222893</v>
      </c>
      <c r="AK955" s="78">
        <v>45041.645833333336</v>
      </c>
      <c r="AL955" s="79">
        <v>4.2923484592490402E-2</v>
      </c>
      <c r="AM955" s="5">
        <v>68.008627450000006</v>
      </c>
      <c r="AN955" s="2">
        <v>22830</v>
      </c>
      <c r="AO955" s="7">
        <f t="shared" si="234"/>
        <v>380.5</v>
      </c>
      <c r="AP955" s="5">
        <f t="shared" si="226"/>
        <v>16.332385887442598</v>
      </c>
      <c r="AQ955" s="6">
        <f t="shared" si="227"/>
        <v>145.84246555763895</v>
      </c>
      <c r="AR955" s="2">
        <f t="shared" si="228"/>
        <v>-2.1301186875174403</v>
      </c>
      <c r="AS955" s="2">
        <f t="shared" si="229"/>
        <v>-310.66176131794538</v>
      </c>
    </row>
    <row r="956" spans="13:45" x14ac:dyDescent="0.3">
      <c r="M956" s="78">
        <v>45042.65625</v>
      </c>
      <c r="N956" s="79">
        <v>3.6065424864897298E-2</v>
      </c>
      <c r="O956" s="5">
        <v>60.060669519999998</v>
      </c>
      <c r="P956" s="2">
        <v>25084</v>
      </c>
      <c r="Q956" s="7">
        <f t="shared" si="223"/>
        <v>418.06666666666666</v>
      </c>
      <c r="R956" s="6">
        <f t="shared" si="224"/>
        <v>15.077751955184731</v>
      </c>
      <c r="S956" s="6">
        <f t="shared" si="230"/>
        <v>140.24423667007343</v>
      </c>
      <c r="T956" s="2">
        <f t="shared" si="231"/>
        <v>1</v>
      </c>
      <c r="U956" s="6">
        <f t="shared" si="232"/>
        <v>140.24423667007343</v>
      </c>
      <c r="V956">
        <f t="shared" si="233"/>
        <v>3.3763619136318403E-2</v>
      </c>
      <c r="W956" s="6">
        <f t="shared" si="225"/>
        <v>4.7351529929920586</v>
      </c>
      <c r="AK956" s="78">
        <v>45041.65625</v>
      </c>
      <c r="AL956" s="79">
        <v>4.0323108901956402E-2</v>
      </c>
      <c r="AM956" s="5">
        <v>69.822823</v>
      </c>
      <c r="AN956" s="2">
        <v>22557</v>
      </c>
      <c r="AO956" s="7">
        <f t="shared" si="234"/>
        <v>375.95</v>
      </c>
      <c r="AP956" s="5">
        <f t="shared" si="226"/>
        <v>15.15947279169051</v>
      </c>
      <c r="AQ956" s="6">
        <f t="shared" si="227"/>
        <v>140.6159532807803</v>
      </c>
      <c r="AR956" s="2">
        <f t="shared" si="228"/>
        <v>-2.1301186875174403</v>
      </c>
      <c r="AS956" s="2">
        <f t="shared" si="229"/>
        <v>-299.52866984646943</v>
      </c>
    </row>
    <row r="957" spans="13:45" x14ac:dyDescent="0.3">
      <c r="M957" s="78">
        <v>45042.666666666664</v>
      </c>
      <c r="N957" s="79">
        <v>3.7292102496857701E-2</v>
      </c>
      <c r="O957" s="5">
        <v>61.92162476</v>
      </c>
      <c r="P957" s="2">
        <v>24587</v>
      </c>
      <c r="Q957" s="7">
        <f t="shared" si="223"/>
        <v>409.78333333333336</v>
      </c>
      <c r="R957" s="6">
        <f t="shared" si="224"/>
        <v>15.281682068170673</v>
      </c>
      <c r="S957" s="6">
        <f t="shared" si="230"/>
        <v>141.16993338001302</v>
      </c>
      <c r="T957" s="2">
        <f t="shared" si="231"/>
        <v>1</v>
      </c>
      <c r="U957" s="6">
        <f t="shared" si="232"/>
        <v>141.16993338001302</v>
      </c>
      <c r="V957">
        <f t="shared" si="233"/>
        <v>7.1092916286769031E-2</v>
      </c>
      <c r="W957" s="6">
        <f t="shared" si="225"/>
        <v>10.036182255994026</v>
      </c>
      <c r="AK957" s="78">
        <v>45041.666666666664</v>
      </c>
      <c r="AL957" s="79">
        <v>3.8157603749684001E-2</v>
      </c>
      <c r="AM957" s="5">
        <v>69.373566690000004</v>
      </c>
      <c r="AN957" s="2">
        <v>22046</v>
      </c>
      <c r="AO957" s="7">
        <f t="shared" si="234"/>
        <v>367.43333333333334</v>
      </c>
      <c r="AP957" s="5">
        <f t="shared" si="226"/>
        <v>14.020375537758891</v>
      </c>
      <c r="AQ957" s="6">
        <f t="shared" si="227"/>
        <v>135.3386348713907</v>
      </c>
      <c r="AR957" s="2">
        <f t="shared" si="228"/>
        <v>-2.1301186875174403</v>
      </c>
      <c r="AS957" s="2">
        <f t="shared" si="229"/>
        <v>-288.28735528264883</v>
      </c>
    </row>
    <row r="958" spans="13:45" x14ac:dyDescent="0.3">
      <c r="M958" s="78">
        <v>45042.677083333336</v>
      </c>
      <c r="N958" s="79">
        <v>6.6247728089057503E-2</v>
      </c>
      <c r="O958" s="5">
        <v>60.060669519999998</v>
      </c>
      <c r="P958" s="2">
        <v>23800</v>
      </c>
      <c r="Q958" s="7">
        <f t="shared" si="223"/>
        <v>396.66666666666669</v>
      </c>
      <c r="R958" s="6">
        <f t="shared" si="224"/>
        <v>26.278265475326144</v>
      </c>
      <c r="S958" s="6">
        <f t="shared" si="230"/>
        <v>184.08995629087943</v>
      </c>
      <c r="T958" s="2">
        <f t="shared" si="231"/>
        <v>1</v>
      </c>
      <c r="U958" s="6">
        <f t="shared" si="232"/>
        <v>184.08995629087943</v>
      </c>
      <c r="V958">
        <f t="shared" si="233"/>
        <v>1</v>
      </c>
      <c r="W958" s="6">
        <f t="shared" si="225"/>
        <v>184.08995629087943</v>
      </c>
      <c r="AK958" s="78">
        <v>45041.677083333336</v>
      </c>
      <c r="AL958" s="79">
        <v>3.90120250443508E-2</v>
      </c>
      <c r="AM958" s="5">
        <v>70.727821939999998</v>
      </c>
      <c r="AN958" s="2">
        <v>22082</v>
      </c>
      <c r="AO958" s="7">
        <f t="shared" si="234"/>
        <v>368.03333333333336</v>
      </c>
      <c r="AP958" s="5">
        <f t="shared" si="226"/>
        <v>14.357725617155907</v>
      </c>
      <c r="AQ958" s="6">
        <f t="shared" si="227"/>
        <v>136.92363977274593</v>
      </c>
      <c r="AR958" s="2">
        <f t="shared" si="228"/>
        <v>-2.1301186875174403</v>
      </c>
      <c r="AS958" s="2">
        <f t="shared" si="229"/>
        <v>-291.66360384283234</v>
      </c>
    </row>
    <row r="959" spans="13:45" x14ac:dyDescent="0.3">
      <c r="M959" s="78">
        <v>45042.6875</v>
      </c>
      <c r="N959" s="79">
        <v>3.9520714740563498E-2</v>
      </c>
      <c r="O959" s="5">
        <v>57.774288900000002</v>
      </c>
      <c r="P959" s="2">
        <v>24478</v>
      </c>
      <c r="Q959" s="7">
        <f t="shared" si="223"/>
        <v>407.96666666666664</v>
      </c>
      <c r="R959" s="6">
        <f t="shared" si="224"/>
        <v>16.123134256991886</v>
      </c>
      <c r="S959" s="6">
        <f t="shared" si="230"/>
        <v>144.92442913089783</v>
      </c>
      <c r="T959" s="2">
        <f t="shared" si="231"/>
        <v>1</v>
      </c>
      <c r="U959" s="6">
        <f t="shared" si="232"/>
        <v>144.92442913089783</v>
      </c>
      <c r="V959">
        <f t="shared" si="233"/>
        <v>0.22512028544028612</v>
      </c>
      <c r="W959" s="6">
        <f t="shared" si="225"/>
        <v>32.625428853218239</v>
      </c>
      <c r="AK959" s="78">
        <v>45041.6875</v>
      </c>
      <c r="AL959" s="79">
        <v>3.9616605157675198E-2</v>
      </c>
      <c r="AM959" s="5">
        <v>62.648273320000001</v>
      </c>
      <c r="AN959" s="2">
        <v>22922</v>
      </c>
      <c r="AO959" s="7">
        <f t="shared" si="234"/>
        <v>382.03333333333336</v>
      </c>
      <c r="AP959" s="5">
        <f t="shared" si="226"/>
        <v>15.134863723737183</v>
      </c>
      <c r="AQ959" s="6">
        <f t="shared" si="227"/>
        <v>140.50412394117092</v>
      </c>
      <c r="AR959" s="2">
        <f t="shared" si="228"/>
        <v>-2.1301186875174403</v>
      </c>
      <c r="AS959" s="2">
        <f t="shared" si="229"/>
        <v>-299.29046008035476</v>
      </c>
    </row>
    <row r="960" spans="13:45" x14ac:dyDescent="0.3">
      <c r="M960" s="78">
        <v>45042.697916666664</v>
      </c>
      <c r="N960" s="79">
        <v>3.9677314051299699E-2</v>
      </c>
      <c r="O960" s="5">
        <v>61.92162476</v>
      </c>
      <c r="P960" s="2">
        <v>23880</v>
      </c>
      <c r="Q960" s="7">
        <f t="shared" si="223"/>
        <v>398</v>
      </c>
      <c r="R960" s="6">
        <f t="shared" si="224"/>
        <v>15.791570992417281</v>
      </c>
      <c r="S960" s="6">
        <f t="shared" si="230"/>
        <v>143.45724301929508</v>
      </c>
      <c r="T960" s="2">
        <f t="shared" si="231"/>
        <v>1</v>
      </c>
      <c r="U960" s="6">
        <f t="shared" si="232"/>
        <v>143.45724301929508</v>
      </c>
      <c r="V960">
        <f t="shared" si="233"/>
        <v>0.16442780875670721</v>
      </c>
      <c r="W960" s="6">
        <f t="shared" si="225"/>
        <v>23.588360119941122</v>
      </c>
      <c r="AK960" s="78">
        <v>45041.697916666664</v>
      </c>
      <c r="AL960" s="79">
        <v>4.0907832569264502E-2</v>
      </c>
      <c r="AM960" s="5">
        <v>69.822823</v>
      </c>
      <c r="AN960" s="2">
        <v>22796</v>
      </c>
      <c r="AO960" s="7">
        <f t="shared" si="234"/>
        <v>379.93333333333334</v>
      </c>
      <c r="AP960" s="5">
        <f t="shared" si="226"/>
        <v>15.542249187482559</v>
      </c>
      <c r="AQ960" s="6">
        <f t="shared" si="227"/>
        <v>142.34359618476932</v>
      </c>
      <c r="AR960" s="2">
        <f t="shared" si="228"/>
        <v>-2.1301186875174403</v>
      </c>
      <c r="AS960" s="2">
        <f t="shared" si="229"/>
        <v>-303.20875428161338</v>
      </c>
    </row>
    <row r="961" spans="13:45" x14ac:dyDescent="0.3">
      <c r="M961" s="78">
        <v>45042.708333333336</v>
      </c>
      <c r="N961" s="79">
        <v>3.6824276127513197E-2</v>
      </c>
      <c r="O961" s="5">
        <v>57.774288900000002</v>
      </c>
      <c r="P961" s="2">
        <v>24268</v>
      </c>
      <c r="Q961" s="7">
        <f t="shared" si="223"/>
        <v>404.46666666666664</v>
      </c>
      <c r="R961" s="6">
        <f t="shared" si="224"/>
        <v>14.89419221770817</v>
      </c>
      <c r="S961" s="6">
        <f t="shared" si="230"/>
        <v>139.40552786443044</v>
      </c>
      <c r="T961" s="2">
        <f t="shared" si="231"/>
        <v>1</v>
      </c>
      <c r="U961" s="6">
        <f t="shared" si="232"/>
        <v>139.40552786443044</v>
      </c>
      <c r="V961">
        <f t="shared" si="233"/>
        <v>1.6310823191073969E-4</v>
      </c>
      <c r="W961" s="6">
        <f t="shared" si="225"/>
        <v>2.2738189168550603E-2</v>
      </c>
      <c r="AK961" s="78">
        <v>45041.708333333336</v>
      </c>
      <c r="AL961" s="79">
        <v>4.1264200742172998E-2</v>
      </c>
      <c r="AM961" s="5">
        <v>72.523974480000007</v>
      </c>
      <c r="AN961" s="2">
        <v>22553</v>
      </c>
      <c r="AO961" s="7">
        <f t="shared" si="234"/>
        <v>375.88333333333333</v>
      </c>
      <c r="AP961" s="5">
        <f t="shared" si="226"/>
        <v>15.510525322303794</v>
      </c>
      <c r="AQ961" s="6">
        <f t="shared" si="227"/>
        <v>142.20124318669514</v>
      </c>
      <c r="AR961" s="2">
        <f t="shared" si="228"/>
        <v>-2.1301186875174403</v>
      </c>
      <c r="AS961" s="2">
        <f t="shared" si="229"/>
        <v>-302.9055255001914</v>
      </c>
    </row>
    <row r="962" spans="13:45" x14ac:dyDescent="0.3">
      <c r="M962" s="78">
        <v>45042.71875</v>
      </c>
      <c r="N962" s="79">
        <v>4.2120804553170098E-2</v>
      </c>
      <c r="O962" s="5">
        <v>60.811216330000001</v>
      </c>
      <c r="P962" s="2">
        <v>24144</v>
      </c>
      <c r="Q962" s="7">
        <f t="shared" si="223"/>
        <v>402.4</v>
      </c>
      <c r="R962" s="6">
        <f t="shared" si="224"/>
        <v>16.949411752195648</v>
      </c>
      <c r="S962" s="6">
        <f t="shared" si="230"/>
        <v>148.51510105189814</v>
      </c>
      <c r="T962" s="2">
        <f t="shared" si="231"/>
        <v>1</v>
      </c>
      <c r="U962" s="6">
        <f t="shared" si="232"/>
        <v>148.51510105189814</v>
      </c>
      <c r="V962">
        <f t="shared" si="233"/>
        <v>0.376369935114719</v>
      </c>
      <c r="W962" s="6">
        <f t="shared" si="225"/>
        <v>55.896618946458837</v>
      </c>
      <c r="AK962" s="78">
        <v>45041.71875</v>
      </c>
      <c r="AL962" s="79">
        <v>3.7124716118625299E-2</v>
      </c>
      <c r="AM962" s="5">
        <v>69.36581735</v>
      </c>
      <c r="AN962" s="2">
        <v>23559</v>
      </c>
      <c r="AO962" s="7">
        <f t="shared" si="234"/>
        <v>392.65</v>
      </c>
      <c r="AP962" s="5">
        <f t="shared" si="226"/>
        <v>14.577019783978223</v>
      </c>
      <c r="AQ962" s="6">
        <f t="shared" si="227"/>
        <v>137.94379705100525</v>
      </c>
      <c r="AR962" s="2">
        <f t="shared" si="228"/>
        <v>-2.1301186875174403</v>
      </c>
      <c r="AS962" s="2">
        <f t="shared" si="229"/>
        <v>-293.83665992545946</v>
      </c>
    </row>
    <row r="963" spans="13:45" x14ac:dyDescent="0.3">
      <c r="M963" s="78">
        <v>45042.729166666664</v>
      </c>
      <c r="N963" s="79">
        <v>4.0839934707677501E-2</v>
      </c>
      <c r="O963" s="5">
        <v>58.924071830000003</v>
      </c>
      <c r="P963" s="2">
        <v>24569</v>
      </c>
      <c r="Q963" s="7">
        <f t="shared" si="223"/>
        <v>409.48333333333335</v>
      </c>
      <c r="R963" s="6">
        <f t="shared" si="224"/>
        <v>16.723272597215477</v>
      </c>
      <c r="S963" s="6">
        <f t="shared" si="230"/>
        <v>147.54144009773688</v>
      </c>
      <c r="T963" s="2">
        <f t="shared" si="231"/>
        <v>1</v>
      </c>
      <c r="U963" s="6">
        <f t="shared" si="232"/>
        <v>147.54144009773688</v>
      </c>
      <c r="V963">
        <f t="shared" si="233"/>
        <v>0.33497528481023692</v>
      </c>
      <c r="W963" s="6">
        <f t="shared" si="225"/>
        <v>49.42273591805192</v>
      </c>
      <c r="AK963" s="78">
        <v>45041.729166666664</v>
      </c>
      <c r="AL963" s="79">
        <v>4.0301536603150903E-2</v>
      </c>
      <c r="AM963" s="5">
        <v>70.271667750000006</v>
      </c>
      <c r="AN963" s="2">
        <v>22506</v>
      </c>
      <c r="AO963" s="7">
        <f t="shared" si="234"/>
        <v>375.1</v>
      </c>
      <c r="AP963" s="5">
        <f t="shared" si="226"/>
        <v>15.117106379841905</v>
      </c>
      <c r="AQ963" s="6">
        <f t="shared" si="227"/>
        <v>140.42337278777811</v>
      </c>
      <c r="AR963" s="2">
        <f t="shared" si="228"/>
        <v>-2.1301186875174403</v>
      </c>
      <c r="AS963" s="2">
        <f t="shared" si="229"/>
        <v>-299.11845053947411</v>
      </c>
    </row>
    <row r="964" spans="13:45" x14ac:dyDescent="0.3">
      <c r="M964" s="78">
        <v>45042.739583333336</v>
      </c>
      <c r="N964" s="79">
        <v>3.5817627436505503E-2</v>
      </c>
      <c r="O964" s="5">
        <v>57.774288900000002</v>
      </c>
      <c r="P964" s="2">
        <v>24723</v>
      </c>
      <c r="Q964" s="7">
        <f t="shared" ref="Q964:Q1027" si="235">P964/60</f>
        <v>412.05</v>
      </c>
      <c r="R964" s="6">
        <f t="shared" ref="R964:R1027" si="236">N964*Q964</f>
        <v>14.758653385212092</v>
      </c>
      <c r="S964" s="6">
        <f t="shared" si="230"/>
        <v>138.78284238617854</v>
      </c>
      <c r="T964" s="2">
        <f t="shared" si="231"/>
        <v>1</v>
      </c>
      <c r="U964" s="6">
        <f t="shared" si="232"/>
        <v>138.78284238617854</v>
      </c>
      <c r="V964">
        <f t="shared" si="233"/>
        <v>0</v>
      </c>
      <c r="W964" s="6">
        <f t="shared" ref="W964:W1027" si="237">S964*V964</f>
        <v>0</v>
      </c>
      <c r="AK964" s="78">
        <v>45041.739583333336</v>
      </c>
      <c r="AL964" s="79">
        <v>4.4679810669200903E-2</v>
      </c>
      <c r="AM964" s="5">
        <v>69.373566690000004</v>
      </c>
      <c r="AN964" s="2">
        <v>22416</v>
      </c>
      <c r="AO964" s="7">
        <f t="shared" si="234"/>
        <v>373.6</v>
      </c>
      <c r="AP964" s="5">
        <f t="shared" ref="AP964:AP1027" si="238">AO964*AL964</f>
        <v>16.692377266013459</v>
      </c>
      <c r="AQ964" s="6">
        <f t="shared" ref="AQ964:AQ1027" si="239">37.141*AP964^0.4897</f>
        <v>147.40789727047186</v>
      </c>
      <c r="AR964" s="2">
        <f t="shared" ref="AR964:AR1027" si="240">IF((AM964-$AP$1)/($AN$1-$AP$1)&lt;0, 0, IF((AA964-$AP$1)/($AN$1-$AP$1)&gt;1, 1, (AA964-$AP$1)/($AN$1-$AP$1)))</f>
        <v>-2.1301186875174403</v>
      </c>
      <c r="AS964" s="2">
        <f t="shared" ref="AS964:AS1027" si="241">AQ964*AR964</f>
        <v>-313.99631666348319</v>
      </c>
    </row>
    <row r="965" spans="13:45" x14ac:dyDescent="0.3">
      <c r="M965" s="78">
        <v>45042.75</v>
      </c>
      <c r="N965" s="79">
        <v>3.66329858514787E-2</v>
      </c>
      <c r="O965" s="5">
        <v>56.614200629999999</v>
      </c>
      <c r="P965" s="2">
        <v>25221</v>
      </c>
      <c r="Q965" s="7">
        <f t="shared" si="235"/>
        <v>420.35</v>
      </c>
      <c r="R965" s="6">
        <f t="shared" si="236"/>
        <v>15.398675602669073</v>
      </c>
      <c r="S965" s="6">
        <f t="shared" si="230"/>
        <v>141.69815613368638</v>
      </c>
      <c r="T965" s="2">
        <f t="shared" si="231"/>
        <v>1</v>
      </c>
      <c r="U965" s="6">
        <f t="shared" si="232"/>
        <v>141.69815613368638</v>
      </c>
      <c r="V965">
        <f t="shared" si="233"/>
        <v>9.2508519652189286E-2</v>
      </c>
      <c r="W965" s="6">
        <f t="shared" si="237"/>
        <v>13.108286661372112</v>
      </c>
      <c r="AK965" s="78">
        <v>45041.75</v>
      </c>
      <c r="AL965" s="79">
        <v>4.02055424061247E-2</v>
      </c>
      <c r="AM965" s="5">
        <v>69.373566690000004</v>
      </c>
      <c r="AN965" s="2">
        <v>23458</v>
      </c>
      <c r="AO965" s="7">
        <f t="shared" si="234"/>
        <v>390.96666666666664</v>
      </c>
      <c r="AP965" s="5">
        <f t="shared" si="238"/>
        <v>15.719026896047886</v>
      </c>
      <c r="AQ965" s="6">
        <f t="shared" si="239"/>
        <v>143.13414131466169</v>
      </c>
      <c r="AR965" s="2">
        <f t="shared" si="240"/>
        <v>-2.1301186875174403</v>
      </c>
      <c r="AS965" s="2">
        <f t="shared" si="241"/>
        <v>-304.89270923612298</v>
      </c>
    </row>
    <row r="966" spans="13:45" x14ac:dyDescent="0.3">
      <c r="M966" s="78">
        <v>45042.760416666664</v>
      </c>
      <c r="N966" s="79">
        <v>3.92019216315697E-2</v>
      </c>
      <c r="O966" s="5">
        <v>56.614200629999999</v>
      </c>
      <c r="P966" s="2">
        <v>23814</v>
      </c>
      <c r="Q966" s="7">
        <f t="shared" si="235"/>
        <v>396.9</v>
      </c>
      <c r="R966" s="6">
        <f t="shared" si="236"/>
        <v>15.559242695570013</v>
      </c>
      <c r="S966" s="6">
        <f t="shared" si="230"/>
        <v>142.41978936573435</v>
      </c>
      <c r="T966" s="2">
        <f t="shared" si="231"/>
        <v>1</v>
      </c>
      <c r="U966" s="6">
        <f t="shared" si="232"/>
        <v>142.41978936573435</v>
      </c>
      <c r="V966">
        <f t="shared" si="233"/>
        <v>0.12190023937283892</v>
      </c>
      <c r="W966" s="6">
        <f t="shared" si="237"/>
        <v>17.361006415112314</v>
      </c>
      <c r="AK966" s="78">
        <v>45041.760416666664</v>
      </c>
      <c r="AL966" s="79">
        <v>3.9440446052926403E-2</v>
      </c>
      <c r="AM966" s="5">
        <v>70.271667750000006</v>
      </c>
      <c r="AN966" s="2">
        <v>22157</v>
      </c>
      <c r="AO966" s="7">
        <f t="shared" si="234"/>
        <v>369.28333333333336</v>
      </c>
      <c r="AP966" s="5">
        <f t="shared" si="238"/>
        <v>14.564699386578173</v>
      </c>
      <c r="AQ966" s="6">
        <f t="shared" si="239"/>
        <v>137.88669102493125</v>
      </c>
      <c r="AR966" s="2">
        <f t="shared" si="240"/>
        <v>-2.1301186875174403</v>
      </c>
      <c r="AS966" s="2">
        <f t="shared" si="241"/>
        <v>-293.71501731214937</v>
      </c>
    </row>
    <row r="967" spans="13:45" x14ac:dyDescent="0.3">
      <c r="M967" s="78">
        <v>45042.770833333336</v>
      </c>
      <c r="N967" s="79">
        <v>3.7193050212774401E-2</v>
      </c>
      <c r="O967" s="5">
        <v>58.924071830000003</v>
      </c>
      <c r="P967" s="2">
        <v>24435</v>
      </c>
      <c r="Q967" s="7">
        <f t="shared" si="235"/>
        <v>407.25</v>
      </c>
      <c r="R967" s="6">
        <f t="shared" si="236"/>
        <v>15.146869699152374</v>
      </c>
      <c r="S967" s="6">
        <f t="shared" si="230"/>
        <v>140.55869347383293</v>
      </c>
      <c r="T967" s="2">
        <f t="shared" si="231"/>
        <v>1</v>
      </c>
      <c r="U967" s="6">
        <f t="shared" si="232"/>
        <v>140.55869347383293</v>
      </c>
      <c r="V967">
        <f t="shared" si="233"/>
        <v>4.641558487673255E-2</v>
      </c>
      <c r="W967" s="6">
        <f t="shared" si="237"/>
        <v>6.5241139670973265</v>
      </c>
      <c r="AK967" s="78">
        <v>45041.770833333336</v>
      </c>
      <c r="AL967" s="79">
        <v>4.0600758258799101E-2</v>
      </c>
      <c r="AM967" s="5">
        <v>72.523974480000007</v>
      </c>
      <c r="AN967" s="2">
        <v>22325</v>
      </c>
      <c r="AO967" s="7">
        <f t="shared" si="234"/>
        <v>372.08333333333331</v>
      </c>
      <c r="AP967" s="5">
        <f t="shared" si="238"/>
        <v>15.106865468794831</v>
      </c>
      <c r="AQ967" s="6">
        <f t="shared" si="239"/>
        <v>140.37678044859322</v>
      </c>
      <c r="AR967" s="2">
        <f t="shared" si="240"/>
        <v>-2.1301186875174403</v>
      </c>
      <c r="AS967" s="2">
        <f t="shared" si="241"/>
        <v>-299.01920332708124</v>
      </c>
    </row>
    <row r="968" spans="13:45" x14ac:dyDescent="0.3">
      <c r="M968" s="78">
        <v>45042.78125</v>
      </c>
      <c r="N968" s="79">
        <v>3.7221401072681001E-2</v>
      </c>
      <c r="O968" s="5">
        <v>60.811216330000001</v>
      </c>
      <c r="P968" s="2">
        <v>24458</v>
      </c>
      <c r="Q968" s="7">
        <f t="shared" si="235"/>
        <v>407.63333333333333</v>
      </c>
      <c r="R968" s="6">
        <f t="shared" si="236"/>
        <v>15.172683790593865</v>
      </c>
      <c r="S968" s="6">
        <f t="shared" si="230"/>
        <v>140.67594892514217</v>
      </c>
      <c r="T968" s="2">
        <f t="shared" si="231"/>
        <v>1</v>
      </c>
      <c r="U968" s="6">
        <f t="shared" si="232"/>
        <v>140.67594892514217</v>
      </c>
      <c r="V968">
        <f t="shared" si="233"/>
        <v>5.1140840386960998E-2</v>
      </c>
      <c r="W968" s="6">
        <f t="shared" si="237"/>
        <v>7.1942862502649731</v>
      </c>
      <c r="AK968" s="78">
        <v>45041.78125</v>
      </c>
      <c r="AL968" s="79">
        <v>4.0088812129256898E-2</v>
      </c>
      <c r="AM968" s="5">
        <v>70.727821939999998</v>
      </c>
      <c r="AN968" s="2">
        <v>23149</v>
      </c>
      <c r="AO968" s="7">
        <f t="shared" si="234"/>
        <v>385.81666666666666</v>
      </c>
      <c r="AP968" s="5">
        <f t="shared" si="238"/>
        <v>15.466931866336132</v>
      </c>
      <c r="AQ968" s="6">
        <f t="shared" si="239"/>
        <v>142.00538575289974</v>
      </c>
      <c r="AR968" s="2">
        <f t="shared" si="240"/>
        <v>-2.1301186875174403</v>
      </c>
      <c r="AS968" s="2">
        <f t="shared" si="241"/>
        <v>-302.48832592037462</v>
      </c>
    </row>
    <row r="969" spans="13:45" x14ac:dyDescent="0.3">
      <c r="M969" s="78">
        <v>45042.791666666664</v>
      </c>
      <c r="N969" s="79">
        <v>3.5517560328388799E-2</v>
      </c>
      <c r="O969" s="5">
        <v>63.92387093</v>
      </c>
      <c r="P969" s="2">
        <v>24228</v>
      </c>
      <c r="Q969" s="7">
        <f t="shared" si="235"/>
        <v>403.8</v>
      </c>
      <c r="R969" s="6">
        <f t="shared" si="236"/>
        <v>14.341990860603397</v>
      </c>
      <c r="S969" s="6">
        <f t="shared" ref="S969:S1032" si="242">37.141*R969^0.4897</f>
        <v>136.85013688434589</v>
      </c>
      <c r="T969" s="2">
        <f t="shared" ref="T969:T1032" si="243">IF((O969-$R$1)/($P$1-$R$1)&lt;0, 0, IF((O969-$R$1)/($P$1-$R$1)&gt;1, 1, (O969-$R$1)/($P$1-$R$1)))</f>
        <v>1</v>
      </c>
      <c r="U969" s="6">
        <f t="shared" ref="U969:U1032" si="244">S969*T969</f>
        <v>136.85013688434589</v>
      </c>
      <c r="V969">
        <f t="shared" ref="V969:V1032" si="245">IF((R969-$AB$774)/($Z$773-$AB$774)&lt;0, 0, IF((R969-$AB$774)/($Z$773-$AB$774)&gt;1, 1, (R969-$AB$774)/($Z$773-$AB$774)))</f>
        <v>0</v>
      </c>
      <c r="W969" s="6">
        <f t="shared" si="237"/>
        <v>0</v>
      </c>
      <c r="AK969" s="78">
        <v>45041.791666666664</v>
      </c>
      <c r="AL969" s="79">
        <v>3.8068014940046899E-2</v>
      </c>
      <c r="AM969" s="5">
        <v>68.008627450000006</v>
      </c>
      <c r="AN969" s="2">
        <v>23257</v>
      </c>
      <c r="AO969" s="7">
        <f t="shared" si="234"/>
        <v>387.61666666666667</v>
      </c>
      <c r="AP969" s="5">
        <f t="shared" si="238"/>
        <v>14.755797057677846</v>
      </c>
      <c r="AQ969" s="6">
        <f t="shared" si="239"/>
        <v>138.76968866588999</v>
      </c>
      <c r="AR969" s="2">
        <f t="shared" si="240"/>
        <v>-2.1301186875174403</v>
      </c>
      <c r="AS969" s="2">
        <f t="shared" si="241"/>
        <v>-295.59590708818939</v>
      </c>
    </row>
    <row r="970" spans="13:45" x14ac:dyDescent="0.3">
      <c r="M970" s="78">
        <v>45042.802083333336</v>
      </c>
      <c r="N970" s="79">
        <v>3.8390617555115802E-2</v>
      </c>
      <c r="O970" s="5">
        <v>58.930610829999999</v>
      </c>
      <c r="P970" s="2">
        <v>24635</v>
      </c>
      <c r="Q970" s="7">
        <f t="shared" si="235"/>
        <v>410.58333333333331</v>
      </c>
      <c r="R970" s="6">
        <f t="shared" si="236"/>
        <v>15.762547724504628</v>
      </c>
      <c r="S970" s="6">
        <f t="shared" si="242"/>
        <v>143.32806835053958</v>
      </c>
      <c r="T970" s="2">
        <f t="shared" si="243"/>
        <v>1</v>
      </c>
      <c r="U970" s="6">
        <f t="shared" si="244"/>
        <v>143.32806835053958</v>
      </c>
      <c r="V970">
        <f t="shared" si="245"/>
        <v>0.15911511522496169</v>
      </c>
      <c r="W970" s="6">
        <f t="shared" si="237"/>
        <v>22.80566211056729</v>
      </c>
      <c r="AK970" s="78">
        <v>45041.802083333336</v>
      </c>
      <c r="AL970" s="79">
        <v>3.8508319877799499E-2</v>
      </c>
      <c r="AM970" s="5">
        <v>68.466857000000005</v>
      </c>
      <c r="AN970" s="2">
        <v>23473</v>
      </c>
      <c r="AO970" s="7">
        <f t="shared" si="234"/>
        <v>391.21666666666664</v>
      </c>
      <c r="AP970" s="5">
        <f t="shared" si="238"/>
        <v>15.06509654152646</v>
      </c>
      <c r="AQ970" s="6">
        <f t="shared" si="239"/>
        <v>140.18658021790898</v>
      </c>
      <c r="AR970" s="2">
        <f t="shared" si="240"/>
        <v>-2.1301186875174403</v>
      </c>
      <c r="AS970" s="2">
        <f t="shared" si="241"/>
        <v>-298.61405426133064</v>
      </c>
    </row>
    <row r="971" spans="13:45" x14ac:dyDescent="0.3">
      <c r="M971" s="78">
        <v>45042.8125</v>
      </c>
      <c r="N971" s="79">
        <v>3.6108833567240102E-2</v>
      </c>
      <c r="O971" s="5">
        <v>59.685691249999998</v>
      </c>
      <c r="P971" s="2">
        <v>24742</v>
      </c>
      <c r="Q971" s="7">
        <f t="shared" si="235"/>
        <v>412.36666666666667</v>
      </c>
      <c r="R971" s="6">
        <f t="shared" si="236"/>
        <v>14.890079335344243</v>
      </c>
      <c r="S971" s="6">
        <f t="shared" si="242"/>
        <v>139.38667531729567</v>
      </c>
      <c r="T971" s="2">
        <f t="shared" si="243"/>
        <v>1</v>
      </c>
      <c r="U971" s="6">
        <f t="shared" si="244"/>
        <v>139.38667531729567</v>
      </c>
      <c r="V971">
        <f t="shared" si="245"/>
        <v>0</v>
      </c>
      <c r="W971" s="6">
        <f t="shared" si="237"/>
        <v>0</v>
      </c>
      <c r="AK971" s="78">
        <v>45041.8125</v>
      </c>
      <c r="AL971" s="79">
        <v>4.0484737354305897E-2</v>
      </c>
      <c r="AM971" s="5">
        <v>68.008627450000006</v>
      </c>
      <c r="AN971" s="2">
        <v>23379</v>
      </c>
      <c r="AO971" s="7">
        <f t="shared" si="234"/>
        <v>389.65</v>
      </c>
      <c r="AP971" s="5">
        <f t="shared" si="238"/>
        <v>15.774877910105293</v>
      </c>
      <c r="AQ971" s="6">
        <f t="shared" si="239"/>
        <v>143.38296146802628</v>
      </c>
      <c r="AR971" s="2">
        <f t="shared" si="240"/>
        <v>-2.1301186875174403</v>
      </c>
      <c r="AS971" s="2">
        <f t="shared" si="241"/>
        <v>-305.42272569463586</v>
      </c>
    </row>
    <row r="972" spans="13:45" x14ac:dyDescent="0.3">
      <c r="M972" s="78">
        <v>45042.822916666664</v>
      </c>
      <c r="N972" s="79">
        <v>3.7905127867263799E-2</v>
      </c>
      <c r="O972" s="5">
        <v>61.92162476</v>
      </c>
      <c r="P972" s="2">
        <v>24690</v>
      </c>
      <c r="Q972" s="7">
        <f t="shared" si="235"/>
        <v>411.5</v>
      </c>
      <c r="R972" s="6">
        <f t="shared" si="236"/>
        <v>15.597960117379053</v>
      </c>
      <c r="S972" s="6">
        <f t="shared" si="242"/>
        <v>142.59322683857764</v>
      </c>
      <c r="T972" s="2">
        <f t="shared" si="243"/>
        <v>1</v>
      </c>
      <c r="U972" s="6">
        <f t="shared" si="244"/>
        <v>142.59322683857764</v>
      </c>
      <c r="V972">
        <f t="shared" si="245"/>
        <v>0.12898744254478342</v>
      </c>
      <c r="W972" s="6">
        <f t="shared" si="237"/>
        <v>18.392735654116301</v>
      </c>
      <c r="AK972" s="78">
        <v>45041.822916666664</v>
      </c>
      <c r="AL972" s="79">
        <v>3.87244749668346E-2</v>
      </c>
      <c r="AM972" s="5">
        <v>69.36581735</v>
      </c>
      <c r="AN972" s="2">
        <v>24107</v>
      </c>
      <c r="AO972" s="7">
        <f t="shared" si="234"/>
        <v>401.78333333333336</v>
      </c>
      <c r="AP972" s="5">
        <f t="shared" si="238"/>
        <v>15.55884863375803</v>
      </c>
      <c r="AQ972" s="6">
        <f t="shared" si="239"/>
        <v>142.41802300604675</v>
      </c>
      <c r="AR972" s="2">
        <f t="shared" si="240"/>
        <v>-2.1301186875174403</v>
      </c>
      <c r="AS972" s="2">
        <f t="shared" si="241"/>
        <v>-303.3672922444689</v>
      </c>
    </row>
    <row r="973" spans="13:45" x14ac:dyDescent="0.3">
      <c r="M973" s="78">
        <v>45042.833333333336</v>
      </c>
      <c r="N973" s="79">
        <v>4.0972664714017802E-2</v>
      </c>
      <c r="O973" s="5">
        <v>63.92387093</v>
      </c>
      <c r="P973" s="2">
        <v>25287</v>
      </c>
      <c r="Q973" s="7">
        <f t="shared" si="235"/>
        <v>421.45</v>
      </c>
      <c r="R973" s="6">
        <f t="shared" si="236"/>
        <v>17.267929543722801</v>
      </c>
      <c r="S973" s="6">
        <f t="shared" si="242"/>
        <v>149.87532985250701</v>
      </c>
      <c r="T973" s="2">
        <f t="shared" si="243"/>
        <v>1</v>
      </c>
      <c r="U973" s="6">
        <f t="shared" si="244"/>
        <v>149.87532985250701</v>
      </c>
      <c r="V973">
        <f t="shared" si="245"/>
        <v>0.43467444499571939</v>
      </c>
      <c r="W973" s="6">
        <f t="shared" si="237"/>
        <v>65.146975822188864</v>
      </c>
      <c r="AK973" s="78">
        <v>45041.833333333336</v>
      </c>
      <c r="AL973" s="79">
        <v>4.2386953923909301E-2</v>
      </c>
      <c r="AM973" s="5">
        <v>64.377553680000005</v>
      </c>
      <c r="AN973" s="2">
        <v>23807</v>
      </c>
      <c r="AO973" s="7">
        <f t="shared" si="234"/>
        <v>396.78333333333336</v>
      </c>
      <c r="AP973" s="5">
        <f t="shared" si="238"/>
        <v>16.818436867775148</v>
      </c>
      <c r="AQ973" s="6">
        <f t="shared" si="239"/>
        <v>147.95199151124061</v>
      </c>
      <c r="AR973" s="2">
        <f t="shared" si="240"/>
        <v>-2.1301186875174403</v>
      </c>
      <c r="AS973" s="2">
        <f t="shared" si="241"/>
        <v>-315.15530197351529</v>
      </c>
    </row>
    <row r="974" spans="13:45" x14ac:dyDescent="0.3">
      <c r="M974" s="78">
        <v>45042.84375</v>
      </c>
      <c r="N974" s="79">
        <v>3.7631674854142698E-2</v>
      </c>
      <c r="O974" s="5">
        <v>62.654512349999997</v>
      </c>
      <c r="P974" s="2">
        <v>25116</v>
      </c>
      <c r="Q974" s="7">
        <f t="shared" si="235"/>
        <v>418.6</v>
      </c>
      <c r="R974" s="6">
        <f t="shared" si="236"/>
        <v>15.752619093944134</v>
      </c>
      <c r="S974" s="6">
        <f t="shared" si="242"/>
        <v>143.28385085883639</v>
      </c>
      <c r="T974" s="2">
        <f t="shared" si="243"/>
        <v>1</v>
      </c>
      <c r="U974" s="6">
        <f t="shared" si="244"/>
        <v>143.28385085883639</v>
      </c>
      <c r="V974">
        <f t="shared" si="245"/>
        <v>0.15729768475791092</v>
      </c>
      <c r="W974" s="6">
        <f t="shared" si="237"/>
        <v>22.538218003292769</v>
      </c>
      <c r="AK974" s="78">
        <v>45041.84375</v>
      </c>
      <c r="AL974" s="79">
        <v>3.9241243520820097E-2</v>
      </c>
      <c r="AM974" s="5">
        <v>68.016396760000006</v>
      </c>
      <c r="AN974" s="2">
        <v>23874</v>
      </c>
      <c r="AO974" s="7">
        <f t="shared" si="234"/>
        <v>397.9</v>
      </c>
      <c r="AP974" s="5">
        <f t="shared" si="238"/>
        <v>15.614090796934315</v>
      </c>
      <c r="AQ974" s="6">
        <f t="shared" si="239"/>
        <v>142.66542054001835</v>
      </c>
      <c r="AR974" s="2">
        <f t="shared" si="240"/>
        <v>-2.1301186875174403</v>
      </c>
      <c r="AS974" s="2">
        <f t="shared" si="241"/>
        <v>-303.89427835482752</v>
      </c>
    </row>
    <row r="975" spans="13:45" x14ac:dyDescent="0.3">
      <c r="M975" s="78">
        <v>45042.854166666664</v>
      </c>
      <c r="N975" s="79">
        <v>3.5653368274370802E-2</v>
      </c>
      <c r="O975" s="5">
        <v>60.811216330000001</v>
      </c>
      <c r="P975" s="2">
        <v>25143</v>
      </c>
      <c r="Q975" s="7">
        <f t="shared" si="235"/>
        <v>419.05</v>
      </c>
      <c r="R975" s="6">
        <f t="shared" si="236"/>
        <v>14.940543975375085</v>
      </c>
      <c r="S975" s="6">
        <f t="shared" si="242"/>
        <v>139.61781071254808</v>
      </c>
      <c r="T975" s="2">
        <f t="shared" si="243"/>
        <v>1</v>
      </c>
      <c r="U975" s="6">
        <f t="shared" si="244"/>
        <v>139.61781071254808</v>
      </c>
      <c r="V975">
        <f t="shared" si="245"/>
        <v>8.6477724634911029E-3</v>
      </c>
      <c r="W975" s="6">
        <f t="shared" si="237"/>
        <v>1.2073830588928864</v>
      </c>
      <c r="AK975" s="78">
        <v>45041.854166666664</v>
      </c>
      <c r="AL975" s="79">
        <v>3.6445591702826102E-2</v>
      </c>
      <c r="AM975" s="5">
        <v>69.373566690000004</v>
      </c>
      <c r="AN975" s="2">
        <v>24220</v>
      </c>
      <c r="AO975" s="7">
        <f t="shared" si="234"/>
        <v>403.66666666666669</v>
      </c>
      <c r="AP975" s="5">
        <f t="shared" si="238"/>
        <v>14.711870517374138</v>
      </c>
      <c r="AQ975" s="6">
        <f t="shared" si="239"/>
        <v>138.56723796515877</v>
      </c>
      <c r="AR975" s="2">
        <f t="shared" si="240"/>
        <v>-2.1301186875174403</v>
      </c>
      <c r="AS975" s="2">
        <f t="shared" si="241"/>
        <v>-295.16466306726079</v>
      </c>
    </row>
    <row r="976" spans="13:45" x14ac:dyDescent="0.3">
      <c r="M976" s="78">
        <v>45042.864583333336</v>
      </c>
      <c r="N976" s="79">
        <v>3.8180875677129598E-2</v>
      </c>
      <c r="O976" s="5">
        <v>61.555361079999997</v>
      </c>
      <c r="P976" s="2">
        <v>25123</v>
      </c>
      <c r="Q976" s="7">
        <f t="shared" si="235"/>
        <v>418.71666666666664</v>
      </c>
      <c r="R976" s="6">
        <f t="shared" si="236"/>
        <v>15.986968993942114</v>
      </c>
      <c r="S976" s="6">
        <f t="shared" si="242"/>
        <v>144.32377097904987</v>
      </c>
      <c r="T976" s="2">
        <f t="shared" si="243"/>
        <v>1</v>
      </c>
      <c r="U976" s="6">
        <f t="shared" si="244"/>
        <v>144.32377097904987</v>
      </c>
      <c r="V976">
        <f t="shared" si="245"/>
        <v>0.20019530750774991</v>
      </c>
      <c r="W976" s="6">
        <f t="shared" si="237"/>
        <v>28.892941711828961</v>
      </c>
      <c r="AK976" s="78">
        <v>45041.864583333336</v>
      </c>
      <c r="AL976" s="79">
        <v>3.8253905590587299E-2</v>
      </c>
      <c r="AM976" s="5">
        <v>68.016396760000006</v>
      </c>
      <c r="AN976" s="2">
        <v>24995</v>
      </c>
      <c r="AO976" s="7">
        <f t="shared" si="234"/>
        <v>416.58333333333331</v>
      </c>
      <c r="AP976" s="5">
        <f t="shared" si="238"/>
        <v>15.935939503945491</v>
      </c>
      <c r="AQ976" s="6">
        <f t="shared" si="239"/>
        <v>144.09799528181517</v>
      </c>
      <c r="AR976" s="2">
        <f t="shared" si="240"/>
        <v>-2.1301186875174403</v>
      </c>
      <c r="AS976" s="2">
        <f t="shared" si="241"/>
        <v>-306.94583258359444</v>
      </c>
    </row>
    <row r="977" spans="13:45" x14ac:dyDescent="0.3">
      <c r="M977" s="78">
        <v>45042.875</v>
      </c>
      <c r="N977" s="79">
        <v>3.5134445665799603E-2</v>
      </c>
      <c r="O977" s="5">
        <v>63.469872090000003</v>
      </c>
      <c r="P977" s="2">
        <v>25278</v>
      </c>
      <c r="Q977" s="7">
        <f t="shared" si="235"/>
        <v>421.3</v>
      </c>
      <c r="R977" s="6">
        <f t="shared" si="236"/>
        <v>14.802141959001373</v>
      </c>
      <c r="S977" s="6">
        <f t="shared" si="242"/>
        <v>138.98295209317439</v>
      </c>
      <c r="T977" s="2">
        <f t="shared" si="243"/>
        <v>1</v>
      </c>
      <c r="U977" s="6">
        <f t="shared" si="244"/>
        <v>138.98295209317439</v>
      </c>
      <c r="V977">
        <f t="shared" si="245"/>
        <v>0</v>
      </c>
      <c r="W977" s="6">
        <f t="shared" si="237"/>
        <v>0</v>
      </c>
      <c r="AK977" s="78">
        <v>45041.875</v>
      </c>
      <c r="AL977" s="79">
        <v>3.7434736502189599E-2</v>
      </c>
      <c r="AM977" s="5">
        <v>66.655723199999997</v>
      </c>
      <c r="AN977" s="2">
        <v>24997</v>
      </c>
      <c r="AO977" s="7">
        <f t="shared" si="234"/>
        <v>416.61666666666667</v>
      </c>
      <c r="AP977" s="5">
        <f t="shared" si="238"/>
        <v>15.595935139087224</v>
      </c>
      <c r="AQ977" s="6">
        <f t="shared" si="239"/>
        <v>142.58416125108147</v>
      </c>
      <c r="AR977" s="2">
        <f t="shared" si="240"/>
        <v>-2.1301186875174403</v>
      </c>
      <c r="AS977" s="2">
        <f t="shared" si="241"/>
        <v>-303.7211864249287</v>
      </c>
    </row>
    <row r="978" spans="13:45" x14ac:dyDescent="0.3">
      <c r="M978" s="78">
        <v>45042.885416666664</v>
      </c>
      <c r="N978" s="79">
        <v>3.81121170378858E-2</v>
      </c>
      <c r="O978" s="5">
        <v>61.555361079999997</v>
      </c>
      <c r="P978" s="2">
        <v>26280</v>
      </c>
      <c r="Q978" s="7">
        <f t="shared" si="235"/>
        <v>438</v>
      </c>
      <c r="R978" s="6">
        <f t="shared" si="236"/>
        <v>16.69310726259398</v>
      </c>
      <c r="S978" s="6">
        <f t="shared" si="242"/>
        <v>147.4110540819236</v>
      </c>
      <c r="T978" s="2">
        <f t="shared" si="243"/>
        <v>1</v>
      </c>
      <c r="U978" s="6">
        <f t="shared" si="244"/>
        <v>147.4110540819236</v>
      </c>
      <c r="V978">
        <f t="shared" si="245"/>
        <v>0.32945353658364585</v>
      </c>
      <c r="W978" s="6">
        <f t="shared" si="237"/>
        <v>48.56509309881281</v>
      </c>
      <c r="AK978" s="78">
        <v>45041.885416666664</v>
      </c>
      <c r="AL978" s="79">
        <v>3.6160894885698902E-2</v>
      </c>
      <c r="AM978" s="5">
        <v>69.36581735</v>
      </c>
      <c r="AN978" s="2">
        <v>23963</v>
      </c>
      <c r="AO978" s="7">
        <f t="shared" si="234"/>
        <v>399.38333333333333</v>
      </c>
      <c r="AP978" s="5">
        <f t="shared" si="238"/>
        <v>14.442058735766713</v>
      </c>
      <c r="AQ978" s="6">
        <f t="shared" si="239"/>
        <v>137.31689238435106</v>
      </c>
      <c r="AR978" s="2">
        <f t="shared" si="240"/>
        <v>-2.1301186875174403</v>
      </c>
      <c r="AS978" s="2">
        <f t="shared" si="241"/>
        <v>-292.50127857972745</v>
      </c>
    </row>
    <row r="979" spans="13:45" x14ac:dyDescent="0.3">
      <c r="M979" s="78">
        <v>45042.895833333336</v>
      </c>
      <c r="N979" s="79">
        <v>3.6264450082943801E-2</v>
      </c>
      <c r="O979" s="5">
        <v>60.440350530000003</v>
      </c>
      <c r="P979" s="2">
        <v>25910</v>
      </c>
      <c r="Q979" s="7">
        <f t="shared" si="235"/>
        <v>431.83333333333331</v>
      </c>
      <c r="R979" s="6">
        <f t="shared" si="236"/>
        <v>15.660198360817898</v>
      </c>
      <c r="S979" s="6">
        <f t="shared" si="242"/>
        <v>142.87156774319885</v>
      </c>
      <c r="T979" s="2">
        <f t="shared" si="243"/>
        <v>1</v>
      </c>
      <c r="U979" s="6">
        <f t="shared" si="244"/>
        <v>142.87156774319885</v>
      </c>
      <c r="V979">
        <f t="shared" si="245"/>
        <v>0.14038011942527376</v>
      </c>
      <c r="W979" s="6">
        <f t="shared" si="237"/>
        <v>20.056327742266344</v>
      </c>
      <c r="AK979" s="78">
        <v>45041.895833333336</v>
      </c>
      <c r="AL979" s="79">
        <v>3.78923669362091E-2</v>
      </c>
      <c r="AM979" s="5">
        <v>70.271667750000006</v>
      </c>
      <c r="AN979" s="2">
        <v>24179</v>
      </c>
      <c r="AO979" s="7">
        <f t="shared" si="234"/>
        <v>402.98333333333335</v>
      </c>
      <c r="AP979" s="5">
        <f t="shared" si="238"/>
        <v>15.26999233584333</v>
      </c>
      <c r="AQ979" s="6">
        <f t="shared" si="239"/>
        <v>141.11704131668651</v>
      </c>
      <c r="AR979" s="2">
        <f t="shared" si="240"/>
        <v>-2.1301186875174403</v>
      </c>
      <c r="AS979" s="2">
        <f t="shared" si="241"/>
        <v>-300.59604683584467</v>
      </c>
    </row>
    <row r="980" spans="13:45" x14ac:dyDescent="0.3">
      <c r="M980" s="78">
        <v>45042.90625</v>
      </c>
      <c r="N980" s="79">
        <v>3.7315982472475799E-2</v>
      </c>
      <c r="O980" s="5">
        <v>62.654512349999997</v>
      </c>
      <c r="P980" s="2">
        <v>25799</v>
      </c>
      <c r="Q980" s="7">
        <f t="shared" si="235"/>
        <v>429.98333333333335</v>
      </c>
      <c r="R980" s="6">
        <f t="shared" si="236"/>
        <v>16.045250530123386</v>
      </c>
      <c r="S980" s="6">
        <f t="shared" si="242"/>
        <v>144.58118335074508</v>
      </c>
      <c r="T980" s="2">
        <f t="shared" si="243"/>
        <v>1</v>
      </c>
      <c r="U980" s="6">
        <f t="shared" si="244"/>
        <v>144.58118335074508</v>
      </c>
      <c r="V980">
        <f t="shared" si="245"/>
        <v>0.21086371125960507</v>
      </c>
      <c r="W980" s="6">
        <f t="shared" si="237"/>
        <v>30.48692489964353</v>
      </c>
      <c r="AK980" s="78">
        <v>45041.90625</v>
      </c>
      <c r="AL980" s="79">
        <v>3.7266882577579701E-2</v>
      </c>
      <c r="AM980" s="5">
        <v>70.271667750000006</v>
      </c>
      <c r="AN980" s="2">
        <v>24577</v>
      </c>
      <c r="AO980" s="7">
        <f t="shared" si="234"/>
        <v>409.61666666666667</v>
      </c>
      <c r="AP980" s="5">
        <f t="shared" si="238"/>
        <v>15.265136218486273</v>
      </c>
      <c r="AQ980" s="6">
        <f t="shared" si="239"/>
        <v>141.09506296265474</v>
      </c>
      <c r="AR980" s="2">
        <f t="shared" si="240"/>
        <v>-2.1301186875174403</v>
      </c>
      <c r="AS980" s="2">
        <f t="shared" si="241"/>
        <v>-300.54923033320068</v>
      </c>
    </row>
    <row r="981" spans="13:45" x14ac:dyDescent="0.3">
      <c r="M981" s="78">
        <v>45042.916666666664</v>
      </c>
      <c r="N981" s="79">
        <v>3.5579572559259698E-2</v>
      </c>
      <c r="O981" s="5">
        <v>60.811216330000001</v>
      </c>
      <c r="P981" s="2">
        <v>26274</v>
      </c>
      <c r="Q981" s="7">
        <f t="shared" si="235"/>
        <v>437.9</v>
      </c>
      <c r="R981" s="6">
        <f t="shared" si="236"/>
        <v>15.580294823699822</v>
      </c>
      <c r="S981" s="6">
        <f t="shared" si="242"/>
        <v>142.51412116958522</v>
      </c>
      <c r="T981" s="2">
        <f t="shared" si="243"/>
        <v>1</v>
      </c>
      <c r="U981" s="6">
        <f t="shared" si="244"/>
        <v>142.51412116958522</v>
      </c>
      <c r="V981">
        <f t="shared" si="245"/>
        <v>0.12575382006820754</v>
      </c>
      <c r="W981" s="6">
        <f t="shared" si="237"/>
        <v>17.921695150738746</v>
      </c>
      <c r="AK981" s="78">
        <v>45041.916666666664</v>
      </c>
      <c r="AL981" s="79">
        <v>3.98860733812346E-2</v>
      </c>
      <c r="AM981" s="5">
        <v>66.647934039999996</v>
      </c>
      <c r="AN981" s="2">
        <v>23578</v>
      </c>
      <c r="AO981" s="7">
        <f t="shared" si="234"/>
        <v>392.96666666666664</v>
      </c>
      <c r="AP981" s="5">
        <f t="shared" si="238"/>
        <v>15.673897303045823</v>
      </c>
      <c r="AQ981" s="6">
        <f t="shared" si="239"/>
        <v>142.93275609979133</v>
      </c>
      <c r="AR981" s="2">
        <f t="shared" si="240"/>
        <v>-2.1301186875174403</v>
      </c>
      <c r="AS981" s="2">
        <f t="shared" si="241"/>
        <v>-304.46373482653792</v>
      </c>
    </row>
    <row r="982" spans="13:45" x14ac:dyDescent="0.3">
      <c r="M982" s="78">
        <v>45042.927083333336</v>
      </c>
      <c r="N982" s="79">
        <v>3.7990020858474298E-2</v>
      </c>
      <c r="O982" s="5">
        <v>59.685691249999998</v>
      </c>
      <c r="P982" s="2">
        <v>25931</v>
      </c>
      <c r="Q982" s="7">
        <f t="shared" si="235"/>
        <v>432.18333333333334</v>
      </c>
      <c r="R982" s="6">
        <f t="shared" si="236"/>
        <v>16.418653848018284</v>
      </c>
      <c r="S982" s="6">
        <f t="shared" si="242"/>
        <v>146.21919525553116</v>
      </c>
      <c r="T982" s="2">
        <f t="shared" si="243"/>
        <v>1</v>
      </c>
      <c r="U982" s="6">
        <f t="shared" si="244"/>
        <v>146.21919525553116</v>
      </c>
      <c r="V982">
        <f t="shared" si="245"/>
        <v>0.27921498712843024</v>
      </c>
      <c r="W982" s="6">
        <f t="shared" si="237"/>
        <v>40.826590721202564</v>
      </c>
      <c r="AK982" s="78">
        <v>45041.927083333336</v>
      </c>
      <c r="AL982" s="79">
        <v>3.8562711136407503E-2</v>
      </c>
      <c r="AM982" s="5">
        <v>65.743635260000005</v>
      </c>
      <c r="AN982" s="2">
        <v>23492</v>
      </c>
      <c r="AO982" s="7">
        <f t="shared" si="234"/>
        <v>391.53333333333336</v>
      </c>
      <c r="AP982" s="5">
        <f t="shared" si="238"/>
        <v>15.098586833608085</v>
      </c>
      <c r="AQ982" s="6">
        <f t="shared" si="239"/>
        <v>140.3391039529059</v>
      </c>
      <c r="AR982" s="2">
        <f t="shared" si="240"/>
        <v>-2.1301186875174403</v>
      </c>
      <c r="AS982" s="2">
        <f t="shared" si="241"/>
        <v>-298.93894791953755</v>
      </c>
    </row>
    <row r="983" spans="13:45" x14ac:dyDescent="0.3">
      <c r="M983" s="78">
        <v>45042.9375</v>
      </c>
      <c r="N983" s="79">
        <v>3.6830718041260098E-2</v>
      </c>
      <c r="O983" s="5">
        <v>59.309003199999999</v>
      </c>
      <c r="P983" s="2">
        <v>25855</v>
      </c>
      <c r="Q983" s="7">
        <f t="shared" si="235"/>
        <v>430.91666666666669</v>
      </c>
      <c r="R983" s="6">
        <f t="shared" si="236"/>
        <v>15.870970249279665</v>
      </c>
      <c r="S983" s="6">
        <f t="shared" si="242"/>
        <v>143.81000972243268</v>
      </c>
      <c r="T983" s="2">
        <f t="shared" si="243"/>
        <v>1</v>
      </c>
      <c r="U983" s="6">
        <f t="shared" si="244"/>
        <v>143.81000972243268</v>
      </c>
      <c r="V983">
        <f t="shared" si="245"/>
        <v>0.17896179988505623</v>
      </c>
      <c r="W983" s="6">
        <f t="shared" si="237"/>
        <v>25.736498181413989</v>
      </c>
      <c r="AK983" s="78">
        <v>45041.9375</v>
      </c>
      <c r="AL983" s="79">
        <v>3.9066235216980598E-2</v>
      </c>
      <c r="AM983" s="5">
        <v>68.916923760000003</v>
      </c>
      <c r="AN983" s="2">
        <v>22835</v>
      </c>
      <c r="AO983" s="7">
        <f t="shared" si="234"/>
        <v>380.58333333333331</v>
      </c>
      <c r="AP983" s="5">
        <f t="shared" si="238"/>
        <v>14.867958019662531</v>
      </c>
      <c r="AQ983" s="6">
        <f t="shared" si="239"/>
        <v>139.28523046333405</v>
      </c>
      <c r="AR983" s="2">
        <f t="shared" si="240"/>
        <v>-2.1301186875174403</v>
      </c>
      <c r="AS983" s="2">
        <f t="shared" si="241"/>
        <v>-296.69407230512132</v>
      </c>
    </row>
    <row r="984" spans="13:45" x14ac:dyDescent="0.3">
      <c r="M984" s="78">
        <v>45042.947916666664</v>
      </c>
      <c r="N984" s="79">
        <v>3.6338449723717102E-2</v>
      </c>
      <c r="O984" s="5">
        <v>61.555361079999997</v>
      </c>
      <c r="P984" s="2">
        <v>26470</v>
      </c>
      <c r="Q984" s="7">
        <f t="shared" si="235"/>
        <v>441.16666666666669</v>
      </c>
      <c r="R984" s="6">
        <f t="shared" si="236"/>
        <v>16.03131273644653</v>
      </c>
      <c r="S984" s="6">
        <f t="shared" si="242"/>
        <v>144.51966768972278</v>
      </c>
      <c r="T984" s="2">
        <f t="shared" si="243"/>
        <v>1</v>
      </c>
      <c r="U984" s="6">
        <f t="shared" si="244"/>
        <v>144.51966768972278</v>
      </c>
      <c r="V984">
        <f t="shared" si="245"/>
        <v>0.2083124056472706</v>
      </c>
      <c r="W984" s="6">
        <f t="shared" si="237"/>
        <v>30.10523963979028</v>
      </c>
      <c r="AK984" s="78">
        <v>45041.947916666664</v>
      </c>
      <c r="AL984" s="79">
        <v>3.7088090269824701E-2</v>
      </c>
      <c r="AM984" s="5">
        <v>62.292408569999999</v>
      </c>
      <c r="AN984" s="2">
        <v>25227</v>
      </c>
      <c r="AO984" s="7">
        <f t="shared" si="234"/>
        <v>420.45</v>
      </c>
      <c r="AP984" s="5">
        <f t="shared" si="238"/>
        <v>15.593687553947795</v>
      </c>
      <c r="AQ984" s="6">
        <f t="shared" si="239"/>
        <v>142.57409837577973</v>
      </c>
      <c r="AR984" s="2">
        <f t="shared" si="240"/>
        <v>-2.1301186875174403</v>
      </c>
      <c r="AS984" s="2">
        <f t="shared" si="241"/>
        <v>-303.69975130619832</v>
      </c>
    </row>
    <row r="985" spans="13:45" x14ac:dyDescent="0.3">
      <c r="M985" s="78">
        <v>45042.958333333336</v>
      </c>
      <c r="N985" s="79">
        <v>3.60249707355371E-2</v>
      </c>
      <c r="O985" s="5">
        <v>61.555361079999997</v>
      </c>
      <c r="P985" s="2">
        <v>26265</v>
      </c>
      <c r="Q985" s="7">
        <f t="shared" si="235"/>
        <v>437.75</v>
      </c>
      <c r="R985" s="6">
        <f t="shared" si="236"/>
        <v>15.769930939481366</v>
      </c>
      <c r="S985" s="6">
        <f t="shared" si="242"/>
        <v>143.36094053434925</v>
      </c>
      <c r="T985" s="2">
        <f t="shared" si="243"/>
        <v>1</v>
      </c>
      <c r="U985" s="6">
        <f t="shared" si="244"/>
        <v>143.36094053434925</v>
      </c>
      <c r="V985">
        <f t="shared" si="245"/>
        <v>0.16046660874279883</v>
      </c>
      <c r="W985" s="6">
        <f t="shared" si="237"/>
        <v>23.004643953725072</v>
      </c>
      <c r="AK985" s="78">
        <v>45041.958333333336</v>
      </c>
      <c r="AL985" s="79">
        <v>3.5523300168103497E-2</v>
      </c>
      <c r="AM985" s="5">
        <v>61.92162476</v>
      </c>
      <c r="AN985" s="2">
        <v>26023</v>
      </c>
      <c r="AO985" s="7">
        <f t="shared" si="234"/>
        <v>433.71666666666664</v>
      </c>
      <c r="AP985" s="5">
        <f t="shared" si="238"/>
        <v>15.407047337909287</v>
      </c>
      <c r="AQ985" s="6">
        <f t="shared" si="239"/>
        <v>141.73587565622344</v>
      </c>
      <c r="AR985" s="2">
        <f t="shared" si="240"/>
        <v>-2.1301186875174403</v>
      </c>
      <c r="AS985" s="2">
        <f t="shared" si="241"/>
        <v>-301.91423742696981</v>
      </c>
    </row>
    <row r="986" spans="13:45" x14ac:dyDescent="0.3">
      <c r="M986" s="78">
        <v>45042.96875</v>
      </c>
      <c r="N986" s="79">
        <v>3.4465555856067497E-2</v>
      </c>
      <c r="O986" s="5">
        <v>60.811216330000001</v>
      </c>
      <c r="P986" s="2">
        <v>26571</v>
      </c>
      <c r="Q986" s="7">
        <f t="shared" si="235"/>
        <v>442.85</v>
      </c>
      <c r="R986" s="6">
        <f t="shared" si="236"/>
        <v>15.263071410859492</v>
      </c>
      <c r="S986" s="6">
        <f t="shared" si="242"/>
        <v>141.08571674646467</v>
      </c>
      <c r="T986" s="2">
        <f t="shared" si="243"/>
        <v>1</v>
      </c>
      <c r="U986" s="6">
        <f t="shared" si="244"/>
        <v>141.08571674646467</v>
      </c>
      <c r="V986">
        <f t="shared" si="245"/>
        <v>6.7686245507441067E-2</v>
      </c>
      <c r="W986" s="6">
        <f t="shared" si="237"/>
        <v>9.5495624612944976</v>
      </c>
      <c r="AK986" s="78">
        <v>45041.96875</v>
      </c>
      <c r="AL986" s="79">
        <v>4.0817249537399902E-2</v>
      </c>
      <c r="AM986" s="5">
        <v>68.916923760000003</v>
      </c>
      <c r="AN986" s="2">
        <v>24992</v>
      </c>
      <c r="AO986" s="7">
        <f t="shared" si="234"/>
        <v>416.53333333333336</v>
      </c>
      <c r="AP986" s="5">
        <f t="shared" si="238"/>
        <v>17.001745007311641</v>
      </c>
      <c r="AQ986" s="6">
        <f t="shared" si="239"/>
        <v>148.73947999322382</v>
      </c>
      <c r="AR986" s="2">
        <f t="shared" si="240"/>
        <v>-2.1301186875174403</v>
      </c>
      <c r="AS986" s="2">
        <f t="shared" si="241"/>
        <v>-316.8327459051925</v>
      </c>
    </row>
    <row r="987" spans="13:45" x14ac:dyDescent="0.3">
      <c r="M987" s="78">
        <v>45042.979166666664</v>
      </c>
      <c r="N987" s="79">
        <v>3.5469098614653298E-2</v>
      </c>
      <c r="O987" s="5">
        <v>63.469872090000003</v>
      </c>
      <c r="P987" s="2">
        <v>26500</v>
      </c>
      <c r="Q987" s="7">
        <f t="shared" si="235"/>
        <v>441.66666666666669</v>
      </c>
      <c r="R987" s="6">
        <f t="shared" si="236"/>
        <v>15.665518554805207</v>
      </c>
      <c r="S987" s="6">
        <f t="shared" si="242"/>
        <v>142.89533442124898</v>
      </c>
      <c r="T987" s="2">
        <f t="shared" si="243"/>
        <v>1</v>
      </c>
      <c r="U987" s="6">
        <f t="shared" si="244"/>
        <v>142.89533442124898</v>
      </c>
      <c r="V987">
        <f t="shared" si="245"/>
        <v>0.14135397806411043</v>
      </c>
      <c r="W987" s="6">
        <f t="shared" si="237"/>
        <v>20.198823967244952</v>
      </c>
      <c r="AK987" s="78">
        <v>45041.979166666664</v>
      </c>
      <c r="AL987" s="79">
        <v>3.8041754614311502E-2</v>
      </c>
      <c r="AM987" s="5">
        <v>69.36581735</v>
      </c>
      <c r="AN987" s="2">
        <v>26115</v>
      </c>
      <c r="AO987" s="7">
        <f t="shared" si="234"/>
        <v>435.25</v>
      </c>
      <c r="AP987" s="5">
        <f t="shared" si="238"/>
        <v>16.557673695879082</v>
      </c>
      <c r="AQ987" s="6">
        <f t="shared" si="239"/>
        <v>146.82417171535312</v>
      </c>
      <c r="AR987" s="2">
        <f t="shared" si="240"/>
        <v>-2.1301186875174403</v>
      </c>
      <c r="AS987" s="2">
        <f t="shared" si="241"/>
        <v>-312.75291195014324</v>
      </c>
    </row>
    <row r="988" spans="13:45" x14ac:dyDescent="0.3">
      <c r="M988" s="78">
        <v>45042.989583333336</v>
      </c>
      <c r="N988" s="79">
        <v>3.5161300787299801E-2</v>
      </c>
      <c r="O988" s="5">
        <v>61.555361079999997</v>
      </c>
      <c r="P988" s="2">
        <v>26404</v>
      </c>
      <c r="Q988" s="7">
        <f t="shared" si="235"/>
        <v>440.06666666666666</v>
      </c>
      <c r="R988" s="6">
        <f t="shared" si="236"/>
        <v>15.473316433131066</v>
      </c>
      <c r="S988" s="6">
        <f t="shared" si="242"/>
        <v>142.03408803630623</v>
      </c>
      <c r="T988" s="2">
        <f t="shared" si="243"/>
        <v>1</v>
      </c>
      <c r="U988" s="6">
        <f t="shared" si="244"/>
        <v>142.03408803630623</v>
      </c>
      <c r="V988">
        <f t="shared" si="245"/>
        <v>0.10617148339538211</v>
      </c>
      <c r="W988" s="6">
        <f t="shared" si="237"/>
        <v>15.079969819524928</v>
      </c>
      <c r="AK988" s="78">
        <v>45041.989583333336</v>
      </c>
      <c r="AL988" s="79">
        <v>4.0060204256728203E-2</v>
      </c>
      <c r="AM988" s="5">
        <v>66.647934039999996</v>
      </c>
      <c r="AN988" s="2">
        <v>25302</v>
      </c>
      <c r="AO988" s="7">
        <f t="shared" si="234"/>
        <v>421.7</v>
      </c>
      <c r="AP988" s="5">
        <f t="shared" si="238"/>
        <v>16.893388135062281</v>
      </c>
      <c r="AQ988" s="6">
        <f t="shared" si="239"/>
        <v>148.27450751534755</v>
      </c>
      <c r="AR988" s="2">
        <f t="shared" si="240"/>
        <v>-2.1301186875174403</v>
      </c>
      <c r="AS988" s="2">
        <f t="shared" si="241"/>
        <v>-315.84229934088694</v>
      </c>
    </row>
    <row r="989" spans="13:45" x14ac:dyDescent="0.3">
      <c r="M989" s="78">
        <v>45043</v>
      </c>
      <c r="N989" s="79">
        <v>3.3713926496019002E-2</v>
      </c>
      <c r="O989" s="5">
        <v>61.555361079999997</v>
      </c>
      <c r="P989" s="2">
        <v>27236</v>
      </c>
      <c r="Q989" s="7">
        <f t="shared" si="235"/>
        <v>453.93333333333334</v>
      </c>
      <c r="R989" s="6">
        <f t="shared" si="236"/>
        <v>15.303875034092892</v>
      </c>
      <c r="S989" s="6">
        <f t="shared" si="242"/>
        <v>141.27029222688066</v>
      </c>
      <c r="T989" s="2">
        <f t="shared" si="243"/>
        <v>1</v>
      </c>
      <c r="U989" s="6">
        <f t="shared" si="244"/>
        <v>141.27029222688066</v>
      </c>
      <c r="V989">
        <f t="shared" si="245"/>
        <v>7.5155326724493099E-2</v>
      </c>
      <c r="W989" s="6">
        <f t="shared" si="237"/>
        <v>10.617214968775833</v>
      </c>
      <c r="AK989" s="78">
        <v>45042</v>
      </c>
      <c r="AL989" s="79">
        <v>3.52413840319011E-2</v>
      </c>
      <c r="AM989" s="5">
        <v>70.271667750000006</v>
      </c>
      <c r="AN989" s="2">
        <v>25735</v>
      </c>
      <c r="AO989" s="7">
        <f t="shared" si="234"/>
        <v>428.91666666666669</v>
      </c>
      <c r="AP989" s="5">
        <f t="shared" si="238"/>
        <v>15.115616967682914</v>
      </c>
      <c r="AQ989" s="6">
        <f t="shared" si="239"/>
        <v>140.41659751714116</v>
      </c>
      <c r="AR989" s="2">
        <f t="shared" si="240"/>
        <v>-2.1301186875174403</v>
      </c>
      <c r="AS989" s="2">
        <f t="shared" si="241"/>
        <v>-299.10401840887738</v>
      </c>
    </row>
    <row r="990" spans="13:45" x14ac:dyDescent="0.3">
      <c r="M990" s="78">
        <v>45043.010416666664</v>
      </c>
      <c r="N990" s="79">
        <v>3.5524837151382799E-2</v>
      </c>
      <c r="O990" s="5">
        <v>60.440350530000003</v>
      </c>
      <c r="P990" s="2">
        <v>26921</v>
      </c>
      <c r="Q990" s="7">
        <f t="shared" si="235"/>
        <v>448.68333333333334</v>
      </c>
      <c r="R990" s="6">
        <f t="shared" si="236"/>
        <v>15.939402349206272</v>
      </c>
      <c r="S990" s="6">
        <f t="shared" si="242"/>
        <v>144.11332800796063</v>
      </c>
      <c r="T990" s="2">
        <f t="shared" si="243"/>
        <v>1</v>
      </c>
      <c r="U990" s="6">
        <f t="shared" si="244"/>
        <v>144.11332800796063</v>
      </c>
      <c r="V990">
        <f t="shared" si="245"/>
        <v>0.19148825885370171</v>
      </c>
      <c r="W990" s="6">
        <f t="shared" si="237"/>
        <v>27.596010257856786</v>
      </c>
      <c r="AK990" s="78">
        <v>45042.010416666664</v>
      </c>
      <c r="AL990" s="79">
        <v>3.7338421897430203E-2</v>
      </c>
      <c r="AM990" s="5">
        <v>71.17580074</v>
      </c>
      <c r="AN990" s="2">
        <v>25197</v>
      </c>
      <c r="AO990" s="7">
        <f t="shared" si="234"/>
        <v>419.95</v>
      </c>
      <c r="AP990" s="5">
        <f t="shared" si="238"/>
        <v>15.680270275825814</v>
      </c>
      <c r="AQ990" s="6">
        <f t="shared" si="239"/>
        <v>142.96121262648026</v>
      </c>
      <c r="AR990" s="2">
        <f t="shared" si="240"/>
        <v>-2.1301186875174403</v>
      </c>
      <c r="AS990" s="2">
        <f t="shared" si="241"/>
        <v>-304.52435060581985</v>
      </c>
    </row>
    <row r="991" spans="13:45" x14ac:dyDescent="0.3">
      <c r="M991" s="78">
        <v>45043.020833333336</v>
      </c>
      <c r="N991" s="79">
        <v>3.5733071045534102E-2</v>
      </c>
      <c r="O991" s="5">
        <v>59.685691249999998</v>
      </c>
      <c r="P991" s="2">
        <v>26205</v>
      </c>
      <c r="Q991" s="7">
        <f t="shared" si="235"/>
        <v>436.75</v>
      </c>
      <c r="R991" s="6">
        <f t="shared" si="236"/>
        <v>15.606418779137019</v>
      </c>
      <c r="S991" s="6">
        <f t="shared" si="242"/>
        <v>142.63108877091892</v>
      </c>
      <c r="T991" s="2">
        <f t="shared" si="243"/>
        <v>1</v>
      </c>
      <c r="U991" s="6">
        <f t="shared" si="244"/>
        <v>142.63108877091892</v>
      </c>
      <c r="V991">
        <f t="shared" si="245"/>
        <v>0.13053579601566126</v>
      </c>
      <c r="W991" s="6">
        <f t="shared" si="237"/>
        <v>18.618462709292345</v>
      </c>
      <c r="AK991" s="78">
        <v>45042.020833333336</v>
      </c>
      <c r="AL991" s="79">
        <v>3.5642045315609203E-2</v>
      </c>
      <c r="AM991" s="5">
        <v>65.743635260000005</v>
      </c>
      <c r="AN991" s="2">
        <v>25089</v>
      </c>
      <c r="AO991" s="7">
        <f t="shared" si="234"/>
        <v>418.15</v>
      </c>
      <c r="AP991" s="5">
        <f t="shared" si="238"/>
        <v>14.903721248721988</v>
      </c>
      <c r="AQ991" s="6">
        <f t="shared" si="239"/>
        <v>139.44919663930898</v>
      </c>
      <c r="AR991" s="2">
        <f t="shared" si="240"/>
        <v>-2.1301186875174403</v>
      </c>
      <c r="AS991" s="2">
        <f t="shared" si="241"/>
        <v>-297.04333972068628</v>
      </c>
    </row>
    <row r="992" spans="13:45" x14ac:dyDescent="0.3">
      <c r="M992" s="78">
        <v>45043.03125</v>
      </c>
      <c r="N992" s="79">
        <v>3.8756505940322303E-2</v>
      </c>
      <c r="O992" s="5">
        <v>63.469872090000003</v>
      </c>
      <c r="P992" s="2">
        <v>26833</v>
      </c>
      <c r="Q992" s="7">
        <f t="shared" si="235"/>
        <v>447.21666666666664</v>
      </c>
      <c r="R992" s="6">
        <f t="shared" si="236"/>
        <v>17.332555398277805</v>
      </c>
      <c r="S992" s="6">
        <f t="shared" si="242"/>
        <v>150.14974757626388</v>
      </c>
      <c r="T992" s="2">
        <f t="shared" si="243"/>
        <v>1</v>
      </c>
      <c r="U992" s="6">
        <f t="shared" si="244"/>
        <v>150.14974757626388</v>
      </c>
      <c r="V992">
        <f t="shared" si="245"/>
        <v>0.44650417280277382</v>
      </c>
      <c r="W992" s="6">
        <f t="shared" si="237"/>
        <v>67.042488838084992</v>
      </c>
      <c r="AK992" s="78">
        <v>45042.03125</v>
      </c>
      <c r="AL992" s="79">
        <v>3.5504248150316699E-2</v>
      </c>
      <c r="AM992" s="5">
        <v>66.655723199999997</v>
      </c>
      <c r="AN992" s="2">
        <v>26469</v>
      </c>
      <c r="AO992" s="7">
        <f t="shared" si="234"/>
        <v>441.15</v>
      </c>
      <c r="AP992" s="5">
        <f t="shared" si="238"/>
        <v>15.662699071512211</v>
      </c>
      <c r="AQ992" s="6">
        <f t="shared" si="239"/>
        <v>142.88273957563459</v>
      </c>
      <c r="AR992" s="2">
        <f t="shared" si="240"/>
        <v>-2.1301186875174403</v>
      </c>
      <c r="AS992" s="2">
        <f t="shared" si="241"/>
        <v>-304.35719369374698</v>
      </c>
    </row>
    <row r="993" spans="13:45" x14ac:dyDescent="0.3">
      <c r="M993" s="78">
        <v>45043.041666666664</v>
      </c>
      <c r="N993" s="79">
        <v>3.7588458011552799E-2</v>
      </c>
      <c r="O993" s="5">
        <v>63.469872090000003</v>
      </c>
      <c r="P993" s="2">
        <v>26615</v>
      </c>
      <c r="Q993" s="7">
        <f t="shared" si="235"/>
        <v>443.58333333333331</v>
      </c>
      <c r="R993" s="6">
        <f t="shared" si="236"/>
        <v>16.673613499624629</v>
      </c>
      <c r="S993" s="6">
        <f t="shared" si="242"/>
        <v>147.32673068164556</v>
      </c>
      <c r="T993" s="2">
        <f t="shared" si="243"/>
        <v>1</v>
      </c>
      <c r="U993" s="6">
        <f t="shared" si="244"/>
        <v>147.32673068164556</v>
      </c>
      <c r="V993">
        <f t="shared" si="245"/>
        <v>0.3258852137900744</v>
      </c>
      <c r="W993" s="6">
        <f t="shared" si="237"/>
        <v>48.011603125180777</v>
      </c>
      <c r="AK993" s="78">
        <v>45042.041666666664</v>
      </c>
      <c r="AL993" s="79">
        <v>3.2430883692575199E-2</v>
      </c>
      <c r="AM993" s="5">
        <v>68.916923760000003</v>
      </c>
      <c r="AN993" s="2">
        <v>26152</v>
      </c>
      <c r="AO993" s="7">
        <f t="shared" si="234"/>
        <v>435.86666666666667</v>
      </c>
      <c r="AP993" s="5">
        <f t="shared" si="238"/>
        <v>14.13554117213711</v>
      </c>
      <c r="AQ993" s="6">
        <f t="shared" si="239"/>
        <v>135.88189488164653</v>
      </c>
      <c r="AR993" s="2">
        <f t="shared" si="240"/>
        <v>-2.1301186875174403</v>
      </c>
      <c r="AS993" s="2">
        <f t="shared" si="241"/>
        <v>-289.4445635826757</v>
      </c>
    </row>
    <row r="994" spans="13:45" x14ac:dyDescent="0.3">
      <c r="M994" s="78">
        <v>45043.052083333336</v>
      </c>
      <c r="N994" s="79">
        <v>3.6522887895193999E-2</v>
      </c>
      <c r="O994" s="5">
        <v>65.743635260000005</v>
      </c>
      <c r="P994" s="2">
        <v>26608</v>
      </c>
      <c r="Q994" s="7">
        <f t="shared" si="235"/>
        <v>443.46666666666664</v>
      </c>
      <c r="R994" s="6">
        <f t="shared" si="236"/>
        <v>16.196683351922029</v>
      </c>
      <c r="S994" s="6">
        <f t="shared" si="242"/>
        <v>145.24779557049456</v>
      </c>
      <c r="T994" s="2">
        <f t="shared" si="243"/>
        <v>1</v>
      </c>
      <c r="U994" s="6">
        <f t="shared" si="244"/>
        <v>145.24779557049456</v>
      </c>
      <c r="V994">
        <f t="shared" si="245"/>
        <v>0.23858340758342589</v>
      </c>
      <c r="W994" s="6">
        <f t="shared" si="237"/>
        <v>34.653714011189422</v>
      </c>
      <c r="AK994" s="78">
        <v>45042.052083333336</v>
      </c>
      <c r="AL994" s="79">
        <v>3.6033682980987303E-2</v>
      </c>
      <c r="AM994" s="5">
        <v>70.271667750000006</v>
      </c>
      <c r="AN994" s="2">
        <v>26508</v>
      </c>
      <c r="AO994" s="7">
        <f t="shared" si="234"/>
        <v>441.8</v>
      </c>
      <c r="AP994" s="5">
        <f t="shared" si="238"/>
        <v>15.91968114100019</v>
      </c>
      <c r="AQ994" s="6">
        <f t="shared" si="239"/>
        <v>144.02598404329689</v>
      </c>
      <c r="AR994" s="2">
        <f t="shared" si="240"/>
        <v>-2.1301186875174403</v>
      </c>
      <c r="AS994" s="2">
        <f t="shared" si="241"/>
        <v>-306.79244009871536</v>
      </c>
    </row>
    <row r="995" spans="13:45" x14ac:dyDescent="0.3">
      <c r="M995" s="78">
        <v>45043.0625</v>
      </c>
      <c r="N995" s="79">
        <v>3.5050411496037902E-2</v>
      </c>
      <c r="O995" s="5">
        <v>59.685691249999998</v>
      </c>
      <c r="P995" s="2">
        <v>27313</v>
      </c>
      <c r="Q995" s="7">
        <f t="shared" si="235"/>
        <v>455.21666666666664</v>
      </c>
      <c r="R995" s="6">
        <f t="shared" si="236"/>
        <v>15.955531486521386</v>
      </c>
      <c r="S995" s="6">
        <f t="shared" si="242"/>
        <v>144.18472193493619</v>
      </c>
      <c r="T995" s="2">
        <f t="shared" si="243"/>
        <v>1</v>
      </c>
      <c r="U995" s="6">
        <f t="shared" si="244"/>
        <v>144.18472193493619</v>
      </c>
      <c r="V995">
        <f t="shared" si="245"/>
        <v>0.19444068873666753</v>
      </c>
      <c r="W995" s="6">
        <f t="shared" si="237"/>
        <v>28.035376638333886</v>
      </c>
      <c r="AK995" s="78">
        <v>45042.0625</v>
      </c>
      <c r="AL995" s="79">
        <v>3.35057925361451E-2</v>
      </c>
      <c r="AM995" s="5">
        <v>67.106545600000004</v>
      </c>
      <c r="AN995" s="2">
        <v>26518</v>
      </c>
      <c r="AO995" s="7">
        <f t="shared" si="234"/>
        <v>441.96666666666664</v>
      </c>
      <c r="AP995" s="5">
        <f t="shared" si="238"/>
        <v>14.808443441224929</v>
      </c>
      <c r="AQ995" s="6">
        <f t="shared" si="239"/>
        <v>139.01192303544425</v>
      </c>
      <c r="AR995" s="2">
        <f t="shared" si="240"/>
        <v>-2.1301186875174403</v>
      </c>
      <c r="AS995" s="2">
        <f t="shared" si="241"/>
        <v>-296.11189504553596</v>
      </c>
    </row>
    <row r="996" spans="13:45" x14ac:dyDescent="0.3">
      <c r="M996" s="78">
        <v>45043.072916666664</v>
      </c>
      <c r="N996" s="79">
        <v>3.4747108953589102E-2</v>
      </c>
      <c r="O996" s="5">
        <v>61.92162476</v>
      </c>
      <c r="P996" s="2">
        <v>27285</v>
      </c>
      <c r="Q996" s="7">
        <f t="shared" si="235"/>
        <v>454.75</v>
      </c>
      <c r="R996" s="6">
        <f t="shared" si="236"/>
        <v>15.801247796644644</v>
      </c>
      <c r="S996" s="6">
        <f t="shared" si="242"/>
        <v>143.50028490749523</v>
      </c>
      <c r="T996" s="2">
        <f t="shared" si="243"/>
        <v>1</v>
      </c>
      <c r="U996" s="6">
        <f t="shared" si="244"/>
        <v>143.50028490749523</v>
      </c>
      <c r="V996">
        <f t="shared" si="245"/>
        <v>0.16619914254935245</v>
      </c>
      <c r="W996" s="6">
        <f t="shared" si="237"/>
        <v>23.849624307213489</v>
      </c>
      <c r="AK996" s="78">
        <v>45042.072916666664</v>
      </c>
      <c r="AL996" s="79">
        <v>3.4821548340359103E-2</v>
      </c>
      <c r="AM996" s="5">
        <v>67.106545600000004</v>
      </c>
      <c r="AN996" s="2">
        <v>26138</v>
      </c>
      <c r="AO996" s="7">
        <f t="shared" ref="AO996:AO1059" si="246">AN996/60</f>
        <v>435.63333333333333</v>
      </c>
      <c r="AP996" s="5">
        <f t="shared" si="238"/>
        <v>15.169427175338438</v>
      </c>
      <c r="AQ996" s="6">
        <f t="shared" si="239"/>
        <v>140.66116200289392</v>
      </c>
      <c r="AR996" s="2">
        <f t="shared" si="240"/>
        <v>-2.1301186875174403</v>
      </c>
      <c r="AS996" s="2">
        <f t="shared" si="241"/>
        <v>-299.62496979028242</v>
      </c>
    </row>
    <row r="997" spans="13:45" x14ac:dyDescent="0.3">
      <c r="M997" s="78">
        <v>45043.083333333336</v>
      </c>
      <c r="N997" s="79">
        <v>3.45698476711137E-2</v>
      </c>
      <c r="O997" s="5">
        <v>60.433929669999998</v>
      </c>
      <c r="P997" s="2">
        <v>27088</v>
      </c>
      <c r="Q997" s="7">
        <f t="shared" si="235"/>
        <v>451.46666666666664</v>
      </c>
      <c r="R997" s="6">
        <f t="shared" si="236"/>
        <v>15.607133895252131</v>
      </c>
      <c r="S997" s="6">
        <f t="shared" si="242"/>
        <v>142.6342892318678</v>
      </c>
      <c r="T997" s="2">
        <f t="shared" si="243"/>
        <v>1</v>
      </c>
      <c r="U997" s="6">
        <f t="shared" si="244"/>
        <v>142.6342892318678</v>
      </c>
      <c r="V997">
        <f t="shared" si="245"/>
        <v>0.13066669763468758</v>
      </c>
      <c r="W997" s="6">
        <f t="shared" si="237"/>
        <v>18.637551543399045</v>
      </c>
      <c r="AK997" s="78">
        <v>45042.083333333336</v>
      </c>
      <c r="AL997" s="79">
        <v>3.47817410943147E-2</v>
      </c>
      <c r="AM997" s="5">
        <v>70.279402750000003</v>
      </c>
      <c r="AN997" s="2">
        <v>27196</v>
      </c>
      <c r="AO997" s="7">
        <f t="shared" si="246"/>
        <v>453.26666666666665</v>
      </c>
      <c r="AP997" s="5">
        <f t="shared" si="238"/>
        <v>15.765403846683043</v>
      </c>
      <c r="AQ997" s="6">
        <f t="shared" si="239"/>
        <v>143.3407855546555</v>
      </c>
      <c r="AR997" s="2">
        <f t="shared" si="240"/>
        <v>-2.1301186875174403</v>
      </c>
      <c r="AS997" s="2">
        <f t="shared" si="241"/>
        <v>-305.33288599340165</v>
      </c>
    </row>
    <row r="998" spans="13:45" x14ac:dyDescent="0.3">
      <c r="M998" s="78">
        <v>45043.09375</v>
      </c>
      <c r="N998" s="79">
        <v>4.0076691150315501E-2</v>
      </c>
      <c r="O998" s="5">
        <v>63.916046000000001</v>
      </c>
      <c r="P998" s="2">
        <v>27210</v>
      </c>
      <c r="Q998" s="7">
        <f t="shared" si="235"/>
        <v>453.5</v>
      </c>
      <c r="R998" s="6">
        <f t="shared" si="236"/>
        <v>18.174779436668079</v>
      </c>
      <c r="S998" s="6">
        <f t="shared" si="242"/>
        <v>153.67939247516793</v>
      </c>
      <c r="T998" s="2">
        <f t="shared" si="243"/>
        <v>1</v>
      </c>
      <c r="U998" s="6">
        <f t="shared" si="244"/>
        <v>153.67939247516793</v>
      </c>
      <c r="V998">
        <f t="shared" si="245"/>
        <v>0.60067282860345173</v>
      </c>
      <c r="W998" s="6">
        <f t="shared" si="237"/>
        <v>92.311035376119136</v>
      </c>
      <c r="AK998" s="78">
        <v>45042.09375</v>
      </c>
      <c r="AL998" s="79">
        <v>3.5468407607876097E-2</v>
      </c>
      <c r="AM998" s="5">
        <v>70.279402750000003</v>
      </c>
      <c r="AN998" s="2">
        <v>26570</v>
      </c>
      <c r="AO998" s="7">
        <f t="shared" si="246"/>
        <v>442.83333333333331</v>
      </c>
      <c r="AP998" s="5">
        <f t="shared" si="238"/>
        <v>15.706593169021131</v>
      </c>
      <c r="AQ998" s="6">
        <f t="shared" si="239"/>
        <v>143.07868682802177</v>
      </c>
      <c r="AR998" s="2">
        <f t="shared" si="240"/>
        <v>-2.1301186875174403</v>
      </c>
      <c r="AS998" s="2">
        <f t="shared" si="241"/>
        <v>-304.77458459782463</v>
      </c>
    </row>
    <row r="999" spans="13:45" x14ac:dyDescent="0.3">
      <c r="M999" s="78">
        <v>45043.104166666664</v>
      </c>
      <c r="N999" s="79">
        <v>3.2880397913158103E-2</v>
      </c>
      <c r="O999" s="5">
        <v>63.916046000000001</v>
      </c>
      <c r="P999" s="2">
        <v>27034</v>
      </c>
      <c r="Q999" s="7">
        <f t="shared" si="235"/>
        <v>450.56666666666666</v>
      </c>
      <c r="R999" s="6">
        <f t="shared" si="236"/>
        <v>14.81481128640527</v>
      </c>
      <c r="S999" s="6">
        <f t="shared" si="242"/>
        <v>139.04119269007424</v>
      </c>
      <c r="T999" s="2">
        <f t="shared" si="243"/>
        <v>1</v>
      </c>
      <c r="U999" s="6">
        <f t="shared" si="244"/>
        <v>139.04119269007424</v>
      </c>
      <c r="V999">
        <f t="shared" si="245"/>
        <v>0</v>
      </c>
      <c r="W999" s="6">
        <f t="shared" si="237"/>
        <v>0</v>
      </c>
      <c r="AK999" s="78">
        <v>45042.104166666664</v>
      </c>
      <c r="AL999" s="79">
        <v>3.6100078766910397E-2</v>
      </c>
      <c r="AM999" s="5">
        <v>64.837941950000001</v>
      </c>
      <c r="AN999" s="2">
        <v>26103</v>
      </c>
      <c r="AO999" s="7">
        <f t="shared" si="246"/>
        <v>435.05</v>
      </c>
      <c r="AP999" s="5">
        <f t="shared" si="238"/>
        <v>15.705339267544369</v>
      </c>
      <c r="AQ999" s="6">
        <f t="shared" si="239"/>
        <v>143.07309317768036</v>
      </c>
      <c r="AR999" s="2">
        <f t="shared" si="240"/>
        <v>-2.1301186875174403</v>
      </c>
      <c r="AS999" s="2">
        <f t="shared" si="241"/>
        <v>-304.76266945870094</v>
      </c>
    </row>
    <row r="1000" spans="13:45" x14ac:dyDescent="0.3">
      <c r="M1000" s="78">
        <v>45043.114583333336</v>
      </c>
      <c r="N1000" s="79">
        <v>3.4308536569834298E-2</v>
      </c>
      <c r="O1000" s="5">
        <v>61.92162476</v>
      </c>
      <c r="P1000" s="2">
        <v>27357</v>
      </c>
      <c r="Q1000" s="7">
        <f t="shared" si="235"/>
        <v>455.95</v>
      </c>
      <c r="R1000" s="6">
        <f t="shared" si="236"/>
        <v>15.642977249015948</v>
      </c>
      <c r="S1000" s="6">
        <f t="shared" si="242"/>
        <v>142.79460833005268</v>
      </c>
      <c r="T1000" s="2">
        <f t="shared" si="243"/>
        <v>1</v>
      </c>
      <c r="U1000" s="6">
        <f t="shared" si="244"/>
        <v>142.79460833005268</v>
      </c>
      <c r="V1000">
        <f t="shared" si="245"/>
        <v>0.13722780420167338</v>
      </c>
      <c r="W1000" s="6">
        <f t="shared" si="237"/>
        <v>19.595390552971107</v>
      </c>
      <c r="AK1000" s="78">
        <v>45042.114583333336</v>
      </c>
      <c r="AL1000" s="79">
        <v>3.8832710865128801E-2</v>
      </c>
      <c r="AM1000" s="5">
        <v>67.106545600000004</v>
      </c>
      <c r="AN1000" s="2">
        <v>26302</v>
      </c>
      <c r="AO1000" s="7">
        <f t="shared" si="246"/>
        <v>438.36666666666667</v>
      </c>
      <c r="AP1000" s="5">
        <f t="shared" si="238"/>
        <v>17.022966019576963</v>
      </c>
      <c r="AQ1000" s="6">
        <f t="shared" si="239"/>
        <v>148.83036468026603</v>
      </c>
      <c r="AR1000" s="2">
        <f t="shared" si="240"/>
        <v>-2.1301186875174403</v>
      </c>
      <c r="AS1000" s="2">
        <f t="shared" si="241"/>
        <v>-317.02634107547027</v>
      </c>
    </row>
    <row r="1001" spans="13:45" x14ac:dyDescent="0.3">
      <c r="M1001" s="78">
        <v>45043.125</v>
      </c>
      <c r="N1001" s="79">
        <v>3.5583804358122903E-2</v>
      </c>
      <c r="O1001" s="5">
        <v>64.83012798</v>
      </c>
      <c r="P1001" s="2">
        <v>27282</v>
      </c>
      <c r="Q1001" s="7">
        <f t="shared" si="235"/>
        <v>454.7</v>
      </c>
      <c r="R1001" s="6">
        <f t="shared" si="236"/>
        <v>16.179955841638485</v>
      </c>
      <c r="S1001" s="6">
        <f t="shared" si="242"/>
        <v>145.17431722750032</v>
      </c>
      <c r="T1001" s="2">
        <f t="shared" si="243"/>
        <v>1</v>
      </c>
      <c r="U1001" s="6">
        <f t="shared" si="244"/>
        <v>145.17431722750032</v>
      </c>
      <c r="V1001">
        <f t="shared" si="245"/>
        <v>0.23552144585144419</v>
      </c>
      <c r="W1001" s="6">
        <f t="shared" si="237"/>
        <v>34.191665093917102</v>
      </c>
      <c r="AK1001" s="78">
        <v>45042.125</v>
      </c>
      <c r="AL1001" s="79">
        <v>3.5487298616621303E-2</v>
      </c>
      <c r="AM1001" s="5">
        <v>66.655723199999997</v>
      </c>
      <c r="AN1001" s="2">
        <v>26391</v>
      </c>
      <c r="AO1001" s="7">
        <f t="shared" si="246"/>
        <v>439.85</v>
      </c>
      <c r="AP1001" s="5">
        <f t="shared" si="238"/>
        <v>15.609088296520881</v>
      </c>
      <c r="AQ1001" s="6">
        <f t="shared" si="239"/>
        <v>142.64303566037165</v>
      </c>
      <c r="AR1001" s="2">
        <f t="shared" si="240"/>
        <v>-2.1301186875174403</v>
      </c>
      <c r="AS1001" s="2">
        <f t="shared" si="241"/>
        <v>-303.84659590437428</v>
      </c>
    </row>
    <row r="1002" spans="13:45" x14ac:dyDescent="0.3">
      <c r="M1002" s="78">
        <v>45043.135416666664</v>
      </c>
      <c r="N1002" s="79">
        <v>3.38353348670681E-2</v>
      </c>
      <c r="O1002" s="5">
        <v>61.555361079999997</v>
      </c>
      <c r="P1002" s="2">
        <v>27794</v>
      </c>
      <c r="Q1002" s="7">
        <f t="shared" si="235"/>
        <v>463.23333333333335</v>
      </c>
      <c r="R1002" s="6">
        <f t="shared" si="236"/>
        <v>15.673654954921513</v>
      </c>
      <c r="S1002" s="6">
        <f t="shared" si="242"/>
        <v>142.93167385313845</v>
      </c>
      <c r="T1002" s="2">
        <f t="shared" si="243"/>
        <v>1</v>
      </c>
      <c r="U1002" s="6">
        <f t="shared" si="244"/>
        <v>142.93167385313845</v>
      </c>
      <c r="V1002">
        <f t="shared" si="245"/>
        <v>0.14284334171536048</v>
      </c>
      <c r="W1002" s="6">
        <f t="shared" si="237"/>
        <v>20.416837930152308</v>
      </c>
      <c r="AK1002" s="78">
        <v>45042.135416666664</v>
      </c>
      <c r="AL1002" s="79">
        <v>3.5011312446602799E-2</v>
      </c>
      <c r="AM1002" s="5">
        <v>67.106545600000004</v>
      </c>
      <c r="AN1002" s="2">
        <v>26703</v>
      </c>
      <c r="AO1002" s="7">
        <f t="shared" si="246"/>
        <v>445.05</v>
      </c>
      <c r="AP1002" s="5">
        <f t="shared" si="238"/>
        <v>15.581784604360577</v>
      </c>
      <c r="AQ1002" s="6">
        <f t="shared" si="239"/>
        <v>142.52079421481616</v>
      </c>
      <c r="AR1002" s="2">
        <f t="shared" si="240"/>
        <v>-2.1301186875174403</v>
      </c>
      <c r="AS1002" s="2">
        <f t="shared" si="241"/>
        <v>-303.58620711680737</v>
      </c>
    </row>
    <row r="1003" spans="13:45" x14ac:dyDescent="0.3">
      <c r="M1003" s="78">
        <v>45043.145833333336</v>
      </c>
      <c r="N1003" s="79">
        <v>3.3789478889816198E-2</v>
      </c>
      <c r="O1003" s="5">
        <v>63.92387093</v>
      </c>
      <c r="P1003" s="2">
        <v>27380</v>
      </c>
      <c r="Q1003" s="7">
        <f t="shared" si="235"/>
        <v>456.33333333333331</v>
      </c>
      <c r="R1003" s="6">
        <f t="shared" si="236"/>
        <v>15.419265533386124</v>
      </c>
      <c r="S1003" s="6">
        <f t="shared" si="242"/>
        <v>141.79090694682156</v>
      </c>
      <c r="T1003" s="2">
        <f t="shared" si="243"/>
        <v>1</v>
      </c>
      <c r="U1003" s="6">
        <f t="shared" si="244"/>
        <v>141.79090694682156</v>
      </c>
      <c r="V1003">
        <f t="shared" si="245"/>
        <v>9.6277495360533927E-2</v>
      </c>
      <c r="W1003" s="6">
        <f t="shared" si="237"/>
        <v>13.651273385738511</v>
      </c>
      <c r="AK1003" s="78">
        <v>45042.145833333336</v>
      </c>
      <c r="AL1003" s="79">
        <v>3.4626673475440399E-2</v>
      </c>
      <c r="AM1003" s="5">
        <v>65.743635260000005</v>
      </c>
      <c r="AN1003" s="2">
        <v>27766</v>
      </c>
      <c r="AO1003" s="7">
        <f t="shared" si="246"/>
        <v>462.76666666666665</v>
      </c>
      <c r="AP1003" s="5">
        <f t="shared" si="238"/>
        <v>16.024070261984633</v>
      </c>
      <c r="AQ1003" s="6">
        <f t="shared" si="239"/>
        <v>144.48769162504249</v>
      </c>
      <c r="AR1003" s="2">
        <f t="shared" si="240"/>
        <v>-2.1301186875174403</v>
      </c>
      <c r="AS1003" s="2">
        <f t="shared" si="241"/>
        <v>-307.77593204676015</v>
      </c>
    </row>
    <row r="1004" spans="13:45" x14ac:dyDescent="0.3">
      <c r="M1004" s="78">
        <v>45043.15625</v>
      </c>
      <c r="N1004" s="79">
        <v>4.1538129947512797E-2</v>
      </c>
      <c r="O1004" s="5">
        <v>61.555361079999997</v>
      </c>
      <c r="P1004" s="2">
        <v>28262</v>
      </c>
      <c r="Q1004" s="7">
        <f t="shared" si="235"/>
        <v>471.03333333333336</v>
      </c>
      <c r="R1004" s="6">
        <f t="shared" si="236"/>
        <v>19.565843809610111</v>
      </c>
      <c r="S1004" s="6">
        <f t="shared" si="242"/>
        <v>159.33106110777067</v>
      </c>
      <c r="T1004" s="2">
        <f t="shared" si="243"/>
        <v>1</v>
      </c>
      <c r="U1004" s="6">
        <f t="shared" si="244"/>
        <v>159.33106110777067</v>
      </c>
      <c r="V1004">
        <f t="shared" si="245"/>
        <v>0.85530641151397568</v>
      </c>
      <c r="W1004" s="6">
        <f t="shared" si="237"/>
        <v>136.27687811880131</v>
      </c>
      <c r="AK1004" s="78">
        <v>45042.15625</v>
      </c>
      <c r="AL1004" s="79">
        <v>3.40966961880384E-2</v>
      </c>
      <c r="AM1004" s="5">
        <v>64.377553680000005</v>
      </c>
      <c r="AN1004" s="2">
        <v>27703</v>
      </c>
      <c r="AO1004" s="7">
        <f t="shared" si="246"/>
        <v>461.71666666666664</v>
      </c>
      <c r="AP1004" s="5">
        <f t="shared" si="238"/>
        <v>15.743012908287129</v>
      </c>
      <c r="AQ1004" s="6">
        <f t="shared" si="239"/>
        <v>143.24105584782211</v>
      </c>
      <c r="AR1004" s="2">
        <f t="shared" si="240"/>
        <v>-2.1301186875174403</v>
      </c>
      <c r="AS1004" s="2">
        <f t="shared" si="241"/>
        <v>-305.1204498811752</v>
      </c>
    </row>
    <row r="1005" spans="13:45" x14ac:dyDescent="0.3">
      <c r="M1005" s="78">
        <v>45043.166666666664</v>
      </c>
      <c r="N1005" s="79">
        <v>3.3341211559858697E-2</v>
      </c>
      <c r="O1005" s="5">
        <v>59.685691249999998</v>
      </c>
      <c r="P1005" s="2">
        <v>27756</v>
      </c>
      <c r="Q1005" s="7">
        <f t="shared" si="235"/>
        <v>462.6</v>
      </c>
      <c r="R1005" s="6">
        <f t="shared" si="236"/>
        <v>15.423644467590634</v>
      </c>
      <c r="S1005" s="6">
        <f t="shared" si="242"/>
        <v>141.81062444235022</v>
      </c>
      <c r="T1005" s="2">
        <f t="shared" si="243"/>
        <v>1</v>
      </c>
      <c r="U1005" s="6">
        <f t="shared" si="244"/>
        <v>141.81062444235022</v>
      </c>
      <c r="V1005">
        <f t="shared" si="245"/>
        <v>9.7079056903991226E-2</v>
      </c>
      <c r="W1005" s="6">
        <f t="shared" si="237"/>
        <v>13.766841679829446</v>
      </c>
      <c r="AK1005" s="78">
        <v>45042.166666666664</v>
      </c>
      <c r="AL1005" s="79">
        <v>3.4957020772338997E-2</v>
      </c>
      <c r="AM1005" s="5">
        <v>64.377553680000005</v>
      </c>
      <c r="AN1005" s="2">
        <v>27868</v>
      </c>
      <c r="AO1005" s="7">
        <f t="shared" si="246"/>
        <v>464.46666666666664</v>
      </c>
      <c r="AP1005" s="5">
        <f t="shared" si="238"/>
        <v>16.236370914725718</v>
      </c>
      <c r="AQ1005" s="6">
        <f t="shared" si="239"/>
        <v>145.42197494142434</v>
      </c>
      <c r="AR1005" s="2">
        <f t="shared" si="240"/>
        <v>-2.1301186875174403</v>
      </c>
      <c r="AS1005" s="2">
        <f t="shared" si="241"/>
        <v>-309.76606639842089</v>
      </c>
    </row>
    <row r="1006" spans="13:45" x14ac:dyDescent="0.3">
      <c r="M1006" s="78">
        <v>45043.177083333336</v>
      </c>
      <c r="N1006" s="79">
        <v>3.2833288364647002E-2</v>
      </c>
      <c r="O1006" s="5">
        <v>61.555361079999997</v>
      </c>
      <c r="P1006" s="2">
        <v>28343</v>
      </c>
      <c r="Q1006" s="7">
        <f t="shared" si="235"/>
        <v>472.38333333333333</v>
      </c>
      <c r="R1006" s="6">
        <f t="shared" si="236"/>
        <v>15.5098982019865</v>
      </c>
      <c r="S1006" s="6">
        <f t="shared" si="242"/>
        <v>142.19842764254622</v>
      </c>
      <c r="T1006" s="2">
        <f t="shared" si="243"/>
        <v>1</v>
      </c>
      <c r="U1006" s="6">
        <f t="shared" si="244"/>
        <v>142.19842764254622</v>
      </c>
      <c r="V1006">
        <f t="shared" si="245"/>
        <v>0.11286775644647264</v>
      </c>
      <c r="W1006" s="6">
        <f t="shared" si="237"/>
        <v>16.049617498230269</v>
      </c>
      <c r="AK1006" s="78">
        <v>45042.177083333336</v>
      </c>
      <c r="AL1006" s="79">
        <v>3.4734308967119397E-2</v>
      </c>
      <c r="AM1006" s="5">
        <v>65.743635260000005</v>
      </c>
      <c r="AN1006" s="2">
        <v>26307</v>
      </c>
      <c r="AO1006" s="7">
        <f t="shared" si="246"/>
        <v>438.45</v>
      </c>
      <c r="AP1006" s="5">
        <f t="shared" si="238"/>
        <v>15.229257766633499</v>
      </c>
      <c r="AQ1006" s="6">
        <f t="shared" si="239"/>
        <v>140.93256960745282</v>
      </c>
      <c r="AR1006" s="2">
        <f t="shared" si="240"/>
        <v>-2.1301186875174403</v>
      </c>
      <c r="AS1006" s="2">
        <f t="shared" si="241"/>
        <v>-300.20310020068769</v>
      </c>
    </row>
    <row r="1007" spans="13:45" x14ac:dyDescent="0.3">
      <c r="M1007" s="78">
        <v>45043.1875</v>
      </c>
      <c r="N1007" s="79">
        <v>3.32627975450508E-2</v>
      </c>
      <c r="O1007" s="5">
        <v>60.811216330000001</v>
      </c>
      <c r="P1007" s="2">
        <v>28097</v>
      </c>
      <c r="Q1007" s="7">
        <f t="shared" si="235"/>
        <v>468.28333333333336</v>
      </c>
      <c r="R1007" s="6">
        <f t="shared" si="236"/>
        <v>15.576413710388206</v>
      </c>
      <c r="S1007" s="6">
        <f t="shared" si="242"/>
        <v>142.496735306315</v>
      </c>
      <c r="T1007" s="2">
        <f t="shared" si="243"/>
        <v>1</v>
      </c>
      <c r="U1007" s="6">
        <f t="shared" si="244"/>
        <v>142.496735306315</v>
      </c>
      <c r="V1007">
        <f t="shared" si="245"/>
        <v>0.12504338437059251</v>
      </c>
      <c r="W1007" s="6">
        <f t="shared" si="237"/>
        <v>17.818274044462129</v>
      </c>
      <c r="AK1007" s="78">
        <v>45042.1875</v>
      </c>
      <c r="AL1007" s="79">
        <v>3.8545281706849698E-2</v>
      </c>
      <c r="AM1007" s="5">
        <v>66.655723199999997</v>
      </c>
      <c r="AN1007" s="2">
        <v>25488</v>
      </c>
      <c r="AO1007" s="7">
        <f t="shared" si="246"/>
        <v>424.8</v>
      </c>
      <c r="AP1007" s="5">
        <f t="shared" si="238"/>
        <v>16.374035669069752</v>
      </c>
      <c r="AQ1007" s="6">
        <f t="shared" si="239"/>
        <v>146.02447540581827</v>
      </c>
      <c r="AR1007" s="2">
        <f t="shared" si="240"/>
        <v>-2.1301186875174403</v>
      </c>
      <c r="AS1007" s="2">
        <f t="shared" si="241"/>
        <v>-311.04946389686432</v>
      </c>
    </row>
    <row r="1008" spans="13:45" x14ac:dyDescent="0.3">
      <c r="M1008" s="78">
        <v>45043.197916666664</v>
      </c>
      <c r="N1008" s="79">
        <v>3.1873645102683E-2</v>
      </c>
      <c r="O1008" s="5">
        <v>61.92162476</v>
      </c>
      <c r="P1008" s="2">
        <v>28686</v>
      </c>
      <c r="Q1008" s="7">
        <f t="shared" si="235"/>
        <v>478.1</v>
      </c>
      <c r="R1008" s="6">
        <f t="shared" si="236"/>
        <v>15.238789723592744</v>
      </c>
      <c r="S1008" s="6">
        <f t="shared" si="242"/>
        <v>140.97575883832522</v>
      </c>
      <c r="T1008" s="2">
        <f t="shared" si="243"/>
        <v>1</v>
      </c>
      <c r="U1008" s="6">
        <f t="shared" si="244"/>
        <v>140.97575883832522</v>
      </c>
      <c r="V1008">
        <f t="shared" si="245"/>
        <v>6.3241495754582072E-2</v>
      </c>
      <c r="W1008" s="6">
        <f t="shared" si="237"/>
        <v>8.915517854072931</v>
      </c>
      <c r="AK1008" s="78">
        <v>45042.197916666664</v>
      </c>
      <c r="AL1008" s="79">
        <v>3.4617419873908699E-2</v>
      </c>
      <c r="AM1008" s="5">
        <v>63.015482910000003</v>
      </c>
      <c r="AN1008" s="2">
        <v>26186</v>
      </c>
      <c r="AO1008" s="7">
        <f t="shared" si="246"/>
        <v>436.43333333333334</v>
      </c>
      <c r="AP1008" s="5">
        <f t="shared" si="238"/>
        <v>15.108195946969554</v>
      </c>
      <c r="AQ1008" s="6">
        <f t="shared" si="239"/>
        <v>140.38283454058572</v>
      </c>
      <c r="AR1008" s="2">
        <f t="shared" si="240"/>
        <v>-2.1301186875174403</v>
      </c>
      <c r="AS1008" s="2">
        <f t="shared" si="241"/>
        <v>-299.03209926157041</v>
      </c>
    </row>
    <row r="1009" spans="13:45" x14ac:dyDescent="0.3">
      <c r="M1009" s="78">
        <v>45043.208333333336</v>
      </c>
      <c r="N1009" s="79">
        <v>3.4854314124917497E-2</v>
      </c>
      <c r="O1009" s="5">
        <v>63.469872090000003</v>
      </c>
      <c r="P1009" s="2">
        <v>28221</v>
      </c>
      <c r="Q1009" s="7">
        <f t="shared" si="235"/>
        <v>470.35</v>
      </c>
      <c r="R1009" s="6">
        <f t="shared" si="236"/>
        <v>16.393726648654944</v>
      </c>
      <c r="S1009" s="6">
        <f t="shared" si="242"/>
        <v>146.11044287691172</v>
      </c>
      <c r="T1009" s="2">
        <f t="shared" si="243"/>
        <v>1</v>
      </c>
      <c r="U1009" s="6">
        <f t="shared" si="244"/>
        <v>146.11044287691172</v>
      </c>
      <c r="V1009">
        <f t="shared" si="245"/>
        <v>0.27465207673457981</v>
      </c>
      <c r="W1009" s="6">
        <f t="shared" si="237"/>
        <v>40.129536568752997</v>
      </c>
      <c r="AK1009" s="78">
        <v>45042.208333333336</v>
      </c>
      <c r="AL1009" s="79">
        <v>3.6208123882413498E-2</v>
      </c>
      <c r="AM1009" s="5">
        <v>65.290959470000004</v>
      </c>
      <c r="AN1009" s="2">
        <v>26922</v>
      </c>
      <c r="AO1009" s="7">
        <f t="shared" si="246"/>
        <v>448.7</v>
      </c>
      <c r="AP1009" s="5">
        <f t="shared" si="238"/>
        <v>16.246585186038935</v>
      </c>
      <c r="AQ1009" s="6">
        <f t="shared" si="239"/>
        <v>145.46676780977617</v>
      </c>
      <c r="AR1009" s="2">
        <f t="shared" si="240"/>
        <v>-2.1301186875174403</v>
      </c>
      <c r="AS1009" s="2">
        <f t="shared" si="241"/>
        <v>-309.86148052436465</v>
      </c>
    </row>
    <row r="1010" spans="13:45" x14ac:dyDescent="0.3">
      <c r="M1010" s="78">
        <v>45043.21875</v>
      </c>
      <c r="N1010" s="79">
        <v>3.5826339795297001E-2</v>
      </c>
      <c r="O1010" s="5">
        <v>61.92162476</v>
      </c>
      <c r="P1010" s="2">
        <v>27904</v>
      </c>
      <c r="Q1010" s="7">
        <f t="shared" si="235"/>
        <v>465.06666666666666</v>
      </c>
      <c r="R1010" s="6">
        <f t="shared" si="236"/>
        <v>16.661636427466124</v>
      </c>
      <c r="S1010" s="6">
        <f t="shared" si="242"/>
        <v>147.27489698165661</v>
      </c>
      <c r="T1010" s="2">
        <f t="shared" si="243"/>
        <v>1</v>
      </c>
      <c r="U1010" s="6">
        <f t="shared" si="244"/>
        <v>147.27489698165661</v>
      </c>
      <c r="V1010">
        <f t="shared" si="245"/>
        <v>0.32369281719375598</v>
      </c>
      <c r="W1010" s="6">
        <f t="shared" si="237"/>
        <v>47.671826305912617</v>
      </c>
      <c r="AK1010" s="78">
        <v>45042.21875</v>
      </c>
      <c r="AL1010" s="79">
        <v>3.5421184818305702E-2</v>
      </c>
      <c r="AM1010" s="5">
        <v>66.655723199999997</v>
      </c>
      <c r="AN1010" s="2">
        <v>26749</v>
      </c>
      <c r="AO1010" s="7">
        <f t="shared" si="246"/>
        <v>445.81666666666666</v>
      </c>
      <c r="AP1010" s="5">
        <f t="shared" si="238"/>
        <v>15.791354545080987</v>
      </c>
      <c r="AQ1010" s="6">
        <f t="shared" si="239"/>
        <v>143.45628011968336</v>
      </c>
      <c r="AR1010" s="2">
        <f t="shared" si="240"/>
        <v>-2.1301186875174403</v>
      </c>
      <c r="AS1010" s="2">
        <f t="shared" si="241"/>
        <v>-305.57890312467418</v>
      </c>
    </row>
    <row r="1011" spans="13:45" x14ac:dyDescent="0.3">
      <c r="M1011" s="78">
        <v>45043.229166666664</v>
      </c>
      <c r="N1011" s="79">
        <v>3.3306845788784997E-2</v>
      </c>
      <c r="O1011" s="5">
        <v>60.811216330000001</v>
      </c>
      <c r="P1011" s="2">
        <v>28030</v>
      </c>
      <c r="Q1011" s="7">
        <f t="shared" si="235"/>
        <v>467.16666666666669</v>
      </c>
      <c r="R1011" s="6">
        <f t="shared" si="236"/>
        <v>15.559848124327392</v>
      </c>
      <c r="S1011" s="6">
        <f t="shared" si="242"/>
        <v>142.4225031212687</v>
      </c>
      <c r="T1011" s="2">
        <f t="shared" si="243"/>
        <v>1</v>
      </c>
      <c r="U1011" s="6">
        <f t="shared" si="244"/>
        <v>142.4225031212687</v>
      </c>
      <c r="V1011">
        <f t="shared" si="245"/>
        <v>0.12201106278021455</v>
      </c>
      <c r="W1011" s="6">
        <f t="shared" si="237"/>
        <v>17.37712096964442</v>
      </c>
      <c r="AK1011" s="78">
        <v>45042.229166666664</v>
      </c>
      <c r="AL1011" s="79">
        <v>3.2939942789452802E-2</v>
      </c>
      <c r="AM1011" s="5">
        <v>65.290959470000004</v>
      </c>
      <c r="AN1011" s="2">
        <v>26106</v>
      </c>
      <c r="AO1011" s="7">
        <f t="shared" si="246"/>
        <v>435.1</v>
      </c>
      <c r="AP1011" s="5">
        <f t="shared" si="238"/>
        <v>14.332169107690914</v>
      </c>
      <c r="AQ1011" s="6">
        <f t="shared" si="239"/>
        <v>136.80423496894392</v>
      </c>
      <c r="AR1011" s="2">
        <f t="shared" si="240"/>
        <v>-2.1301186875174403</v>
      </c>
      <c r="AS1011" s="2">
        <f t="shared" si="241"/>
        <v>-291.40925743887431</v>
      </c>
    </row>
    <row r="1012" spans="13:45" x14ac:dyDescent="0.3">
      <c r="M1012" s="78">
        <v>45043.239583333336</v>
      </c>
      <c r="N1012" s="79">
        <v>3.3716781381282701E-2</v>
      </c>
      <c r="O1012" s="5">
        <v>63.92387093</v>
      </c>
      <c r="P1012" s="2">
        <v>28461</v>
      </c>
      <c r="Q1012" s="7">
        <f t="shared" si="235"/>
        <v>474.35</v>
      </c>
      <c r="R1012" s="6">
        <f t="shared" si="236"/>
        <v>15.99355524821145</v>
      </c>
      <c r="S1012" s="6">
        <f t="shared" si="242"/>
        <v>144.35288449708818</v>
      </c>
      <c r="T1012" s="2">
        <f t="shared" si="243"/>
        <v>1</v>
      </c>
      <c r="U1012" s="6">
        <f t="shared" si="244"/>
        <v>144.35288449708818</v>
      </c>
      <c r="V1012">
        <f t="shared" si="245"/>
        <v>0.20140091779810188</v>
      </c>
      <c r="W1012" s="6">
        <f t="shared" si="237"/>
        <v>29.072803424516952</v>
      </c>
      <c r="AK1012" s="78">
        <v>45042.239583333336</v>
      </c>
      <c r="AL1012" s="79">
        <v>3.5320729765703697E-2</v>
      </c>
      <c r="AM1012" s="5">
        <v>66.655723199999997</v>
      </c>
      <c r="AN1012" s="2">
        <v>25863</v>
      </c>
      <c r="AO1012" s="7">
        <f t="shared" si="246"/>
        <v>431.05</v>
      </c>
      <c r="AP1012" s="5">
        <f t="shared" si="238"/>
        <v>15.22500056550658</v>
      </c>
      <c r="AQ1012" s="6">
        <f t="shared" si="239"/>
        <v>140.9132758024615</v>
      </c>
      <c r="AR1012" s="2">
        <f t="shared" si="240"/>
        <v>-2.1301186875174403</v>
      </c>
      <c r="AS1012" s="2">
        <f t="shared" si="241"/>
        <v>-300.16200210612237</v>
      </c>
    </row>
    <row r="1013" spans="13:45" x14ac:dyDescent="0.3">
      <c r="M1013" s="78">
        <v>45043.25</v>
      </c>
      <c r="N1013" s="79">
        <v>3.1977915779379099E-2</v>
      </c>
      <c r="O1013" s="5">
        <v>62.654512349999997</v>
      </c>
      <c r="P1013" s="2">
        <v>28383</v>
      </c>
      <c r="Q1013" s="7">
        <f t="shared" si="235"/>
        <v>473.05</v>
      </c>
      <c r="R1013" s="6">
        <f t="shared" si="236"/>
        <v>15.127153059435283</v>
      </c>
      <c r="S1013" s="6">
        <f t="shared" si="242"/>
        <v>140.46906579714221</v>
      </c>
      <c r="T1013" s="2">
        <f t="shared" si="243"/>
        <v>1</v>
      </c>
      <c r="U1013" s="6">
        <f t="shared" si="244"/>
        <v>140.46906579714221</v>
      </c>
      <c r="V1013">
        <f t="shared" si="245"/>
        <v>4.2806464614741663E-2</v>
      </c>
      <c r="W1013" s="6">
        <f t="shared" si="237"/>
        <v>6.0129840945111859</v>
      </c>
      <c r="AK1013" s="78">
        <v>45042.25</v>
      </c>
      <c r="AL1013" s="79">
        <v>3.4780633913005003E-2</v>
      </c>
      <c r="AM1013" s="5">
        <v>68.008627450000006</v>
      </c>
      <c r="AN1013" s="2">
        <v>27398</v>
      </c>
      <c r="AO1013" s="7">
        <f t="shared" si="246"/>
        <v>456.63333333333333</v>
      </c>
      <c r="AP1013" s="5">
        <f t="shared" si="238"/>
        <v>15.88199679914185</v>
      </c>
      <c r="AQ1013" s="6">
        <f t="shared" si="239"/>
        <v>143.8589288182354</v>
      </c>
      <c r="AR1013" s="2">
        <f t="shared" si="240"/>
        <v>-2.1301186875174403</v>
      </c>
      <c r="AS1013" s="2">
        <f t="shared" si="241"/>
        <v>-306.43659264196447</v>
      </c>
    </row>
    <row r="1014" spans="13:45" x14ac:dyDescent="0.3">
      <c r="M1014" s="78">
        <v>45043.260416666664</v>
      </c>
      <c r="N1014" s="79">
        <v>3.43286235639267E-2</v>
      </c>
      <c r="O1014" s="5">
        <v>59.685691249999998</v>
      </c>
      <c r="P1014" s="2">
        <v>29606</v>
      </c>
      <c r="Q1014" s="7">
        <f t="shared" si="235"/>
        <v>493.43333333333334</v>
      </c>
      <c r="R1014" s="6">
        <f t="shared" si="236"/>
        <v>16.938887153893564</v>
      </c>
      <c r="S1014" s="6">
        <f t="shared" si="242"/>
        <v>148.46993413561947</v>
      </c>
      <c r="T1014" s="2">
        <f t="shared" si="243"/>
        <v>1</v>
      </c>
      <c r="U1014" s="6">
        <f t="shared" si="244"/>
        <v>148.46993413561947</v>
      </c>
      <c r="V1014">
        <f t="shared" si="245"/>
        <v>0.37444341307412815</v>
      </c>
      <c r="W1014" s="6">
        <f t="shared" si="237"/>
        <v>55.59358887663236</v>
      </c>
      <c r="AK1014" s="78">
        <v>45042.260416666664</v>
      </c>
      <c r="AL1014" s="79">
        <v>3.3546052150809198E-2</v>
      </c>
      <c r="AM1014" s="5">
        <v>68.016396760000006</v>
      </c>
      <c r="AN1014" s="2">
        <v>25907</v>
      </c>
      <c r="AO1014" s="7">
        <f t="shared" si="246"/>
        <v>431.78333333333336</v>
      </c>
      <c r="AP1014" s="5">
        <f t="shared" si="238"/>
        <v>14.484626217850233</v>
      </c>
      <c r="AQ1014" s="6">
        <f t="shared" si="239"/>
        <v>137.51494321906378</v>
      </c>
      <c r="AR1014" s="2">
        <f t="shared" si="240"/>
        <v>-2.1301186875174403</v>
      </c>
      <c r="AS1014" s="2">
        <f t="shared" si="241"/>
        <v>-292.92315036382746</v>
      </c>
    </row>
    <row r="1015" spans="13:45" x14ac:dyDescent="0.3">
      <c r="M1015" s="78">
        <v>45043.270833333336</v>
      </c>
      <c r="N1015" s="79">
        <v>3.37613232102629E-2</v>
      </c>
      <c r="O1015" s="5">
        <v>63.015482910000003</v>
      </c>
      <c r="P1015" s="2">
        <v>28534</v>
      </c>
      <c r="Q1015" s="7">
        <f t="shared" si="235"/>
        <v>475.56666666666666</v>
      </c>
      <c r="R1015" s="6">
        <f t="shared" si="236"/>
        <v>16.055759941360694</v>
      </c>
      <c r="S1015" s="6">
        <f t="shared" si="242"/>
        <v>144.62754951844548</v>
      </c>
      <c r="T1015" s="2">
        <f t="shared" si="243"/>
        <v>1</v>
      </c>
      <c r="U1015" s="6">
        <f t="shared" si="244"/>
        <v>144.62754951844548</v>
      </c>
      <c r="V1015">
        <f t="shared" si="245"/>
        <v>0.21278745331618304</v>
      </c>
      <c r="W1015" s="6">
        <f t="shared" si="237"/>
        <v>30.774927941390168</v>
      </c>
      <c r="AK1015" s="78">
        <v>45042.270833333336</v>
      </c>
      <c r="AL1015" s="79">
        <v>3.5637011128185E-2</v>
      </c>
      <c r="AM1015" s="5">
        <v>68.008627450000006</v>
      </c>
      <c r="AN1015" s="2">
        <v>25317</v>
      </c>
      <c r="AO1015" s="7">
        <f t="shared" si="246"/>
        <v>421.95</v>
      </c>
      <c r="AP1015" s="5">
        <f t="shared" si="238"/>
        <v>15.03703684553766</v>
      </c>
      <c r="AQ1015" s="6">
        <f t="shared" si="239"/>
        <v>140.05865560147004</v>
      </c>
      <c r="AR1015" s="2">
        <f t="shared" si="240"/>
        <v>-2.1301186875174403</v>
      </c>
      <c r="AS1015" s="2">
        <f t="shared" si="241"/>
        <v>-298.34155964526053</v>
      </c>
    </row>
    <row r="1016" spans="13:45" x14ac:dyDescent="0.3">
      <c r="M1016" s="78">
        <v>45043.28125</v>
      </c>
      <c r="N1016" s="79">
        <v>3.4230299007450102E-2</v>
      </c>
      <c r="O1016" s="5">
        <v>61.92162476</v>
      </c>
      <c r="P1016" s="2">
        <v>28666</v>
      </c>
      <c r="Q1016" s="7">
        <f t="shared" si="235"/>
        <v>477.76666666666665</v>
      </c>
      <c r="R1016" s="6">
        <f t="shared" si="236"/>
        <v>16.354095855792742</v>
      </c>
      <c r="S1016" s="6">
        <f t="shared" si="242"/>
        <v>145.93736779202399</v>
      </c>
      <c r="T1016" s="2">
        <f t="shared" si="243"/>
        <v>1</v>
      </c>
      <c r="U1016" s="6">
        <f t="shared" si="244"/>
        <v>145.93736779202399</v>
      </c>
      <c r="V1016">
        <f t="shared" si="245"/>
        <v>0.26739768148416843</v>
      </c>
      <c r="W1016" s="6">
        <f t="shared" si="237"/>
        <v>39.023313789489571</v>
      </c>
      <c r="AK1016" s="78">
        <v>45042.28125</v>
      </c>
      <c r="AL1016" s="79">
        <v>3.2940764767365002E-2</v>
      </c>
      <c r="AM1016" s="5">
        <v>70.271667750000006</v>
      </c>
      <c r="AN1016" s="2">
        <v>27341</v>
      </c>
      <c r="AO1016" s="7">
        <f t="shared" si="246"/>
        <v>455.68333333333334</v>
      </c>
      <c r="AP1016" s="5">
        <f t="shared" si="238"/>
        <v>15.010557491742109</v>
      </c>
      <c r="AQ1016" s="6">
        <f t="shared" si="239"/>
        <v>139.93782402672545</v>
      </c>
      <c r="AR1016" s="2">
        <f t="shared" si="240"/>
        <v>-2.1301186875174403</v>
      </c>
      <c r="AS1016" s="2">
        <f t="shared" si="241"/>
        <v>-298.08417404985494</v>
      </c>
    </row>
    <row r="1017" spans="13:45" x14ac:dyDescent="0.3">
      <c r="M1017" s="78">
        <v>45043.291666666664</v>
      </c>
      <c r="N1017" s="79">
        <v>3.3585031590646998E-2</v>
      </c>
      <c r="O1017" s="5">
        <v>59.685691249999998</v>
      </c>
      <c r="P1017" s="2">
        <v>28292</v>
      </c>
      <c r="Q1017" s="7">
        <f t="shared" si="235"/>
        <v>471.53333333333336</v>
      </c>
      <c r="R1017" s="6">
        <f t="shared" si="236"/>
        <v>15.836461896043081</v>
      </c>
      <c r="S1017" s="6">
        <f t="shared" si="242"/>
        <v>143.65680184013794</v>
      </c>
      <c r="T1017" s="2">
        <f t="shared" si="243"/>
        <v>1</v>
      </c>
      <c r="U1017" s="6">
        <f t="shared" si="244"/>
        <v>143.65680184013794</v>
      </c>
      <c r="V1017">
        <f t="shared" si="245"/>
        <v>0.17264506444427338</v>
      </c>
      <c r="W1017" s="6">
        <f t="shared" si="237"/>
        <v>24.801637811548826</v>
      </c>
      <c r="AK1017" s="78">
        <v>45042.291666666664</v>
      </c>
      <c r="AL1017" s="79">
        <v>3.4877567299764302E-2</v>
      </c>
      <c r="AM1017" s="5">
        <v>63.015482910000003</v>
      </c>
      <c r="AN1017" s="2">
        <v>26893</v>
      </c>
      <c r="AO1017" s="7">
        <f t="shared" si="246"/>
        <v>448.21666666666664</v>
      </c>
      <c r="AP1017" s="5">
        <f t="shared" si="238"/>
        <v>15.632706956542689</v>
      </c>
      <c r="AQ1017" s="6">
        <f t="shared" si="239"/>
        <v>142.74869084629628</v>
      </c>
      <c r="AR1017" s="2">
        <f t="shared" si="240"/>
        <v>-2.1301186875174403</v>
      </c>
      <c r="AS1017" s="2">
        <f t="shared" si="241"/>
        <v>-304.07165399034545</v>
      </c>
    </row>
    <row r="1018" spans="13:45" x14ac:dyDescent="0.3">
      <c r="M1018" s="78">
        <v>45043.302083333336</v>
      </c>
      <c r="N1018" s="79">
        <v>3.3148841711793803E-2</v>
      </c>
      <c r="O1018" s="5">
        <v>59.685691249999998</v>
      </c>
      <c r="P1018" s="2">
        <v>28166</v>
      </c>
      <c r="Q1018" s="7">
        <f t="shared" si="235"/>
        <v>469.43333333333334</v>
      </c>
      <c r="R1018" s="6">
        <f t="shared" si="236"/>
        <v>15.561171260906404</v>
      </c>
      <c r="S1018" s="6">
        <f t="shared" si="242"/>
        <v>142.4284337210637</v>
      </c>
      <c r="T1018" s="2">
        <f t="shared" si="243"/>
        <v>1</v>
      </c>
      <c r="U1018" s="6">
        <f t="shared" si="244"/>
        <v>142.4284337210637</v>
      </c>
      <c r="V1018">
        <f t="shared" si="245"/>
        <v>0.12225326221709706</v>
      </c>
      <c r="W1018" s="6">
        <f t="shared" si="237"/>
        <v>17.412340654871631</v>
      </c>
      <c r="AK1018" s="78">
        <v>45042.302083333336</v>
      </c>
      <c r="AL1018" s="79">
        <v>3.5392081595778703E-2</v>
      </c>
      <c r="AM1018" s="5">
        <v>63.015482910000003</v>
      </c>
      <c r="AN1018" s="2">
        <v>26751</v>
      </c>
      <c r="AO1018" s="7">
        <f t="shared" si="246"/>
        <v>445.85</v>
      </c>
      <c r="AP1018" s="5">
        <f t="shared" si="238"/>
        <v>15.779559579477935</v>
      </c>
      <c r="AQ1018" s="6">
        <f t="shared" si="239"/>
        <v>143.4037981949796</v>
      </c>
      <c r="AR1018" s="2">
        <f t="shared" si="240"/>
        <v>-2.1301186875174403</v>
      </c>
      <c r="AS1018" s="2">
        <f t="shared" si="241"/>
        <v>-305.4671103961058</v>
      </c>
    </row>
    <row r="1019" spans="13:45" x14ac:dyDescent="0.3">
      <c r="M1019" s="78">
        <v>45043.3125</v>
      </c>
      <c r="N1019" s="79">
        <v>3.3116393235908703E-2</v>
      </c>
      <c r="O1019" s="5">
        <v>55.839219309999997</v>
      </c>
      <c r="P1019" s="2">
        <v>28391</v>
      </c>
      <c r="Q1019" s="7">
        <f t="shared" si="235"/>
        <v>473.18333333333334</v>
      </c>
      <c r="R1019" s="6">
        <f t="shared" si="236"/>
        <v>15.670125339344734</v>
      </c>
      <c r="S1019" s="6">
        <f t="shared" si="242"/>
        <v>142.91591078818215</v>
      </c>
      <c r="T1019" s="2">
        <f t="shared" si="243"/>
        <v>1</v>
      </c>
      <c r="U1019" s="6">
        <f t="shared" si="244"/>
        <v>142.91591078818215</v>
      </c>
      <c r="V1019">
        <f t="shared" si="245"/>
        <v>0.14219724748845472</v>
      </c>
      <c r="W1019" s="6">
        <f t="shared" si="237"/>
        <v>20.322249136385054</v>
      </c>
      <c r="AK1019" s="78">
        <v>45042.3125</v>
      </c>
      <c r="AL1019" s="79">
        <v>3.3383489888230797E-2</v>
      </c>
      <c r="AM1019" s="5">
        <v>65.290959470000004</v>
      </c>
      <c r="AN1019" s="2">
        <v>25999</v>
      </c>
      <c r="AO1019" s="7">
        <f t="shared" si="246"/>
        <v>433.31666666666666</v>
      </c>
      <c r="AP1019" s="5">
        <f t="shared" si="238"/>
        <v>14.465622560068541</v>
      </c>
      <c r="AQ1019" s="6">
        <f t="shared" si="239"/>
        <v>137.4265629417711</v>
      </c>
      <c r="AR1019" s="2">
        <f t="shared" si="240"/>
        <v>-2.1301186875174403</v>
      </c>
      <c r="AS1019" s="2">
        <f t="shared" si="241"/>
        <v>-292.73488988355837</v>
      </c>
    </row>
    <row r="1020" spans="13:45" x14ac:dyDescent="0.3">
      <c r="M1020" s="78">
        <v>45043.322916666664</v>
      </c>
      <c r="N1020" s="79">
        <v>3.0323310761207901E-2</v>
      </c>
      <c r="O1020" s="5">
        <v>54.662424110000003</v>
      </c>
      <c r="P1020" s="2">
        <v>29032</v>
      </c>
      <c r="Q1020" s="7">
        <f t="shared" si="235"/>
        <v>483.86666666666667</v>
      </c>
      <c r="R1020" s="6">
        <f t="shared" si="236"/>
        <v>14.672439300323131</v>
      </c>
      <c r="S1020" s="6">
        <f t="shared" si="242"/>
        <v>138.3852426331168</v>
      </c>
      <c r="T1020" s="2">
        <f t="shared" si="243"/>
        <v>1</v>
      </c>
      <c r="U1020" s="6">
        <f t="shared" si="244"/>
        <v>138.3852426331168</v>
      </c>
      <c r="V1020">
        <f t="shared" si="245"/>
        <v>0</v>
      </c>
      <c r="W1020" s="6">
        <f t="shared" si="237"/>
        <v>0</v>
      </c>
      <c r="AK1020" s="78">
        <v>45042.322916666664</v>
      </c>
      <c r="AL1020" s="79">
        <v>3.3001387009601701E-2</v>
      </c>
      <c r="AM1020" s="5">
        <v>66.655723199999997</v>
      </c>
      <c r="AN1020" s="2">
        <v>27814</v>
      </c>
      <c r="AO1020" s="7">
        <f t="shared" si="246"/>
        <v>463.56666666666666</v>
      </c>
      <c r="AP1020" s="5">
        <f t="shared" si="238"/>
        <v>15.298342971417695</v>
      </c>
      <c r="AQ1020" s="6">
        <f t="shared" si="239"/>
        <v>141.24528263009961</v>
      </c>
      <c r="AR1020" s="2">
        <f t="shared" si="240"/>
        <v>-2.1301186875174403</v>
      </c>
      <c r="AS1020" s="2">
        <f t="shared" si="241"/>
        <v>-300.86921605405769</v>
      </c>
    </row>
    <row r="1021" spans="13:45" x14ac:dyDescent="0.3">
      <c r="M1021" s="78">
        <v>45043.333333333336</v>
      </c>
      <c r="N1021" s="79">
        <v>3.2510118625400798E-2</v>
      </c>
      <c r="O1021" s="5">
        <v>57.390707069999998</v>
      </c>
      <c r="P1021" s="2">
        <v>29045</v>
      </c>
      <c r="Q1021" s="7">
        <f t="shared" si="235"/>
        <v>484.08333333333331</v>
      </c>
      <c r="R1021" s="6">
        <f t="shared" si="236"/>
        <v>15.737606591246102</v>
      </c>
      <c r="S1021" s="6">
        <f t="shared" si="242"/>
        <v>143.2169651525216</v>
      </c>
      <c r="T1021" s="2">
        <f t="shared" si="243"/>
        <v>1</v>
      </c>
      <c r="U1021" s="6">
        <f t="shared" si="244"/>
        <v>143.2169651525216</v>
      </c>
      <c r="V1021">
        <f t="shared" si="245"/>
        <v>0.1545496542391156</v>
      </c>
      <c r="W1021" s="6">
        <f t="shared" si="237"/>
        <v>22.134132445497681</v>
      </c>
      <c r="AK1021" s="78">
        <v>45042.333333333336</v>
      </c>
      <c r="AL1021" s="79">
        <v>3.5101031163172099E-2</v>
      </c>
      <c r="AM1021" s="5">
        <v>63.015482910000003</v>
      </c>
      <c r="AN1021" s="2">
        <v>27057</v>
      </c>
      <c r="AO1021" s="7">
        <f t="shared" si="246"/>
        <v>450.95</v>
      </c>
      <c r="AP1021" s="5">
        <f t="shared" si="238"/>
        <v>15.828810003032457</v>
      </c>
      <c r="AQ1021" s="6">
        <f t="shared" si="239"/>
        <v>143.62280640708218</v>
      </c>
      <c r="AR1021" s="2">
        <f t="shared" si="240"/>
        <v>-2.1301186875174403</v>
      </c>
      <c r="AS1021" s="2">
        <f t="shared" si="241"/>
        <v>-305.93362388142532</v>
      </c>
    </row>
    <row r="1022" spans="13:45" x14ac:dyDescent="0.3">
      <c r="M1022" s="78">
        <v>45043.34375</v>
      </c>
      <c r="N1022" s="79">
        <v>3.6252919282368998E-2</v>
      </c>
      <c r="O1022" s="5">
        <v>55.44335564</v>
      </c>
      <c r="P1022" s="2">
        <v>28925</v>
      </c>
      <c r="Q1022" s="7">
        <f t="shared" si="235"/>
        <v>482.08333333333331</v>
      </c>
      <c r="R1022" s="6">
        <f t="shared" si="236"/>
        <v>17.476928170708721</v>
      </c>
      <c r="S1022" s="6">
        <f t="shared" si="242"/>
        <v>150.76091090042547</v>
      </c>
      <c r="T1022" s="2">
        <f t="shared" si="243"/>
        <v>1</v>
      </c>
      <c r="U1022" s="6">
        <f t="shared" si="244"/>
        <v>150.76091090042547</v>
      </c>
      <c r="V1022">
        <f t="shared" si="245"/>
        <v>0.4729315308991211</v>
      </c>
      <c r="W1022" s="6">
        <f t="shared" si="237"/>
        <v>71.299588391884214</v>
      </c>
      <c r="AK1022" s="78">
        <v>45042.34375</v>
      </c>
      <c r="AL1022" s="79">
        <v>3.5276066084965002E-2</v>
      </c>
      <c r="AM1022" s="5">
        <v>60.060669519999998</v>
      </c>
      <c r="AN1022" s="2">
        <v>27507</v>
      </c>
      <c r="AO1022" s="7">
        <f t="shared" si="246"/>
        <v>458.45</v>
      </c>
      <c r="AP1022" s="5">
        <f t="shared" si="238"/>
        <v>16.172312496652204</v>
      </c>
      <c r="AQ1022" s="6">
        <f t="shared" si="239"/>
        <v>145.14072967317205</v>
      </c>
      <c r="AR1022" s="2">
        <f t="shared" si="240"/>
        <v>-2.1301186875174403</v>
      </c>
      <c r="AS1022" s="2">
        <f t="shared" si="241"/>
        <v>-309.16698059674081</v>
      </c>
    </row>
    <row r="1023" spans="13:45" x14ac:dyDescent="0.3">
      <c r="M1023" s="78">
        <v>45043.354166666664</v>
      </c>
      <c r="N1023" s="79">
        <v>3.7448939209331102E-2</v>
      </c>
      <c r="O1023" s="5">
        <v>58.544650400000002</v>
      </c>
      <c r="P1023" s="2">
        <v>28228</v>
      </c>
      <c r="Q1023" s="7">
        <f t="shared" si="235"/>
        <v>470.46666666666664</v>
      </c>
      <c r="R1023" s="6">
        <f t="shared" si="236"/>
        <v>17.618477600016639</v>
      </c>
      <c r="S1023" s="6">
        <f t="shared" si="242"/>
        <v>151.35762612962435</v>
      </c>
      <c r="T1023" s="2">
        <f t="shared" si="243"/>
        <v>1</v>
      </c>
      <c r="U1023" s="6">
        <f t="shared" si="244"/>
        <v>151.35762612962435</v>
      </c>
      <c r="V1023">
        <f t="shared" si="245"/>
        <v>0.49884207756015414</v>
      </c>
      <c r="W1023" s="6">
        <f t="shared" si="237"/>
        <v>75.503552673074878</v>
      </c>
      <c r="AK1023" s="78">
        <v>45042.354166666664</v>
      </c>
      <c r="AL1023" s="79">
        <v>3.2269001317418597E-2</v>
      </c>
      <c r="AM1023" s="5">
        <v>65.283151739999994</v>
      </c>
      <c r="AN1023" s="2">
        <v>28111</v>
      </c>
      <c r="AO1023" s="7">
        <f t="shared" si="246"/>
        <v>468.51666666666665</v>
      </c>
      <c r="AP1023" s="5">
        <f t="shared" si="238"/>
        <v>15.118564933899236</v>
      </c>
      <c r="AQ1023" s="6">
        <f t="shared" si="239"/>
        <v>140.43000735614197</v>
      </c>
      <c r="AR1023" s="2">
        <f t="shared" si="240"/>
        <v>-2.1301186875174403</v>
      </c>
      <c r="AS1023" s="2">
        <f t="shared" si="241"/>
        <v>-299.13258295752962</v>
      </c>
    </row>
    <row r="1024" spans="13:45" x14ac:dyDescent="0.3">
      <c r="M1024" s="78">
        <v>45043.364583333336</v>
      </c>
      <c r="N1024" s="79">
        <v>3.4402680748212899E-2</v>
      </c>
      <c r="O1024" s="5">
        <v>60.060669519999998</v>
      </c>
      <c r="P1024" s="2">
        <v>28199</v>
      </c>
      <c r="Q1024" s="7">
        <f t="shared" si="235"/>
        <v>469.98333333333335</v>
      </c>
      <c r="R1024" s="6">
        <f t="shared" si="236"/>
        <v>16.168686573647594</v>
      </c>
      <c r="S1024" s="6">
        <f t="shared" si="242"/>
        <v>145.12479325542145</v>
      </c>
      <c r="T1024" s="2">
        <f t="shared" si="243"/>
        <v>1</v>
      </c>
      <c r="U1024" s="6">
        <f t="shared" si="244"/>
        <v>145.12479325542145</v>
      </c>
      <c r="V1024">
        <f t="shared" si="245"/>
        <v>0.23345861242610791</v>
      </c>
      <c r="W1024" s="6">
        <f t="shared" si="237"/>
        <v>33.880632862036478</v>
      </c>
      <c r="AK1024" s="78">
        <v>45042.364583333336</v>
      </c>
      <c r="AL1024" s="79">
        <v>3.3130792034830998E-2</v>
      </c>
      <c r="AM1024" s="5">
        <v>64.377553680000005</v>
      </c>
      <c r="AN1024" s="2">
        <v>26847</v>
      </c>
      <c r="AO1024" s="7">
        <f t="shared" si="246"/>
        <v>447.45</v>
      </c>
      <c r="AP1024" s="5">
        <f t="shared" si="238"/>
        <v>14.82437289598513</v>
      </c>
      <c r="AQ1024" s="6">
        <f t="shared" si="239"/>
        <v>139.0851303548225</v>
      </c>
      <c r="AR1024" s="2">
        <f t="shared" si="240"/>
        <v>-2.1301186875174403</v>
      </c>
      <c r="AS1024" s="2">
        <f t="shared" si="241"/>
        <v>-296.26783532460661</v>
      </c>
    </row>
    <row r="1025" spans="13:45" x14ac:dyDescent="0.3">
      <c r="M1025" s="78">
        <v>45043.375</v>
      </c>
      <c r="N1025" s="79">
        <v>3.1695327799400097E-2</v>
      </c>
      <c r="O1025" s="5">
        <v>58.924071830000003</v>
      </c>
      <c r="P1025" s="2">
        <v>28570</v>
      </c>
      <c r="Q1025" s="7">
        <f t="shared" si="235"/>
        <v>476.16666666666669</v>
      </c>
      <c r="R1025" s="6">
        <f t="shared" si="236"/>
        <v>15.092258587147681</v>
      </c>
      <c r="S1025" s="6">
        <f t="shared" si="242"/>
        <v>140.31029666731081</v>
      </c>
      <c r="T1025" s="2">
        <f t="shared" si="243"/>
        <v>1</v>
      </c>
      <c r="U1025" s="6">
        <f t="shared" si="244"/>
        <v>140.31029666731081</v>
      </c>
      <c r="V1025">
        <f t="shared" si="245"/>
        <v>3.6419050290002544E-2</v>
      </c>
      <c r="W1025" s="6">
        <f t="shared" si="237"/>
        <v>5.1099677505319683</v>
      </c>
      <c r="AK1025" s="78">
        <v>45042.375</v>
      </c>
      <c r="AL1025" s="79">
        <v>3.4514317352219499E-2</v>
      </c>
      <c r="AM1025" s="5">
        <v>60.060669519999998</v>
      </c>
      <c r="AN1025" s="2">
        <v>26986</v>
      </c>
      <c r="AO1025" s="7">
        <f t="shared" si="246"/>
        <v>449.76666666666665</v>
      </c>
      <c r="AP1025" s="5">
        <f t="shared" si="238"/>
        <v>15.523389467783256</v>
      </c>
      <c r="AQ1025" s="6">
        <f t="shared" si="239"/>
        <v>142.25898574979789</v>
      </c>
      <c r="AR1025" s="2">
        <f t="shared" si="240"/>
        <v>-2.1301186875174403</v>
      </c>
      <c r="AS1025" s="2">
        <f t="shared" si="241"/>
        <v>-303.02852401292171</v>
      </c>
    </row>
    <row r="1026" spans="13:45" x14ac:dyDescent="0.3">
      <c r="M1026" s="78">
        <v>45043.385416666664</v>
      </c>
      <c r="N1026" s="79">
        <v>3.1179210300837E-2</v>
      </c>
      <c r="O1026" s="5">
        <v>58.924071830000003</v>
      </c>
      <c r="P1026" s="2">
        <v>29007</v>
      </c>
      <c r="Q1026" s="7">
        <f t="shared" si="235"/>
        <v>483.45</v>
      </c>
      <c r="R1026" s="6">
        <f t="shared" si="236"/>
        <v>15.073589219939647</v>
      </c>
      <c r="S1026" s="6">
        <f t="shared" si="242"/>
        <v>140.2252745051793</v>
      </c>
      <c r="T1026" s="2">
        <f t="shared" si="243"/>
        <v>1</v>
      </c>
      <c r="U1026" s="6">
        <f t="shared" si="244"/>
        <v>140.2252745051793</v>
      </c>
      <c r="V1026">
        <f t="shared" si="245"/>
        <v>3.3001632695732815E-2</v>
      </c>
      <c r="W1026" s="6">
        <f t="shared" si="237"/>
        <v>4.6276630038782347</v>
      </c>
      <c r="AK1026" s="78">
        <v>45042.385416666664</v>
      </c>
      <c r="AL1026" s="79">
        <v>3.22220322683264E-2</v>
      </c>
      <c r="AM1026" s="5">
        <v>62.648273320000001</v>
      </c>
      <c r="AN1026" s="2">
        <v>27368</v>
      </c>
      <c r="AO1026" s="7">
        <f t="shared" si="246"/>
        <v>456.13333333333333</v>
      </c>
      <c r="AP1026" s="5">
        <f t="shared" si="238"/>
        <v>14.697542985325949</v>
      </c>
      <c r="AQ1026" s="6">
        <f t="shared" si="239"/>
        <v>138.50113786555261</v>
      </c>
      <c r="AR1026" s="2">
        <f t="shared" si="240"/>
        <v>-2.1301186875174403</v>
      </c>
      <c r="AS1026" s="2">
        <f t="shared" si="241"/>
        <v>-295.02386200984296</v>
      </c>
    </row>
    <row r="1027" spans="13:45" x14ac:dyDescent="0.3">
      <c r="M1027" s="78">
        <v>45043.395833333336</v>
      </c>
      <c r="N1027" s="79">
        <v>3.0229546021762099E-2</v>
      </c>
      <c r="O1027" s="5">
        <v>54.655667649999998</v>
      </c>
      <c r="P1027" s="2">
        <v>28855</v>
      </c>
      <c r="Q1027" s="7">
        <f t="shared" si="235"/>
        <v>480.91666666666669</v>
      </c>
      <c r="R1027" s="6">
        <f t="shared" si="236"/>
        <v>14.537892507632423</v>
      </c>
      <c r="S1027" s="6">
        <f t="shared" si="242"/>
        <v>137.76235377050824</v>
      </c>
      <c r="T1027" s="2">
        <f t="shared" si="243"/>
        <v>1</v>
      </c>
      <c r="U1027" s="6">
        <f t="shared" si="244"/>
        <v>137.76235377050824</v>
      </c>
      <c r="V1027">
        <f t="shared" si="245"/>
        <v>0</v>
      </c>
      <c r="W1027" s="6">
        <f t="shared" si="237"/>
        <v>0</v>
      </c>
      <c r="AK1027" s="78">
        <v>45042.395833333336</v>
      </c>
      <c r="AL1027" s="79">
        <v>3.14039252354383E-2</v>
      </c>
      <c r="AM1027" s="5">
        <v>60.811216330000001</v>
      </c>
      <c r="AN1027" s="2">
        <v>27306</v>
      </c>
      <c r="AO1027" s="7">
        <f t="shared" si="246"/>
        <v>455.1</v>
      </c>
      <c r="AP1027" s="5">
        <f t="shared" si="238"/>
        <v>14.291926374647971</v>
      </c>
      <c r="AQ1027" s="6">
        <f t="shared" si="239"/>
        <v>136.61599291266288</v>
      </c>
      <c r="AR1027" s="2">
        <f t="shared" si="240"/>
        <v>-2.1301186875174403</v>
      </c>
      <c r="AS1027" s="2">
        <f t="shared" si="241"/>
        <v>-291.00827951701336</v>
      </c>
    </row>
    <row r="1028" spans="13:45" x14ac:dyDescent="0.3">
      <c r="M1028" s="78">
        <v>45043.40625</v>
      </c>
      <c r="N1028" s="79">
        <v>3.5623073372206798E-2</v>
      </c>
      <c r="O1028" s="5">
        <v>60.811216330000001</v>
      </c>
      <c r="P1028" s="2">
        <v>28299</v>
      </c>
      <c r="Q1028" s="7">
        <f t="shared" ref="Q1028:Q1091" si="247">P1028/60</f>
        <v>471.65</v>
      </c>
      <c r="R1028" s="6">
        <f t="shared" ref="R1028:R1091" si="248">N1028*Q1028</f>
        <v>16.801622556001334</v>
      </c>
      <c r="S1028" s="6">
        <f t="shared" si="242"/>
        <v>147.87953870508741</v>
      </c>
      <c r="T1028" s="2">
        <f t="shared" si="243"/>
        <v>1</v>
      </c>
      <c r="U1028" s="6">
        <f t="shared" si="244"/>
        <v>147.87953870508741</v>
      </c>
      <c r="V1028">
        <f t="shared" si="245"/>
        <v>0.34931720249183223</v>
      </c>
      <c r="W1028" s="6">
        <f t="shared" ref="W1028:W1091" si="249">S1028*V1028</f>
        <v>51.656866766243759</v>
      </c>
      <c r="AK1028" s="78">
        <v>45042.40625</v>
      </c>
      <c r="AL1028" s="79">
        <v>2.9731491686768498E-2</v>
      </c>
      <c r="AM1028" s="5">
        <v>65.290959470000004</v>
      </c>
      <c r="AN1028" s="2">
        <v>28833</v>
      </c>
      <c r="AO1028" s="7">
        <f t="shared" si="246"/>
        <v>480.55</v>
      </c>
      <c r="AP1028" s="5">
        <f t="shared" ref="AP1028:AP1091" si="250">AO1028*AL1028</f>
        <v>14.287468330076603</v>
      </c>
      <c r="AQ1028" s="6">
        <f t="shared" ref="AQ1028:AQ1091" si="251">37.141*AP1028^0.4897</f>
        <v>136.59512303747951</v>
      </c>
      <c r="AR1028" s="2">
        <f t="shared" ref="AR1028:AR1091" si="252">IF((AM1028-$AP$1)/($AN$1-$AP$1)&lt;0, 0, IF((AA1028-$AP$1)/($AN$1-$AP$1)&gt;1, 1, (AA1028-$AP$1)/($AN$1-$AP$1)))</f>
        <v>-2.1301186875174403</v>
      </c>
      <c r="AS1028" s="2">
        <f t="shared" ref="AS1028:AS1091" si="253">AQ1028*AR1028</f>
        <v>-290.96382420587912</v>
      </c>
    </row>
    <row r="1029" spans="13:45" x14ac:dyDescent="0.3">
      <c r="M1029" s="78">
        <v>45043.416666666664</v>
      </c>
      <c r="N1029" s="79">
        <v>3.2761169424570899E-2</v>
      </c>
      <c r="O1029" s="5">
        <v>57.774288900000002</v>
      </c>
      <c r="P1029" s="2">
        <v>27986</v>
      </c>
      <c r="Q1029" s="7">
        <f t="shared" si="247"/>
        <v>466.43333333333334</v>
      </c>
      <c r="R1029" s="6">
        <f t="shared" si="248"/>
        <v>15.280901458600686</v>
      </c>
      <c r="S1029" s="6">
        <f t="shared" si="242"/>
        <v>141.16640203064841</v>
      </c>
      <c r="T1029" s="2">
        <f t="shared" si="243"/>
        <v>1</v>
      </c>
      <c r="U1029" s="6">
        <f t="shared" si="244"/>
        <v>141.16640203064841</v>
      </c>
      <c r="V1029">
        <f t="shared" si="245"/>
        <v>7.0950026126165272E-2</v>
      </c>
      <c r="W1029" s="6">
        <f t="shared" si="249"/>
        <v>10.015759912211255</v>
      </c>
      <c r="AK1029" s="78">
        <v>45042.416666666664</v>
      </c>
      <c r="AL1029" s="79">
        <v>3.3247534535633998E-2</v>
      </c>
      <c r="AM1029" s="5">
        <v>64.377553680000005</v>
      </c>
      <c r="AN1029" s="2">
        <v>27251</v>
      </c>
      <c r="AO1029" s="7">
        <f t="shared" si="246"/>
        <v>454.18333333333334</v>
      </c>
      <c r="AP1029" s="5">
        <f t="shared" si="250"/>
        <v>15.100476060509369</v>
      </c>
      <c r="AQ1029" s="6">
        <f t="shared" si="251"/>
        <v>140.34770285014019</v>
      </c>
      <c r="AR1029" s="2">
        <f t="shared" si="252"/>
        <v>-2.1301186875174403</v>
      </c>
      <c r="AS1029" s="2">
        <f t="shared" si="253"/>
        <v>-298.95726459122835</v>
      </c>
    </row>
    <row r="1030" spans="13:45" x14ac:dyDescent="0.3">
      <c r="M1030" s="78">
        <v>45043.427083333336</v>
      </c>
      <c r="N1030" s="79">
        <v>3.3403802934377502E-2</v>
      </c>
      <c r="O1030" s="5">
        <v>55.839219309999997</v>
      </c>
      <c r="P1030" s="2">
        <v>28553</v>
      </c>
      <c r="Q1030" s="7">
        <f t="shared" si="247"/>
        <v>475.88333333333333</v>
      </c>
      <c r="R1030" s="6">
        <f t="shared" si="248"/>
        <v>15.896313086421348</v>
      </c>
      <c r="S1030" s="6">
        <f t="shared" si="242"/>
        <v>143.92241692469457</v>
      </c>
      <c r="T1030" s="2">
        <f t="shared" si="243"/>
        <v>1</v>
      </c>
      <c r="U1030" s="6">
        <f t="shared" si="244"/>
        <v>143.92241692469457</v>
      </c>
      <c r="V1030">
        <f t="shared" si="245"/>
        <v>0.18360079254997252</v>
      </c>
      <c r="W1030" s="6">
        <f t="shared" si="249"/>
        <v>26.424269813081501</v>
      </c>
      <c r="AK1030" s="78">
        <v>45042.427083333336</v>
      </c>
      <c r="AL1030" s="79">
        <v>3.3325192155827202E-2</v>
      </c>
      <c r="AM1030" s="5">
        <v>59.302493679999998</v>
      </c>
      <c r="AN1030" s="2">
        <v>28572</v>
      </c>
      <c r="AO1030" s="7">
        <f t="shared" si="246"/>
        <v>476.2</v>
      </c>
      <c r="AP1030" s="5">
        <f t="shared" si="250"/>
        <v>15.869456504604914</v>
      </c>
      <c r="AQ1030" s="6">
        <f t="shared" si="251"/>
        <v>143.80329266688599</v>
      </c>
      <c r="AR1030" s="2">
        <f t="shared" si="252"/>
        <v>-2.1301186875174403</v>
      </c>
      <c r="AS1030" s="2">
        <f t="shared" si="253"/>
        <v>-306.31808103627355</v>
      </c>
    </row>
    <row r="1031" spans="13:45" x14ac:dyDescent="0.3">
      <c r="M1031" s="78">
        <v>45043.4375</v>
      </c>
      <c r="N1031" s="79">
        <v>3.68338801415376E-2</v>
      </c>
      <c r="O1031" s="5">
        <v>57.780893030000001</v>
      </c>
      <c r="P1031" s="2">
        <v>28206</v>
      </c>
      <c r="Q1031" s="7">
        <f t="shared" si="247"/>
        <v>470.1</v>
      </c>
      <c r="R1031" s="6">
        <f t="shared" si="248"/>
        <v>17.315607054536827</v>
      </c>
      <c r="S1031" s="6">
        <f t="shared" si="242"/>
        <v>150.07783120415615</v>
      </c>
      <c r="T1031" s="2">
        <f t="shared" si="243"/>
        <v>1</v>
      </c>
      <c r="U1031" s="6">
        <f t="shared" si="244"/>
        <v>150.07783120415615</v>
      </c>
      <c r="V1031">
        <f t="shared" si="245"/>
        <v>0.44340178762556082</v>
      </c>
      <c r="W1031" s="6">
        <f t="shared" si="249"/>
        <v>66.544778638890008</v>
      </c>
      <c r="AK1031" s="78">
        <v>45042.4375</v>
      </c>
      <c r="AL1031" s="79">
        <v>3.4383770207928599E-2</v>
      </c>
      <c r="AM1031" s="5">
        <v>56.227261830000003</v>
      </c>
      <c r="AN1031" s="2">
        <v>29080</v>
      </c>
      <c r="AO1031" s="7">
        <f t="shared" si="246"/>
        <v>484.66666666666669</v>
      </c>
      <c r="AP1031" s="5">
        <f t="shared" si="250"/>
        <v>16.664667294109396</v>
      </c>
      <c r="AQ1031" s="6">
        <f t="shared" si="251"/>
        <v>147.28801559253731</v>
      </c>
      <c r="AR1031" s="2">
        <f t="shared" si="252"/>
        <v>-2.1301186875174403</v>
      </c>
      <c r="AS1031" s="2">
        <f t="shared" si="253"/>
        <v>-313.74095446102382</v>
      </c>
    </row>
    <row r="1032" spans="13:45" x14ac:dyDescent="0.3">
      <c r="M1032" s="78">
        <v>45043.447916666664</v>
      </c>
      <c r="N1032" s="79">
        <v>3.4073789391353901E-2</v>
      </c>
      <c r="O1032" s="5">
        <v>57.780893030000001</v>
      </c>
      <c r="P1032" s="2">
        <v>27876</v>
      </c>
      <c r="Q1032" s="7">
        <f t="shared" si="247"/>
        <v>464.6</v>
      </c>
      <c r="R1032" s="6">
        <f t="shared" si="248"/>
        <v>15.830682551223022</v>
      </c>
      <c r="S1032" s="6">
        <f t="shared" si="242"/>
        <v>143.63112644185549</v>
      </c>
      <c r="T1032" s="2">
        <f t="shared" si="243"/>
        <v>1</v>
      </c>
      <c r="U1032" s="6">
        <f t="shared" si="244"/>
        <v>143.63112644185549</v>
      </c>
      <c r="V1032">
        <f t="shared" si="245"/>
        <v>0.17158715849323919</v>
      </c>
      <c r="W1032" s="6">
        <f t="shared" si="249"/>
        <v>24.645256857341135</v>
      </c>
      <c r="AK1032" s="78">
        <v>45042.447916666664</v>
      </c>
      <c r="AL1032" s="79">
        <v>3.3324204952933097E-2</v>
      </c>
      <c r="AM1032" s="5">
        <v>63.015482910000003</v>
      </c>
      <c r="AN1032" s="2">
        <v>26854</v>
      </c>
      <c r="AO1032" s="7">
        <f t="shared" si="246"/>
        <v>447.56666666666666</v>
      </c>
      <c r="AP1032" s="5">
        <f t="shared" si="250"/>
        <v>14.914803330101089</v>
      </c>
      <c r="AQ1032" s="6">
        <f t="shared" si="251"/>
        <v>139.49996467539637</v>
      </c>
      <c r="AR1032" s="2">
        <f t="shared" si="252"/>
        <v>-2.1301186875174403</v>
      </c>
      <c r="AS1032" s="2">
        <f t="shared" si="253"/>
        <v>-297.15148166308461</v>
      </c>
    </row>
    <row r="1033" spans="13:45" x14ac:dyDescent="0.3">
      <c r="M1033" s="78">
        <v>45043.458333333336</v>
      </c>
      <c r="N1033" s="79">
        <v>3.5858640923971397E-2</v>
      </c>
      <c r="O1033" s="5">
        <v>53.869685959999998</v>
      </c>
      <c r="P1033" s="2">
        <v>28253</v>
      </c>
      <c r="Q1033" s="7">
        <f t="shared" si="247"/>
        <v>470.88333333333333</v>
      </c>
      <c r="R1033" s="6">
        <f t="shared" si="248"/>
        <v>16.885236367082729</v>
      </c>
      <c r="S1033" s="6">
        <f t="shared" ref="S1033:S1096" si="254">37.141*R1033^0.4897</f>
        <v>148.23946581881594</v>
      </c>
      <c r="T1033" s="2">
        <f t="shared" ref="T1033:T1096" si="255">IF((O1033-$R$1)/($P$1-$R$1)&lt;0, 0, IF((O1033-$R$1)/($P$1-$R$1)&gt;1, 1, (O1033-$R$1)/($P$1-$R$1)))</f>
        <v>1</v>
      </c>
      <c r="U1033" s="6">
        <f t="shared" ref="U1033:U1096" si="256">S1033*T1033</f>
        <v>148.23946581881594</v>
      </c>
      <c r="V1033">
        <f t="shared" ref="V1033:V1096" si="257">IF((R1033-$AB$774)/($Z$773-$AB$774)&lt;0, 0, IF((R1033-$AB$774)/($Z$773-$AB$774)&gt;1, 1, (R1033-$AB$774)/($Z$773-$AB$774)))</f>
        <v>0.36462266549598515</v>
      </c>
      <c r="W1033" s="6">
        <f t="shared" si="249"/>
        <v>54.051469158557651</v>
      </c>
      <c r="AK1033" s="78">
        <v>45042.458333333336</v>
      </c>
      <c r="AL1033" s="79">
        <v>3.12412835095656E-2</v>
      </c>
      <c r="AM1033" s="5">
        <v>61.92162476</v>
      </c>
      <c r="AN1033" s="2">
        <v>28052</v>
      </c>
      <c r="AO1033" s="7">
        <f t="shared" si="246"/>
        <v>467.53333333333336</v>
      </c>
      <c r="AP1033" s="5">
        <f t="shared" si="250"/>
        <v>14.606341416838903</v>
      </c>
      <c r="AQ1033" s="6">
        <f t="shared" si="251"/>
        <v>138.07960617956473</v>
      </c>
      <c r="AR1033" s="2">
        <f t="shared" si="252"/>
        <v>-2.1301186875174403</v>
      </c>
      <c r="AS1033" s="2">
        <f t="shared" si="253"/>
        <v>-294.12594948813944</v>
      </c>
    </row>
    <row r="1034" spans="13:45" x14ac:dyDescent="0.3">
      <c r="M1034" s="78">
        <v>45043.46875</v>
      </c>
      <c r="N1034" s="79">
        <v>3.3626791223011501E-2</v>
      </c>
      <c r="O1034" s="5">
        <v>55.832518540000002</v>
      </c>
      <c r="P1034" s="2">
        <v>27637</v>
      </c>
      <c r="Q1034" s="7">
        <f t="shared" si="247"/>
        <v>460.61666666666667</v>
      </c>
      <c r="R1034" s="6">
        <f t="shared" si="248"/>
        <v>15.489060483839481</v>
      </c>
      <c r="S1034" s="6">
        <f t="shared" si="254"/>
        <v>142.10484074287433</v>
      </c>
      <c r="T1034" s="2">
        <f t="shared" si="255"/>
        <v>1</v>
      </c>
      <c r="U1034" s="6">
        <f t="shared" si="256"/>
        <v>142.10484074287433</v>
      </c>
      <c r="V1034">
        <f t="shared" si="257"/>
        <v>0.1090534233827674</v>
      </c>
      <c r="W1034" s="6">
        <f t="shared" si="249"/>
        <v>15.497019362273409</v>
      </c>
      <c r="AK1034" s="78">
        <v>45042.46875</v>
      </c>
      <c r="AL1034" s="79">
        <v>3.3414786053130599E-2</v>
      </c>
      <c r="AM1034" s="5">
        <v>59.685691249999998</v>
      </c>
      <c r="AN1034" s="2">
        <v>27005</v>
      </c>
      <c r="AO1034" s="7">
        <f t="shared" si="246"/>
        <v>450.08333333333331</v>
      </c>
      <c r="AP1034" s="5">
        <f t="shared" si="250"/>
        <v>15.039438289413196</v>
      </c>
      <c r="AQ1034" s="6">
        <f t="shared" si="251"/>
        <v>140.06960858763344</v>
      </c>
      <c r="AR1034" s="2">
        <f t="shared" si="252"/>
        <v>-2.1301186875174403</v>
      </c>
      <c r="AS1034" s="2">
        <f t="shared" si="253"/>
        <v>-298.36489080577132</v>
      </c>
    </row>
    <row r="1035" spans="13:45" x14ac:dyDescent="0.3">
      <c r="M1035" s="78">
        <v>45043.479166666664</v>
      </c>
      <c r="N1035" s="79">
        <v>3.41055149404835E-2</v>
      </c>
      <c r="O1035" s="5">
        <v>56.614200629999999</v>
      </c>
      <c r="P1035" s="2">
        <v>27312</v>
      </c>
      <c r="Q1035" s="7">
        <f t="shared" si="247"/>
        <v>455.2</v>
      </c>
      <c r="R1035" s="6">
        <f t="shared" si="248"/>
        <v>15.524830400908089</v>
      </c>
      <c r="S1035" s="6">
        <f t="shared" si="254"/>
        <v>142.26545206392203</v>
      </c>
      <c r="T1035" s="2">
        <f t="shared" si="255"/>
        <v>1</v>
      </c>
      <c r="U1035" s="6">
        <f t="shared" si="256"/>
        <v>142.26545206392203</v>
      </c>
      <c r="V1035">
        <f t="shared" si="257"/>
        <v>0.11560108740231848</v>
      </c>
      <c r="W1035" s="6">
        <f t="shared" si="249"/>
        <v>16.4460409583718</v>
      </c>
      <c r="AK1035" s="78">
        <v>45042.479166666664</v>
      </c>
      <c r="AL1035" s="79">
        <v>3.2481967564629101E-2</v>
      </c>
      <c r="AM1035" s="5">
        <v>61.92162476</v>
      </c>
      <c r="AN1035" s="2">
        <v>27270</v>
      </c>
      <c r="AO1035" s="7">
        <f t="shared" si="246"/>
        <v>454.5</v>
      </c>
      <c r="AP1035" s="5">
        <f t="shared" si="250"/>
        <v>14.763054258123926</v>
      </c>
      <c r="AQ1035" s="6">
        <f t="shared" si="251"/>
        <v>138.80310637500091</v>
      </c>
      <c r="AR1035" s="2">
        <f t="shared" si="252"/>
        <v>-2.1301186875174403</v>
      </c>
      <c r="AS1035" s="2">
        <f t="shared" si="253"/>
        <v>-295.66709077486058</v>
      </c>
    </row>
    <row r="1036" spans="13:45" x14ac:dyDescent="0.3">
      <c r="M1036" s="78">
        <v>45043.489583333336</v>
      </c>
      <c r="N1036" s="79">
        <v>3.3815203188143697E-2</v>
      </c>
      <c r="O1036" s="5">
        <v>59.685691249999998</v>
      </c>
      <c r="P1036" s="2">
        <v>27320</v>
      </c>
      <c r="Q1036" s="7">
        <f t="shared" si="247"/>
        <v>455.33333333333331</v>
      </c>
      <c r="R1036" s="6">
        <f t="shared" si="248"/>
        <v>15.39718918500143</v>
      </c>
      <c r="S1036" s="6">
        <f t="shared" si="254"/>
        <v>141.69145786616923</v>
      </c>
      <c r="T1036" s="2">
        <f t="shared" si="255"/>
        <v>1</v>
      </c>
      <c r="U1036" s="6">
        <f t="shared" si="256"/>
        <v>141.69145786616923</v>
      </c>
      <c r="V1036">
        <f t="shared" si="257"/>
        <v>9.2236431700132224E-2</v>
      </c>
      <c r="W1036" s="6">
        <f t="shared" si="249"/>
        <v>13.069114475965081</v>
      </c>
      <c r="AK1036" s="78">
        <v>45042.489583333336</v>
      </c>
      <c r="AL1036" s="79">
        <v>3.5055138356157603E-2</v>
      </c>
      <c r="AM1036" s="5">
        <v>62.654512349999997</v>
      </c>
      <c r="AN1036" s="2">
        <v>26333</v>
      </c>
      <c r="AO1036" s="7">
        <f t="shared" si="246"/>
        <v>438.88333333333333</v>
      </c>
      <c r="AP1036" s="5">
        <f t="shared" si="250"/>
        <v>15.385115972211636</v>
      </c>
      <c r="AQ1036" s="6">
        <f t="shared" si="251"/>
        <v>141.63703992637014</v>
      </c>
      <c r="AR1036" s="2">
        <f t="shared" si="252"/>
        <v>-2.1301186875174403</v>
      </c>
      <c r="AS1036" s="2">
        <f t="shared" si="253"/>
        <v>-301.70370559181487</v>
      </c>
    </row>
    <row r="1037" spans="13:45" x14ac:dyDescent="0.3">
      <c r="M1037" s="78">
        <v>45043.5</v>
      </c>
      <c r="N1037" s="79">
        <v>3.4388134007096401E-2</v>
      </c>
      <c r="O1037" s="5">
        <v>57.774288900000002</v>
      </c>
      <c r="P1037" s="2">
        <v>27596</v>
      </c>
      <c r="Q1037" s="7">
        <f t="shared" si="247"/>
        <v>459.93333333333334</v>
      </c>
      <c r="R1037" s="6">
        <f t="shared" si="248"/>
        <v>15.816249100997204</v>
      </c>
      <c r="S1037" s="6">
        <f t="shared" si="254"/>
        <v>143.56698329628534</v>
      </c>
      <c r="T1037" s="2">
        <f t="shared" si="255"/>
        <v>1</v>
      </c>
      <c r="U1037" s="6">
        <f t="shared" si="256"/>
        <v>143.56698329628534</v>
      </c>
      <c r="V1037">
        <f t="shared" si="257"/>
        <v>0.16894512321705152</v>
      </c>
      <c r="W1037" s="6">
        <f t="shared" si="249"/>
        <v>24.254941682891303</v>
      </c>
      <c r="AK1037" s="78">
        <v>45042.5</v>
      </c>
      <c r="AL1037" s="79">
        <v>3.6250531728761401E-2</v>
      </c>
      <c r="AM1037" s="5">
        <v>63.92387093</v>
      </c>
      <c r="AN1037" s="2">
        <v>25914</v>
      </c>
      <c r="AO1037" s="7">
        <f t="shared" si="246"/>
        <v>431.9</v>
      </c>
      <c r="AP1037" s="5">
        <f t="shared" si="250"/>
        <v>15.656604653652048</v>
      </c>
      <c r="AQ1037" s="6">
        <f t="shared" si="251"/>
        <v>142.85551139520635</v>
      </c>
      <c r="AR1037" s="2">
        <f t="shared" si="252"/>
        <v>-2.1301186875174403</v>
      </c>
      <c r="AS1037" s="2">
        <f t="shared" si="253"/>
        <v>-304.29919443778971</v>
      </c>
    </row>
    <row r="1038" spans="13:45" x14ac:dyDescent="0.3">
      <c r="M1038" s="78">
        <v>45043.510416666664</v>
      </c>
      <c r="N1038" s="79">
        <v>3.5053108100226001E-2</v>
      </c>
      <c r="O1038" s="5">
        <v>60.811216330000001</v>
      </c>
      <c r="P1038" s="2">
        <v>26227</v>
      </c>
      <c r="Q1038" s="7">
        <f t="shared" si="247"/>
        <v>437.11666666666667</v>
      </c>
      <c r="R1038" s="6">
        <f t="shared" si="248"/>
        <v>15.322297769077123</v>
      </c>
      <c r="S1038" s="6">
        <f t="shared" si="254"/>
        <v>141.35354530678453</v>
      </c>
      <c r="T1038" s="2">
        <f t="shared" si="255"/>
        <v>1</v>
      </c>
      <c r="U1038" s="6">
        <f t="shared" si="256"/>
        <v>141.35354530678453</v>
      </c>
      <c r="V1038">
        <f t="shared" si="257"/>
        <v>7.8527598423267508E-2</v>
      </c>
      <c r="W1038" s="6">
        <f t="shared" si="249"/>
        <v>11.100154441556326</v>
      </c>
      <c r="AK1038" s="78">
        <v>45042.510416666664</v>
      </c>
      <c r="AL1038" s="79">
        <v>3.4564545743549897E-2</v>
      </c>
      <c r="AM1038" s="5">
        <v>61.92162476</v>
      </c>
      <c r="AN1038" s="2">
        <v>26655</v>
      </c>
      <c r="AO1038" s="7">
        <f t="shared" si="246"/>
        <v>444.25</v>
      </c>
      <c r="AP1038" s="5">
        <f t="shared" si="250"/>
        <v>15.355299446572042</v>
      </c>
      <c r="AQ1038" s="6">
        <f t="shared" si="251"/>
        <v>141.50255360459769</v>
      </c>
      <c r="AR1038" s="2">
        <f t="shared" si="252"/>
        <v>-2.1301186875174403</v>
      </c>
      <c r="AS1038" s="2">
        <f t="shared" si="253"/>
        <v>-301.41723376459186</v>
      </c>
    </row>
    <row r="1039" spans="13:45" x14ac:dyDescent="0.3">
      <c r="M1039" s="78">
        <v>45043.520833333336</v>
      </c>
      <c r="N1039" s="79">
        <v>3.5713040516911397E-2</v>
      </c>
      <c r="O1039" s="5">
        <v>57.774288900000002</v>
      </c>
      <c r="P1039" s="2">
        <v>26648</v>
      </c>
      <c r="Q1039" s="7">
        <f t="shared" si="247"/>
        <v>444.13333333333333</v>
      </c>
      <c r="R1039" s="6">
        <f t="shared" si="248"/>
        <v>15.861351728244248</v>
      </c>
      <c r="S1039" s="6">
        <f t="shared" si="254"/>
        <v>143.76732315702924</v>
      </c>
      <c r="T1039" s="2">
        <f t="shared" si="255"/>
        <v>1</v>
      </c>
      <c r="U1039" s="6">
        <f t="shared" si="256"/>
        <v>143.76732315702924</v>
      </c>
      <c r="V1039">
        <f t="shared" si="257"/>
        <v>0.17720113479924962</v>
      </c>
      <c r="W1039" s="6">
        <f t="shared" si="249"/>
        <v>25.475732810476021</v>
      </c>
      <c r="AK1039" s="78">
        <v>45042.520833333336</v>
      </c>
      <c r="AL1039" s="79">
        <v>3.36620463308063E-2</v>
      </c>
      <c r="AM1039" s="5">
        <v>61.92162476</v>
      </c>
      <c r="AN1039" s="2">
        <v>27029</v>
      </c>
      <c r="AO1039" s="7">
        <f t="shared" si="246"/>
        <v>450.48333333333335</v>
      </c>
      <c r="AP1039" s="5">
        <f t="shared" si="250"/>
        <v>15.164190837922725</v>
      </c>
      <c r="AQ1039" s="6">
        <f t="shared" si="251"/>
        <v>140.63738259685675</v>
      </c>
      <c r="AR1039" s="2">
        <f t="shared" si="252"/>
        <v>-2.1301186875174403</v>
      </c>
      <c r="AS1039" s="2">
        <f t="shared" si="253"/>
        <v>-299.5743168331046</v>
      </c>
    </row>
    <row r="1040" spans="13:45" x14ac:dyDescent="0.3">
      <c r="M1040" s="78">
        <v>45043.53125</v>
      </c>
      <c r="N1040" s="79">
        <v>3.4490572002215197E-2</v>
      </c>
      <c r="O1040" s="5">
        <v>61.92162476</v>
      </c>
      <c r="P1040" s="2">
        <v>26099</v>
      </c>
      <c r="Q1040" s="7">
        <f t="shared" si="247"/>
        <v>434.98333333333335</v>
      </c>
      <c r="R1040" s="6">
        <f t="shared" si="248"/>
        <v>15.002823978096908</v>
      </c>
      <c r="S1040" s="6">
        <f t="shared" si="254"/>
        <v>139.90251364963837</v>
      </c>
      <c r="T1040" s="2">
        <f t="shared" si="255"/>
        <v>1</v>
      </c>
      <c r="U1040" s="6">
        <f t="shared" si="256"/>
        <v>139.90251364963837</v>
      </c>
      <c r="V1040">
        <f t="shared" si="257"/>
        <v>2.0048093358198987E-2</v>
      </c>
      <c r="W1040" s="6">
        <f t="shared" si="249"/>
        <v>2.8047786546946583</v>
      </c>
      <c r="AK1040" s="78">
        <v>45042.53125</v>
      </c>
      <c r="AL1040" s="79">
        <v>3.3350332216230898E-2</v>
      </c>
      <c r="AM1040" s="5">
        <v>60.811216330000001</v>
      </c>
      <c r="AN1040" s="2">
        <v>27221</v>
      </c>
      <c r="AO1040" s="7">
        <f t="shared" si="246"/>
        <v>453.68333333333334</v>
      </c>
      <c r="AP1040" s="5">
        <f t="shared" si="250"/>
        <v>15.130489887633688</v>
      </c>
      <c r="AQ1040" s="6">
        <f t="shared" si="251"/>
        <v>140.48423850175018</v>
      </c>
      <c r="AR1040" s="2">
        <f t="shared" si="252"/>
        <v>-2.1301186875174403</v>
      </c>
      <c r="AS1040" s="2">
        <f t="shared" si="253"/>
        <v>-299.24810173423515</v>
      </c>
    </row>
    <row r="1041" spans="13:45" x14ac:dyDescent="0.3">
      <c r="M1041" s="78">
        <v>45043.541666666664</v>
      </c>
      <c r="N1041" s="79">
        <v>3.6718753899814403E-2</v>
      </c>
      <c r="O1041" s="5">
        <v>57.780893030000001</v>
      </c>
      <c r="P1041" s="2">
        <v>25697</v>
      </c>
      <c r="Q1041" s="7">
        <f t="shared" si="247"/>
        <v>428.28333333333336</v>
      </c>
      <c r="R1041" s="6">
        <f t="shared" si="248"/>
        <v>15.726030316058846</v>
      </c>
      <c r="S1041" s="6">
        <f t="shared" si="254"/>
        <v>143.16536674948662</v>
      </c>
      <c r="T1041" s="2">
        <f t="shared" si="255"/>
        <v>1</v>
      </c>
      <c r="U1041" s="6">
        <f t="shared" si="256"/>
        <v>143.16536674948662</v>
      </c>
      <c r="V1041">
        <f t="shared" si="257"/>
        <v>0.15243062331213203</v>
      </c>
      <c r="W1041" s="6">
        <f t="shared" si="249"/>
        <v>21.822786090334226</v>
      </c>
      <c r="AK1041" s="78">
        <v>45042.541666666664</v>
      </c>
      <c r="AL1041" s="79">
        <v>3.3571568075573099E-2</v>
      </c>
      <c r="AM1041" s="5">
        <v>60.060669519999998</v>
      </c>
      <c r="AN1041" s="2">
        <v>27437</v>
      </c>
      <c r="AO1041" s="7">
        <f t="shared" si="246"/>
        <v>457.28333333333336</v>
      </c>
      <c r="AP1041" s="5">
        <f t="shared" si="250"/>
        <v>15.351718554824986</v>
      </c>
      <c r="AQ1041" s="6">
        <f t="shared" si="251"/>
        <v>141.4863931666153</v>
      </c>
      <c r="AR1041" s="2">
        <f t="shared" si="252"/>
        <v>-2.1301186875174403</v>
      </c>
      <c r="AS1041" s="2">
        <f t="shared" si="253"/>
        <v>-301.38281011364711</v>
      </c>
    </row>
    <row r="1042" spans="13:45" x14ac:dyDescent="0.3">
      <c r="M1042" s="78">
        <v>45043.552083333336</v>
      </c>
      <c r="N1042" s="79">
        <v>3.9108465044834902E-2</v>
      </c>
      <c r="O1042" s="5">
        <v>58.930610829999999</v>
      </c>
      <c r="P1042" s="2">
        <v>25400</v>
      </c>
      <c r="Q1042" s="7">
        <f t="shared" si="247"/>
        <v>423.33333333333331</v>
      </c>
      <c r="R1042" s="6">
        <f t="shared" si="248"/>
        <v>16.555916868980109</v>
      </c>
      <c r="S1042" s="6">
        <f t="shared" si="254"/>
        <v>146.81654268972068</v>
      </c>
      <c r="T1042" s="2">
        <f t="shared" si="255"/>
        <v>1</v>
      </c>
      <c r="U1042" s="6">
        <f t="shared" si="256"/>
        <v>146.81654268972068</v>
      </c>
      <c r="V1042">
        <f t="shared" si="257"/>
        <v>0.30434090905446631</v>
      </c>
      <c r="W1042" s="6">
        <f t="shared" si="249"/>
        <v>44.682280066423452</v>
      </c>
      <c r="AK1042" s="78">
        <v>45042.552083333336</v>
      </c>
      <c r="AL1042" s="79">
        <v>3.2749714660045198E-2</v>
      </c>
      <c r="AM1042" s="5">
        <v>60.060669519999998</v>
      </c>
      <c r="AN1042" s="2">
        <v>26832</v>
      </c>
      <c r="AO1042" s="7">
        <f t="shared" si="246"/>
        <v>447.2</v>
      </c>
      <c r="AP1042" s="5">
        <f t="shared" si="250"/>
        <v>14.645672395972213</v>
      </c>
      <c r="AQ1042" s="6">
        <f t="shared" si="251"/>
        <v>138.26155735819927</v>
      </c>
      <c r="AR1042" s="2">
        <f t="shared" si="252"/>
        <v>-2.1301186875174403</v>
      </c>
      <c r="AS1042" s="2">
        <f t="shared" si="253"/>
        <v>-294.51352709396474</v>
      </c>
    </row>
    <row r="1043" spans="13:45" x14ac:dyDescent="0.3">
      <c r="M1043" s="78">
        <v>45043.5625</v>
      </c>
      <c r="N1043" s="79">
        <v>3.6480661633137998E-2</v>
      </c>
      <c r="O1043" s="5">
        <v>54.263216800000002</v>
      </c>
      <c r="P1043" s="2">
        <v>25021</v>
      </c>
      <c r="Q1043" s="7">
        <f t="shared" si="247"/>
        <v>417.01666666666665</v>
      </c>
      <c r="R1043" s="6">
        <f t="shared" si="248"/>
        <v>15.213043912045764</v>
      </c>
      <c r="S1043" s="6">
        <f t="shared" si="254"/>
        <v>140.85907304409685</v>
      </c>
      <c r="T1043" s="2">
        <f t="shared" si="255"/>
        <v>1</v>
      </c>
      <c r="U1043" s="6">
        <f t="shared" si="256"/>
        <v>140.85907304409685</v>
      </c>
      <c r="V1043">
        <f t="shared" si="257"/>
        <v>5.8528738842203207E-2</v>
      </c>
      <c r="W1043" s="6">
        <f t="shared" si="249"/>
        <v>8.2443038997527704</v>
      </c>
      <c r="AK1043" s="78">
        <v>45042.5625</v>
      </c>
      <c r="AL1043" s="79">
        <v>3.15055143036388E-2</v>
      </c>
      <c r="AM1043" s="5">
        <v>57.774288900000002</v>
      </c>
      <c r="AN1043" s="2">
        <v>27109</v>
      </c>
      <c r="AO1043" s="7">
        <f t="shared" si="246"/>
        <v>451.81666666666666</v>
      </c>
      <c r="AP1043" s="5">
        <f t="shared" si="250"/>
        <v>14.234716454289071</v>
      </c>
      <c r="AQ1043" s="6">
        <f t="shared" si="251"/>
        <v>136.34791782483146</v>
      </c>
      <c r="AR1043" s="2">
        <f t="shared" si="252"/>
        <v>-2.1301186875174403</v>
      </c>
      <c r="AS1043" s="2">
        <f t="shared" si="253"/>
        <v>-290.43724776276576</v>
      </c>
    </row>
    <row r="1044" spans="13:45" x14ac:dyDescent="0.3">
      <c r="M1044" s="78">
        <v>45043.572916666664</v>
      </c>
      <c r="N1044" s="79">
        <v>4.11167296942535E-2</v>
      </c>
      <c r="O1044" s="5">
        <v>60.811216330000001</v>
      </c>
      <c r="P1044" s="2">
        <v>24220</v>
      </c>
      <c r="Q1044" s="7">
        <f t="shared" si="247"/>
        <v>403.66666666666669</v>
      </c>
      <c r="R1044" s="6">
        <f t="shared" si="248"/>
        <v>16.597453219913664</v>
      </c>
      <c r="S1044" s="6">
        <f t="shared" si="254"/>
        <v>146.99680397163283</v>
      </c>
      <c r="T1044" s="2">
        <f t="shared" si="255"/>
        <v>1</v>
      </c>
      <c r="U1044" s="6">
        <f t="shared" si="256"/>
        <v>146.99680397163283</v>
      </c>
      <c r="V1044">
        <f t="shared" si="257"/>
        <v>0.31194411568168451</v>
      </c>
      <c r="W1044" s="6">
        <f t="shared" si="249"/>
        <v>45.854788022964932</v>
      </c>
      <c r="AK1044" s="78">
        <v>45042.572916666664</v>
      </c>
      <c r="AL1044" s="79">
        <v>3.4891205404402298E-2</v>
      </c>
      <c r="AM1044" s="5">
        <v>59.685691249999998</v>
      </c>
      <c r="AN1044" s="2">
        <v>27088</v>
      </c>
      <c r="AO1044" s="7">
        <f t="shared" si="246"/>
        <v>451.46666666666664</v>
      </c>
      <c r="AP1044" s="5">
        <f t="shared" si="250"/>
        <v>15.75221619990749</v>
      </c>
      <c r="AQ1044" s="6">
        <f t="shared" si="251"/>
        <v>143.28205625640928</v>
      </c>
      <c r="AR1044" s="2">
        <f t="shared" si="252"/>
        <v>-2.1301186875174403</v>
      </c>
      <c r="AS1044" s="2">
        <f t="shared" si="253"/>
        <v>-305.2077856177026</v>
      </c>
    </row>
    <row r="1045" spans="13:45" x14ac:dyDescent="0.3">
      <c r="M1045" s="78">
        <v>45043.583333333336</v>
      </c>
      <c r="N1045" s="79">
        <v>3.8913014054462097E-2</v>
      </c>
      <c r="O1045" s="5">
        <v>59.309003199999999</v>
      </c>
      <c r="P1045" s="2">
        <v>23663</v>
      </c>
      <c r="Q1045" s="7">
        <f t="shared" si="247"/>
        <v>394.38333333333333</v>
      </c>
      <c r="R1045" s="6">
        <f t="shared" si="248"/>
        <v>15.346644192845609</v>
      </c>
      <c r="S1045" s="6">
        <f t="shared" si="254"/>
        <v>141.46348945557477</v>
      </c>
      <c r="T1045" s="2">
        <f t="shared" si="255"/>
        <v>1</v>
      </c>
      <c r="U1045" s="6">
        <f t="shared" si="256"/>
        <v>141.46348945557477</v>
      </c>
      <c r="V1045">
        <f t="shared" si="257"/>
        <v>8.298419815784068E-2</v>
      </c>
      <c r="W1045" s="6">
        <f t="shared" si="249"/>
        <v>11.739234241081023</v>
      </c>
      <c r="AK1045" s="78">
        <v>45042.583333333336</v>
      </c>
      <c r="AL1045" s="79">
        <v>3.4876731329106903E-2</v>
      </c>
      <c r="AM1045" s="5">
        <v>58.924071830000003</v>
      </c>
      <c r="AN1045" s="2">
        <v>26807</v>
      </c>
      <c r="AO1045" s="7">
        <f t="shared" si="246"/>
        <v>446.78333333333336</v>
      </c>
      <c r="AP1045" s="5">
        <f t="shared" si="250"/>
        <v>15.582342278989479</v>
      </c>
      <c r="AQ1045" s="6">
        <f t="shared" si="251"/>
        <v>142.52329207463785</v>
      </c>
      <c r="AR1045" s="2">
        <f t="shared" si="252"/>
        <v>-2.1301186875174403</v>
      </c>
      <c r="AS1045" s="2">
        <f t="shared" si="253"/>
        <v>-303.5915278546924</v>
      </c>
    </row>
    <row r="1046" spans="13:45" x14ac:dyDescent="0.3">
      <c r="M1046" s="78">
        <v>45043.59375</v>
      </c>
      <c r="N1046" s="79">
        <v>4.1968495755787198E-2</v>
      </c>
      <c r="O1046" s="5">
        <v>59.309003199999999</v>
      </c>
      <c r="P1046" s="2">
        <v>23191</v>
      </c>
      <c r="Q1046" s="7">
        <f t="shared" si="247"/>
        <v>386.51666666666665</v>
      </c>
      <c r="R1046" s="6">
        <f t="shared" si="248"/>
        <v>16.221523084541015</v>
      </c>
      <c r="S1046" s="6">
        <f t="shared" si="254"/>
        <v>145.3568367736035</v>
      </c>
      <c r="T1046" s="2">
        <f t="shared" si="255"/>
        <v>1</v>
      </c>
      <c r="U1046" s="6">
        <f t="shared" si="256"/>
        <v>145.3568367736035</v>
      </c>
      <c r="V1046">
        <f t="shared" si="257"/>
        <v>0.24313030723691545</v>
      </c>
      <c r="W1046" s="6">
        <f t="shared" si="249"/>
        <v>35.340652383752392</v>
      </c>
      <c r="AK1046" s="78">
        <v>45042.59375</v>
      </c>
      <c r="AL1046" s="79">
        <v>3.6069673640418201E-2</v>
      </c>
      <c r="AM1046" s="5">
        <v>59.685691249999998</v>
      </c>
      <c r="AN1046" s="2">
        <v>26241</v>
      </c>
      <c r="AO1046" s="7">
        <f t="shared" si="246"/>
        <v>437.35</v>
      </c>
      <c r="AP1046" s="5">
        <f t="shared" si="250"/>
        <v>15.7750717666369</v>
      </c>
      <c r="AQ1046" s="6">
        <f t="shared" si="251"/>
        <v>143.38382432878794</v>
      </c>
      <c r="AR1046" s="2">
        <f t="shared" si="252"/>
        <v>-2.1301186875174403</v>
      </c>
      <c r="AS1046" s="2">
        <f t="shared" si="253"/>
        <v>-305.42456369046897</v>
      </c>
    </row>
    <row r="1047" spans="13:45" x14ac:dyDescent="0.3">
      <c r="M1047" s="78">
        <v>45043.604166666664</v>
      </c>
      <c r="N1047" s="79">
        <v>3.9767719870423698E-2</v>
      </c>
      <c r="O1047" s="5">
        <v>58.163333729999998</v>
      </c>
      <c r="P1047" s="2">
        <v>22480</v>
      </c>
      <c r="Q1047" s="7">
        <f t="shared" si="247"/>
        <v>374.66666666666669</v>
      </c>
      <c r="R1047" s="6">
        <f t="shared" si="248"/>
        <v>14.899639044785413</v>
      </c>
      <c r="S1047" s="6">
        <f t="shared" si="254"/>
        <v>139.43049083212932</v>
      </c>
      <c r="T1047" s="2">
        <f t="shared" si="255"/>
        <v>1</v>
      </c>
      <c r="U1047" s="6">
        <f t="shared" si="256"/>
        <v>139.43049083212932</v>
      </c>
      <c r="V1047">
        <f t="shared" si="257"/>
        <v>1.1601469895342797E-3</v>
      </c>
      <c r="W1047" s="6">
        <f t="shared" si="249"/>
        <v>0.16175986418818183</v>
      </c>
      <c r="AK1047" s="78">
        <v>45042.604166666664</v>
      </c>
      <c r="AL1047" s="79">
        <v>4.58237357568081E-2</v>
      </c>
      <c r="AM1047" s="5">
        <v>59.685691249999998</v>
      </c>
      <c r="AN1047" s="2">
        <v>20775</v>
      </c>
      <c r="AO1047" s="7">
        <f t="shared" si="246"/>
        <v>346.25</v>
      </c>
      <c r="AP1047" s="5">
        <f t="shared" si="250"/>
        <v>15.866468505794804</v>
      </c>
      <c r="AQ1047" s="6">
        <f t="shared" si="251"/>
        <v>143.79003283046089</v>
      </c>
      <c r="AR1047" s="2">
        <f t="shared" si="252"/>
        <v>-2.1301186875174403</v>
      </c>
      <c r="AS1047" s="2">
        <f t="shared" si="253"/>
        <v>-306.28983601091102</v>
      </c>
    </row>
    <row r="1048" spans="13:45" x14ac:dyDescent="0.3">
      <c r="M1048" s="78">
        <v>45043.614583333336</v>
      </c>
      <c r="N1048" s="79">
        <v>3.9319482053144998E-2</v>
      </c>
      <c r="O1048" s="5">
        <v>58.156749089999998</v>
      </c>
      <c r="P1048" s="2">
        <v>22392</v>
      </c>
      <c r="Q1048" s="7">
        <f t="shared" si="247"/>
        <v>373.2</v>
      </c>
      <c r="R1048" s="6">
        <f t="shared" si="248"/>
        <v>14.674030702233713</v>
      </c>
      <c r="S1048" s="6">
        <f t="shared" si="254"/>
        <v>138.39259260062059</v>
      </c>
      <c r="T1048" s="2">
        <f t="shared" si="255"/>
        <v>1</v>
      </c>
      <c r="U1048" s="6">
        <f t="shared" si="256"/>
        <v>138.39259260062059</v>
      </c>
      <c r="V1048">
        <f t="shared" si="257"/>
        <v>0</v>
      </c>
      <c r="W1048" s="6">
        <f t="shared" si="249"/>
        <v>0</v>
      </c>
      <c r="AK1048" s="78">
        <v>45042.614583333336</v>
      </c>
      <c r="AL1048" s="79">
        <v>4.7486316195154303E-2</v>
      </c>
      <c r="AM1048" s="5">
        <v>60.811216330000001</v>
      </c>
      <c r="AN1048" s="2">
        <v>22155</v>
      </c>
      <c r="AO1048" s="7">
        <f t="shared" si="246"/>
        <v>369.25</v>
      </c>
      <c r="AP1048" s="5">
        <f t="shared" si="250"/>
        <v>17.534322255060726</v>
      </c>
      <c r="AQ1048" s="6">
        <f t="shared" si="251"/>
        <v>151.0031573583714</v>
      </c>
      <c r="AR1048" s="2">
        <f t="shared" si="252"/>
        <v>-2.1301186875174403</v>
      </c>
      <c r="AS1048" s="2">
        <f t="shared" si="253"/>
        <v>-321.65464736320359</v>
      </c>
    </row>
    <row r="1049" spans="13:45" x14ac:dyDescent="0.3">
      <c r="M1049" s="78">
        <v>45043.625</v>
      </c>
      <c r="N1049" s="79">
        <v>4.4315642655023399E-2</v>
      </c>
      <c r="O1049" s="5">
        <v>60.811216330000001</v>
      </c>
      <c r="P1049" s="2">
        <v>22216</v>
      </c>
      <c r="Q1049" s="7">
        <f t="shared" si="247"/>
        <v>370.26666666666665</v>
      </c>
      <c r="R1049" s="6">
        <f t="shared" si="248"/>
        <v>16.408605287066663</v>
      </c>
      <c r="S1049" s="6">
        <f t="shared" si="254"/>
        <v>146.17536554004232</v>
      </c>
      <c r="T1049" s="2">
        <f t="shared" si="255"/>
        <v>1</v>
      </c>
      <c r="U1049" s="6">
        <f t="shared" si="256"/>
        <v>146.17536554004232</v>
      </c>
      <c r="V1049">
        <f t="shared" si="257"/>
        <v>0.277375603467993</v>
      </c>
      <c r="W1049" s="6">
        <f t="shared" si="249"/>
        <v>40.545480228823706</v>
      </c>
      <c r="AK1049" s="78">
        <v>45042.625</v>
      </c>
      <c r="AL1049" s="79">
        <v>7.7381155196565896E-2</v>
      </c>
      <c r="AM1049" s="5">
        <v>58.924071830000003</v>
      </c>
      <c r="AN1049" s="2">
        <v>15620</v>
      </c>
      <c r="AO1049" s="7">
        <f t="shared" si="246"/>
        <v>260.33333333333331</v>
      </c>
      <c r="AP1049" s="5">
        <f t="shared" si="250"/>
        <v>20.144894069505987</v>
      </c>
      <c r="AQ1049" s="6">
        <f t="shared" si="251"/>
        <v>161.62300877156159</v>
      </c>
      <c r="AR1049" s="2">
        <f t="shared" si="252"/>
        <v>-2.1301186875174403</v>
      </c>
      <c r="AS1049" s="2">
        <f t="shared" si="253"/>
        <v>-344.27619131709849</v>
      </c>
    </row>
    <row r="1050" spans="13:45" x14ac:dyDescent="0.3">
      <c r="M1050" s="78">
        <v>45043.635416666664</v>
      </c>
      <c r="N1050" s="79">
        <v>4.2048355541263599E-2</v>
      </c>
      <c r="O1050" s="5">
        <v>60.060669519999998</v>
      </c>
      <c r="P1050" s="2">
        <v>21218</v>
      </c>
      <c r="Q1050" s="7">
        <f t="shared" si="247"/>
        <v>353.63333333333333</v>
      </c>
      <c r="R1050" s="6">
        <f t="shared" si="248"/>
        <v>14.869700131242183</v>
      </c>
      <c r="S1050" s="6">
        <f t="shared" si="254"/>
        <v>139.29322230422804</v>
      </c>
      <c r="T1050" s="2">
        <f t="shared" si="255"/>
        <v>1</v>
      </c>
      <c r="U1050" s="6">
        <f t="shared" si="256"/>
        <v>139.29322230422804</v>
      </c>
      <c r="V1050">
        <f t="shared" si="257"/>
        <v>0</v>
      </c>
      <c r="W1050" s="6">
        <f t="shared" si="249"/>
        <v>0</v>
      </c>
      <c r="AK1050" s="78">
        <v>45042.635416666664</v>
      </c>
      <c r="AL1050" s="79">
        <v>3.55790504824057E-2</v>
      </c>
      <c r="AM1050" s="5">
        <v>58.924071830000003</v>
      </c>
      <c r="AN1050" s="2">
        <v>26435</v>
      </c>
      <c r="AO1050" s="7">
        <f t="shared" si="246"/>
        <v>440.58333333333331</v>
      </c>
      <c r="AP1050" s="5">
        <f t="shared" si="250"/>
        <v>15.675536658373243</v>
      </c>
      <c r="AQ1050" s="6">
        <f t="shared" si="251"/>
        <v>142.9400766948134</v>
      </c>
      <c r="AR1050" s="2">
        <f t="shared" si="252"/>
        <v>-2.1301186875174403</v>
      </c>
      <c r="AS1050" s="2">
        <f t="shared" si="253"/>
        <v>-304.47932856279817</v>
      </c>
    </row>
    <row r="1051" spans="13:45" x14ac:dyDescent="0.3">
      <c r="M1051" s="78">
        <v>45043.645833333336</v>
      </c>
      <c r="N1051" s="79">
        <v>6.8655574733871794E-2</v>
      </c>
      <c r="O1051" s="5">
        <v>60.060669519999998</v>
      </c>
      <c r="P1051" s="2">
        <v>15289</v>
      </c>
      <c r="Q1051" s="7">
        <f t="shared" si="247"/>
        <v>254.81666666666666</v>
      </c>
      <c r="R1051" s="6">
        <f t="shared" si="248"/>
        <v>17.49458470176943</v>
      </c>
      <c r="S1051" s="6">
        <f t="shared" si="254"/>
        <v>150.83547799674309</v>
      </c>
      <c r="T1051" s="2">
        <f t="shared" si="255"/>
        <v>1</v>
      </c>
      <c r="U1051" s="6">
        <f t="shared" si="256"/>
        <v>150.83547799674309</v>
      </c>
      <c r="V1051">
        <f t="shared" si="257"/>
        <v>0.4761635493831044</v>
      </c>
      <c r="W1051" s="6">
        <f t="shared" si="249"/>
        <v>71.822356575826333</v>
      </c>
      <c r="AK1051" s="78">
        <v>45042.645833333336</v>
      </c>
      <c r="AL1051" s="79">
        <v>4.4263396206633901E-2</v>
      </c>
      <c r="AM1051" s="5">
        <v>60.811216330000001</v>
      </c>
      <c r="AN1051" s="2">
        <v>25724</v>
      </c>
      <c r="AO1051" s="7">
        <f t="shared" si="246"/>
        <v>428.73333333333335</v>
      </c>
      <c r="AP1051" s="5">
        <f t="shared" si="250"/>
        <v>18.977193400324175</v>
      </c>
      <c r="AQ1051" s="6">
        <f t="shared" si="251"/>
        <v>156.96535082970448</v>
      </c>
      <c r="AR1051" s="2">
        <f t="shared" si="252"/>
        <v>-2.1301186875174403</v>
      </c>
      <c r="AS1051" s="2">
        <f t="shared" si="253"/>
        <v>-334.35482709508466</v>
      </c>
    </row>
    <row r="1052" spans="13:45" x14ac:dyDescent="0.3">
      <c r="M1052" s="78">
        <v>45043.65625</v>
      </c>
      <c r="N1052" s="79">
        <v>7.8821615271583698E-2</v>
      </c>
      <c r="O1052" s="5">
        <v>60.440350530000003</v>
      </c>
      <c r="P1052" s="2">
        <v>11594</v>
      </c>
      <c r="Q1052" s="7">
        <f t="shared" si="247"/>
        <v>193.23333333333332</v>
      </c>
      <c r="R1052" s="6">
        <f t="shared" si="248"/>
        <v>15.230963457645689</v>
      </c>
      <c r="S1052" s="6">
        <f t="shared" si="254"/>
        <v>140.94029909474784</v>
      </c>
      <c r="T1052" s="2">
        <f t="shared" si="255"/>
        <v>1</v>
      </c>
      <c r="U1052" s="6">
        <f t="shared" si="256"/>
        <v>140.94029909474784</v>
      </c>
      <c r="V1052">
        <f t="shared" si="257"/>
        <v>6.1808901995679087E-2</v>
      </c>
      <c r="W1052" s="6">
        <f t="shared" si="249"/>
        <v>8.7113651339889682</v>
      </c>
      <c r="AK1052" s="78">
        <v>45042.65625</v>
      </c>
      <c r="AL1052" s="79">
        <v>3.6065424864897298E-2</v>
      </c>
      <c r="AM1052" s="5">
        <v>60.060669519999998</v>
      </c>
      <c r="AN1052" s="2">
        <v>25084</v>
      </c>
      <c r="AO1052" s="7">
        <f t="shared" si="246"/>
        <v>418.06666666666666</v>
      </c>
      <c r="AP1052" s="5">
        <f t="shared" si="250"/>
        <v>15.077751955184731</v>
      </c>
      <c r="AQ1052" s="6">
        <f t="shared" si="251"/>
        <v>140.24423667007343</v>
      </c>
      <c r="AR1052" s="2">
        <f t="shared" si="252"/>
        <v>-2.1301186875174403</v>
      </c>
      <c r="AS1052" s="2">
        <f t="shared" si="253"/>
        <v>-298.7368693475421</v>
      </c>
    </row>
    <row r="1053" spans="13:45" x14ac:dyDescent="0.3">
      <c r="M1053" s="78">
        <v>45043.666666666664</v>
      </c>
      <c r="N1053" s="79">
        <v>7.5549214271239701E-2</v>
      </c>
      <c r="O1053" s="5">
        <v>61.187353479999999</v>
      </c>
      <c r="P1053" s="2">
        <v>11630</v>
      </c>
      <c r="Q1053" s="7">
        <f t="shared" si="247"/>
        <v>193.83333333333334</v>
      </c>
      <c r="R1053" s="6">
        <f t="shared" si="248"/>
        <v>14.64395603290863</v>
      </c>
      <c r="S1053" s="6">
        <f t="shared" si="254"/>
        <v>138.25362240481616</v>
      </c>
      <c r="T1053" s="2">
        <f t="shared" si="255"/>
        <v>1</v>
      </c>
      <c r="U1053" s="6">
        <f t="shared" si="256"/>
        <v>138.25362240481616</v>
      </c>
      <c r="V1053">
        <f t="shared" si="257"/>
        <v>0</v>
      </c>
      <c r="W1053" s="6">
        <f t="shared" si="249"/>
        <v>0</v>
      </c>
      <c r="AK1053" s="78">
        <v>45042.666666666664</v>
      </c>
      <c r="AL1053" s="79">
        <v>3.7292102496857701E-2</v>
      </c>
      <c r="AM1053" s="5">
        <v>61.92162476</v>
      </c>
      <c r="AN1053" s="2">
        <v>24587</v>
      </c>
      <c r="AO1053" s="7">
        <f t="shared" si="246"/>
        <v>409.78333333333336</v>
      </c>
      <c r="AP1053" s="5">
        <f t="shared" si="250"/>
        <v>15.281682068170673</v>
      </c>
      <c r="AQ1053" s="6">
        <f t="shared" si="251"/>
        <v>141.16993338001302</v>
      </c>
      <c r="AR1053" s="2">
        <f t="shared" si="252"/>
        <v>-2.1301186875174403</v>
      </c>
      <c r="AS1053" s="2">
        <f t="shared" si="253"/>
        <v>-300.70871320835784</v>
      </c>
    </row>
    <row r="1054" spans="13:45" x14ac:dyDescent="0.3">
      <c r="M1054" s="78">
        <v>45043.677083333336</v>
      </c>
      <c r="N1054" s="79">
        <v>7.45508698544535E-2</v>
      </c>
      <c r="O1054" s="5">
        <v>59.309003199999999</v>
      </c>
      <c r="P1054" s="2">
        <v>11773</v>
      </c>
      <c r="Q1054" s="7">
        <f t="shared" si="247"/>
        <v>196.21666666666667</v>
      </c>
      <c r="R1054" s="6">
        <f t="shared" si="248"/>
        <v>14.628123179941351</v>
      </c>
      <c r="S1054" s="6">
        <f t="shared" si="254"/>
        <v>138.18040282355398</v>
      </c>
      <c r="T1054" s="2">
        <f t="shared" si="255"/>
        <v>1</v>
      </c>
      <c r="U1054" s="6">
        <f t="shared" si="256"/>
        <v>138.18040282355398</v>
      </c>
      <c r="V1054">
        <f t="shared" si="257"/>
        <v>0</v>
      </c>
      <c r="W1054" s="6">
        <f t="shared" si="249"/>
        <v>0</v>
      </c>
      <c r="AK1054" s="78">
        <v>45042.677083333336</v>
      </c>
      <c r="AL1054" s="79">
        <v>6.6247728089057503E-2</v>
      </c>
      <c r="AM1054" s="5">
        <v>60.060669519999998</v>
      </c>
      <c r="AN1054" s="2">
        <v>23800</v>
      </c>
      <c r="AO1054" s="7">
        <f t="shared" si="246"/>
        <v>396.66666666666669</v>
      </c>
      <c r="AP1054" s="5">
        <f t="shared" si="250"/>
        <v>26.278265475326144</v>
      </c>
      <c r="AQ1054" s="6">
        <f t="shared" si="251"/>
        <v>184.08995629087943</v>
      </c>
      <c r="AR1054" s="2">
        <f t="shared" si="252"/>
        <v>-2.1301186875174403</v>
      </c>
      <c r="AS1054" s="2">
        <f t="shared" si="253"/>
        <v>-392.13345607947105</v>
      </c>
    </row>
    <row r="1055" spans="13:45" x14ac:dyDescent="0.3">
      <c r="M1055" s="78">
        <v>45043.6875</v>
      </c>
      <c r="N1055" s="79">
        <v>7.1431402629496807E-2</v>
      </c>
      <c r="O1055" s="5">
        <v>61.187353479999999</v>
      </c>
      <c r="P1055" s="2">
        <v>12087</v>
      </c>
      <c r="Q1055" s="7">
        <f t="shared" si="247"/>
        <v>201.45</v>
      </c>
      <c r="R1055" s="6">
        <f t="shared" si="248"/>
        <v>14.38985605971213</v>
      </c>
      <c r="S1055" s="6">
        <f t="shared" si="254"/>
        <v>137.07360543468144</v>
      </c>
      <c r="T1055" s="2">
        <f t="shared" si="255"/>
        <v>1</v>
      </c>
      <c r="U1055" s="6">
        <f t="shared" si="256"/>
        <v>137.07360543468144</v>
      </c>
      <c r="V1055">
        <f t="shared" si="257"/>
        <v>0</v>
      </c>
      <c r="W1055" s="6">
        <f t="shared" si="249"/>
        <v>0</v>
      </c>
      <c r="AK1055" s="78">
        <v>45042.6875</v>
      </c>
      <c r="AL1055" s="79">
        <v>3.9520714740563498E-2</v>
      </c>
      <c r="AM1055" s="5">
        <v>57.774288900000002</v>
      </c>
      <c r="AN1055" s="2">
        <v>24478</v>
      </c>
      <c r="AO1055" s="7">
        <f t="shared" si="246"/>
        <v>407.96666666666664</v>
      </c>
      <c r="AP1055" s="5">
        <f t="shared" si="250"/>
        <v>16.123134256991886</v>
      </c>
      <c r="AQ1055" s="6">
        <f t="shared" si="251"/>
        <v>144.92442913089783</v>
      </c>
      <c r="AR1055" s="2">
        <f t="shared" si="252"/>
        <v>-2.1301186875174403</v>
      </c>
      <c r="AS1055" s="2">
        <f t="shared" si="253"/>
        <v>-308.70623476952238</v>
      </c>
    </row>
    <row r="1056" spans="13:45" x14ac:dyDescent="0.3">
      <c r="M1056" s="78">
        <v>45043.697916666664</v>
      </c>
      <c r="N1056" s="79">
        <v>8.3510233176243898E-2</v>
      </c>
      <c r="O1056" s="5">
        <v>63.469872090000003</v>
      </c>
      <c r="P1056" s="2">
        <v>11795</v>
      </c>
      <c r="Q1056" s="7">
        <f t="shared" si="247"/>
        <v>196.58333333333334</v>
      </c>
      <c r="R1056" s="6">
        <f t="shared" si="248"/>
        <v>16.416720005229948</v>
      </c>
      <c r="S1056" s="6">
        <f t="shared" si="254"/>
        <v>146.21076130277407</v>
      </c>
      <c r="T1056" s="2">
        <f t="shared" si="255"/>
        <v>1</v>
      </c>
      <c r="U1056" s="6">
        <f t="shared" si="256"/>
        <v>146.21076130277407</v>
      </c>
      <c r="V1056">
        <f t="shared" si="257"/>
        <v>0.27886099824944088</v>
      </c>
      <c r="W1056" s="6">
        <f t="shared" si="249"/>
        <v>40.772478851702303</v>
      </c>
      <c r="AK1056" s="78">
        <v>45042.697916666664</v>
      </c>
      <c r="AL1056" s="79">
        <v>3.9677314051299699E-2</v>
      </c>
      <c r="AM1056" s="5">
        <v>61.92162476</v>
      </c>
      <c r="AN1056" s="2">
        <v>23880</v>
      </c>
      <c r="AO1056" s="7">
        <f t="shared" si="246"/>
        <v>398</v>
      </c>
      <c r="AP1056" s="5">
        <f t="shared" si="250"/>
        <v>15.791570992417281</v>
      </c>
      <c r="AQ1056" s="6">
        <f t="shared" si="251"/>
        <v>143.45724301929508</v>
      </c>
      <c r="AR1056" s="2">
        <f t="shared" si="252"/>
        <v>-2.1301186875174403</v>
      </c>
      <c r="AS1056" s="2">
        <f t="shared" si="253"/>
        <v>-305.58095421513133</v>
      </c>
    </row>
    <row r="1057" spans="13:45" x14ac:dyDescent="0.3">
      <c r="M1057" s="78">
        <v>45043.708333333336</v>
      </c>
      <c r="N1057" s="79">
        <v>7.4510618509482596E-2</v>
      </c>
      <c r="O1057" s="5">
        <v>63.916046000000001</v>
      </c>
      <c r="P1057" s="2">
        <v>11884</v>
      </c>
      <c r="Q1057" s="7">
        <f t="shared" si="247"/>
        <v>198.06666666666666</v>
      </c>
      <c r="R1057" s="6">
        <f t="shared" si="248"/>
        <v>14.758069839444852</v>
      </c>
      <c r="S1057" s="6">
        <f t="shared" si="254"/>
        <v>138.78015519569141</v>
      </c>
      <c r="T1057" s="2">
        <f t="shared" si="255"/>
        <v>1</v>
      </c>
      <c r="U1057" s="6">
        <f t="shared" si="256"/>
        <v>138.78015519569141</v>
      </c>
      <c r="V1057">
        <f t="shared" si="257"/>
        <v>0</v>
      </c>
      <c r="W1057" s="6">
        <f t="shared" si="249"/>
        <v>0</v>
      </c>
      <c r="AK1057" s="78">
        <v>45042.708333333336</v>
      </c>
      <c r="AL1057" s="79">
        <v>3.6824276127513197E-2</v>
      </c>
      <c r="AM1057" s="5">
        <v>57.774288900000002</v>
      </c>
      <c r="AN1057" s="2">
        <v>24268</v>
      </c>
      <c r="AO1057" s="7">
        <f t="shared" si="246"/>
        <v>404.46666666666664</v>
      </c>
      <c r="AP1057" s="5">
        <f t="shared" si="250"/>
        <v>14.89419221770817</v>
      </c>
      <c r="AQ1057" s="6">
        <f t="shared" si="251"/>
        <v>139.40552786443044</v>
      </c>
      <c r="AR1057" s="2">
        <f t="shared" si="252"/>
        <v>-2.1301186875174403</v>
      </c>
      <c r="AS1057" s="2">
        <f t="shared" si="253"/>
        <v>-296.95032004725653</v>
      </c>
    </row>
    <row r="1058" spans="13:45" x14ac:dyDescent="0.3">
      <c r="M1058" s="78">
        <v>45043.71875</v>
      </c>
      <c r="N1058" s="79">
        <v>7.6314313882356294E-2</v>
      </c>
      <c r="O1058" s="5">
        <v>61.187353479999999</v>
      </c>
      <c r="P1058" s="2">
        <v>12194</v>
      </c>
      <c r="Q1058" s="7">
        <f t="shared" si="247"/>
        <v>203.23333333333332</v>
      </c>
      <c r="R1058" s="6">
        <f t="shared" si="248"/>
        <v>15.509612391357543</v>
      </c>
      <c r="S1058" s="6">
        <f t="shared" si="254"/>
        <v>142.19714443658498</v>
      </c>
      <c r="T1058" s="2">
        <f t="shared" si="255"/>
        <v>1</v>
      </c>
      <c r="U1058" s="6">
        <f t="shared" si="256"/>
        <v>142.19714443658498</v>
      </c>
      <c r="V1058">
        <f t="shared" si="257"/>
        <v>0.11281543896505267</v>
      </c>
      <c r="W1058" s="6">
        <f t="shared" si="249"/>
        <v>16.04203326919033</v>
      </c>
      <c r="AK1058" s="78">
        <v>45042.71875</v>
      </c>
      <c r="AL1058" s="79">
        <v>4.2120804553170098E-2</v>
      </c>
      <c r="AM1058" s="5">
        <v>60.811216330000001</v>
      </c>
      <c r="AN1058" s="2">
        <v>24144</v>
      </c>
      <c r="AO1058" s="7">
        <f t="shared" si="246"/>
        <v>402.4</v>
      </c>
      <c r="AP1058" s="5">
        <f t="shared" si="250"/>
        <v>16.949411752195648</v>
      </c>
      <c r="AQ1058" s="6">
        <f t="shared" si="251"/>
        <v>148.51510105189814</v>
      </c>
      <c r="AR1058" s="2">
        <f t="shared" si="252"/>
        <v>-2.1301186875174403</v>
      </c>
      <c r="AS1058" s="2">
        <f t="shared" si="253"/>
        <v>-316.35479212918926</v>
      </c>
    </row>
    <row r="1059" spans="13:45" x14ac:dyDescent="0.3">
      <c r="M1059" s="78">
        <v>45043.729166666664</v>
      </c>
      <c r="N1059" s="79">
        <v>7.5768054336674703E-2</v>
      </c>
      <c r="O1059" s="5">
        <v>62.292408569999999</v>
      </c>
      <c r="P1059" s="2">
        <v>12012</v>
      </c>
      <c r="Q1059" s="7">
        <f t="shared" si="247"/>
        <v>200.2</v>
      </c>
      <c r="R1059" s="6">
        <f t="shared" si="248"/>
        <v>15.168764478202275</v>
      </c>
      <c r="S1059" s="6">
        <f t="shared" si="254"/>
        <v>140.65815277514284</v>
      </c>
      <c r="T1059" s="2">
        <f t="shared" si="255"/>
        <v>1</v>
      </c>
      <c r="U1059" s="6">
        <f t="shared" si="256"/>
        <v>140.65815277514284</v>
      </c>
      <c r="V1059">
        <f t="shared" si="257"/>
        <v>5.0423412368367282E-2</v>
      </c>
      <c r="W1059" s="6">
        <f t="shared" si="249"/>
        <v>7.0924640403538319</v>
      </c>
      <c r="AK1059" s="78">
        <v>45042.729166666664</v>
      </c>
      <c r="AL1059" s="79">
        <v>4.0839934707677501E-2</v>
      </c>
      <c r="AM1059" s="5">
        <v>58.924071830000003</v>
      </c>
      <c r="AN1059" s="2">
        <v>24569</v>
      </c>
      <c r="AO1059" s="7">
        <f t="shared" si="246"/>
        <v>409.48333333333335</v>
      </c>
      <c r="AP1059" s="5">
        <f t="shared" si="250"/>
        <v>16.723272597215477</v>
      </c>
      <c r="AQ1059" s="6">
        <f t="shared" si="251"/>
        <v>147.54144009773688</v>
      </c>
      <c r="AR1059" s="2">
        <f t="shared" si="252"/>
        <v>-2.1301186875174403</v>
      </c>
      <c r="AS1059" s="2">
        <f t="shared" si="253"/>
        <v>-314.28077873542429</v>
      </c>
    </row>
    <row r="1060" spans="13:45" x14ac:dyDescent="0.3">
      <c r="M1060" s="78">
        <v>45043.739583333336</v>
      </c>
      <c r="N1060" s="79">
        <v>7.1187292271875396E-2</v>
      </c>
      <c r="O1060" s="5">
        <v>62.292408569999999</v>
      </c>
      <c r="P1060" s="2">
        <v>12117</v>
      </c>
      <c r="Q1060" s="7">
        <f t="shared" si="247"/>
        <v>201.95</v>
      </c>
      <c r="R1060" s="6">
        <f t="shared" si="248"/>
        <v>14.376273674305235</v>
      </c>
      <c r="S1060" s="6">
        <f t="shared" si="254"/>
        <v>137.01023186517341</v>
      </c>
      <c r="T1060" s="2">
        <f t="shared" si="255"/>
        <v>1</v>
      </c>
      <c r="U1060" s="6">
        <f t="shared" si="256"/>
        <v>137.01023186517341</v>
      </c>
      <c r="V1060">
        <f t="shared" si="257"/>
        <v>0</v>
      </c>
      <c r="W1060" s="6">
        <f t="shared" si="249"/>
        <v>0</v>
      </c>
      <c r="AK1060" s="78">
        <v>45042.739583333336</v>
      </c>
      <c r="AL1060" s="79">
        <v>3.5817627436505503E-2</v>
      </c>
      <c r="AM1060" s="5">
        <v>57.774288900000002</v>
      </c>
      <c r="AN1060" s="2">
        <v>24723</v>
      </c>
      <c r="AO1060" s="7">
        <f t="shared" ref="AO1060:AO1123" si="258">AN1060/60</f>
        <v>412.05</v>
      </c>
      <c r="AP1060" s="5">
        <f t="shared" si="250"/>
        <v>14.758653385212092</v>
      </c>
      <c r="AQ1060" s="6">
        <f t="shared" si="251"/>
        <v>138.78284238617854</v>
      </c>
      <c r="AR1060" s="2">
        <f t="shared" si="252"/>
        <v>-2.1301186875174403</v>
      </c>
      <c r="AS1060" s="2">
        <f t="shared" si="253"/>
        <v>-295.6239260735864</v>
      </c>
    </row>
    <row r="1061" spans="13:45" x14ac:dyDescent="0.3">
      <c r="M1061" s="78">
        <v>45043.75</v>
      </c>
      <c r="N1061" s="79">
        <v>7.6700269230186802E-2</v>
      </c>
      <c r="O1061" s="5">
        <v>60.440350530000003</v>
      </c>
      <c r="P1061" s="2">
        <v>11821</v>
      </c>
      <c r="Q1061" s="7">
        <f t="shared" si="247"/>
        <v>197.01666666666668</v>
      </c>
      <c r="R1061" s="6">
        <f t="shared" si="248"/>
        <v>15.111231376167304</v>
      </c>
      <c r="S1061" s="6">
        <f t="shared" si="254"/>
        <v>140.39664567488018</v>
      </c>
      <c r="T1061" s="2">
        <f t="shared" si="255"/>
        <v>1</v>
      </c>
      <c r="U1061" s="6">
        <f t="shared" si="256"/>
        <v>140.39664567488018</v>
      </c>
      <c r="V1061">
        <f t="shared" si="257"/>
        <v>3.9892009083170706E-2</v>
      </c>
      <c r="W1061" s="6">
        <f t="shared" si="249"/>
        <v>5.6007042645090195</v>
      </c>
      <c r="AK1061" s="78">
        <v>45042.75</v>
      </c>
      <c r="AL1061" s="79">
        <v>3.66329858514787E-2</v>
      </c>
      <c r="AM1061" s="5">
        <v>56.614200629999999</v>
      </c>
      <c r="AN1061" s="2">
        <v>25221</v>
      </c>
      <c r="AO1061" s="7">
        <f t="shared" si="258"/>
        <v>420.35</v>
      </c>
      <c r="AP1061" s="5">
        <f t="shared" si="250"/>
        <v>15.398675602669073</v>
      </c>
      <c r="AQ1061" s="6">
        <f t="shared" si="251"/>
        <v>141.69815613368638</v>
      </c>
      <c r="AR1061" s="2">
        <f t="shared" si="252"/>
        <v>-2.1301186875174403</v>
      </c>
      <c r="AS1061" s="2">
        <f t="shared" si="253"/>
        <v>-301.83389036712936</v>
      </c>
    </row>
    <row r="1062" spans="13:45" x14ac:dyDescent="0.3">
      <c r="M1062" s="78">
        <v>45043.760416666664</v>
      </c>
      <c r="N1062" s="79">
        <v>8.3827410591563595E-2</v>
      </c>
      <c r="O1062" s="5">
        <v>63.469872090000003</v>
      </c>
      <c r="P1062" s="2">
        <v>11406</v>
      </c>
      <c r="Q1062" s="7">
        <f t="shared" si="247"/>
        <v>190.1</v>
      </c>
      <c r="R1062" s="6">
        <f t="shared" si="248"/>
        <v>15.935590753456239</v>
      </c>
      <c r="S1062" s="6">
        <f t="shared" si="254"/>
        <v>144.09645099621778</v>
      </c>
      <c r="T1062" s="2">
        <f t="shared" si="255"/>
        <v>1</v>
      </c>
      <c r="U1062" s="6">
        <f t="shared" si="256"/>
        <v>144.09645099621778</v>
      </c>
      <c r="V1062">
        <f t="shared" si="257"/>
        <v>0.19079054830822584</v>
      </c>
      <c r="W1062" s="6">
        <f t="shared" si="249"/>
        <v>27.492240894837785</v>
      </c>
      <c r="AK1062" s="78">
        <v>45042.760416666664</v>
      </c>
      <c r="AL1062" s="79">
        <v>3.92019216315697E-2</v>
      </c>
      <c r="AM1062" s="5">
        <v>56.614200629999999</v>
      </c>
      <c r="AN1062" s="2">
        <v>23814</v>
      </c>
      <c r="AO1062" s="7">
        <f t="shared" si="258"/>
        <v>396.9</v>
      </c>
      <c r="AP1062" s="5">
        <f t="shared" si="250"/>
        <v>15.559242695570013</v>
      </c>
      <c r="AQ1062" s="6">
        <f t="shared" si="251"/>
        <v>142.41978936573435</v>
      </c>
      <c r="AR1062" s="2">
        <f t="shared" si="252"/>
        <v>-2.1301186875174403</v>
      </c>
      <c r="AS1062" s="2">
        <f t="shared" si="253"/>
        <v>-303.37105480024832</v>
      </c>
    </row>
    <row r="1063" spans="13:45" x14ac:dyDescent="0.3">
      <c r="M1063" s="78">
        <v>45043.770833333336</v>
      </c>
      <c r="N1063" s="79">
        <v>8.2695176569046999E-2</v>
      </c>
      <c r="O1063" s="5">
        <v>63.015482910000003</v>
      </c>
      <c r="P1063" s="2">
        <v>11303</v>
      </c>
      <c r="Q1063" s="7">
        <f t="shared" si="247"/>
        <v>188.38333333333333</v>
      </c>
      <c r="R1063" s="6">
        <f t="shared" si="248"/>
        <v>15.578393012665636</v>
      </c>
      <c r="S1063" s="6">
        <f t="shared" si="254"/>
        <v>142.50560207929749</v>
      </c>
      <c r="T1063" s="2">
        <f t="shared" si="255"/>
        <v>1</v>
      </c>
      <c r="U1063" s="6">
        <f t="shared" si="256"/>
        <v>142.50560207929749</v>
      </c>
      <c r="V1063">
        <f t="shared" si="257"/>
        <v>0.12540569458453257</v>
      </c>
      <c r="W1063" s="6">
        <f t="shared" si="249"/>
        <v>17.871014010941312</v>
      </c>
      <c r="AK1063" s="78">
        <v>45042.770833333336</v>
      </c>
      <c r="AL1063" s="79">
        <v>3.7193050212774401E-2</v>
      </c>
      <c r="AM1063" s="5">
        <v>58.924071830000003</v>
      </c>
      <c r="AN1063" s="2">
        <v>24435</v>
      </c>
      <c r="AO1063" s="7">
        <f t="shared" si="258"/>
        <v>407.25</v>
      </c>
      <c r="AP1063" s="5">
        <f t="shared" si="250"/>
        <v>15.146869699152374</v>
      </c>
      <c r="AQ1063" s="6">
        <f t="shared" si="251"/>
        <v>140.55869347383293</v>
      </c>
      <c r="AR1063" s="2">
        <f t="shared" si="252"/>
        <v>-2.1301186875174403</v>
      </c>
      <c r="AS1063" s="2">
        <f t="shared" si="253"/>
        <v>-299.40669966164722</v>
      </c>
    </row>
    <row r="1064" spans="13:45" x14ac:dyDescent="0.3">
      <c r="M1064" s="78">
        <v>45043.78125</v>
      </c>
      <c r="N1064" s="79">
        <v>7.7696261912213599E-2</v>
      </c>
      <c r="O1064" s="5">
        <v>64.377553680000005</v>
      </c>
      <c r="P1064" s="2">
        <v>11714</v>
      </c>
      <c r="Q1064" s="7">
        <f t="shared" si="247"/>
        <v>195.23333333333332</v>
      </c>
      <c r="R1064" s="6">
        <f t="shared" si="248"/>
        <v>15.168900200661167</v>
      </c>
      <c r="S1064" s="6">
        <f t="shared" si="254"/>
        <v>140.6587690799187</v>
      </c>
      <c r="T1064" s="2">
        <f t="shared" si="255"/>
        <v>1</v>
      </c>
      <c r="U1064" s="6">
        <f t="shared" si="256"/>
        <v>140.6587690799187</v>
      </c>
      <c r="V1064">
        <f t="shared" si="257"/>
        <v>5.0448256291237503E-2</v>
      </c>
      <c r="W1064" s="6">
        <f t="shared" si="249"/>
        <v>7.0959896321537315</v>
      </c>
      <c r="AK1064" s="78">
        <v>45042.78125</v>
      </c>
      <c r="AL1064" s="79">
        <v>3.7221401072681001E-2</v>
      </c>
      <c r="AM1064" s="5">
        <v>60.811216330000001</v>
      </c>
      <c r="AN1064" s="2">
        <v>24458</v>
      </c>
      <c r="AO1064" s="7">
        <f t="shared" si="258"/>
        <v>407.63333333333333</v>
      </c>
      <c r="AP1064" s="5">
        <f t="shared" si="250"/>
        <v>15.172683790593865</v>
      </c>
      <c r="AQ1064" s="6">
        <f t="shared" si="251"/>
        <v>140.67594892514217</v>
      </c>
      <c r="AR1064" s="2">
        <f t="shared" si="252"/>
        <v>-2.1301186875174403</v>
      </c>
      <c r="AS1064" s="2">
        <f t="shared" si="253"/>
        <v>-299.6564676896943</v>
      </c>
    </row>
    <row r="1065" spans="13:45" x14ac:dyDescent="0.3">
      <c r="M1065" s="78">
        <v>45043.791666666664</v>
      </c>
      <c r="N1065" s="79">
        <v>8.0092261516851906E-2</v>
      </c>
      <c r="O1065" s="5">
        <v>64.377553680000005</v>
      </c>
      <c r="P1065" s="2">
        <v>11649</v>
      </c>
      <c r="Q1065" s="7">
        <f t="shared" si="247"/>
        <v>194.15</v>
      </c>
      <c r="R1065" s="6">
        <f t="shared" si="248"/>
        <v>15.549912573496798</v>
      </c>
      <c r="S1065" s="6">
        <f t="shared" si="254"/>
        <v>142.37796149313226</v>
      </c>
      <c r="T1065" s="2">
        <f t="shared" si="255"/>
        <v>1</v>
      </c>
      <c r="U1065" s="6">
        <f t="shared" si="256"/>
        <v>142.37796149313226</v>
      </c>
      <c r="V1065">
        <f t="shared" si="257"/>
        <v>0.12019236556145599</v>
      </c>
      <c r="W1065" s="6">
        <f t="shared" si="249"/>
        <v>17.112743995677455</v>
      </c>
      <c r="AK1065" s="78">
        <v>45042.791666666664</v>
      </c>
      <c r="AL1065" s="79">
        <v>3.5517560328388799E-2</v>
      </c>
      <c r="AM1065" s="5">
        <v>63.92387093</v>
      </c>
      <c r="AN1065" s="2">
        <v>24228</v>
      </c>
      <c r="AO1065" s="7">
        <f t="shared" si="258"/>
        <v>403.8</v>
      </c>
      <c r="AP1065" s="5">
        <f t="shared" si="250"/>
        <v>14.341990860603397</v>
      </c>
      <c r="AQ1065" s="6">
        <f t="shared" si="251"/>
        <v>136.85013688434589</v>
      </c>
      <c r="AR1065" s="2">
        <f t="shared" si="252"/>
        <v>-2.1301186875174403</v>
      </c>
      <c r="AS1065" s="2">
        <f t="shared" si="253"/>
        <v>-291.50703396666489</v>
      </c>
    </row>
    <row r="1066" spans="13:45" x14ac:dyDescent="0.3">
      <c r="M1066" s="78">
        <v>45043.802083333336</v>
      </c>
      <c r="N1066" s="79">
        <v>8.0488869948494607E-2</v>
      </c>
      <c r="O1066" s="5">
        <v>63.015482910000003</v>
      </c>
      <c r="P1066" s="2">
        <v>11903</v>
      </c>
      <c r="Q1066" s="7">
        <f t="shared" si="247"/>
        <v>198.38333333333333</v>
      </c>
      <c r="R1066" s="6">
        <f t="shared" si="248"/>
        <v>15.96765031661552</v>
      </c>
      <c r="S1066" s="6">
        <f t="shared" si="254"/>
        <v>144.23834043108673</v>
      </c>
      <c r="T1066" s="2">
        <f t="shared" si="255"/>
        <v>1</v>
      </c>
      <c r="U1066" s="6">
        <f t="shared" si="256"/>
        <v>144.23834043108673</v>
      </c>
      <c r="V1066">
        <f t="shared" si="257"/>
        <v>0.19665903404661678</v>
      </c>
      <c r="W1066" s="6">
        <f t="shared" si="249"/>
        <v>28.365772701664586</v>
      </c>
      <c r="AK1066" s="78">
        <v>45042.802083333336</v>
      </c>
      <c r="AL1066" s="79">
        <v>3.8390617555115802E-2</v>
      </c>
      <c r="AM1066" s="5">
        <v>58.930610829999999</v>
      </c>
      <c r="AN1066" s="2">
        <v>24635</v>
      </c>
      <c r="AO1066" s="7">
        <f t="shared" si="258"/>
        <v>410.58333333333331</v>
      </c>
      <c r="AP1066" s="5">
        <f t="shared" si="250"/>
        <v>15.762547724504628</v>
      </c>
      <c r="AQ1066" s="6">
        <f t="shared" si="251"/>
        <v>143.32806835053958</v>
      </c>
      <c r="AR1066" s="2">
        <f t="shared" si="252"/>
        <v>-2.1301186875174403</v>
      </c>
      <c r="AS1066" s="2">
        <f t="shared" si="253"/>
        <v>-305.30579683926135</v>
      </c>
    </row>
    <row r="1067" spans="13:45" x14ac:dyDescent="0.3">
      <c r="M1067" s="78">
        <v>45043.8125</v>
      </c>
      <c r="N1067" s="79">
        <v>7.5181980253838293E-2</v>
      </c>
      <c r="O1067" s="5">
        <v>66.647934039999996</v>
      </c>
      <c r="P1067" s="2">
        <v>11852</v>
      </c>
      <c r="Q1067" s="7">
        <f t="shared" si="247"/>
        <v>197.53333333333333</v>
      </c>
      <c r="R1067" s="6">
        <f t="shared" si="248"/>
        <v>14.850947166141523</v>
      </c>
      <c r="S1067" s="6">
        <f t="shared" si="254"/>
        <v>139.20716898250964</v>
      </c>
      <c r="T1067" s="2">
        <f t="shared" si="255"/>
        <v>1</v>
      </c>
      <c r="U1067" s="6">
        <f t="shared" si="256"/>
        <v>139.20716898250964</v>
      </c>
      <c r="V1067">
        <f t="shared" si="257"/>
        <v>0</v>
      </c>
      <c r="W1067" s="6">
        <f t="shared" si="249"/>
        <v>0</v>
      </c>
      <c r="AK1067" s="78">
        <v>45042.8125</v>
      </c>
      <c r="AL1067" s="79">
        <v>3.6108833567240102E-2</v>
      </c>
      <c r="AM1067" s="5">
        <v>59.685691249999998</v>
      </c>
      <c r="AN1067" s="2">
        <v>24742</v>
      </c>
      <c r="AO1067" s="7">
        <f t="shared" si="258"/>
        <v>412.36666666666667</v>
      </c>
      <c r="AP1067" s="5">
        <f t="shared" si="250"/>
        <v>14.890079335344243</v>
      </c>
      <c r="AQ1067" s="6">
        <f t="shared" si="251"/>
        <v>139.38667531729567</v>
      </c>
      <c r="AR1067" s="2">
        <f t="shared" si="252"/>
        <v>-2.1301186875174403</v>
      </c>
      <c r="AS1067" s="2">
        <f t="shared" si="253"/>
        <v>-296.91016188429745</v>
      </c>
    </row>
    <row r="1068" spans="13:45" x14ac:dyDescent="0.3">
      <c r="M1068" s="78">
        <v>45043.822916666664</v>
      </c>
      <c r="N1068" s="79">
        <v>7.8476795462044405E-2</v>
      </c>
      <c r="O1068" s="5">
        <v>64.377553680000005</v>
      </c>
      <c r="P1068" s="2">
        <v>11429</v>
      </c>
      <c r="Q1068" s="7">
        <f t="shared" si="247"/>
        <v>190.48333333333332</v>
      </c>
      <c r="R1068" s="6">
        <f t="shared" si="248"/>
        <v>14.948521588928424</v>
      </c>
      <c r="S1068" s="6">
        <f t="shared" si="254"/>
        <v>139.65431285504783</v>
      </c>
      <c r="T1068" s="2">
        <f t="shared" si="255"/>
        <v>1</v>
      </c>
      <c r="U1068" s="6">
        <f t="shared" si="256"/>
        <v>139.65431285504783</v>
      </c>
      <c r="V1068">
        <f t="shared" si="257"/>
        <v>1.0108070320063932E-2</v>
      </c>
      <c r="W1068" s="6">
        <f t="shared" si="249"/>
        <v>1.4116356148390319</v>
      </c>
      <c r="AK1068" s="78">
        <v>45042.822916666664</v>
      </c>
      <c r="AL1068" s="79">
        <v>3.7905127867263799E-2</v>
      </c>
      <c r="AM1068" s="5">
        <v>61.92162476</v>
      </c>
      <c r="AN1068" s="2">
        <v>24690</v>
      </c>
      <c r="AO1068" s="7">
        <f t="shared" si="258"/>
        <v>411.5</v>
      </c>
      <c r="AP1068" s="5">
        <f t="shared" si="250"/>
        <v>15.597960117379053</v>
      </c>
      <c r="AQ1068" s="6">
        <f t="shared" si="251"/>
        <v>142.59322683857764</v>
      </c>
      <c r="AR1068" s="2">
        <f t="shared" si="252"/>
        <v>-2.1301186875174403</v>
      </c>
      <c r="AS1068" s="2">
        <f t="shared" si="253"/>
        <v>-303.74049720226765</v>
      </c>
    </row>
    <row r="1069" spans="13:45" x14ac:dyDescent="0.3">
      <c r="M1069" s="78">
        <v>45043.833333333336</v>
      </c>
      <c r="N1069" s="79">
        <v>8.4487881953831903E-2</v>
      </c>
      <c r="O1069" s="5">
        <v>68.016396760000006</v>
      </c>
      <c r="P1069" s="2">
        <v>11941</v>
      </c>
      <c r="Q1069" s="7">
        <f t="shared" si="247"/>
        <v>199.01666666666668</v>
      </c>
      <c r="R1069" s="6">
        <f t="shared" si="248"/>
        <v>16.814496640178447</v>
      </c>
      <c r="S1069" s="6">
        <f t="shared" si="254"/>
        <v>147.93501640264037</v>
      </c>
      <c r="T1069" s="2">
        <f t="shared" si="255"/>
        <v>1</v>
      </c>
      <c r="U1069" s="6">
        <f t="shared" si="256"/>
        <v>147.93501640264037</v>
      </c>
      <c r="V1069">
        <f t="shared" si="257"/>
        <v>0.35167379665416915</v>
      </c>
      <c r="W1069" s="6">
        <f t="shared" si="249"/>
        <v>52.024868876413329</v>
      </c>
      <c r="AK1069" s="78">
        <v>45042.833333333336</v>
      </c>
      <c r="AL1069" s="79">
        <v>4.0972664714017802E-2</v>
      </c>
      <c r="AM1069" s="5">
        <v>63.92387093</v>
      </c>
      <c r="AN1069" s="2">
        <v>25287</v>
      </c>
      <c r="AO1069" s="7">
        <f t="shared" si="258"/>
        <v>421.45</v>
      </c>
      <c r="AP1069" s="5">
        <f t="shared" si="250"/>
        <v>17.267929543722801</v>
      </c>
      <c r="AQ1069" s="6">
        <f t="shared" si="251"/>
        <v>149.87532985250701</v>
      </c>
      <c r="AR1069" s="2">
        <f t="shared" si="252"/>
        <v>-2.1301186875174403</v>
      </c>
      <c r="AS1069" s="2">
        <f t="shared" si="253"/>
        <v>-319.25224091666564</v>
      </c>
    </row>
    <row r="1070" spans="13:45" x14ac:dyDescent="0.3">
      <c r="M1070" s="78">
        <v>45043.84375</v>
      </c>
      <c r="N1070" s="79">
        <v>7.6064982275367996E-2</v>
      </c>
      <c r="O1070" s="5">
        <v>70.271667750000006</v>
      </c>
      <c r="P1070" s="2">
        <v>12091</v>
      </c>
      <c r="Q1070" s="7">
        <f t="shared" si="247"/>
        <v>201.51666666666668</v>
      </c>
      <c r="R1070" s="6">
        <f t="shared" si="248"/>
        <v>15.328361678191241</v>
      </c>
      <c r="S1070" s="6">
        <f t="shared" si="254"/>
        <v>141.38093718092915</v>
      </c>
      <c r="T1070" s="2">
        <f t="shared" si="255"/>
        <v>1</v>
      </c>
      <c r="U1070" s="6">
        <f t="shared" si="256"/>
        <v>141.38093718092915</v>
      </c>
      <c r="V1070">
        <f t="shared" si="257"/>
        <v>7.9637593714791011E-2</v>
      </c>
      <c r="W1070" s="6">
        <f t="shared" si="249"/>
        <v>11.259237634231226</v>
      </c>
      <c r="AK1070" s="78">
        <v>45042.84375</v>
      </c>
      <c r="AL1070" s="79">
        <v>3.7631674854142698E-2</v>
      </c>
      <c r="AM1070" s="5">
        <v>62.654512349999997</v>
      </c>
      <c r="AN1070" s="2">
        <v>25116</v>
      </c>
      <c r="AO1070" s="7">
        <f t="shared" si="258"/>
        <v>418.6</v>
      </c>
      <c r="AP1070" s="5">
        <f t="shared" si="250"/>
        <v>15.752619093944134</v>
      </c>
      <c r="AQ1070" s="6">
        <f t="shared" si="251"/>
        <v>143.28385085883639</v>
      </c>
      <c r="AR1070" s="2">
        <f t="shared" si="252"/>
        <v>-2.1301186875174403</v>
      </c>
      <c r="AS1070" s="2">
        <f t="shared" si="253"/>
        <v>-305.21160833386921</v>
      </c>
    </row>
    <row r="1071" spans="13:45" x14ac:dyDescent="0.3">
      <c r="M1071" s="78">
        <v>45043.854166666664</v>
      </c>
      <c r="N1071" s="79">
        <v>8.2842502154074293E-2</v>
      </c>
      <c r="O1071" s="5">
        <v>67.565551839999998</v>
      </c>
      <c r="P1071" s="2">
        <v>11478</v>
      </c>
      <c r="Q1071" s="7">
        <f t="shared" si="247"/>
        <v>191.3</v>
      </c>
      <c r="R1071" s="6">
        <f t="shared" si="248"/>
        <v>15.847770662074414</v>
      </c>
      <c r="S1071" s="6">
        <f t="shared" si="254"/>
        <v>143.70702849428474</v>
      </c>
      <c r="T1071" s="2">
        <f t="shared" si="255"/>
        <v>1</v>
      </c>
      <c r="U1071" s="6">
        <f t="shared" si="256"/>
        <v>143.70702849428474</v>
      </c>
      <c r="V1071">
        <f t="shared" si="257"/>
        <v>0.17471512796460117</v>
      </c>
      <c r="W1071" s="6">
        <f t="shared" si="249"/>
        <v>25.107791872791545</v>
      </c>
      <c r="AK1071" s="78">
        <v>45042.854166666664</v>
      </c>
      <c r="AL1071" s="79">
        <v>3.5653368274370802E-2</v>
      </c>
      <c r="AM1071" s="5">
        <v>60.811216330000001</v>
      </c>
      <c r="AN1071" s="2">
        <v>25143</v>
      </c>
      <c r="AO1071" s="7">
        <f t="shared" si="258"/>
        <v>419.05</v>
      </c>
      <c r="AP1071" s="5">
        <f t="shared" si="250"/>
        <v>14.940543975375085</v>
      </c>
      <c r="AQ1071" s="6">
        <f t="shared" si="251"/>
        <v>139.61781071254808</v>
      </c>
      <c r="AR1071" s="2">
        <f t="shared" si="252"/>
        <v>-2.1301186875174403</v>
      </c>
      <c r="AS1071" s="2">
        <f t="shared" si="253"/>
        <v>-297.4025077090713</v>
      </c>
    </row>
    <row r="1072" spans="13:45" x14ac:dyDescent="0.3">
      <c r="M1072" s="78">
        <v>45043.864583333336</v>
      </c>
      <c r="N1072" s="79">
        <v>7.5033286311404199E-2</v>
      </c>
      <c r="O1072" s="5">
        <v>67.565551839999998</v>
      </c>
      <c r="P1072" s="2">
        <v>11977</v>
      </c>
      <c r="Q1072" s="7">
        <f t="shared" si="247"/>
        <v>199.61666666666667</v>
      </c>
      <c r="R1072" s="6">
        <f t="shared" si="248"/>
        <v>14.977894502528136</v>
      </c>
      <c r="S1072" s="6">
        <f t="shared" si="254"/>
        <v>139.78862511805892</v>
      </c>
      <c r="T1072" s="2">
        <f t="shared" si="255"/>
        <v>1</v>
      </c>
      <c r="U1072" s="6">
        <f t="shared" si="256"/>
        <v>139.78862511805892</v>
      </c>
      <c r="V1072">
        <f t="shared" si="257"/>
        <v>1.5484766306172373E-2</v>
      </c>
      <c r="W1072" s="6">
        <f t="shared" si="249"/>
        <v>2.1645941922142797</v>
      </c>
      <c r="AK1072" s="78">
        <v>45042.864583333336</v>
      </c>
      <c r="AL1072" s="79">
        <v>3.8180875677129598E-2</v>
      </c>
      <c r="AM1072" s="5">
        <v>61.555361079999997</v>
      </c>
      <c r="AN1072" s="2">
        <v>25123</v>
      </c>
      <c r="AO1072" s="7">
        <f t="shared" si="258"/>
        <v>418.71666666666664</v>
      </c>
      <c r="AP1072" s="5">
        <f t="shared" si="250"/>
        <v>15.986968993942114</v>
      </c>
      <c r="AQ1072" s="6">
        <f t="shared" si="251"/>
        <v>144.32377097904987</v>
      </c>
      <c r="AR1072" s="2">
        <f t="shared" si="252"/>
        <v>-2.1301186875174403</v>
      </c>
      <c r="AS1072" s="2">
        <f t="shared" si="253"/>
        <v>-307.42676161546132</v>
      </c>
    </row>
    <row r="1073" spans="13:45" x14ac:dyDescent="0.3">
      <c r="M1073" s="78">
        <v>45043.875</v>
      </c>
      <c r="N1073" s="79">
        <v>7.6942471888355193E-2</v>
      </c>
      <c r="O1073" s="5">
        <v>70.279402750000003</v>
      </c>
      <c r="P1073" s="2">
        <v>11645</v>
      </c>
      <c r="Q1073" s="7">
        <f t="shared" si="247"/>
        <v>194.08333333333334</v>
      </c>
      <c r="R1073" s="6">
        <f t="shared" si="248"/>
        <v>14.933251418998271</v>
      </c>
      <c r="S1073" s="6">
        <f t="shared" si="254"/>
        <v>139.58443439568504</v>
      </c>
      <c r="T1073" s="2">
        <f t="shared" si="255"/>
        <v>1</v>
      </c>
      <c r="U1073" s="6">
        <f t="shared" si="256"/>
        <v>139.58443439568504</v>
      </c>
      <c r="V1073">
        <f t="shared" si="257"/>
        <v>7.3128739534545455E-3</v>
      </c>
      <c r="W1073" s="6">
        <f t="shared" si="249"/>
        <v>1.0207633745998899</v>
      </c>
      <c r="AK1073" s="78">
        <v>45042.875</v>
      </c>
      <c r="AL1073" s="79">
        <v>3.5134445665799603E-2</v>
      </c>
      <c r="AM1073" s="5">
        <v>63.469872090000003</v>
      </c>
      <c r="AN1073" s="2">
        <v>25278</v>
      </c>
      <c r="AO1073" s="7">
        <f t="shared" si="258"/>
        <v>421.3</v>
      </c>
      <c r="AP1073" s="5">
        <f t="shared" si="250"/>
        <v>14.802141959001373</v>
      </c>
      <c r="AQ1073" s="6">
        <f t="shared" si="251"/>
        <v>138.98295209317439</v>
      </c>
      <c r="AR1073" s="2">
        <f t="shared" si="252"/>
        <v>-2.1301186875174403</v>
      </c>
      <c r="AS1073" s="2">
        <f t="shared" si="253"/>
        <v>-296.05018350001188</v>
      </c>
    </row>
    <row r="1074" spans="13:45" x14ac:dyDescent="0.3">
      <c r="M1074" s="78">
        <v>45043.885416666664</v>
      </c>
      <c r="N1074" s="79">
        <v>8.0291856822179403E-2</v>
      </c>
      <c r="O1074" s="5">
        <v>70.279402750000003</v>
      </c>
      <c r="P1074" s="2">
        <v>12108</v>
      </c>
      <c r="Q1074" s="7">
        <f t="shared" si="247"/>
        <v>201.8</v>
      </c>
      <c r="R1074" s="6">
        <f t="shared" si="248"/>
        <v>16.202896706715805</v>
      </c>
      <c r="S1074" s="6">
        <f t="shared" si="254"/>
        <v>145.27507889023352</v>
      </c>
      <c r="T1074" s="2">
        <f t="shared" si="255"/>
        <v>1</v>
      </c>
      <c r="U1074" s="6">
        <f t="shared" si="256"/>
        <v>145.27507889023352</v>
      </c>
      <c r="V1074">
        <f t="shared" si="257"/>
        <v>0.23972075882597638</v>
      </c>
      <c r="W1074" s="6">
        <f t="shared" si="249"/>
        <v>34.825452150070362</v>
      </c>
      <c r="AK1074" s="78">
        <v>45042.885416666664</v>
      </c>
      <c r="AL1074" s="79">
        <v>3.81121170378858E-2</v>
      </c>
      <c r="AM1074" s="5">
        <v>61.555361079999997</v>
      </c>
      <c r="AN1074" s="2">
        <v>26280</v>
      </c>
      <c r="AO1074" s="7">
        <f t="shared" si="258"/>
        <v>438</v>
      </c>
      <c r="AP1074" s="5">
        <f t="shared" si="250"/>
        <v>16.69310726259398</v>
      </c>
      <c r="AQ1074" s="6">
        <f t="shared" si="251"/>
        <v>147.4110540819236</v>
      </c>
      <c r="AR1074" s="2">
        <f t="shared" si="252"/>
        <v>-2.1301186875174403</v>
      </c>
      <c r="AS1074" s="2">
        <f t="shared" si="253"/>
        <v>-314.00304104654947</v>
      </c>
    </row>
    <row r="1075" spans="13:45" x14ac:dyDescent="0.3">
      <c r="M1075" s="78">
        <v>45043.895833333336</v>
      </c>
      <c r="N1075" s="79">
        <v>7.6150805434096802E-2</v>
      </c>
      <c r="O1075" s="5">
        <v>67.565551839999998</v>
      </c>
      <c r="P1075" s="2">
        <v>12040</v>
      </c>
      <c r="Q1075" s="7">
        <f t="shared" si="247"/>
        <v>200.66666666666666</v>
      </c>
      <c r="R1075" s="6">
        <f t="shared" si="248"/>
        <v>15.280928290442091</v>
      </c>
      <c r="S1075" s="6">
        <f t="shared" si="254"/>
        <v>141.16652341501558</v>
      </c>
      <c r="T1075" s="2">
        <f t="shared" si="255"/>
        <v>1</v>
      </c>
      <c r="U1075" s="6">
        <f t="shared" si="256"/>
        <v>141.16652341501558</v>
      </c>
      <c r="V1075">
        <f t="shared" si="257"/>
        <v>7.0954937680257138E-2</v>
      </c>
      <c r="W1075" s="6">
        <f t="shared" si="249"/>
        <v>10.016461871450991</v>
      </c>
      <c r="AK1075" s="78">
        <v>45042.895833333336</v>
      </c>
      <c r="AL1075" s="79">
        <v>3.6264450082943801E-2</v>
      </c>
      <c r="AM1075" s="5">
        <v>60.440350530000003</v>
      </c>
      <c r="AN1075" s="2">
        <v>25910</v>
      </c>
      <c r="AO1075" s="7">
        <f t="shared" si="258"/>
        <v>431.83333333333331</v>
      </c>
      <c r="AP1075" s="5">
        <f t="shared" si="250"/>
        <v>15.660198360817898</v>
      </c>
      <c r="AQ1075" s="6">
        <f t="shared" si="251"/>
        <v>142.87156774319885</v>
      </c>
      <c r="AR1075" s="2">
        <f t="shared" si="252"/>
        <v>-2.1301186875174403</v>
      </c>
      <c r="AS1075" s="2">
        <f t="shared" si="253"/>
        <v>-304.3333963647018</v>
      </c>
    </row>
    <row r="1076" spans="13:45" x14ac:dyDescent="0.3">
      <c r="M1076" s="78">
        <v>45043.90625</v>
      </c>
      <c r="N1076" s="79">
        <v>8.1517953901907206E-2</v>
      </c>
      <c r="O1076" s="5">
        <v>68.016396760000006</v>
      </c>
      <c r="P1076" s="2">
        <v>11525</v>
      </c>
      <c r="Q1076" s="7">
        <f t="shared" si="247"/>
        <v>192.08333333333334</v>
      </c>
      <c r="R1076" s="6">
        <f t="shared" si="248"/>
        <v>15.658240311991344</v>
      </c>
      <c r="S1076" s="6">
        <f t="shared" si="254"/>
        <v>142.86281959707733</v>
      </c>
      <c r="T1076" s="2">
        <f t="shared" si="255"/>
        <v>1</v>
      </c>
      <c r="U1076" s="6">
        <f t="shared" si="256"/>
        <v>142.86281959707733</v>
      </c>
      <c r="V1076">
        <f t="shared" si="257"/>
        <v>0.14002169964404923</v>
      </c>
      <c r="W1076" s="6">
        <f t="shared" si="249"/>
        <v>20.003894815923953</v>
      </c>
      <c r="AK1076" s="78">
        <v>45042.90625</v>
      </c>
      <c r="AL1076" s="79">
        <v>3.7315982472475799E-2</v>
      </c>
      <c r="AM1076" s="5">
        <v>62.654512349999997</v>
      </c>
      <c r="AN1076" s="2">
        <v>25799</v>
      </c>
      <c r="AO1076" s="7">
        <f t="shared" si="258"/>
        <v>429.98333333333335</v>
      </c>
      <c r="AP1076" s="5">
        <f t="shared" si="250"/>
        <v>16.045250530123386</v>
      </c>
      <c r="AQ1076" s="6">
        <f t="shared" si="251"/>
        <v>144.58118335074508</v>
      </c>
      <c r="AR1076" s="2">
        <f t="shared" si="252"/>
        <v>-2.1301186875174403</v>
      </c>
      <c r="AS1076" s="2">
        <f t="shared" si="253"/>
        <v>-307.97508051880749</v>
      </c>
    </row>
    <row r="1077" spans="13:45" x14ac:dyDescent="0.3">
      <c r="M1077" s="78">
        <v>45043.916666666664</v>
      </c>
      <c r="N1077" s="79">
        <v>7.89530630295458E-2</v>
      </c>
      <c r="O1077" s="5">
        <v>66.655723199999997</v>
      </c>
      <c r="P1077" s="2">
        <v>12119</v>
      </c>
      <c r="Q1077" s="7">
        <f t="shared" si="247"/>
        <v>201.98333333333332</v>
      </c>
      <c r="R1077" s="6">
        <f t="shared" si="248"/>
        <v>15.947202847584425</v>
      </c>
      <c r="S1077" s="6">
        <f t="shared" si="254"/>
        <v>144.14786069319777</v>
      </c>
      <c r="T1077" s="2">
        <f t="shared" si="255"/>
        <v>1</v>
      </c>
      <c r="U1077" s="6">
        <f t="shared" si="256"/>
        <v>144.14786069319777</v>
      </c>
      <c r="V1077">
        <f t="shared" si="257"/>
        <v>0.19291613587302028</v>
      </c>
      <c r="W1077" s="6">
        <f t="shared" si="249"/>
        <v>27.80844827929414</v>
      </c>
      <c r="AK1077" s="78">
        <v>45042.916666666664</v>
      </c>
      <c r="AL1077" s="79">
        <v>3.5579572559259698E-2</v>
      </c>
      <c r="AM1077" s="5">
        <v>60.811216330000001</v>
      </c>
      <c r="AN1077" s="2">
        <v>26274</v>
      </c>
      <c r="AO1077" s="7">
        <f t="shared" si="258"/>
        <v>437.9</v>
      </c>
      <c r="AP1077" s="5">
        <f t="shared" si="250"/>
        <v>15.580294823699822</v>
      </c>
      <c r="AQ1077" s="6">
        <f t="shared" si="251"/>
        <v>142.51412116958522</v>
      </c>
      <c r="AR1077" s="2">
        <f t="shared" si="252"/>
        <v>-2.1301186875174403</v>
      </c>
      <c r="AS1077" s="2">
        <f t="shared" si="253"/>
        <v>-303.57199273845833</v>
      </c>
    </row>
    <row r="1078" spans="13:45" x14ac:dyDescent="0.3">
      <c r="M1078" s="78">
        <v>45043.927083333336</v>
      </c>
      <c r="N1078" s="79">
        <v>8.0301107895747306E-2</v>
      </c>
      <c r="O1078" s="5">
        <v>65.290959470000004</v>
      </c>
      <c r="P1078" s="2">
        <v>12264</v>
      </c>
      <c r="Q1078" s="7">
        <f t="shared" si="247"/>
        <v>204.4</v>
      </c>
      <c r="R1078" s="6">
        <f t="shared" si="248"/>
        <v>16.413546453890749</v>
      </c>
      <c r="S1078" s="6">
        <f t="shared" si="254"/>
        <v>146.19691958460925</v>
      </c>
      <c r="T1078" s="2">
        <f t="shared" si="255"/>
        <v>1</v>
      </c>
      <c r="U1078" s="6">
        <f t="shared" si="256"/>
        <v>146.19691958460925</v>
      </c>
      <c r="V1078">
        <f t="shared" si="257"/>
        <v>0.27828008138910787</v>
      </c>
      <c r="W1078" s="6">
        <f t="shared" si="249"/>
        <v>40.68369068084192</v>
      </c>
      <c r="AK1078" s="78">
        <v>45042.927083333336</v>
      </c>
      <c r="AL1078" s="79">
        <v>3.7990020858474298E-2</v>
      </c>
      <c r="AM1078" s="5">
        <v>59.685691249999998</v>
      </c>
      <c r="AN1078" s="2">
        <v>25931</v>
      </c>
      <c r="AO1078" s="7">
        <f t="shared" si="258"/>
        <v>432.18333333333334</v>
      </c>
      <c r="AP1078" s="5">
        <f t="shared" si="250"/>
        <v>16.418653848018284</v>
      </c>
      <c r="AQ1078" s="6">
        <f t="shared" si="251"/>
        <v>146.21919525553116</v>
      </c>
      <c r="AR1078" s="2">
        <f t="shared" si="252"/>
        <v>-2.1301186875174403</v>
      </c>
      <c r="AS1078" s="2">
        <f t="shared" si="253"/>
        <v>-311.46424028756837</v>
      </c>
    </row>
    <row r="1079" spans="13:45" x14ac:dyDescent="0.3">
      <c r="M1079" s="78">
        <v>45043.9375</v>
      </c>
      <c r="N1079" s="79">
        <v>8.0036927417647605E-2</v>
      </c>
      <c r="O1079" s="5">
        <v>65.283151739999994</v>
      </c>
      <c r="P1079" s="2">
        <v>12582</v>
      </c>
      <c r="Q1079" s="7">
        <f t="shared" si="247"/>
        <v>209.7</v>
      </c>
      <c r="R1079" s="6">
        <f t="shared" si="248"/>
        <v>16.7837436794807</v>
      </c>
      <c r="S1079" s="6">
        <f t="shared" si="254"/>
        <v>147.80245809309886</v>
      </c>
      <c r="T1079" s="2">
        <f t="shared" si="255"/>
        <v>1</v>
      </c>
      <c r="U1079" s="6">
        <f t="shared" si="256"/>
        <v>147.80245809309886</v>
      </c>
      <c r="V1079">
        <f t="shared" si="257"/>
        <v>0.34604448379137753</v>
      </c>
      <c r="W1079" s="6">
        <f t="shared" si="249"/>
        <v>51.146225313923104</v>
      </c>
      <c r="AK1079" s="78">
        <v>45042.9375</v>
      </c>
      <c r="AL1079" s="79">
        <v>3.6830718041260098E-2</v>
      </c>
      <c r="AM1079" s="5">
        <v>59.309003199999999</v>
      </c>
      <c r="AN1079" s="2">
        <v>25855</v>
      </c>
      <c r="AO1079" s="7">
        <f t="shared" si="258"/>
        <v>430.91666666666669</v>
      </c>
      <c r="AP1079" s="5">
        <f t="shared" si="250"/>
        <v>15.870970249279665</v>
      </c>
      <c r="AQ1079" s="6">
        <f t="shared" si="251"/>
        <v>143.81000972243268</v>
      </c>
      <c r="AR1079" s="2">
        <f t="shared" si="252"/>
        <v>-2.1301186875174403</v>
      </c>
      <c r="AS1079" s="2">
        <f t="shared" si="253"/>
        <v>-306.33238916181864</v>
      </c>
    </row>
    <row r="1080" spans="13:45" x14ac:dyDescent="0.3">
      <c r="M1080" s="78">
        <v>45043.947916666664</v>
      </c>
      <c r="N1080" s="79">
        <v>7.7159516621298593E-2</v>
      </c>
      <c r="O1080" s="5">
        <v>66.655723199999997</v>
      </c>
      <c r="P1080" s="2">
        <v>12088</v>
      </c>
      <c r="Q1080" s="7">
        <f t="shared" si="247"/>
        <v>201.46666666666667</v>
      </c>
      <c r="R1080" s="6">
        <f t="shared" si="248"/>
        <v>15.54507061530429</v>
      </c>
      <c r="S1080" s="6">
        <f t="shared" si="254"/>
        <v>142.35624946132444</v>
      </c>
      <c r="T1080" s="2">
        <f t="shared" si="255"/>
        <v>1</v>
      </c>
      <c r="U1080" s="6">
        <f t="shared" si="256"/>
        <v>142.35624946132444</v>
      </c>
      <c r="V1080">
        <f t="shared" si="257"/>
        <v>0.11930604772682296</v>
      </c>
      <c r="W1080" s="6">
        <f t="shared" si="249"/>
        <v>16.983961492444291</v>
      </c>
      <c r="AK1080" s="78">
        <v>45042.947916666664</v>
      </c>
      <c r="AL1080" s="79">
        <v>3.6338449723717102E-2</v>
      </c>
      <c r="AM1080" s="5">
        <v>61.555361079999997</v>
      </c>
      <c r="AN1080" s="2">
        <v>26470</v>
      </c>
      <c r="AO1080" s="7">
        <f t="shared" si="258"/>
        <v>441.16666666666669</v>
      </c>
      <c r="AP1080" s="5">
        <f t="shared" si="250"/>
        <v>16.03131273644653</v>
      </c>
      <c r="AQ1080" s="6">
        <f t="shared" si="251"/>
        <v>144.51966768972278</v>
      </c>
      <c r="AR1080" s="2">
        <f t="shared" si="252"/>
        <v>-2.1301186875174403</v>
      </c>
      <c r="AS1080" s="2">
        <f t="shared" si="253"/>
        <v>-307.84404485968889</v>
      </c>
    </row>
    <row r="1081" spans="13:45" x14ac:dyDescent="0.3">
      <c r="M1081" s="78">
        <v>45043.958333333336</v>
      </c>
      <c r="N1081" s="79">
        <v>7.6773144689903303E-2</v>
      </c>
      <c r="O1081" s="5">
        <v>65.283151739999994</v>
      </c>
      <c r="P1081" s="2">
        <v>12476</v>
      </c>
      <c r="Q1081" s="7">
        <f t="shared" si="247"/>
        <v>207.93333333333334</v>
      </c>
      <c r="R1081" s="6">
        <f t="shared" si="248"/>
        <v>15.963695885853893</v>
      </c>
      <c r="S1081" s="6">
        <f t="shared" si="254"/>
        <v>144.2208467490521</v>
      </c>
      <c r="T1081" s="2">
        <f t="shared" si="255"/>
        <v>1</v>
      </c>
      <c r="U1081" s="6">
        <f t="shared" si="256"/>
        <v>144.2208467490521</v>
      </c>
      <c r="V1081">
        <f t="shared" si="257"/>
        <v>0.19593517762933596</v>
      </c>
      <c r="W1081" s="6">
        <f t="shared" si="249"/>
        <v>28.257937225628762</v>
      </c>
      <c r="AK1081" s="78">
        <v>45042.958333333336</v>
      </c>
      <c r="AL1081" s="79">
        <v>3.60249707355371E-2</v>
      </c>
      <c r="AM1081" s="5">
        <v>61.555361079999997</v>
      </c>
      <c r="AN1081" s="2">
        <v>26265</v>
      </c>
      <c r="AO1081" s="7">
        <f t="shared" si="258"/>
        <v>437.75</v>
      </c>
      <c r="AP1081" s="5">
        <f t="shared" si="250"/>
        <v>15.769930939481366</v>
      </c>
      <c r="AQ1081" s="6">
        <f t="shared" si="251"/>
        <v>143.36094053434925</v>
      </c>
      <c r="AR1081" s="2">
        <f t="shared" si="252"/>
        <v>-2.1301186875174403</v>
      </c>
      <c r="AS1081" s="2">
        <f t="shared" si="253"/>
        <v>-305.37581849229383</v>
      </c>
    </row>
    <row r="1082" spans="13:45" x14ac:dyDescent="0.3">
      <c r="M1082" s="78">
        <v>45043.96875</v>
      </c>
      <c r="N1082" s="79">
        <v>7.4762829106415504E-2</v>
      </c>
      <c r="O1082" s="5">
        <v>70.271667750000006</v>
      </c>
      <c r="P1082" s="2">
        <v>12296</v>
      </c>
      <c r="Q1082" s="7">
        <f t="shared" si="247"/>
        <v>204.93333333333334</v>
      </c>
      <c r="R1082" s="6">
        <f t="shared" si="248"/>
        <v>15.321395778208084</v>
      </c>
      <c r="S1082" s="6">
        <f t="shared" si="254"/>
        <v>141.34947036343027</v>
      </c>
      <c r="T1082" s="2">
        <f t="shared" si="255"/>
        <v>1</v>
      </c>
      <c r="U1082" s="6">
        <f t="shared" si="256"/>
        <v>141.34947036343027</v>
      </c>
      <c r="V1082">
        <f t="shared" si="257"/>
        <v>7.8362489481364095E-2</v>
      </c>
      <c r="W1082" s="6">
        <f t="shared" si="249"/>
        <v>11.076496384550691</v>
      </c>
      <c r="AK1082" s="78">
        <v>45042.96875</v>
      </c>
      <c r="AL1082" s="79">
        <v>3.4465555856067497E-2</v>
      </c>
      <c r="AM1082" s="5">
        <v>60.811216330000001</v>
      </c>
      <c r="AN1082" s="2">
        <v>26571</v>
      </c>
      <c r="AO1082" s="7">
        <f t="shared" si="258"/>
        <v>442.85</v>
      </c>
      <c r="AP1082" s="5">
        <f t="shared" si="250"/>
        <v>15.263071410859492</v>
      </c>
      <c r="AQ1082" s="6">
        <f t="shared" si="251"/>
        <v>141.08571674646467</v>
      </c>
      <c r="AR1082" s="2">
        <f t="shared" si="252"/>
        <v>-2.1301186875174403</v>
      </c>
      <c r="AS1082" s="2">
        <f t="shared" si="253"/>
        <v>-300.52932178343667</v>
      </c>
    </row>
    <row r="1083" spans="13:45" x14ac:dyDescent="0.3">
      <c r="M1083" s="78">
        <v>45043.979166666664</v>
      </c>
      <c r="N1083" s="79">
        <v>7.5550987451788607E-2</v>
      </c>
      <c r="O1083" s="5">
        <v>67.557775419999999</v>
      </c>
      <c r="P1083" s="2">
        <v>11972</v>
      </c>
      <c r="Q1083" s="7">
        <f t="shared" si="247"/>
        <v>199.53333333333333</v>
      </c>
      <c r="R1083" s="6">
        <f t="shared" si="248"/>
        <v>15.07494036288022</v>
      </c>
      <c r="S1083" s="6">
        <f t="shared" si="254"/>
        <v>140.23142954817754</v>
      </c>
      <c r="T1083" s="2">
        <f t="shared" si="255"/>
        <v>1</v>
      </c>
      <c r="U1083" s="6">
        <f t="shared" si="256"/>
        <v>140.23142954817754</v>
      </c>
      <c r="V1083">
        <f t="shared" si="257"/>
        <v>3.3248958681987982E-2</v>
      </c>
      <c r="W1083" s="6">
        <f t="shared" si="249"/>
        <v>4.6625490069634639</v>
      </c>
      <c r="AK1083" s="78">
        <v>45042.979166666664</v>
      </c>
      <c r="AL1083" s="79">
        <v>3.5469098614653298E-2</v>
      </c>
      <c r="AM1083" s="5">
        <v>63.469872090000003</v>
      </c>
      <c r="AN1083" s="2">
        <v>26500</v>
      </c>
      <c r="AO1083" s="7">
        <f t="shared" si="258"/>
        <v>441.66666666666669</v>
      </c>
      <c r="AP1083" s="5">
        <f t="shared" si="250"/>
        <v>15.665518554805207</v>
      </c>
      <c r="AQ1083" s="6">
        <f t="shared" si="251"/>
        <v>142.89533442124898</v>
      </c>
      <c r="AR1083" s="2">
        <f t="shared" si="252"/>
        <v>-2.1301186875174403</v>
      </c>
      <c r="AS1083" s="2">
        <f t="shared" si="253"/>
        <v>-304.38402220975655</v>
      </c>
    </row>
    <row r="1084" spans="13:45" x14ac:dyDescent="0.3">
      <c r="M1084" s="78">
        <v>45043.989583333336</v>
      </c>
      <c r="N1084" s="79">
        <v>7.5632491711171798E-2</v>
      </c>
      <c r="O1084" s="5">
        <v>68.008627450000006</v>
      </c>
      <c r="P1084" s="2">
        <v>12153</v>
      </c>
      <c r="Q1084" s="7">
        <f t="shared" si="247"/>
        <v>202.55</v>
      </c>
      <c r="R1084" s="6">
        <f t="shared" si="248"/>
        <v>15.319361196097848</v>
      </c>
      <c r="S1084" s="6">
        <f t="shared" si="254"/>
        <v>141.34027823898396</v>
      </c>
      <c r="T1084" s="2">
        <f t="shared" si="255"/>
        <v>1</v>
      </c>
      <c r="U1084" s="6">
        <f t="shared" si="256"/>
        <v>141.34027823898396</v>
      </c>
      <c r="V1084">
        <f t="shared" si="257"/>
        <v>7.799006032385554E-2</v>
      </c>
      <c r="W1084" s="6">
        <f t="shared" si="249"/>
        <v>11.023136826048885</v>
      </c>
      <c r="AK1084" s="78">
        <v>45042.989583333336</v>
      </c>
      <c r="AL1084" s="79">
        <v>3.5161300787299801E-2</v>
      </c>
      <c r="AM1084" s="5">
        <v>61.555361079999997</v>
      </c>
      <c r="AN1084" s="2">
        <v>26404</v>
      </c>
      <c r="AO1084" s="7">
        <f t="shared" si="258"/>
        <v>440.06666666666666</v>
      </c>
      <c r="AP1084" s="5">
        <f t="shared" si="250"/>
        <v>15.473316433131066</v>
      </c>
      <c r="AQ1084" s="6">
        <f t="shared" si="251"/>
        <v>142.03408803630623</v>
      </c>
      <c r="AR1084" s="2">
        <f t="shared" si="252"/>
        <v>-2.1301186875174403</v>
      </c>
      <c r="AS1084" s="2">
        <f t="shared" si="253"/>
        <v>-302.54946519063321</v>
      </c>
    </row>
    <row r="1085" spans="13:45" x14ac:dyDescent="0.3">
      <c r="M1085" s="78">
        <v>45044</v>
      </c>
      <c r="N1085" s="79">
        <v>7.40367632232172E-2</v>
      </c>
      <c r="O1085" s="5">
        <v>66.647934039999996</v>
      </c>
      <c r="P1085" s="2">
        <v>12488</v>
      </c>
      <c r="Q1085" s="7">
        <f t="shared" si="247"/>
        <v>208.13333333333333</v>
      </c>
      <c r="R1085" s="6">
        <f t="shared" si="248"/>
        <v>15.40951831885894</v>
      </c>
      <c r="S1085" s="6">
        <f t="shared" si="254"/>
        <v>141.74700685926663</v>
      </c>
      <c r="T1085" s="2">
        <f t="shared" si="255"/>
        <v>1</v>
      </c>
      <c r="U1085" s="6">
        <f t="shared" si="256"/>
        <v>141.74700685926663</v>
      </c>
      <c r="V1085">
        <f t="shared" si="257"/>
        <v>9.4493273000496605E-2</v>
      </c>
      <c r="W1085" s="6">
        <f t="shared" si="249"/>
        <v>13.394138616155947</v>
      </c>
      <c r="AK1085" s="78">
        <v>45043</v>
      </c>
      <c r="AL1085" s="79">
        <v>3.3713926496019002E-2</v>
      </c>
      <c r="AM1085" s="5">
        <v>61.555361079999997</v>
      </c>
      <c r="AN1085" s="2">
        <v>27236</v>
      </c>
      <c r="AO1085" s="7">
        <f t="shared" si="258"/>
        <v>453.93333333333334</v>
      </c>
      <c r="AP1085" s="5">
        <f t="shared" si="250"/>
        <v>15.303875034092892</v>
      </c>
      <c r="AQ1085" s="6">
        <f t="shared" si="251"/>
        <v>141.27029222688066</v>
      </c>
      <c r="AR1085" s="2">
        <f t="shared" si="252"/>
        <v>-2.1301186875174403</v>
      </c>
      <c r="AS1085" s="2">
        <f t="shared" si="253"/>
        <v>-300.92248946352828</v>
      </c>
    </row>
    <row r="1086" spans="13:45" x14ac:dyDescent="0.3">
      <c r="M1086" s="78">
        <v>45044.010416666664</v>
      </c>
      <c r="N1086" s="79">
        <v>7.74697236406902E-2</v>
      </c>
      <c r="O1086" s="5">
        <v>69.36581735</v>
      </c>
      <c r="P1086" s="2">
        <v>11874</v>
      </c>
      <c r="Q1086" s="7">
        <f t="shared" si="247"/>
        <v>197.9</v>
      </c>
      <c r="R1086" s="6">
        <f t="shared" si="248"/>
        <v>15.331258308492592</v>
      </c>
      <c r="S1086" s="6">
        <f t="shared" si="254"/>
        <v>141.39401988000307</v>
      </c>
      <c r="T1086" s="2">
        <f t="shared" si="255"/>
        <v>1</v>
      </c>
      <c r="U1086" s="6">
        <f t="shared" si="256"/>
        <v>141.39401988000307</v>
      </c>
      <c r="V1086">
        <f t="shared" si="257"/>
        <v>8.0167820328560221E-2</v>
      </c>
      <c r="W1086" s="6">
        <f t="shared" si="249"/>
        <v>11.335250381272958</v>
      </c>
      <c r="AK1086" s="78">
        <v>45043.010416666664</v>
      </c>
      <c r="AL1086" s="79">
        <v>3.5524837151382799E-2</v>
      </c>
      <c r="AM1086" s="5">
        <v>60.440350530000003</v>
      </c>
      <c r="AN1086" s="2">
        <v>26921</v>
      </c>
      <c r="AO1086" s="7">
        <f t="shared" si="258"/>
        <v>448.68333333333334</v>
      </c>
      <c r="AP1086" s="5">
        <f t="shared" si="250"/>
        <v>15.939402349206272</v>
      </c>
      <c r="AQ1086" s="6">
        <f t="shared" si="251"/>
        <v>144.11332800796063</v>
      </c>
      <c r="AR1086" s="2">
        <f t="shared" si="252"/>
        <v>-2.1301186875174403</v>
      </c>
      <c r="AS1086" s="2">
        <f t="shared" si="253"/>
        <v>-306.97849311008747</v>
      </c>
    </row>
    <row r="1087" spans="13:45" x14ac:dyDescent="0.3">
      <c r="M1087" s="78">
        <v>45044.020833333336</v>
      </c>
      <c r="N1087" s="79">
        <v>7.9443668974439996E-2</v>
      </c>
      <c r="O1087" s="5">
        <v>66.655723199999997</v>
      </c>
      <c r="P1087" s="2">
        <v>12168</v>
      </c>
      <c r="Q1087" s="7">
        <f t="shared" si="247"/>
        <v>202.8</v>
      </c>
      <c r="R1087" s="6">
        <f t="shared" si="248"/>
        <v>16.111176068016434</v>
      </c>
      <c r="S1087" s="6">
        <f t="shared" si="254"/>
        <v>144.87178258862264</v>
      </c>
      <c r="T1087" s="2">
        <f t="shared" si="255"/>
        <v>1</v>
      </c>
      <c r="U1087" s="6">
        <f t="shared" si="256"/>
        <v>144.87178258862264</v>
      </c>
      <c r="V1087">
        <f t="shared" si="257"/>
        <v>0.22293134540043696</v>
      </c>
      <c r="W1087" s="6">
        <f t="shared" si="249"/>
        <v>32.296461403041242</v>
      </c>
      <c r="AK1087" s="78">
        <v>45043.020833333336</v>
      </c>
      <c r="AL1087" s="79">
        <v>3.5733071045534102E-2</v>
      </c>
      <c r="AM1087" s="5">
        <v>59.685691249999998</v>
      </c>
      <c r="AN1087" s="2">
        <v>26205</v>
      </c>
      <c r="AO1087" s="7">
        <f t="shared" si="258"/>
        <v>436.75</v>
      </c>
      <c r="AP1087" s="5">
        <f t="shared" si="250"/>
        <v>15.606418779137019</v>
      </c>
      <c r="AQ1087" s="6">
        <f t="shared" si="251"/>
        <v>142.63108877091892</v>
      </c>
      <c r="AR1087" s="2">
        <f t="shared" si="252"/>
        <v>-2.1301186875174403</v>
      </c>
      <c r="AS1087" s="2">
        <f t="shared" si="253"/>
        <v>-303.82114761189331</v>
      </c>
    </row>
    <row r="1088" spans="13:45" x14ac:dyDescent="0.3">
      <c r="M1088" s="78">
        <v>45044.03125</v>
      </c>
      <c r="N1088" s="79">
        <v>7.4164868868600506E-2</v>
      </c>
      <c r="O1088" s="5">
        <v>65.743635260000005</v>
      </c>
      <c r="P1088" s="2">
        <v>12209</v>
      </c>
      <c r="Q1088" s="7">
        <f t="shared" si="247"/>
        <v>203.48333333333332</v>
      </c>
      <c r="R1088" s="6">
        <f t="shared" si="248"/>
        <v>15.091314733612393</v>
      </c>
      <c r="S1088" s="6">
        <f t="shared" si="254"/>
        <v>140.3059995526107</v>
      </c>
      <c r="T1088" s="2">
        <f t="shared" si="255"/>
        <v>1</v>
      </c>
      <c r="U1088" s="6">
        <f t="shared" si="256"/>
        <v>140.3059995526107</v>
      </c>
      <c r="V1088">
        <f t="shared" si="257"/>
        <v>3.6246278409629476E-2</v>
      </c>
      <c r="W1088" s="6">
        <f t="shared" si="249"/>
        <v>5.0855703223252764</v>
      </c>
      <c r="AK1088" s="78">
        <v>45043.03125</v>
      </c>
      <c r="AL1088" s="79">
        <v>3.8756505940322303E-2</v>
      </c>
      <c r="AM1088" s="5">
        <v>63.469872090000003</v>
      </c>
      <c r="AN1088" s="2">
        <v>26833</v>
      </c>
      <c r="AO1088" s="7">
        <f t="shared" si="258"/>
        <v>447.21666666666664</v>
      </c>
      <c r="AP1088" s="5">
        <f t="shared" si="250"/>
        <v>17.332555398277805</v>
      </c>
      <c r="AQ1088" s="6">
        <f t="shared" si="251"/>
        <v>150.14974757626388</v>
      </c>
      <c r="AR1088" s="2">
        <f t="shared" si="252"/>
        <v>-2.1301186875174403</v>
      </c>
      <c r="AS1088" s="2">
        <f t="shared" si="253"/>
        <v>-319.83678323822619</v>
      </c>
    </row>
    <row r="1089" spans="13:45" x14ac:dyDescent="0.3">
      <c r="M1089" s="78">
        <v>45044.041666666664</v>
      </c>
      <c r="N1089" s="79">
        <v>7.7522378705757095E-2</v>
      </c>
      <c r="O1089" s="5">
        <v>66.647934039999996</v>
      </c>
      <c r="P1089" s="2">
        <v>12348</v>
      </c>
      <c r="Q1089" s="7">
        <f t="shared" si="247"/>
        <v>205.8</v>
      </c>
      <c r="R1089" s="6">
        <f t="shared" si="248"/>
        <v>15.954105537644811</v>
      </c>
      <c r="S1089" s="6">
        <f t="shared" si="254"/>
        <v>144.17841160696477</v>
      </c>
      <c r="T1089" s="2">
        <f t="shared" si="255"/>
        <v>1</v>
      </c>
      <c r="U1089" s="6">
        <f t="shared" si="256"/>
        <v>144.17841160696477</v>
      </c>
      <c r="V1089">
        <f t="shared" si="257"/>
        <v>0.19417966956418914</v>
      </c>
      <c r="W1089" s="6">
        <f t="shared" si="249"/>
        <v>27.99651632413007</v>
      </c>
      <c r="AK1089" s="78">
        <v>45043.041666666664</v>
      </c>
      <c r="AL1089" s="79">
        <v>3.7588458011552799E-2</v>
      </c>
      <c r="AM1089" s="5">
        <v>63.469872090000003</v>
      </c>
      <c r="AN1089" s="2">
        <v>26615</v>
      </c>
      <c r="AO1089" s="7">
        <f t="shared" si="258"/>
        <v>443.58333333333331</v>
      </c>
      <c r="AP1089" s="5">
        <f t="shared" si="250"/>
        <v>16.673613499624629</v>
      </c>
      <c r="AQ1089" s="6">
        <f t="shared" si="251"/>
        <v>147.32673068164556</v>
      </c>
      <c r="AR1089" s="2">
        <f t="shared" si="252"/>
        <v>-2.1301186875174403</v>
      </c>
      <c r="AS1089" s="2">
        <f t="shared" si="253"/>
        <v>-313.82342219582222</v>
      </c>
    </row>
    <row r="1090" spans="13:45" x14ac:dyDescent="0.3">
      <c r="M1090" s="78">
        <v>45044.052083333336</v>
      </c>
      <c r="N1090" s="79">
        <v>7.2369228686455206E-2</v>
      </c>
      <c r="O1090" s="5">
        <v>67.565551839999998</v>
      </c>
      <c r="P1090" s="2">
        <v>12499</v>
      </c>
      <c r="Q1090" s="7">
        <f t="shared" si="247"/>
        <v>208.31666666666666</v>
      </c>
      <c r="R1090" s="6">
        <f t="shared" si="248"/>
        <v>15.07571648920006</v>
      </c>
      <c r="S1090" s="6">
        <f t="shared" si="254"/>
        <v>140.23496501339653</v>
      </c>
      <c r="T1090" s="2">
        <f t="shared" si="255"/>
        <v>1</v>
      </c>
      <c r="U1090" s="6">
        <f t="shared" si="256"/>
        <v>140.23496501339653</v>
      </c>
      <c r="V1090">
        <f t="shared" si="257"/>
        <v>3.3391028186071432E-2</v>
      </c>
      <c r="W1090" s="6">
        <f t="shared" si="249"/>
        <v>4.6825896694350648</v>
      </c>
      <c r="AK1090" s="78">
        <v>45043.052083333336</v>
      </c>
      <c r="AL1090" s="79">
        <v>3.6522887895193999E-2</v>
      </c>
      <c r="AM1090" s="5">
        <v>65.743635260000005</v>
      </c>
      <c r="AN1090" s="2">
        <v>26608</v>
      </c>
      <c r="AO1090" s="7">
        <f t="shared" si="258"/>
        <v>443.46666666666664</v>
      </c>
      <c r="AP1090" s="5">
        <f t="shared" si="250"/>
        <v>16.196683351922029</v>
      </c>
      <c r="AQ1090" s="6">
        <f t="shared" si="251"/>
        <v>145.24779557049456</v>
      </c>
      <c r="AR1090" s="2">
        <f t="shared" si="252"/>
        <v>-2.1301186875174403</v>
      </c>
      <c r="AS1090" s="2">
        <f t="shared" si="253"/>
        <v>-309.39504366542337</v>
      </c>
    </row>
    <row r="1091" spans="13:45" x14ac:dyDescent="0.3">
      <c r="M1091" s="78">
        <v>45044.0625</v>
      </c>
      <c r="N1091" s="79">
        <v>7.4153943350516699E-2</v>
      </c>
      <c r="O1091" s="5">
        <v>68.924680609999996</v>
      </c>
      <c r="P1091" s="2">
        <v>12241</v>
      </c>
      <c r="Q1091" s="7">
        <f t="shared" si="247"/>
        <v>204.01666666666668</v>
      </c>
      <c r="R1091" s="6">
        <f t="shared" si="248"/>
        <v>15.128640342561249</v>
      </c>
      <c r="S1091" s="6">
        <f t="shared" si="254"/>
        <v>140.47582874989342</v>
      </c>
      <c r="T1091" s="2">
        <f t="shared" si="255"/>
        <v>1</v>
      </c>
      <c r="U1091" s="6">
        <f t="shared" si="256"/>
        <v>140.47582874989342</v>
      </c>
      <c r="V1091">
        <f t="shared" si="257"/>
        <v>4.3078710988477903E-2</v>
      </c>
      <c r="W1091" s="6">
        <f t="shared" si="249"/>
        <v>6.051517627583574</v>
      </c>
      <c r="AK1091" s="78">
        <v>45043.0625</v>
      </c>
      <c r="AL1091" s="79">
        <v>3.5050411496037902E-2</v>
      </c>
      <c r="AM1091" s="5">
        <v>59.685691249999998</v>
      </c>
      <c r="AN1091" s="2">
        <v>27313</v>
      </c>
      <c r="AO1091" s="7">
        <f t="shared" si="258"/>
        <v>455.21666666666664</v>
      </c>
      <c r="AP1091" s="5">
        <f t="shared" si="250"/>
        <v>15.955531486521386</v>
      </c>
      <c r="AQ1091" s="6">
        <f t="shared" si="251"/>
        <v>144.18472193493619</v>
      </c>
      <c r="AR1091" s="2">
        <f t="shared" si="252"/>
        <v>-2.1301186875174403</v>
      </c>
      <c r="AS1091" s="2">
        <f t="shared" si="253"/>
        <v>-307.13057064811335</v>
      </c>
    </row>
    <row r="1092" spans="13:45" x14ac:dyDescent="0.3">
      <c r="M1092" s="78">
        <v>45044.072916666664</v>
      </c>
      <c r="N1092" s="79">
        <v>7.3631209058404007E-2</v>
      </c>
      <c r="O1092" s="5">
        <v>65.743635260000005</v>
      </c>
      <c r="P1092" s="2">
        <v>12324</v>
      </c>
      <c r="Q1092" s="7">
        <f t="shared" ref="Q1092:Q1155" si="259">P1092/60</f>
        <v>205.4</v>
      </c>
      <c r="R1092" s="6">
        <f t="shared" ref="R1092:R1155" si="260">N1092*Q1092</f>
        <v>15.123850340596183</v>
      </c>
      <c r="S1092" s="6">
        <f t="shared" si="254"/>
        <v>140.45404650738618</v>
      </c>
      <c r="T1092" s="2">
        <f t="shared" si="255"/>
        <v>1</v>
      </c>
      <c r="U1092" s="6">
        <f t="shared" si="256"/>
        <v>140.45404650738618</v>
      </c>
      <c r="V1092">
        <f t="shared" si="257"/>
        <v>4.2201903713244726E-2</v>
      </c>
      <c r="W1092" s="6">
        <f t="shared" ref="W1092:W1155" si="261">S1092*V1092</f>
        <v>5.9274281468403087</v>
      </c>
      <c r="AK1092" s="78">
        <v>45043.072916666664</v>
      </c>
      <c r="AL1092" s="79">
        <v>3.4747108953589102E-2</v>
      </c>
      <c r="AM1092" s="5">
        <v>61.92162476</v>
      </c>
      <c r="AN1092" s="2">
        <v>27285</v>
      </c>
      <c r="AO1092" s="7">
        <f t="shared" si="258"/>
        <v>454.75</v>
      </c>
      <c r="AP1092" s="5">
        <f t="shared" ref="AP1092:AP1155" si="262">AO1092*AL1092</f>
        <v>15.801247796644644</v>
      </c>
      <c r="AQ1092" s="6">
        <f t="shared" ref="AQ1092:AQ1155" si="263">37.141*AP1092^0.4897</f>
        <v>143.50028490749523</v>
      </c>
      <c r="AR1092" s="2">
        <f t="shared" ref="AR1092:AR1155" si="264">IF((AM1092-$AP$1)/($AN$1-$AP$1)&lt;0, 0, IF((AA1092-$AP$1)/($AN$1-$AP$1)&gt;1, 1, (AA1092-$AP$1)/($AN$1-$AP$1)))</f>
        <v>-2.1301186875174403</v>
      </c>
      <c r="AS1092" s="2">
        <f t="shared" ref="AS1092:AS1155" si="265">AQ1092*AR1092</f>
        <v>-305.67263854553249</v>
      </c>
    </row>
    <row r="1093" spans="13:45" x14ac:dyDescent="0.3">
      <c r="M1093" s="78">
        <v>45044.083333333336</v>
      </c>
      <c r="N1093" s="79">
        <v>6.9633851352669904E-2</v>
      </c>
      <c r="O1093" s="5">
        <v>68.016396760000006</v>
      </c>
      <c r="P1093" s="2">
        <v>12305</v>
      </c>
      <c r="Q1093" s="7">
        <f t="shared" si="259"/>
        <v>205.08333333333334</v>
      </c>
      <c r="R1093" s="6">
        <f t="shared" si="260"/>
        <v>14.280742348243386</v>
      </c>
      <c r="S1093" s="6">
        <f t="shared" si="254"/>
        <v>136.56362975843302</v>
      </c>
      <c r="T1093" s="2">
        <f t="shared" si="255"/>
        <v>1</v>
      </c>
      <c r="U1093" s="6">
        <f t="shared" si="256"/>
        <v>136.56362975843302</v>
      </c>
      <c r="V1093">
        <f t="shared" si="257"/>
        <v>0</v>
      </c>
      <c r="W1093" s="6">
        <f t="shared" si="261"/>
        <v>0</v>
      </c>
      <c r="AK1093" s="78">
        <v>45043.083333333336</v>
      </c>
      <c r="AL1093" s="79">
        <v>3.45698476711137E-2</v>
      </c>
      <c r="AM1093" s="5">
        <v>60.433929669999998</v>
      </c>
      <c r="AN1093" s="2">
        <v>27088</v>
      </c>
      <c r="AO1093" s="7">
        <f t="shared" si="258"/>
        <v>451.46666666666664</v>
      </c>
      <c r="AP1093" s="5">
        <f t="shared" si="262"/>
        <v>15.607133895252131</v>
      </c>
      <c r="AQ1093" s="6">
        <f t="shared" si="263"/>
        <v>142.6342892318678</v>
      </c>
      <c r="AR1093" s="2">
        <f t="shared" si="264"/>
        <v>-2.1301186875174403</v>
      </c>
      <c r="AS1093" s="2">
        <f t="shared" si="265"/>
        <v>-303.82796497356918</v>
      </c>
    </row>
    <row r="1094" spans="13:45" x14ac:dyDescent="0.3">
      <c r="M1094" s="78">
        <v>45044.09375</v>
      </c>
      <c r="N1094" s="79">
        <v>7.0925176764673997E-2</v>
      </c>
      <c r="O1094" s="5">
        <v>68.016396760000006</v>
      </c>
      <c r="P1094" s="2">
        <v>12432</v>
      </c>
      <c r="Q1094" s="7">
        <f t="shared" si="259"/>
        <v>207.2</v>
      </c>
      <c r="R1094" s="6">
        <f t="shared" si="260"/>
        <v>14.695696625640451</v>
      </c>
      <c r="S1094" s="6">
        <f t="shared" si="254"/>
        <v>138.49261728990888</v>
      </c>
      <c r="T1094" s="2">
        <f t="shared" si="255"/>
        <v>1</v>
      </c>
      <c r="U1094" s="6">
        <f t="shared" si="256"/>
        <v>138.49261728990888</v>
      </c>
      <c r="V1094">
        <f t="shared" si="257"/>
        <v>0</v>
      </c>
      <c r="W1094" s="6">
        <f t="shared" si="261"/>
        <v>0</v>
      </c>
      <c r="AK1094" s="78">
        <v>45043.09375</v>
      </c>
      <c r="AL1094" s="79">
        <v>4.0076691150315501E-2</v>
      </c>
      <c r="AM1094" s="5">
        <v>63.916046000000001</v>
      </c>
      <c r="AN1094" s="2">
        <v>27210</v>
      </c>
      <c r="AO1094" s="7">
        <f t="shared" si="258"/>
        <v>453.5</v>
      </c>
      <c r="AP1094" s="5">
        <f t="shared" si="262"/>
        <v>18.174779436668079</v>
      </c>
      <c r="AQ1094" s="6">
        <f t="shared" si="263"/>
        <v>153.67939247516793</v>
      </c>
      <c r="AR1094" s="2">
        <f t="shared" si="264"/>
        <v>-2.1301186875174403</v>
      </c>
      <c r="AS1094" s="2">
        <f t="shared" si="265"/>
        <v>-327.35534579768228</v>
      </c>
    </row>
    <row r="1095" spans="13:45" x14ac:dyDescent="0.3">
      <c r="M1095" s="78">
        <v>45044.104166666664</v>
      </c>
      <c r="N1095" s="79">
        <v>7.5103371826297394E-2</v>
      </c>
      <c r="O1095" s="5">
        <v>66.655723199999997</v>
      </c>
      <c r="P1095" s="2">
        <v>12051</v>
      </c>
      <c r="Q1095" s="7">
        <f t="shared" si="259"/>
        <v>200.85</v>
      </c>
      <c r="R1095" s="6">
        <f t="shared" si="260"/>
        <v>15.08451223131183</v>
      </c>
      <c r="S1095" s="6">
        <f t="shared" si="254"/>
        <v>140.27502550769887</v>
      </c>
      <c r="T1095" s="2">
        <f t="shared" si="255"/>
        <v>1</v>
      </c>
      <c r="U1095" s="6">
        <f t="shared" si="256"/>
        <v>140.27502550769887</v>
      </c>
      <c r="V1095">
        <f t="shared" si="257"/>
        <v>3.5001084033839447E-2</v>
      </c>
      <c r="W1095" s="6">
        <f t="shared" si="261"/>
        <v>4.90977795564394</v>
      </c>
      <c r="AK1095" s="78">
        <v>45043.104166666664</v>
      </c>
      <c r="AL1095" s="79">
        <v>3.2880397913158103E-2</v>
      </c>
      <c r="AM1095" s="5">
        <v>63.916046000000001</v>
      </c>
      <c r="AN1095" s="2">
        <v>27034</v>
      </c>
      <c r="AO1095" s="7">
        <f t="shared" si="258"/>
        <v>450.56666666666666</v>
      </c>
      <c r="AP1095" s="5">
        <f t="shared" si="262"/>
        <v>14.81481128640527</v>
      </c>
      <c r="AQ1095" s="6">
        <f t="shared" si="263"/>
        <v>139.04119269007424</v>
      </c>
      <c r="AR1095" s="2">
        <f t="shared" si="264"/>
        <v>-2.1301186875174403</v>
      </c>
      <c r="AS1095" s="2">
        <f t="shared" si="265"/>
        <v>-296.17424288384046</v>
      </c>
    </row>
    <row r="1096" spans="13:45" x14ac:dyDescent="0.3">
      <c r="M1096" s="78">
        <v>45044.114583333336</v>
      </c>
      <c r="N1096" s="79">
        <v>7.6498767728040498E-2</v>
      </c>
      <c r="O1096" s="5">
        <v>67.565551839999998</v>
      </c>
      <c r="P1096" s="2">
        <v>12829</v>
      </c>
      <c r="Q1096" s="7">
        <f t="shared" si="259"/>
        <v>213.81666666666666</v>
      </c>
      <c r="R1096" s="6">
        <f t="shared" si="260"/>
        <v>16.356711519717191</v>
      </c>
      <c r="S1096" s="6">
        <f t="shared" si="254"/>
        <v>145.94879747789591</v>
      </c>
      <c r="T1096" s="2">
        <f t="shared" si="255"/>
        <v>1</v>
      </c>
      <c r="U1096" s="6">
        <f t="shared" si="256"/>
        <v>145.94879747789591</v>
      </c>
      <c r="V1096">
        <f t="shared" si="257"/>
        <v>0.26787647735424269</v>
      </c>
      <c r="W1096" s="6">
        <f t="shared" si="261"/>
        <v>39.096249742466533</v>
      </c>
      <c r="AK1096" s="78">
        <v>45043.114583333336</v>
      </c>
      <c r="AL1096" s="79">
        <v>3.4308536569834298E-2</v>
      </c>
      <c r="AM1096" s="5">
        <v>61.92162476</v>
      </c>
      <c r="AN1096" s="2">
        <v>27357</v>
      </c>
      <c r="AO1096" s="7">
        <f t="shared" si="258"/>
        <v>455.95</v>
      </c>
      <c r="AP1096" s="5">
        <f t="shared" si="262"/>
        <v>15.642977249015948</v>
      </c>
      <c r="AQ1096" s="6">
        <f t="shared" si="263"/>
        <v>142.79460833005268</v>
      </c>
      <c r="AR1096" s="2">
        <f t="shared" si="264"/>
        <v>-2.1301186875174403</v>
      </c>
      <c r="AS1096" s="2">
        <f t="shared" si="265"/>
        <v>-304.16946368057876</v>
      </c>
    </row>
    <row r="1097" spans="13:45" x14ac:dyDescent="0.3">
      <c r="M1097" s="78">
        <v>45044.125</v>
      </c>
      <c r="N1097" s="79">
        <v>0.26848309503545897</v>
      </c>
      <c r="O1097" s="5">
        <v>66.655723199999997</v>
      </c>
      <c r="P1097" s="2">
        <v>12976</v>
      </c>
      <c r="Q1097" s="7">
        <f t="shared" si="259"/>
        <v>216.26666666666668</v>
      </c>
      <c r="R1097" s="6">
        <f t="shared" si="260"/>
        <v>58.063944019668597</v>
      </c>
      <c r="S1097" s="6">
        <f t="shared" ref="S1097:S1160" si="266">37.141*R1097^0.4897</f>
        <v>271.417984688324</v>
      </c>
      <c r="T1097" s="2">
        <f t="shared" ref="T1097:T1160" si="267">IF((O1097-$R$1)/($P$1-$R$1)&lt;0, 0, IF((O1097-$R$1)/($P$1-$R$1)&gt;1, 1, (O1097-$R$1)/($P$1-$R$1)))</f>
        <v>1</v>
      </c>
      <c r="U1097" s="6">
        <f t="shared" ref="U1097:U1160" si="268">S1097*T1097</f>
        <v>271.417984688324</v>
      </c>
      <c r="V1097">
        <f t="shared" ref="V1097:V1160" si="269">IF((R1097-$AB$774)/($Z$773-$AB$774)&lt;0, 0, IF((R1097-$AB$774)/($Z$773-$AB$774)&gt;1, 1, (R1097-$AB$774)/($Z$773-$AB$774)))</f>
        <v>1</v>
      </c>
      <c r="W1097" s="6">
        <f t="shared" si="261"/>
        <v>271.417984688324</v>
      </c>
      <c r="AK1097" s="78">
        <v>45043.125</v>
      </c>
      <c r="AL1097" s="79">
        <v>3.5583804358122903E-2</v>
      </c>
      <c r="AM1097" s="5">
        <v>64.83012798</v>
      </c>
      <c r="AN1097" s="2">
        <v>27282</v>
      </c>
      <c r="AO1097" s="7">
        <f t="shared" si="258"/>
        <v>454.7</v>
      </c>
      <c r="AP1097" s="5">
        <f t="shared" si="262"/>
        <v>16.179955841638485</v>
      </c>
      <c r="AQ1097" s="6">
        <f t="shared" si="263"/>
        <v>145.17431722750032</v>
      </c>
      <c r="AR1097" s="2">
        <f t="shared" si="264"/>
        <v>-2.1301186875174403</v>
      </c>
      <c r="AS1097" s="2">
        <f t="shared" si="265"/>
        <v>-309.23852607388352</v>
      </c>
    </row>
    <row r="1098" spans="13:45" x14ac:dyDescent="0.3">
      <c r="M1098" s="78">
        <v>45044.135416666664</v>
      </c>
      <c r="N1098" s="79">
        <v>7.9162097565451395E-2</v>
      </c>
      <c r="O1098" s="5">
        <v>68.016396760000006</v>
      </c>
      <c r="P1098" s="2">
        <v>12350</v>
      </c>
      <c r="Q1098" s="7">
        <f t="shared" si="259"/>
        <v>205.83333333333334</v>
      </c>
      <c r="R1098" s="6">
        <f t="shared" si="260"/>
        <v>16.294198415555414</v>
      </c>
      <c r="S1098" s="6">
        <f t="shared" si="266"/>
        <v>145.6753777751137</v>
      </c>
      <c r="T1098" s="2">
        <f t="shared" si="267"/>
        <v>1</v>
      </c>
      <c r="U1098" s="6">
        <f t="shared" si="268"/>
        <v>145.6753777751137</v>
      </c>
      <c r="V1098">
        <f t="shared" si="269"/>
        <v>0.25643348736672222</v>
      </c>
      <c r="W1098" s="6">
        <f t="shared" si="261"/>
        <v>37.356045146337109</v>
      </c>
      <c r="AK1098" s="78">
        <v>45043.135416666664</v>
      </c>
      <c r="AL1098" s="79">
        <v>3.38353348670681E-2</v>
      </c>
      <c r="AM1098" s="5">
        <v>61.555361079999997</v>
      </c>
      <c r="AN1098" s="2">
        <v>27794</v>
      </c>
      <c r="AO1098" s="7">
        <f t="shared" si="258"/>
        <v>463.23333333333335</v>
      </c>
      <c r="AP1098" s="5">
        <f t="shared" si="262"/>
        <v>15.673654954921513</v>
      </c>
      <c r="AQ1098" s="6">
        <f t="shared" si="263"/>
        <v>142.93167385313845</v>
      </c>
      <c r="AR1098" s="2">
        <f t="shared" si="264"/>
        <v>-2.1301186875174403</v>
      </c>
      <c r="AS1098" s="2">
        <f t="shared" si="265"/>
        <v>-304.4614295127181</v>
      </c>
    </row>
    <row r="1099" spans="13:45" x14ac:dyDescent="0.3">
      <c r="M1099" s="78">
        <v>45044.145833333336</v>
      </c>
      <c r="N1099" s="79">
        <v>6.9616784899075995E-2</v>
      </c>
      <c r="O1099" s="5">
        <v>66.655723199999997</v>
      </c>
      <c r="P1099" s="2">
        <v>12874</v>
      </c>
      <c r="Q1099" s="7">
        <f t="shared" si="259"/>
        <v>214.56666666666666</v>
      </c>
      <c r="R1099" s="6">
        <f t="shared" si="260"/>
        <v>14.937441479845072</v>
      </c>
      <c r="S1099" s="6">
        <f t="shared" si="266"/>
        <v>139.60361233585004</v>
      </c>
      <c r="T1099" s="2">
        <f t="shared" si="267"/>
        <v>1</v>
      </c>
      <c r="U1099" s="6">
        <f t="shared" si="268"/>
        <v>139.60361233585004</v>
      </c>
      <c r="V1099">
        <f t="shared" si="269"/>
        <v>8.0798623306908186E-3</v>
      </c>
      <c r="W1099" s="6">
        <f t="shared" si="261"/>
        <v>1.1279779685407989</v>
      </c>
      <c r="AK1099" s="78">
        <v>45043.145833333336</v>
      </c>
      <c r="AL1099" s="79">
        <v>3.3789478889816198E-2</v>
      </c>
      <c r="AM1099" s="5">
        <v>63.92387093</v>
      </c>
      <c r="AN1099" s="2">
        <v>27380</v>
      </c>
      <c r="AO1099" s="7">
        <f t="shared" si="258"/>
        <v>456.33333333333331</v>
      </c>
      <c r="AP1099" s="5">
        <f t="shared" si="262"/>
        <v>15.419265533386124</v>
      </c>
      <c r="AQ1099" s="6">
        <f t="shared" si="263"/>
        <v>141.79090694682156</v>
      </c>
      <c r="AR1099" s="2">
        <f t="shared" si="264"/>
        <v>-2.1301186875174403</v>
      </c>
      <c r="AS1099" s="2">
        <f t="shared" si="265"/>
        <v>-302.03146060747105</v>
      </c>
    </row>
    <row r="1100" spans="13:45" x14ac:dyDescent="0.3">
      <c r="M1100" s="78">
        <v>45044.15625</v>
      </c>
      <c r="N1100" s="79">
        <v>7.4504802698053194E-2</v>
      </c>
      <c r="O1100" s="5">
        <v>66.655723199999997</v>
      </c>
      <c r="P1100" s="2">
        <v>12617</v>
      </c>
      <c r="Q1100" s="7">
        <f t="shared" si="259"/>
        <v>210.28333333333333</v>
      </c>
      <c r="R1100" s="6">
        <f t="shared" si="260"/>
        <v>15.667118260688952</v>
      </c>
      <c r="S1100" s="6">
        <f t="shared" si="266"/>
        <v>142.90247991436075</v>
      </c>
      <c r="T1100" s="2">
        <f t="shared" si="267"/>
        <v>1</v>
      </c>
      <c r="U1100" s="6">
        <f t="shared" si="268"/>
        <v>142.90247991436075</v>
      </c>
      <c r="V1100">
        <f t="shared" si="269"/>
        <v>0.14164680336299976</v>
      </c>
      <c r="W1100" s="6">
        <f t="shared" si="261"/>
        <v>20.24167947251448</v>
      </c>
      <c r="AK1100" s="78">
        <v>45043.15625</v>
      </c>
      <c r="AL1100" s="79">
        <v>4.1538129947512797E-2</v>
      </c>
      <c r="AM1100" s="5">
        <v>61.555361079999997</v>
      </c>
      <c r="AN1100" s="2">
        <v>28262</v>
      </c>
      <c r="AO1100" s="7">
        <f t="shared" si="258"/>
        <v>471.03333333333336</v>
      </c>
      <c r="AP1100" s="5">
        <f t="shared" si="262"/>
        <v>19.565843809610111</v>
      </c>
      <c r="AQ1100" s="6">
        <f t="shared" si="263"/>
        <v>159.33106110777067</v>
      </c>
      <c r="AR1100" s="2">
        <f t="shared" si="264"/>
        <v>-2.1301186875174403</v>
      </c>
      <c r="AS1100" s="2">
        <f t="shared" si="265"/>
        <v>-339.39407076764553</v>
      </c>
    </row>
    <row r="1101" spans="13:45" x14ac:dyDescent="0.3">
      <c r="M1101" s="78">
        <v>45044.166666666664</v>
      </c>
      <c r="N1101" s="79">
        <v>7.6095025702777694E-2</v>
      </c>
      <c r="O1101" s="5">
        <v>65.290959470000004</v>
      </c>
      <c r="P1101" s="2">
        <v>12914</v>
      </c>
      <c r="Q1101" s="7">
        <f t="shared" si="259"/>
        <v>215.23333333333332</v>
      </c>
      <c r="R1101" s="6">
        <f t="shared" si="260"/>
        <v>16.378186032094519</v>
      </c>
      <c r="S1101" s="6">
        <f t="shared" si="266"/>
        <v>146.04259957165337</v>
      </c>
      <c r="T1101" s="2">
        <f t="shared" si="267"/>
        <v>1</v>
      </c>
      <c r="U1101" s="6">
        <f t="shared" si="268"/>
        <v>146.04259957165337</v>
      </c>
      <c r="V1101">
        <f t="shared" si="269"/>
        <v>0.27180737525821996</v>
      </c>
      <c r="W1101" s="6">
        <f t="shared" si="261"/>
        <v>39.69545566545834</v>
      </c>
      <c r="AK1101" s="78">
        <v>45043.166666666664</v>
      </c>
      <c r="AL1101" s="79">
        <v>3.3341211559858697E-2</v>
      </c>
      <c r="AM1101" s="5">
        <v>59.685691249999998</v>
      </c>
      <c r="AN1101" s="2">
        <v>27756</v>
      </c>
      <c r="AO1101" s="7">
        <f t="shared" si="258"/>
        <v>462.6</v>
      </c>
      <c r="AP1101" s="5">
        <f t="shared" si="262"/>
        <v>15.423644467590634</v>
      </c>
      <c r="AQ1101" s="6">
        <f t="shared" si="263"/>
        <v>141.81062444235022</v>
      </c>
      <c r="AR1101" s="2">
        <f t="shared" si="264"/>
        <v>-2.1301186875174403</v>
      </c>
      <c r="AS1101" s="2">
        <f t="shared" si="265"/>
        <v>-302.07346121316766</v>
      </c>
    </row>
    <row r="1102" spans="13:45" x14ac:dyDescent="0.3">
      <c r="M1102" s="78">
        <v>45044.177083333336</v>
      </c>
      <c r="N1102" s="79">
        <v>7.3092040404703296E-2</v>
      </c>
      <c r="O1102" s="5">
        <v>67.565551839999998</v>
      </c>
      <c r="P1102" s="2">
        <v>13111</v>
      </c>
      <c r="Q1102" s="7">
        <f t="shared" si="259"/>
        <v>218.51666666666668</v>
      </c>
      <c r="R1102" s="6">
        <f t="shared" si="260"/>
        <v>15.971829029101082</v>
      </c>
      <c r="S1102" s="6">
        <f t="shared" si="266"/>
        <v>144.25682389237943</v>
      </c>
      <c r="T1102" s="2">
        <f t="shared" si="267"/>
        <v>1</v>
      </c>
      <c r="U1102" s="6">
        <f t="shared" si="268"/>
        <v>144.25682389237943</v>
      </c>
      <c r="V1102">
        <f t="shared" si="269"/>
        <v>0.19742394511245129</v>
      </c>
      <c r="W1102" s="6">
        <f t="shared" si="261"/>
        <v>28.479751282225667</v>
      </c>
      <c r="AK1102" s="78">
        <v>45043.177083333336</v>
      </c>
      <c r="AL1102" s="79">
        <v>3.2833288364647002E-2</v>
      </c>
      <c r="AM1102" s="5">
        <v>61.555361079999997</v>
      </c>
      <c r="AN1102" s="2">
        <v>28343</v>
      </c>
      <c r="AO1102" s="7">
        <f t="shared" si="258"/>
        <v>472.38333333333333</v>
      </c>
      <c r="AP1102" s="5">
        <f t="shared" si="262"/>
        <v>15.5098982019865</v>
      </c>
      <c r="AQ1102" s="6">
        <f t="shared" si="263"/>
        <v>142.19842764254622</v>
      </c>
      <c r="AR1102" s="2">
        <f t="shared" si="264"/>
        <v>-2.1301186875174403</v>
      </c>
      <c r="AS1102" s="2">
        <f t="shared" si="265"/>
        <v>-302.89952805698425</v>
      </c>
    </row>
    <row r="1103" spans="13:45" x14ac:dyDescent="0.3">
      <c r="M1103" s="78">
        <v>45044.1875</v>
      </c>
      <c r="N1103" s="79">
        <v>7.3355843413573193E-2</v>
      </c>
      <c r="O1103" s="5">
        <v>67.565551839999998</v>
      </c>
      <c r="P1103" s="2">
        <v>12596</v>
      </c>
      <c r="Q1103" s="7">
        <f t="shared" si="259"/>
        <v>209.93333333333334</v>
      </c>
      <c r="R1103" s="6">
        <f t="shared" si="260"/>
        <v>15.399836727289467</v>
      </c>
      <c r="S1103" s="6">
        <f t="shared" si="266"/>
        <v>141.70338829844877</v>
      </c>
      <c r="T1103" s="2">
        <f t="shared" si="267"/>
        <v>1</v>
      </c>
      <c r="U1103" s="6">
        <f t="shared" si="268"/>
        <v>141.70338829844877</v>
      </c>
      <c r="V1103">
        <f t="shared" si="269"/>
        <v>9.2721062887461111E-2</v>
      </c>
      <c r="W1103" s="6">
        <f t="shared" si="261"/>
        <v>13.138888777786789</v>
      </c>
      <c r="AK1103" s="78">
        <v>45043.1875</v>
      </c>
      <c r="AL1103" s="79">
        <v>3.32627975450508E-2</v>
      </c>
      <c r="AM1103" s="5">
        <v>60.811216330000001</v>
      </c>
      <c r="AN1103" s="2">
        <v>28097</v>
      </c>
      <c r="AO1103" s="7">
        <f t="shared" si="258"/>
        <v>468.28333333333336</v>
      </c>
      <c r="AP1103" s="5">
        <f t="shared" si="262"/>
        <v>15.576413710388206</v>
      </c>
      <c r="AQ1103" s="6">
        <f t="shared" si="263"/>
        <v>142.496735306315</v>
      </c>
      <c r="AR1103" s="2">
        <f t="shared" si="264"/>
        <v>-2.1301186875174403</v>
      </c>
      <c r="AS1103" s="2">
        <f t="shared" si="265"/>
        <v>-303.53495878620782</v>
      </c>
    </row>
    <row r="1104" spans="13:45" x14ac:dyDescent="0.3">
      <c r="M1104" s="78">
        <v>45044.197916666664</v>
      </c>
      <c r="N1104" s="79">
        <v>7.8873972572604895E-2</v>
      </c>
      <c r="O1104" s="5">
        <v>67.565551839999998</v>
      </c>
      <c r="P1104" s="2">
        <v>12326</v>
      </c>
      <c r="Q1104" s="7">
        <f t="shared" si="259"/>
        <v>205.43333333333334</v>
      </c>
      <c r="R1104" s="6">
        <f t="shared" si="260"/>
        <v>16.203343098832132</v>
      </c>
      <c r="S1104" s="6">
        <f t="shared" si="266"/>
        <v>145.27703882683679</v>
      </c>
      <c r="T1104" s="2">
        <f t="shared" si="267"/>
        <v>1</v>
      </c>
      <c r="U1104" s="6">
        <f t="shared" si="268"/>
        <v>145.27703882683679</v>
      </c>
      <c r="V1104">
        <f t="shared" si="269"/>
        <v>0.23980247066201671</v>
      </c>
      <c r="W1104" s="6">
        <f t="shared" si="261"/>
        <v>34.837792841137194</v>
      </c>
      <c r="AK1104" s="78">
        <v>45043.197916666664</v>
      </c>
      <c r="AL1104" s="79">
        <v>3.1873645102683E-2</v>
      </c>
      <c r="AM1104" s="5">
        <v>61.92162476</v>
      </c>
      <c r="AN1104" s="2">
        <v>28686</v>
      </c>
      <c r="AO1104" s="7">
        <f t="shared" si="258"/>
        <v>478.1</v>
      </c>
      <c r="AP1104" s="5">
        <f t="shared" si="262"/>
        <v>15.238789723592744</v>
      </c>
      <c r="AQ1104" s="6">
        <f t="shared" si="263"/>
        <v>140.97575883832522</v>
      </c>
      <c r="AR1104" s="2">
        <f t="shared" si="264"/>
        <v>-2.1301186875174403</v>
      </c>
      <c r="AS1104" s="2">
        <f t="shared" si="265"/>
        <v>-300.29509838846849</v>
      </c>
    </row>
    <row r="1105" spans="13:45" x14ac:dyDescent="0.3">
      <c r="M1105" s="78">
        <v>45044.208333333336</v>
      </c>
      <c r="N1105" s="79">
        <v>7.4818624471074693E-2</v>
      </c>
      <c r="O1105" s="5">
        <v>66.655723199999997</v>
      </c>
      <c r="P1105" s="2">
        <v>12657</v>
      </c>
      <c r="Q1105" s="7">
        <f t="shared" si="259"/>
        <v>210.95</v>
      </c>
      <c r="R1105" s="6">
        <f t="shared" si="260"/>
        <v>15.782988832173206</v>
      </c>
      <c r="S1105" s="6">
        <f t="shared" si="266"/>
        <v>143.41905878375931</v>
      </c>
      <c r="T1105" s="2">
        <f t="shared" si="267"/>
        <v>1</v>
      </c>
      <c r="U1105" s="6">
        <f t="shared" si="268"/>
        <v>143.41905878375931</v>
      </c>
      <c r="V1105">
        <f t="shared" si="269"/>
        <v>0.16285684895458163</v>
      </c>
      <c r="W1105" s="6">
        <f t="shared" si="261"/>
        <v>23.356775993554955</v>
      </c>
      <c r="AK1105" s="78">
        <v>45043.208333333336</v>
      </c>
      <c r="AL1105" s="79">
        <v>3.4854314124917497E-2</v>
      </c>
      <c r="AM1105" s="5">
        <v>63.469872090000003</v>
      </c>
      <c r="AN1105" s="2">
        <v>28221</v>
      </c>
      <c r="AO1105" s="7">
        <f t="shared" si="258"/>
        <v>470.35</v>
      </c>
      <c r="AP1105" s="5">
        <f t="shared" si="262"/>
        <v>16.393726648654944</v>
      </c>
      <c r="AQ1105" s="6">
        <f t="shared" si="263"/>
        <v>146.11044287691172</v>
      </c>
      <c r="AR1105" s="2">
        <f t="shared" si="264"/>
        <v>-2.1301186875174403</v>
      </c>
      <c r="AS1105" s="2">
        <f t="shared" si="265"/>
        <v>-311.23258481355913</v>
      </c>
    </row>
    <row r="1106" spans="13:45" x14ac:dyDescent="0.3">
      <c r="M1106" s="78">
        <v>45044.21875</v>
      </c>
      <c r="N1106" s="79">
        <v>6.9493465639584598E-2</v>
      </c>
      <c r="O1106" s="5">
        <v>66.655723199999997</v>
      </c>
      <c r="P1106" s="2">
        <v>13402</v>
      </c>
      <c r="Q1106" s="7">
        <f t="shared" si="259"/>
        <v>223.36666666666667</v>
      </c>
      <c r="R1106" s="6">
        <f t="shared" si="260"/>
        <v>15.522523775028548</v>
      </c>
      <c r="S1106" s="6">
        <f t="shared" si="266"/>
        <v>142.25510073013839</v>
      </c>
      <c r="T1106" s="2">
        <f t="shared" si="267"/>
        <v>1</v>
      </c>
      <c r="U1106" s="6">
        <f t="shared" si="268"/>
        <v>142.25510073013839</v>
      </c>
      <c r="V1106">
        <f t="shared" si="269"/>
        <v>0.11517886077962131</v>
      </c>
      <c r="W1106" s="6">
        <f t="shared" si="261"/>
        <v>16.384780442187616</v>
      </c>
      <c r="AK1106" s="78">
        <v>45043.21875</v>
      </c>
      <c r="AL1106" s="79">
        <v>3.5826339795297001E-2</v>
      </c>
      <c r="AM1106" s="5">
        <v>61.92162476</v>
      </c>
      <c r="AN1106" s="2">
        <v>27904</v>
      </c>
      <c r="AO1106" s="7">
        <f t="shared" si="258"/>
        <v>465.06666666666666</v>
      </c>
      <c r="AP1106" s="5">
        <f t="shared" si="262"/>
        <v>16.661636427466124</v>
      </c>
      <c r="AQ1106" s="6">
        <f t="shared" si="263"/>
        <v>147.27489698165661</v>
      </c>
      <c r="AR1106" s="2">
        <f t="shared" si="264"/>
        <v>-2.1301186875174403</v>
      </c>
      <c r="AS1106" s="2">
        <f t="shared" si="265"/>
        <v>-313.7130102628326</v>
      </c>
    </row>
    <row r="1107" spans="13:45" x14ac:dyDescent="0.3">
      <c r="M1107" s="78">
        <v>45044.229166666664</v>
      </c>
      <c r="N1107" s="79">
        <v>7.00306089988256E-2</v>
      </c>
      <c r="O1107" s="5">
        <v>68.016396760000006</v>
      </c>
      <c r="P1107" s="2">
        <v>13163</v>
      </c>
      <c r="Q1107" s="7">
        <f t="shared" si="259"/>
        <v>219.38333333333333</v>
      </c>
      <c r="R1107" s="6">
        <f t="shared" si="260"/>
        <v>15.363548437525688</v>
      </c>
      <c r="S1107" s="6">
        <f t="shared" si="266"/>
        <v>141.5397736931844</v>
      </c>
      <c r="T1107" s="2">
        <f t="shared" si="267"/>
        <v>1</v>
      </c>
      <c r="U1107" s="6">
        <f t="shared" si="268"/>
        <v>141.5397736931844</v>
      </c>
      <c r="V1107">
        <f t="shared" si="269"/>
        <v>8.6078511025749982E-2</v>
      </c>
      <c r="W1107" s="6">
        <f t="shared" si="261"/>
        <v>12.18353297043093</v>
      </c>
      <c r="AK1107" s="78">
        <v>45043.229166666664</v>
      </c>
      <c r="AL1107" s="79">
        <v>3.3306845788784997E-2</v>
      </c>
      <c r="AM1107" s="5">
        <v>60.811216330000001</v>
      </c>
      <c r="AN1107" s="2">
        <v>28030</v>
      </c>
      <c r="AO1107" s="7">
        <f t="shared" si="258"/>
        <v>467.16666666666669</v>
      </c>
      <c r="AP1107" s="5">
        <f t="shared" si="262"/>
        <v>15.559848124327392</v>
      </c>
      <c r="AQ1107" s="6">
        <f t="shared" si="263"/>
        <v>142.4225031212687</v>
      </c>
      <c r="AR1107" s="2">
        <f t="shared" si="264"/>
        <v>-2.1301186875174403</v>
      </c>
      <c r="AS1107" s="2">
        <f t="shared" si="265"/>
        <v>-303.37683542162546</v>
      </c>
    </row>
    <row r="1108" spans="13:45" x14ac:dyDescent="0.3">
      <c r="M1108" s="78">
        <v>45044.239583333336</v>
      </c>
      <c r="N1108" s="79">
        <v>6.9852202111037903E-2</v>
      </c>
      <c r="O1108" s="5">
        <v>66.655723199999997</v>
      </c>
      <c r="P1108" s="2">
        <v>13218</v>
      </c>
      <c r="Q1108" s="7">
        <f t="shared" si="259"/>
        <v>220.3</v>
      </c>
      <c r="R1108" s="6">
        <f t="shared" si="260"/>
        <v>15.388440125061651</v>
      </c>
      <c r="S1108" s="6">
        <f t="shared" si="266"/>
        <v>141.6520251495941</v>
      </c>
      <c r="T1108" s="2">
        <f t="shared" si="267"/>
        <v>1</v>
      </c>
      <c r="U1108" s="6">
        <f t="shared" si="268"/>
        <v>141.6520251495941</v>
      </c>
      <c r="V1108">
        <f t="shared" si="269"/>
        <v>9.0634920998759555E-2</v>
      </c>
      <c r="W1108" s="6">
        <f t="shared" si="261"/>
        <v>12.838620108747762</v>
      </c>
      <c r="AK1108" s="78">
        <v>45043.239583333336</v>
      </c>
      <c r="AL1108" s="79">
        <v>3.3716781381282701E-2</v>
      </c>
      <c r="AM1108" s="5">
        <v>63.92387093</v>
      </c>
      <c r="AN1108" s="2">
        <v>28461</v>
      </c>
      <c r="AO1108" s="7">
        <f t="shared" si="258"/>
        <v>474.35</v>
      </c>
      <c r="AP1108" s="5">
        <f t="shared" si="262"/>
        <v>15.99355524821145</v>
      </c>
      <c r="AQ1108" s="6">
        <f t="shared" si="263"/>
        <v>144.35288449708818</v>
      </c>
      <c r="AR1108" s="2">
        <f t="shared" si="264"/>
        <v>-2.1301186875174403</v>
      </c>
      <c r="AS1108" s="2">
        <f t="shared" si="265"/>
        <v>-307.48877686429415</v>
      </c>
    </row>
    <row r="1109" spans="13:45" x14ac:dyDescent="0.3">
      <c r="M1109" s="78">
        <v>45044.25</v>
      </c>
      <c r="N1109" s="79">
        <v>7.5865148687898995E-2</v>
      </c>
      <c r="O1109" s="5">
        <v>66.655723199999997</v>
      </c>
      <c r="P1109" s="2">
        <v>12656</v>
      </c>
      <c r="Q1109" s="7">
        <f t="shared" si="259"/>
        <v>210.93333333333334</v>
      </c>
      <c r="R1109" s="6">
        <f t="shared" si="260"/>
        <v>16.002488696567497</v>
      </c>
      <c r="S1109" s="6">
        <f t="shared" si="266"/>
        <v>144.39236364811885</v>
      </c>
      <c r="T1109" s="2">
        <f t="shared" si="267"/>
        <v>1</v>
      </c>
      <c r="U1109" s="6">
        <f t="shared" si="268"/>
        <v>144.39236364811885</v>
      </c>
      <c r="V1109">
        <f t="shared" si="269"/>
        <v>0.20303618069958446</v>
      </c>
      <c r="W1109" s="6">
        <f t="shared" si="261"/>
        <v>29.316874037299566</v>
      </c>
      <c r="AK1109" s="78">
        <v>45043.25</v>
      </c>
      <c r="AL1109" s="79">
        <v>3.1977915779379099E-2</v>
      </c>
      <c r="AM1109" s="5">
        <v>62.654512349999997</v>
      </c>
      <c r="AN1109" s="2">
        <v>28383</v>
      </c>
      <c r="AO1109" s="7">
        <f t="shared" si="258"/>
        <v>473.05</v>
      </c>
      <c r="AP1109" s="5">
        <f t="shared" si="262"/>
        <v>15.127153059435283</v>
      </c>
      <c r="AQ1109" s="6">
        <f t="shared" si="263"/>
        <v>140.46906579714221</v>
      </c>
      <c r="AR1109" s="2">
        <f t="shared" si="264"/>
        <v>-2.1301186875174403</v>
      </c>
      <c r="AS1109" s="2">
        <f t="shared" si="265"/>
        <v>-299.2157820726095</v>
      </c>
    </row>
    <row r="1110" spans="13:45" x14ac:dyDescent="0.3">
      <c r="M1110" s="78">
        <v>45044.260416666664</v>
      </c>
      <c r="N1110" s="79">
        <v>7.1759284798332601E-2</v>
      </c>
      <c r="O1110" s="5">
        <v>70.271667750000006</v>
      </c>
      <c r="P1110" s="2">
        <v>12662</v>
      </c>
      <c r="Q1110" s="7">
        <f t="shared" si="259"/>
        <v>211.03333333333333</v>
      </c>
      <c r="R1110" s="6">
        <f t="shared" si="260"/>
        <v>15.143601068608124</v>
      </c>
      <c r="S1110" s="6">
        <f t="shared" si="266"/>
        <v>140.54383908885356</v>
      </c>
      <c r="T1110" s="2">
        <f t="shared" si="267"/>
        <v>1</v>
      </c>
      <c r="U1110" s="6">
        <f t="shared" si="268"/>
        <v>140.54383908885356</v>
      </c>
      <c r="V1110">
        <f t="shared" si="269"/>
        <v>4.5817263819215373E-2</v>
      </c>
      <c r="W1110" s="6">
        <f t="shared" si="261"/>
        <v>6.4393341536993578</v>
      </c>
      <c r="AK1110" s="78">
        <v>45043.260416666664</v>
      </c>
      <c r="AL1110" s="79">
        <v>3.43286235639267E-2</v>
      </c>
      <c r="AM1110" s="5">
        <v>59.685691249999998</v>
      </c>
      <c r="AN1110" s="2">
        <v>29606</v>
      </c>
      <c r="AO1110" s="7">
        <f t="shared" si="258"/>
        <v>493.43333333333334</v>
      </c>
      <c r="AP1110" s="5">
        <f t="shared" si="262"/>
        <v>16.938887153893564</v>
      </c>
      <c r="AQ1110" s="6">
        <f t="shared" si="263"/>
        <v>148.46993413561947</v>
      </c>
      <c r="AR1110" s="2">
        <f t="shared" si="264"/>
        <v>-2.1301186875174403</v>
      </c>
      <c r="AS1110" s="2">
        <f t="shared" si="265"/>
        <v>-316.25858123676653</v>
      </c>
    </row>
    <row r="1111" spans="13:45" x14ac:dyDescent="0.3">
      <c r="M1111" s="78">
        <v>45044.270833333336</v>
      </c>
      <c r="N1111" s="79">
        <v>7.8727432693286498E-2</v>
      </c>
      <c r="O1111" s="5">
        <v>67.557775419999999</v>
      </c>
      <c r="P1111" s="2">
        <v>13075</v>
      </c>
      <c r="Q1111" s="7">
        <f t="shared" si="259"/>
        <v>217.91666666666666</v>
      </c>
      <c r="R1111" s="6">
        <f t="shared" si="260"/>
        <v>17.156019707745347</v>
      </c>
      <c r="S1111" s="6">
        <f t="shared" si="266"/>
        <v>149.39888993505238</v>
      </c>
      <c r="T1111" s="2">
        <f t="shared" si="267"/>
        <v>1</v>
      </c>
      <c r="U1111" s="6">
        <f t="shared" si="268"/>
        <v>149.39888993505238</v>
      </c>
      <c r="V1111">
        <f t="shared" si="269"/>
        <v>0.41418940990162062</v>
      </c>
      <c r="W1111" s="6">
        <f t="shared" si="261"/>
        <v>61.879438062156517</v>
      </c>
      <c r="AK1111" s="78">
        <v>45043.270833333336</v>
      </c>
      <c r="AL1111" s="79">
        <v>3.37613232102629E-2</v>
      </c>
      <c r="AM1111" s="5">
        <v>63.015482910000003</v>
      </c>
      <c r="AN1111" s="2">
        <v>28534</v>
      </c>
      <c r="AO1111" s="7">
        <f t="shared" si="258"/>
        <v>475.56666666666666</v>
      </c>
      <c r="AP1111" s="5">
        <f t="shared" si="262"/>
        <v>16.055759941360694</v>
      </c>
      <c r="AQ1111" s="6">
        <f t="shared" si="263"/>
        <v>144.62754951844548</v>
      </c>
      <c r="AR1111" s="2">
        <f t="shared" si="264"/>
        <v>-2.1301186875174403</v>
      </c>
      <c r="AS1111" s="2">
        <f t="shared" si="265"/>
        <v>-308.07384595909468</v>
      </c>
    </row>
    <row r="1112" spans="13:45" x14ac:dyDescent="0.3">
      <c r="M1112" s="78">
        <v>45044.28125</v>
      </c>
      <c r="N1112" s="79">
        <v>7.2004132707758503E-2</v>
      </c>
      <c r="O1112" s="5">
        <v>68.916923760000003</v>
      </c>
      <c r="P1112" s="2">
        <v>12902</v>
      </c>
      <c r="Q1112" s="7">
        <f t="shared" si="259"/>
        <v>215.03333333333333</v>
      </c>
      <c r="R1112" s="6">
        <f t="shared" si="260"/>
        <v>15.483288669925003</v>
      </c>
      <c r="S1112" s="6">
        <f t="shared" si="266"/>
        <v>142.07890686153951</v>
      </c>
      <c r="T1112" s="2">
        <f t="shared" si="267"/>
        <v>1</v>
      </c>
      <c r="U1112" s="6">
        <f t="shared" si="268"/>
        <v>142.07890686153951</v>
      </c>
      <c r="V1112">
        <f t="shared" si="269"/>
        <v>0.10799689595993643</v>
      </c>
      <c r="W1112" s="6">
        <f t="shared" si="261"/>
        <v>15.34408092242718</v>
      </c>
      <c r="AK1112" s="78">
        <v>45043.28125</v>
      </c>
      <c r="AL1112" s="79">
        <v>3.4230299007450102E-2</v>
      </c>
      <c r="AM1112" s="5">
        <v>61.92162476</v>
      </c>
      <c r="AN1112" s="2">
        <v>28666</v>
      </c>
      <c r="AO1112" s="7">
        <f t="shared" si="258"/>
        <v>477.76666666666665</v>
      </c>
      <c r="AP1112" s="5">
        <f t="shared" si="262"/>
        <v>16.354095855792742</v>
      </c>
      <c r="AQ1112" s="6">
        <f t="shared" si="263"/>
        <v>145.93736779202399</v>
      </c>
      <c r="AR1112" s="2">
        <f t="shared" si="264"/>
        <v>-2.1301186875174403</v>
      </c>
      <c r="AS1112" s="2">
        <f t="shared" si="265"/>
        <v>-310.86391434089609</v>
      </c>
    </row>
    <row r="1113" spans="13:45" x14ac:dyDescent="0.3">
      <c r="M1113" s="78">
        <v>45044.291666666664</v>
      </c>
      <c r="N1113" s="79">
        <v>8.0565336592143696E-2</v>
      </c>
      <c r="O1113" s="5">
        <v>71.17580074</v>
      </c>
      <c r="P1113" s="2">
        <v>12486</v>
      </c>
      <c r="Q1113" s="7">
        <f t="shared" si="259"/>
        <v>208.1</v>
      </c>
      <c r="R1113" s="6">
        <f t="shared" si="260"/>
        <v>16.765646544825103</v>
      </c>
      <c r="S1113" s="6">
        <f t="shared" si="266"/>
        <v>147.72439382894157</v>
      </c>
      <c r="T1113" s="2">
        <f t="shared" si="267"/>
        <v>1</v>
      </c>
      <c r="U1113" s="6">
        <f t="shared" si="268"/>
        <v>147.72439382894157</v>
      </c>
      <c r="V1113">
        <f t="shared" si="269"/>
        <v>0.34273181305707995</v>
      </c>
      <c r="W1113" s="6">
        <f t="shared" si="261"/>
        <v>50.629849329751259</v>
      </c>
      <c r="AK1113" s="78">
        <v>45043.291666666664</v>
      </c>
      <c r="AL1113" s="79">
        <v>3.3585031590646998E-2</v>
      </c>
      <c r="AM1113" s="5">
        <v>59.685691249999998</v>
      </c>
      <c r="AN1113" s="2">
        <v>28292</v>
      </c>
      <c r="AO1113" s="7">
        <f t="shared" si="258"/>
        <v>471.53333333333336</v>
      </c>
      <c r="AP1113" s="5">
        <f t="shared" si="262"/>
        <v>15.836461896043081</v>
      </c>
      <c r="AQ1113" s="6">
        <f t="shared" si="263"/>
        <v>143.65680184013794</v>
      </c>
      <c r="AR1113" s="2">
        <f t="shared" si="264"/>
        <v>-2.1301186875174403</v>
      </c>
      <c r="AS1113" s="2">
        <f t="shared" si="265"/>
        <v>-306.00603818866762</v>
      </c>
    </row>
    <row r="1114" spans="13:45" x14ac:dyDescent="0.3">
      <c r="M1114" s="78">
        <v>45044.302083333336</v>
      </c>
      <c r="N1114" s="79">
        <v>7.6235309769989698E-2</v>
      </c>
      <c r="O1114" s="5">
        <v>68.924680609999996</v>
      </c>
      <c r="P1114" s="2">
        <v>12931</v>
      </c>
      <c r="Q1114" s="7">
        <f t="shared" si="259"/>
        <v>215.51666666666668</v>
      </c>
      <c r="R1114" s="6">
        <f t="shared" si="260"/>
        <v>16.429979843928948</v>
      </c>
      <c r="S1114" s="6">
        <f t="shared" si="266"/>
        <v>146.26858046807428</v>
      </c>
      <c r="T1114" s="2">
        <f t="shared" si="267"/>
        <v>1</v>
      </c>
      <c r="U1114" s="6">
        <f t="shared" si="268"/>
        <v>146.26858046807428</v>
      </c>
      <c r="V1114">
        <f t="shared" si="269"/>
        <v>0.2812882045688731</v>
      </c>
      <c r="W1114" s="6">
        <f t="shared" si="261"/>
        <v>41.143626384702351</v>
      </c>
      <c r="AK1114" s="78">
        <v>45043.302083333336</v>
      </c>
      <c r="AL1114" s="79">
        <v>3.3148841711793803E-2</v>
      </c>
      <c r="AM1114" s="5">
        <v>59.685691249999998</v>
      </c>
      <c r="AN1114" s="2">
        <v>28166</v>
      </c>
      <c r="AO1114" s="7">
        <f t="shared" si="258"/>
        <v>469.43333333333334</v>
      </c>
      <c r="AP1114" s="5">
        <f t="shared" si="262"/>
        <v>15.561171260906404</v>
      </c>
      <c r="AQ1114" s="6">
        <f t="shared" si="263"/>
        <v>142.4284337210637</v>
      </c>
      <c r="AR1114" s="2">
        <f t="shared" si="264"/>
        <v>-2.1301186875174403</v>
      </c>
      <c r="AS1114" s="2">
        <f t="shared" si="265"/>
        <v>-303.38946830307691</v>
      </c>
    </row>
    <row r="1115" spans="13:45" x14ac:dyDescent="0.3">
      <c r="M1115" s="78">
        <v>45044.3125</v>
      </c>
      <c r="N1115" s="79">
        <v>7.9644377416359394E-2</v>
      </c>
      <c r="O1115" s="5">
        <v>67.565551839999998</v>
      </c>
      <c r="P1115" s="2">
        <v>12518</v>
      </c>
      <c r="Q1115" s="7">
        <f t="shared" si="259"/>
        <v>208.63333333333333</v>
      </c>
      <c r="R1115" s="6">
        <f t="shared" si="260"/>
        <v>16.616471941633115</v>
      </c>
      <c r="S1115" s="6">
        <f t="shared" si="266"/>
        <v>147.07926541765923</v>
      </c>
      <c r="T1115" s="2">
        <f t="shared" si="267"/>
        <v>1</v>
      </c>
      <c r="U1115" s="6">
        <f t="shared" si="268"/>
        <v>147.07926541765923</v>
      </c>
      <c r="V1115">
        <f t="shared" si="269"/>
        <v>0.31542548243077301</v>
      </c>
      <c r="W1115" s="6">
        <f t="shared" si="261"/>
        <v>46.392548249928872</v>
      </c>
      <c r="AK1115" s="78">
        <v>45043.3125</v>
      </c>
      <c r="AL1115" s="79">
        <v>3.3116393235908703E-2</v>
      </c>
      <c r="AM1115" s="5">
        <v>55.839219309999997</v>
      </c>
      <c r="AN1115" s="2">
        <v>28391</v>
      </c>
      <c r="AO1115" s="7">
        <f t="shared" si="258"/>
        <v>473.18333333333334</v>
      </c>
      <c r="AP1115" s="5">
        <f t="shared" si="262"/>
        <v>15.670125339344734</v>
      </c>
      <c r="AQ1115" s="6">
        <f t="shared" si="263"/>
        <v>142.91591078818215</v>
      </c>
      <c r="AR1115" s="2">
        <f t="shared" si="264"/>
        <v>-2.1301186875174403</v>
      </c>
      <c r="AS1115" s="2">
        <f t="shared" si="265"/>
        <v>-304.42785231348216</v>
      </c>
    </row>
    <row r="1116" spans="13:45" x14ac:dyDescent="0.3">
      <c r="M1116" s="78">
        <v>45044.322916666664</v>
      </c>
      <c r="N1116" s="79">
        <v>7.6127329303214405E-2</v>
      </c>
      <c r="O1116" s="5">
        <v>63.916046000000001</v>
      </c>
      <c r="P1116" s="2">
        <v>12968</v>
      </c>
      <c r="Q1116" s="7">
        <f t="shared" si="259"/>
        <v>216.13333333333333</v>
      </c>
      <c r="R1116" s="6">
        <f t="shared" si="260"/>
        <v>16.453653440068074</v>
      </c>
      <c r="S1116" s="6">
        <f t="shared" si="266"/>
        <v>146.37174936254988</v>
      </c>
      <c r="T1116" s="2">
        <f t="shared" si="267"/>
        <v>1</v>
      </c>
      <c r="U1116" s="6">
        <f t="shared" si="268"/>
        <v>146.37174936254988</v>
      </c>
      <c r="V1116">
        <f t="shared" si="269"/>
        <v>0.28562164356891978</v>
      </c>
      <c r="W1116" s="6">
        <f t="shared" si="261"/>
        <v>41.806939624989482</v>
      </c>
      <c r="AK1116" s="78">
        <v>45043.322916666664</v>
      </c>
      <c r="AL1116" s="79">
        <v>3.0323310761207901E-2</v>
      </c>
      <c r="AM1116" s="5">
        <v>54.662424110000003</v>
      </c>
      <c r="AN1116" s="2">
        <v>29032</v>
      </c>
      <c r="AO1116" s="7">
        <f t="shared" si="258"/>
        <v>483.86666666666667</v>
      </c>
      <c r="AP1116" s="5">
        <f t="shared" si="262"/>
        <v>14.672439300323131</v>
      </c>
      <c r="AQ1116" s="6">
        <f t="shared" si="263"/>
        <v>138.3852426331168</v>
      </c>
      <c r="AR1116" s="2">
        <f t="shared" si="264"/>
        <v>-2.1301186875174403</v>
      </c>
      <c r="AS1116" s="2">
        <f t="shared" si="265"/>
        <v>-294.7769914094373</v>
      </c>
    </row>
    <row r="1117" spans="13:45" x14ac:dyDescent="0.3">
      <c r="M1117" s="78">
        <v>45044.333333333336</v>
      </c>
      <c r="N1117" s="79">
        <v>7.2932317035269104E-2</v>
      </c>
      <c r="O1117" s="5">
        <v>65.283151739999994</v>
      </c>
      <c r="P1117" s="2">
        <v>12763</v>
      </c>
      <c r="Q1117" s="7">
        <f t="shared" si="259"/>
        <v>212.71666666666667</v>
      </c>
      <c r="R1117" s="6">
        <f t="shared" si="260"/>
        <v>15.513919372018993</v>
      </c>
      <c r="S1117" s="6">
        <f t="shared" si="266"/>
        <v>142.21648023849048</v>
      </c>
      <c r="T1117" s="2">
        <f t="shared" si="267"/>
        <v>1</v>
      </c>
      <c r="U1117" s="6">
        <f t="shared" si="268"/>
        <v>142.21648023849048</v>
      </c>
      <c r="V1117">
        <f t="shared" si="269"/>
        <v>0.1136038294512758</v>
      </c>
      <c r="W1117" s="6">
        <f t="shared" si="261"/>
        <v>16.156336766174206</v>
      </c>
      <c r="AK1117" s="78">
        <v>45043.333333333336</v>
      </c>
      <c r="AL1117" s="79">
        <v>3.2510118625400798E-2</v>
      </c>
      <c r="AM1117" s="5">
        <v>57.390707069999998</v>
      </c>
      <c r="AN1117" s="2">
        <v>29045</v>
      </c>
      <c r="AO1117" s="7">
        <f t="shared" si="258"/>
        <v>484.08333333333331</v>
      </c>
      <c r="AP1117" s="5">
        <f t="shared" si="262"/>
        <v>15.737606591246102</v>
      </c>
      <c r="AQ1117" s="6">
        <f t="shared" si="263"/>
        <v>143.2169651525216</v>
      </c>
      <c r="AR1117" s="2">
        <f t="shared" si="264"/>
        <v>-2.1301186875174403</v>
      </c>
      <c r="AS1117" s="2">
        <f t="shared" si="265"/>
        <v>-305.0691338409203</v>
      </c>
    </row>
    <row r="1118" spans="13:45" x14ac:dyDescent="0.3">
      <c r="M1118" s="78">
        <v>45044.34375</v>
      </c>
      <c r="N1118" s="79">
        <v>7.3911322653430006E-2</v>
      </c>
      <c r="O1118" s="5">
        <v>65.290959470000004</v>
      </c>
      <c r="P1118" s="2">
        <v>13071</v>
      </c>
      <c r="Q1118" s="7">
        <f t="shared" si="259"/>
        <v>217.85</v>
      </c>
      <c r="R1118" s="6">
        <f t="shared" si="260"/>
        <v>16.101581640049726</v>
      </c>
      <c r="S1118" s="6">
        <f t="shared" si="266"/>
        <v>144.82952820658599</v>
      </c>
      <c r="T1118" s="2">
        <f t="shared" si="267"/>
        <v>1</v>
      </c>
      <c r="U1118" s="6">
        <f t="shared" si="268"/>
        <v>144.82952820658599</v>
      </c>
      <c r="V1118">
        <f t="shared" si="269"/>
        <v>0.22117509053785814</v>
      </c>
      <c r="W1118" s="6">
        <f t="shared" si="261"/>
        <v>32.032684013646936</v>
      </c>
      <c r="AK1118" s="78">
        <v>45043.34375</v>
      </c>
      <c r="AL1118" s="79">
        <v>3.6252919282368998E-2</v>
      </c>
      <c r="AM1118" s="5">
        <v>55.44335564</v>
      </c>
      <c r="AN1118" s="2">
        <v>28925</v>
      </c>
      <c r="AO1118" s="7">
        <f t="shared" si="258"/>
        <v>482.08333333333331</v>
      </c>
      <c r="AP1118" s="5">
        <f t="shared" si="262"/>
        <v>17.476928170708721</v>
      </c>
      <c r="AQ1118" s="6">
        <f t="shared" si="263"/>
        <v>150.76091090042547</v>
      </c>
      <c r="AR1118" s="2">
        <f t="shared" si="264"/>
        <v>-2.1301186875174403</v>
      </c>
      <c r="AS1118" s="2">
        <f t="shared" si="265"/>
        <v>-321.13863365614804</v>
      </c>
    </row>
    <row r="1119" spans="13:45" x14ac:dyDescent="0.3">
      <c r="M1119" s="78">
        <v>45044.354166666664</v>
      </c>
      <c r="N1119" s="79">
        <v>7.0965124038224997E-2</v>
      </c>
      <c r="O1119" s="5">
        <v>64.837941950000001</v>
      </c>
      <c r="P1119" s="2">
        <v>12777</v>
      </c>
      <c r="Q1119" s="7">
        <f t="shared" si="259"/>
        <v>212.95</v>
      </c>
      <c r="R1119" s="6">
        <f t="shared" si="260"/>
        <v>15.112023163940012</v>
      </c>
      <c r="S1119" s="6">
        <f t="shared" si="266"/>
        <v>140.40024805855052</v>
      </c>
      <c r="T1119" s="2">
        <f t="shared" si="267"/>
        <v>1</v>
      </c>
      <c r="U1119" s="6">
        <f t="shared" si="268"/>
        <v>140.40024805855052</v>
      </c>
      <c r="V1119">
        <f t="shared" si="269"/>
        <v>4.0036945407751566E-2</v>
      </c>
      <c r="W1119" s="6">
        <f t="shared" si="261"/>
        <v>5.6211970667549647</v>
      </c>
      <c r="AK1119" s="78">
        <v>45043.354166666664</v>
      </c>
      <c r="AL1119" s="79">
        <v>3.7448939209331102E-2</v>
      </c>
      <c r="AM1119" s="5">
        <v>58.544650400000002</v>
      </c>
      <c r="AN1119" s="2">
        <v>28228</v>
      </c>
      <c r="AO1119" s="7">
        <f t="shared" si="258"/>
        <v>470.46666666666664</v>
      </c>
      <c r="AP1119" s="5">
        <f t="shared" si="262"/>
        <v>17.618477600016639</v>
      </c>
      <c r="AQ1119" s="6">
        <f t="shared" si="263"/>
        <v>151.35762612962435</v>
      </c>
      <c r="AR1119" s="2">
        <f t="shared" si="264"/>
        <v>-2.1301186875174403</v>
      </c>
      <c r="AS1119" s="2">
        <f t="shared" si="265"/>
        <v>-322.40970791699084</v>
      </c>
    </row>
    <row r="1120" spans="13:45" x14ac:dyDescent="0.3">
      <c r="M1120" s="78">
        <v>45044.364583333336</v>
      </c>
      <c r="N1120" s="79">
        <v>7.0314608642532195E-2</v>
      </c>
      <c r="O1120" s="5">
        <v>68.466857000000005</v>
      </c>
      <c r="P1120" s="2">
        <v>12569</v>
      </c>
      <c r="Q1120" s="7">
        <f t="shared" si="259"/>
        <v>209.48333333333332</v>
      </c>
      <c r="R1120" s="6">
        <f t="shared" si="260"/>
        <v>14.729738600466451</v>
      </c>
      <c r="S1120" s="6">
        <f t="shared" si="266"/>
        <v>138.6496263923772</v>
      </c>
      <c r="T1120" s="2">
        <f t="shared" si="267"/>
        <v>1</v>
      </c>
      <c r="U1120" s="6">
        <f t="shared" si="268"/>
        <v>138.6496263923772</v>
      </c>
      <c r="V1120">
        <f t="shared" si="269"/>
        <v>0</v>
      </c>
      <c r="W1120" s="6">
        <f t="shared" si="261"/>
        <v>0</v>
      </c>
      <c r="AK1120" s="78">
        <v>45043.364583333336</v>
      </c>
      <c r="AL1120" s="79">
        <v>3.4402680748212899E-2</v>
      </c>
      <c r="AM1120" s="5">
        <v>60.060669519999998</v>
      </c>
      <c r="AN1120" s="2">
        <v>28199</v>
      </c>
      <c r="AO1120" s="7">
        <f t="shared" si="258"/>
        <v>469.98333333333335</v>
      </c>
      <c r="AP1120" s="5">
        <f t="shared" si="262"/>
        <v>16.168686573647594</v>
      </c>
      <c r="AQ1120" s="6">
        <f t="shared" si="263"/>
        <v>145.12479325542145</v>
      </c>
      <c r="AR1120" s="2">
        <f t="shared" si="264"/>
        <v>-2.1301186875174403</v>
      </c>
      <c r="AS1120" s="2">
        <f t="shared" si="265"/>
        <v>-309.13303413547823</v>
      </c>
    </row>
    <row r="1121" spans="13:45" x14ac:dyDescent="0.3">
      <c r="M1121" s="78">
        <v>45044.375</v>
      </c>
      <c r="N1121" s="79">
        <v>6.9596612660088597E-2</v>
      </c>
      <c r="O1121" s="5">
        <v>68.466857000000005</v>
      </c>
      <c r="P1121" s="2">
        <v>13131</v>
      </c>
      <c r="Q1121" s="7">
        <f t="shared" si="259"/>
        <v>218.85</v>
      </c>
      <c r="R1121" s="6">
        <f t="shared" si="260"/>
        <v>15.231218680660389</v>
      </c>
      <c r="S1121" s="6">
        <f t="shared" si="266"/>
        <v>140.94145562206194</v>
      </c>
      <c r="T1121" s="2">
        <f t="shared" si="267"/>
        <v>1</v>
      </c>
      <c r="U1121" s="6">
        <f t="shared" si="268"/>
        <v>140.94145562206194</v>
      </c>
      <c r="V1121">
        <f t="shared" si="269"/>
        <v>6.1855620430812795E-2</v>
      </c>
      <c r="W1121" s="6">
        <f t="shared" si="261"/>
        <v>8.7180211819245095</v>
      </c>
      <c r="AK1121" s="78">
        <v>45043.375</v>
      </c>
      <c r="AL1121" s="79">
        <v>3.1695327799400097E-2</v>
      </c>
      <c r="AM1121" s="5">
        <v>58.924071830000003</v>
      </c>
      <c r="AN1121" s="2">
        <v>28570</v>
      </c>
      <c r="AO1121" s="7">
        <f t="shared" si="258"/>
        <v>476.16666666666669</v>
      </c>
      <c r="AP1121" s="5">
        <f t="shared" si="262"/>
        <v>15.092258587147681</v>
      </c>
      <c r="AQ1121" s="6">
        <f t="shared" si="263"/>
        <v>140.31029666731081</v>
      </c>
      <c r="AR1121" s="2">
        <f t="shared" si="264"/>
        <v>-2.1301186875174403</v>
      </c>
      <c r="AS1121" s="2">
        <f t="shared" si="265"/>
        <v>-298.87758498215476</v>
      </c>
    </row>
    <row r="1122" spans="13:45" x14ac:dyDescent="0.3">
      <c r="M1122" s="78">
        <v>45044.385416666664</v>
      </c>
      <c r="N1122" s="79">
        <v>7.2181225060077903E-2</v>
      </c>
      <c r="O1122" s="5">
        <v>67.106545600000004</v>
      </c>
      <c r="P1122" s="2">
        <v>12609</v>
      </c>
      <c r="Q1122" s="7">
        <f t="shared" si="259"/>
        <v>210.15</v>
      </c>
      <c r="R1122" s="6">
        <f t="shared" si="260"/>
        <v>15.168884446375372</v>
      </c>
      <c r="S1122" s="6">
        <f t="shared" si="266"/>
        <v>140.65869754111768</v>
      </c>
      <c r="T1122" s="2">
        <f t="shared" si="267"/>
        <v>1</v>
      </c>
      <c r="U1122" s="6">
        <f t="shared" si="268"/>
        <v>140.65869754111768</v>
      </c>
      <c r="V1122">
        <f t="shared" si="269"/>
        <v>5.0445372477723197E-2</v>
      </c>
      <c r="W1122" s="6">
        <f t="shared" si="261"/>
        <v>7.0955803896930894</v>
      </c>
      <c r="AK1122" s="78">
        <v>45043.385416666664</v>
      </c>
      <c r="AL1122" s="79">
        <v>3.1179210300837E-2</v>
      </c>
      <c r="AM1122" s="5">
        <v>58.924071830000003</v>
      </c>
      <c r="AN1122" s="2">
        <v>29007</v>
      </c>
      <c r="AO1122" s="7">
        <f t="shared" si="258"/>
        <v>483.45</v>
      </c>
      <c r="AP1122" s="5">
        <f t="shared" si="262"/>
        <v>15.073589219939647</v>
      </c>
      <c r="AQ1122" s="6">
        <f t="shared" si="263"/>
        <v>140.2252745051793</v>
      </c>
      <c r="AR1122" s="2">
        <f t="shared" si="264"/>
        <v>-2.1301186875174403</v>
      </c>
      <c r="AS1122" s="2">
        <f t="shared" si="265"/>
        <v>-298.69647768574532</v>
      </c>
    </row>
    <row r="1123" spans="13:45" x14ac:dyDescent="0.3">
      <c r="M1123" s="78">
        <v>45044.395833333336</v>
      </c>
      <c r="N1123" s="79">
        <v>6.8108683879372994E-2</v>
      </c>
      <c r="O1123" s="5">
        <v>64.837941950000001</v>
      </c>
      <c r="P1123" s="2">
        <v>12954</v>
      </c>
      <c r="Q1123" s="7">
        <f t="shared" si="259"/>
        <v>215.9</v>
      </c>
      <c r="R1123" s="6">
        <f t="shared" si="260"/>
        <v>14.704664849556631</v>
      </c>
      <c r="S1123" s="6">
        <f t="shared" si="266"/>
        <v>138.53399870941885</v>
      </c>
      <c r="T1123" s="2">
        <f t="shared" si="267"/>
        <v>1</v>
      </c>
      <c r="U1123" s="6">
        <f t="shared" si="268"/>
        <v>138.53399870941885</v>
      </c>
      <c r="V1123">
        <f t="shared" si="269"/>
        <v>0</v>
      </c>
      <c r="W1123" s="6">
        <f t="shared" si="261"/>
        <v>0</v>
      </c>
      <c r="AK1123" s="78">
        <v>45043.395833333336</v>
      </c>
      <c r="AL1123" s="79">
        <v>3.0229546021762099E-2</v>
      </c>
      <c r="AM1123" s="5">
        <v>54.655667649999998</v>
      </c>
      <c r="AN1123" s="2">
        <v>28855</v>
      </c>
      <c r="AO1123" s="7">
        <f t="shared" si="258"/>
        <v>480.91666666666669</v>
      </c>
      <c r="AP1123" s="5">
        <f t="shared" si="262"/>
        <v>14.537892507632423</v>
      </c>
      <c r="AQ1123" s="6">
        <f t="shared" si="263"/>
        <v>137.76235377050824</v>
      </c>
      <c r="AR1123" s="2">
        <f t="shared" si="264"/>
        <v>-2.1301186875174403</v>
      </c>
      <c r="AS1123" s="2">
        <f t="shared" si="265"/>
        <v>-293.45016420294832</v>
      </c>
    </row>
    <row r="1124" spans="13:45" x14ac:dyDescent="0.3">
      <c r="M1124" s="78">
        <v>45044.40625</v>
      </c>
      <c r="N1124" s="79">
        <v>7.3111193662396004E-2</v>
      </c>
      <c r="O1124" s="5">
        <v>63.92387093</v>
      </c>
      <c r="P1124" s="2">
        <v>12694</v>
      </c>
      <c r="Q1124" s="7">
        <f t="shared" si="259"/>
        <v>211.56666666666666</v>
      </c>
      <c r="R1124" s="6">
        <f t="shared" si="260"/>
        <v>15.467891539174248</v>
      </c>
      <c r="S1124" s="6">
        <f t="shared" si="266"/>
        <v>142.00970041783515</v>
      </c>
      <c r="T1124" s="2">
        <f t="shared" si="267"/>
        <v>1</v>
      </c>
      <c r="U1124" s="6">
        <f t="shared" si="268"/>
        <v>142.00970041783515</v>
      </c>
      <c r="V1124">
        <f t="shared" si="269"/>
        <v>0.10517845948361834</v>
      </c>
      <c r="W1124" s="6">
        <f t="shared" si="261"/>
        <v>14.936361521678053</v>
      </c>
      <c r="AK1124" s="78">
        <v>45043.40625</v>
      </c>
      <c r="AL1124" s="79">
        <v>3.5623073372206798E-2</v>
      </c>
      <c r="AM1124" s="5">
        <v>60.811216330000001</v>
      </c>
      <c r="AN1124" s="2">
        <v>28299</v>
      </c>
      <c r="AO1124" s="7">
        <f t="shared" ref="AO1124:AO1187" si="270">AN1124/60</f>
        <v>471.65</v>
      </c>
      <c r="AP1124" s="5">
        <f t="shared" si="262"/>
        <v>16.801622556001334</v>
      </c>
      <c r="AQ1124" s="6">
        <f t="shared" si="263"/>
        <v>147.87953870508741</v>
      </c>
      <c r="AR1124" s="2">
        <f t="shared" si="264"/>
        <v>-2.1301186875174403</v>
      </c>
      <c r="AS1124" s="2">
        <f t="shared" si="265"/>
        <v>-315.00096889716531</v>
      </c>
    </row>
    <row r="1125" spans="13:45" x14ac:dyDescent="0.3">
      <c r="M1125" s="78">
        <v>45044.416666666664</v>
      </c>
      <c r="N1125" s="79">
        <v>7.4360973575885905E-2</v>
      </c>
      <c r="O1125" s="5">
        <v>66.195962919999999</v>
      </c>
      <c r="P1125" s="2">
        <v>12873</v>
      </c>
      <c r="Q1125" s="7">
        <f t="shared" si="259"/>
        <v>214.55</v>
      </c>
      <c r="R1125" s="6">
        <f t="shared" si="260"/>
        <v>15.954146880706322</v>
      </c>
      <c r="S1125" s="6">
        <f t="shared" si="266"/>
        <v>144.17859456868143</v>
      </c>
      <c r="T1125" s="2">
        <f t="shared" si="267"/>
        <v>1</v>
      </c>
      <c r="U1125" s="6">
        <f t="shared" si="268"/>
        <v>144.17859456868143</v>
      </c>
      <c r="V1125">
        <f t="shared" si="269"/>
        <v>0.19418723738929189</v>
      </c>
      <c r="W1125" s="6">
        <f t="shared" si="261"/>
        <v>27.99764296996301</v>
      </c>
      <c r="AK1125" s="78">
        <v>45043.416666666664</v>
      </c>
      <c r="AL1125" s="79">
        <v>3.2761169424570899E-2</v>
      </c>
      <c r="AM1125" s="5">
        <v>57.774288900000002</v>
      </c>
      <c r="AN1125" s="2">
        <v>27986</v>
      </c>
      <c r="AO1125" s="7">
        <f t="shared" si="270"/>
        <v>466.43333333333334</v>
      </c>
      <c r="AP1125" s="5">
        <f t="shared" si="262"/>
        <v>15.280901458600686</v>
      </c>
      <c r="AQ1125" s="6">
        <f t="shared" si="263"/>
        <v>141.16640203064841</v>
      </c>
      <c r="AR1125" s="2">
        <f t="shared" si="264"/>
        <v>-2.1301186875174403</v>
      </c>
      <c r="AS1125" s="2">
        <f t="shared" si="265"/>
        <v>-300.70119101508413</v>
      </c>
    </row>
    <row r="1126" spans="13:45" x14ac:dyDescent="0.3">
      <c r="M1126" s="78">
        <v>45044.427083333336</v>
      </c>
      <c r="N1126" s="79">
        <v>7.7607525567016403E-2</v>
      </c>
      <c r="O1126" s="5">
        <v>67.557775419999999</v>
      </c>
      <c r="P1126" s="2">
        <v>12646</v>
      </c>
      <c r="Q1126" s="7">
        <f t="shared" si="259"/>
        <v>210.76666666666668</v>
      </c>
      <c r="R1126" s="6">
        <f t="shared" si="260"/>
        <v>16.357079472008159</v>
      </c>
      <c r="S1126" s="6">
        <f t="shared" si="266"/>
        <v>145.95040524689168</v>
      </c>
      <c r="T1126" s="2">
        <f t="shared" si="267"/>
        <v>1</v>
      </c>
      <c r="U1126" s="6">
        <f t="shared" si="268"/>
        <v>145.95040524689168</v>
      </c>
      <c r="V1126">
        <f t="shared" si="269"/>
        <v>0.26794383082257378</v>
      </c>
      <c r="W1126" s="6">
        <f t="shared" si="261"/>
        <v>39.10651069195923</v>
      </c>
      <c r="AK1126" s="78">
        <v>45043.427083333336</v>
      </c>
      <c r="AL1126" s="79">
        <v>3.3403802934377502E-2</v>
      </c>
      <c r="AM1126" s="5">
        <v>55.839219309999997</v>
      </c>
      <c r="AN1126" s="2">
        <v>28553</v>
      </c>
      <c r="AO1126" s="7">
        <f t="shared" si="270"/>
        <v>475.88333333333333</v>
      </c>
      <c r="AP1126" s="5">
        <f t="shared" si="262"/>
        <v>15.896313086421348</v>
      </c>
      <c r="AQ1126" s="6">
        <f t="shared" si="263"/>
        <v>143.92241692469457</v>
      </c>
      <c r="AR1126" s="2">
        <f t="shared" si="264"/>
        <v>-2.1301186875174403</v>
      </c>
      <c r="AS1126" s="2">
        <f t="shared" si="265"/>
        <v>-306.57182984396826</v>
      </c>
    </row>
    <row r="1127" spans="13:45" x14ac:dyDescent="0.3">
      <c r="M1127" s="78">
        <v>45044.4375</v>
      </c>
      <c r="N1127" s="79">
        <v>7.41344643194016E-2</v>
      </c>
      <c r="O1127" s="5">
        <v>60.433929669999998</v>
      </c>
      <c r="P1127" s="2">
        <v>12993</v>
      </c>
      <c r="Q1127" s="7">
        <f t="shared" si="259"/>
        <v>216.55</v>
      </c>
      <c r="R1127" s="6">
        <f t="shared" si="260"/>
        <v>16.053818248366419</v>
      </c>
      <c r="S1127" s="6">
        <f t="shared" si="266"/>
        <v>144.61898418586418</v>
      </c>
      <c r="T1127" s="2">
        <f t="shared" si="267"/>
        <v>1</v>
      </c>
      <c r="U1127" s="6">
        <f t="shared" si="268"/>
        <v>144.61898418586418</v>
      </c>
      <c r="V1127">
        <f t="shared" si="269"/>
        <v>0.21243202746123213</v>
      </c>
      <c r="W1127" s="6">
        <f t="shared" si="261"/>
        <v>30.721704019986994</v>
      </c>
      <c r="AK1127" s="78">
        <v>45043.4375</v>
      </c>
      <c r="AL1127" s="79">
        <v>3.68338801415376E-2</v>
      </c>
      <c r="AM1127" s="5">
        <v>57.780893030000001</v>
      </c>
      <c r="AN1127" s="2">
        <v>28206</v>
      </c>
      <c r="AO1127" s="7">
        <f t="shared" si="270"/>
        <v>470.1</v>
      </c>
      <c r="AP1127" s="5">
        <f t="shared" si="262"/>
        <v>17.315607054536827</v>
      </c>
      <c r="AQ1127" s="6">
        <f t="shared" si="263"/>
        <v>150.07783120415615</v>
      </c>
      <c r="AR1127" s="2">
        <f t="shared" si="264"/>
        <v>-2.1301186875174403</v>
      </c>
      <c r="AS1127" s="2">
        <f t="shared" si="265"/>
        <v>-319.68359283006106</v>
      </c>
    </row>
    <row r="1128" spans="13:45" x14ac:dyDescent="0.3">
      <c r="M1128" s="78">
        <v>45044.447916666664</v>
      </c>
      <c r="N1128" s="79">
        <v>7.3831097763896694E-2</v>
      </c>
      <c r="O1128" s="5">
        <v>62.654512349999997</v>
      </c>
      <c r="P1128" s="2">
        <v>12793</v>
      </c>
      <c r="Q1128" s="7">
        <f t="shared" si="259"/>
        <v>213.21666666666667</v>
      </c>
      <c r="R1128" s="6">
        <f t="shared" si="260"/>
        <v>15.74202056155884</v>
      </c>
      <c r="S1128" s="6">
        <f t="shared" si="266"/>
        <v>143.23663424027112</v>
      </c>
      <c r="T1128" s="2">
        <f t="shared" si="267"/>
        <v>1</v>
      </c>
      <c r="U1128" s="6">
        <f t="shared" si="268"/>
        <v>143.23663424027112</v>
      </c>
      <c r="V1128">
        <f t="shared" si="269"/>
        <v>0.15535762912328008</v>
      </c>
      <c r="W1128" s="6">
        <f t="shared" si="261"/>
        <v>22.252903899166959</v>
      </c>
      <c r="AK1128" s="78">
        <v>45043.447916666664</v>
      </c>
      <c r="AL1128" s="79">
        <v>3.4073789391353901E-2</v>
      </c>
      <c r="AM1128" s="5">
        <v>57.780893030000001</v>
      </c>
      <c r="AN1128" s="2">
        <v>27876</v>
      </c>
      <c r="AO1128" s="7">
        <f t="shared" si="270"/>
        <v>464.6</v>
      </c>
      <c r="AP1128" s="5">
        <f t="shared" si="262"/>
        <v>15.830682551223022</v>
      </c>
      <c r="AQ1128" s="6">
        <f t="shared" si="263"/>
        <v>143.63112644185549</v>
      </c>
      <c r="AR1128" s="2">
        <f t="shared" si="264"/>
        <v>-2.1301186875174403</v>
      </c>
      <c r="AS1128" s="2">
        <f t="shared" si="265"/>
        <v>-305.95134654297669</v>
      </c>
    </row>
    <row r="1129" spans="13:45" x14ac:dyDescent="0.3">
      <c r="M1129" s="78">
        <v>45044.458333333336</v>
      </c>
      <c r="N1129" s="79">
        <v>7.4830493418011901E-2</v>
      </c>
      <c r="O1129" s="5">
        <v>64.837941950000001</v>
      </c>
      <c r="P1129" s="2">
        <v>12399</v>
      </c>
      <c r="Q1129" s="7">
        <f t="shared" si="259"/>
        <v>206.65</v>
      </c>
      <c r="R1129" s="6">
        <f t="shared" si="260"/>
        <v>15.46372146483216</v>
      </c>
      <c r="S1129" s="6">
        <f t="shared" si="266"/>
        <v>141.99095087549142</v>
      </c>
      <c r="T1129" s="2">
        <f t="shared" si="267"/>
        <v>1</v>
      </c>
      <c r="U1129" s="6">
        <f t="shared" si="268"/>
        <v>141.99095087549142</v>
      </c>
      <c r="V1129">
        <f t="shared" si="269"/>
        <v>0.10441512962528587</v>
      </c>
      <c r="W1129" s="6">
        <f t="shared" si="261"/>
        <v>14.826003541282036</v>
      </c>
      <c r="AK1129" s="78">
        <v>45043.458333333336</v>
      </c>
      <c r="AL1129" s="79">
        <v>3.5858640923971397E-2</v>
      </c>
      <c r="AM1129" s="5">
        <v>53.869685959999998</v>
      </c>
      <c r="AN1129" s="2">
        <v>28253</v>
      </c>
      <c r="AO1129" s="7">
        <f t="shared" si="270"/>
        <v>470.88333333333333</v>
      </c>
      <c r="AP1129" s="5">
        <f t="shared" si="262"/>
        <v>16.885236367082729</v>
      </c>
      <c r="AQ1129" s="6">
        <f t="shared" si="263"/>
        <v>148.23946581881594</v>
      </c>
      <c r="AR1129" s="2">
        <f t="shared" si="264"/>
        <v>-2.1301186875174403</v>
      </c>
      <c r="AS1129" s="2">
        <f t="shared" si="265"/>
        <v>-315.76765636826269</v>
      </c>
    </row>
    <row r="1130" spans="13:45" x14ac:dyDescent="0.3">
      <c r="M1130" s="78">
        <v>45044.46875</v>
      </c>
      <c r="N1130" s="79">
        <v>7.1587867357767496E-2</v>
      </c>
      <c r="O1130" s="5">
        <v>61.555361079999997</v>
      </c>
      <c r="P1130" s="2">
        <v>12914</v>
      </c>
      <c r="Q1130" s="7">
        <f t="shared" si="259"/>
        <v>215.23333333333332</v>
      </c>
      <c r="R1130" s="6">
        <f t="shared" si="260"/>
        <v>15.408095317636823</v>
      </c>
      <c r="S1130" s="6">
        <f t="shared" si="266"/>
        <v>141.74059667603328</v>
      </c>
      <c r="T1130" s="2">
        <f t="shared" si="267"/>
        <v>1</v>
      </c>
      <c r="U1130" s="6">
        <f t="shared" si="268"/>
        <v>141.74059667603328</v>
      </c>
      <c r="V1130">
        <f t="shared" si="269"/>
        <v>9.4232793394576381E-2</v>
      </c>
      <c r="W1130" s="6">
        <f t="shared" si="261"/>
        <v>13.356612362196623</v>
      </c>
      <c r="AK1130" s="78">
        <v>45043.46875</v>
      </c>
      <c r="AL1130" s="79">
        <v>3.3626791223011501E-2</v>
      </c>
      <c r="AM1130" s="5">
        <v>55.832518540000002</v>
      </c>
      <c r="AN1130" s="2">
        <v>27637</v>
      </c>
      <c r="AO1130" s="7">
        <f t="shared" si="270"/>
        <v>460.61666666666667</v>
      </c>
      <c r="AP1130" s="5">
        <f t="shared" si="262"/>
        <v>15.489060483839481</v>
      </c>
      <c r="AQ1130" s="6">
        <f t="shared" si="263"/>
        <v>142.10484074287433</v>
      </c>
      <c r="AR1130" s="2">
        <f t="shared" si="264"/>
        <v>-2.1301186875174403</v>
      </c>
      <c r="AS1130" s="2">
        <f t="shared" si="265"/>
        <v>-302.70017685308636</v>
      </c>
    </row>
    <row r="1131" spans="13:45" x14ac:dyDescent="0.3">
      <c r="M1131" s="78">
        <v>45044.479166666664</v>
      </c>
      <c r="N1131" s="79">
        <v>7.7800717195421101E-2</v>
      </c>
      <c r="O1131" s="5">
        <v>63.92387093</v>
      </c>
      <c r="P1131" s="2">
        <v>12647</v>
      </c>
      <c r="Q1131" s="7">
        <f t="shared" si="259"/>
        <v>210.78333333333333</v>
      </c>
      <c r="R1131" s="6">
        <f t="shared" si="260"/>
        <v>16.399094506174844</v>
      </c>
      <c r="S1131" s="6">
        <f t="shared" si="266"/>
        <v>146.13386888953983</v>
      </c>
      <c r="T1131" s="2">
        <f t="shared" si="267"/>
        <v>1</v>
      </c>
      <c r="U1131" s="6">
        <f t="shared" si="268"/>
        <v>146.13386888953983</v>
      </c>
      <c r="V1131">
        <f t="shared" si="269"/>
        <v>0.27563466015734017</v>
      </c>
      <c r="W1131" s="6">
        <f t="shared" si="261"/>
        <v>40.279559288845618</v>
      </c>
      <c r="AK1131" s="78">
        <v>45043.479166666664</v>
      </c>
      <c r="AL1131" s="79">
        <v>3.41055149404835E-2</v>
      </c>
      <c r="AM1131" s="5">
        <v>56.614200629999999</v>
      </c>
      <c r="AN1131" s="2">
        <v>27312</v>
      </c>
      <c r="AO1131" s="7">
        <f t="shared" si="270"/>
        <v>455.2</v>
      </c>
      <c r="AP1131" s="5">
        <f t="shared" si="262"/>
        <v>15.524830400908089</v>
      </c>
      <c r="AQ1131" s="6">
        <f t="shared" si="263"/>
        <v>142.26545206392203</v>
      </c>
      <c r="AR1131" s="2">
        <f t="shared" si="264"/>
        <v>-2.1301186875174403</v>
      </c>
      <c r="AS1131" s="2">
        <f t="shared" si="265"/>
        <v>-303.04229802947691</v>
      </c>
    </row>
    <row r="1132" spans="13:45" x14ac:dyDescent="0.3">
      <c r="M1132" s="78">
        <v>45044.489583333336</v>
      </c>
      <c r="N1132" s="79">
        <v>7.3608568350123596E-2</v>
      </c>
      <c r="O1132" s="5">
        <v>64.837941950000001</v>
      </c>
      <c r="P1132" s="2">
        <v>12435</v>
      </c>
      <c r="Q1132" s="7">
        <f t="shared" si="259"/>
        <v>207.25</v>
      </c>
      <c r="R1132" s="6">
        <f t="shared" si="260"/>
        <v>15.255375790563114</v>
      </c>
      <c r="S1132" s="6">
        <f t="shared" si="266"/>
        <v>141.05087734149123</v>
      </c>
      <c r="T1132" s="2">
        <f t="shared" si="267"/>
        <v>1</v>
      </c>
      <c r="U1132" s="6">
        <f t="shared" si="268"/>
        <v>141.05087734149123</v>
      </c>
      <c r="V1132">
        <f t="shared" si="269"/>
        <v>6.6277566364403809E-2</v>
      </c>
      <c r="W1132" s="6">
        <f t="shared" si="261"/>
        <v>9.3485088837580665</v>
      </c>
      <c r="AK1132" s="78">
        <v>45043.489583333336</v>
      </c>
      <c r="AL1132" s="79">
        <v>3.3815203188143697E-2</v>
      </c>
      <c r="AM1132" s="5">
        <v>59.685691249999998</v>
      </c>
      <c r="AN1132" s="2">
        <v>27320</v>
      </c>
      <c r="AO1132" s="7">
        <f t="shared" si="270"/>
        <v>455.33333333333331</v>
      </c>
      <c r="AP1132" s="5">
        <f t="shared" si="262"/>
        <v>15.39718918500143</v>
      </c>
      <c r="AQ1132" s="6">
        <f t="shared" si="263"/>
        <v>141.69145786616923</v>
      </c>
      <c r="AR1132" s="2">
        <f t="shared" si="264"/>
        <v>-2.1301186875174403</v>
      </c>
      <c r="AS1132" s="2">
        <f t="shared" si="265"/>
        <v>-301.81962226231707</v>
      </c>
    </row>
    <row r="1133" spans="13:45" x14ac:dyDescent="0.3">
      <c r="M1133" s="78">
        <v>45044.5</v>
      </c>
      <c r="N1133" s="79">
        <v>7.98995727887815E-2</v>
      </c>
      <c r="O1133" s="5">
        <v>62.654512349999997</v>
      </c>
      <c r="P1133" s="2">
        <v>12662</v>
      </c>
      <c r="Q1133" s="7">
        <f t="shared" si="259"/>
        <v>211.03333333333333</v>
      </c>
      <c r="R1133" s="6">
        <f t="shared" si="260"/>
        <v>16.861473177525856</v>
      </c>
      <c r="S1133" s="6">
        <f t="shared" si="266"/>
        <v>148.1372666031115</v>
      </c>
      <c r="T1133" s="2">
        <f t="shared" si="267"/>
        <v>1</v>
      </c>
      <c r="U1133" s="6">
        <f t="shared" si="268"/>
        <v>148.1372666031115</v>
      </c>
      <c r="V1133">
        <f t="shared" si="269"/>
        <v>0.36027282646916037</v>
      </c>
      <c r="W1133" s="6">
        <f t="shared" si="261"/>
        <v>53.369831744518535</v>
      </c>
      <c r="AK1133" s="78">
        <v>45043.5</v>
      </c>
      <c r="AL1133" s="79">
        <v>3.4388134007096401E-2</v>
      </c>
      <c r="AM1133" s="5">
        <v>57.774288900000002</v>
      </c>
      <c r="AN1133" s="2">
        <v>27596</v>
      </c>
      <c r="AO1133" s="7">
        <f t="shared" si="270"/>
        <v>459.93333333333334</v>
      </c>
      <c r="AP1133" s="5">
        <f t="shared" si="262"/>
        <v>15.816249100997204</v>
      </c>
      <c r="AQ1133" s="6">
        <f t="shared" si="263"/>
        <v>143.56698329628534</v>
      </c>
      <c r="AR1133" s="2">
        <f t="shared" si="264"/>
        <v>-2.1301186875174403</v>
      </c>
      <c r="AS1133" s="2">
        <f t="shared" si="265"/>
        <v>-305.81471402992162</v>
      </c>
    </row>
    <row r="1134" spans="13:45" x14ac:dyDescent="0.3">
      <c r="M1134" s="78">
        <v>45044.510416666664</v>
      </c>
      <c r="N1134" s="79">
        <v>8.2407011852606696E-2</v>
      </c>
      <c r="O1134" s="5">
        <v>62.654512349999997</v>
      </c>
      <c r="P1134" s="2">
        <v>12517</v>
      </c>
      <c r="Q1134" s="7">
        <f t="shared" si="259"/>
        <v>208.61666666666667</v>
      </c>
      <c r="R1134" s="6">
        <f t="shared" si="260"/>
        <v>17.191476122651302</v>
      </c>
      <c r="S1134" s="6">
        <f t="shared" si="266"/>
        <v>149.55001166785328</v>
      </c>
      <c r="T1134" s="2">
        <f t="shared" si="267"/>
        <v>1</v>
      </c>
      <c r="U1134" s="6">
        <f t="shared" si="268"/>
        <v>149.55001166785328</v>
      </c>
      <c r="V1134">
        <f t="shared" si="269"/>
        <v>0.42067968751944995</v>
      </c>
      <c r="W1134" s="6">
        <f t="shared" si="261"/>
        <v>62.912652176962617</v>
      </c>
      <c r="AK1134" s="78">
        <v>45043.510416666664</v>
      </c>
      <c r="AL1134" s="79">
        <v>3.5053108100226001E-2</v>
      </c>
      <c r="AM1134" s="5">
        <v>60.811216330000001</v>
      </c>
      <c r="AN1134" s="2">
        <v>26227</v>
      </c>
      <c r="AO1134" s="7">
        <f t="shared" si="270"/>
        <v>437.11666666666667</v>
      </c>
      <c r="AP1134" s="5">
        <f t="shared" si="262"/>
        <v>15.322297769077123</v>
      </c>
      <c r="AQ1134" s="6">
        <f t="shared" si="263"/>
        <v>141.35354530678453</v>
      </c>
      <c r="AR1134" s="2">
        <f t="shared" si="264"/>
        <v>-2.1301186875174403</v>
      </c>
      <c r="AS1134" s="2">
        <f t="shared" si="265"/>
        <v>-301.0998284048249</v>
      </c>
    </row>
    <row r="1135" spans="13:45" x14ac:dyDescent="0.3">
      <c r="M1135" s="78">
        <v>45044.520833333336</v>
      </c>
      <c r="N1135" s="79">
        <v>7.1301286040212894E-2</v>
      </c>
      <c r="O1135" s="5">
        <v>62.654512349999997</v>
      </c>
      <c r="P1135" s="2">
        <v>13034</v>
      </c>
      <c r="Q1135" s="7">
        <f t="shared" si="259"/>
        <v>217.23333333333332</v>
      </c>
      <c r="R1135" s="6">
        <f t="shared" si="260"/>
        <v>15.489016037468913</v>
      </c>
      <c r="S1135" s="6">
        <f t="shared" si="266"/>
        <v>142.10464105553913</v>
      </c>
      <c r="T1135" s="2">
        <f t="shared" si="267"/>
        <v>1</v>
      </c>
      <c r="U1135" s="6">
        <f t="shared" si="268"/>
        <v>142.10464105553913</v>
      </c>
      <c r="V1135">
        <f t="shared" si="269"/>
        <v>0.10904528749861621</v>
      </c>
      <c r="W1135" s="6">
        <f t="shared" si="261"/>
        <v>15.495841438788926</v>
      </c>
      <c r="AK1135" s="78">
        <v>45043.520833333336</v>
      </c>
      <c r="AL1135" s="79">
        <v>3.5713040516911397E-2</v>
      </c>
      <c r="AM1135" s="5">
        <v>57.774288900000002</v>
      </c>
      <c r="AN1135" s="2">
        <v>26648</v>
      </c>
      <c r="AO1135" s="7">
        <f t="shared" si="270"/>
        <v>444.13333333333333</v>
      </c>
      <c r="AP1135" s="5">
        <f t="shared" si="262"/>
        <v>15.861351728244248</v>
      </c>
      <c r="AQ1135" s="6">
        <f t="shared" si="263"/>
        <v>143.76732315702924</v>
      </c>
      <c r="AR1135" s="2">
        <f t="shared" si="264"/>
        <v>-2.1301186875174403</v>
      </c>
      <c r="AS1135" s="2">
        <f t="shared" si="265"/>
        <v>-306.24146171114683</v>
      </c>
    </row>
    <row r="1136" spans="13:45" x14ac:dyDescent="0.3">
      <c r="M1136" s="78">
        <v>45044.53125</v>
      </c>
      <c r="N1136" s="79">
        <v>7.7006100676940095E-2</v>
      </c>
      <c r="O1136" s="5">
        <v>64.837941950000001</v>
      </c>
      <c r="P1136" s="2">
        <v>12427</v>
      </c>
      <c r="Q1136" s="7">
        <f t="shared" si="259"/>
        <v>207.11666666666667</v>
      </c>
      <c r="R1136" s="6">
        <f t="shared" si="260"/>
        <v>15.949246885205577</v>
      </c>
      <c r="S1136" s="6">
        <f t="shared" si="266"/>
        <v>144.1569081906471</v>
      </c>
      <c r="T1136" s="2">
        <f t="shared" si="267"/>
        <v>1</v>
      </c>
      <c r="U1136" s="6">
        <f t="shared" si="268"/>
        <v>144.1569081906471</v>
      </c>
      <c r="V1136">
        <f t="shared" si="269"/>
        <v>0.19329029585670032</v>
      </c>
      <c r="W1136" s="6">
        <f t="shared" si="261"/>
        <v>27.864131433957365</v>
      </c>
      <c r="AK1136" s="78">
        <v>45043.53125</v>
      </c>
      <c r="AL1136" s="79">
        <v>3.4490572002215197E-2</v>
      </c>
      <c r="AM1136" s="5">
        <v>61.92162476</v>
      </c>
      <c r="AN1136" s="2">
        <v>26099</v>
      </c>
      <c r="AO1136" s="7">
        <f t="shared" si="270"/>
        <v>434.98333333333335</v>
      </c>
      <c r="AP1136" s="5">
        <f t="shared" si="262"/>
        <v>15.002823978096908</v>
      </c>
      <c r="AQ1136" s="6">
        <f t="shared" si="263"/>
        <v>139.90251364963837</v>
      </c>
      <c r="AR1136" s="2">
        <f t="shared" si="264"/>
        <v>-2.1301186875174403</v>
      </c>
      <c r="AS1136" s="2">
        <f t="shared" si="265"/>
        <v>-298.00895875575844</v>
      </c>
    </row>
    <row r="1137" spans="13:45" x14ac:dyDescent="0.3">
      <c r="M1137" s="78">
        <v>45044.541666666664</v>
      </c>
      <c r="N1137" s="79">
        <v>7.9268572479027494E-2</v>
      </c>
      <c r="O1137" s="5">
        <v>64.837941950000001</v>
      </c>
      <c r="P1137" s="2">
        <v>11837</v>
      </c>
      <c r="Q1137" s="7">
        <f t="shared" si="259"/>
        <v>197.28333333333333</v>
      </c>
      <c r="R1137" s="6">
        <f t="shared" si="260"/>
        <v>15.638368207237473</v>
      </c>
      <c r="S1137" s="6">
        <f t="shared" si="266"/>
        <v>142.7740036536924</v>
      </c>
      <c r="T1137" s="2">
        <f t="shared" si="267"/>
        <v>1</v>
      </c>
      <c r="U1137" s="6">
        <f t="shared" si="268"/>
        <v>142.7740036536924</v>
      </c>
      <c r="V1137">
        <f t="shared" si="269"/>
        <v>0.13638412159095778</v>
      </c>
      <c r="W1137" s="6">
        <f t="shared" si="261"/>
        <v>19.472107074333035</v>
      </c>
      <c r="AK1137" s="78">
        <v>45043.541666666664</v>
      </c>
      <c r="AL1137" s="79">
        <v>3.6718753899814403E-2</v>
      </c>
      <c r="AM1137" s="5">
        <v>57.780893030000001</v>
      </c>
      <c r="AN1137" s="2">
        <v>25697</v>
      </c>
      <c r="AO1137" s="7">
        <f t="shared" si="270"/>
        <v>428.28333333333336</v>
      </c>
      <c r="AP1137" s="5">
        <f t="shared" si="262"/>
        <v>15.726030316058846</v>
      </c>
      <c r="AQ1137" s="6">
        <f t="shared" si="263"/>
        <v>143.16536674948662</v>
      </c>
      <c r="AR1137" s="2">
        <f t="shared" si="264"/>
        <v>-2.1301186875174403</v>
      </c>
      <c r="AS1137" s="2">
        <f t="shared" si="265"/>
        <v>-304.95922311836944</v>
      </c>
    </row>
    <row r="1138" spans="13:45" x14ac:dyDescent="0.3">
      <c r="M1138" s="78">
        <v>45044.552083333336</v>
      </c>
      <c r="N1138" s="79">
        <v>7.6208725385623205E-2</v>
      </c>
      <c r="O1138" s="5">
        <v>63.92387093</v>
      </c>
      <c r="P1138" s="2">
        <v>12019</v>
      </c>
      <c r="Q1138" s="7">
        <f t="shared" si="259"/>
        <v>200.31666666666666</v>
      </c>
      <c r="R1138" s="6">
        <f t="shared" si="260"/>
        <v>15.265877840163421</v>
      </c>
      <c r="S1138" s="6">
        <f t="shared" si="266"/>
        <v>141.09841970702908</v>
      </c>
      <c r="T1138" s="2">
        <f t="shared" si="267"/>
        <v>1</v>
      </c>
      <c r="U1138" s="6">
        <f t="shared" si="268"/>
        <v>141.09841970702908</v>
      </c>
      <c r="V1138">
        <f t="shared" si="269"/>
        <v>6.8199960877300722E-2</v>
      </c>
      <c r="W1138" s="6">
        <f t="shared" si="261"/>
        <v>9.62290670386834</v>
      </c>
      <c r="AK1138" s="78">
        <v>45043.552083333336</v>
      </c>
      <c r="AL1138" s="79">
        <v>3.9108465044834902E-2</v>
      </c>
      <c r="AM1138" s="5">
        <v>58.930610829999999</v>
      </c>
      <c r="AN1138" s="2">
        <v>25400</v>
      </c>
      <c r="AO1138" s="7">
        <f t="shared" si="270"/>
        <v>423.33333333333331</v>
      </c>
      <c r="AP1138" s="5">
        <f t="shared" si="262"/>
        <v>16.555916868980109</v>
      </c>
      <c r="AQ1138" s="6">
        <f t="shared" si="263"/>
        <v>146.81654268972068</v>
      </c>
      <c r="AR1138" s="2">
        <f t="shared" si="264"/>
        <v>-2.1301186875174403</v>
      </c>
      <c r="AS1138" s="2">
        <f t="shared" si="265"/>
        <v>-312.73666122007603</v>
      </c>
    </row>
    <row r="1139" spans="13:45" x14ac:dyDescent="0.3">
      <c r="M1139" s="78">
        <v>45044.5625</v>
      </c>
      <c r="N1139" s="79">
        <v>7.39935634854679E-2</v>
      </c>
      <c r="O1139" s="5">
        <v>64.83012798</v>
      </c>
      <c r="P1139" s="2">
        <v>12175</v>
      </c>
      <c r="Q1139" s="7">
        <f t="shared" si="259"/>
        <v>202.91666666666666</v>
      </c>
      <c r="R1139" s="6">
        <f t="shared" si="260"/>
        <v>15.014527257259527</v>
      </c>
      <c r="S1139" s="6">
        <f t="shared" si="266"/>
        <v>139.95594593595806</v>
      </c>
      <c r="T1139" s="2">
        <f t="shared" si="267"/>
        <v>1</v>
      </c>
      <c r="U1139" s="6">
        <f t="shared" si="268"/>
        <v>139.95594593595806</v>
      </c>
      <c r="V1139">
        <f t="shared" si="269"/>
        <v>2.2190372294347071E-2</v>
      </c>
      <c r="W1139" s="6">
        <f t="shared" si="261"/>
        <v>3.10567454512642</v>
      </c>
      <c r="AK1139" s="78">
        <v>45043.5625</v>
      </c>
      <c r="AL1139" s="79">
        <v>3.6480661633137998E-2</v>
      </c>
      <c r="AM1139" s="5">
        <v>54.263216800000002</v>
      </c>
      <c r="AN1139" s="2">
        <v>25021</v>
      </c>
      <c r="AO1139" s="7">
        <f t="shared" si="270"/>
        <v>417.01666666666665</v>
      </c>
      <c r="AP1139" s="5">
        <f t="shared" si="262"/>
        <v>15.213043912045764</v>
      </c>
      <c r="AQ1139" s="6">
        <f t="shared" si="263"/>
        <v>140.85907304409685</v>
      </c>
      <c r="AR1139" s="2">
        <f t="shared" si="264"/>
        <v>-2.1301186875174403</v>
      </c>
      <c r="AS1139" s="2">
        <f t="shared" si="265"/>
        <v>-300.04654379761485</v>
      </c>
    </row>
    <row r="1140" spans="13:45" x14ac:dyDescent="0.3">
      <c r="M1140" s="78">
        <v>45044.572916666664</v>
      </c>
      <c r="N1140" s="79">
        <v>7.6771314604124202E-2</v>
      </c>
      <c r="O1140" s="5">
        <v>63.92387093</v>
      </c>
      <c r="P1140" s="2">
        <v>11919</v>
      </c>
      <c r="Q1140" s="7">
        <f t="shared" si="259"/>
        <v>198.65</v>
      </c>
      <c r="R1140" s="6">
        <f t="shared" si="260"/>
        <v>15.250621646109273</v>
      </c>
      <c r="S1140" s="6">
        <f t="shared" si="266"/>
        <v>141.02935002499845</v>
      </c>
      <c r="T1140" s="2">
        <f t="shared" si="267"/>
        <v>1</v>
      </c>
      <c r="U1140" s="6">
        <f t="shared" si="268"/>
        <v>141.02935002499845</v>
      </c>
      <c r="V1140">
        <f t="shared" si="269"/>
        <v>6.540732278725328E-2</v>
      </c>
      <c r="W1140" s="6">
        <f t="shared" si="261"/>
        <v>9.2243522195616006</v>
      </c>
      <c r="AK1140" s="78">
        <v>45043.572916666664</v>
      </c>
      <c r="AL1140" s="79">
        <v>4.11167296942535E-2</v>
      </c>
      <c r="AM1140" s="5">
        <v>60.811216330000001</v>
      </c>
      <c r="AN1140" s="2">
        <v>24220</v>
      </c>
      <c r="AO1140" s="7">
        <f t="shared" si="270"/>
        <v>403.66666666666669</v>
      </c>
      <c r="AP1140" s="5">
        <f t="shared" si="262"/>
        <v>16.597453219913664</v>
      </c>
      <c r="AQ1140" s="6">
        <f t="shared" si="263"/>
        <v>146.99680397163283</v>
      </c>
      <c r="AR1140" s="2">
        <f t="shared" si="264"/>
        <v>-2.1301186875174403</v>
      </c>
      <c r="AS1140" s="2">
        <f t="shared" si="265"/>
        <v>-313.12063914531296</v>
      </c>
    </row>
    <row r="1141" spans="13:45" x14ac:dyDescent="0.3">
      <c r="M1141" s="78">
        <v>45044.583333333336</v>
      </c>
      <c r="N1141" s="79">
        <v>7.6309295412755204E-2</v>
      </c>
      <c r="O1141" s="5">
        <v>66.203758769999993</v>
      </c>
      <c r="P1141" s="2">
        <v>12124</v>
      </c>
      <c r="Q1141" s="7">
        <f t="shared" si="259"/>
        <v>202.06666666666666</v>
      </c>
      <c r="R1141" s="6">
        <f t="shared" si="260"/>
        <v>15.419564959737402</v>
      </c>
      <c r="S1141" s="6">
        <f t="shared" si="266"/>
        <v>141.79225529689569</v>
      </c>
      <c r="T1141" s="2">
        <f t="shared" si="267"/>
        <v>1</v>
      </c>
      <c r="U1141" s="6">
        <f t="shared" si="268"/>
        <v>141.79225529689569</v>
      </c>
      <c r="V1141">
        <f t="shared" si="269"/>
        <v>9.6332305192578196E-2</v>
      </c>
      <c r="W1141" s="6">
        <f t="shared" si="261"/>
        <v>13.659174811204517</v>
      </c>
      <c r="AK1141" s="78">
        <v>45043.583333333336</v>
      </c>
      <c r="AL1141" s="79">
        <v>3.8913014054462097E-2</v>
      </c>
      <c r="AM1141" s="5">
        <v>59.309003199999999</v>
      </c>
      <c r="AN1141" s="2">
        <v>23663</v>
      </c>
      <c r="AO1141" s="7">
        <f t="shared" si="270"/>
        <v>394.38333333333333</v>
      </c>
      <c r="AP1141" s="5">
        <f t="shared" si="262"/>
        <v>15.346644192845609</v>
      </c>
      <c r="AQ1141" s="6">
        <f t="shared" si="263"/>
        <v>141.46348945557477</v>
      </c>
      <c r="AR1141" s="2">
        <f t="shared" si="264"/>
        <v>-2.1301186875174403</v>
      </c>
      <c r="AS1141" s="2">
        <f t="shared" si="265"/>
        <v>-301.33402249074618</v>
      </c>
    </row>
    <row r="1142" spans="13:45" x14ac:dyDescent="0.3">
      <c r="M1142" s="78">
        <v>45044.59375</v>
      </c>
      <c r="N1142" s="79">
        <v>7.6339764076192806E-2</v>
      </c>
      <c r="O1142" s="5">
        <v>64.837941950000001</v>
      </c>
      <c r="P1142" s="2">
        <v>11940</v>
      </c>
      <c r="Q1142" s="7">
        <f t="shared" si="259"/>
        <v>199</v>
      </c>
      <c r="R1142" s="6">
        <f t="shared" si="260"/>
        <v>15.191613051162369</v>
      </c>
      <c r="S1142" s="6">
        <f t="shared" si="266"/>
        <v>140.76186669965961</v>
      </c>
      <c r="T1142" s="2">
        <f t="shared" si="267"/>
        <v>1</v>
      </c>
      <c r="U1142" s="6">
        <f t="shared" si="268"/>
        <v>140.76186669965961</v>
      </c>
      <c r="V1142">
        <f t="shared" si="269"/>
        <v>5.4605831320637822E-2</v>
      </c>
      <c r="W1142" s="6">
        <f t="shared" si="261"/>
        <v>7.6864187493797189</v>
      </c>
      <c r="AK1142" s="78">
        <v>45043.59375</v>
      </c>
      <c r="AL1142" s="79">
        <v>4.1968495755787198E-2</v>
      </c>
      <c r="AM1142" s="5">
        <v>59.309003199999999</v>
      </c>
      <c r="AN1142" s="2">
        <v>23191</v>
      </c>
      <c r="AO1142" s="7">
        <f t="shared" si="270"/>
        <v>386.51666666666665</v>
      </c>
      <c r="AP1142" s="5">
        <f t="shared" si="262"/>
        <v>16.221523084541015</v>
      </c>
      <c r="AQ1142" s="6">
        <f t="shared" si="263"/>
        <v>145.3568367736035</v>
      </c>
      <c r="AR1142" s="2">
        <f t="shared" si="264"/>
        <v>-2.1301186875174403</v>
      </c>
      <c r="AS1142" s="2">
        <f t="shared" si="265"/>
        <v>-309.62731436987508</v>
      </c>
    </row>
    <row r="1143" spans="13:45" x14ac:dyDescent="0.3">
      <c r="M1143" s="78">
        <v>45044.604166666664</v>
      </c>
      <c r="N1143" s="79">
        <v>7.2404861542127094E-2</v>
      </c>
      <c r="O1143" s="5">
        <v>62.654512349999997</v>
      </c>
      <c r="P1143" s="2">
        <v>12312</v>
      </c>
      <c r="Q1143" s="7">
        <f t="shared" si="259"/>
        <v>205.2</v>
      </c>
      <c r="R1143" s="6">
        <f t="shared" si="260"/>
        <v>14.857477588444478</v>
      </c>
      <c r="S1143" s="6">
        <f t="shared" si="266"/>
        <v>139.23714197469604</v>
      </c>
      <c r="T1143" s="2">
        <f t="shared" si="267"/>
        <v>1</v>
      </c>
      <c r="U1143" s="6">
        <f t="shared" si="268"/>
        <v>139.23714197469604</v>
      </c>
      <c r="V1143">
        <f t="shared" si="269"/>
        <v>0</v>
      </c>
      <c r="W1143" s="6">
        <f t="shared" si="261"/>
        <v>0</v>
      </c>
      <c r="AK1143" s="78">
        <v>45043.604166666664</v>
      </c>
      <c r="AL1143" s="79">
        <v>3.9767719870423698E-2</v>
      </c>
      <c r="AM1143" s="5">
        <v>58.163333729999998</v>
      </c>
      <c r="AN1143" s="2">
        <v>22480</v>
      </c>
      <c r="AO1143" s="7">
        <f t="shared" si="270"/>
        <v>374.66666666666669</v>
      </c>
      <c r="AP1143" s="5">
        <f t="shared" si="262"/>
        <v>14.899639044785413</v>
      </c>
      <c r="AQ1143" s="6">
        <f t="shared" si="263"/>
        <v>139.43049083212932</v>
      </c>
      <c r="AR1143" s="2">
        <f t="shared" si="264"/>
        <v>-2.1301186875174403</v>
      </c>
      <c r="AS1143" s="2">
        <f t="shared" si="265"/>
        <v>-297.00349413124781</v>
      </c>
    </row>
    <row r="1144" spans="13:45" x14ac:dyDescent="0.3">
      <c r="M1144" s="78">
        <v>45044.614583333336</v>
      </c>
      <c r="N1144" s="79">
        <v>7.3445542493748101E-2</v>
      </c>
      <c r="O1144" s="5">
        <v>63.469872090000003</v>
      </c>
      <c r="P1144" s="2">
        <v>12185</v>
      </c>
      <c r="Q1144" s="7">
        <f t="shared" si="259"/>
        <v>203.08333333333334</v>
      </c>
      <c r="R1144" s="6">
        <f t="shared" si="260"/>
        <v>14.915565588105345</v>
      </c>
      <c r="S1144" s="6">
        <f t="shared" si="266"/>
        <v>139.50345594189429</v>
      </c>
      <c r="T1144" s="2">
        <f t="shared" si="267"/>
        <v>1</v>
      </c>
      <c r="U1144" s="6">
        <f t="shared" si="268"/>
        <v>139.50345594189429</v>
      </c>
      <c r="V1144">
        <f t="shared" si="269"/>
        <v>4.0754921509927773E-3</v>
      </c>
      <c r="W1144" s="6">
        <f t="shared" si="261"/>
        <v>0.56854523972755688</v>
      </c>
      <c r="AK1144" s="78">
        <v>45043.614583333336</v>
      </c>
      <c r="AL1144" s="79">
        <v>3.9319482053144998E-2</v>
      </c>
      <c r="AM1144" s="5">
        <v>58.156749089999998</v>
      </c>
      <c r="AN1144" s="2">
        <v>22392</v>
      </c>
      <c r="AO1144" s="7">
        <f t="shared" si="270"/>
        <v>373.2</v>
      </c>
      <c r="AP1144" s="5">
        <f t="shared" si="262"/>
        <v>14.674030702233713</v>
      </c>
      <c r="AQ1144" s="6">
        <f t="shared" si="263"/>
        <v>138.39259260062059</v>
      </c>
      <c r="AR1144" s="2">
        <f t="shared" si="264"/>
        <v>-2.1301186875174403</v>
      </c>
      <c r="AS1144" s="2">
        <f t="shared" si="265"/>
        <v>-294.79264771256976</v>
      </c>
    </row>
    <row r="1145" spans="13:45" x14ac:dyDescent="0.3">
      <c r="M1145" s="78">
        <v>45044.625</v>
      </c>
      <c r="N1145" s="79">
        <v>7.3760821990388303E-2</v>
      </c>
      <c r="O1145" s="5">
        <v>67.106545600000004</v>
      </c>
      <c r="P1145" s="2">
        <v>11906</v>
      </c>
      <c r="Q1145" s="7">
        <f t="shared" si="259"/>
        <v>198.43333333333334</v>
      </c>
      <c r="R1145" s="6">
        <f t="shared" si="260"/>
        <v>14.636605776959385</v>
      </c>
      <c r="S1145" s="6">
        <f t="shared" si="266"/>
        <v>138.21963591605405</v>
      </c>
      <c r="T1145" s="2">
        <f t="shared" si="267"/>
        <v>1</v>
      </c>
      <c r="U1145" s="6">
        <f t="shared" si="268"/>
        <v>138.21963591605405</v>
      </c>
      <c r="V1145">
        <f t="shared" si="269"/>
        <v>0</v>
      </c>
      <c r="W1145" s="6">
        <f t="shared" si="261"/>
        <v>0</v>
      </c>
      <c r="AK1145" s="78">
        <v>45043.625</v>
      </c>
      <c r="AL1145" s="79">
        <v>4.4315642655023399E-2</v>
      </c>
      <c r="AM1145" s="5">
        <v>60.811216330000001</v>
      </c>
      <c r="AN1145" s="2">
        <v>22216</v>
      </c>
      <c r="AO1145" s="7">
        <f t="shared" si="270"/>
        <v>370.26666666666665</v>
      </c>
      <c r="AP1145" s="5">
        <f t="shared" si="262"/>
        <v>16.408605287066663</v>
      </c>
      <c r="AQ1145" s="6">
        <f t="shared" si="263"/>
        <v>146.17536554004232</v>
      </c>
      <c r="AR1145" s="2">
        <f t="shared" si="264"/>
        <v>-2.1301186875174403</v>
      </c>
      <c r="AS1145" s="2">
        <f t="shared" si="265"/>
        <v>-311.370877791537</v>
      </c>
    </row>
    <row r="1146" spans="13:45" x14ac:dyDescent="0.3">
      <c r="M1146" s="78">
        <v>45044.635416666664</v>
      </c>
      <c r="N1146" s="79">
        <v>7.6341001693652405E-2</v>
      </c>
      <c r="O1146" s="5">
        <v>64.837941950000001</v>
      </c>
      <c r="P1146" s="2">
        <v>12166</v>
      </c>
      <c r="Q1146" s="7">
        <f t="shared" si="259"/>
        <v>202.76666666666668</v>
      </c>
      <c r="R1146" s="6">
        <f t="shared" si="260"/>
        <v>15.479410443416254</v>
      </c>
      <c r="S1146" s="6">
        <f t="shared" si="266"/>
        <v>142.06147846514935</v>
      </c>
      <c r="T1146" s="2">
        <f t="shared" si="267"/>
        <v>1</v>
      </c>
      <c r="U1146" s="6">
        <f t="shared" si="268"/>
        <v>142.06147846514935</v>
      </c>
      <c r="V1146">
        <f t="shared" si="269"/>
        <v>0.10728698869002878</v>
      </c>
      <c r="W1146" s="6">
        <f t="shared" si="261"/>
        <v>15.241348233379245</v>
      </c>
      <c r="AK1146" s="78">
        <v>45043.635416666664</v>
      </c>
      <c r="AL1146" s="79">
        <v>4.2048355541263599E-2</v>
      </c>
      <c r="AM1146" s="5">
        <v>60.060669519999998</v>
      </c>
      <c r="AN1146" s="2">
        <v>21218</v>
      </c>
      <c r="AO1146" s="7">
        <f t="shared" si="270"/>
        <v>353.63333333333333</v>
      </c>
      <c r="AP1146" s="5">
        <f t="shared" si="262"/>
        <v>14.869700131242183</v>
      </c>
      <c r="AQ1146" s="6">
        <f t="shared" si="263"/>
        <v>139.29322230422804</v>
      </c>
      <c r="AR1146" s="2">
        <f t="shared" si="264"/>
        <v>-2.1301186875174403</v>
      </c>
      <c r="AS1146" s="2">
        <f t="shared" si="265"/>
        <v>-296.71109587475729</v>
      </c>
    </row>
    <row r="1147" spans="13:45" x14ac:dyDescent="0.3">
      <c r="M1147" s="78">
        <v>45044.645833333336</v>
      </c>
      <c r="N1147" s="79">
        <v>7.4995907088285393E-2</v>
      </c>
      <c r="O1147" s="5">
        <v>64.837941950000001</v>
      </c>
      <c r="P1147" s="2">
        <v>11811</v>
      </c>
      <c r="Q1147" s="7">
        <f t="shared" si="259"/>
        <v>196.85</v>
      </c>
      <c r="R1147" s="6">
        <f t="shared" si="260"/>
        <v>14.762944310328979</v>
      </c>
      <c r="S1147" s="6">
        <f t="shared" si="266"/>
        <v>138.8026001536916</v>
      </c>
      <c r="T1147" s="2">
        <f t="shared" si="267"/>
        <v>1</v>
      </c>
      <c r="U1147" s="6">
        <f t="shared" si="268"/>
        <v>138.8026001536916</v>
      </c>
      <c r="V1147">
        <f t="shared" si="269"/>
        <v>0</v>
      </c>
      <c r="W1147" s="6">
        <f t="shared" si="261"/>
        <v>0</v>
      </c>
      <c r="AK1147" s="78">
        <v>45043.645833333336</v>
      </c>
      <c r="AL1147" s="79">
        <v>6.8655574733871794E-2</v>
      </c>
      <c r="AM1147" s="5">
        <v>60.060669519999998</v>
      </c>
      <c r="AN1147" s="2">
        <v>15289</v>
      </c>
      <c r="AO1147" s="7">
        <f t="shared" si="270"/>
        <v>254.81666666666666</v>
      </c>
      <c r="AP1147" s="5">
        <f t="shared" si="262"/>
        <v>17.49458470176943</v>
      </c>
      <c r="AQ1147" s="6">
        <f t="shared" si="263"/>
        <v>150.83547799674309</v>
      </c>
      <c r="AR1147" s="2">
        <f t="shared" si="264"/>
        <v>-2.1301186875174403</v>
      </c>
      <c r="AS1147" s="2">
        <f t="shared" si="265"/>
        <v>-321.29747042148813</v>
      </c>
    </row>
    <row r="1148" spans="13:45" x14ac:dyDescent="0.3">
      <c r="M1148" s="78">
        <v>45044.65625</v>
      </c>
      <c r="N1148" s="79">
        <v>7.6314674723988396E-2</v>
      </c>
      <c r="O1148" s="5">
        <v>66.203758769999993</v>
      </c>
      <c r="P1148" s="2">
        <v>12024</v>
      </c>
      <c r="Q1148" s="7">
        <f t="shared" si="259"/>
        <v>200.4</v>
      </c>
      <c r="R1148" s="6">
        <f t="shared" si="260"/>
        <v>15.293460814687275</v>
      </c>
      <c r="S1148" s="6">
        <f t="shared" si="266"/>
        <v>141.22320732333662</v>
      </c>
      <c r="T1148" s="2">
        <f t="shared" si="267"/>
        <v>1</v>
      </c>
      <c r="U1148" s="6">
        <f t="shared" si="268"/>
        <v>141.22320732333662</v>
      </c>
      <c r="V1148">
        <f t="shared" si="269"/>
        <v>7.3249009481345023E-2</v>
      </c>
      <c r="W1148" s="6">
        <f t="shared" si="261"/>
        <v>10.344460052213039</v>
      </c>
      <c r="AK1148" s="78">
        <v>45043.65625</v>
      </c>
      <c r="AL1148" s="79">
        <v>7.8821615271583698E-2</v>
      </c>
      <c r="AM1148" s="5">
        <v>60.440350530000003</v>
      </c>
      <c r="AN1148" s="2">
        <v>11594</v>
      </c>
      <c r="AO1148" s="7">
        <f t="shared" si="270"/>
        <v>193.23333333333332</v>
      </c>
      <c r="AP1148" s="5">
        <f t="shared" si="262"/>
        <v>15.230963457645689</v>
      </c>
      <c r="AQ1148" s="6">
        <f t="shared" si="263"/>
        <v>140.94029909474784</v>
      </c>
      <c r="AR1148" s="2">
        <f t="shared" si="264"/>
        <v>-2.1301186875174403</v>
      </c>
      <c r="AS1148" s="2">
        <f t="shared" si="265"/>
        <v>-300.21956492601976</v>
      </c>
    </row>
    <row r="1149" spans="13:45" x14ac:dyDescent="0.3">
      <c r="M1149" s="78">
        <v>45044.666666666664</v>
      </c>
      <c r="N1149" s="79">
        <v>7.6194685381444305E-2</v>
      </c>
      <c r="O1149" s="5">
        <v>63.469872090000003</v>
      </c>
      <c r="P1149" s="2">
        <v>12656</v>
      </c>
      <c r="Q1149" s="7">
        <f t="shared" si="259"/>
        <v>210.93333333333334</v>
      </c>
      <c r="R1149" s="6">
        <f t="shared" si="260"/>
        <v>16.071998969792652</v>
      </c>
      <c r="S1149" s="6">
        <f t="shared" si="266"/>
        <v>144.69916357508478</v>
      </c>
      <c r="T1149" s="2">
        <f t="shared" si="267"/>
        <v>1</v>
      </c>
      <c r="U1149" s="6">
        <f t="shared" si="268"/>
        <v>144.69916357508478</v>
      </c>
      <c r="V1149">
        <f t="shared" si="269"/>
        <v>0.21575999870879486</v>
      </c>
      <c r="W1149" s="6">
        <f t="shared" si="261"/>
        <v>31.220291346123989</v>
      </c>
      <c r="AK1149" s="78">
        <v>45043.666666666664</v>
      </c>
      <c r="AL1149" s="79">
        <v>7.5549214271239701E-2</v>
      </c>
      <c r="AM1149" s="5">
        <v>61.187353479999999</v>
      </c>
      <c r="AN1149" s="2">
        <v>11630</v>
      </c>
      <c r="AO1149" s="7">
        <f t="shared" si="270"/>
        <v>193.83333333333334</v>
      </c>
      <c r="AP1149" s="5">
        <f t="shared" si="262"/>
        <v>14.64395603290863</v>
      </c>
      <c r="AQ1149" s="6">
        <f t="shared" si="263"/>
        <v>138.25362240481616</v>
      </c>
      <c r="AR1149" s="2">
        <f t="shared" si="264"/>
        <v>-2.1301186875174403</v>
      </c>
      <c r="AS1149" s="2">
        <f t="shared" si="265"/>
        <v>-294.49662470147877</v>
      </c>
    </row>
    <row r="1150" spans="13:45" x14ac:dyDescent="0.3">
      <c r="M1150" s="78">
        <v>45044.677083333336</v>
      </c>
      <c r="N1150" s="79">
        <v>7.4508588064685799E-2</v>
      </c>
      <c r="O1150" s="5">
        <v>60.440350530000003</v>
      </c>
      <c r="P1150" s="2">
        <v>12416</v>
      </c>
      <c r="Q1150" s="7">
        <f t="shared" si="259"/>
        <v>206.93333333333334</v>
      </c>
      <c r="R1150" s="6">
        <f t="shared" si="260"/>
        <v>15.418310490185648</v>
      </c>
      <c r="S1150" s="6">
        <f t="shared" si="266"/>
        <v>141.78660619207332</v>
      </c>
      <c r="T1150" s="2">
        <f t="shared" si="267"/>
        <v>1</v>
      </c>
      <c r="U1150" s="6">
        <f t="shared" si="268"/>
        <v>141.78660619207332</v>
      </c>
      <c r="V1150">
        <f t="shared" si="269"/>
        <v>9.6102675217985767E-2</v>
      </c>
      <c r="W1150" s="6">
        <f t="shared" si="261"/>
        <v>13.626072165137272</v>
      </c>
      <c r="AK1150" s="78">
        <v>45043.677083333336</v>
      </c>
      <c r="AL1150" s="79">
        <v>7.45508698544535E-2</v>
      </c>
      <c r="AM1150" s="5">
        <v>59.309003199999999</v>
      </c>
      <c r="AN1150" s="2">
        <v>11773</v>
      </c>
      <c r="AO1150" s="7">
        <f t="shared" si="270"/>
        <v>196.21666666666667</v>
      </c>
      <c r="AP1150" s="5">
        <f t="shared" si="262"/>
        <v>14.628123179941351</v>
      </c>
      <c r="AQ1150" s="6">
        <f t="shared" si="263"/>
        <v>138.18040282355398</v>
      </c>
      <c r="AR1150" s="2">
        <f t="shared" si="264"/>
        <v>-2.1301186875174403</v>
      </c>
      <c r="AS1150" s="2">
        <f t="shared" si="265"/>
        <v>-294.34065830314</v>
      </c>
    </row>
    <row r="1151" spans="13:45" x14ac:dyDescent="0.3">
      <c r="M1151" s="78">
        <v>45044.6875</v>
      </c>
      <c r="N1151" s="79">
        <v>7.3541660144713694E-2</v>
      </c>
      <c r="O1151" s="5">
        <v>66.203758769999993</v>
      </c>
      <c r="P1151" s="2">
        <v>12431</v>
      </c>
      <c r="Q1151" s="7">
        <f t="shared" si="259"/>
        <v>207.18333333333334</v>
      </c>
      <c r="R1151" s="6">
        <f t="shared" si="260"/>
        <v>15.236606287648932</v>
      </c>
      <c r="S1151" s="6">
        <f t="shared" si="266"/>
        <v>140.96586692273169</v>
      </c>
      <c r="T1151" s="2">
        <f t="shared" si="267"/>
        <v>1</v>
      </c>
      <c r="U1151" s="6">
        <f t="shared" si="268"/>
        <v>140.96586692273169</v>
      </c>
      <c r="V1151">
        <f t="shared" si="269"/>
        <v>6.2841818983152414E-2</v>
      </c>
      <c r="W1151" s="6">
        <f t="shared" si="261"/>
        <v>8.8585514919614567</v>
      </c>
      <c r="AK1151" s="78">
        <v>45043.6875</v>
      </c>
      <c r="AL1151" s="79">
        <v>7.1431402629496807E-2</v>
      </c>
      <c r="AM1151" s="5">
        <v>61.187353479999999</v>
      </c>
      <c r="AN1151" s="2">
        <v>12087</v>
      </c>
      <c r="AO1151" s="7">
        <f t="shared" si="270"/>
        <v>201.45</v>
      </c>
      <c r="AP1151" s="5">
        <f t="shared" si="262"/>
        <v>14.38985605971213</v>
      </c>
      <c r="AQ1151" s="6">
        <f t="shared" si="263"/>
        <v>137.07360543468144</v>
      </c>
      <c r="AR1151" s="2">
        <f t="shared" si="264"/>
        <v>-2.1301186875174403</v>
      </c>
      <c r="AS1151" s="2">
        <f t="shared" si="265"/>
        <v>-291.9830485018071</v>
      </c>
    </row>
    <row r="1152" spans="13:45" x14ac:dyDescent="0.3">
      <c r="M1152" s="78">
        <v>45044.697916666664</v>
      </c>
      <c r="N1152" s="79">
        <v>6.9552491283630002E-2</v>
      </c>
      <c r="O1152" s="5">
        <v>63.469872090000003</v>
      </c>
      <c r="P1152" s="2">
        <v>12648</v>
      </c>
      <c r="Q1152" s="7">
        <f t="shared" si="259"/>
        <v>210.8</v>
      </c>
      <c r="R1152" s="6">
        <f t="shared" si="260"/>
        <v>14.661665162589205</v>
      </c>
      <c r="S1152" s="6">
        <f t="shared" si="266"/>
        <v>138.3354710474762</v>
      </c>
      <c r="T1152" s="2">
        <f t="shared" si="267"/>
        <v>1</v>
      </c>
      <c r="U1152" s="6">
        <f t="shared" si="268"/>
        <v>138.3354710474762</v>
      </c>
      <c r="V1152">
        <f t="shared" si="269"/>
        <v>0</v>
      </c>
      <c r="W1152" s="6">
        <f t="shared" si="261"/>
        <v>0</v>
      </c>
      <c r="AK1152" s="78">
        <v>45043.697916666664</v>
      </c>
      <c r="AL1152" s="79">
        <v>8.3510233176243898E-2</v>
      </c>
      <c r="AM1152" s="5">
        <v>63.469872090000003</v>
      </c>
      <c r="AN1152" s="2">
        <v>11795</v>
      </c>
      <c r="AO1152" s="7">
        <f t="shared" si="270"/>
        <v>196.58333333333334</v>
      </c>
      <c r="AP1152" s="5">
        <f t="shared" si="262"/>
        <v>16.416720005229948</v>
      </c>
      <c r="AQ1152" s="6">
        <f t="shared" si="263"/>
        <v>146.21076130277407</v>
      </c>
      <c r="AR1152" s="2">
        <f t="shared" si="264"/>
        <v>-2.1301186875174403</v>
      </c>
      <c r="AS1152" s="2">
        <f t="shared" si="265"/>
        <v>-311.44627496719085</v>
      </c>
    </row>
    <row r="1153" spans="13:45" x14ac:dyDescent="0.3">
      <c r="M1153" s="78">
        <v>45044.708333333336</v>
      </c>
      <c r="N1153" s="79">
        <v>7.7239799962004904E-2</v>
      </c>
      <c r="O1153" s="5">
        <v>64.837941950000001</v>
      </c>
      <c r="P1153" s="2">
        <v>12420</v>
      </c>
      <c r="Q1153" s="7">
        <f t="shared" si="259"/>
        <v>207</v>
      </c>
      <c r="R1153" s="6">
        <f t="shared" si="260"/>
        <v>15.988638592135015</v>
      </c>
      <c r="S1153" s="6">
        <f t="shared" si="266"/>
        <v>144.33115175858691</v>
      </c>
      <c r="T1153" s="2">
        <f t="shared" si="267"/>
        <v>1</v>
      </c>
      <c r="U1153" s="6">
        <f t="shared" si="268"/>
        <v>144.33115175858691</v>
      </c>
      <c r="V1153">
        <f t="shared" si="269"/>
        <v>0.20050092655611948</v>
      </c>
      <c r="W1153" s="6">
        <f t="shared" si="261"/>
        <v>28.938529658508571</v>
      </c>
      <c r="AK1153" s="78">
        <v>45043.708333333336</v>
      </c>
      <c r="AL1153" s="79">
        <v>7.4510618509482596E-2</v>
      </c>
      <c r="AM1153" s="5">
        <v>63.916046000000001</v>
      </c>
      <c r="AN1153" s="2">
        <v>11884</v>
      </c>
      <c r="AO1153" s="7">
        <f t="shared" si="270"/>
        <v>198.06666666666666</v>
      </c>
      <c r="AP1153" s="5">
        <f t="shared" si="262"/>
        <v>14.758069839444852</v>
      </c>
      <c r="AQ1153" s="6">
        <f t="shared" si="263"/>
        <v>138.78015519569141</v>
      </c>
      <c r="AR1153" s="2">
        <f t="shared" si="264"/>
        <v>-2.1301186875174403</v>
      </c>
      <c r="AS1153" s="2">
        <f t="shared" si="265"/>
        <v>-295.61820203891284</v>
      </c>
    </row>
    <row r="1154" spans="13:45" x14ac:dyDescent="0.3">
      <c r="M1154" s="78">
        <v>45044.71875</v>
      </c>
      <c r="N1154" s="79">
        <v>7.1668690783662795E-2</v>
      </c>
      <c r="O1154" s="5">
        <v>64.837941950000001</v>
      </c>
      <c r="P1154" s="2">
        <v>12617</v>
      </c>
      <c r="Q1154" s="7">
        <f t="shared" si="259"/>
        <v>210.28333333333333</v>
      </c>
      <c r="R1154" s="6">
        <f t="shared" si="260"/>
        <v>15.070731193624558</v>
      </c>
      <c r="S1154" s="6">
        <f t="shared" si="266"/>
        <v>140.21225402616577</v>
      </c>
      <c r="T1154" s="2">
        <f t="shared" si="267"/>
        <v>1</v>
      </c>
      <c r="U1154" s="6">
        <f t="shared" si="268"/>
        <v>140.21225402616577</v>
      </c>
      <c r="V1154">
        <f t="shared" si="269"/>
        <v>3.247847252081984E-2</v>
      </c>
      <c r="W1154" s="6">
        <f t="shared" si="261"/>
        <v>4.553879839471036</v>
      </c>
      <c r="AK1154" s="78">
        <v>45043.71875</v>
      </c>
      <c r="AL1154" s="79">
        <v>7.6314313882356294E-2</v>
      </c>
      <c r="AM1154" s="5">
        <v>61.187353479999999</v>
      </c>
      <c r="AN1154" s="2">
        <v>12194</v>
      </c>
      <c r="AO1154" s="7">
        <f t="shared" si="270"/>
        <v>203.23333333333332</v>
      </c>
      <c r="AP1154" s="5">
        <f t="shared" si="262"/>
        <v>15.509612391357543</v>
      </c>
      <c r="AQ1154" s="6">
        <f t="shared" si="263"/>
        <v>142.19714443658498</v>
      </c>
      <c r="AR1154" s="2">
        <f t="shared" si="264"/>
        <v>-2.1301186875174403</v>
      </c>
      <c r="AS1154" s="2">
        <f t="shared" si="265"/>
        <v>-302.89679467598626</v>
      </c>
    </row>
    <row r="1155" spans="13:45" x14ac:dyDescent="0.3">
      <c r="M1155" s="78">
        <v>45044.729166666664</v>
      </c>
      <c r="N1155" s="79">
        <v>7.1045604928293093E-2</v>
      </c>
      <c r="O1155" s="5">
        <v>63.462041390000003</v>
      </c>
      <c r="P1155" s="2">
        <v>12592</v>
      </c>
      <c r="Q1155" s="7">
        <f t="shared" si="259"/>
        <v>209.86666666666667</v>
      </c>
      <c r="R1155" s="6">
        <f t="shared" si="260"/>
        <v>14.910104287617777</v>
      </c>
      <c r="S1155" s="6">
        <f t="shared" si="266"/>
        <v>139.47844028016632</v>
      </c>
      <c r="T1155" s="2">
        <f t="shared" si="267"/>
        <v>1</v>
      </c>
      <c r="U1155" s="6">
        <f t="shared" si="268"/>
        <v>139.47844028016632</v>
      </c>
      <c r="V1155">
        <f t="shared" si="269"/>
        <v>3.0758040434185545E-3</v>
      </c>
      <c r="W1155" s="6">
        <f t="shared" si="261"/>
        <v>0.42900835058344894</v>
      </c>
      <c r="AK1155" s="78">
        <v>45043.729166666664</v>
      </c>
      <c r="AL1155" s="79">
        <v>7.5768054336674703E-2</v>
      </c>
      <c r="AM1155" s="5">
        <v>62.292408569999999</v>
      </c>
      <c r="AN1155" s="2">
        <v>12012</v>
      </c>
      <c r="AO1155" s="7">
        <f t="shared" si="270"/>
        <v>200.2</v>
      </c>
      <c r="AP1155" s="5">
        <f t="shared" si="262"/>
        <v>15.168764478202275</v>
      </c>
      <c r="AQ1155" s="6">
        <f t="shared" si="263"/>
        <v>140.65815277514284</v>
      </c>
      <c r="AR1155" s="2">
        <f t="shared" si="264"/>
        <v>-2.1301186875174403</v>
      </c>
      <c r="AS1155" s="2">
        <f t="shared" si="265"/>
        <v>-299.61855977801486</v>
      </c>
    </row>
    <row r="1156" spans="13:45" x14ac:dyDescent="0.3">
      <c r="M1156" s="78">
        <v>45044.739583333336</v>
      </c>
      <c r="N1156" s="79">
        <v>7.6118540921748398E-2</v>
      </c>
      <c r="O1156" s="5">
        <v>66.195962919999999</v>
      </c>
      <c r="P1156" s="2">
        <v>12163</v>
      </c>
      <c r="Q1156" s="7">
        <f t="shared" ref="Q1156:Q1219" si="271">P1156/60</f>
        <v>202.71666666666667</v>
      </c>
      <c r="R1156" s="6">
        <f t="shared" ref="R1156:R1219" si="272">N1156*Q1156</f>
        <v>15.430496887187097</v>
      </c>
      <c r="S1156" s="6">
        <f t="shared" si="266"/>
        <v>141.84147383324483</v>
      </c>
      <c r="T1156" s="2">
        <f t="shared" si="267"/>
        <v>1</v>
      </c>
      <c r="U1156" s="6">
        <f t="shared" si="268"/>
        <v>141.84147383324483</v>
      </c>
      <c r="V1156">
        <f t="shared" si="269"/>
        <v>9.8333388613862649E-2</v>
      </c>
      <c r="W1156" s="6">
        <f t="shared" ref="W1156:W1219" si="273">S1156*V1156</f>
        <v>13.947752768007494</v>
      </c>
      <c r="AK1156" s="78">
        <v>45043.739583333336</v>
      </c>
      <c r="AL1156" s="79">
        <v>7.1187292271875396E-2</v>
      </c>
      <c r="AM1156" s="5">
        <v>62.292408569999999</v>
      </c>
      <c r="AN1156" s="2">
        <v>12117</v>
      </c>
      <c r="AO1156" s="7">
        <f t="shared" si="270"/>
        <v>201.95</v>
      </c>
      <c r="AP1156" s="5">
        <f t="shared" ref="AP1156:AP1219" si="274">AO1156*AL1156</f>
        <v>14.376273674305235</v>
      </c>
      <c r="AQ1156" s="6">
        <f t="shared" ref="AQ1156:AQ1219" si="275">37.141*AP1156^0.4897</f>
        <v>137.01023186517341</v>
      </c>
      <c r="AR1156" s="2">
        <f t="shared" ref="AR1156:AR1219" si="276">IF((AM1156-$AP$1)/($AN$1-$AP$1)&lt;0, 0, IF((AA1156-$AP$1)/($AN$1-$AP$1)&gt;1, 1, (AA1156-$AP$1)/($AN$1-$AP$1)))</f>
        <v>-2.1301186875174403</v>
      </c>
      <c r="AS1156" s="2">
        <f t="shared" ref="AS1156:AS1219" si="277">AQ1156*AR1156</f>
        <v>-291.84805527710336</v>
      </c>
    </row>
    <row r="1157" spans="13:45" x14ac:dyDescent="0.3">
      <c r="M1157" s="78">
        <v>45044.75</v>
      </c>
      <c r="N1157" s="79">
        <v>7.1949374029523006E-2</v>
      </c>
      <c r="O1157" s="5">
        <v>66.195962919999999</v>
      </c>
      <c r="P1157" s="2">
        <v>12294</v>
      </c>
      <c r="Q1157" s="7">
        <f t="shared" si="271"/>
        <v>204.9</v>
      </c>
      <c r="R1157" s="6">
        <f t="shared" si="272"/>
        <v>14.742426738649264</v>
      </c>
      <c r="S1157" s="6">
        <f t="shared" si="266"/>
        <v>138.70809950963195</v>
      </c>
      <c r="T1157" s="2">
        <f t="shared" si="267"/>
        <v>1</v>
      </c>
      <c r="U1157" s="6">
        <f t="shared" si="268"/>
        <v>138.70809950963195</v>
      </c>
      <c r="V1157">
        <f t="shared" si="269"/>
        <v>0</v>
      </c>
      <c r="W1157" s="6">
        <f t="shared" si="273"/>
        <v>0</v>
      </c>
      <c r="AK1157" s="78">
        <v>45043.75</v>
      </c>
      <c r="AL1157" s="79">
        <v>7.6700269230186802E-2</v>
      </c>
      <c r="AM1157" s="5">
        <v>60.440350530000003</v>
      </c>
      <c r="AN1157" s="2">
        <v>11821</v>
      </c>
      <c r="AO1157" s="7">
        <f t="shared" si="270"/>
        <v>197.01666666666668</v>
      </c>
      <c r="AP1157" s="5">
        <f t="shared" si="274"/>
        <v>15.111231376167304</v>
      </c>
      <c r="AQ1157" s="6">
        <f t="shared" si="275"/>
        <v>140.39664567488018</v>
      </c>
      <c r="AR1157" s="2">
        <f t="shared" si="276"/>
        <v>-2.1301186875174403</v>
      </c>
      <c r="AS1157" s="2">
        <f t="shared" si="277"/>
        <v>-299.06151861682685</v>
      </c>
    </row>
    <row r="1158" spans="13:45" x14ac:dyDescent="0.3">
      <c r="M1158" s="78">
        <v>45044.760416666664</v>
      </c>
      <c r="N1158" s="79">
        <v>7.4968475923596595E-2</v>
      </c>
      <c r="O1158" s="5">
        <v>65.743635260000005</v>
      </c>
      <c r="P1158" s="2">
        <v>12348</v>
      </c>
      <c r="Q1158" s="7">
        <f t="shared" si="271"/>
        <v>205.8</v>
      </c>
      <c r="R1158" s="6">
        <f t="shared" si="272"/>
        <v>15.428512345076181</v>
      </c>
      <c r="S1158" s="6">
        <f t="shared" si="266"/>
        <v>141.83254020247421</v>
      </c>
      <c r="T1158" s="2">
        <f t="shared" si="267"/>
        <v>1</v>
      </c>
      <c r="U1158" s="6">
        <f t="shared" si="268"/>
        <v>141.83254020247421</v>
      </c>
      <c r="V1158">
        <f t="shared" si="269"/>
        <v>9.7970119251230128E-2</v>
      </c>
      <c r="W1158" s="6">
        <f t="shared" si="273"/>
        <v>13.89535087734129</v>
      </c>
      <c r="AK1158" s="78">
        <v>45043.760416666664</v>
      </c>
      <c r="AL1158" s="79">
        <v>8.3827410591563595E-2</v>
      </c>
      <c r="AM1158" s="5">
        <v>63.469872090000003</v>
      </c>
      <c r="AN1158" s="2">
        <v>11406</v>
      </c>
      <c r="AO1158" s="7">
        <f t="shared" si="270"/>
        <v>190.1</v>
      </c>
      <c r="AP1158" s="5">
        <f t="shared" si="274"/>
        <v>15.935590753456239</v>
      </c>
      <c r="AQ1158" s="6">
        <f t="shared" si="275"/>
        <v>144.09645099621778</v>
      </c>
      <c r="AR1158" s="2">
        <f t="shared" si="276"/>
        <v>-2.1301186875174403</v>
      </c>
      <c r="AS1158" s="2">
        <f t="shared" si="277"/>
        <v>-306.94254307198457</v>
      </c>
    </row>
    <row r="1159" spans="13:45" x14ac:dyDescent="0.3">
      <c r="M1159" s="78">
        <v>45044.770833333336</v>
      </c>
      <c r="N1159" s="79">
        <v>6.9379994744353801E-2</v>
      </c>
      <c r="O1159" s="5">
        <v>65.743635260000005</v>
      </c>
      <c r="P1159" s="2">
        <v>12339</v>
      </c>
      <c r="Q1159" s="7">
        <f t="shared" si="271"/>
        <v>205.65</v>
      </c>
      <c r="R1159" s="6">
        <f t="shared" si="272"/>
        <v>14.267995919176359</v>
      </c>
      <c r="S1159" s="6">
        <f t="shared" si="266"/>
        <v>136.50392597636721</v>
      </c>
      <c r="T1159" s="2">
        <f t="shared" si="267"/>
        <v>1</v>
      </c>
      <c r="U1159" s="6">
        <f t="shared" si="268"/>
        <v>136.50392597636721</v>
      </c>
      <c r="V1159">
        <f t="shared" si="269"/>
        <v>0</v>
      </c>
      <c r="W1159" s="6">
        <f t="shared" si="273"/>
        <v>0</v>
      </c>
      <c r="AK1159" s="78">
        <v>45043.770833333336</v>
      </c>
      <c r="AL1159" s="79">
        <v>8.2695176569046999E-2</v>
      </c>
      <c r="AM1159" s="5">
        <v>63.015482910000003</v>
      </c>
      <c r="AN1159" s="2">
        <v>11303</v>
      </c>
      <c r="AO1159" s="7">
        <f t="shared" si="270"/>
        <v>188.38333333333333</v>
      </c>
      <c r="AP1159" s="5">
        <f t="shared" si="274"/>
        <v>15.578393012665636</v>
      </c>
      <c r="AQ1159" s="6">
        <f t="shared" si="275"/>
        <v>142.50560207929749</v>
      </c>
      <c r="AR1159" s="2">
        <f t="shared" si="276"/>
        <v>-2.1301186875174403</v>
      </c>
      <c r="AS1159" s="2">
        <f t="shared" si="277"/>
        <v>-303.55384606503577</v>
      </c>
    </row>
    <row r="1160" spans="13:45" x14ac:dyDescent="0.3">
      <c r="M1160" s="78">
        <v>45044.78125</v>
      </c>
      <c r="N1160" s="79">
        <v>7.1628758574706006E-2</v>
      </c>
      <c r="O1160" s="5">
        <v>64.377553680000005</v>
      </c>
      <c r="P1160" s="2">
        <v>12447</v>
      </c>
      <c r="Q1160" s="7">
        <f t="shared" si="271"/>
        <v>207.45</v>
      </c>
      <c r="R1160" s="6">
        <f t="shared" si="272"/>
        <v>14.85938596632276</v>
      </c>
      <c r="S1160" s="6">
        <f t="shared" si="266"/>
        <v>139.24589967867956</v>
      </c>
      <c r="T1160" s="2">
        <f t="shared" si="267"/>
        <v>1</v>
      </c>
      <c r="U1160" s="6">
        <f t="shared" si="268"/>
        <v>139.24589967867956</v>
      </c>
      <c r="V1160">
        <f t="shared" si="269"/>
        <v>0</v>
      </c>
      <c r="W1160" s="6">
        <f t="shared" si="273"/>
        <v>0</v>
      </c>
      <c r="AK1160" s="78">
        <v>45043.78125</v>
      </c>
      <c r="AL1160" s="79">
        <v>7.7696261912213599E-2</v>
      </c>
      <c r="AM1160" s="5">
        <v>64.377553680000005</v>
      </c>
      <c r="AN1160" s="2">
        <v>11714</v>
      </c>
      <c r="AO1160" s="7">
        <f t="shared" si="270"/>
        <v>195.23333333333332</v>
      </c>
      <c r="AP1160" s="5">
        <f t="shared" si="274"/>
        <v>15.168900200661167</v>
      </c>
      <c r="AQ1160" s="6">
        <f t="shared" si="275"/>
        <v>140.6587690799187</v>
      </c>
      <c r="AR1160" s="2">
        <f t="shared" si="276"/>
        <v>-2.1301186875174403</v>
      </c>
      <c r="AS1160" s="2">
        <f t="shared" si="277"/>
        <v>-299.61987258033514</v>
      </c>
    </row>
    <row r="1161" spans="13:45" x14ac:dyDescent="0.3">
      <c r="M1161" s="78">
        <v>45044.791666666664</v>
      </c>
      <c r="N1161" s="79">
        <v>7.0011760014667496E-2</v>
      </c>
      <c r="O1161" s="5">
        <v>64.377553680000005</v>
      </c>
      <c r="P1161" s="2">
        <v>12825</v>
      </c>
      <c r="Q1161" s="7">
        <f t="shared" si="271"/>
        <v>213.75</v>
      </c>
      <c r="R1161" s="6">
        <f t="shared" si="272"/>
        <v>14.965013703135178</v>
      </c>
      <c r="S1161" s="6">
        <f t="shared" ref="S1161:S1224" si="278">37.141*R1161^0.4897</f>
        <v>139.72974220152838</v>
      </c>
      <c r="T1161" s="2">
        <f t="shared" ref="T1161:T1224" si="279">IF((O1161-$R$1)/($P$1-$R$1)&lt;0, 0, IF((O1161-$R$1)/($P$1-$R$1)&gt;1, 1, (O1161-$R$1)/($P$1-$R$1)))</f>
        <v>1</v>
      </c>
      <c r="U1161" s="6">
        <f t="shared" ref="U1161:U1224" si="280">S1161*T1161</f>
        <v>139.72974220152838</v>
      </c>
      <c r="V1161">
        <f t="shared" ref="V1161:V1224" si="281">IF((R1161-$AB$774)/($Z$773-$AB$774)&lt;0, 0, IF((R1161-$AB$774)/($Z$773-$AB$774)&gt;1, 1, (R1161-$AB$774)/($Z$773-$AB$774)))</f>
        <v>1.3126942927198315E-2</v>
      </c>
      <c r="W1161" s="6">
        <f t="shared" si="273"/>
        <v>1.834224351111597</v>
      </c>
      <c r="AK1161" s="78">
        <v>45043.791666666664</v>
      </c>
      <c r="AL1161" s="79">
        <v>8.0092261516851906E-2</v>
      </c>
      <c r="AM1161" s="5">
        <v>64.377553680000005</v>
      </c>
      <c r="AN1161" s="2">
        <v>11649</v>
      </c>
      <c r="AO1161" s="7">
        <f t="shared" si="270"/>
        <v>194.15</v>
      </c>
      <c r="AP1161" s="5">
        <f t="shared" si="274"/>
        <v>15.549912573496798</v>
      </c>
      <c r="AQ1161" s="6">
        <f t="shared" si="275"/>
        <v>142.37796149313226</v>
      </c>
      <c r="AR1161" s="2">
        <f t="shared" si="276"/>
        <v>-2.1301186875174403</v>
      </c>
      <c r="AS1161" s="2">
        <f t="shared" si="277"/>
        <v>-303.28195646715955</v>
      </c>
    </row>
    <row r="1162" spans="13:45" x14ac:dyDescent="0.3">
      <c r="M1162" s="78">
        <v>45044.802083333336</v>
      </c>
      <c r="N1162" s="79">
        <v>6.9631695292255005E-2</v>
      </c>
      <c r="O1162" s="5">
        <v>64.377553680000005</v>
      </c>
      <c r="P1162" s="2">
        <v>12866</v>
      </c>
      <c r="Q1162" s="7">
        <f t="shared" si="271"/>
        <v>214.43333333333334</v>
      </c>
      <c r="R1162" s="6">
        <f t="shared" si="272"/>
        <v>14.931356527169216</v>
      </c>
      <c r="S1162" s="6">
        <f t="shared" si="278"/>
        <v>139.57576055976176</v>
      </c>
      <c r="T1162" s="2">
        <f t="shared" si="279"/>
        <v>1</v>
      </c>
      <c r="U1162" s="6">
        <f t="shared" si="280"/>
        <v>139.57576055976176</v>
      </c>
      <c r="V1162">
        <f t="shared" si="281"/>
        <v>6.9660150265454263E-3</v>
      </c>
      <c r="W1162" s="6">
        <f t="shared" si="273"/>
        <v>0.9722868454008069</v>
      </c>
      <c r="AK1162" s="78">
        <v>45043.802083333336</v>
      </c>
      <c r="AL1162" s="79">
        <v>8.0488869948494607E-2</v>
      </c>
      <c r="AM1162" s="5">
        <v>63.015482910000003</v>
      </c>
      <c r="AN1162" s="2">
        <v>11903</v>
      </c>
      <c r="AO1162" s="7">
        <f t="shared" si="270"/>
        <v>198.38333333333333</v>
      </c>
      <c r="AP1162" s="5">
        <f t="shared" si="274"/>
        <v>15.96765031661552</v>
      </c>
      <c r="AQ1162" s="6">
        <f t="shared" si="275"/>
        <v>144.23834043108673</v>
      </c>
      <c r="AR1162" s="2">
        <f t="shared" si="276"/>
        <v>-2.1301186875174403</v>
      </c>
      <c r="AS1162" s="2">
        <f t="shared" si="277"/>
        <v>-307.24478440876021</v>
      </c>
    </row>
    <row r="1163" spans="13:45" x14ac:dyDescent="0.3">
      <c r="M1163" s="78">
        <v>45044.8125</v>
      </c>
      <c r="N1163" s="79">
        <v>7.0300202333955494E-2</v>
      </c>
      <c r="O1163" s="5">
        <v>65.743635260000005</v>
      </c>
      <c r="P1163" s="2">
        <v>13086</v>
      </c>
      <c r="Q1163" s="7">
        <f t="shared" si="271"/>
        <v>218.1</v>
      </c>
      <c r="R1163" s="6">
        <f t="shared" si="272"/>
        <v>15.332474129035694</v>
      </c>
      <c r="S1163" s="6">
        <f t="shared" si="278"/>
        <v>141.39951078632814</v>
      </c>
      <c r="T1163" s="2">
        <f t="shared" si="279"/>
        <v>1</v>
      </c>
      <c r="U1163" s="6">
        <f t="shared" si="280"/>
        <v>141.39951078632814</v>
      </c>
      <c r="V1163">
        <f t="shared" si="281"/>
        <v>8.039037562297234E-2</v>
      </c>
      <c r="W1163" s="6">
        <f t="shared" si="273"/>
        <v>11.367159785017448</v>
      </c>
      <c r="AK1163" s="78">
        <v>45043.8125</v>
      </c>
      <c r="AL1163" s="79">
        <v>7.5181980253838293E-2</v>
      </c>
      <c r="AM1163" s="5">
        <v>66.647934039999996</v>
      </c>
      <c r="AN1163" s="2">
        <v>11852</v>
      </c>
      <c r="AO1163" s="7">
        <f t="shared" si="270"/>
        <v>197.53333333333333</v>
      </c>
      <c r="AP1163" s="5">
        <f t="shared" si="274"/>
        <v>14.850947166141523</v>
      </c>
      <c r="AQ1163" s="6">
        <f t="shared" si="275"/>
        <v>139.20716898250964</v>
      </c>
      <c r="AR1163" s="2">
        <f t="shared" si="276"/>
        <v>-2.1301186875174403</v>
      </c>
      <c r="AS1163" s="2">
        <f t="shared" si="277"/>
        <v>-296.52779208604198</v>
      </c>
    </row>
    <row r="1164" spans="13:45" x14ac:dyDescent="0.3">
      <c r="M1164" s="78">
        <v>45044.822916666664</v>
      </c>
      <c r="N1164" s="79">
        <v>7.4975336847370996E-2</v>
      </c>
      <c r="O1164" s="5">
        <v>63.462041390000003</v>
      </c>
      <c r="P1164" s="2">
        <v>12975</v>
      </c>
      <c r="Q1164" s="7">
        <f t="shared" si="271"/>
        <v>216.25</v>
      </c>
      <c r="R1164" s="6">
        <f t="shared" si="272"/>
        <v>16.213416593243977</v>
      </c>
      <c r="S1164" s="6">
        <f t="shared" si="278"/>
        <v>145.32126035343614</v>
      </c>
      <c r="T1164" s="2">
        <f t="shared" si="279"/>
        <v>1</v>
      </c>
      <c r="U1164" s="6">
        <f t="shared" si="280"/>
        <v>145.32126035343614</v>
      </c>
      <c r="V1164">
        <f t="shared" si="281"/>
        <v>0.24164641837889503</v>
      </c>
      <c r="W1164" s="6">
        <f t="shared" si="273"/>
        <v>35.116362078714758</v>
      </c>
      <c r="AK1164" s="78">
        <v>45043.822916666664</v>
      </c>
      <c r="AL1164" s="79">
        <v>7.8476795462044405E-2</v>
      </c>
      <c r="AM1164" s="5">
        <v>64.377553680000005</v>
      </c>
      <c r="AN1164" s="2">
        <v>11429</v>
      </c>
      <c r="AO1164" s="7">
        <f t="shared" si="270"/>
        <v>190.48333333333332</v>
      </c>
      <c r="AP1164" s="5">
        <f t="shared" si="274"/>
        <v>14.948521588928424</v>
      </c>
      <c r="AQ1164" s="6">
        <f t="shared" si="275"/>
        <v>139.65431285504783</v>
      </c>
      <c r="AR1164" s="2">
        <f t="shared" si="276"/>
        <v>-2.1301186875174403</v>
      </c>
      <c r="AS1164" s="2">
        <f t="shared" si="277"/>
        <v>-297.48026160494447</v>
      </c>
    </row>
    <row r="1165" spans="13:45" x14ac:dyDescent="0.3">
      <c r="M1165" s="78">
        <v>45044.833333333336</v>
      </c>
      <c r="N1165" s="79">
        <v>7.4236150606246401E-2</v>
      </c>
      <c r="O1165" s="5">
        <v>67.106545600000004</v>
      </c>
      <c r="P1165" s="2">
        <v>13160</v>
      </c>
      <c r="Q1165" s="7">
        <f t="shared" si="271"/>
        <v>219.33333333333334</v>
      </c>
      <c r="R1165" s="6">
        <f t="shared" si="272"/>
        <v>16.282462366303378</v>
      </c>
      <c r="S1165" s="6">
        <f t="shared" si="278"/>
        <v>145.62398701826513</v>
      </c>
      <c r="T1165" s="2">
        <f t="shared" si="279"/>
        <v>1</v>
      </c>
      <c r="U1165" s="6">
        <f t="shared" si="280"/>
        <v>145.62398701826513</v>
      </c>
      <c r="V1165">
        <f t="shared" si="281"/>
        <v>0.25428520988338765</v>
      </c>
      <c r="W1165" s="6">
        <f t="shared" si="273"/>
        <v>37.030026102995265</v>
      </c>
      <c r="AK1165" s="78">
        <v>45043.833333333336</v>
      </c>
      <c r="AL1165" s="79">
        <v>8.4487881953831903E-2</v>
      </c>
      <c r="AM1165" s="5">
        <v>68.016396760000006</v>
      </c>
      <c r="AN1165" s="2">
        <v>11941</v>
      </c>
      <c r="AO1165" s="7">
        <f t="shared" si="270"/>
        <v>199.01666666666668</v>
      </c>
      <c r="AP1165" s="5">
        <f t="shared" si="274"/>
        <v>16.814496640178447</v>
      </c>
      <c r="AQ1165" s="6">
        <f t="shared" si="275"/>
        <v>147.93501640264037</v>
      </c>
      <c r="AR1165" s="2">
        <f t="shared" si="276"/>
        <v>-2.1301186875174403</v>
      </c>
      <c r="AS1165" s="2">
        <f t="shared" si="277"/>
        <v>-315.1191429774633</v>
      </c>
    </row>
    <row r="1166" spans="13:45" x14ac:dyDescent="0.3">
      <c r="M1166" s="78">
        <v>45044.84375</v>
      </c>
      <c r="N1166" s="79">
        <v>7.5320224300604602E-2</v>
      </c>
      <c r="O1166" s="5">
        <v>65.743635260000005</v>
      </c>
      <c r="P1166" s="2">
        <v>12713</v>
      </c>
      <c r="Q1166" s="7">
        <f t="shared" si="271"/>
        <v>211.88333333333333</v>
      </c>
      <c r="R1166" s="6">
        <f t="shared" si="272"/>
        <v>15.959100192226439</v>
      </c>
      <c r="S1166" s="6">
        <f t="shared" si="278"/>
        <v>144.20051345824479</v>
      </c>
      <c r="T1166" s="2">
        <f t="shared" si="279"/>
        <v>1</v>
      </c>
      <c r="U1166" s="6">
        <f t="shared" si="280"/>
        <v>144.20051345824479</v>
      </c>
      <c r="V1166">
        <f t="shared" si="281"/>
        <v>0.19509393839046249</v>
      </c>
      <c r="W1166" s="6">
        <f t="shared" si="273"/>
        <v>28.132646088495864</v>
      </c>
      <c r="AK1166" s="78">
        <v>45043.84375</v>
      </c>
      <c r="AL1166" s="79">
        <v>7.6064982275367996E-2</v>
      </c>
      <c r="AM1166" s="5">
        <v>70.271667750000006</v>
      </c>
      <c r="AN1166" s="2">
        <v>12091</v>
      </c>
      <c r="AO1166" s="7">
        <f t="shared" si="270"/>
        <v>201.51666666666668</v>
      </c>
      <c r="AP1166" s="5">
        <f t="shared" si="274"/>
        <v>15.328361678191241</v>
      </c>
      <c r="AQ1166" s="6">
        <f t="shared" si="275"/>
        <v>141.38093718092915</v>
      </c>
      <c r="AR1166" s="2">
        <f t="shared" si="276"/>
        <v>-2.1301186875174403</v>
      </c>
      <c r="AS1166" s="2">
        <f t="shared" si="277"/>
        <v>-301.1581763478265</v>
      </c>
    </row>
    <row r="1167" spans="13:45" x14ac:dyDescent="0.3">
      <c r="M1167" s="78">
        <v>45044.854166666664</v>
      </c>
      <c r="N1167" s="79">
        <v>7.2998786883927094E-2</v>
      </c>
      <c r="O1167" s="5">
        <v>68.008627450000006</v>
      </c>
      <c r="P1167" s="2">
        <v>12736</v>
      </c>
      <c r="Q1167" s="7">
        <f t="shared" si="271"/>
        <v>212.26666666666668</v>
      </c>
      <c r="R1167" s="6">
        <f t="shared" si="272"/>
        <v>15.495209162561592</v>
      </c>
      <c r="S1167" s="6">
        <f t="shared" si="278"/>
        <v>142.13246252656924</v>
      </c>
      <c r="T1167" s="2">
        <f t="shared" si="279"/>
        <v>1</v>
      </c>
      <c r="U1167" s="6">
        <f t="shared" si="280"/>
        <v>142.13246252656924</v>
      </c>
      <c r="V1167">
        <f t="shared" si="281"/>
        <v>0.11017893570529604</v>
      </c>
      <c r="W1167" s="6">
        <f t="shared" si="273"/>
        <v>15.660003450350271</v>
      </c>
      <c r="AK1167" s="78">
        <v>45043.854166666664</v>
      </c>
      <c r="AL1167" s="79">
        <v>8.2842502154074293E-2</v>
      </c>
      <c r="AM1167" s="5">
        <v>67.565551839999998</v>
      </c>
      <c r="AN1167" s="2">
        <v>11478</v>
      </c>
      <c r="AO1167" s="7">
        <f t="shared" si="270"/>
        <v>191.3</v>
      </c>
      <c r="AP1167" s="5">
        <f t="shared" si="274"/>
        <v>15.847770662074414</v>
      </c>
      <c r="AQ1167" s="6">
        <f t="shared" si="275"/>
        <v>143.70702849428474</v>
      </c>
      <c r="AR1167" s="2">
        <f t="shared" si="276"/>
        <v>-2.1301186875174403</v>
      </c>
      <c r="AS1167" s="2">
        <f t="shared" si="277"/>
        <v>-306.11302692327723</v>
      </c>
    </row>
    <row r="1168" spans="13:45" x14ac:dyDescent="0.3">
      <c r="M1168" s="78">
        <v>45044.864583333336</v>
      </c>
      <c r="N1168" s="79">
        <v>7.0575464542051894E-2</v>
      </c>
      <c r="O1168" s="5">
        <v>66.647934039999996</v>
      </c>
      <c r="P1168" s="2">
        <v>12795</v>
      </c>
      <c r="Q1168" s="7">
        <f t="shared" si="271"/>
        <v>213.25</v>
      </c>
      <c r="R1168" s="6">
        <f t="shared" si="272"/>
        <v>15.050217813592566</v>
      </c>
      <c r="S1168" s="6">
        <f t="shared" si="278"/>
        <v>140.11876300946466</v>
      </c>
      <c r="T1168" s="2">
        <f t="shared" si="279"/>
        <v>1</v>
      </c>
      <c r="U1168" s="6">
        <f t="shared" si="280"/>
        <v>140.11876300946466</v>
      </c>
      <c r="V1168">
        <f t="shared" si="281"/>
        <v>2.8723509374071789E-2</v>
      </c>
      <c r="W1168" s="6">
        <f t="shared" si="273"/>
        <v>4.0247026027857018</v>
      </c>
      <c r="AK1168" s="78">
        <v>45043.864583333336</v>
      </c>
      <c r="AL1168" s="79">
        <v>7.5033286311404199E-2</v>
      </c>
      <c r="AM1168" s="5">
        <v>67.565551839999998</v>
      </c>
      <c r="AN1168" s="2">
        <v>11977</v>
      </c>
      <c r="AO1168" s="7">
        <f t="shared" si="270"/>
        <v>199.61666666666667</v>
      </c>
      <c r="AP1168" s="5">
        <f t="shared" si="274"/>
        <v>14.977894502528136</v>
      </c>
      <c r="AQ1168" s="6">
        <f t="shared" si="275"/>
        <v>139.78862511805892</v>
      </c>
      <c r="AR1168" s="2">
        <f t="shared" si="276"/>
        <v>-2.1301186875174403</v>
      </c>
      <c r="AS1168" s="2">
        <f t="shared" si="277"/>
        <v>-297.76636266634716</v>
      </c>
    </row>
    <row r="1169" spans="13:45" x14ac:dyDescent="0.3">
      <c r="M1169" s="78">
        <v>45044.875</v>
      </c>
      <c r="N1169" s="79">
        <v>7.1245837352199901E-2</v>
      </c>
      <c r="O1169" s="5">
        <v>65.743635260000005</v>
      </c>
      <c r="P1169" s="2">
        <v>12633</v>
      </c>
      <c r="Q1169" s="7">
        <f t="shared" si="271"/>
        <v>210.55</v>
      </c>
      <c r="R1169" s="6">
        <f t="shared" si="272"/>
        <v>15.000811054505689</v>
      </c>
      <c r="S1169" s="6">
        <f t="shared" si="278"/>
        <v>139.89332133744554</v>
      </c>
      <c r="T1169" s="2">
        <f t="shared" si="279"/>
        <v>1</v>
      </c>
      <c r="U1169" s="6">
        <f t="shared" si="280"/>
        <v>139.89332133744554</v>
      </c>
      <c r="V1169">
        <f t="shared" si="281"/>
        <v>1.9679628780910591E-2</v>
      </c>
      <c r="W1169" s="6">
        <f t="shared" si="273"/>
        <v>2.7530486328495671</v>
      </c>
      <c r="AK1169" s="78">
        <v>45043.875</v>
      </c>
      <c r="AL1169" s="79">
        <v>7.6942471888355193E-2</v>
      </c>
      <c r="AM1169" s="5">
        <v>70.279402750000003</v>
      </c>
      <c r="AN1169" s="2">
        <v>11645</v>
      </c>
      <c r="AO1169" s="7">
        <f t="shared" si="270"/>
        <v>194.08333333333334</v>
      </c>
      <c r="AP1169" s="5">
        <f t="shared" si="274"/>
        <v>14.933251418998271</v>
      </c>
      <c r="AQ1169" s="6">
        <f t="shared" si="275"/>
        <v>139.58443439568504</v>
      </c>
      <c r="AR1169" s="2">
        <f t="shared" si="276"/>
        <v>-2.1301186875174403</v>
      </c>
      <c r="AS1169" s="2">
        <f t="shared" si="277"/>
        <v>-297.33141219280088</v>
      </c>
    </row>
    <row r="1170" spans="13:45" x14ac:dyDescent="0.3">
      <c r="M1170" s="78">
        <v>45044.885416666664</v>
      </c>
      <c r="N1170" s="79">
        <v>7.2379708153194097E-2</v>
      </c>
      <c r="O1170" s="5">
        <v>65.743635260000005</v>
      </c>
      <c r="P1170" s="2">
        <v>12631</v>
      </c>
      <c r="Q1170" s="7">
        <f t="shared" si="271"/>
        <v>210.51666666666668</v>
      </c>
      <c r="R1170" s="6">
        <f t="shared" si="272"/>
        <v>15.237134894716577</v>
      </c>
      <c r="S1170" s="6">
        <f t="shared" si="278"/>
        <v>140.96826180928852</v>
      </c>
      <c r="T1170" s="2">
        <f t="shared" si="279"/>
        <v>1</v>
      </c>
      <c r="U1170" s="6">
        <f t="shared" si="280"/>
        <v>140.96826180928852</v>
      </c>
      <c r="V1170">
        <f t="shared" si="281"/>
        <v>6.2938580221671966E-2</v>
      </c>
      <c r="W1170" s="6">
        <f t="shared" si="273"/>
        <v>8.872342254593562</v>
      </c>
      <c r="AK1170" s="78">
        <v>45043.885416666664</v>
      </c>
      <c r="AL1170" s="79">
        <v>8.0291856822179403E-2</v>
      </c>
      <c r="AM1170" s="5">
        <v>70.279402750000003</v>
      </c>
      <c r="AN1170" s="2">
        <v>12108</v>
      </c>
      <c r="AO1170" s="7">
        <f t="shared" si="270"/>
        <v>201.8</v>
      </c>
      <c r="AP1170" s="5">
        <f t="shared" si="274"/>
        <v>16.202896706715805</v>
      </c>
      <c r="AQ1170" s="6">
        <f t="shared" si="275"/>
        <v>145.27507889023352</v>
      </c>
      <c r="AR1170" s="2">
        <f t="shared" si="276"/>
        <v>-2.1301186875174403</v>
      </c>
      <c r="AS1170" s="2">
        <f t="shared" si="277"/>
        <v>-309.45316037465682</v>
      </c>
    </row>
    <row r="1171" spans="13:45" x14ac:dyDescent="0.3">
      <c r="M1171" s="78">
        <v>45044.895833333336</v>
      </c>
      <c r="N1171" s="79">
        <v>7.2019314847678303E-2</v>
      </c>
      <c r="O1171" s="5">
        <v>66.655723199999997</v>
      </c>
      <c r="P1171" s="2">
        <v>12632</v>
      </c>
      <c r="Q1171" s="7">
        <f t="shared" si="271"/>
        <v>210.53333333333333</v>
      </c>
      <c r="R1171" s="6">
        <f t="shared" si="272"/>
        <v>15.162466419264538</v>
      </c>
      <c r="S1171" s="6">
        <f t="shared" si="278"/>
        <v>140.62955070012072</v>
      </c>
      <c r="T1171" s="2">
        <f t="shared" si="279"/>
        <v>1</v>
      </c>
      <c r="U1171" s="6">
        <f t="shared" si="280"/>
        <v>140.62955070012072</v>
      </c>
      <c r="V1171">
        <f t="shared" si="281"/>
        <v>4.9270556077967147E-2</v>
      </c>
      <c r="W1171" s="6">
        <f t="shared" si="273"/>
        <v>6.9288961639896218</v>
      </c>
      <c r="AK1171" s="78">
        <v>45043.895833333336</v>
      </c>
      <c r="AL1171" s="79">
        <v>7.6150805434096802E-2</v>
      </c>
      <c r="AM1171" s="5">
        <v>67.565551839999998</v>
      </c>
      <c r="AN1171" s="2">
        <v>12040</v>
      </c>
      <c r="AO1171" s="7">
        <f t="shared" si="270"/>
        <v>200.66666666666666</v>
      </c>
      <c r="AP1171" s="5">
        <f t="shared" si="274"/>
        <v>15.280928290442091</v>
      </c>
      <c r="AQ1171" s="6">
        <f t="shared" si="275"/>
        <v>141.16652341501558</v>
      </c>
      <c r="AR1171" s="2">
        <f t="shared" si="276"/>
        <v>-2.1301186875174403</v>
      </c>
      <c r="AS1171" s="2">
        <f t="shared" si="277"/>
        <v>-300.70144957819298</v>
      </c>
    </row>
    <row r="1172" spans="13:45" x14ac:dyDescent="0.3">
      <c r="M1172" s="78">
        <v>45044.90625</v>
      </c>
      <c r="N1172" s="79">
        <v>7.1200886522164594E-2</v>
      </c>
      <c r="O1172" s="5">
        <v>68.916923760000003</v>
      </c>
      <c r="P1172" s="2">
        <v>12685</v>
      </c>
      <c r="Q1172" s="7">
        <f t="shared" si="271"/>
        <v>211.41666666666666</v>
      </c>
      <c r="R1172" s="6">
        <f t="shared" si="272"/>
        <v>15.053054092227631</v>
      </c>
      <c r="S1172" s="6">
        <f t="shared" si="278"/>
        <v>140.13169339951489</v>
      </c>
      <c r="T1172" s="2">
        <f t="shared" si="279"/>
        <v>1</v>
      </c>
      <c r="U1172" s="6">
        <f t="shared" si="280"/>
        <v>140.13169339951489</v>
      </c>
      <c r="V1172">
        <f t="shared" si="281"/>
        <v>2.9242688647890629E-2</v>
      </c>
      <c r="W1172" s="6">
        <f t="shared" si="273"/>
        <v>4.0978274797836844</v>
      </c>
      <c r="AK1172" s="78">
        <v>45043.90625</v>
      </c>
      <c r="AL1172" s="79">
        <v>8.1517953901907206E-2</v>
      </c>
      <c r="AM1172" s="5">
        <v>68.016396760000006</v>
      </c>
      <c r="AN1172" s="2">
        <v>11525</v>
      </c>
      <c r="AO1172" s="7">
        <f t="shared" si="270"/>
        <v>192.08333333333334</v>
      </c>
      <c r="AP1172" s="5">
        <f t="shared" si="274"/>
        <v>15.658240311991344</v>
      </c>
      <c r="AQ1172" s="6">
        <f t="shared" si="275"/>
        <v>142.86281959707733</v>
      </c>
      <c r="AR1172" s="2">
        <f t="shared" si="276"/>
        <v>-2.1301186875174403</v>
      </c>
      <c r="AS1172" s="2">
        <f t="shared" si="277"/>
        <v>-304.3147617751672</v>
      </c>
    </row>
    <row r="1173" spans="13:45" x14ac:dyDescent="0.3">
      <c r="M1173" s="78">
        <v>45044.916666666664</v>
      </c>
      <c r="N1173" s="79">
        <v>7.1287967491424506E-2</v>
      </c>
      <c r="O1173" s="5">
        <v>68.016396760000006</v>
      </c>
      <c r="P1173" s="2">
        <v>12512</v>
      </c>
      <c r="Q1173" s="7">
        <f t="shared" si="271"/>
        <v>208.53333333333333</v>
      </c>
      <c r="R1173" s="6">
        <f t="shared" si="272"/>
        <v>14.865917487545056</v>
      </c>
      <c r="S1173" s="6">
        <f t="shared" si="278"/>
        <v>139.2758690269886</v>
      </c>
      <c r="T1173" s="2">
        <f t="shared" si="279"/>
        <v>1</v>
      </c>
      <c r="U1173" s="6">
        <f t="shared" si="280"/>
        <v>139.2758690269886</v>
      </c>
      <c r="V1173">
        <f t="shared" si="281"/>
        <v>0</v>
      </c>
      <c r="W1173" s="6">
        <f t="shared" si="273"/>
        <v>0</v>
      </c>
      <c r="AK1173" s="78">
        <v>45043.916666666664</v>
      </c>
      <c r="AL1173" s="79">
        <v>7.89530630295458E-2</v>
      </c>
      <c r="AM1173" s="5">
        <v>66.655723199999997</v>
      </c>
      <c r="AN1173" s="2">
        <v>12119</v>
      </c>
      <c r="AO1173" s="7">
        <f t="shared" si="270"/>
        <v>201.98333333333332</v>
      </c>
      <c r="AP1173" s="5">
        <f t="shared" si="274"/>
        <v>15.947202847584425</v>
      </c>
      <c r="AQ1173" s="6">
        <f t="shared" si="275"/>
        <v>144.14786069319777</v>
      </c>
      <c r="AR1173" s="2">
        <f t="shared" si="276"/>
        <v>-2.1301186875174403</v>
      </c>
      <c r="AS1173" s="2">
        <f t="shared" si="277"/>
        <v>-307.05205182824125</v>
      </c>
    </row>
    <row r="1174" spans="13:45" x14ac:dyDescent="0.3">
      <c r="M1174" s="78">
        <v>45044.927083333336</v>
      </c>
      <c r="N1174" s="79">
        <v>7.2224541769461206E-2</v>
      </c>
      <c r="O1174" s="5">
        <v>66.655723199999997</v>
      </c>
      <c r="P1174" s="2">
        <v>13039</v>
      </c>
      <c r="Q1174" s="7">
        <f t="shared" si="271"/>
        <v>217.31666666666666</v>
      </c>
      <c r="R1174" s="6">
        <f t="shared" si="272"/>
        <v>15.695596668866743</v>
      </c>
      <c r="S1174" s="6">
        <f t="shared" si="278"/>
        <v>143.02962371049722</v>
      </c>
      <c r="T1174" s="2">
        <f t="shared" si="279"/>
        <v>1</v>
      </c>
      <c r="U1174" s="6">
        <f t="shared" si="280"/>
        <v>143.02962371049722</v>
      </c>
      <c r="V1174">
        <f t="shared" si="281"/>
        <v>0.14685976061426109</v>
      </c>
      <c r="W1174" s="6">
        <f t="shared" si="273"/>
        <v>21.005296298871464</v>
      </c>
      <c r="AK1174" s="78">
        <v>45043.927083333336</v>
      </c>
      <c r="AL1174" s="79">
        <v>8.0301107895747306E-2</v>
      </c>
      <c r="AM1174" s="5">
        <v>65.290959470000004</v>
      </c>
      <c r="AN1174" s="2">
        <v>12264</v>
      </c>
      <c r="AO1174" s="7">
        <f t="shared" si="270"/>
        <v>204.4</v>
      </c>
      <c r="AP1174" s="5">
        <f t="shared" si="274"/>
        <v>16.413546453890749</v>
      </c>
      <c r="AQ1174" s="6">
        <f t="shared" si="275"/>
        <v>146.19691958460925</v>
      </c>
      <c r="AR1174" s="2">
        <f t="shared" si="276"/>
        <v>-2.1301186875174403</v>
      </c>
      <c r="AS1174" s="2">
        <f t="shared" si="277"/>
        <v>-311.41679046466061</v>
      </c>
    </row>
    <row r="1175" spans="13:45" x14ac:dyDescent="0.3">
      <c r="M1175" s="78">
        <v>45044.9375</v>
      </c>
      <c r="N1175" s="79">
        <v>7.7222316877350497E-2</v>
      </c>
      <c r="O1175" s="5">
        <v>65.743635260000005</v>
      </c>
      <c r="P1175" s="2">
        <v>12882</v>
      </c>
      <c r="Q1175" s="7">
        <f t="shared" si="271"/>
        <v>214.7</v>
      </c>
      <c r="R1175" s="6">
        <f t="shared" si="272"/>
        <v>16.579631433567151</v>
      </c>
      <c r="S1175" s="6">
        <f t="shared" si="278"/>
        <v>146.91948842898853</v>
      </c>
      <c r="T1175" s="2">
        <f t="shared" si="279"/>
        <v>1</v>
      </c>
      <c r="U1175" s="6">
        <f t="shared" si="280"/>
        <v>146.91948842898853</v>
      </c>
      <c r="V1175">
        <f t="shared" si="281"/>
        <v>0.30868184730679921</v>
      </c>
      <c r="W1175" s="6">
        <f t="shared" si="273"/>
        <v>45.351379093630094</v>
      </c>
      <c r="AK1175" s="78">
        <v>45043.9375</v>
      </c>
      <c r="AL1175" s="79">
        <v>8.0036927417647605E-2</v>
      </c>
      <c r="AM1175" s="5">
        <v>65.283151739999994</v>
      </c>
      <c r="AN1175" s="2">
        <v>12582</v>
      </c>
      <c r="AO1175" s="7">
        <f t="shared" si="270"/>
        <v>209.7</v>
      </c>
      <c r="AP1175" s="5">
        <f t="shared" si="274"/>
        <v>16.7837436794807</v>
      </c>
      <c r="AQ1175" s="6">
        <f t="shared" si="275"/>
        <v>147.80245809309886</v>
      </c>
      <c r="AR1175" s="2">
        <f t="shared" si="276"/>
        <v>-2.1301186875174403</v>
      </c>
      <c r="AS1175" s="2">
        <f t="shared" si="277"/>
        <v>-314.8367780451232</v>
      </c>
    </row>
    <row r="1176" spans="13:45" x14ac:dyDescent="0.3">
      <c r="M1176" s="78">
        <v>45044.947916666664</v>
      </c>
      <c r="N1176" s="79">
        <v>7.3551934267280406E-2</v>
      </c>
      <c r="O1176" s="5">
        <v>68.016396760000006</v>
      </c>
      <c r="P1176" s="2">
        <v>12405</v>
      </c>
      <c r="Q1176" s="7">
        <f t="shared" si="271"/>
        <v>206.75</v>
      </c>
      <c r="R1176" s="6">
        <f t="shared" si="272"/>
        <v>15.206862409760223</v>
      </c>
      <c r="S1176" s="6">
        <f t="shared" si="278"/>
        <v>140.83104209016071</v>
      </c>
      <c r="T1176" s="2">
        <f t="shared" si="279"/>
        <v>1</v>
      </c>
      <c r="U1176" s="6">
        <f t="shared" si="280"/>
        <v>140.83104209016071</v>
      </c>
      <c r="V1176">
        <f t="shared" si="281"/>
        <v>5.7397218184098861E-2</v>
      </c>
      <c r="W1176" s="6">
        <f t="shared" si="273"/>
        <v>8.0833100499429644</v>
      </c>
      <c r="AK1176" s="78">
        <v>45043.947916666664</v>
      </c>
      <c r="AL1176" s="79">
        <v>7.7159516621298593E-2</v>
      </c>
      <c r="AM1176" s="5">
        <v>66.655723199999997</v>
      </c>
      <c r="AN1176" s="2">
        <v>12088</v>
      </c>
      <c r="AO1176" s="7">
        <f t="shared" si="270"/>
        <v>201.46666666666667</v>
      </c>
      <c r="AP1176" s="5">
        <f t="shared" si="274"/>
        <v>15.54507061530429</v>
      </c>
      <c r="AQ1176" s="6">
        <f t="shared" si="275"/>
        <v>142.35624946132444</v>
      </c>
      <c r="AR1176" s="2">
        <f t="shared" si="276"/>
        <v>-2.1301186875174403</v>
      </c>
      <c r="AS1176" s="2">
        <f t="shared" si="277"/>
        <v>-303.23570726246174</v>
      </c>
    </row>
    <row r="1177" spans="13:45" x14ac:dyDescent="0.3">
      <c r="M1177" s="78">
        <v>45044.958333333336</v>
      </c>
      <c r="N1177" s="79">
        <v>7.0649735259539798E-2</v>
      </c>
      <c r="O1177" s="5">
        <v>68.016396760000006</v>
      </c>
      <c r="P1177" s="2">
        <v>12756</v>
      </c>
      <c r="Q1177" s="7">
        <f t="shared" si="271"/>
        <v>212.6</v>
      </c>
      <c r="R1177" s="6">
        <f t="shared" si="272"/>
        <v>15.02013371617816</v>
      </c>
      <c r="S1177" s="6">
        <f t="shared" si="278"/>
        <v>139.98153515715691</v>
      </c>
      <c r="T1177" s="2">
        <f t="shared" si="279"/>
        <v>1</v>
      </c>
      <c r="U1177" s="6">
        <f t="shared" si="280"/>
        <v>139.98153515715691</v>
      </c>
      <c r="V1177">
        <f t="shared" si="281"/>
        <v>2.3216631574406784E-2</v>
      </c>
      <c r="W1177" s="6">
        <f t="shared" si="273"/>
        <v>3.2498997289635825</v>
      </c>
      <c r="AK1177" s="78">
        <v>45043.958333333336</v>
      </c>
      <c r="AL1177" s="79">
        <v>7.6773144689903303E-2</v>
      </c>
      <c r="AM1177" s="5">
        <v>65.283151739999994</v>
      </c>
      <c r="AN1177" s="2">
        <v>12476</v>
      </c>
      <c r="AO1177" s="7">
        <f t="shared" si="270"/>
        <v>207.93333333333334</v>
      </c>
      <c r="AP1177" s="5">
        <f t="shared" si="274"/>
        <v>15.963695885853893</v>
      </c>
      <c r="AQ1177" s="6">
        <f t="shared" si="275"/>
        <v>144.2208467490521</v>
      </c>
      <c r="AR1177" s="2">
        <f t="shared" si="276"/>
        <v>-2.1301186875174403</v>
      </c>
      <c r="AS1177" s="2">
        <f t="shared" si="277"/>
        <v>-307.20752078974476</v>
      </c>
    </row>
    <row r="1178" spans="13:45" x14ac:dyDescent="0.3">
      <c r="M1178" s="78">
        <v>45044.96875</v>
      </c>
      <c r="N1178" s="79">
        <v>7.2987036129249699E-2</v>
      </c>
      <c r="O1178" s="5">
        <v>64.377553680000005</v>
      </c>
      <c r="P1178" s="2">
        <v>12783</v>
      </c>
      <c r="Q1178" s="7">
        <f t="shared" si="271"/>
        <v>213.05</v>
      </c>
      <c r="R1178" s="6">
        <f t="shared" si="272"/>
        <v>15.549888047336649</v>
      </c>
      <c r="S1178" s="6">
        <f t="shared" si="278"/>
        <v>142.37785152302277</v>
      </c>
      <c r="T1178" s="2">
        <f t="shared" si="279"/>
        <v>1</v>
      </c>
      <c r="U1178" s="6">
        <f t="shared" si="280"/>
        <v>142.37785152302277</v>
      </c>
      <c r="V1178">
        <f t="shared" si="281"/>
        <v>0.1201878760610741</v>
      </c>
      <c r="W1178" s="6">
        <f t="shared" si="273"/>
        <v>17.112091572691071</v>
      </c>
      <c r="AK1178" s="78">
        <v>45043.96875</v>
      </c>
      <c r="AL1178" s="79">
        <v>7.4762829106415504E-2</v>
      </c>
      <c r="AM1178" s="5">
        <v>70.271667750000006</v>
      </c>
      <c r="AN1178" s="2">
        <v>12296</v>
      </c>
      <c r="AO1178" s="7">
        <f t="shared" si="270"/>
        <v>204.93333333333334</v>
      </c>
      <c r="AP1178" s="5">
        <f t="shared" si="274"/>
        <v>15.321395778208084</v>
      </c>
      <c r="AQ1178" s="6">
        <f t="shared" si="275"/>
        <v>141.34947036343027</v>
      </c>
      <c r="AR1178" s="2">
        <f t="shared" si="276"/>
        <v>-2.1301186875174403</v>
      </c>
      <c r="AS1178" s="2">
        <f t="shared" si="277"/>
        <v>-301.0911482918354</v>
      </c>
    </row>
    <row r="1179" spans="13:45" x14ac:dyDescent="0.3">
      <c r="M1179" s="78">
        <v>45044.979166666664</v>
      </c>
      <c r="N1179" s="79">
        <v>7.6885187879659506E-2</v>
      </c>
      <c r="O1179" s="5">
        <v>68.016396760000006</v>
      </c>
      <c r="P1179" s="2">
        <v>12634</v>
      </c>
      <c r="Q1179" s="7">
        <f t="shared" si="271"/>
        <v>210.56666666666666</v>
      </c>
      <c r="R1179" s="6">
        <f t="shared" si="272"/>
        <v>16.189457727860304</v>
      </c>
      <c r="S1179" s="6">
        <f t="shared" si="278"/>
        <v>145.2160605804136</v>
      </c>
      <c r="T1179" s="2">
        <f t="shared" si="279"/>
        <v>1</v>
      </c>
      <c r="U1179" s="6">
        <f t="shared" si="280"/>
        <v>145.2160605804136</v>
      </c>
      <c r="V1179">
        <f t="shared" si="281"/>
        <v>0.23726076099755275</v>
      </c>
      <c r="W1179" s="6">
        <f t="shared" si="273"/>
        <v>34.454073042375654</v>
      </c>
      <c r="AK1179" s="78">
        <v>45043.979166666664</v>
      </c>
      <c r="AL1179" s="79">
        <v>7.5550987451788607E-2</v>
      </c>
      <c r="AM1179" s="5">
        <v>67.557775419999999</v>
      </c>
      <c r="AN1179" s="2">
        <v>11972</v>
      </c>
      <c r="AO1179" s="7">
        <f t="shared" si="270"/>
        <v>199.53333333333333</v>
      </c>
      <c r="AP1179" s="5">
        <f t="shared" si="274"/>
        <v>15.07494036288022</v>
      </c>
      <c r="AQ1179" s="6">
        <f t="shared" si="275"/>
        <v>140.23142954817754</v>
      </c>
      <c r="AR1179" s="2">
        <f t="shared" si="276"/>
        <v>-2.1301186875174403</v>
      </c>
      <c r="AS1179" s="2">
        <f t="shared" si="277"/>
        <v>-298.70958865785832</v>
      </c>
    </row>
    <row r="1180" spans="13:45" x14ac:dyDescent="0.3">
      <c r="M1180" s="78">
        <v>45044.989583333336</v>
      </c>
      <c r="N1180" s="79">
        <v>6.9866473975707999E-2</v>
      </c>
      <c r="O1180" s="5">
        <v>68.916923760000003</v>
      </c>
      <c r="P1180" s="2">
        <v>12638</v>
      </c>
      <c r="Q1180" s="7">
        <f t="shared" si="271"/>
        <v>210.63333333333333</v>
      </c>
      <c r="R1180" s="6">
        <f t="shared" si="272"/>
        <v>14.71620830174996</v>
      </c>
      <c r="S1180" s="6">
        <f t="shared" si="278"/>
        <v>138.58724386369596</v>
      </c>
      <c r="T1180" s="2">
        <f t="shared" si="279"/>
        <v>1</v>
      </c>
      <c r="U1180" s="6">
        <f t="shared" si="280"/>
        <v>138.58724386369596</v>
      </c>
      <c r="V1180">
        <f t="shared" si="281"/>
        <v>0</v>
      </c>
      <c r="W1180" s="6">
        <f t="shared" si="273"/>
        <v>0</v>
      </c>
      <c r="AK1180" s="78">
        <v>45043.989583333336</v>
      </c>
      <c r="AL1180" s="79">
        <v>7.5632491711171798E-2</v>
      </c>
      <c r="AM1180" s="5">
        <v>68.008627450000006</v>
      </c>
      <c r="AN1180" s="2">
        <v>12153</v>
      </c>
      <c r="AO1180" s="7">
        <f t="shared" si="270"/>
        <v>202.55</v>
      </c>
      <c r="AP1180" s="5">
        <f t="shared" si="274"/>
        <v>15.319361196097848</v>
      </c>
      <c r="AQ1180" s="6">
        <f t="shared" si="275"/>
        <v>141.34027823898396</v>
      </c>
      <c r="AR1180" s="2">
        <f t="shared" si="276"/>
        <v>-2.1301186875174403</v>
      </c>
      <c r="AS1180" s="2">
        <f t="shared" si="277"/>
        <v>-301.07156797577431</v>
      </c>
    </row>
    <row r="1181" spans="13:45" x14ac:dyDescent="0.3">
      <c r="M1181" s="78">
        <v>45045</v>
      </c>
      <c r="N1181" s="79">
        <v>6.5683136579596194E-2</v>
      </c>
      <c r="O1181" s="5">
        <v>66.655723199999997</v>
      </c>
      <c r="P1181" s="2">
        <v>13191</v>
      </c>
      <c r="Q1181" s="7">
        <f t="shared" si="271"/>
        <v>219.85</v>
      </c>
      <c r="R1181" s="6">
        <f t="shared" si="272"/>
        <v>14.440437577024223</v>
      </c>
      <c r="S1181" s="6">
        <f t="shared" si="278"/>
        <v>137.30934384461796</v>
      </c>
      <c r="T1181" s="2">
        <f t="shared" si="279"/>
        <v>1</v>
      </c>
      <c r="U1181" s="6">
        <f t="shared" si="280"/>
        <v>137.30934384461796</v>
      </c>
      <c r="V1181">
        <f t="shared" si="281"/>
        <v>0</v>
      </c>
      <c r="W1181" s="6">
        <f t="shared" si="273"/>
        <v>0</v>
      </c>
      <c r="AK1181" s="78">
        <v>45044</v>
      </c>
      <c r="AL1181" s="79">
        <v>7.40367632232172E-2</v>
      </c>
      <c r="AM1181" s="5">
        <v>66.647934039999996</v>
      </c>
      <c r="AN1181" s="2">
        <v>12488</v>
      </c>
      <c r="AO1181" s="7">
        <f t="shared" si="270"/>
        <v>208.13333333333333</v>
      </c>
      <c r="AP1181" s="5">
        <f t="shared" si="274"/>
        <v>15.40951831885894</v>
      </c>
      <c r="AQ1181" s="6">
        <f t="shared" si="275"/>
        <v>141.74700685926663</v>
      </c>
      <c r="AR1181" s="2">
        <f t="shared" si="276"/>
        <v>-2.1301186875174403</v>
      </c>
      <c r="AS1181" s="2">
        <f t="shared" si="277"/>
        <v>-301.93794821058663</v>
      </c>
    </row>
    <row r="1182" spans="13:45" x14ac:dyDescent="0.3">
      <c r="M1182" s="78">
        <v>45045.010416666664</v>
      </c>
      <c r="N1182" s="79">
        <v>6.9444683834677404E-2</v>
      </c>
      <c r="O1182" s="5">
        <v>65.290959470000004</v>
      </c>
      <c r="P1182" s="2">
        <v>13348</v>
      </c>
      <c r="Q1182" s="7">
        <f t="shared" si="271"/>
        <v>222.46666666666667</v>
      </c>
      <c r="R1182" s="6">
        <f t="shared" si="272"/>
        <v>15.449127330421232</v>
      </c>
      <c r="S1182" s="6">
        <f t="shared" si="278"/>
        <v>141.92531221482156</v>
      </c>
      <c r="T1182" s="2">
        <f t="shared" si="279"/>
        <v>1</v>
      </c>
      <c r="U1182" s="6">
        <f t="shared" si="280"/>
        <v>141.92531221482156</v>
      </c>
      <c r="V1182">
        <f t="shared" si="281"/>
        <v>0.10174368119571195</v>
      </c>
      <c r="W1182" s="6">
        <f t="shared" si="273"/>
        <v>14.440003719586688</v>
      </c>
      <c r="AK1182" s="78">
        <v>45044.010416666664</v>
      </c>
      <c r="AL1182" s="79">
        <v>7.74697236406902E-2</v>
      </c>
      <c r="AM1182" s="5">
        <v>69.36581735</v>
      </c>
      <c r="AN1182" s="2">
        <v>11874</v>
      </c>
      <c r="AO1182" s="7">
        <f t="shared" si="270"/>
        <v>197.9</v>
      </c>
      <c r="AP1182" s="5">
        <f t="shared" si="274"/>
        <v>15.331258308492592</v>
      </c>
      <c r="AQ1182" s="6">
        <f t="shared" si="275"/>
        <v>141.39401988000307</v>
      </c>
      <c r="AR1182" s="2">
        <f t="shared" si="276"/>
        <v>-2.1301186875174403</v>
      </c>
      <c r="AS1182" s="2">
        <f t="shared" si="277"/>
        <v>-301.18604404960701</v>
      </c>
    </row>
    <row r="1183" spans="13:45" x14ac:dyDescent="0.3">
      <c r="M1183" s="78">
        <v>45045.020833333336</v>
      </c>
      <c r="N1183" s="79">
        <v>6.7814031445745507E-2</v>
      </c>
      <c r="O1183" s="5">
        <v>64.377553680000005</v>
      </c>
      <c r="P1183" s="2">
        <v>12840</v>
      </c>
      <c r="Q1183" s="7">
        <f t="shared" si="271"/>
        <v>214</v>
      </c>
      <c r="R1183" s="6">
        <f t="shared" si="272"/>
        <v>14.512202729389539</v>
      </c>
      <c r="S1183" s="6">
        <f t="shared" si="278"/>
        <v>137.64308808673988</v>
      </c>
      <c r="T1183" s="2">
        <f t="shared" si="279"/>
        <v>1</v>
      </c>
      <c r="U1183" s="6">
        <f t="shared" si="280"/>
        <v>137.64308808673988</v>
      </c>
      <c r="V1183">
        <f t="shared" si="281"/>
        <v>0</v>
      </c>
      <c r="W1183" s="6">
        <f t="shared" si="273"/>
        <v>0</v>
      </c>
      <c r="AK1183" s="78">
        <v>45044.020833333336</v>
      </c>
      <c r="AL1183" s="79">
        <v>7.9443668974439996E-2</v>
      </c>
      <c r="AM1183" s="5">
        <v>66.655723199999997</v>
      </c>
      <c r="AN1183" s="2">
        <v>12168</v>
      </c>
      <c r="AO1183" s="7">
        <f t="shared" si="270"/>
        <v>202.8</v>
      </c>
      <c r="AP1183" s="5">
        <f t="shared" si="274"/>
        <v>16.111176068016434</v>
      </c>
      <c r="AQ1183" s="6">
        <f t="shared" si="275"/>
        <v>144.87178258862264</v>
      </c>
      <c r="AR1183" s="2">
        <f t="shared" si="276"/>
        <v>-2.1301186875174403</v>
      </c>
      <c r="AS1183" s="2">
        <f t="shared" si="277"/>
        <v>-308.5940913859888</v>
      </c>
    </row>
    <row r="1184" spans="13:45" x14ac:dyDescent="0.3">
      <c r="M1184" s="78">
        <v>45045.03125</v>
      </c>
      <c r="N1184" s="79">
        <v>6.9332641187557498E-2</v>
      </c>
      <c r="O1184" s="5">
        <v>64.377553680000005</v>
      </c>
      <c r="P1184" s="2">
        <v>13060</v>
      </c>
      <c r="Q1184" s="7">
        <f t="shared" si="271"/>
        <v>217.66666666666666</v>
      </c>
      <c r="R1184" s="6">
        <f t="shared" si="272"/>
        <v>15.091404898491682</v>
      </c>
      <c r="S1184" s="6">
        <f t="shared" si="278"/>
        <v>140.30641005530612</v>
      </c>
      <c r="T1184" s="2">
        <f t="shared" si="279"/>
        <v>1</v>
      </c>
      <c r="U1184" s="6">
        <f t="shared" si="280"/>
        <v>140.30641005530612</v>
      </c>
      <c r="V1184">
        <f t="shared" si="281"/>
        <v>3.6262783042134372E-2</v>
      </c>
      <c r="W1184" s="6">
        <f t="shared" si="273"/>
        <v>5.0879009072563059</v>
      </c>
      <c r="AK1184" s="78">
        <v>45044.03125</v>
      </c>
      <c r="AL1184" s="79">
        <v>7.4164868868600506E-2</v>
      </c>
      <c r="AM1184" s="5">
        <v>65.743635260000005</v>
      </c>
      <c r="AN1184" s="2">
        <v>12209</v>
      </c>
      <c r="AO1184" s="7">
        <f t="shared" si="270"/>
        <v>203.48333333333332</v>
      </c>
      <c r="AP1184" s="5">
        <f t="shared" si="274"/>
        <v>15.091314733612393</v>
      </c>
      <c r="AQ1184" s="6">
        <f t="shared" si="275"/>
        <v>140.3059995526107</v>
      </c>
      <c r="AR1184" s="2">
        <f t="shared" si="276"/>
        <v>-2.1301186875174403</v>
      </c>
      <c r="AS1184" s="2">
        <f t="shared" si="277"/>
        <v>-298.86843161782969</v>
      </c>
    </row>
    <row r="1185" spans="13:45" x14ac:dyDescent="0.3">
      <c r="M1185" s="78">
        <v>45045.041666666664</v>
      </c>
      <c r="N1185" s="79">
        <v>7.3672688677980602E-2</v>
      </c>
      <c r="O1185" s="5">
        <v>66.647934039999996</v>
      </c>
      <c r="P1185" s="2">
        <v>13150</v>
      </c>
      <c r="Q1185" s="7">
        <f t="shared" si="271"/>
        <v>219.16666666666666</v>
      </c>
      <c r="R1185" s="6">
        <f t="shared" si="272"/>
        <v>16.146597601924082</v>
      </c>
      <c r="S1185" s="6">
        <f t="shared" si="278"/>
        <v>145.02766984209845</v>
      </c>
      <c r="T1185" s="2">
        <f t="shared" si="279"/>
        <v>1</v>
      </c>
      <c r="U1185" s="6">
        <f t="shared" si="280"/>
        <v>145.02766984209845</v>
      </c>
      <c r="V1185">
        <f t="shared" si="281"/>
        <v>0.22941523807034644</v>
      </c>
      <c r="W1185" s="6">
        <f t="shared" si="273"/>
        <v>33.271557403612618</v>
      </c>
      <c r="AK1185" s="78">
        <v>45044.041666666664</v>
      </c>
      <c r="AL1185" s="79">
        <v>7.7522378705757095E-2</v>
      </c>
      <c r="AM1185" s="5">
        <v>66.647934039999996</v>
      </c>
      <c r="AN1185" s="2">
        <v>12348</v>
      </c>
      <c r="AO1185" s="7">
        <f t="shared" si="270"/>
        <v>205.8</v>
      </c>
      <c r="AP1185" s="5">
        <f t="shared" si="274"/>
        <v>15.954105537644811</v>
      </c>
      <c r="AQ1185" s="6">
        <f t="shared" si="275"/>
        <v>144.17841160696477</v>
      </c>
      <c r="AR1185" s="2">
        <f t="shared" si="276"/>
        <v>-2.1301186875174403</v>
      </c>
      <c r="AS1185" s="2">
        <f t="shared" si="277"/>
        <v>-307.11712890057709</v>
      </c>
    </row>
    <row r="1186" spans="13:45" x14ac:dyDescent="0.3">
      <c r="M1186" s="78">
        <v>45045.052083333336</v>
      </c>
      <c r="N1186" s="79">
        <v>6.5967756501482094E-2</v>
      </c>
      <c r="O1186" s="5">
        <v>66.655723199999997</v>
      </c>
      <c r="P1186" s="2">
        <v>13494</v>
      </c>
      <c r="Q1186" s="7">
        <f t="shared" si="271"/>
        <v>224.9</v>
      </c>
      <c r="R1186" s="6">
        <f t="shared" si="272"/>
        <v>14.836148437183324</v>
      </c>
      <c r="S1186" s="6">
        <f t="shared" si="278"/>
        <v>139.13922164707722</v>
      </c>
      <c r="T1186" s="2">
        <f t="shared" si="279"/>
        <v>1</v>
      </c>
      <c r="U1186" s="6">
        <f t="shared" si="280"/>
        <v>139.13922164707722</v>
      </c>
      <c r="V1186">
        <f t="shared" si="281"/>
        <v>0</v>
      </c>
      <c r="W1186" s="6">
        <f t="shared" si="273"/>
        <v>0</v>
      </c>
      <c r="AK1186" s="78">
        <v>45044.052083333336</v>
      </c>
      <c r="AL1186" s="79">
        <v>7.2369228686455206E-2</v>
      </c>
      <c r="AM1186" s="5">
        <v>67.565551839999998</v>
      </c>
      <c r="AN1186" s="2">
        <v>12499</v>
      </c>
      <c r="AO1186" s="7">
        <f t="shared" si="270"/>
        <v>208.31666666666666</v>
      </c>
      <c r="AP1186" s="5">
        <f t="shared" si="274"/>
        <v>15.07571648920006</v>
      </c>
      <c r="AQ1186" s="6">
        <f t="shared" si="275"/>
        <v>140.23496501339653</v>
      </c>
      <c r="AR1186" s="2">
        <f t="shared" si="276"/>
        <v>-2.1301186875174403</v>
      </c>
      <c r="AS1186" s="2">
        <f t="shared" si="277"/>
        <v>-298.71711961839037</v>
      </c>
    </row>
    <row r="1187" spans="13:45" x14ac:dyDescent="0.3">
      <c r="M1187" s="78">
        <v>45045.0625</v>
      </c>
      <c r="N1187" s="79">
        <v>7.3428265308109003E-2</v>
      </c>
      <c r="O1187" s="5">
        <v>63.462041390000003</v>
      </c>
      <c r="P1187" s="2">
        <v>13322</v>
      </c>
      <c r="Q1187" s="7">
        <f t="shared" si="271"/>
        <v>222.03333333333333</v>
      </c>
      <c r="R1187" s="6">
        <f t="shared" si="272"/>
        <v>16.303522507243802</v>
      </c>
      <c r="S1187" s="6">
        <f t="shared" si="278"/>
        <v>145.71619339496505</v>
      </c>
      <c r="T1187" s="2">
        <f t="shared" si="279"/>
        <v>1</v>
      </c>
      <c r="U1187" s="6">
        <f t="shared" si="280"/>
        <v>145.71619339496505</v>
      </c>
      <c r="V1187">
        <f t="shared" si="281"/>
        <v>0.25814025731941614</v>
      </c>
      <c r="W1187" s="6">
        <f t="shared" si="273"/>
        <v>37.615215658582088</v>
      </c>
      <c r="AK1187" s="78">
        <v>45044.0625</v>
      </c>
      <c r="AL1187" s="79">
        <v>7.4153943350516699E-2</v>
      </c>
      <c r="AM1187" s="5">
        <v>68.924680609999996</v>
      </c>
      <c r="AN1187" s="2">
        <v>12241</v>
      </c>
      <c r="AO1187" s="7">
        <f t="shared" si="270"/>
        <v>204.01666666666668</v>
      </c>
      <c r="AP1187" s="5">
        <f t="shared" si="274"/>
        <v>15.128640342561249</v>
      </c>
      <c r="AQ1187" s="6">
        <f t="shared" si="275"/>
        <v>140.47582874989342</v>
      </c>
      <c r="AR1187" s="2">
        <f t="shared" si="276"/>
        <v>-2.1301186875174403</v>
      </c>
      <c r="AS1187" s="2">
        <f t="shared" si="277"/>
        <v>-299.23018796464766</v>
      </c>
    </row>
    <row r="1188" spans="13:45" x14ac:dyDescent="0.3">
      <c r="M1188" s="78">
        <v>45045.072916666664</v>
      </c>
      <c r="N1188" s="79">
        <v>6.7040419227425097E-2</v>
      </c>
      <c r="O1188" s="5">
        <v>68.008627450000006</v>
      </c>
      <c r="P1188" s="2">
        <v>13444</v>
      </c>
      <c r="Q1188" s="7">
        <f t="shared" si="271"/>
        <v>224.06666666666666</v>
      </c>
      <c r="R1188" s="6">
        <f t="shared" si="272"/>
        <v>15.021523268225049</v>
      </c>
      <c r="S1188" s="6">
        <f t="shared" si="278"/>
        <v>139.98787665171929</v>
      </c>
      <c r="T1188" s="2">
        <f t="shared" si="279"/>
        <v>1</v>
      </c>
      <c r="U1188" s="6">
        <f t="shared" si="280"/>
        <v>139.98787665171929</v>
      </c>
      <c r="V1188">
        <f t="shared" si="281"/>
        <v>2.34709883268494E-2</v>
      </c>
      <c r="W1188" s="6">
        <f t="shared" si="273"/>
        <v>3.2856538187929369</v>
      </c>
      <c r="AK1188" s="78">
        <v>45044.072916666664</v>
      </c>
      <c r="AL1188" s="79">
        <v>7.3631209058404007E-2</v>
      </c>
      <c r="AM1188" s="5">
        <v>65.743635260000005</v>
      </c>
      <c r="AN1188" s="2">
        <v>12324</v>
      </c>
      <c r="AO1188" s="7">
        <f t="shared" ref="AO1188:AO1251" si="282">AN1188/60</f>
        <v>205.4</v>
      </c>
      <c r="AP1188" s="5">
        <f t="shared" si="274"/>
        <v>15.123850340596183</v>
      </c>
      <c r="AQ1188" s="6">
        <f t="shared" si="275"/>
        <v>140.45404650738618</v>
      </c>
      <c r="AR1188" s="2">
        <f t="shared" si="276"/>
        <v>-2.1301186875174403</v>
      </c>
      <c r="AS1188" s="2">
        <f t="shared" si="277"/>
        <v>-299.18378920282697</v>
      </c>
    </row>
    <row r="1189" spans="13:45" x14ac:dyDescent="0.3">
      <c r="M1189" s="78">
        <v>45045.083333333336</v>
      </c>
      <c r="N1189" s="79">
        <v>6.8195155505674496E-2</v>
      </c>
      <c r="O1189" s="5">
        <v>66.647934039999996</v>
      </c>
      <c r="P1189" s="2">
        <v>13320</v>
      </c>
      <c r="Q1189" s="7">
        <f t="shared" si="271"/>
        <v>222</v>
      </c>
      <c r="R1189" s="6">
        <f t="shared" si="272"/>
        <v>15.139324522259738</v>
      </c>
      <c r="S1189" s="6">
        <f t="shared" si="278"/>
        <v>140.52440173077289</v>
      </c>
      <c r="T1189" s="2">
        <f t="shared" si="279"/>
        <v>1</v>
      </c>
      <c r="U1189" s="6">
        <f t="shared" si="280"/>
        <v>140.52440173077289</v>
      </c>
      <c r="V1189">
        <f t="shared" si="281"/>
        <v>4.5034444317577665E-2</v>
      </c>
      <c r="W1189" s="6">
        <f t="shared" si="273"/>
        <v>6.3284383450054067</v>
      </c>
      <c r="AK1189" s="78">
        <v>45044.083333333336</v>
      </c>
      <c r="AL1189" s="79">
        <v>6.9633851352669904E-2</v>
      </c>
      <c r="AM1189" s="5">
        <v>68.016396760000006</v>
      </c>
      <c r="AN1189" s="2">
        <v>12305</v>
      </c>
      <c r="AO1189" s="7">
        <f t="shared" si="282"/>
        <v>205.08333333333334</v>
      </c>
      <c r="AP1189" s="5">
        <f t="shared" si="274"/>
        <v>14.280742348243386</v>
      </c>
      <c r="AQ1189" s="6">
        <f t="shared" si="275"/>
        <v>136.56362975843302</v>
      </c>
      <c r="AR1189" s="2">
        <f t="shared" si="276"/>
        <v>-2.1301186875174403</v>
      </c>
      <c r="AS1189" s="2">
        <f t="shared" si="277"/>
        <v>-290.89673978365101</v>
      </c>
    </row>
    <row r="1190" spans="13:45" x14ac:dyDescent="0.3">
      <c r="M1190" s="78">
        <v>45045.09375</v>
      </c>
      <c r="N1190" s="79">
        <v>6.8920713031677197E-2</v>
      </c>
      <c r="O1190" s="5">
        <v>66.647934039999996</v>
      </c>
      <c r="P1190" s="2">
        <v>13205</v>
      </c>
      <c r="Q1190" s="7">
        <f t="shared" si="271"/>
        <v>220.08333333333334</v>
      </c>
      <c r="R1190" s="6">
        <f t="shared" si="272"/>
        <v>15.168300259721624</v>
      </c>
      <c r="S1190" s="6">
        <f t="shared" si="278"/>
        <v>140.65604477506525</v>
      </c>
      <c r="T1190" s="2">
        <f t="shared" si="279"/>
        <v>1</v>
      </c>
      <c r="U1190" s="6">
        <f t="shared" si="280"/>
        <v>140.65604477506525</v>
      </c>
      <c r="V1190">
        <f t="shared" si="281"/>
        <v>5.0338437425955715E-2</v>
      </c>
      <c r="W1190" s="6">
        <f t="shared" si="273"/>
        <v>7.0804055084920474</v>
      </c>
      <c r="AK1190" s="78">
        <v>45044.09375</v>
      </c>
      <c r="AL1190" s="79">
        <v>7.0925176764673997E-2</v>
      </c>
      <c r="AM1190" s="5">
        <v>68.016396760000006</v>
      </c>
      <c r="AN1190" s="2">
        <v>12432</v>
      </c>
      <c r="AO1190" s="7">
        <f t="shared" si="282"/>
        <v>207.2</v>
      </c>
      <c r="AP1190" s="5">
        <f t="shared" si="274"/>
        <v>14.695696625640451</v>
      </c>
      <c r="AQ1190" s="6">
        <f t="shared" si="275"/>
        <v>138.49261728990888</v>
      </c>
      <c r="AR1190" s="2">
        <f t="shared" si="276"/>
        <v>-2.1301186875174403</v>
      </c>
      <c r="AS1190" s="2">
        <f t="shared" si="277"/>
        <v>-295.00571217243584</v>
      </c>
    </row>
    <row r="1191" spans="13:45" x14ac:dyDescent="0.3">
      <c r="M1191" s="78">
        <v>45045.104166666664</v>
      </c>
      <c r="N1191" s="79">
        <v>6.95696081974949E-2</v>
      </c>
      <c r="O1191" s="5">
        <v>65.283151739999994</v>
      </c>
      <c r="P1191" s="2">
        <v>13810</v>
      </c>
      <c r="Q1191" s="7">
        <f t="shared" si="271"/>
        <v>230.16666666666666</v>
      </c>
      <c r="R1191" s="6">
        <f t="shared" si="272"/>
        <v>16.012604820123411</v>
      </c>
      <c r="S1191" s="6">
        <f t="shared" si="278"/>
        <v>144.43705576157336</v>
      </c>
      <c r="T1191" s="2">
        <f t="shared" si="279"/>
        <v>1</v>
      </c>
      <c r="U1191" s="6">
        <f t="shared" si="280"/>
        <v>144.43705576157336</v>
      </c>
      <c r="V1191">
        <f t="shared" si="281"/>
        <v>0.20488793165828381</v>
      </c>
      <c r="W1191" s="6">
        <f t="shared" si="273"/>
        <v>29.593409609800972</v>
      </c>
      <c r="AK1191" s="78">
        <v>45044.104166666664</v>
      </c>
      <c r="AL1191" s="79">
        <v>7.5103371826297394E-2</v>
      </c>
      <c r="AM1191" s="5">
        <v>66.655723199999997</v>
      </c>
      <c r="AN1191" s="2">
        <v>12051</v>
      </c>
      <c r="AO1191" s="7">
        <f t="shared" si="282"/>
        <v>200.85</v>
      </c>
      <c r="AP1191" s="5">
        <f t="shared" si="274"/>
        <v>15.08451223131183</v>
      </c>
      <c r="AQ1191" s="6">
        <f t="shared" si="275"/>
        <v>140.27502550769887</v>
      </c>
      <c r="AR1191" s="2">
        <f t="shared" si="276"/>
        <v>-2.1301186875174403</v>
      </c>
      <c r="AS1191" s="2">
        <f t="shared" si="277"/>
        <v>-298.80245322593498</v>
      </c>
    </row>
    <row r="1192" spans="13:45" x14ac:dyDescent="0.3">
      <c r="M1192" s="78">
        <v>45045.114583333336</v>
      </c>
      <c r="N1192" s="79">
        <v>6.8075031576865702E-2</v>
      </c>
      <c r="O1192" s="5">
        <v>66.647934039999996</v>
      </c>
      <c r="P1192" s="2">
        <v>13337</v>
      </c>
      <c r="Q1192" s="7">
        <f t="shared" si="271"/>
        <v>222.28333333333333</v>
      </c>
      <c r="R1192" s="6">
        <f t="shared" si="272"/>
        <v>15.13194493567763</v>
      </c>
      <c r="S1192" s="6">
        <f t="shared" si="278"/>
        <v>140.49085413457971</v>
      </c>
      <c r="T1192" s="2">
        <f t="shared" si="279"/>
        <v>1</v>
      </c>
      <c r="U1192" s="6">
        <f t="shared" si="280"/>
        <v>140.49085413457971</v>
      </c>
      <c r="V1192">
        <f t="shared" si="281"/>
        <v>4.3683614975419838E-2</v>
      </c>
      <c r="W1192" s="6">
        <f t="shared" si="273"/>
        <v>6.1371483795828503</v>
      </c>
      <c r="AK1192" s="78">
        <v>45044.114583333336</v>
      </c>
      <c r="AL1192" s="79">
        <v>7.6498767728040498E-2</v>
      </c>
      <c r="AM1192" s="5">
        <v>67.565551839999998</v>
      </c>
      <c r="AN1192" s="2">
        <v>12829</v>
      </c>
      <c r="AO1192" s="7">
        <f t="shared" si="282"/>
        <v>213.81666666666666</v>
      </c>
      <c r="AP1192" s="5">
        <f t="shared" si="274"/>
        <v>16.356711519717191</v>
      </c>
      <c r="AQ1192" s="6">
        <f t="shared" si="275"/>
        <v>145.94879747789591</v>
      </c>
      <c r="AR1192" s="2">
        <f t="shared" si="276"/>
        <v>-2.1301186875174403</v>
      </c>
      <c r="AS1192" s="2">
        <f t="shared" si="277"/>
        <v>-310.88826092836433</v>
      </c>
    </row>
    <row r="1193" spans="13:45" x14ac:dyDescent="0.3">
      <c r="M1193" s="78">
        <v>45045.125</v>
      </c>
      <c r="N1193" s="79">
        <v>6.8143295014808203E-2</v>
      </c>
      <c r="O1193" s="5">
        <v>65.743635260000005</v>
      </c>
      <c r="P1193" s="2">
        <v>13668</v>
      </c>
      <c r="Q1193" s="7">
        <f t="shared" si="271"/>
        <v>227.8</v>
      </c>
      <c r="R1193" s="6">
        <f t="shared" si="272"/>
        <v>15.523042604373309</v>
      </c>
      <c r="S1193" s="6">
        <f t="shared" si="278"/>
        <v>142.25742912400028</v>
      </c>
      <c r="T1193" s="2">
        <f t="shared" si="279"/>
        <v>1</v>
      </c>
      <c r="U1193" s="6">
        <f t="shared" si="280"/>
        <v>142.25742912400028</v>
      </c>
      <c r="V1193">
        <f t="shared" si="281"/>
        <v>0.11527383221124261</v>
      </c>
      <c r="W1193" s="6">
        <f t="shared" si="273"/>
        <v>16.398559015642746</v>
      </c>
      <c r="AK1193" s="78">
        <v>45044.125</v>
      </c>
      <c r="AL1193" s="79">
        <v>0.26848309503545897</v>
      </c>
      <c r="AM1193" s="5">
        <v>66.655723199999997</v>
      </c>
      <c r="AN1193" s="2">
        <v>12976</v>
      </c>
      <c r="AO1193" s="7">
        <f t="shared" si="282"/>
        <v>216.26666666666668</v>
      </c>
      <c r="AP1193" s="5">
        <f t="shared" si="274"/>
        <v>58.063944019668597</v>
      </c>
      <c r="AQ1193" s="6">
        <f t="shared" si="275"/>
        <v>271.417984688324</v>
      </c>
      <c r="AR1193" s="2">
        <f t="shared" si="276"/>
        <v>-2.1301186875174403</v>
      </c>
      <c r="AS1193" s="2">
        <f t="shared" si="277"/>
        <v>-578.15252131292141</v>
      </c>
    </row>
    <row r="1194" spans="13:45" x14ac:dyDescent="0.3">
      <c r="M1194" s="78">
        <v>45045.135416666664</v>
      </c>
      <c r="N1194" s="79">
        <v>6.4418373136113899E-2</v>
      </c>
      <c r="O1194" s="5">
        <v>68.008627450000006</v>
      </c>
      <c r="P1194" s="2">
        <v>13887</v>
      </c>
      <c r="Q1194" s="7">
        <f t="shared" si="271"/>
        <v>231.45</v>
      </c>
      <c r="R1194" s="6">
        <f t="shared" si="272"/>
        <v>14.909632462353562</v>
      </c>
      <c r="S1194" s="6">
        <f t="shared" si="278"/>
        <v>139.47627885002467</v>
      </c>
      <c r="T1194" s="2">
        <f t="shared" si="279"/>
        <v>1</v>
      </c>
      <c r="U1194" s="6">
        <f t="shared" si="280"/>
        <v>139.47627885002467</v>
      </c>
      <c r="V1194">
        <f t="shared" si="281"/>
        <v>2.9894366833798881E-3</v>
      </c>
      <c r="W1194" s="6">
        <f t="shared" si="273"/>
        <v>0.41695550445558616</v>
      </c>
      <c r="AK1194" s="78">
        <v>45044.135416666664</v>
      </c>
      <c r="AL1194" s="79">
        <v>7.9162097565451395E-2</v>
      </c>
      <c r="AM1194" s="5">
        <v>68.016396760000006</v>
      </c>
      <c r="AN1194" s="2">
        <v>12350</v>
      </c>
      <c r="AO1194" s="7">
        <f t="shared" si="282"/>
        <v>205.83333333333334</v>
      </c>
      <c r="AP1194" s="5">
        <f t="shared" si="274"/>
        <v>16.294198415555414</v>
      </c>
      <c r="AQ1194" s="6">
        <f t="shared" si="275"/>
        <v>145.6753777751137</v>
      </c>
      <c r="AR1194" s="2">
        <f t="shared" si="276"/>
        <v>-2.1301186875174403</v>
      </c>
      <c r="AS1194" s="2">
        <f t="shared" si="277"/>
        <v>-310.30584450993251</v>
      </c>
    </row>
    <row r="1195" spans="13:45" x14ac:dyDescent="0.3">
      <c r="M1195" s="78">
        <v>45045.145833333336</v>
      </c>
      <c r="N1195" s="79">
        <v>6.9165896290889997E-2</v>
      </c>
      <c r="O1195" s="5">
        <v>67.106545600000004</v>
      </c>
      <c r="P1195" s="2">
        <v>13626</v>
      </c>
      <c r="Q1195" s="7">
        <f t="shared" si="271"/>
        <v>227.1</v>
      </c>
      <c r="R1195" s="6">
        <f t="shared" si="272"/>
        <v>15.707575047661118</v>
      </c>
      <c r="S1195" s="6">
        <f t="shared" si="278"/>
        <v>143.08306682630354</v>
      </c>
      <c r="T1195" s="2">
        <f t="shared" si="279"/>
        <v>1</v>
      </c>
      <c r="U1195" s="6">
        <f t="shared" si="280"/>
        <v>143.08306682630354</v>
      </c>
      <c r="V1195">
        <f t="shared" si="281"/>
        <v>0.14905239638957049</v>
      </c>
      <c r="W1195" s="6">
        <f t="shared" si="273"/>
        <v>21.326873993229597</v>
      </c>
      <c r="AK1195" s="78">
        <v>45044.145833333336</v>
      </c>
      <c r="AL1195" s="79">
        <v>6.9616784899075995E-2</v>
      </c>
      <c r="AM1195" s="5">
        <v>66.655723199999997</v>
      </c>
      <c r="AN1195" s="2">
        <v>12874</v>
      </c>
      <c r="AO1195" s="7">
        <f t="shared" si="282"/>
        <v>214.56666666666666</v>
      </c>
      <c r="AP1195" s="5">
        <f t="shared" si="274"/>
        <v>14.937441479845072</v>
      </c>
      <c r="AQ1195" s="6">
        <f t="shared" si="275"/>
        <v>139.60361233585004</v>
      </c>
      <c r="AR1195" s="2">
        <f t="shared" si="276"/>
        <v>-2.1301186875174403</v>
      </c>
      <c r="AS1195" s="2">
        <f t="shared" si="277"/>
        <v>-297.37226348153445</v>
      </c>
    </row>
    <row r="1196" spans="13:45" x14ac:dyDescent="0.3">
      <c r="M1196" s="78">
        <v>45045.15625</v>
      </c>
      <c r="N1196" s="79">
        <v>6.6709343058658194E-2</v>
      </c>
      <c r="O1196" s="5">
        <v>65.743635260000005</v>
      </c>
      <c r="P1196" s="2">
        <v>13561</v>
      </c>
      <c r="Q1196" s="7">
        <f t="shared" si="271"/>
        <v>226.01666666666668</v>
      </c>
      <c r="R1196" s="6">
        <f t="shared" si="272"/>
        <v>15.077423353641064</v>
      </c>
      <c r="S1196" s="6">
        <f t="shared" si="278"/>
        <v>140.24273991566193</v>
      </c>
      <c r="T1196" s="2">
        <f t="shared" si="279"/>
        <v>1</v>
      </c>
      <c r="U1196" s="6">
        <f t="shared" si="280"/>
        <v>140.24273991566193</v>
      </c>
      <c r="V1196">
        <f t="shared" si="281"/>
        <v>3.3703468801049116E-2</v>
      </c>
      <c r="W1196" s="6">
        <f t="shared" si="273"/>
        <v>4.7266668093211575</v>
      </c>
      <c r="AK1196" s="78">
        <v>45044.15625</v>
      </c>
      <c r="AL1196" s="79">
        <v>7.4504802698053194E-2</v>
      </c>
      <c r="AM1196" s="5">
        <v>66.655723199999997</v>
      </c>
      <c r="AN1196" s="2">
        <v>12617</v>
      </c>
      <c r="AO1196" s="7">
        <f t="shared" si="282"/>
        <v>210.28333333333333</v>
      </c>
      <c r="AP1196" s="5">
        <f t="shared" si="274"/>
        <v>15.667118260688952</v>
      </c>
      <c r="AQ1196" s="6">
        <f t="shared" si="275"/>
        <v>142.90247991436075</v>
      </c>
      <c r="AR1196" s="2">
        <f t="shared" si="276"/>
        <v>-2.1301186875174403</v>
      </c>
      <c r="AS1196" s="2">
        <f t="shared" si="277"/>
        <v>-304.39924295816547</v>
      </c>
    </row>
    <row r="1197" spans="13:45" x14ac:dyDescent="0.3">
      <c r="M1197" s="78">
        <v>45045.166666666664</v>
      </c>
      <c r="N1197" s="79">
        <v>6.8961320836327E-2</v>
      </c>
      <c r="O1197" s="5">
        <v>64.377553680000005</v>
      </c>
      <c r="P1197" s="2">
        <v>13721</v>
      </c>
      <c r="Q1197" s="7">
        <f t="shared" si="271"/>
        <v>228.68333333333334</v>
      </c>
      <c r="R1197" s="6">
        <f t="shared" si="272"/>
        <v>15.770304719920713</v>
      </c>
      <c r="S1197" s="6">
        <f t="shared" si="278"/>
        <v>143.36260450283905</v>
      </c>
      <c r="T1197" s="2">
        <f t="shared" si="279"/>
        <v>1</v>
      </c>
      <c r="U1197" s="6">
        <f t="shared" si="280"/>
        <v>143.36260450283905</v>
      </c>
      <c r="V1197">
        <f t="shared" si="281"/>
        <v>0.16053502905054592</v>
      </c>
      <c r="W1197" s="6">
        <f t="shared" si="273"/>
        <v>23.014719878625193</v>
      </c>
      <c r="AK1197" s="78">
        <v>45044.166666666664</v>
      </c>
      <c r="AL1197" s="79">
        <v>7.6095025702777694E-2</v>
      </c>
      <c r="AM1197" s="5">
        <v>65.290959470000004</v>
      </c>
      <c r="AN1197" s="2">
        <v>12914</v>
      </c>
      <c r="AO1197" s="7">
        <f t="shared" si="282"/>
        <v>215.23333333333332</v>
      </c>
      <c r="AP1197" s="5">
        <f t="shared" si="274"/>
        <v>16.378186032094519</v>
      </c>
      <c r="AQ1197" s="6">
        <f t="shared" si="275"/>
        <v>146.04259957165337</v>
      </c>
      <c r="AR1197" s="2">
        <f t="shared" si="276"/>
        <v>-2.1301186875174403</v>
      </c>
      <c r="AS1197" s="2">
        <f t="shared" si="277"/>
        <v>-311.08807052120534</v>
      </c>
    </row>
    <row r="1198" spans="13:45" x14ac:dyDescent="0.3">
      <c r="M1198" s="78">
        <v>45045.177083333336</v>
      </c>
      <c r="N1198" s="79">
        <v>6.7409894560210598E-2</v>
      </c>
      <c r="O1198" s="5">
        <v>65.290959470000004</v>
      </c>
      <c r="P1198" s="2">
        <v>14003</v>
      </c>
      <c r="Q1198" s="7">
        <f t="shared" si="271"/>
        <v>233.38333333333333</v>
      </c>
      <c r="R1198" s="6">
        <f t="shared" si="272"/>
        <v>15.732345892110484</v>
      </c>
      <c r="S1198" s="6">
        <f t="shared" si="278"/>
        <v>143.19351928014973</v>
      </c>
      <c r="T1198" s="2">
        <f t="shared" si="279"/>
        <v>1</v>
      </c>
      <c r="U1198" s="6">
        <f t="shared" si="280"/>
        <v>143.19351928014973</v>
      </c>
      <c r="V1198">
        <f t="shared" si="281"/>
        <v>0.15358668610078008</v>
      </c>
      <c r="W1198" s="6">
        <f t="shared" si="273"/>
        <v>21.992618097346355</v>
      </c>
      <c r="AK1198" s="78">
        <v>45044.177083333336</v>
      </c>
      <c r="AL1198" s="79">
        <v>7.3092040404703296E-2</v>
      </c>
      <c r="AM1198" s="5">
        <v>67.565551839999998</v>
      </c>
      <c r="AN1198" s="2">
        <v>13111</v>
      </c>
      <c r="AO1198" s="7">
        <f t="shared" si="282"/>
        <v>218.51666666666668</v>
      </c>
      <c r="AP1198" s="5">
        <f t="shared" si="274"/>
        <v>15.971829029101082</v>
      </c>
      <c r="AQ1198" s="6">
        <f t="shared" si="275"/>
        <v>144.25682389237943</v>
      </c>
      <c r="AR1198" s="2">
        <f t="shared" si="276"/>
        <v>-2.1301186875174403</v>
      </c>
      <c r="AS1198" s="2">
        <f t="shared" si="277"/>
        <v>-307.28415637506981</v>
      </c>
    </row>
    <row r="1199" spans="13:45" x14ac:dyDescent="0.3">
      <c r="M1199" s="78">
        <v>45045.1875</v>
      </c>
      <c r="N1199" s="79">
        <v>6.8772819741116695E-2</v>
      </c>
      <c r="O1199" s="5">
        <v>65.743635260000005</v>
      </c>
      <c r="P1199" s="2">
        <v>13576</v>
      </c>
      <c r="Q1199" s="7">
        <f t="shared" si="271"/>
        <v>226.26666666666668</v>
      </c>
      <c r="R1199" s="6">
        <f t="shared" si="272"/>
        <v>15.560996680090005</v>
      </c>
      <c r="S1199" s="6">
        <f t="shared" si="278"/>
        <v>142.4276512247807</v>
      </c>
      <c r="T1199" s="2">
        <f t="shared" si="279"/>
        <v>1</v>
      </c>
      <c r="U1199" s="6">
        <f t="shared" si="280"/>
        <v>142.4276512247807</v>
      </c>
      <c r="V1199">
        <f t="shared" si="281"/>
        <v>0.12222130529285129</v>
      </c>
      <c r="W1199" s="6">
        <f t="shared" si="273"/>
        <v>17.407693442487666</v>
      </c>
      <c r="AK1199" s="78">
        <v>45044.1875</v>
      </c>
      <c r="AL1199" s="79">
        <v>7.3355843413573193E-2</v>
      </c>
      <c r="AM1199" s="5">
        <v>67.565551839999998</v>
      </c>
      <c r="AN1199" s="2">
        <v>12596</v>
      </c>
      <c r="AO1199" s="7">
        <f t="shared" si="282"/>
        <v>209.93333333333334</v>
      </c>
      <c r="AP1199" s="5">
        <f t="shared" si="274"/>
        <v>15.399836727289467</v>
      </c>
      <c r="AQ1199" s="6">
        <f t="shared" si="275"/>
        <v>141.70338829844877</v>
      </c>
      <c r="AR1199" s="2">
        <f t="shared" si="276"/>
        <v>-2.1301186875174403</v>
      </c>
      <c r="AS1199" s="2">
        <f t="shared" si="277"/>
        <v>-301.84503549906589</v>
      </c>
    </row>
    <row r="1200" spans="13:45" x14ac:dyDescent="0.3">
      <c r="M1200" s="78">
        <v>45045.197916666664</v>
      </c>
      <c r="N1200" s="79">
        <v>7.0603232095549195E-2</v>
      </c>
      <c r="O1200" s="5">
        <v>67.106545600000004</v>
      </c>
      <c r="P1200" s="2">
        <v>13846</v>
      </c>
      <c r="Q1200" s="7">
        <f t="shared" si="271"/>
        <v>230.76666666666668</v>
      </c>
      <c r="R1200" s="6">
        <f t="shared" si="272"/>
        <v>16.292872526582904</v>
      </c>
      <c r="S1200" s="6">
        <f t="shared" si="278"/>
        <v>145.66957281243032</v>
      </c>
      <c r="T1200" s="2">
        <f t="shared" si="279"/>
        <v>1</v>
      </c>
      <c r="U1200" s="6">
        <f t="shared" si="280"/>
        <v>145.66957281243032</v>
      </c>
      <c r="V1200">
        <f t="shared" si="281"/>
        <v>0.25619078410569518</v>
      </c>
      <c r="W1200" s="6">
        <f t="shared" si="273"/>
        <v>37.319202079158181</v>
      </c>
      <c r="AK1200" s="78">
        <v>45044.197916666664</v>
      </c>
      <c r="AL1200" s="79">
        <v>7.8873972572604895E-2</v>
      </c>
      <c r="AM1200" s="5">
        <v>67.565551839999998</v>
      </c>
      <c r="AN1200" s="2">
        <v>12326</v>
      </c>
      <c r="AO1200" s="7">
        <f t="shared" si="282"/>
        <v>205.43333333333334</v>
      </c>
      <c r="AP1200" s="5">
        <f t="shared" si="274"/>
        <v>16.203343098832132</v>
      </c>
      <c r="AQ1200" s="6">
        <f t="shared" si="275"/>
        <v>145.27703882683679</v>
      </c>
      <c r="AR1200" s="2">
        <f t="shared" si="276"/>
        <v>-2.1301186875174403</v>
      </c>
      <c r="AS1200" s="2">
        <f t="shared" si="277"/>
        <v>-309.45733527224178</v>
      </c>
    </row>
    <row r="1201" spans="13:45" x14ac:dyDescent="0.3">
      <c r="M1201" s="78">
        <v>45045.208333333336</v>
      </c>
      <c r="N1201" s="79">
        <v>6.4174629795812302E-2</v>
      </c>
      <c r="O1201" s="5">
        <v>65.743635260000005</v>
      </c>
      <c r="P1201" s="2">
        <v>13744</v>
      </c>
      <c r="Q1201" s="7">
        <f t="shared" si="271"/>
        <v>229.06666666666666</v>
      </c>
      <c r="R1201" s="6">
        <f t="shared" si="272"/>
        <v>14.700268531894071</v>
      </c>
      <c r="S1201" s="6">
        <f t="shared" si="278"/>
        <v>138.51371471220315</v>
      </c>
      <c r="T1201" s="2">
        <f t="shared" si="279"/>
        <v>1</v>
      </c>
      <c r="U1201" s="6">
        <f t="shared" si="280"/>
        <v>138.51371471220315</v>
      </c>
      <c r="V1201">
        <f t="shared" si="281"/>
        <v>0</v>
      </c>
      <c r="W1201" s="6">
        <f t="shared" si="273"/>
        <v>0</v>
      </c>
      <c r="AK1201" s="78">
        <v>45044.208333333336</v>
      </c>
      <c r="AL1201" s="79">
        <v>7.4818624471074693E-2</v>
      </c>
      <c r="AM1201" s="5">
        <v>66.655723199999997</v>
      </c>
      <c r="AN1201" s="2">
        <v>12657</v>
      </c>
      <c r="AO1201" s="7">
        <f t="shared" si="282"/>
        <v>210.95</v>
      </c>
      <c r="AP1201" s="5">
        <f t="shared" si="274"/>
        <v>15.782988832173206</v>
      </c>
      <c r="AQ1201" s="6">
        <f t="shared" si="275"/>
        <v>143.41905878375931</v>
      </c>
      <c r="AR1201" s="2">
        <f t="shared" si="276"/>
        <v>-2.1301186875174403</v>
      </c>
      <c r="AS1201" s="2">
        <f t="shared" si="277"/>
        <v>-305.49961726144801</v>
      </c>
    </row>
    <row r="1202" spans="13:45" x14ac:dyDescent="0.3">
      <c r="M1202" s="78">
        <v>45045.21875</v>
      </c>
      <c r="N1202" s="79">
        <v>6.5935022982411898E-2</v>
      </c>
      <c r="O1202" s="5">
        <v>65.743635260000005</v>
      </c>
      <c r="P1202" s="2">
        <v>14206</v>
      </c>
      <c r="Q1202" s="7">
        <f t="shared" si="271"/>
        <v>236.76666666666668</v>
      </c>
      <c r="R1202" s="6">
        <f t="shared" si="272"/>
        <v>15.611215608135725</v>
      </c>
      <c r="S1202" s="6">
        <f t="shared" si="278"/>
        <v>142.65255527021765</v>
      </c>
      <c r="T1202" s="2">
        <f t="shared" si="279"/>
        <v>1</v>
      </c>
      <c r="U1202" s="6">
        <f t="shared" si="280"/>
        <v>142.65255527021765</v>
      </c>
      <c r="V1202">
        <f t="shared" si="281"/>
        <v>0.13141385297571845</v>
      </c>
      <c r="W1202" s="6">
        <f t="shared" si="273"/>
        <v>18.746521924890931</v>
      </c>
      <c r="AK1202" s="78">
        <v>45044.21875</v>
      </c>
      <c r="AL1202" s="79">
        <v>6.9493465639584598E-2</v>
      </c>
      <c r="AM1202" s="5">
        <v>66.655723199999997</v>
      </c>
      <c r="AN1202" s="2">
        <v>13402</v>
      </c>
      <c r="AO1202" s="7">
        <f t="shared" si="282"/>
        <v>223.36666666666667</v>
      </c>
      <c r="AP1202" s="5">
        <f t="shared" si="274"/>
        <v>15.522523775028548</v>
      </c>
      <c r="AQ1202" s="6">
        <f t="shared" si="275"/>
        <v>142.25510073013839</v>
      </c>
      <c r="AR1202" s="2">
        <f t="shared" si="276"/>
        <v>-2.1301186875174403</v>
      </c>
      <c r="AS1202" s="2">
        <f t="shared" si="277"/>
        <v>-303.02024845994367</v>
      </c>
    </row>
    <row r="1203" spans="13:45" x14ac:dyDescent="0.3">
      <c r="M1203" s="78">
        <v>45045.229166666664</v>
      </c>
      <c r="N1203" s="79">
        <v>6.4707437385044406E-2</v>
      </c>
      <c r="O1203" s="5">
        <v>65.743635260000005</v>
      </c>
      <c r="P1203" s="2">
        <v>13955</v>
      </c>
      <c r="Q1203" s="7">
        <f t="shared" si="271"/>
        <v>232.58333333333334</v>
      </c>
      <c r="R1203" s="6">
        <f t="shared" si="272"/>
        <v>15.049871478471578</v>
      </c>
      <c r="S1203" s="6">
        <f t="shared" si="278"/>
        <v>140.1171840074</v>
      </c>
      <c r="T1203" s="2">
        <f t="shared" si="279"/>
        <v>1</v>
      </c>
      <c r="U1203" s="6">
        <f t="shared" si="280"/>
        <v>140.1171840074</v>
      </c>
      <c r="V1203">
        <f t="shared" si="281"/>
        <v>2.866011291704209E-2</v>
      </c>
      <c r="W1203" s="6">
        <f t="shared" si="273"/>
        <v>4.0157743152700478</v>
      </c>
      <c r="AK1203" s="78">
        <v>45044.229166666664</v>
      </c>
      <c r="AL1203" s="79">
        <v>7.00306089988256E-2</v>
      </c>
      <c r="AM1203" s="5">
        <v>68.016396760000006</v>
      </c>
      <c r="AN1203" s="2">
        <v>13163</v>
      </c>
      <c r="AO1203" s="7">
        <f t="shared" si="282"/>
        <v>219.38333333333333</v>
      </c>
      <c r="AP1203" s="5">
        <f t="shared" si="274"/>
        <v>15.363548437525688</v>
      </c>
      <c r="AQ1203" s="6">
        <f t="shared" si="275"/>
        <v>141.5397736931844</v>
      </c>
      <c r="AR1203" s="2">
        <f t="shared" si="276"/>
        <v>-2.1301186875174403</v>
      </c>
      <c r="AS1203" s="2">
        <f t="shared" si="277"/>
        <v>-301.49651697084147</v>
      </c>
    </row>
    <row r="1204" spans="13:45" x14ac:dyDescent="0.3">
      <c r="M1204" s="78">
        <v>45045.239583333336</v>
      </c>
      <c r="N1204" s="79">
        <v>7.0131488642934406E-2</v>
      </c>
      <c r="O1204" s="5">
        <v>65.743635260000005</v>
      </c>
      <c r="P1204" s="2">
        <v>13856</v>
      </c>
      <c r="Q1204" s="7">
        <f t="shared" si="271"/>
        <v>230.93333333333334</v>
      </c>
      <c r="R1204" s="6">
        <f t="shared" si="272"/>
        <v>16.195698443941652</v>
      </c>
      <c r="S1204" s="6">
        <f t="shared" si="278"/>
        <v>145.24347027326615</v>
      </c>
      <c r="T1204" s="2">
        <f t="shared" si="279"/>
        <v>1</v>
      </c>
      <c r="U1204" s="6">
        <f t="shared" si="280"/>
        <v>145.24347027326615</v>
      </c>
      <c r="V1204">
        <f t="shared" si="281"/>
        <v>0.2384031207090303</v>
      </c>
      <c r="W1204" s="6">
        <f t="shared" si="273"/>
        <v>34.626496575755922</v>
      </c>
      <c r="AK1204" s="78">
        <v>45044.239583333336</v>
      </c>
      <c r="AL1204" s="79">
        <v>6.9852202111037903E-2</v>
      </c>
      <c r="AM1204" s="5">
        <v>66.655723199999997</v>
      </c>
      <c r="AN1204" s="2">
        <v>13218</v>
      </c>
      <c r="AO1204" s="7">
        <f t="shared" si="282"/>
        <v>220.3</v>
      </c>
      <c r="AP1204" s="5">
        <f t="shared" si="274"/>
        <v>15.388440125061651</v>
      </c>
      <c r="AQ1204" s="6">
        <f t="shared" si="275"/>
        <v>141.6520251495941</v>
      </c>
      <c r="AR1204" s="2">
        <f t="shared" si="276"/>
        <v>-2.1301186875174403</v>
      </c>
      <c r="AS1204" s="2">
        <f t="shared" si="277"/>
        <v>-301.73562589584083</v>
      </c>
    </row>
    <row r="1205" spans="13:45" x14ac:dyDescent="0.3">
      <c r="M1205" s="78">
        <v>45045.25</v>
      </c>
      <c r="N1205" s="79">
        <v>6.9561413114302001E-2</v>
      </c>
      <c r="O1205" s="5">
        <v>65.283151739999994</v>
      </c>
      <c r="P1205" s="2">
        <v>13891</v>
      </c>
      <c r="Q1205" s="7">
        <f t="shared" si="271"/>
        <v>231.51666666666668</v>
      </c>
      <c r="R1205" s="6">
        <f t="shared" si="272"/>
        <v>16.104626492846151</v>
      </c>
      <c r="S1205" s="6">
        <f t="shared" si="278"/>
        <v>144.84293929513521</v>
      </c>
      <c r="T1205" s="2">
        <f t="shared" si="279"/>
        <v>1</v>
      </c>
      <c r="U1205" s="6">
        <f t="shared" si="280"/>
        <v>144.84293929513521</v>
      </c>
      <c r="V1205">
        <f t="shared" si="281"/>
        <v>0.2217324491993764</v>
      </c>
      <c r="W1205" s="6">
        <f t="shared" si="273"/>
        <v>32.116379679146931</v>
      </c>
      <c r="AK1205" s="78">
        <v>45044.25</v>
      </c>
      <c r="AL1205" s="79">
        <v>7.5865148687898995E-2</v>
      </c>
      <c r="AM1205" s="5">
        <v>66.655723199999997</v>
      </c>
      <c r="AN1205" s="2">
        <v>12656</v>
      </c>
      <c r="AO1205" s="7">
        <f t="shared" si="282"/>
        <v>210.93333333333334</v>
      </c>
      <c r="AP1205" s="5">
        <f t="shared" si="274"/>
        <v>16.002488696567497</v>
      </c>
      <c r="AQ1205" s="6">
        <f t="shared" si="275"/>
        <v>144.39236364811885</v>
      </c>
      <c r="AR1205" s="2">
        <f t="shared" si="276"/>
        <v>-2.1301186875174403</v>
      </c>
      <c r="AS1205" s="2">
        <f t="shared" si="277"/>
        <v>-307.57287214167189</v>
      </c>
    </row>
    <row r="1206" spans="13:45" x14ac:dyDescent="0.3">
      <c r="M1206" s="78">
        <v>45045.260416666664</v>
      </c>
      <c r="N1206" s="79">
        <v>6.8317240251667799E-2</v>
      </c>
      <c r="O1206" s="5">
        <v>64.377553680000005</v>
      </c>
      <c r="P1206" s="2">
        <v>14083</v>
      </c>
      <c r="Q1206" s="7">
        <f t="shared" si="271"/>
        <v>234.71666666666667</v>
      </c>
      <c r="R1206" s="6">
        <f t="shared" si="272"/>
        <v>16.035194907737292</v>
      </c>
      <c r="S1206" s="6">
        <f t="shared" si="278"/>
        <v>144.53680473065191</v>
      </c>
      <c r="T1206" s="2">
        <f t="shared" si="279"/>
        <v>1</v>
      </c>
      <c r="U1206" s="6">
        <f t="shared" si="280"/>
        <v>144.53680473065191</v>
      </c>
      <c r="V1206">
        <f t="shared" si="281"/>
        <v>0.2090230350073975</v>
      </c>
      <c r="W1206" s="6">
        <f t="shared" si="273"/>
        <v>30.21152159507243</v>
      </c>
      <c r="AK1206" s="78">
        <v>45044.260416666664</v>
      </c>
      <c r="AL1206" s="79">
        <v>7.1759284798332601E-2</v>
      </c>
      <c r="AM1206" s="5">
        <v>70.271667750000006</v>
      </c>
      <c r="AN1206" s="2">
        <v>12662</v>
      </c>
      <c r="AO1206" s="7">
        <f t="shared" si="282"/>
        <v>211.03333333333333</v>
      </c>
      <c r="AP1206" s="5">
        <f t="shared" si="274"/>
        <v>15.143601068608124</v>
      </c>
      <c r="AQ1206" s="6">
        <f t="shared" si="275"/>
        <v>140.54383908885356</v>
      </c>
      <c r="AR1206" s="2">
        <f t="shared" si="276"/>
        <v>-2.1301186875174403</v>
      </c>
      <c r="AS1206" s="2">
        <f t="shared" si="277"/>
        <v>-299.37505805861105</v>
      </c>
    </row>
    <row r="1207" spans="13:45" x14ac:dyDescent="0.3">
      <c r="M1207" s="78">
        <v>45045.270833333336</v>
      </c>
      <c r="N1207" s="79">
        <v>6.9261624000778704E-2</v>
      </c>
      <c r="O1207" s="5">
        <v>65.743635260000005</v>
      </c>
      <c r="P1207" s="2">
        <v>14145</v>
      </c>
      <c r="Q1207" s="7">
        <f t="shared" si="271"/>
        <v>235.75</v>
      </c>
      <c r="R1207" s="6">
        <f t="shared" si="272"/>
        <v>16.328427858183581</v>
      </c>
      <c r="S1207" s="6">
        <f t="shared" si="278"/>
        <v>145.82515662347589</v>
      </c>
      <c r="T1207" s="2">
        <f t="shared" si="279"/>
        <v>1</v>
      </c>
      <c r="U1207" s="6">
        <f t="shared" si="280"/>
        <v>145.82515662347589</v>
      </c>
      <c r="V1207">
        <f t="shared" si="281"/>
        <v>0.26269916837112212</v>
      </c>
      <c r="W1207" s="6">
        <f t="shared" si="273"/>
        <v>38.308147372575746</v>
      </c>
      <c r="AK1207" s="78">
        <v>45044.270833333336</v>
      </c>
      <c r="AL1207" s="79">
        <v>7.8727432693286498E-2</v>
      </c>
      <c r="AM1207" s="5">
        <v>67.557775419999999</v>
      </c>
      <c r="AN1207" s="2">
        <v>13075</v>
      </c>
      <c r="AO1207" s="7">
        <f t="shared" si="282"/>
        <v>217.91666666666666</v>
      </c>
      <c r="AP1207" s="5">
        <f t="shared" si="274"/>
        <v>17.156019707745347</v>
      </c>
      <c r="AQ1207" s="6">
        <f t="shared" si="275"/>
        <v>149.39888993505238</v>
      </c>
      <c r="AR1207" s="2">
        <f t="shared" si="276"/>
        <v>-2.1301186875174403</v>
      </c>
      <c r="AS1207" s="2">
        <f t="shared" si="277"/>
        <v>-318.23736734501631</v>
      </c>
    </row>
    <row r="1208" spans="13:45" x14ac:dyDescent="0.3">
      <c r="M1208" s="78">
        <v>45045.28125</v>
      </c>
      <c r="N1208" s="79">
        <v>6.5884344023866406E-2</v>
      </c>
      <c r="O1208" s="5">
        <v>63.015482910000003</v>
      </c>
      <c r="P1208" s="2">
        <v>13948</v>
      </c>
      <c r="Q1208" s="7">
        <f t="shared" si="271"/>
        <v>232.46666666666667</v>
      </c>
      <c r="R1208" s="6">
        <f t="shared" si="272"/>
        <v>15.315913840748143</v>
      </c>
      <c r="S1208" s="6">
        <f t="shared" si="278"/>
        <v>141.32470186448359</v>
      </c>
      <c r="T1208" s="2">
        <f t="shared" si="279"/>
        <v>1</v>
      </c>
      <c r="U1208" s="6">
        <f t="shared" si="280"/>
        <v>141.32470186448359</v>
      </c>
      <c r="V1208">
        <f t="shared" si="281"/>
        <v>7.7359023787131831E-2</v>
      </c>
      <c r="W1208" s="6">
        <f t="shared" si="273"/>
        <v>10.9327409732439</v>
      </c>
      <c r="AK1208" s="78">
        <v>45044.28125</v>
      </c>
      <c r="AL1208" s="79">
        <v>7.2004132707758503E-2</v>
      </c>
      <c r="AM1208" s="5">
        <v>68.916923760000003</v>
      </c>
      <c r="AN1208" s="2">
        <v>12902</v>
      </c>
      <c r="AO1208" s="7">
        <f t="shared" si="282"/>
        <v>215.03333333333333</v>
      </c>
      <c r="AP1208" s="5">
        <f t="shared" si="274"/>
        <v>15.483288669925003</v>
      </c>
      <c r="AQ1208" s="6">
        <f t="shared" si="275"/>
        <v>142.07890686153951</v>
      </c>
      <c r="AR1208" s="2">
        <f t="shared" si="276"/>
        <v>-2.1301186875174403</v>
      </c>
      <c r="AS1208" s="2">
        <f t="shared" si="277"/>
        <v>-302.64493460781517</v>
      </c>
    </row>
    <row r="1209" spans="13:45" x14ac:dyDescent="0.3">
      <c r="M1209" s="78">
        <v>45045.291666666664</v>
      </c>
      <c r="N1209" s="79">
        <v>6.4911640858486899E-2</v>
      </c>
      <c r="O1209" s="5">
        <v>64.377553680000005</v>
      </c>
      <c r="P1209" s="2">
        <v>14120</v>
      </c>
      <c r="Q1209" s="7">
        <f t="shared" si="271"/>
        <v>235.33333333333334</v>
      </c>
      <c r="R1209" s="6">
        <f t="shared" si="272"/>
        <v>15.275872815363918</v>
      </c>
      <c r="S1209" s="6">
        <f t="shared" si="278"/>
        <v>141.14365106839765</v>
      </c>
      <c r="T1209" s="2">
        <f t="shared" si="279"/>
        <v>1</v>
      </c>
      <c r="U1209" s="6">
        <f t="shared" si="280"/>
        <v>141.14365106839765</v>
      </c>
      <c r="V1209">
        <f t="shared" si="281"/>
        <v>7.0029535694907288E-2</v>
      </c>
      <c r="W1209" s="6">
        <f t="shared" si="273"/>
        <v>9.8842243506038923</v>
      </c>
      <c r="AK1209" s="78">
        <v>45044.291666666664</v>
      </c>
      <c r="AL1209" s="79">
        <v>8.0565336592143696E-2</v>
      </c>
      <c r="AM1209" s="5">
        <v>71.17580074</v>
      </c>
      <c r="AN1209" s="2">
        <v>12486</v>
      </c>
      <c r="AO1209" s="7">
        <f t="shared" si="282"/>
        <v>208.1</v>
      </c>
      <c r="AP1209" s="5">
        <f t="shared" si="274"/>
        <v>16.765646544825103</v>
      </c>
      <c r="AQ1209" s="6">
        <f t="shared" si="275"/>
        <v>147.72439382894157</v>
      </c>
      <c r="AR1209" s="2">
        <f t="shared" si="276"/>
        <v>-2.1301186875174403</v>
      </c>
      <c r="AS1209" s="2">
        <f t="shared" si="277"/>
        <v>-314.67049189721445</v>
      </c>
    </row>
    <row r="1210" spans="13:45" x14ac:dyDescent="0.3">
      <c r="M1210" s="78">
        <v>45045.302083333336</v>
      </c>
      <c r="N1210" s="79">
        <v>6.4516882718650401E-2</v>
      </c>
      <c r="O1210" s="5">
        <v>61.180993239999999</v>
      </c>
      <c r="P1210" s="2">
        <v>13887</v>
      </c>
      <c r="Q1210" s="7">
        <f t="shared" si="271"/>
        <v>231.45</v>
      </c>
      <c r="R1210" s="6">
        <f t="shared" si="272"/>
        <v>14.932432505231635</v>
      </c>
      <c r="S1210" s="6">
        <f t="shared" si="278"/>
        <v>139.58068590041725</v>
      </c>
      <c r="T1210" s="2">
        <f t="shared" si="279"/>
        <v>1</v>
      </c>
      <c r="U1210" s="6">
        <f t="shared" si="280"/>
        <v>139.58068590041725</v>
      </c>
      <c r="V1210">
        <f t="shared" si="281"/>
        <v>7.1629722303212379E-3</v>
      </c>
      <c r="W1210" s="6">
        <f t="shared" si="273"/>
        <v>0.99981257699387993</v>
      </c>
      <c r="AK1210" s="78">
        <v>45044.302083333336</v>
      </c>
      <c r="AL1210" s="79">
        <v>7.6235309769989698E-2</v>
      </c>
      <c r="AM1210" s="5">
        <v>68.924680609999996</v>
      </c>
      <c r="AN1210" s="2">
        <v>12931</v>
      </c>
      <c r="AO1210" s="7">
        <f t="shared" si="282"/>
        <v>215.51666666666668</v>
      </c>
      <c r="AP1210" s="5">
        <f t="shared" si="274"/>
        <v>16.429979843928948</v>
      </c>
      <c r="AQ1210" s="6">
        <f t="shared" si="275"/>
        <v>146.26858046807428</v>
      </c>
      <c r="AR1210" s="2">
        <f t="shared" si="276"/>
        <v>-2.1301186875174403</v>
      </c>
      <c r="AS1210" s="2">
        <f t="shared" si="277"/>
        <v>-311.56943665169348</v>
      </c>
    </row>
    <row r="1211" spans="13:45" x14ac:dyDescent="0.3">
      <c r="M1211" s="78">
        <v>45045.3125</v>
      </c>
      <c r="N1211" s="79">
        <v>6.6376993651806299E-2</v>
      </c>
      <c r="O1211" s="5">
        <v>63.92387093</v>
      </c>
      <c r="P1211" s="2">
        <v>14296</v>
      </c>
      <c r="Q1211" s="7">
        <f t="shared" si="271"/>
        <v>238.26666666666668</v>
      </c>
      <c r="R1211" s="6">
        <f t="shared" si="272"/>
        <v>15.815425020770382</v>
      </c>
      <c r="S1211" s="6">
        <f t="shared" si="278"/>
        <v>143.56332013154787</v>
      </c>
      <c r="T1211" s="2">
        <f t="shared" si="279"/>
        <v>1</v>
      </c>
      <c r="U1211" s="6">
        <f t="shared" si="280"/>
        <v>143.56332013154787</v>
      </c>
      <c r="V1211">
        <f t="shared" si="281"/>
        <v>0.16879427577616879</v>
      </c>
      <c r="W1211" s="6">
        <f t="shared" si="273"/>
        <v>24.232666649626896</v>
      </c>
      <c r="AK1211" s="78">
        <v>45044.3125</v>
      </c>
      <c r="AL1211" s="79">
        <v>7.9644377416359394E-2</v>
      </c>
      <c r="AM1211" s="5">
        <v>67.565551839999998</v>
      </c>
      <c r="AN1211" s="2">
        <v>12518</v>
      </c>
      <c r="AO1211" s="7">
        <f t="shared" si="282"/>
        <v>208.63333333333333</v>
      </c>
      <c r="AP1211" s="5">
        <f t="shared" si="274"/>
        <v>16.616471941633115</v>
      </c>
      <c r="AQ1211" s="6">
        <f t="shared" si="275"/>
        <v>147.07926541765923</v>
      </c>
      <c r="AR1211" s="2">
        <f t="shared" si="276"/>
        <v>-2.1301186875174403</v>
      </c>
      <c r="AS1211" s="2">
        <f t="shared" si="277"/>
        <v>-313.29629181249351</v>
      </c>
    </row>
    <row r="1212" spans="13:45" x14ac:dyDescent="0.3">
      <c r="M1212" s="78">
        <v>45045.322916666664</v>
      </c>
      <c r="N1212" s="79">
        <v>6.7278449977253102E-2</v>
      </c>
      <c r="O1212" s="5">
        <v>63.015482910000003</v>
      </c>
      <c r="P1212" s="2">
        <v>13930</v>
      </c>
      <c r="Q1212" s="7">
        <f t="shared" si="271"/>
        <v>232.16666666666666</v>
      </c>
      <c r="R1212" s="6">
        <f t="shared" si="272"/>
        <v>15.619813469718927</v>
      </c>
      <c r="S1212" s="6">
        <f t="shared" si="278"/>
        <v>142.69102351498103</v>
      </c>
      <c r="T1212" s="2">
        <f t="shared" si="279"/>
        <v>1</v>
      </c>
      <c r="U1212" s="6">
        <f t="shared" si="280"/>
        <v>142.69102351498103</v>
      </c>
      <c r="V1212">
        <f t="shared" si="281"/>
        <v>0.13298768689949975</v>
      </c>
      <c r="W1212" s="6">
        <f t="shared" si="273"/>
        <v>18.976149158579453</v>
      </c>
      <c r="AK1212" s="78">
        <v>45044.322916666664</v>
      </c>
      <c r="AL1212" s="79">
        <v>7.6127329303214405E-2</v>
      </c>
      <c r="AM1212" s="5">
        <v>63.916046000000001</v>
      </c>
      <c r="AN1212" s="2">
        <v>12968</v>
      </c>
      <c r="AO1212" s="7">
        <f t="shared" si="282"/>
        <v>216.13333333333333</v>
      </c>
      <c r="AP1212" s="5">
        <f t="shared" si="274"/>
        <v>16.453653440068074</v>
      </c>
      <c r="AQ1212" s="6">
        <f t="shared" si="275"/>
        <v>146.37174936254988</v>
      </c>
      <c r="AR1212" s="2">
        <f t="shared" si="276"/>
        <v>-2.1301186875174403</v>
      </c>
      <c r="AS1212" s="2">
        <f t="shared" si="277"/>
        <v>-311.78919864178647</v>
      </c>
    </row>
    <row r="1213" spans="13:45" x14ac:dyDescent="0.3">
      <c r="M1213" s="78">
        <v>45045.333333333336</v>
      </c>
      <c r="N1213" s="79">
        <v>6.8688634493117198E-2</v>
      </c>
      <c r="O1213" s="5">
        <v>63.015482910000003</v>
      </c>
      <c r="P1213" s="2">
        <v>14248</v>
      </c>
      <c r="Q1213" s="7">
        <f t="shared" si="271"/>
        <v>237.46666666666667</v>
      </c>
      <c r="R1213" s="6">
        <f t="shared" si="272"/>
        <v>16.311261070965564</v>
      </c>
      <c r="S1213" s="6">
        <f t="shared" si="278"/>
        <v>145.75005942192914</v>
      </c>
      <c r="T1213" s="2">
        <f t="shared" si="279"/>
        <v>1</v>
      </c>
      <c r="U1213" s="6">
        <f t="shared" si="280"/>
        <v>145.75005942192914</v>
      </c>
      <c r="V1213">
        <f t="shared" si="281"/>
        <v>0.25955679723329966</v>
      </c>
      <c r="W1213" s="6">
        <f t="shared" si="273"/>
        <v>37.83041862011904</v>
      </c>
      <c r="AK1213" s="78">
        <v>45044.333333333336</v>
      </c>
      <c r="AL1213" s="79">
        <v>7.2932317035269104E-2</v>
      </c>
      <c r="AM1213" s="5">
        <v>65.283151739999994</v>
      </c>
      <c r="AN1213" s="2">
        <v>12763</v>
      </c>
      <c r="AO1213" s="7">
        <f t="shared" si="282"/>
        <v>212.71666666666667</v>
      </c>
      <c r="AP1213" s="5">
        <f t="shared" si="274"/>
        <v>15.513919372018993</v>
      </c>
      <c r="AQ1213" s="6">
        <f t="shared" si="275"/>
        <v>142.21648023849048</v>
      </c>
      <c r="AR1213" s="2">
        <f t="shared" si="276"/>
        <v>-2.1301186875174403</v>
      </c>
      <c r="AS1213" s="2">
        <f t="shared" si="277"/>
        <v>-302.93798222896334</v>
      </c>
    </row>
    <row r="1214" spans="13:45" x14ac:dyDescent="0.3">
      <c r="M1214" s="78">
        <v>45045.34375</v>
      </c>
      <c r="N1214" s="79">
        <v>6.9668366371788595E-2</v>
      </c>
      <c r="O1214" s="5">
        <v>61.92162476</v>
      </c>
      <c r="P1214" s="2">
        <v>13911</v>
      </c>
      <c r="Q1214" s="7">
        <f t="shared" si="271"/>
        <v>231.85</v>
      </c>
      <c r="R1214" s="6">
        <f t="shared" si="272"/>
        <v>16.152610743299185</v>
      </c>
      <c r="S1214" s="6">
        <f t="shared" si="278"/>
        <v>145.05411584887077</v>
      </c>
      <c r="T1214" s="2">
        <f t="shared" si="279"/>
        <v>1</v>
      </c>
      <c r="U1214" s="6">
        <f t="shared" si="280"/>
        <v>145.05411584887077</v>
      </c>
      <c r="V1214">
        <f t="shared" si="281"/>
        <v>0.23051594035463518</v>
      </c>
      <c r="W1214" s="6">
        <f t="shared" si="273"/>
        <v>33.437285917212634</v>
      </c>
      <c r="AK1214" s="78">
        <v>45044.34375</v>
      </c>
      <c r="AL1214" s="79">
        <v>7.3911322653430006E-2</v>
      </c>
      <c r="AM1214" s="5">
        <v>65.290959470000004</v>
      </c>
      <c r="AN1214" s="2">
        <v>13071</v>
      </c>
      <c r="AO1214" s="7">
        <f t="shared" si="282"/>
        <v>217.85</v>
      </c>
      <c r="AP1214" s="5">
        <f t="shared" si="274"/>
        <v>16.101581640049726</v>
      </c>
      <c r="AQ1214" s="6">
        <f t="shared" si="275"/>
        <v>144.82952820658599</v>
      </c>
      <c r="AR1214" s="2">
        <f t="shared" si="276"/>
        <v>-2.1301186875174403</v>
      </c>
      <c r="AS1214" s="2">
        <f t="shared" si="277"/>
        <v>-308.50408453718302</v>
      </c>
    </row>
    <row r="1215" spans="13:45" x14ac:dyDescent="0.3">
      <c r="M1215" s="78">
        <v>45045.354166666664</v>
      </c>
      <c r="N1215" s="79">
        <v>6.6400352873241905E-2</v>
      </c>
      <c r="O1215" s="5">
        <v>63.015482910000003</v>
      </c>
      <c r="P1215" s="2">
        <v>13735</v>
      </c>
      <c r="Q1215" s="7">
        <f t="shared" si="271"/>
        <v>228.91666666666666</v>
      </c>
      <c r="R1215" s="6">
        <f t="shared" si="272"/>
        <v>15.200147445232959</v>
      </c>
      <c r="S1215" s="6">
        <f t="shared" si="278"/>
        <v>140.80058548155284</v>
      </c>
      <c r="T1215" s="2">
        <f t="shared" si="279"/>
        <v>1</v>
      </c>
      <c r="U1215" s="6">
        <f t="shared" si="280"/>
        <v>140.80058548155284</v>
      </c>
      <c r="V1215">
        <f t="shared" si="281"/>
        <v>5.6168047550479633E-2</v>
      </c>
      <c r="W1215" s="6">
        <f t="shared" si="273"/>
        <v>7.9084939804632324</v>
      </c>
      <c r="AK1215" s="78">
        <v>45044.354166666664</v>
      </c>
      <c r="AL1215" s="79">
        <v>7.0965124038224997E-2</v>
      </c>
      <c r="AM1215" s="5">
        <v>64.837941950000001</v>
      </c>
      <c r="AN1215" s="2">
        <v>12777</v>
      </c>
      <c r="AO1215" s="7">
        <f t="shared" si="282"/>
        <v>212.95</v>
      </c>
      <c r="AP1215" s="5">
        <f t="shared" si="274"/>
        <v>15.112023163940012</v>
      </c>
      <c r="AQ1215" s="6">
        <f t="shared" si="275"/>
        <v>140.40024805855052</v>
      </c>
      <c r="AR1215" s="2">
        <f t="shared" si="276"/>
        <v>-2.1301186875174403</v>
      </c>
      <c r="AS1215" s="2">
        <f t="shared" si="277"/>
        <v>-299.06919212160267</v>
      </c>
    </row>
    <row r="1216" spans="13:45" x14ac:dyDescent="0.3">
      <c r="M1216" s="78">
        <v>45045.364583333336</v>
      </c>
      <c r="N1216" s="79">
        <v>6.4036347442102598E-2</v>
      </c>
      <c r="O1216" s="5">
        <v>63.916046000000001</v>
      </c>
      <c r="P1216" s="2">
        <v>13541</v>
      </c>
      <c r="Q1216" s="7">
        <f t="shared" si="271"/>
        <v>225.68333333333334</v>
      </c>
      <c r="R1216" s="6">
        <f t="shared" si="272"/>
        <v>14.451936345225189</v>
      </c>
      <c r="S1216" s="6">
        <f t="shared" si="278"/>
        <v>137.36287578073006</v>
      </c>
      <c r="T1216" s="2">
        <f t="shared" si="279"/>
        <v>1</v>
      </c>
      <c r="U1216" s="6">
        <f t="shared" si="280"/>
        <v>137.36287578073006</v>
      </c>
      <c r="V1216">
        <f t="shared" si="281"/>
        <v>0</v>
      </c>
      <c r="W1216" s="6">
        <f t="shared" si="273"/>
        <v>0</v>
      </c>
      <c r="AK1216" s="78">
        <v>45044.364583333336</v>
      </c>
      <c r="AL1216" s="79">
        <v>7.0314608642532195E-2</v>
      </c>
      <c r="AM1216" s="5">
        <v>68.466857000000005</v>
      </c>
      <c r="AN1216" s="2">
        <v>12569</v>
      </c>
      <c r="AO1216" s="7">
        <f t="shared" si="282"/>
        <v>209.48333333333332</v>
      </c>
      <c r="AP1216" s="5">
        <f t="shared" si="274"/>
        <v>14.729738600466451</v>
      </c>
      <c r="AQ1216" s="6">
        <f t="shared" si="275"/>
        <v>138.6496263923772</v>
      </c>
      <c r="AR1216" s="2">
        <f t="shared" si="276"/>
        <v>-2.1301186875174403</v>
      </c>
      <c r="AS1216" s="2">
        <f t="shared" si="277"/>
        <v>-295.34016019571396</v>
      </c>
    </row>
    <row r="1217" spans="13:45" x14ac:dyDescent="0.3">
      <c r="M1217" s="78">
        <v>45045.375</v>
      </c>
      <c r="N1217" s="79">
        <v>6.8130976798883205E-2</v>
      </c>
      <c r="O1217" s="5">
        <v>61.187353479999999</v>
      </c>
      <c r="P1217" s="2">
        <v>13949</v>
      </c>
      <c r="Q1217" s="7">
        <f t="shared" si="271"/>
        <v>232.48333333333332</v>
      </c>
      <c r="R1217" s="6">
        <f t="shared" si="272"/>
        <v>15.839316589460363</v>
      </c>
      <c r="S1217" s="6">
        <f t="shared" si="278"/>
        <v>143.66948237690949</v>
      </c>
      <c r="T1217" s="2">
        <f t="shared" si="279"/>
        <v>1</v>
      </c>
      <c r="U1217" s="6">
        <f t="shared" si="280"/>
        <v>143.66948237690949</v>
      </c>
      <c r="V1217">
        <f t="shared" si="281"/>
        <v>0.17316761453404114</v>
      </c>
      <c r="W1217" s="6">
        <f t="shared" si="273"/>
        <v>24.87890154454988</v>
      </c>
      <c r="AK1217" s="78">
        <v>45044.375</v>
      </c>
      <c r="AL1217" s="79">
        <v>6.9596612660088597E-2</v>
      </c>
      <c r="AM1217" s="5">
        <v>68.466857000000005</v>
      </c>
      <c r="AN1217" s="2">
        <v>13131</v>
      </c>
      <c r="AO1217" s="7">
        <f t="shared" si="282"/>
        <v>218.85</v>
      </c>
      <c r="AP1217" s="5">
        <f t="shared" si="274"/>
        <v>15.231218680660389</v>
      </c>
      <c r="AQ1217" s="6">
        <f t="shared" si="275"/>
        <v>140.94145562206194</v>
      </c>
      <c r="AR1217" s="2">
        <f t="shared" si="276"/>
        <v>-2.1301186875174403</v>
      </c>
      <c r="AS1217" s="2">
        <f t="shared" si="277"/>
        <v>-300.22202846646411</v>
      </c>
    </row>
    <row r="1218" spans="13:45" x14ac:dyDescent="0.3">
      <c r="M1218" s="78">
        <v>45045.385416666664</v>
      </c>
      <c r="N1218" s="79">
        <v>6.5519132781080694E-2</v>
      </c>
      <c r="O1218" s="5">
        <v>65.290959470000004</v>
      </c>
      <c r="P1218" s="2">
        <v>14165</v>
      </c>
      <c r="Q1218" s="7">
        <f t="shared" si="271"/>
        <v>236.08333333333334</v>
      </c>
      <c r="R1218" s="6">
        <f t="shared" si="272"/>
        <v>15.467975264066801</v>
      </c>
      <c r="S1218" s="6">
        <f t="shared" si="278"/>
        <v>142.01007683636681</v>
      </c>
      <c r="T1218" s="2">
        <f t="shared" si="279"/>
        <v>1</v>
      </c>
      <c r="U1218" s="6">
        <f t="shared" si="280"/>
        <v>142.01007683636681</v>
      </c>
      <c r="V1218">
        <f t="shared" si="281"/>
        <v>0.10519378528002597</v>
      </c>
      <c r="W1218" s="6">
        <f t="shared" si="273"/>
        <v>14.938577530324761</v>
      </c>
      <c r="AK1218" s="78">
        <v>45044.385416666664</v>
      </c>
      <c r="AL1218" s="79">
        <v>7.2181225060077903E-2</v>
      </c>
      <c r="AM1218" s="5">
        <v>67.106545600000004</v>
      </c>
      <c r="AN1218" s="2">
        <v>12609</v>
      </c>
      <c r="AO1218" s="7">
        <f t="shared" si="282"/>
        <v>210.15</v>
      </c>
      <c r="AP1218" s="5">
        <f t="shared" si="274"/>
        <v>15.168884446375372</v>
      </c>
      <c r="AQ1218" s="6">
        <f t="shared" si="275"/>
        <v>140.65869754111768</v>
      </c>
      <c r="AR1218" s="2">
        <f t="shared" si="276"/>
        <v>-2.1301186875174403</v>
      </c>
      <c r="AS1218" s="2">
        <f t="shared" si="277"/>
        <v>-299.61972019419818</v>
      </c>
    </row>
    <row r="1219" spans="13:45" x14ac:dyDescent="0.3">
      <c r="M1219" s="78">
        <v>45045.395833333336</v>
      </c>
      <c r="N1219" s="79">
        <v>7.1031933422586499E-2</v>
      </c>
      <c r="O1219" s="5">
        <v>60.811216330000001</v>
      </c>
      <c r="P1219" s="2">
        <v>13739</v>
      </c>
      <c r="Q1219" s="7">
        <f t="shared" si="271"/>
        <v>228.98333333333332</v>
      </c>
      <c r="R1219" s="6">
        <f t="shared" si="272"/>
        <v>16.265128888215266</v>
      </c>
      <c r="S1219" s="6">
        <f t="shared" si="278"/>
        <v>145.54805120225365</v>
      </c>
      <c r="T1219" s="2">
        <f t="shared" si="279"/>
        <v>1</v>
      </c>
      <c r="U1219" s="6">
        <f t="shared" si="280"/>
        <v>145.54805120225365</v>
      </c>
      <c r="V1219">
        <f t="shared" si="281"/>
        <v>0.25111232607173317</v>
      </c>
      <c r="W1219" s="6">
        <f t="shared" si="273"/>
        <v>36.548909692605633</v>
      </c>
      <c r="AK1219" s="78">
        <v>45044.395833333336</v>
      </c>
      <c r="AL1219" s="79">
        <v>6.8108683879372994E-2</v>
      </c>
      <c r="AM1219" s="5">
        <v>64.837941950000001</v>
      </c>
      <c r="AN1219" s="2">
        <v>12954</v>
      </c>
      <c r="AO1219" s="7">
        <f t="shared" si="282"/>
        <v>215.9</v>
      </c>
      <c r="AP1219" s="5">
        <f t="shared" si="274"/>
        <v>14.704664849556631</v>
      </c>
      <c r="AQ1219" s="6">
        <f t="shared" si="275"/>
        <v>138.53399870941885</v>
      </c>
      <c r="AR1219" s="2">
        <f t="shared" si="276"/>
        <v>-2.1301186875174403</v>
      </c>
      <c r="AS1219" s="2">
        <f t="shared" si="277"/>
        <v>-295.09385950745008</v>
      </c>
    </row>
    <row r="1220" spans="13:45" x14ac:dyDescent="0.3">
      <c r="M1220" s="78">
        <v>45045.40625</v>
      </c>
      <c r="N1220" s="79">
        <v>6.7891968506988698E-2</v>
      </c>
      <c r="O1220" s="5">
        <v>60.060669519999998</v>
      </c>
      <c r="P1220" s="2">
        <v>13735</v>
      </c>
      <c r="Q1220" s="7">
        <f t="shared" ref="Q1220:Q1283" si="283">P1220/60</f>
        <v>228.91666666666666</v>
      </c>
      <c r="R1220" s="6">
        <f t="shared" ref="R1220:R1283" si="284">N1220*Q1220</f>
        <v>15.541603124058161</v>
      </c>
      <c r="S1220" s="6">
        <f t="shared" si="278"/>
        <v>142.34069861480418</v>
      </c>
      <c r="T1220" s="2">
        <f t="shared" si="279"/>
        <v>1</v>
      </c>
      <c r="U1220" s="6">
        <f t="shared" si="280"/>
        <v>142.34069861480418</v>
      </c>
      <c r="V1220">
        <f t="shared" si="281"/>
        <v>0.11867132532512327</v>
      </c>
      <c r="W1220" s="6">
        <f t="shared" ref="W1220:W1283" si="285">S1220*V1220</f>
        <v>16.891759352322751</v>
      </c>
      <c r="AK1220" s="78">
        <v>45044.40625</v>
      </c>
      <c r="AL1220" s="79">
        <v>7.3111193662396004E-2</v>
      </c>
      <c r="AM1220" s="5">
        <v>63.92387093</v>
      </c>
      <c r="AN1220" s="2">
        <v>12694</v>
      </c>
      <c r="AO1220" s="7">
        <f t="shared" si="282"/>
        <v>211.56666666666666</v>
      </c>
      <c r="AP1220" s="5">
        <f t="shared" ref="AP1220:AP1283" si="286">AO1220*AL1220</f>
        <v>15.467891539174248</v>
      </c>
      <c r="AQ1220" s="6">
        <f t="shared" ref="AQ1220:AQ1283" si="287">37.141*AP1220^0.4897</f>
        <v>142.00970041783515</v>
      </c>
      <c r="AR1220" s="2">
        <f t="shared" ref="AR1220:AR1283" si="288">IF((AM1220-$AP$1)/($AN$1-$AP$1)&lt;0, 0, IF((AA1220-$AP$1)/($AN$1-$AP$1)&gt;1, 1, (AA1220-$AP$1)/($AN$1-$AP$1)))</f>
        <v>-2.1301186875174403</v>
      </c>
      <c r="AS1220" s="2">
        <f t="shared" ref="AS1220:AS1283" si="289">AQ1220*AR1220</f>
        <v>-302.49751666878387</v>
      </c>
    </row>
    <row r="1221" spans="13:45" x14ac:dyDescent="0.3">
      <c r="M1221" s="78">
        <v>45045.416666666664</v>
      </c>
      <c r="N1221" s="79">
        <v>7.0015247108535905E-2</v>
      </c>
      <c r="O1221" s="5">
        <v>60.811216330000001</v>
      </c>
      <c r="P1221" s="2">
        <v>13814</v>
      </c>
      <c r="Q1221" s="7">
        <f t="shared" si="283"/>
        <v>230.23333333333332</v>
      </c>
      <c r="R1221" s="6">
        <f t="shared" si="284"/>
        <v>16.119843725955249</v>
      </c>
      <c r="S1221" s="6">
        <f t="shared" si="278"/>
        <v>144.90994438635795</v>
      </c>
      <c r="T1221" s="2">
        <f t="shared" si="279"/>
        <v>1</v>
      </c>
      <c r="U1221" s="6">
        <f t="shared" si="280"/>
        <v>144.90994438635795</v>
      </c>
      <c r="V1221">
        <f t="shared" si="281"/>
        <v>0.22451795550945408</v>
      </c>
      <c r="W1221" s="6">
        <f t="shared" si="285"/>
        <v>32.534884446613781</v>
      </c>
      <c r="AK1221" s="78">
        <v>45044.416666666664</v>
      </c>
      <c r="AL1221" s="79">
        <v>7.4360973575885905E-2</v>
      </c>
      <c r="AM1221" s="5">
        <v>66.195962919999999</v>
      </c>
      <c r="AN1221" s="2">
        <v>12873</v>
      </c>
      <c r="AO1221" s="7">
        <f t="shared" si="282"/>
        <v>214.55</v>
      </c>
      <c r="AP1221" s="5">
        <f t="shared" si="286"/>
        <v>15.954146880706322</v>
      </c>
      <c r="AQ1221" s="6">
        <f t="shared" si="287"/>
        <v>144.17859456868143</v>
      </c>
      <c r="AR1221" s="2">
        <f t="shared" si="288"/>
        <v>-2.1301186875174403</v>
      </c>
      <c r="AS1221" s="2">
        <f t="shared" si="289"/>
        <v>-307.11751863074886</v>
      </c>
    </row>
    <row r="1222" spans="13:45" x14ac:dyDescent="0.3">
      <c r="M1222" s="78">
        <v>45045.427083333336</v>
      </c>
      <c r="N1222" s="79">
        <v>6.9039272465999904E-2</v>
      </c>
      <c r="O1222" s="5">
        <v>61.92162476</v>
      </c>
      <c r="P1222" s="2">
        <v>13721</v>
      </c>
      <c r="Q1222" s="7">
        <f t="shared" si="283"/>
        <v>228.68333333333334</v>
      </c>
      <c r="R1222" s="6">
        <f t="shared" si="284"/>
        <v>15.788130958433078</v>
      </c>
      <c r="S1222" s="6">
        <f t="shared" si="278"/>
        <v>143.44193869636183</v>
      </c>
      <c r="T1222" s="2">
        <f t="shared" si="279"/>
        <v>1</v>
      </c>
      <c r="U1222" s="6">
        <f t="shared" si="280"/>
        <v>143.44193869636183</v>
      </c>
      <c r="V1222">
        <f t="shared" si="281"/>
        <v>0.16379811239198824</v>
      </c>
      <c r="W1222" s="6">
        <f t="shared" si="285"/>
        <v>23.495518796311362</v>
      </c>
      <c r="AK1222" s="78">
        <v>45044.427083333336</v>
      </c>
      <c r="AL1222" s="79">
        <v>7.7607525567016403E-2</v>
      </c>
      <c r="AM1222" s="5">
        <v>67.557775419999999</v>
      </c>
      <c r="AN1222" s="2">
        <v>12646</v>
      </c>
      <c r="AO1222" s="7">
        <f t="shared" si="282"/>
        <v>210.76666666666668</v>
      </c>
      <c r="AP1222" s="5">
        <f t="shared" si="286"/>
        <v>16.357079472008159</v>
      </c>
      <c r="AQ1222" s="6">
        <f t="shared" si="287"/>
        <v>145.95040524689168</v>
      </c>
      <c r="AR1222" s="2">
        <f t="shared" si="288"/>
        <v>-2.1301186875174403</v>
      </c>
      <c r="AS1222" s="2">
        <f t="shared" si="289"/>
        <v>-310.89168566714744</v>
      </c>
    </row>
    <row r="1223" spans="13:45" x14ac:dyDescent="0.3">
      <c r="M1223" s="78">
        <v>45045.4375</v>
      </c>
      <c r="N1223" s="79">
        <v>6.9416831991890901E-2</v>
      </c>
      <c r="O1223" s="5">
        <v>60.440350530000003</v>
      </c>
      <c r="P1223" s="2">
        <v>13331</v>
      </c>
      <c r="Q1223" s="7">
        <f t="shared" si="283"/>
        <v>222.18333333333334</v>
      </c>
      <c r="R1223" s="6">
        <f t="shared" si="284"/>
        <v>15.423263121398294</v>
      </c>
      <c r="S1223" s="6">
        <f t="shared" si="278"/>
        <v>141.80890742761642</v>
      </c>
      <c r="T1223" s="2">
        <f t="shared" si="279"/>
        <v>1</v>
      </c>
      <c r="U1223" s="6">
        <f t="shared" si="280"/>
        <v>141.80890742761642</v>
      </c>
      <c r="V1223">
        <f t="shared" si="281"/>
        <v>9.7009251689240905E-2</v>
      </c>
      <c r="W1223" s="6">
        <f t="shared" si="285"/>
        <v>13.756775992421906</v>
      </c>
      <c r="AK1223" s="78">
        <v>45044.4375</v>
      </c>
      <c r="AL1223" s="79">
        <v>7.41344643194016E-2</v>
      </c>
      <c r="AM1223" s="5">
        <v>60.433929669999998</v>
      </c>
      <c r="AN1223" s="2">
        <v>12993</v>
      </c>
      <c r="AO1223" s="7">
        <f t="shared" si="282"/>
        <v>216.55</v>
      </c>
      <c r="AP1223" s="5">
        <f t="shared" si="286"/>
        <v>16.053818248366419</v>
      </c>
      <c r="AQ1223" s="6">
        <f t="shared" si="287"/>
        <v>144.61898418586418</v>
      </c>
      <c r="AR1223" s="2">
        <f t="shared" si="288"/>
        <v>-2.1301186875174403</v>
      </c>
      <c r="AS1223" s="2">
        <f t="shared" si="289"/>
        <v>-308.05560078409843</v>
      </c>
    </row>
    <row r="1224" spans="13:45" x14ac:dyDescent="0.3">
      <c r="M1224" s="78">
        <v>45045.447916666664</v>
      </c>
      <c r="N1224" s="79">
        <v>7.0371414773405694E-2</v>
      </c>
      <c r="O1224" s="5">
        <v>61.92162476</v>
      </c>
      <c r="P1224" s="2">
        <v>13644</v>
      </c>
      <c r="Q1224" s="7">
        <f t="shared" si="283"/>
        <v>227.4</v>
      </c>
      <c r="R1224" s="6">
        <f t="shared" si="284"/>
        <v>16.002459719472455</v>
      </c>
      <c r="S1224" s="6">
        <f t="shared" si="278"/>
        <v>144.39223560924481</v>
      </c>
      <c r="T1224" s="2">
        <f t="shared" si="279"/>
        <v>1</v>
      </c>
      <c r="U1224" s="6">
        <f t="shared" si="280"/>
        <v>144.39223560924481</v>
      </c>
      <c r="V1224">
        <f t="shared" si="281"/>
        <v>0.20303087645797183</v>
      </c>
      <c r="W1224" s="6">
        <f t="shared" si="285"/>
        <v>29.316082149470944</v>
      </c>
      <c r="AK1224" s="78">
        <v>45044.447916666664</v>
      </c>
      <c r="AL1224" s="79">
        <v>7.3831097763896694E-2</v>
      </c>
      <c r="AM1224" s="5">
        <v>62.654512349999997</v>
      </c>
      <c r="AN1224" s="2">
        <v>12793</v>
      </c>
      <c r="AO1224" s="7">
        <f t="shared" si="282"/>
        <v>213.21666666666667</v>
      </c>
      <c r="AP1224" s="5">
        <f t="shared" si="286"/>
        <v>15.74202056155884</v>
      </c>
      <c r="AQ1224" s="6">
        <f t="shared" si="287"/>
        <v>143.23663424027112</v>
      </c>
      <c r="AR1224" s="2">
        <f t="shared" si="288"/>
        <v>-2.1301186875174403</v>
      </c>
      <c r="AS1224" s="2">
        <f t="shared" si="289"/>
        <v>-305.11103133230193</v>
      </c>
    </row>
    <row r="1225" spans="13:45" x14ac:dyDescent="0.3">
      <c r="M1225" s="78">
        <v>45045.458333333336</v>
      </c>
      <c r="N1225" s="79">
        <v>6.6461236159053902E-2</v>
      </c>
      <c r="O1225" s="5">
        <v>63.015482910000003</v>
      </c>
      <c r="P1225" s="2">
        <v>13540</v>
      </c>
      <c r="Q1225" s="7">
        <f t="shared" si="283"/>
        <v>225.66666666666666</v>
      </c>
      <c r="R1225" s="6">
        <f t="shared" si="284"/>
        <v>14.998085626559829</v>
      </c>
      <c r="S1225" s="6">
        <f t="shared" ref="S1225:S1288" si="290">37.141*R1225^0.4897</f>
        <v>139.88087426597721</v>
      </c>
      <c r="T1225" s="2">
        <f t="shared" ref="T1225:T1288" si="291">IF((O1225-$R$1)/($P$1-$R$1)&lt;0, 0, IF((O1225-$R$1)/($P$1-$R$1)&gt;1, 1, (O1225-$R$1)/($P$1-$R$1)))</f>
        <v>1</v>
      </c>
      <c r="U1225" s="6">
        <f t="shared" ref="U1225:U1288" si="292">S1225*T1225</f>
        <v>139.88087426597721</v>
      </c>
      <c r="V1225">
        <f t="shared" ref="V1225:V1288" si="293">IF((R1225-$AB$774)/($Z$773-$AB$774)&lt;0, 0, IF((R1225-$AB$774)/($Z$773-$AB$774)&gt;1, 1, (R1225-$AB$774)/($Z$773-$AB$774)))</f>
        <v>1.9180740665940724E-2</v>
      </c>
      <c r="W1225" s="6">
        <f t="shared" si="285"/>
        <v>2.6830187734207707</v>
      </c>
      <c r="AK1225" s="78">
        <v>45044.458333333336</v>
      </c>
      <c r="AL1225" s="79">
        <v>7.4830493418011901E-2</v>
      </c>
      <c r="AM1225" s="5">
        <v>64.837941950000001</v>
      </c>
      <c r="AN1225" s="2">
        <v>12399</v>
      </c>
      <c r="AO1225" s="7">
        <f t="shared" si="282"/>
        <v>206.65</v>
      </c>
      <c r="AP1225" s="5">
        <f t="shared" si="286"/>
        <v>15.46372146483216</v>
      </c>
      <c r="AQ1225" s="6">
        <f t="shared" si="287"/>
        <v>141.99095087549142</v>
      </c>
      <c r="AR1225" s="2">
        <f t="shared" si="288"/>
        <v>-2.1301186875174403</v>
      </c>
      <c r="AS1225" s="2">
        <f t="shared" si="289"/>
        <v>-302.45757791825514</v>
      </c>
    </row>
    <row r="1226" spans="13:45" x14ac:dyDescent="0.3">
      <c r="M1226" s="78">
        <v>45045.46875</v>
      </c>
      <c r="N1226" s="79">
        <v>6.7055409979625599E-2</v>
      </c>
      <c r="O1226" s="5">
        <v>58.930610829999999</v>
      </c>
      <c r="P1226" s="2">
        <v>13436</v>
      </c>
      <c r="Q1226" s="7">
        <f t="shared" si="283"/>
        <v>223.93333333333334</v>
      </c>
      <c r="R1226" s="6">
        <f t="shared" si="284"/>
        <v>15.015941474770827</v>
      </c>
      <c r="S1226" s="6">
        <f t="shared" si="290"/>
        <v>139.96240122315555</v>
      </c>
      <c r="T1226" s="2">
        <f t="shared" si="291"/>
        <v>1</v>
      </c>
      <c r="U1226" s="6">
        <f t="shared" si="292"/>
        <v>139.96240122315555</v>
      </c>
      <c r="V1226">
        <f t="shared" si="293"/>
        <v>2.2449244046741638E-2</v>
      </c>
      <c r="W1226" s="6">
        <f t="shared" si="285"/>
        <v>3.1420501024265892</v>
      </c>
      <c r="AK1226" s="78">
        <v>45044.46875</v>
      </c>
      <c r="AL1226" s="79">
        <v>7.1587867357767496E-2</v>
      </c>
      <c r="AM1226" s="5">
        <v>61.555361079999997</v>
      </c>
      <c r="AN1226" s="2">
        <v>12914</v>
      </c>
      <c r="AO1226" s="7">
        <f t="shared" si="282"/>
        <v>215.23333333333332</v>
      </c>
      <c r="AP1226" s="5">
        <f t="shared" si="286"/>
        <v>15.408095317636823</v>
      </c>
      <c r="AQ1226" s="6">
        <f t="shared" si="287"/>
        <v>141.74059667603328</v>
      </c>
      <c r="AR1226" s="2">
        <f t="shared" si="288"/>
        <v>-2.1301186875174403</v>
      </c>
      <c r="AS1226" s="2">
        <f t="shared" si="289"/>
        <v>-301.92429375949087</v>
      </c>
    </row>
    <row r="1227" spans="13:45" x14ac:dyDescent="0.3">
      <c r="M1227" s="78">
        <v>45045.479166666664</v>
      </c>
      <c r="N1227" s="79">
        <v>7.3569297726295599E-2</v>
      </c>
      <c r="O1227" s="5">
        <v>63.015482910000003</v>
      </c>
      <c r="P1227" s="2">
        <v>12740</v>
      </c>
      <c r="Q1227" s="7">
        <f t="shared" si="283"/>
        <v>212.33333333333334</v>
      </c>
      <c r="R1227" s="6">
        <f t="shared" si="284"/>
        <v>15.621214217216766</v>
      </c>
      <c r="S1227" s="6">
        <f t="shared" si="290"/>
        <v>142.69728966563767</v>
      </c>
      <c r="T1227" s="2">
        <f t="shared" si="291"/>
        <v>1</v>
      </c>
      <c r="U1227" s="6">
        <f t="shared" si="292"/>
        <v>142.69728966563767</v>
      </c>
      <c r="V1227">
        <f t="shared" si="293"/>
        <v>0.13324409297319792</v>
      </c>
      <c r="W1227" s="6">
        <f t="shared" si="285"/>
        <v>19.01357093123158</v>
      </c>
      <c r="AK1227" s="78">
        <v>45044.479166666664</v>
      </c>
      <c r="AL1227" s="79">
        <v>7.7800717195421101E-2</v>
      </c>
      <c r="AM1227" s="5">
        <v>63.92387093</v>
      </c>
      <c r="AN1227" s="2">
        <v>12647</v>
      </c>
      <c r="AO1227" s="7">
        <f t="shared" si="282"/>
        <v>210.78333333333333</v>
      </c>
      <c r="AP1227" s="5">
        <f t="shared" si="286"/>
        <v>16.399094506174844</v>
      </c>
      <c r="AQ1227" s="6">
        <f t="shared" si="287"/>
        <v>146.13386888953983</v>
      </c>
      <c r="AR1227" s="2">
        <f t="shared" si="288"/>
        <v>-2.1301186875174403</v>
      </c>
      <c r="AS1227" s="2">
        <f t="shared" si="289"/>
        <v>-311.28248500083225</v>
      </c>
    </row>
    <row r="1228" spans="13:45" x14ac:dyDescent="0.3">
      <c r="M1228" s="78">
        <v>45045.489583333336</v>
      </c>
      <c r="N1228" s="79">
        <v>6.5066421676467798E-2</v>
      </c>
      <c r="O1228" s="5">
        <v>60.067120299999999</v>
      </c>
      <c r="P1228" s="2">
        <v>13669</v>
      </c>
      <c r="Q1228" s="7">
        <f t="shared" si="283"/>
        <v>227.81666666666666</v>
      </c>
      <c r="R1228" s="6">
        <f t="shared" si="284"/>
        <v>14.823215298260639</v>
      </c>
      <c r="S1228" s="6">
        <f t="shared" si="290"/>
        <v>139.07981171240741</v>
      </c>
      <c r="T1228" s="2">
        <f t="shared" si="291"/>
        <v>1</v>
      </c>
      <c r="U1228" s="6">
        <f t="shared" si="292"/>
        <v>139.07981171240741</v>
      </c>
      <c r="V1228">
        <f t="shared" si="293"/>
        <v>0</v>
      </c>
      <c r="W1228" s="6">
        <f t="shared" si="285"/>
        <v>0</v>
      </c>
      <c r="AK1228" s="78">
        <v>45044.489583333336</v>
      </c>
      <c r="AL1228" s="79">
        <v>7.3608568350123596E-2</v>
      </c>
      <c r="AM1228" s="5">
        <v>64.837941950000001</v>
      </c>
      <c r="AN1228" s="2">
        <v>12435</v>
      </c>
      <c r="AO1228" s="7">
        <f t="shared" si="282"/>
        <v>207.25</v>
      </c>
      <c r="AP1228" s="5">
        <f t="shared" si="286"/>
        <v>15.255375790563114</v>
      </c>
      <c r="AQ1228" s="6">
        <f t="shared" si="287"/>
        <v>141.05087734149123</v>
      </c>
      <c r="AR1228" s="2">
        <f t="shared" si="288"/>
        <v>-2.1301186875174403</v>
      </c>
      <c r="AS1228" s="2">
        <f t="shared" si="289"/>
        <v>-300.45510971584076</v>
      </c>
    </row>
    <row r="1229" spans="13:45" x14ac:dyDescent="0.3">
      <c r="M1229" s="78">
        <v>45045.5</v>
      </c>
      <c r="N1229" s="79">
        <v>7.7582031042312802E-2</v>
      </c>
      <c r="O1229" s="5">
        <v>63.916046000000001</v>
      </c>
      <c r="P1229" s="2">
        <v>12664</v>
      </c>
      <c r="Q1229" s="7">
        <f t="shared" si="283"/>
        <v>211.06666666666666</v>
      </c>
      <c r="R1229" s="6">
        <f t="shared" si="284"/>
        <v>16.374980685330822</v>
      </c>
      <c r="S1229" s="6">
        <f t="shared" si="290"/>
        <v>146.02860239103285</v>
      </c>
      <c r="T1229" s="2">
        <f t="shared" si="291"/>
        <v>1</v>
      </c>
      <c r="U1229" s="6">
        <f t="shared" si="292"/>
        <v>146.02860239103285</v>
      </c>
      <c r="V1229">
        <f t="shared" si="293"/>
        <v>0.27122063826258802</v>
      </c>
      <c r="W1229" s="6">
        <f t="shared" si="285"/>
        <v>39.605970745089614</v>
      </c>
      <c r="AK1229" s="78">
        <v>45044.5</v>
      </c>
      <c r="AL1229" s="79">
        <v>7.98995727887815E-2</v>
      </c>
      <c r="AM1229" s="5">
        <v>62.654512349999997</v>
      </c>
      <c r="AN1229" s="2">
        <v>12662</v>
      </c>
      <c r="AO1229" s="7">
        <f t="shared" si="282"/>
        <v>211.03333333333333</v>
      </c>
      <c r="AP1229" s="5">
        <f t="shared" si="286"/>
        <v>16.861473177525856</v>
      </c>
      <c r="AQ1229" s="6">
        <f t="shared" si="287"/>
        <v>148.1372666031115</v>
      </c>
      <c r="AR1229" s="2">
        <f t="shared" si="288"/>
        <v>-2.1301186875174403</v>
      </c>
      <c r="AS1229" s="2">
        <f t="shared" si="289"/>
        <v>-315.54995990904098</v>
      </c>
    </row>
    <row r="1230" spans="13:45" x14ac:dyDescent="0.3">
      <c r="M1230" s="78">
        <v>45045.510416666664</v>
      </c>
      <c r="N1230" s="79">
        <v>7.4887637512479996E-2</v>
      </c>
      <c r="O1230" s="5">
        <v>61.180993239999999</v>
      </c>
      <c r="P1230" s="2">
        <v>13119</v>
      </c>
      <c r="Q1230" s="7">
        <f t="shared" si="283"/>
        <v>218.65</v>
      </c>
      <c r="R1230" s="6">
        <f t="shared" si="284"/>
        <v>16.37418194210375</v>
      </c>
      <c r="S1230" s="6">
        <f t="shared" si="290"/>
        <v>146.02511420346318</v>
      </c>
      <c r="T1230" s="2">
        <f t="shared" si="291"/>
        <v>1</v>
      </c>
      <c r="U1230" s="6">
        <f t="shared" si="292"/>
        <v>146.02511420346318</v>
      </c>
      <c r="V1230">
        <f t="shared" si="293"/>
        <v>0.27107442874583876</v>
      </c>
      <c r="W1230" s="6">
        <f t="shared" si="285"/>
        <v>39.583674415249646</v>
      </c>
      <c r="AK1230" s="78">
        <v>45044.510416666664</v>
      </c>
      <c r="AL1230" s="79">
        <v>8.2407011852606696E-2</v>
      </c>
      <c r="AM1230" s="5">
        <v>62.654512349999997</v>
      </c>
      <c r="AN1230" s="2">
        <v>12517</v>
      </c>
      <c r="AO1230" s="7">
        <f t="shared" si="282"/>
        <v>208.61666666666667</v>
      </c>
      <c r="AP1230" s="5">
        <f t="shared" si="286"/>
        <v>17.191476122651302</v>
      </c>
      <c r="AQ1230" s="6">
        <f t="shared" si="287"/>
        <v>149.55001166785328</v>
      </c>
      <c r="AR1230" s="2">
        <f t="shared" si="288"/>
        <v>-2.1301186875174403</v>
      </c>
      <c r="AS1230" s="2">
        <f t="shared" si="289"/>
        <v>-318.55927457214551</v>
      </c>
    </row>
    <row r="1231" spans="13:45" x14ac:dyDescent="0.3">
      <c r="M1231" s="78">
        <v>45045.520833333336</v>
      </c>
      <c r="N1231" s="79">
        <v>7.4034421557291397E-2</v>
      </c>
      <c r="O1231" s="5">
        <v>61.180993239999999</v>
      </c>
      <c r="P1231" s="2">
        <v>12713</v>
      </c>
      <c r="Q1231" s="7">
        <f t="shared" si="283"/>
        <v>211.88333333333333</v>
      </c>
      <c r="R1231" s="6">
        <f t="shared" si="284"/>
        <v>15.686660020964091</v>
      </c>
      <c r="S1231" s="6">
        <f t="shared" si="290"/>
        <v>142.98973812025733</v>
      </c>
      <c r="T1231" s="2">
        <f t="shared" si="291"/>
        <v>1</v>
      </c>
      <c r="U1231" s="6">
        <f t="shared" si="292"/>
        <v>142.98973812025733</v>
      </c>
      <c r="V1231">
        <f t="shared" si="293"/>
        <v>0.14522391203749857</v>
      </c>
      <c r="W1231" s="6">
        <f t="shared" si="285"/>
        <v>20.765529151041207</v>
      </c>
      <c r="AK1231" s="78">
        <v>45044.520833333336</v>
      </c>
      <c r="AL1231" s="79">
        <v>7.1301286040212894E-2</v>
      </c>
      <c r="AM1231" s="5">
        <v>62.654512349999997</v>
      </c>
      <c r="AN1231" s="2">
        <v>13034</v>
      </c>
      <c r="AO1231" s="7">
        <f t="shared" si="282"/>
        <v>217.23333333333332</v>
      </c>
      <c r="AP1231" s="5">
        <f t="shared" si="286"/>
        <v>15.489016037468913</v>
      </c>
      <c r="AQ1231" s="6">
        <f t="shared" si="287"/>
        <v>142.10464105553913</v>
      </c>
      <c r="AR1231" s="2">
        <f t="shared" si="288"/>
        <v>-2.1301186875174403</v>
      </c>
      <c r="AS1231" s="2">
        <f t="shared" si="289"/>
        <v>-302.69975149536197</v>
      </c>
    </row>
    <row r="1232" spans="13:45" x14ac:dyDescent="0.3">
      <c r="M1232" s="78">
        <v>45045.53125</v>
      </c>
      <c r="N1232" s="79">
        <v>7.4181628521606396E-2</v>
      </c>
      <c r="O1232" s="5">
        <v>61.180993239999999</v>
      </c>
      <c r="P1232" s="2">
        <v>12252</v>
      </c>
      <c r="Q1232" s="7">
        <f t="shared" si="283"/>
        <v>204.2</v>
      </c>
      <c r="R1232" s="6">
        <f t="shared" si="284"/>
        <v>15.147888544112025</v>
      </c>
      <c r="S1232" s="6">
        <f t="shared" si="290"/>
        <v>140.56332330947689</v>
      </c>
      <c r="T1232" s="2">
        <f t="shared" si="291"/>
        <v>1</v>
      </c>
      <c r="U1232" s="6">
        <f t="shared" si="292"/>
        <v>140.56332330947689</v>
      </c>
      <c r="V1232">
        <f t="shared" si="293"/>
        <v>4.6602083896873182E-2</v>
      </c>
      <c r="W1232" s="6">
        <f t="shared" si="285"/>
        <v>6.550543785691552</v>
      </c>
      <c r="AK1232" s="78">
        <v>45044.53125</v>
      </c>
      <c r="AL1232" s="79">
        <v>7.7006100676940095E-2</v>
      </c>
      <c r="AM1232" s="5">
        <v>64.837941950000001</v>
      </c>
      <c r="AN1232" s="2">
        <v>12427</v>
      </c>
      <c r="AO1232" s="7">
        <f t="shared" si="282"/>
        <v>207.11666666666667</v>
      </c>
      <c r="AP1232" s="5">
        <f t="shared" si="286"/>
        <v>15.949246885205577</v>
      </c>
      <c r="AQ1232" s="6">
        <f t="shared" si="287"/>
        <v>144.1569081906471</v>
      </c>
      <c r="AR1232" s="2">
        <f t="shared" si="288"/>
        <v>-2.1301186875174403</v>
      </c>
      <c r="AS1232" s="2">
        <f t="shared" si="289"/>
        <v>-307.07132407163334</v>
      </c>
    </row>
    <row r="1233" spans="13:45" x14ac:dyDescent="0.3">
      <c r="M1233" s="78">
        <v>45045.541666666664</v>
      </c>
      <c r="N1233" s="79">
        <v>7.6115834493392001E-2</v>
      </c>
      <c r="O1233" s="5">
        <v>65.290959470000004</v>
      </c>
      <c r="P1233" s="2">
        <v>11941</v>
      </c>
      <c r="Q1233" s="7">
        <f t="shared" si="283"/>
        <v>199.01666666666668</v>
      </c>
      <c r="R1233" s="6">
        <f t="shared" si="284"/>
        <v>15.148319661426566</v>
      </c>
      <c r="S1233" s="6">
        <f t="shared" si="290"/>
        <v>140.56528234509079</v>
      </c>
      <c r="T1233" s="2">
        <f t="shared" si="291"/>
        <v>1</v>
      </c>
      <c r="U1233" s="6">
        <f t="shared" si="292"/>
        <v>140.56528234509079</v>
      </c>
      <c r="V1233">
        <f t="shared" si="293"/>
        <v>4.6680999688688177E-2</v>
      </c>
      <c r="W1233" s="6">
        <f t="shared" si="285"/>
        <v>6.5617279013915493</v>
      </c>
      <c r="AK1233" s="78">
        <v>45044.541666666664</v>
      </c>
      <c r="AL1233" s="79">
        <v>7.9268572479027494E-2</v>
      </c>
      <c r="AM1233" s="5">
        <v>64.837941950000001</v>
      </c>
      <c r="AN1233" s="2">
        <v>11837</v>
      </c>
      <c r="AO1233" s="7">
        <f t="shared" si="282"/>
        <v>197.28333333333333</v>
      </c>
      <c r="AP1233" s="5">
        <f t="shared" si="286"/>
        <v>15.638368207237473</v>
      </c>
      <c r="AQ1233" s="6">
        <f t="shared" si="287"/>
        <v>142.7740036536924</v>
      </c>
      <c r="AR1233" s="2">
        <f t="shared" si="288"/>
        <v>-2.1301186875174403</v>
      </c>
      <c r="AS1233" s="2">
        <f t="shared" si="289"/>
        <v>-304.12557327441351</v>
      </c>
    </row>
    <row r="1234" spans="13:45" x14ac:dyDescent="0.3">
      <c r="M1234" s="78">
        <v>45045.552083333336</v>
      </c>
      <c r="N1234" s="79">
        <v>7.64886358967415E-2</v>
      </c>
      <c r="O1234" s="5">
        <v>62.286138950000002</v>
      </c>
      <c r="P1234" s="2">
        <v>11696</v>
      </c>
      <c r="Q1234" s="7">
        <f t="shared" si="283"/>
        <v>194.93333333333334</v>
      </c>
      <c r="R1234" s="6">
        <f t="shared" si="284"/>
        <v>14.910184757471477</v>
      </c>
      <c r="S1234" s="6">
        <f t="shared" si="290"/>
        <v>139.47880890884437</v>
      </c>
      <c r="T1234" s="2">
        <f t="shared" si="291"/>
        <v>1</v>
      </c>
      <c r="U1234" s="6">
        <f t="shared" si="292"/>
        <v>139.47880890884437</v>
      </c>
      <c r="V1234">
        <f t="shared" si="293"/>
        <v>3.090534006720306E-3</v>
      </c>
      <c r="W1234" s="6">
        <f t="shared" si="285"/>
        <v>0.4310640021496267</v>
      </c>
      <c r="AK1234" s="78">
        <v>45044.552083333336</v>
      </c>
      <c r="AL1234" s="79">
        <v>7.6208725385623205E-2</v>
      </c>
      <c r="AM1234" s="5">
        <v>63.92387093</v>
      </c>
      <c r="AN1234" s="2">
        <v>12019</v>
      </c>
      <c r="AO1234" s="7">
        <f t="shared" si="282"/>
        <v>200.31666666666666</v>
      </c>
      <c r="AP1234" s="5">
        <f t="shared" si="286"/>
        <v>15.265877840163421</v>
      </c>
      <c r="AQ1234" s="6">
        <f t="shared" si="287"/>
        <v>141.09841970702908</v>
      </c>
      <c r="AR1234" s="2">
        <f t="shared" si="288"/>
        <v>-2.1301186875174403</v>
      </c>
      <c r="AS1234" s="2">
        <f t="shared" si="289"/>
        <v>-300.55638059712169</v>
      </c>
    </row>
    <row r="1235" spans="13:45" x14ac:dyDescent="0.3">
      <c r="M1235" s="78">
        <v>45045.5625</v>
      </c>
      <c r="N1235" s="79">
        <v>8.1059021291105302E-2</v>
      </c>
      <c r="O1235" s="5">
        <v>65.290959470000004</v>
      </c>
      <c r="P1235" s="2">
        <v>11363</v>
      </c>
      <c r="Q1235" s="7">
        <f t="shared" si="283"/>
        <v>189.38333333333333</v>
      </c>
      <c r="R1235" s="6">
        <f t="shared" si="284"/>
        <v>15.351227648847159</v>
      </c>
      <c r="S1235" s="6">
        <f t="shared" si="290"/>
        <v>141.48417757535296</v>
      </c>
      <c r="T1235" s="2">
        <f t="shared" si="291"/>
        <v>1</v>
      </c>
      <c r="U1235" s="6">
        <f t="shared" si="292"/>
        <v>141.48417757535296</v>
      </c>
      <c r="V1235">
        <f t="shared" si="293"/>
        <v>8.3823197305895186E-2</v>
      </c>
      <c r="W1235" s="6">
        <f t="shared" si="285"/>
        <v>11.859656132561122</v>
      </c>
      <c r="AK1235" s="78">
        <v>45044.5625</v>
      </c>
      <c r="AL1235" s="79">
        <v>7.39935634854679E-2</v>
      </c>
      <c r="AM1235" s="5">
        <v>64.83012798</v>
      </c>
      <c r="AN1235" s="2">
        <v>12175</v>
      </c>
      <c r="AO1235" s="7">
        <f t="shared" si="282"/>
        <v>202.91666666666666</v>
      </c>
      <c r="AP1235" s="5">
        <f t="shared" si="286"/>
        <v>15.014527257259527</v>
      </c>
      <c r="AQ1235" s="6">
        <f t="shared" si="287"/>
        <v>139.95594593595806</v>
      </c>
      <c r="AR1235" s="2">
        <f t="shared" si="288"/>
        <v>-2.1301186875174403</v>
      </c>
      <c r="AS1235" s="2">
        <f t="shared" si="289"/>
        <v>-298.12277586736479</v>
      </c>
    </row>
    <row r="1236" spans="13:45" x14ac:dyDescent="0.3">
      <c r="M1236" s="78">
        <v>45045.572916666664</v>
      </c>
      <c r="N1236" s="79">
        <v>7.4875023419329098E-2</v>
      </c>
      <c r="O1236" s="5">
        <v>64.377553680000005</v>
      </c>
      <c r="P1236" s="2">
        <v>11301</v>
      </c>
      <c r="Q1236" s="7">
        <f t="shared" si="283"/>
        <v>188.35</v>
      </c>
      <c r="R1236" s="6">
        <f t="shared" si="284"/>
        <v>14.102710661030635</v>
      </c>
      <c r="S1236" s="6">
        <f t="shared" si="290"/>
        <v>135.72725749916023</v>
      </c>
      <c r="T1236" s="2">
        <f t="shared" si="291"/>
        <v>1</v>
      </c>
      <c r="U1236" s="6">
        <f t="shared" si="292"/>
        <v>135.72725749916023</v>
      </c>
      <c r="V1236">
        <f t="shared" si="293"/>
        <v>0</v>
      </c>
      <c r="W1236" s="6">
        <f t="shared" si="285"/>
        <v>0</v>
      </c>
      <c r="AK1236" s="78">
        <v>45044.572916666664</v>
      </c>
      <c r="AL1236" s="79">
        <v>7.6771314604124202E-2</v>
      </c>
      <c r="AM1236" s="5">
        <v>63.92387093</v>
      </c>
      <c r="AN1236" s="2">
        <v>11919</v>
      </c>
      <c r="AO1236" s="7">
        <f t="shared" si="282"/>
        <v>198.65</v>
      </c>
      <c r="AP1236" s="5">
        <f t="shared" si="286"/>
        <v>15.250621646109273</v>
      </c>
      <c r="AQ1236" s="6">
        <f t="shared" si="287"/>
        <v>141.02935002499845</v>
      </c>
      <c r="AR1236" s="2">
        <f t="shared" si="288"/>
        <v>-2.1301186875174403</v>
      </c>
      <c r="AS1236" s="2">
        <f t="shared" si="289"/>
        <v>-300.40925397668735</v>
      </c>
    </row>
    <row r="1237" spans="13:45" x14ac:dyDescent="0.3">
      <c r="M1237" s="78">
        <v>45045.583333333336</v>
      </c>
      <c r="N1237" s="79">
        <v>8.5348898043063795E-2</v>
      </c>
      <c r="O1237" s="5">
        <v>64.377553680000005</v>
      </c>
      <c r="P1237" s="2">
        <v>10843</v>
      </c>
      <c r="Q1237" s="7">
        <f t="shared" si="283"/>
        <v>180.71666666666667</v>
      </c>
      <c r="R1237" s="6">
        <f t="shared" si="284"/>
        <v>15.42396835801568</v>
      </c>
      <c r="S1237" s="6">
        <f t="shared" si="290"/>
        <v>141.81208274495054</v>
      </c>
      <c r="T1237" s="2">
        <f t="shared" si="291"/>
        <v>1</v>
      </c>
      <c r="U1237" s="6">
        <f t="shared" si="292"/>
        <v>141.81208274495054</v>
      </c>
      <c r="V1237">
        <f t="shared" si="293"/>
        <v>9.7138344871538926E-2</v>
      </c>
      <c r="W1237" s="6">
        <f t="shared" si="285"/>
        <v>13.77539100063022</v>
      </c>
      <c r="AK1237" s="78">
        <v>45044.583333333336</v>
      </c>
      <c r="AL1237" s="79">
        <v>7.6309295412755204E-2</v>
      </c>
      <c r="AM1237" s="5">
        <v>66.203758769999993</v>
      </c>
      <c r="AN1237" s="2">
        <v>12124</v>
      </c>
      <c r="AO1237" s="7">
        <f t="shared" si="282"/>
        <v>202.06666666666666</v>
      </c>
      <c r="AP1237" s="5">
        <f t="shared" si="286"/>
        <v>15.419564959737402</v>
      </c>
      <c r="AQ1237" s="6">
        <f t="shared" si="287"/>
        <v>141.79225529689569</v>
      </c>
      <c r="AR1237" s="2">
        <f t="shared" si="288"/>
        <v>-2.1301186875174403</v>
      </c>
      <c r="AS1237" s="2">
        <f t="shared" si="289"/>
        <v>-302.03433275316127</v>
      </c>
    </row>
    <row r="1238" spans="13:45" x14ac:dyDescent="0.3">
      <c r="M1238" s="78">
        <v>45045.59375</v>
      </c>
      <c r="N1238" s="79">
        <v>8.1943276873591001E-2</v>
      </c>
      <c r="O1238" s="5">
        <v>64.377553680000005</v>
      </c>
      <c r="P1238" s="2">
        <v>10924</v>
      </c>
      <c r="Q1238" s="7">
        <f t="shared" si="283"/>
        <v>182.06666666666666</v>
      </c>
      <c r="R1238" s="6">
        <f t="shared" si="284"/>
        <v>14.919139276118468</v>
      </c>
      <c r="S1238" s="6">
        <f t="shared" si="290"/>
        <v>139.51982280435217</v>
      </c>
      <c r="T1238" s="2">
        <f t="shared" si="291"/>
        <v>1</v>
      </c>
      <c r="U1238" s="6">
        <f t="shared" si="292"/>
        <v>139.51982280435217</v>
      </c>
      <c r="V1238">
        <f t="shared" si="293"/>
        <v>4.7296538135917438E-3</v>
      </c>
      <c r="W1238" s="6">
        <f t="shared" si="285"/>
        <v>0.65988046199824857</v>
      </c>
      <c r="AK1238" s="78">
        <v>45044.59375</v>
      </c>
      <c r="AL1238" s="79">
        <v>7.6339764076192806E-2</v>
      </c>
      <c r="AM1238" s="5">
        <v>64.837941950000001</v>
      </c>
      <c r="AN1238" s="2">
        <v>11940</v>
      </c>
      <c r="AO1238" s="7">
        <f t="shared" si="282"/>
        <v>199</v>
      </c>
      <c r="AP1238" s="5">
        <f t="shared" si="286"/>
        <v>15.191613051162369</v>
      </c>
      <c r="AQ1238" s="6">
        <f t="shared" si="287"/>
        <v>140.76186669965961</v>
      </c>
      <c r="AR1238" s="2">
        <f t="shared" si="288"/>
        <v>-2.1301186875174403</v>
      </c>
      <c r="AS1238" s="2">
        <f t="shared" si="289"/>
        <v>-299.8394827467838</v>
      </c>
    </row>
    <row r="1239" spans="13:45" x14ac:dyDescent="0.3">
      <c r="M1239" s="78">
        <v>45045.604166666664</v>
      </c>
      <c r="N1239" s="79">
        <v>8.5249930315774394E-2</v>
      </c>
      <c r="O1239" s="5">
        <v>68.016396760000006</v>
      </c>
      <c r="P1239" s="2">
        <v>10743</v>
      </c>
      <c r="Q1239" s="7">
        <f t="shared" si="283"/>
        <v>179.05</v>
      </c>
      <c r="R1239" s="6">
        <f t="shared" si="284"/>
        <v>15.264000023039406</v>
      </c>
      <c r="S1239" s="6">
        <f t="shared" si="290"/>
        <v>141.08992012837416</v>
      </c>
      <c r="T1239" s="2">
        <f t="shared" si="291"/>
        <v>1</v>
      </c>
      <c r="U1239" s="6">
        <f t="shared" si="292"/>
        <v>141.08992012837416</v>
      </c>
      <c r="V1239">
        <f t="shared" si="293"/>
        <v>6.7856227465936447E-2</v>
      </c>
      <c r="W1239" s="6">
        <f t="shared" si="285"/>
        <v>9.5738297133817625</v>
      </c>
      <c r="AK1239" s="78">
        <v>45044.604166666664</v>
      </c>
      <c r="AL1239" s="79">
        <v>7.2404861542127094E-2</v>
      </c>
      <c r="AM1239" s="5">
        <v>62.654512349999997</v>
      </c>
      <c r="AN1239" s="2">
        <v>12312</v>
      </c>
      <c r="AO1239" s="7">
        <f t="shared" si="282"/>
        <v>205.2</v>
      </c>
      <c r="AP1239" s="5">
        <f t="shared" si="286"/>
        <v>14.857477588444478</v>
      </c>
      <c r="AQ1239" s="6">
        <f t="shared" si="287"/>
        <v>139.23714197469604</v>
      </c>
      <c r="AR1239" s="2">
        <f t="shared" si="288"/>
        <v>-2.1301186875174403</v>
      </c>
      <c r="AS1239" s="2">
        <f t="shared" si="289"/>
        <v>-296.59163811681901</v>
      </c>
    </row>
    <row r="1240" spans="13:45" x14ac:dyDescent="0.3">
      <c r="M1240" s="78">
        <v>45045.614583333336</v>
      </c>
      <c r="N1240" s="79">
        <v>8.2030947964520998E-2</v>
      </c>
      <c r="O1240" s="5">
        <v>65.743635260000005</v>
      </c>
      <c r="P1240" s="2">
        <v>10529</v>
      </c>
      <c r="Q1240" s="7">
        <f t="shared" si="283"/>
        <v>175.48333333333332</v>
      </c>
      <c r="R1240" s="6">
        <f t="shared" si="284"/>
        <v>14.395064185307358</v>
      </c>
      <c r="S1240" s="6">
        <f t="shared" si="290"/>
        <v>137.09789774604897</v>
      </c>
      <c r="T1240" s="2">
        <f t="shared" si="291"/>
        <v>1</v>
      </c>
      <c r="U1240" s="6">
        <f t="shared" si="292"/>
        <v>137.09789774604897</v>
      </c>
      <c r="V1240">
        <f t="shared" si="293"/>
        <v>0</v>
      </c>
      <c r="W1240" s="6">
        <f t="shared" si="285"/>
        <v>0</v>
      </c>
      <c r="AK1240" s="78">
        <v>45044.614583333336</v>
      </c>
      <c r="AL1240" s="79">
        <v>7.3445542493748101E-2</v>
      </c>
      <c r="AM1240" s="5">
        <v>63.469872090000003</v>
      </c>
      <c r="AN1240" s="2">
        <v>12185</v>
      </c>
      <c r="AO1240" s="7">
        <f t="shared" si="282"/>
        <v>203.08333333333334</v>
      </c>
      <c r="AP1240" s="5">
        <f t="shared" si="286"/>
        <v>14.915565588105345</v>
      </c>
      <c r="AQ1240" s="6">
        <f t="shared" si="287"/>
        <v>139.50345594189429</v>
      </c>
      <c r="AR1240" s="2">
        <f t="shared" si="288"/>
        <v>-2.1301186875174403</v>
      </c>
      <c r="AS1240" s="2">
        <f t="shared" si="289"/>
        <v>-297.15891847509494</v>
      </c>
    </row>
    <row r="1241" spans="13:45" x14ac:dyDescent="0.3">
      <c r="M1241" s="78">
        <v>45045.625</v>
      </c>
      <c r="N1241" s="79">
        <v>8.0338137758053596E-2</v>
      </c>
      <c r="O1241" s="5">
        <v>69.373566690000004</v>
      </c>
      <c r="P1241" s="2">
        <v>10179</v>
      </c>
      <c r="Q1241" s="7">
        <f t="shared" si="283"/>
        <v>169.65</v>
      </c>
      <c r="R1241" s="6">
        <f t="shared" si="284"/>
        <v>13.629365070653794</v>
      </c>
      <c r="S1241" s="6">
        <f t="shared" si="290"/>
        <v>133.47695974920882</v>
      </c>
      <c r="T1241" s="2">
        <f t="shared" si="291"/>
        <v>1</v>
      </c>
      <c r="U1241" s="6">
        <f t="shared" si="292"/>
        <v>133.47695974920882</v>
      </c>
      <c r="V1241">
        <f t="shared" si="293"/>
        <v>0</v>
      </c>
      <c r="W1241" s="6">
        <f t="shared" si="285"/>
        <v>0</v>
      </c>
      <c r="AK1241" s="78">
        <v>45044.625</v>
      </c>
      <c r="AL1241" s="79">
        <v>7.3760821990388303E-2</v>
      </c>
      <c r="AM1241" s="5">
        <v>67.106545600000004</v>
      </c>
      <c r="AN1241" s="2">
        <v>11906</v>
      </c>
      <c r="AO1241" s="7">
        <f t="shared" si="282"/>
        <v>198.43333333333334</v>
      </c>
      <c r="AP1241" s="5">
        <f t="shared" si="286"/>
        <v>14.636605776959385</v>
      </c>
      <c r="AQ1241" s="6">
        <f t="shared" si="287"/>
        <v>138.21963591605405</v>
      </c>
      <c r="AR1241" s="2">
        <f t="shared" si="288"/>
        <v>-2.1301186875174403</v>
      </c>
      <c r="AS1241" s="2">
        <f t="shared" si="289"/>
        <v>-294.42422944664349</v>
      </c>
    </row>
    <row r="1242" spans="13:45" x14ac:dyDescent="0.3">
      <c r="M1242" s="78">
        <v>45045.635416666664</v>
      </c>
      <c r="N1242" s="79">
        <v>8.3347471449335103E-2</v>
      </c>
      <c r="O1242" s="5">
        <v>70.727821939999998</v>
      </c>
      <c r="P1242" s="2">
        <v>10268</v>
      </c>
      <c r="Q1242" s="7">
        <f t="shared" si="283"/>
        <v>171.13333333333333</v>
      </c>
      <c r="R1242" s="6">
        <f t="shared" si="284"/>
        <v>14.263530614029547</v>
      </c>
      <c r="S1242" s="6">
        <f t="shared" si="290"/>
        <v>136.48300422215274</v>
      </c>
      <c r="T1242" s="2">
        <f t="shared" si="291"/>
        <v>1</v>
      </c>
      <c r="U1242" s="6">
        <f t="shared" si="292"/>
        <v>136.48300422215274</v>
      </c>
      <c r="V1242">
        <f t="shared" si="293"/>
        <v>0</v>
      </c>
      <c r="W1242" s="6">
        <f t="shared" si="285"/>
        <v>0</v>
      </c>
      <c r="AK1242" s="78">
        <v>45044.635416666664</v>
      </c>
      <c r="AL1242" s="79">
        <v>7.6341001693652405E-2</v>
      </c>
      <c r="AM1242" s="5">
        <v>64.837941950000001</v>
      </c>
      <c r="AN1242" s="2">
        <v>12166</v>
      </c>
      <c r="AO1242" s="7">
        <f t="shared" si="282"/>
        <v>202.76666666666668</v>
      </c>
      <c r="AP1242" s="5">
        <f t="shared" si="286"/>
        <v>15.479410443416254</v>
      </c>
      <c r="AQ1242" s="6">
        <f t="shared" si="287"/>
        <v>142.06147846514935</v>
      </c>
      <c r="AR1242" s="2">
        <f t="shared" si="288"/>
        <v>-2.1301186875174403</v>
      </c>
      <c r="AS1242" s="2">
        <f t="shared" si="289"/>
        <v>-302.60781005497103</v>
      </c>
    </row>
    <row r="1243" spans="13:45" x14ac:dyDescent="0.3">
      <c r="M1243" s="78">
        <v>45045.645833333336</v>
      </c>
      <c r="N1243" s="79">
        <v>8.3785342025261195E-2</v>
      </c>
      <c r="O1243" s="5">
        <v>71.630262669999993</v>
      </c>
      <c r="P1243" s="2">
        <v>10691</v>
      </c>
      <c r="Q1243" s="7">
        <f t="shared" si="283"/>
        <v>178.18333333333334</v>
      </c>
      <c r="R1243" s="6">
        <f t="shared" si="284"/>
        <v>14.929151526534458</v>
      </c>
      <c r="S1243" s="6">
        <f t="shared" si="290"/>
        <v>139.56566649875469</v>
      </c>
      <c r="T1243" s="2">
        <f t="shared" si="291"/>
        <v>1</v>
      </c>
      <c r="U1243" s="6">
        <f t="shared" si="292"/>
        <v>139.56566649875469</v>
      </c>
      <c r="V1243">
        <f t="shared" si="293"/>
        <v>6.5623908500733177E-3</v>
      </c>
      <c r="W1243" s="6">
        <f t="shared" si="285"/>
        <v>0.91588445281581199</v>
      </c>
      <c r="AK1243" s="78">
        <v>45044.645833333336</v>
      </c>
      <c r="AL1243" s="79">
        <v>7.4995907088285393E-2</v>
      </c>
      <c r="AM1243" s="5">
        <v>64.837941950000001</v>
      </c>
      <c r="AN1243" s="2">
        <v>11811</v>
      </c>
      <c r="AO1243" s="7">
        <f t="shared" si="282"/>
        <v>196.85</v>
      </c>
      <c r="AP1243" s="5">
        <f t="shared" si="286"/>
        <v>14.762944310328979</v>
      </c>
      <c r="AQ1243" s="6">
        <f t="shared" si="287"/>
        <v>138.8026001536916</v>
      </c>
      <c r="AR1243" s="2">
        <f t="shared" si="288"/>
        <v>-2.1301186875174403</v>
      </c>
      <c r="AS1243" s="2">
        <f t="shared" si="289"/>
        <v>-295.66601246338962</v>
      </c>
    </row>
    <row r="1244" spans="13:45" x14ac:dyDescent="0.3">
      <c r="M1244" s="78">
        <v>45045.65625</v>
      </c>
      <c r="N1244" s="79">
        <v>7.8721004823601295E-2</v>
      </c>
      <c r="O1244" s="5">
        <v>68.466857000000005</v>
      </c>
      <c r="P1244" s="2">
        <v>11131</v>
      </c>
      <c r="Q1244" s="7">
        <f t="shared" si="283"/>
        <v>185.51666666666668</v>
      </c>
      <c r="R1244" s="6">
        <f t="shared" si="284"/>
        <v>14.604058411525102</v>
      </c>
      <c r="S1244" s="6">
        <f t="shared" si="290"/>
        <v>138.06903697170361</v>
      </c>
      <c r="T1244" s="2">
        <f t="shared" si="291"/>
        <v>1</v>
      </c>
      <c r="U1244" s="6">
        <f t="shared" si="292"/>
        <v>138.06903697170361</v>
      </c>
      <c r="V1244">
        <f t="shared" si="293"/>
        <v>0</v>
      </c>
      <c r="W1244" s="6">
        <f t="shared" si="285"/>
        <v>0</v>
      </c>
      <c r="AK1244" s="78">
        <v>45044.65625</v>
      </c>
      <c r="AL1244" s="79">
        <v>7.6314674723988396E-2</v>
      </c>
      <c r="AM1244" s="5">
        <v>66.203758769999993</v>
      </c>
      <c r="AN1244" s="2">
        <v>12024</v>
      </c>
      <c r="AO1244" s="7">
        <f t="shared" si="282"/>
        <v>200.4</v>
      </c>
      <c r="AP1244" s="5">
        <f t="shared" si="286"/>
        <v>15.293460814687275</v>
      </c>
      <c r="AQ1244" s="6">
        <f t="shared" si="287"/>
        <v>141.22320732333662</v>
      </c>
      <c r="AR1244" s="2">
        <f t="shared" si="288"/>
        <v>-2.1301186875174403</v>
      </c>
      <c r="AS1244" s="2">
        <f t="shared" si="289"/>
        <v>-300.82219303058918</v>
      </c>
    </row>
    <row r="1245" spans="13:45" x14ac:dyDescent="0.3">
      <c r="M1245" s="78">
        <v>45045.666666666664</v>
      </c>
      <c r="N1245" s="79">
        <v>8.8995827415051507E-2</v>
      </c>
      <c r="O1245" s="5">
        <v>68.466857000000005</v>
      </c>
      <c r="P1245" s="2">
        <v>10953</v>
      </c>
      <c r="Q1245" s="7">
        <f t="shared" si="283"/>
        <v>182.55</v>
      </c>
      <c r="R1245" s="6">
        <f t="shared" si="284"/>
        <v>16.246188294617653</v>
      </c>
      <c r="S1245" s="6">
        <f t="shared" si="290"/>
        <v>145.46502758150413</v>
      </c>
      <c r="T1245" s="2">
        <f t="shared" si="291"/>
        <v>1</v>
      </c>
      <c r="U1245" s="6">
        <f t="shared" si="292"/>
        <v>145.46502758150413</v>
      </c>
      <c r="V1245">
        <f t="shared" si="293"/>
        <v>0.24764526063319275</v>
      </c>
      <c r="W1245" s="6">
        <f t="shared" si="285"/>
        <v>36.023724668436166</v>
      </c>
      <c r="AK1245" s="78">
        <v>45044.666666666664</v>
      </c>
      <c r="AL1245" s="79">
        <v>7.6194685381444305E-2</v>
      </c>
      <c r="AM1245" s="5">
        <v>63.469872090000003</v>
      </c>
      <c r="AN1245" s="2">
        <v>12656</v>
      </c>
      <c r="AO1245" s="7">
        <f t="shared" si="282"/>
        <v>210.93333333333334</v>
      </c>
      <c r="AP1245" s="5">
        <f t="shared" si="286"/>
        <v>16.071998969792652</v>
      </c>
      <c r="AQ1245" s="6">
        <f t="shared" si="287"/>
        <v>144.69916357508478</v>
      </c>
      <c r="AR1245" s="2">
        <f t="shared" si="288"/>
        <v>-2.1301186875174403</v>
      </c>
      <c r="AS1245" s="2">
        <f t="shared" si="289"/>
        <v>-308.22639239943101</v>
      </c>
    </row>
    <row r="1246" spans="13:45" x14ac:dyDescent="0.3">
      <c r="M1246" s="78">
        <v>45045.677083333336</v>
      </c>
      <c r="N1246" s="79">
        <v>7.8548624220501198E-2</v>
      </c>
      <c r="O1246" s="5">
        <v>71.622551369999996</v>
      </c>
      <c r="P1246" s="2">
        <v>10877</v>
      </c>
      <c r="Q1246" s="7">
        <f t="shared" si="283"/>
        <v>181.28333333333333</v>
      </c>
      <c r="R1246" s="6">
        <f t="shared" si="284"/>
        <v>14.239556427439858</v>
      </c>
      <c r="S1246" s="6">
        <f t="shared" si="290"/>
        <v>136.37061830658465</v>
      </c>
      <c r="T1246" s="2">
        <f t="shared" si="291"/>
        <v>1</v>
      </c>
      <c r="U1246" s="6">
        <f t="shared" si="292"/>
        <v>136.37061830658465</v>
      </c>
      <c r="V1246">
        <f t="shared" si="293"/>
        <v>0</v>
      </c>
      <c r="W1246" s="6">
        <f t="shared" si="285"/>
        <v>0</v>
      </c>
      <c r="AK1246" s="78">
        <v>45044.677083333336</v>
      </c>
      <c r="AL1246" s="79">
        <v>7.4508588064685799E-2</v>
      </c>
      <c r="AM1246" s="5">
        <v>60.440350530000003</v>
      </c>
      <c r="AN1246" s="2">
        <v>12416</v>
      </c>
      <c r="AO1246" s="7">
        <f t="shared" si="282"/>
        <v>206.93333333333334</v>
      </c>
      <c r="AP1246" s="5">
        <f t="shared" si="286"/>
        <v>15.418310490185648</v>
      </c>
      <c r="AQ1246" s="6">
        <f t="shared" si="287"/>
        <v>141.78660619207332</v>
      </c>
      <c r="AR1246" s="2">
        <f t="shared" si="288"/>
        <v>-2.1301186875174403</v>
      </c>
      <c r="AS1246" s="2">
        <f t="shared" si="289"/>
        <v>-302.02229948941141</v>
      </c>
    </row>
    <row r="1247" spans="13:45" x14ac:dyDescent="0.3">
      <c r="M1247" s="78">
        <v>45045.6875</v>
      </c>
      <c r="N1247" s="79">
        <v>8.0256261741240301E-2</v>
      </c>
      <c r="O1247" s="5">
        <v>70.720093730000002</v>
      </c>
      <c r="P1247" s="2">
        <v>11030</v>
      </c>
      <c r="Q1247" s="7">
        <f t="shared" si="283"/>
        <v>183.83333333333334</v>
      </c>
      <c r="R1247" s="6">
        <f t="shared" si="284"/>
        <v>14.753776116764676</v>
      </c>
      <c r="S1247" s="6">
        <f t="shared" si="290"/>
        <v>138.76038121319186</v>
      </c>
      <c r="T1247" s="2">
        <f t="shared" si="291"/>
        <v>1</v>
      </c>
      <c r="U1247" s="6">
        <f t="shared" si="292"/>
        <v>138.76038121319186</v>
      </c>
      <c r="V1247">
        <f t="shared" si="293"/>
        <v>0</v>
      </c>
      <c r="W1247" s="6">
        <f t="shared" si="285"/>
        <v>0</v>
      </c>
      <c r="AK1247" s="78">
        <v>45044.6875</v>
      </c>
      <c r="AL1247" s="79">
        <v>7.3541660144713694E-2</v>
      </c>
      <c r="AM1247" s="5">
        <v>66.203758769999993</v>
      </c>
      <c r="AN1247" s="2">
        <v>12431</v>
      </c>
      <c r="AO1247" s="7">
        <f t="shared" si="282"/>
        <v>207.18333333333334</v>
      </c>
      <c r="AP1247" s="5">
        <f t="shared" si="286"/>
        <v>15.236606287648932</v>
      </c>
      <c r="AQ1247" s="6">
        <f t="shared" si="287"/>
        <v>140.96586692273169</v>
      </c>
      <c r="AR1247" s="2">
        <f t="shared" si="288"/>
        <v>-2.1301186875174403</v>
      </c>
      <c r="AS1247" s="2">
        <f t="shared" si="289"/>
        <v>-300.27402743420737</v>
      </c>
    </row>
    <row r="1248" spans="13:45" x14ac:dyDescent="0.3">
      <c r="M1248" s="78">
        <v>45045.697916666664</v>
      </c>
      <c r="N1248" s="79">
        <v>7.9325771441061996E-2</v>
      </c>
      <c r="O1248" s="5">
        <v>70.720093730000002</v>
      </c>
      <c r="P1248" s="2">
        <v>10857</v>
      </c>
      <c r="Q1248" s="7">
        <f t="shared" si="283"/>
        <v>180.95</v>
      </c>
      <c r="R1248" s="6">
        <f t="shared" si="284"/>
        <v>14.353998342260168</v>
      </c>
      <c r="S1248" s="6">
        <f t="shared" si="290"/>
        <v>136.90623200502003</v>
      </c>
      <c r="T1248" s="2">
        <f t="shared" si="291"/>
        <v>1</v>
      </c>
      <c r="U1248" s="6">
        <f t="shared" si="292"/>
        <v>136.90623200502003</v>
      </c>
      <c r="V1248">
        <f t="shared" si="293"/>
        <v>0</v>
      </c>
      <c r="W1248" s="6">
        <f t="shared" si="285"/>
        <v>0</v>
      </c>
      <c r="AK1248" s="78">
        <v>45044.697916666664</v>
      </c>
      <c r="AL1248" s="79">
        <v>6.9552491283630002E-2</v>
      </c>
      <c r="AM1248" s="5">
        <v>63.469872090000003</v>
      </c>
      <c r="AN1248" s="2">
        <v>12648</v>
      </c>
      <c r="AO1248" s="7">
        <f t="shared" si="282"/>
        <v>210.8</v>
      </c>
      <c r="AP1248" s="5">
        <f t="shared" si="286"/>
        <v>14.661665162589205</v>
      </c>
      <c r="AQ1248" s="6">
        <f t="shared" si="287"/>
        <v>138.3354710474762</v>
      </c>
      <c r="AR1248" s="2">
        <f t="shared" si="288"/>
        <v>-2.1301186875174403</v>
      </c>
      <c r="AS1248" s="2">
        <f t="shared" si="289"/>
        <v>-294.67097202475685</v>
      </c>
    </row>
    <row r="1249" spans="13:45" x14ac:dyDescent="0.3">
      <c r="M1249" s="78">
        <v>45045.708333333336</v>
      </c>
      <c r="N1249" s="79">
        <v>8.1088945441434801E-2</v>
      </c>
      <c r="O1249" s="5">
        <v>71.622551369999996</v>
      </c>
      <c r="P1249" s="2">
        <v>11278</v>
      </c>
      <c r="Q1249" s="7">
        <f t="shared" si="283"/>
        <v>187.96666666666667</v>
      </c>
      <c r="R1249" s="6">
        <f t="shared" si="284"/>
        <v>15.242018778141695</v>
      </c>
      <c r="S1249" s="6">
        <f t="shared" si="290"/>
        <v>140.99038653586695</v>
      </c>
      <c r="T1249" s="2">
        <f t="shared" si="291"/>
        <v>1</v>
      </c>
      <c r="U1249" s="6">
        <f t="shared" si="292"/>
        <v>140.99038653586695</v>
      </c>
      <c r="V1249">
        <f t="shared" si="293"/>
        <v>6.3832572447513281E-2</v>
      </c>
      <c r="W1249" s="6">
        <f t="shared" si="285"/>
        <v>8.9997790629536283</v>
      </c>
      <c r="AK1249" s="78">
        <v>45044.708333333336</v>
      </c>
      <c r="AL1249" s="79">
        <v>7.7239799962004904E-2</v>
      </c>
      <c r="AM1249" s="5">
        <v>64.837941950000001</v>
      </c>
      <c r="AN1249" s="2">
        <v>12420</v>
      </c>
      <c r="AO1249" s="7">
        <f t="shared" si="282"/>
        <v>207</v>
      </c>
      <c r="AP1249" s="5">
        <f t="shared" si="286"/>
        <v>15.988638592135015</v>
      </c>
      <c r="AQ1249" s="6">
        <f t="shared" si="287"/>
        <v>144.33115175858691</v>
      </c>
      <c r="AR1249" s="2">
        <f t="shared" si="288"/>
        <v>-2.1301186875174403</v>
      </c>
      <c r="AS1249" s="2">
        <f t="shared" si="289"/>
        <v>-307.44248355188165</v>
      </c>
    </row>
    <row r="1250" spans="13:45" x14ac:dyDescent="0.3">
      <c r="M1250" s="78">
        <v>45045.71875</v>
      </c>
      <c r="N1250" s="79">
        <v>8.4554728034549401E-2</v>
      </c>
      <c r="O1250" s="5">
        <v>73.868067069999995</v>
      </c>
      <c r="P1250" s="2">
        <v>11007</v>
      </c>
      <c r="Q1250" s="7">
        <f t="shared" si="283"/>
        <v>183.45</v>
      </c>
      <c r="R1250" s="6">
        <f t="shared" si="284"/>
        <v>15.511564857938087</v>
      </c>
      <c r="S1250" s="6">
        <f t="shared" si="290"/>
        <v>142.20591019898797</v>
      </c>
      <c r="T1250" s="2">
        <f t="shared" si="291"/>
        <v>1</v>
      </c>
      <c r="U1250" s="6">
        <f t="shared" si="292"/>
        <v>142.20591019898797</v>
      </c>
      <c r="V1250">
        <f t="shared" si="293"/>
        <v>0.11317283691915707</v>
      </c>
      <c r="W1250" s="6">
        <f t="shared" si="285"/>
        <v>16.093846283890361</v>
      </c>
      <c r="AK1250" s="78">
        <v>45044.71875</v>
      </c>
      <c r="AL1250" s="79">
        <v>7.1668690783662795E-2</v>
      </c>
      <c r="AM1250" s="5">
        <v>64.837941950000001</v>
      </c>
      <c r="AN1250" s="2">
        <v>12617</v>
      </c>
      <c r="AO1250" s="7">
        <f t="shared" si="282"/>
        <v>210.28333333333333</v>
      </c>
      <c r="AP1250" s="5">
        <f t="shared" si="286"/>
        <v>15.070731193624558</v>
      </c>
      <c r="AQ1250" s="6">
        <f t="shared" si="287"/>
        <v>140.21225402616577</v>
      </c>
      <c r="AR1250" s="2">
        <f t="shared" si="288"/>
        <v>-2.1301186875174403</v>
      </c>
      <c r="AS1250" s="2">
        <f t="shared" si="289"/>
        <v>-298.66874252007813</v>
      </c>
    </row>
    <row r="1251" spans="13:45" x14ac:dyDescent="0.3">
      <c r="M1251" s="78">
        <v>45045.729166666664</v>
      </c>
      <c r="N1251" s="79">
        <v>7.7125121750898196E-2</v>
      </c>
      <c r="O1251" s="5">
        <v>76.544179459999995</v>
      </c>
      <c r="P1251" s="2">
        <v>11370</v>
      </c>
      <c r="Q1251" s="7">
        <f t="shared" si="283"/>
        <v>189.5</v>
      </c>
      <c r="R1251" s="6">
        <f t="shared" si="284"/>
        <v>14.615210571795208</v>
      </c>
      <c r="S1251" s="6">
        <f t="shared" si="290"/>
        <v>138.12065807069851</v>
      </c>
      <c r="T1251" s="2">
        <f t="shared" si="291"/>
        <v>1</v>
      </c>
      <c r="U1251" s="6">
        <f t="shared" si="292"/>
        <v>138.12065807069851</v>
      </c>
      <c r="V1251">
        <f t="shared" si="293"/>
        <v>0</v>
      </c>
      <c r="W1251" s="6">
        <f t="shared" si="285"/>
        <v>0</v>
      </c>
      <c r="AK1251" s="78">
        <v>45044.729166666664</v>
      </c>
      <c r="AL1251" s="79">
        <v>7.1045604928293093E-2</v>
      </c>
      <c r="AM1251" s="5">
        <v>63.462041390000003</v>
      </c>
      <c r="AN1251" s="2">
        <v>12592</v>
      </c>
      <c r="AO1251" s="7">
        <f t="shared" si="282"/>
        <v>209.86666666666667</v>
      </c>
      <c r="AP1251" s="5">
        <f t="shared" si="286"/>
        <v>14.910104287617777</v>
      </c>
      <c r="AQ1251" s="6">
        <f t="shared" si="287"/>
        <v>139.47844028016632</v>
      </c>
      <c r="AR1251" s="2">
        <f t="shared" si="288"/>
        <v>-2.1301186875174403</v>
      </c>
      <c r="AS1251" s="2">
        <f t="shared" si="289"/>
        <v>-297.10563214656759</v>
      </c>
    </row>
    <row r="1252" spans="13:45" x14ac:dyDescent="0.3">
      <c r="M1252" s="78">
        <v>45045.739583333336</v>
      </c>
      <c r="N1252" s="79">
        <v>8.1532599404366093E-2</v>
      </c>
      <c r="O1252" s="5">
        <v>74.764849499999997</v>
      </c>
      <c r="P1252" s="2">
        <v>11279</v>
      </c>
      <c r="Q1252" s="7">
        <f t="shared" si="283"/>
        <v>187.98333333333332</v>
      </c>
      <c r="R1252" s="6">
        <f t="shared" si="284"/>
        <v>15.326769811364086</v>
      </c>
      <c r="S1252" s="6">
        <f t="shared" si="290"/>
        <v>141.37374693968675</v>
      </c>
      <c r="T1252" s="2">
        <f t="shared" si="291"/>
        <v>1</v>
      </c>
      <c r="U1252" s="6">
        <f t="shared" si="292"/>
        <v>141.37374693968675</v>
      </c>
      <c r="V1252">
        <f t="shared" si="293"/>
        <v>7.9346203350980832E-2</v>
      </c>
      <c r="W1252" s="6">
        <f t="shared" si="285"/>
        <v>11.217470073166488</v>
      </c>
      <c r="AK1252" s="78">
        <v>45044.739583333336</v>
      </c>
      <c r="AL1252" s="79">
        <v>7.6118540921748398E-2</v>
      </c>
      <c r="AM1252" s="5">
        <v>66.195962919999999</v>
      </c>
      <c r="AN1252" s="2">
        <v>12163</v>
      </c>
      <c r="AO1252" s="7">
        <f t="shared" ref="AO1252:AO1315" si="294">AN1252/60</f>
        <v>202.71666666666667</v>
      </c>
      <c r="AP1252" s="5">
        <f t="shared" si="286"/>
        <v>15.430496887187097</v>
      </c>
      <c r="AQ1252" s="6">
        <f t="shared" si="287"/>
        <v>141.84147383324483</v>
      </c>
      <c r="AR1252" s="2">
        <f t="shared" si="288"/>
        <v>-2.1301186875174403</v>
      </c>
      <c r="AS1252" s="2">
        <f t="shared" si="289"/>
        <v>-302.13917407721084</v>
      </c>
    </row>
    <row r="1253" spans="13:45" x14ac:dyDescent="0.3">
      <c r="M1253" s="78">
        <v>45045.75</v>
      </c>
      <c r="N1253" s="79">
        <v>8.1861317067925196E-2</v>
      </c>
      <c r="O1253" s="5">
        <v>78.755362430000005</v>
      </c>
      <c r="P1253" s="2">
        <v>11184</v>
      </c>
      <c r="Q1253" s="7">
        <f t="shared" si="283"/>
        <v>186.4</v>
      </c>
      <c r="R1253" s="6">
        <f t="shared" si="284"/>
        <v>15.258949501461258</v>
      </c>
      <c r="S1253" s="6">
        <f t="shared" si="290"/>
        <v>141.06705726432966</v>
      </c>
      <c r="T1253" s="2">
        <f t="shared" si="291"/>
        <v>1</v>
      </c>
      <c r="U1253" s="6">
        <f t="shared" si="292"/>
        <v>141.06705726432966</v>
      </c>
      <c r="V1253">
        <f t="shared" si="293"/>
        <v>6.6931732216093359E-2</v>
      </c>
      <c r="W1253" s="6">
        <f t="shared" si="285"/>
        <v>9.441862501328421</v>
      </c>
      <c r="AK1253" s="78">
        <v>45044.75</v>
      </c>
      <c r="AL1253" s="79">
        <v>7.1949374029523006E-2</v>
      </c>
      <c r="AM1253" s="5">
        <v>66.195962919999999</v>
      </c>
      <c r="AN1253" s="2">
        <v>12294</v>
      </c>
      <c r="AO1253" s="7">
        <f t="shared" si="294"/>
        <v>204.9</v>
      </c>
      <c r="AP1253" s="5">
        <f t="shared" si="286"/>
        <v>14.742426738649264</v>
      </c>
      <c r="AQ1253" s="6">
        <f t="shared" si="287"/>
        <v>138.70809950963195</v>
      </c>
      <c r="AR1253" s="2">
        <f t="shared" si="288"/>
        <v>-2.1301186875174403</v>
      </c>
      <c r="AS1253" s="2">
        <f t="shared" si="289"/>
        <v>-295.4647148754957</v>
      </c>
    </row>
    <row r="1254" spans="13:45" x14ac:dyDescent="0.3">
      <c r="M1254" s="78">
        <v>45045.760416666664</v>
      </c>
      <c r="N1254" s="79">
        <v>7.9385220208819302E-2</v>
      </c>
      <c r="O1254" s="5">
        <v>77.435049230000004</v>
      </c>
      <c r="P1254" s="2">
        <v>10969</v>
      </c>
      <c r="Q1254" s="7">
        <f t="shared" si="283"/>
        <v>182.81666666666666</v>
      </c>
      <c r="R1254" s="6">
        <f t="shared" si="284"/>
        <v>14.512941341175649</v>
      </c>
      <c r="S1254" s="6">
        <f t="shared" si="290"/>
        <v>137.64651862106223</v>
      </c>
      <c r="T1254" s="2">
        <f t="shared" si="291"/>
        <v>1</v>
      </c>
      <c r="U1254" s="6">
        <f t="shared" si="292"/>
        <v>137.64651862106223</v>
      </c>
      <c r="V1254">
        <f t="shared" si="293"/>
        <v>0</v>
      </c>
      <c r="W1254" s="6">
        <f t="shared" si="285"/>
        <v>0</v>
      </c>
      <c r="AK1254" s="78">
        <v>45044.760416666664</v>
      </c>
      <c r="AL1254" s="79">
        <v>7.4968475923596595E-2</v>
      </c>
      <c r="AM1254" s="5">
        <v>65.743635260000005</v>
      </c>
      <c r="AN1254" s="2">
        <v>12348</v>
      </c>
      <c r="AO1254" s="7">
        <f t="shared" si="294"/>
        <v>205.8</v>
      </c>
      <c r="AP1254" s="5">
        <f t="shared" si="286"/>
        <v>15.428512345076181</v>
      </c>
      <c r="AQ1254" s="6">
        <f t="shared" si="287"/>
        <v>141.83254020247421</v>
      </c>
      <c r="AR1254" s="2">
        <f t="shared" si="288"/>
        <v>-2.1301186875174403</v>
      </c>
      <c r="AS1254" s="2">
        <f t="shared" si="289"/>
        <v>-302.12014438335893</v>
      </c>
    </row>
    <row r="1255" spans="13:45" x14ac:dyDescent="0.3">
      <c r="M1255" s="78">
        <v>45045.770833333336</v>
      </c>
      <c r="N1255" s="79">
        <v>8.4776788708176704E-2</v>
      </c>
      <c r="O1255" s="5">
        <v>75.208694050000005</v>
      </c>
      <c r="P1255" s="2">
        <v>11019</v>
      </c>
      <c r="Q1255" s="7">
        <f t="shared" si="283"/>
        <v>183.65</v>
      </c>
      <c r="R1255" s="6">
        <f t="shared" si="284"/>
        <v>15.569257246256653</v>
      </c>
      <c r="S1255" s="6">
        <f t="shared" si="290"/>
        <v>142.46467136067352</v>
      </c>
      <c r="T1255" s="2">
        <f t="shared" si="291"/>
        <v>1</v>
      </c>
      <c r="U1255" s="6">
        <f t="shared" si="292"/>
        <v>142.46467136067352</v>
      </c>
      <c r="V1255">
        <f t="shared" si="293"/>
        <v>0.12373339747262177</v>
      </c>
      <c r="W1255" s="6">
        <f t="shared" si="285"/>
        <v>17.627637807276653</v>
      </c>
      <c r="AK1255" s="78">
        <v>45044.770833333336</v>
      </c>
      <c r="AL1255" s="79">
        <v>6.9379994744353801E-2</v>
      </c>
      <c r="AM1255" s="5">
        <v>65.743635260000005</v>
      </c>
      <c r="AN1255" s="2">
        <v>12339</v>
      </c>
      <c r="AO1255" s="7">
        <f t="shared" si="294"/>
        <v>205.65</v>
      </c>
      <c r="AP1255" s="5">
        <f t="shared" si="286"/>
        <v>14.267995919176359</v>
      </c>
      <c r="AQ1255" s="6">
        <f t="shared" si="287"/>
        <v>136.50392597636721</v>
      </c>
      <c r="AR1255" s="2">
        <f t="shared" si="288"/>
        <v>-2.1301186875174403</v>
      </c>
      <c r="AS1255" s="2">
        <f t="shared" si="289"/>
        <v>-290.76956364175714</v>
      </c>
    </row>
    <row r="1256" spans="13:45" x14ac:dyDescent="0.3">
      <c r="M1256" s="78">
        <v>45045.78125</v>
      </c>
      <c r="N1256" s="79">
        <v>8.0032873043300701E-2</v>
      </c>
      <c r="O1256" s="5">
        <v>78.762941850000004</v>
      </c>
      <c r="P1256" s="2">
        <v>11042</v>
      </c>
      <c r="Q1256" s="7">
        <f t="shared" si="283"/>
        <v>184.03333333333333</v>
      </c>
      <c r="R1256" s="6">
        <f t="shared" si="284"/>
        <v>14.728716402402105</v>
      </c>
      <c r="S1256" s="6">
        <f t="shared" si="290"/>
        <v>138.64491448752383</v>
      </c>
      <c r="T1256" s="2">
        <f t="shared" si="291"/>
        <v>1</v>
      </c>
      <c r="U1256" s="6">
        <f t="shared" si="292"/>
        <v>138.64491448752383</v>
      </c>
      <c r="V1256">
        <f t="shared" si="293"/>
        <v>0</v>
      </c>
      <c r="W1256" s="6">
        <f t="shared" si="285"/>
        <v>0</v>
      </c>
      <c r="AK1256" s="78">
        <v>45044.78125</v>
      </c>
      <c r="AL1256" s="79">
        <v>7.1628758574706006E-2</v>
      </c>
      <c r="AM1256" s="5">
        <v>64.377553680000005</v>
      </c>
      <c r="AN1256" s="2">
        <v>12447</v>
      </c>
      <c r="AO1256" s="7">
        <f t="shared" si="294"/>
        <v>207.45</v>
      </c>
      <c r="AP1256" s="5">
        <f t="shared" si="286"/>
        <v>14.85938596632276</v>
      </c>
      <c r="AQ1256" s="6">
        <f t="shared" si="287"/>
        <v>139.24589967867956</v>
      </c>
      <c r="AR1256" s="2">
        <f t="shared" si="288"/>
        <v>-2.1301186875174403</v>
      </c>
      <c r="AS1256" s="2">
        <f t="shared" si="289"/>
        <v>-296.61029306573408</v>
      </c>
    </row>
    <row r="1257" spans="13:45" x14ac:dyDescent="0.3">
      <c r="M1257" s="78">
        <v>45045.791666666664</v>
      </c>
      <c r="N1257" s="79">
        <v>8.3194132546553098E-2</v>
      </c>
      <c r="O1257" s="5">
        <v>76.101800600000004</v>
      </c>
      <c r="P1257" s="2">
        <v>11219</v>
      </c>
      <c r="Q1257" s="7">
        <f t="shared" si="283"/>
        <v>186.98333333333332</v>
      </c>
      <c r="R1257" s="6">
        <f t="shared" si="284"/>
        <v>15.555916217329653</v>
      </c>
      <c r="S1257" s="6">
        <f t="shared" si="290"/>
        <v>142.40487789887882</v>
      </c>
      <c r="T1257" s="2">
        <f t="shared" si="291"/>
        <v>1</v>
      </c>
      <c r="U1257" s="6">
        <f t="shared" si="292"/>
        <v>142.40487789887882</v>
      </c>
      <c r="V1257">
        <f t="shared" si="293"/>
        <v>0.12129132932576074</v>
      </c>
      <c r="W1257" s="6">
        <f t="shared" si="285"/>
        <v>17.272476942827659</v>
      </c>
      <c r="AK1257" s="78">
        <v>45044.791666666664</v>
      </c>
      <c r="AL1257" s="79">
        <v>7.0011760014667496E-2</v>
      </c>
      <c r="AM1257" s="5">
        <v>64.377553680000005</v>
      </c>
      <c r="AN1257" s="2">
        <v>12825</v>
      </c>
      <c r="AO1257" s="7">
        <f t="shared" si="294"/>
        <v>213.75</v>
      </c>
      <c r="AP1257" s="5">
        <f t="shared" si="286"/>
        <v>14.965013703135178</v>
      </c>
      <c r="AQ1257" s="6">
        <f t="shared" si="287"/>
        <v>139.72974220152838</v>
      </c>
      <c r="AR1257" s="2">
        <f t="shared" si="288"/>
        <v>-2.1301186875174403</v>
      </c>
      <c r="AS1257" s="2">
        <f t="shared" si="289"/>
        <v>-297.64093506546993</v>
      </c>
    </row>
    <row r="1258" spans="13:45" x14ac:dyDescent="0.3">
      <c r="M1258" s="78">
        <v>45045.802083333336</v>
      </c>
      <c r="N1258" s="79">
        <v>7.92022928378769E-2</v>
      </c>
      <c r="O1258" s="5">
        <v>77.435049230000004</v>
      </c>
      <c r="P1258" s="2">
        <v>10945</v>
      </c>
      <c r="Q1258" s="7">
        <f t="shared" si="283"/>
        <v>182.41666666666666</v>
      </c>
      <c r="R1258" s="6">
        <f t="shared" si="284"/>
        <v>14.44781825184271</v>
      </c>
      <c r="S1258" s="6">
        <f t="shared" si="290"/>
        <v>137.34370670346635</v>
      </c>
      <c r="T1258" s="2">
        <f t="shared" si="291"/>
        <v>1</v>
      </c>
      <c r="U1258" s="6">
        <f t="shared" si="292"/>
        <v>137.34370670346635</v>
      </c>
      <c r="V1258">
        <f t="shared" si="293"/>
        <v>0</v>
      </c>
      <c r="W1258" s="6">
        <f t="shared" si="285"/>
        <v>0</v>
      </c>
      <c r="AK1258" s="78">
        <v>45044.802083333336</v>
      </c>
      <c r="AL1258" s="79">
        <v>6.9631695292255005E-2</v>
      </c>
      <c r="AM1258" s="5">
        <v>64.377553680000005</v>
      </c>
      <c r="AN1258" s="2">
        <v>12866</v>
      </c>
      <c r="AO1258" s="7">
        <f t="shared" si="294"/>
        <v>214.43333333333334</v>
      </c>
      <c r="AP1258" s="5">
        <f t="shared" si="286"/>
        <v>14.931356527169216</v>
      </c>
      <c r="AQ1258" s="6">
        <f t="shared" si="287"/>
        <v>139.57576055976176</v>
      </c>
      <c r="AR1258" s="2">
        <f t="shared" si="288"/>
        <v>-2.1301186875174403</v>
      </c>
      <c r="AS1258" s="2">
        <f t="shared" si="289"/>
        <v>-297.31293589280824</v>
      </c>
    </row>
    <row r="1259" spans="13:45" x14ac:dyDescent="0.3">
      <c r="M1259" s="78">
        <v>45045.8125</v>
      </c>
      <c r="N1259" s="79">
        <v>8.0948982078953804E-2</v>
      </c>
      <c r="O1259" s="5">
        <v>78.315517589999999</v>
      </c>
      <c r="P1259" s="2">
        <v>10838</v>
      </c>
      <c r="Q1259" s="7">
        <f t="shared" si="283"/>
        <v>180.63333333333333</v>
      </c>
      <c r="R1259" s="6">
        <f t="shared" si="284"/>
        <v>14.622084462861688</v>
      </c>
      <c r="S1259" s="6">
        <f t="shared" si="290"/>
        <v>138.15246591257838</v>
      </c>
      <c r="T1259" s="2">
        <f t="shared" si="291"/>
        <v>1</v>
      </c>
      <c r="U1259" s="6">
        <f t="shared" si="292"/>
        <v>138.15246591257838</v>
      </c>
      <c r="V1259">
        <f t="shared" si="293"/>
        <v>0</v>
      </c>
      <c r="W1259" s="6">
        <f t="shared" si="285"/>
        <v>0</v>
      </c>
      <c r="AK1259" s="78">
        <v>45044.8125</v>
      </c>
      <c r="AL1259" s="79">
        <v>7.0300202333955494E-2</v>
      </c>
      <c r="AM1259" s="5">
        <v>65.743635260000005</v>
      </c>
      <c r="AN1259" s="2">
        <v>13086</v>
      </c>
      <c r="AO1259" s="7">
        <f t="shared" si="294"/>
        <v>218.1</v>
      </c>
      <c r="AP1259" s="5">
        <f t="shared" si="286"/>
        <v>15.332474129035694</v>
      </c>
      <c r="AQ1259" s="6">
        <f t="shared" si="287"/>
        <v>141.39951078632814</v>
      </c>
      <c r="AR1259" s="2">
        <f t="shared" si="288"/>
        <v>-2.1301186875174403</v>
      </c>
      <c r="AS1259" s="2">
        <f t="shared" si="289"/>
        <v>-301.1977403317814</v>
      </c>
    </row>
    <row r="1260" spans="13:45" x14ac:dyDescent="0.3">
      <c r="M1260" s="78">
        <v>45045.822916666664</v>
      </c>
      <c r="N1260" s="79">
        <v>8.1462762324401403E-2</v>
      </c>
      <c r="O1260" s="5">
        <v>76.101800600000004</v>
      </c>
      <c r="P1260" s="2">
        <v>10791</v>
      </c>
      <c r="Q1260" s="7">
        <f t="shared" si="283"/>
        <v>179.85</v>
      </c>
      <c r="R1260" s="6">
        <f t="shared" si="284"/>
        <v>14.651077804043592</v>
      </c>
      <c r="S1260" s="6">
        <f t="shared" si="290"/>
        <v>138.28654411137907</v>
      </c>
      <c r="T1260" s="2">
        <f t="shared" si="291"/>
        <v>1</v>
      </c>
      <c r="U1260" s="6">
        <f t="shared" si="292"/>
        <v>138.28654411137907</v>
      </c>
      <c r="V1260">
        <f t="shared" si="293"/>
        <v>0</v>
      </c>
      <c r="W1260" s="6">
        <f t="shared" si="285"/>
        <v>0</v>
      </c>
      <c r="AK1260" s="78">
        <v>45044.822916666664</v>
      </c>
      <c r="AL1260" s="79">
        <v>7.4975336847370996E-2</v>
      </c>
      <c r="AM1260" s="5">
        <v>63.462041390000003</v>
      </c>
      <c r="AN1260" s="2">
        <v>12975</v>
      </c>
      <c r="AO1260" s="7">
        <f t="shared" si="294"/>
        <v>216.25</v>
      </c>
      <c r="AP1260" s="5">
        <f t="shared" si="286"/>
        <v>16.213416593243977</v>
      </c>
      <c r="AQ1260" s="6">
        <f t="shared" si="287"/>
        <v>145.32126035343614</v>
      </c>
      <c r="AR1260" s="2">
        <f t="shared" si="288"/>
        <v>-2.1301186875174403</v>
      </c>
      <c r="AS1260" s="2">
        <f t="shared" si="289"/>
        <v>-309.55153237244161</v>
      </c>
    </row>
    <row r="1261" spans="13:45" x14ac:dyDescent="0.3">
      <c r="M1261" s="78">
        <v>45045.833333333336</v>
      </c>
      <c r="N1261" s="79">
        <v>8.16362890697689E-2</v>
      </c>
      <c r="O1261" s="5">
        <v>79.641055789999996</v>
      </c>
      <c r="P1261" s="2">
        <v>11395</v>
      </c>
      <c r="Q1261" s="7">
        <f t="shared" si="283"/>
        <v>189.91666666666666</v>
      </c>
      <c r="R1261" s="6">
        <f t="shared" si="284"/>
        <v>15.504091899166943</v>
      </c>
      <c r="S1261" s="6">
        <f t="shared" si="290"/>
        <v>142.1723566766303</v>
      </c>
      <c r="T1261" s="2">
        <f t="shared" si="291"/>
        <v>1</v>
      </c>
      <c r="U1261" s="6">
        <f t="shared" si="292"/>
        <v>142.1723566766303</v>
      </c>
      <c r="V1261">
        <f t="shared" si="293"/>
        <v>0.11180491584817558</v>
      </c>
      <c r="W1261" s="6">
        <f t="shared" si="285"/>
        <v>15.895568374167453</v>
      </c>
      <c r="AK1261" s="78">
        <v>45044.833333333336</v>
      </c>
      <c r="AL1261" s="79">
        <v>7.4236150606246401E-2</v>
      </c>
      <c r="AM1261" s="5">
        <v>67.106545600000004</v>
      </c>
      <c r="AN1261" s="2">
        <v>13160</v>
      </c>
      <c r="AO1261" s="7">
        <f t="shared" si="294"/>
        <v>219.33333333333334</v>
      </c>
      <c r="AP1261" s="5">
        <f t="shared" si="286"/>
        <v>16.282462366303378</v>
      </c>
      <c r="AQ1261" s="6">
        <f t="shared" si="287"/>
        <v>145.62398701826513</v>
      </c>
      <c r="AR1261" s="2">
        <f t="shared" si="288"/>
        <v>-2.1301186875174403</v>
      </c>
      <c r="AS1261" s="2">
        <f t="shared" si="289"/>
        <v>-310.19637609840368</v>
      </c>
    </row>
    <row r="1262" spans="13:45" x14ac:dyDescent="0.3">
      <c r="M1262" s="78">
        <v>45045.84375</v>
      </c>
      <c r="N1262" s="79">
        <v>7.9393177962847797E-2</v>
      </c>
      <c r="O1262" s="5">
        <v>79.641055789999996</v>
      </c>
      <c r="P1262" s="2">
        <v>11086</v>
      </c>
      <c r="Q1262" s="7">
        <f t="shared" si="283"/>
        <v>184.76666666666668</v>
      </c>
      <c r="R1262" s="6">
        <f t="shared" si="284"/>
        <v>14.669212848268845</v>
      </c>
      <c r="S1262" s="6">
        <f t="shared" si="290"/>
        <v>138.37033985803805</v>
      </c>
      <c r="T1262" s="2">
        <f t="shared" si="291"/>
        <v>1</v>
      </c>
      <c r="U1262" s="6">
        <f t="shared" si="292"/>
        <v>138.37033985803805</v>
      </c>
      <c r="V1262">
        <f t="shared" si="293"/>
        <v>0</v>
      </c>
      <c r="W1262" s="6">
        <f t="shared" si="285"/>
        <v>0</v>
      </c>
      <c r="AK1262" s="78">
        <v>45044.84375</v>
      </c>
      <c r="AL1262" s="79">
        <v>7.5320224300604602E-2</v>
      </c>
      <c r="AM1262" s="5">
        <v>65.743635260000005</v>
      </c>
      <c r="AN1262" s="2">
        <v>12713</v>
      </c>
      <c r="AO1262" s="7">
        <f t="shared" si="294"/>
        <v>211.88333333333333</v>
      </c>
      <c r="AP1262" s="5">
        <f t="shared" si="286"/>
        <v>15.959100192226439</v>
      </c>
      <c r="AQ1262" s="6">
        <f t="shared" si="287"/>
        <v>144.20051345824479</v>
      </c>
      <c r="AR1262" s="2">
        <f t="shared" si="288"/>
        <v>-2.1301186875174403</v>
      </c>
      <c r="AS1262" s="2">
        <f t="shared" si="289"/>
        <v>-307.16420846701737</v>
      </c>
    </row>
    <row r="1263" spans="13:45" x14ac:dyDescent="0.3">
      <c r="M1263" s="78">
        <v>45045.854166666664</v>
      </c>
      <c r="N1263" s="79">
        <v>7.7404925303168198E-2</v>
      </c>
      <c r="O1263" s="5">
        <v>76.094169239999999</v>
      </c>
      <c r="P1263" s="2">
        <v>11349</v>
      </c>
      <c r="Q1263" s="7">
        <f t="shared" si="283"/>
        <v>189.15</v>
      </c>
      <c r="R1263" s="6">
        <f t="shared" si="284"/>
        <v>14.641141621094265</v>
      </c>
      <c r="S1263" s="6">
        <f t="shared" si="290"/>
        <v>138.24061001245124</v>
      </c>
      <c r="T1263" s="2">
        <f t="shared" si="291"/>
        <v>1</v>
      </c>
      <c r="U1263" s="6">
        <f t="shared" si="292"/>
        <v>138.24061001245124</v>
      </c>
      <c r="V1263">
        <f t="shared" si="293"/>
        <v>0</v>
      </c>
      <c r="W1263" s="6">
        <f t="shared" si="285"/>
        <v>0</v>
      </c>
      <c r="AK1263" s="78">
        <v>45044.854166666664</v>
      </c>
      <c r="AL1263" s="79">
        <v>7.2998786883927094E-2</v>
      </c>
      <c r="AM1263" s="5">
        <v>68.008627450000006</v>
      </c>
      <c r="AN1263" s="2">
        <v>12736</v>
      </c>
      <c r="AO1263" s="7">
        <f t="shared" si="294"/>
        <v>212.26666666666668</v>
      </c>
      <c r="AP1263" s="5">
        <f t="shared" si="286"/>
        <v>15.495209162561592</v>
      </c>
      <c r="AQ1263" s="6">
        <f t="shared" si="287"/>
        <v>142.13246252656924</v>
      </c>
      <c r="AR1263" s="2">
        <f t="shared" si="288"/>
        <v>-2.1301186875174403</v>
      </c>
      <c r="AS1263" s="2">
        <f t="shared" si="289"/>
        <v>-302.75901453071742</v>
      </c>
    </row>
    <row r="1264" spans="13:45" x14ac:dyDescent="0.3">
      <c r="M1264" s="78">
        <v>45045.864583333336</v>
      </c>
      <c r="N1264" s="79">
        <v>7.4320615957870401E-2</v>
      </c>
      <c r="O1264" s="5">
        <v>79.641055789999996</v>
      </c>
      <c r="P1264" s="2">
        <v>11212</v>
      </c>
      <c r="Q1264" s="7">
        <f t="shared" si="283"/>
        <v>186.86666666666667</v>
      </c>
      <c r="R1264" s="6">
        <f t="shared" si="284"/>
        <v>13.888045768660715</v>
      </c>
      <c r="S1264" s="6">
        <f t="shared" si="290"/>
        <v>134.71158886835696</v>
      </c>
      <c r="T1264" s="2">
        <f t="shared" si="291"/>
        <v>1</v>
      </c>
      <c r="U1264" s="6">
        <f t="shared" si="292"/>
        <v>134.71158886835696</v>
      </c>
      <c r="V1264">
        <f t="shared" si="293"/>
        <v>0</v>
      </c>
      <c r="W1264" s="6">
        <f t="shared" si="285"/>
        <v>0</v>
      </c>
      <c r="AK1264" s="78">
        <v>45044.864583333336</v>
      </c>
      <c r="AL1264" s="79">
        <v>7.0575464542051894E-2</v>
      </c>
      <c r="AM1264" s="5">
        <v>66.647934039999996</v>
      </c>
      <c r="AN1264" s="2">
        <v>12795</v>
      </c>
      <c r="AO1264" s="7">
        <f t="shared" si="294"/>
        <v>213.25</v>
      </c>
      <c r="AP1264" s="5">
        <f t="shared" si="286"/>
        <v>15.050217813592566</v>
      </c>
      <c r="AQ1264" s="6">
        <f t="shared" si="287"/>
        <v>140.11876300946466</v>
      </c>
      <c r="AR1264" s="2">
        <f t="shared" si="288"/>
        <v>-2.1301186875174403</v>
      </c>
      <c r="AS1264" s="2">
        <f t="shared" si="289"/>
        <v>-298.46959555828812</v>
      </c>
    </row>
    <row r="1265" spans="13:45" x14ac:dyDescent="0.3">
      <c r="M1265" s="78">
        <v>45045.875</v>
      </c>
      <c r="N1265" s="79">
        <v>7.60665099500486E-2</v>
      </c>
      <c r="O1265" s="5">
        <v>76.094169239999999</v>
      </c>
      <c r="P1265" s="2">
        <v>11309</v>
      </c>
      <c r="Q1265" s="7">
        <f t="shared" si="283"/>
        <v>188.48333333333332</v>
      </c>
      <c r="R1265" s="6">
        <f t="shared" si="284"/>
        <v>14.337269350418326</v>
      </c>
      <c r="S1265" s="6">
        <f t="shared" si="290"/>
        <v>136.82807293184703</v>
      </c>
      <c r="T1265" s="2">
        <f t="shared" si="291"/>
        <v>1</v>
      </c>
      <c r="U1265" s="6">
        <f t="shared" si="292"/>
        <v>136.82807293184703</v>
      </c>
      <c r="V1265">
        <f t="shared" si="293"/>
        <v>0</v>
      </c>
      <c r="W1265" s="6">
        <f t="shared" si="285"/>
        <v>0</v>
      </c>
      <c r="AK1265" s="78">
        <v>45044.875</v>
      </c>
      <c r="AL1265" s="79">
        <v>7.1245837352199901E-2</v>
      </c>
      <c r="AM1265" s="5">
        <v>65.743635260000005</v>
      </c>
      <c r="AN1265" s="2">
        <v>12633</v>
      </c>
      <c r="AO1265" s="7">
        <f t="shared" si="294"/>
        <v>210.55</v>
      </c>
      <c r="AP1265" s="5">
        <f t="shared" si="286"/>
        <v>15.000811054505689</v>
      </c>
      <c r="AQ1265" s="6">
        <f t="shared" si="287"/>
        <v>139.89332133744554</v>
      </c>
      <c r="AR1265" s="2">
        <f t="shared" si="288"/>
        <v>-2.1301186875174403</v>
      </c>
      <c r="AS1265" s="2">
        <f t="shared" si="289"/>
        <v>-297.98937803977503</v>
      </c>
    </row>
    <row r="1266" spans="13:45" x14ac:dyDescent="0.3">
      <c r="M1266" s="78">
        <v>45045.885416666664</v>
      </c>
      <c r="N1266" s="79">
        <v>7.3318079802105293E-2</v>
      </c>
      <c r="O1266" s="5">
        <v>72.977848870000003</v>
      </c>
      <c r="P1266" s="2">
        <v>11911</v>
      </c>
      <c r="Q1266" s="7">
        <f t="shared" si="283"/>
        <v>198.51666666666668</v>
      </c>
      <c r="R1266" s="6">
        <f t="shared" si="284"/>
        <v>14.554860808714604</v>
      </c>
      <c r="S1266" s="6">
        <f t="shared" si="290"/>
        <v>137.84107072590069</v>
      </c>
      <c r="T1266" s="2">
        <f t="shared" si="291"/>
        <v>1</v>
      </c>
      <c r="U1266" s="6">
        <f t="shared" si="292"/>
        <v>137.84107072590069</v>
      </c>
      <c r="V1266">
        <f t="shared" si="293"/>
        <v>0</v>
      </c>
      <c r="W1266" s="6">
        <f t="shared" si="285"/>
        <v>0</v>
      </c>
      <c r="AK1266" s="78">
        <v>45044.885416666664</v>
      </c>
      <c r="AL1266" s="79">
        <v>7.2379708153194097E-2</v>
      </c>
      <c r="AM1266" s="5">
        <v>65.743635260000005</v>
      </c>
      <c r="AN1266" s="2">
        <v>12631</v>
      </c>
      <c r="AO1266" s="7">
        <f t="shared" si="294"/>
        <v>210.51666666666668</v>
      </c>
      <c r="AP1266" s="5">
        <f t="shared" si="286"/>
        <v>15.237134894716577</v>
      </c>
      <c r="AQ1266" s="6">
        <f t="shared" si="287"/>
        <v>140.96826180928852</v>
      </c>
      <c r="AR1266" s="2">
        <f t="shared" si="288"/>
        <v>-2.1301186875174403</v>
      </c>
      <c r="AS1266" s="2">
        <f t="shared" si="289"/>
        <v>-300.27912882681659</v>
      </c>
    </row>
    <row r="1267" spans="13:45" x14ac:dyDescent="0.3">
      <c r="M1267" s="78">
        <v>45045.895833333336</v>
      </c>
      <c r="N1267" s="79">
        <v>7.4413353830867807E-2</v>
      </c>
      <c r="O1267" s="5">
        <v>75.208694050000005</v>
      </c>
      <c r="P1267" s="2">
        <v>11516</v>
      </c>
      <c r="Q1267" s="7">
        <f t="shared" si="283"/>
        <v>191.93333333333334</v>
      </c>
      <c r="R1267" s="6">
        <f t="shared" si="284"/>
        <v>14.282403045271227</v>
      </c>
      <c r="S1267" s="6">
        <f t="shared" si="290"/>
        <v>136.57140639663976</v>
      </c>
      <c r="T1267" s="2">
        <f t="shared" si="291"/>
        <v>1</v>
      </c>
      <c r="U1267" s="6">
        <f t="shared" si="292"/>
        <v>136.57140639663976</v>
      </c>
      <c r="V1267">
        <f t="shared" si="293"/>
        <v>0</v>
      </c>
      <c r="W1267" s="6">
        <f t="shared" si="285"/>
        <v>0</v>
      </c>
      <c r="AK1267" s="78">
        <v>45044.895833333336</v>
      </c>
      <c r="AL1267" s="79">
        <v>7.2019314847678303E-2</v>
      </c>
      <c r="AM1267" s="5">
        <v>66.655723199999997</v>
      </c>
      <c r="AN1267" s="2">
        <v>12632</v>
      </c>
      <c r="AO1267" s="7">
        <f t="shared" si="294"/>
        <v>210.53333333333333</v>
      </c>
      <c r="AP1267" s="5">
        <f t="shared" si="286"/>
        <v>15.162466419264538</v>
      </c>
      <c r="AQ1267" s="6">
        <f t="shared" si="287"/>
        <v>140.62955070012072</v>
      </c>
      <c r="AR1267" s="2">
        <f t="shared" si="288"/>
        <v>-2.1301186875174403</v>
      </c>
      <c r="AS1267" s="2">
        <f t="shared" si="289"/>
        <v>-299.55763396350847</v>
      </c>
    </row>
    <row r="1268" spans="13:45" x14ac:dyDescent="0.3">
      <c r="M1268" s="78">
        <v>45045.90625</v>
      </c>
      <c r="N1268" s="79">
        <v>7.3029224470354703E-2</v>
      </c>
      <c r="O1268" s="5">
        <v>75.208694050000005</v>
      </c>
      <c r="P1268" s="2">
        <v>11731</v>
      </c>
      <c r="Q1268" s="7">
        <f t="shared" si="283"/>
        <v>195.51666666666668</v>
      </c>
      <c r="R1268" s="6">
        <f t="shared" si="284"/>
        <v>14.278430537695519</v>
      </c>
      <c r="S1268" s="6">
        <f t="shared" si="290"/>
        <v>136.55280334638573</v>
      </c>
      <c r="T1268" s="2">
        <f t="shared" si="291"/>
        <v>1</v>
      </c>
      <c r="U1268" s="6">
        <f t="shared" si="292"/>
        <v>136.55280334638573</v>
      </c>
      <c r="V1268">
        <f t="shared" si="293"/>
        <v>0</v>
      </c>
      <c r="W1268" s="6">
        <f t="shared" si="285"/>
        <v>0</v>
      </c>
      <c r="AK1268" s="78">
        <v>45044.90625</v>
      </c>
      <c r="AL1268" s="79">
        <v>7.1200886522164594E-2</v>
      </c>
      <c r="AM1268" s="5">
        <v>68.916923760000003</v>
      </c>
      <c r="AN1268" s="2">
        <v>12685</v>
      </c>
      <c r="AO1268" s="7">
        <f t="shared" si="294"/>
        <v>211.41666666666666</v>
      </c>
      <c r="AP1268" s="5">
        <f t="shared" si="286"/>
        <v>15.053054092227631</v>
      </c>
      <c r="AQ1268" s="6">
        <f t="shared" si="287"/>
        <v>140.13169339951489</v>
      </c>
      <c r="AR1268" s="2">
        <f t="shared" si="288"/>
        <v>-2.1301186875174403</v>
      </c>
      <c r="AS1268" s="2">
        <f t="shared" si="289"/>
        <v>-298.49713882377102</v>
      </c>
    </row>
    <row r="1269" spans="13:45" x14ac:dyDescent="0.3">
      <c r="M1269" s="78">
        <v>45045.916666666664</v>
      </c>
      <c r="N1269" s="79">
        <v>7.4616546290461896E-2</v>
      </c>
      <c r="O1269" s="5">
        <v>77.435049230000004</v>
      </c>
      <c r="P1269" s="2">
        <v>11378</v>
      </c>
      <c r="Q1269" s="7">
        <f t="shared" si="283"/>
        <v>189.63333333333333</v>
      </c>
      <c r="R1269" s="6">
        <f t="shared" si="284"/>
        <v>14.149784394881257</v>
      </c>
      <c r="S1269" s="6">
        <f t="shared" si="290"/>
        <v>135.94892591470372</v>
      </c>
      <c r="T1269" s="2">
        <f t="shared" si="291"/>
        <v>1</v>
      </c>
      <c r="U1269" s="6">
        <f t="shared" si="292"/>
        <v>135.94892591470372</v>
      </c>
      <c r="V1269">
        <f t="shared" si="293"/>
        <v>0</v>
      </c>
      <c r="W1269" s="6">
        <f t="shared" si="285"/>
        <v>0</v>
      </c>
      <c r="AK1269" s="78">
        <v>45044.916666666664</v>
      </c>
      <c r="AL1269" s="79">
        <v>7.1287967491424506E-2</v>
      </c>
      <c r="AM1269" s="5">
        <v>68.016396760000006</v>
      </c>
      <c r="AN1269" s="2">
        <v>12512</v>
      </c>
      <c r="AO1269" s="7">
        <f t="shared" si="294"/>
        <v>208.53333333333333</v>
      </c>
      <c r="AP1269" s="5">
        <f t="shared" si="286"/>
        <v>14.865917487545056</v>
      </c>
      <c r="AQ1269" s="6">
        <f t="shared" si="287"/>
        <v>139.2758690269886</v>
      </c>
      <c r="AR1269" s="2">
        <f t="shared" si="288"/>
        <v>-2.1301186875174403</v>
      </c>
      <c r="AS1269" s="2">
        <f t="shared" si="289"/>
        <v>-296.67413133461986</v>
      </c>
    </row>
    <row r="1270" spans="13:45" x14ac:dyDescent="0.3">
      <c r="M1270" s="78">
        <v>45045.927083333336</v>
      </c>
      <c r="N1270" s="79">
        <v>7.20888397245351E-2</v>
      </c>
      <c r="O1270" s="5">
        <v>75.208694050000005</v>
      </c>
      <c r="P1270" s="2">
        <v>11615</v>
      </c>
      <c r="Q1270" s="7">
        <f t="shared" si="283"/>
        <v>193.58333333333334</v>
      </c>
      <c r="R1270" s="6">
        <f t="shared" si="284"/>
        <v>13.95519789000792</v>
      </c>
      <c r="S1270" s="6">
        <f t="shared" si="290"/>
        <v>135.03016910933741</v>
      </c>
      <c r="T1270" s="2">
        <f t="shared" si="291"/>
        <v>1</v>
      </c>
      <c r="U1270" s="6">
        <f t="shared" si="292"/>
        <v>135.03016910933741</v>
      </c>
      <c r="V1270">
        <f t="shared" si="293"/>
        <v>0</v>
      </c>
      <c r="W1270" s="6">
        <f t="shared" si="285"/>
        <v>0</v>
      </c>
      <c r="AK1270" s="78">
        <v>45044.927083333336</v>
      </c>
      <c r="AL1270" s="79">
        <v>7.2224541769461206E-2</v>
      </c>
      <c r="AM1270" s="5">
        <v>66.655723199999997</v>
      </c>
      <c r="AN1270" s="2">
        <v>13039</v>
      </c>
      <c r="AO1270" s="7">
        <f t="shared" si="294"/>
        <v>217.31666666666666</v>
      </c>
      <c r="AP1270" s="5">
        <f t="shared" si="286"/>
        <v>15.695596668866743</v>
      </c>
      <c r="AQ1270" s="6">
        <f t="shared" si="287"/>
        <v>143.02962371049722</v>
      </c>
      <c r="AR1270" s="2">
        <f t="shared" si="288"/>
        <v>-2.1301186875174403</v>
      </c>
      <c r="AS1270" s="2">
        <f t="shared" si="289"/>
        <v>-304.67007433431769</v>
      </c>
    </row>
    <row r="1271" spans="13:45" x14ac:dyDescent="0.3">
      <c r="M1271" s="78">
        <v>45045.9375</v>
      </c>
      <c r="N1271" s="79">
        <v>7.4054039122413901E-2</v>
      </c>
      <c r="O1271" s="5">
        <v>76.544179459999995</v>
      </c>
      <c r="P1271" s="2">
        <v>11773</v>
      </c>
      <c r="Q1271" s="7">
        <f t="shared" si="283"/>
        <v>196.21666666666667</v>
      </c>
      <c r="R1271" s="6">
        <f t="shared" si="284"/>
        <v>14.53063670980298</v>
      </c>
      <c r="S1271" s="6">
        <f t="shared" si="290"/>
        <v>137.72867938389746</v>
      </c>
      <c r="T1271" s="2">
        <f t="shared" si="291"/>
        <v>1</v>
      </c>
      <c r="U1271" s="6">
        <f t="shared" si="292"/>
        <v>137.72867938389746</v>
      </c>
      <c r="V1271">
        <f t="shared" si="293"/>
        <v>0</v>
      </c>
      <c r="W1271" s="6">
        <f t="shared" si="285"/>
        <v>0</v>
      </c>
      <c r="AK1271" s="78">
        <v>45044.9375</v>
      </c>
      <c r="AL1271" s="79">
        <v>7.7222316877350497E-2</v>
      </c>
      <c r="AM1271" s="5">
        <v>65.743635260000005</v>
      </c>
      <c r="AN1271" s="2">
        <v>12882</v>
      </c>
      <c r="AO1271" s="7">
        <f t="shared" si="294"/>
        <v>214.7</v>
      </c>
      <c r="AP1271" s="5">
        <f t="shared" si="286"/>
        <v>16.579631433567151</v>
      </c>
      <c r="AQ1271" s="6">
        <f t="shared" si="287"/>
        <v>146.91948842898853</v>
      </c>
      <c r="AR1271" s="2">
        <f t="shared" si="288"/>
        <v>-2.1301186875174403</v>
      </c>
      <c r="AS1271" s="2">
        <f t="shared" si="289"/>
        <v>-312.95594786309078</v>
      </c>
    </row>
    <row r="1272" spans="13:45" x14ac:dyDescent="0.3">
      <c r="M1272" s="78">
        <v>45045.947916666664</v>
      </c>
      <c r="N1272" s="79">
        <v>7.1971402886851901E-2</v>
      </c>
      <c r="O1272" s="5">
        <v>75.208694050000005</v>
      </c>
      <c r="P1272" s="2">
        <v>12344</v>
      </c>
      <c r="Q1272" s="7">
        <f t="shared" si="283"/>
        <v>205.73333333333332</v>
      </c>
      <c r="R1272" s="6">
        <f t="shared" si="284"/>
        <v>14.80691662058833</v>
      </c>
      <c r="S1272" s="6">
        <f t="shared" si="290"/>
        <v>139.00490408475952</v>
      </c>
      <c r="T1272" s="2">
        <f t="shared" si="291"/>
        <v>1</v>
      </c>
      <c r="U1272" s="6">
        <f t="shared" si="292"/>
        <v>139.00490408475952</v>
      </c>
      <c r="V1272">
        <f t="shared" si="293"/>
        <v>0</v>
      </c>
      <c r="W1272" s="6">
        <f t="shared" si="285"/>
        <v>0</v>
      </c>
      <c r="AK1272" s="78">
        <v>45044.947916666664</v>
      </c>
      <c r="AL1272" s="79">
        <v>7.3551934267280406E-2</v>
      </c>
      <c r="AM1272" s="5">
        <v>68.016396760000006</v>
      </c>
      <c r="AN1272" s="2">
        <v>12405</v>
      </c>
      <c r="AO1272" s="7">
        <f t="shared" si="294"/>
        <v>206.75</v>
      </c>
      <c r="AP1272" s="5">
        <f t="shared" si="286"/>
        <v>15.206862409760223</v>
      </c>
      <c r="AQ1272" s="6">
        <f t="shared" si="287"/>
        <v>140.83104209016071</v>
      </c>
      <c r="AR1272" s="2">
        <f t="shared" si="288"/>
        <v>-2.1301186875174403</v>
      </c>
      <c r="AS1272" s="2">
        <f t="shared" si="289"/>
        <v>-299.98683453880653</v>
      </c>
    </row>
    <row r="1273" spans="13:45" x14ac:dyDescent="0.3">
      <c r="M1273" s="78">
        <v>45045.958333333336</v>
      </c>
      <c r="N1273" s="79">
        <v>7.9876743825413904E-2</v>
      </c>
      <c r="O1273" s="5">
        <v>72.523974480000007</v>
      </c>
      <c r="P1273" s="2">
        <v>11896</v>
      </c>
      <c r="Q1273" s="7">
        <f t="shared" si="283"/>
        <v>198.26666666666668</v>
      </c>
      <c r="R1273" s="6">
        <f t="shared" si="284"/>
        <v>15.836895742452064</v>
      </c>
      <c r="S1273" s="6">
        <f t="shared" si="290"/>
        <v>143.6587290593171</v>
      </c>
      <c r="T1273" s="2">
        <f t="shared" si="291"/>
        <v>1</v>
      </c>
      <c r="U1273" s="6">
        <f t="shared" si="292"/>
        <v>143.6587290593171</v>
      </c>
      <c r="V1273">
        <f t="shared" si="293"/>
        <v>0.17272447979535349</v>
      </c>
      <c r="W1273" s="6">
        <f t="shared" si="285"/>
        <v>24.813379244832177</v>
      </c>
      <c r="AK1273" s="78">
        <v>45044.958333333336</v>
      </c>
      <c r="AL1273" s="79">
        <v>7.0649735259539798E-2</v>
      </c>
      <c r="AM1273" s="5">
        <v>68.016396760000006</v>
      </c>
      <c r="AN1273" s="2">
        <v>12756</v>
      </c>
      <c r="AO1273" s="7">
        <f t="shared" si="294"/>
        <v>212.6</v>
      </c>
      <c r="AP1273" s="5">
        <f t="shared" si="286"/>
        <v>15.02013371617816</v>
      </c>
      <c r="AQ1273" s="6">
        <f t="shared" si="287"/>
        <v>139.98153515715691</v>
      </c>
      <c r="AR1273" s="2">
        <f t="shared" si="288"/>
        <v>-2.1301186875174403</v>
      </c>
      <c r="AS1273" s="2">
        <f t="shared" si="289"/>
        <v>-298.17728394563949</v>
      </c>
    </row>
    <row r="1274" spans="13:45" x14ac:dyDescent="0.3">
      <c r="M1274" s="78">
        <v>45045.96875</v>
      </c>
      <c r="N1274" s="79">
        <v>7.7227054931593098E-2</v>
      </c>
      <c r="O1274" s="5">
        <v>76.094169239999999</v>
      </c>
      <c r="P1274" s="2">
        <v>11608</v>
      </c>
      <c r="Q1274" s="7">
        <f t="shared" si="283"/>
        <v>193.46666666666667</v>
      </c>
      <c r="R1274" s="6">
        <f t="shared" si="284"/>
        <v>14.940860894098877</v>
      </c>
      <c r="S1274" s="6">
        <f t="shared" si="290"/>
        <v>139.61926098656261</v>
      </c>
      <c r="T1274" s="2">
        <f t="shared" si="291"/>
        <v>1</v>
      </c>
      <c r="U1274" s="6">
        <f t="shared" si="292"/>
        <v>139.61926098656261</v>
      </c>
      <c r="V1274">
        <f t="shared" si="293"/>
        <v>8.7057842648859546E-3</v>
      </c>
      <c r="W1274" s="6">
        <f t="shared" si="285"/>
        <v>1.2154951653718222</v>
      </c>
      <c r="AK1274" s="78">
        <v>45044.96875</v>
      </c>
      <c r="AL1274" s="79">
        <v>7.2987036129249699E-2</v>
      </c>
      <c r="AM1274" s="5">
        <v>64.377553680000005</v>
      </c>
      <c r="AN1274" s="2">
        <v>12783</v>
      </c>
      <c r="AO1274" s="7">
        <f t="shared" si="294"/>
        <v>213.05</v>
      </c>
      <c r="AP1274" s="5">
        <f t="shared" si="286"/>
        <v>15.549888047336649</v>
      </c>
      <c r="AQ1274" s="6">
        <f t="shared" si="287"/>
        <v>142.37785152302277</v>
      </c>
      <c r="AR1274" s="2">
        <f t="shared" si="288"/>
        <v>-2.1301186875174403</v>
      </c>
      <c r="AS1274" s="2">
        <f t="shared" si="289"/>
        <v>-303.28172221777425</v>
      </c>
    </row>
    <row r="1275" spans="13:45" x14ac:dyDescent="0.3">
      <c r="M1275" s="78">
        <v>45045.979166666664</v>
      </c>
      <c r="N1275" s="79">
        <v>7.1645012469155306E-2</v>
      </c>
      <c r="O1275" s="5">
        <v>76.101800600000004</v>
      </c>
      <c r="P1275" s="2">
        <v>12343</v>
      </c>
      <c r="Q1275" s="7">
        <f t="shared" si="283"/>
        <v>205.71666666666667</v>
      </c>
      <c r="R1275" s="6">
        <f t="shared" si="284"/>
        <v>14.738573148446399</v>
      </c>
      <c r="S1275" s="6">
        <f t="shared" si="290"/>
        <v>138.69034300641709</v>
      </c>
      <c r="T1275" s="2">
        <f t="shared" si="291"/>
        <v>1</v>
      </c>
      <c r="U1275" s="6">
        <f t="shared" si="292"/>
        <v>138.69034300641709</v>
      </c>
      <c r="V1275">
        <f t="shared" si="293"/>
        <v>0</v>
      </c>
      <c r="W1275" s="6">
        <f t="shared" si="285"/>
        <v>0</v>
      </c>
      <c r="AK1275" s="78">
        <v>45044.979166666664</v>
      </c>
      <c r="AL1275" s="79">
        <v>7.6885187879659506E-2</v>
      </c>
      <c r="AM1275" s="5">
        <v>68.016396760000006</v>
      </c>
      <c r="AN1275" s="2">
        <v>12634</v>
      </c>
      <c r="AO1275" s="7">
        <f t="shared" si="294"/>
        <v>210.56666666666666</v>
      </c>
      <c r="AP1275" s="5">
        <f t="shared" si="286"/>
        <v>16.189457727860304</v>
      </c>
      <c r="AQ1275" s="6">
        <f t="shared" si="287"/>
        <v>145.2160605804136</v>
      </c>
      <c r="AR1275" s="2">
        <f t="shared" si="288"/>
        <v>-2.1301186875174403</v>
      </c>
      <c r="AS1275" s="2">
        <f t="shared" si="289"/>
        <v>-309.32744437000372</v>
      </c>
    </row>
    <row r="1276" spans="13:45" x14ac:dyDescent="0.3">
      <c r="M1276" s="78">
        <v>45045.989583333336</v>
      </c>
      <c r="N1276" s="79">
        <v>7.1502759605961905E-2</v>
      </c>
      <c r="O1276" s="5">
        <v>76.986061320000005</v>
      </c>
      <c r="P1276" s="2">
        <v>12305</v>
      </c>
      <c r="Q1276" s="7">
        <f t="shared" si="283"/>
        <v>205.08333333333334</v>
      </c>
      <c r="R1276" s="6">
        <f t="shared" si="284"/>
        <v>14.664024282522687</v>
      </c>
      <c r="S1276" s="6">
        <f t="shared" si="290"/>
        <v>138.34637069745696</v>
      </c>
      <c r="T1276" s="2">
        <f t="shared" si="291"/>
        <v>1</v>
      </c>
      <c r="U1276" s="6">
        <f t="shared" si="292"/>
        <v>138.34637069745696</v>
      </c>
      <c r="V1276">
        <f t="shared" si="293"/>
        <v>0</v>
      </c>
      <c r="W1276" s="6">
        <f t="shared" si="285"/>
        <v>0</v>
      </c>
      <c r="AK1276" s="78">
        <v>45044.989583333336</v>
      </c>
      <c r="AL1276" s="79">
        <v>6.9866473975707999E-2</v>
      </c>
      <c r="AM1276" s="5">
        <v>68.916923760000003</v>
      </c>
      <c r="AN1276" s="2">
        <v>12638</v>
      </c>
      <c r="AO1276" s="7">
        <f t="shared" si="294"/>
        <v>210.63333333333333</v>
      </c>
      <c r="AP1276" s="5">
        <f t="shared" si="286"/>
        <v>14.71620830174996</v>
      </c>
      <c r="AQ1276" s="6">
        <f t="shared" si="287"/>
        <v>138.58724386369596</v>
      </c>
      <c r="AR1276" s="2">
        <f t="shared" si="288"/>
        <v>-2.1301186875174403</v>
      </c>
      <c r="AS1276" s="2">
        <f t="shared" si="289"/>
        <v>-295.20727800559547</v>
      </c>
    </row>
    <row r="1277" spans="13:45" x14ac:dyDescent="0.3">
      <c r="M1277" s="78">
        <v>45046</v>
      </c>
      <c r="N1277" s="79">
        <v>7.1600719431952398E-2</v>
      </c>
      <c r="O1277" s="5">
        <v>73.868067069999995</v>
      </c>
      <c r="P1277" s="2">
        <v>12376</v>
      </c>
      <c r="Q1277" s="7">
        <f t="shared" si="283"/>
        <v>206.26666666666668</v>
      </c>
      <c r="R1277" s="6">
        <f t="shared" si="284"/>
        <v>14.768841728164048</v>
      </c>
      <c r="S1277" s="6">
        <f t="shared" si="290"/>
        <v>138.82975031185424</v>
      </c>
      <c r="T1277" s="2">
        <f t="shared" si="291"/>
        <v>1</v>
      </c>
      <c r="U1277" s="6">
        <f t="shared" si="292"/>
        <v>138.82975031185424</v>
      </c>
      <c r="V1277">
        <f t="shared" si="293"/>
        <v>0</v>
      </c>
      <c r="W1277" s="6">
        <f t="shared" si="285"/>
        <v>0</v>
      </c>
      <c r="AK1277" s="78">
        <v>45045</v>
      </c>
      <c r="AL1277" s="79">
        <v>6.5683136579596194E-2</v>
      </c>
      <c r="AM1277" s="5">
        <v>66.655723199999997</v>
      </c>
      <c r="AN1277" s="2">
        <v>13191</v>
      </c>
      <c r="AO1277" s="7">
        <f t="shared" si="294"/>
        <v>219.85</v>
      </c>
      <c r="AP1277" s="5">
        <f t="shared" si="286"/>
        <v>14.440437577024223</v>
      </c>
      <c r="AQ1277" s="6">
        <f t="shared" si="287"/>
        <v>137.30934384461796</v>
      </c>
      <c r="AR1277" s="2">
        <f t="shared" si="288"/>
        <v>-2.1301186875174403</v>
      </c>
      <c r="AS1277" s="2">
        <f t="shared" si="289"/>
        <v>-292.48519929417853</v>
      </c>
    </row>
    <row r="1278" spans="13:45" x14ac:dyDescent="0.3">
      <c r="M1278" s="78">
        <v>45046.010416666664</v>
      </c>
      <c r="N1278" s="79">
        <v>7.4047788634670902E-2</v>
      </c>
      <c r="O1278" s="5">
        <v>74.764849499999997</v>
      </c>
      <c r="P1278" s="2">
        <v>12198</v>
      </c>
      <c r="Q1278" s="7">
        <f t="shared" si="283"/>
        <v>203.3</v>
      </c>
      <c r="R1278" s="6">
        <f t="shared" si="284"/>
        <v>15.053915429428596</v>
      </c>
      <c r="S1278" s="6">
        <f t="shared" si="290"/>
        <v>140.1356199276731</v>
      </c>
      <c r="T1278" s="2">
        <f t="shared" si="291"/>
        <v>1</v>
      </c>
      <c r="U1278" s="6">
        <f t="shared" si="292"/>
        <v>140.1356199276731</v>
      </c>
      <c r="V1278">
        <f t="shared" si="293"/>
        <v>2.9400355957787904E-2</v>
      </c>
      <c r="W1278" s="6">
        <f t="shared" si="285"/>
        <v>4.1200371082388649</v>
      </c>
      <c r="AK1278" s="78">
        <v>45045.010416666664</v>
      </c>
      <c r="AL1278" s="79">
        <v>6.9444683834677404E-2</v>
      </c>
      <c r="AM1278" s="5">
        <v>65.290959470000004</v>
      </c>
      <c r="AN1278" s="2">
        <v>13348</v>
      </c>
      <c r="AO1278" s="7">
        <f t="shared" si="294"/>
        <v>222.46666666666667</v>
      </c>
      <c r="AP1278" s="5">
        <f t="shared" si="286"/>
        <v>15.449127330421232</v>
      </c>
      <c r="AQ1278" s="6">
        <f t="shared" si="287"/>
        <v>141.92531221482156</v>
      </c>
      <c r="AR1278" s="2">
        <f t="shared" si="288"/>
        <v>-2.1301186875174403</v>
      </c>
      <c r="AS1278" s="2">
        <f t="shared" si="289"/>
        <v>-302.31775978053861</v>
      </c>
    </row>
    <row r="1279" spans="13:45" x14ac:dyDescent="0.3">
      <c r="M1279" s="78">
        <v>45046.020833333336</v>
      </c>
      <c r="N1279" s="79">
        <v>7.4399103962715707E-2</v>
      </c>
      <c r="O1279" s="5">
        <v>76.544179459999995</v>
      </c>
      <c r="P1279" s="2">
        <v>12299</v>
      </c>
      <c r="Q1279" s="7">
        <f t="shared" si="283"/>
        <v>204.98333333333332</v>
      </c>
      <c r="R1279" s="6">
        <f t="shared" si="284"/>
        <v>15.250576327290673</v>
      </c>
      <c r="S1279" s="6">
        <f t="shared" si="290"/>
        <v>141.02914479966461</v>
      </c>
      <c r="T1279" s="2">
        <f t="shared" si="291"/>
        <v>1</v>
      </c>
      <c r="U1279" s="6">
        <f t="shared" si="292"/>
        <v>141.02914479966461</v>
      </c>
      <c r="V1279">
        <f t="shared" si="293"/>
        <v>6.5399027201960558E-2</v>
      </c>
      <c r="W1279" s="6">
        <f t="shared" si="285"/>
        <v>9.2231688770225002</v>
      </c>
      <c r="AK1279" s="78">
        <v>45045.020833333336</v>
      </c>
      <c r="AL1279" s="79">
        <v>6.7814031445745507E-2</v>
      </c>
      <c r="AM1279" s="5">
        <v>64.377553680000005</v>
      </c>
      <c r="AN1279" s="2">
        <v>12840</v>
      </c>
      <c r="AO1279" s="7">
        <f t="shared" si="294"/>
        <v>214</v>
      </c>
      <c r="AP1279" s="5">
        <f t="shared" si="286"/>
        <v>14.512202729389539</v>
      </c>
      <c r="AQ1279" s="6">
        <f t="shared" si="287"/>
        <v>137.64308808673988</v>
      </c>
      <c r="AR1279" s="2">
        <f t="shared" si="288"/>
        <v>-2.1301186875174403</v>
      </c>
      <c r="AS1279" s="2">
        <f t="shared" si="289"/>
        <v>-293.19611414117378</v>
      </c>
    </row>
    <row r="1280" spans="13:45" x14ac:dyDescent="0.3">
      <c r="M1280" s="78">
        <v>45046.03125</v>
      </c>
      <c r="N1280" s="79">
        <v>7.4570909139705099E-2</v>
      </c>
      <c r="O1280" s="5">
        <v>77.435049230000004</v>
      </c>
      <c r="P1280" s="2">
        <v>12452</v>
      </c>
      <c r="Q1280" s="7">
        <f t="shared" si="283"/>
        <v>207.53333333333333</v>
      </c>
      <c r="R1280" s="6">
        <f t="shared" si="284"/>
        <v>15.475949343460131</v>
      </c>
      <c r="S1280" s="6">
        <f t="shared" si="290"/>
        <v>142.04592271572983</v>
      </c>
      <c r="T1280" s="2">
        <f t="shared" si="291"/>
        <v>1</v>
      </c>
      <c r="U1280" s="6">
        <f t="shared" si="292"/>
        <v>142.04592271572983</v>
      </c>
      <c r="V1280">
        <f t="shared" si="293"/>
        <v>0.10665343621051616</v>
      </c>
      <c r="W1280" s="6">
        <f t="shared" si="285"/>
        <v>15.149685757326001</v>
      </c>
      <c r="AK1280" s="78">
        <v>45045.03125</v>
      </c>
      <c r="AL1280" s="79">
        <v>6.9332641187557498E-2</v>
      </c>
      <c r="AM1280" s="5">
        <v>64.377553680000005</v>
      </c>
      <c r="AN1280" s="2">
        <v>13060</v>
      </c>
      <c r="AO1280" s="7">
        <f t="shared" si="294"/>
        <v>217.66666666666666</v>
      </c>
      <c r="AP1280" s="5">
        <f t="shared" si="286"/>
        <v>15.091404898491682</v>
      </c>
      <c r="AQ1280" s="6">
        <f t="shared" si="287"/>
        <v>140.30641005530612</v>
      </c>
      <c r="AR1280" s="2">
        <f t="shared" si="288"/>
        <v>-2.1301186875174403</v>
      </c>
      <c r="AS1280" s="2">
        <f t="shared" si="289"/>
        <v>-298.86930603729246</v>
      </c>
    </row>
    <row r="1281" spans="13:45" x14ac:dyDescent="0.3">
      <c r="M1281" s="78">
        <v>45046.041666666664</v>
      </c>
      <c r="N1281" s="79">
        <v>7.2039369582221499E-2</v>
      </c>
      <c r="O1281" s="5">
        <v>78.323104580000006</v>
      </c>
      <c r="P1281" s="2">
        <v>12392</v>
      </c>
      <c r="Q1281" s="7">
        <f t="shared" si="283"/>
        <v>206.53333333333333</v>
      </c>
      <c r="R1281" s="6">
        <f t="shared" si="284"/>
        <v>14.878531131048147</v>
      </c>
      <c r="S1281" s="6">
        <f t="shared" si="290"/>
        <v>139.33372668147365</v>
      </c>
      <c r="T1281" s="2">
        <f t="shared" si="291"/>
        <v>1</v>
      </c>
      <c r="U1281" s="6">
        <f t="shared" si="292"/>
        <v>139.33372668147365</v>
      </c>
      <c r="V1281">
        <f t="shared" si="293"/>
        <v>0</v>
      </c>
      <c r="W1281" s="6">
        <f t="shared" si="285"/>
        <v>0</v>
      </c>
      <c r="AK1281" s="78">
        <v>45045.041666666664</v>
      </c>
      <c r="AL1281" s="79">
        <v>7.3672688677980602E-2</v>
      </c>
      <c r="AM1281" s="5">
        <v>66.647934039999996</v>
      </c>
      <c r="AN1281" s="2">
        <v>13150</v>
      </c>
      <c r="AO1281" s="7">
        <f t="shared" si="294"/>
        <v>219.16666666666666</v>
      </c>
      <c r="AP1281" s="5">
        <f t="shared" si="286"/>
        <v>16.146597601924082</v>
      </c>
      <c r="AQ1281" s="6">
        <f t="shared" si="287"/>
        <v>145.02766984209845</v>
      </c>
      <c r="AR1281" s="2">
        <f t="shared" si="288"/>
        <v>-2.1301186875174403</v>
      </c>
      <c r="AS1281" s="2">
        <f t="shared" si="289"/>
        <v>-308.92614973776341</v>
      </c>
    </row>
    <row r="1282" spans="13:45" x14ac:dyDescent="0.3">
      <c r="M1282" s="78">
        <v>45046.052083333336</v>
      </c>
      <c r="N1282" s="79">
        <v>7.4538973471910602E-2</v>
      </c>
      <c r="O1282" s="5">
        <v>77.435049230000004</v>
      </c>
      <c r="P1282" s="2">
        <v>12301</v>
      </c>
      <c r="Q1282" s="7">
        <f t="shared" si="283"/>
        <v>205.01666666666668</v>
      </c>
      <c r="R1282" s="6">
        <f t="shared" si="284"/>
        <v>15.281731877966207</v>
      </c>
      <c r="S1282" s="6">
        <f t="shared" si="290"/>
        <v>141.17015870821518</v>
      </c>
      <c r="T1282" s="2">
        <f t="shared" si="291"/>
        <v>1</v>
      </c>
      <c r="U1282" s="6">
        <f t="shared" si="292"/>
        <v>141.17015870821518</v>
      </c>
      <c r="V1282">
        <f t="shared" si="293"/>
        <v>7.110203394296645E-2</v>
      </c>
      <c r="W1282" s="6">
        <f t="shared" si="285"/>
        <v>10.037485416205477</v>
      </c>
      <c r="AK1282" s="78">
        <v>45045.052083333336</v>
      </c>
      <c r="AL1282" s="79">
        <v>6.5967756501482094E-2</v>
      </c>
      <c r="AM1282" s="5">
        <v>66.655723199999997</v>
      </c>
      <c r="AN1282" s="2">
        <v>13494</v>
      </c>
      <c r="AO1282" s="7">
        <f t="shared" si="294"/>
        <v>224.9</v>
      </c>
      <c r="AP1282" s="5">
        <f t="shared" si="286"/>
        <v>14.836148437183324</v>
      </c>
      <c r="AQ1282" s="6">
        <f t="shared" si="287"/>
        <v>139.13922164707722</v>
      </c>
      <c r="AR1282" s="2">
        <f t="shared" si="288"/>
        <v>-2.1301186875174403</v>
      </c>
      <c r="AS1282" s="2">
        <f t="shared" si="289"/>
        <v>-296.38305619707035</v>
      </c>
    </row>
    <row r="1283" spans="13:45" x14ac:dyDescent="0.3">
      <c r="M1283" s="78">
        <v>45046.0625</v>
      </c>
      <c r="N1283" s="79">
        <v>7.1135201323136804E-2</v>
      </c>
      <c r="O1283" s="5">
        <v>77.435049230000004</v>
      </c>
      <c r="P1283" s="2">
        <v>12309</v>
      </c>
      <c r="Q1283" s="7">
        <f t="shared" si="283"/>
        <v>205.15</v>
      </c>
      <c r="R1283" s="6">
        <f t="shared" si="284"/>
        <v>14.593386551441515</v>
      </c>
      <c r="S1283" s="6">
        <f t="shared" si="290"/>
        <v>138.01962024699142</v>
      </c>
      <c r="T1283" s="2">
        <f t="shared" si="291"/>
        <v>1</v>
      </c>
      <c r="U1283" s="6">
        <f t="shared" si="292"/>
        <v>138.01962024699142</v>
      </c>
      <c r="V1283">
        <f t="shared" si="293"/>
        <v>0</v>
      </c>
      <c r="W1283" s="6">
        <f t="shared" si="285"/>
        <v>0</v>
      </c>
      <c r="AK1283" s="78">
        <v>45045.0625</v>
      </c>
      <c r="AL1283" s="79">
        <v>7.3428265308109003E-2</v>
      </c>
      <c r="AM1283" s="5">
        <v>63.462041390000003</v>
      </c>
      <c r="AN1283" s="2">
        <v>13322</v>
      </c>
      <c r="AO1283" s="7">
        <f t="shared" si="294"/>
        <v>222.03333333333333</v>
      </c>
      <c r="AP1283" s="5">
        <f t="shared" si="286"/>
        <v>16.303522507243802</v>
      </c>
      <c r="AQ1283" s="6">
        <f t="shared" si="287"/>
        <v>145.71619339496505</v>
      </c>
      <c r="AR1283" s="2">
        <f t="shared" si="288"/>
        <v>-2.1301186875174403</v>
      </c>
      <c r="AS1283" s="2">
        <f t="shared" si="289"/>
        <v>-310.39278662452045</v>
      </c>
    </row>
    <row r="1284" spans="13:45" x14ac:dyDescent="0.3">
      <c r="M1284" s="78">
        <v>45046.072916666664</v>
      </c>
      <c r="N1284" s="79">
        <v>7.1287773863979206E-2</v>
      </c>
      <c r="O1284" s="5">
        <v>78.755362430000005</v>
      </c>
      <c r="P1284" s="2">
        <v>12194</v>
      </c>
      <c r="Q1284" s="7">
        <f t="shared" ref="Q1284:Q1347" si="295">P1284/60</f>
        <v>203.23333333333332</v>
      </c>
      <c r="R1284" s="6">
        <f t="shared" ref="R1284:R1347" si="296">N1284*Q1284</f>
        <v>14.488051908289373</v>
      </c>
      <c r="S1284" s="6">
        <f t="shared" si="290"/>
        <v>137.53086877552201</v>
      </c>
      <c r="T1284" s="2">
        <f t="shared" si="291"/>
        <v>1</v>
      </c>
      <c r="U1284" s="6">
        <f t="shared" si="292"/>
        <v>137.53086877552201</v>
      </c>
      <c r="V1284">
        <f t="shared" si="293"/>
        <v>0</v>
      </c>
      <c r="W1284" s="6">
        <f t="shared" ref="W1284:W1347" si="297">S1284*V1284</f>
        <v>0</v>
      </c>
      <c r="AK1284" s="78">
        <v>45045.072916666664</v>
      </c>
      <c r="AL1284" s="79">
        <v>6.7040419227425097E-2</v>
      </c>
      <c r="AM1284" s="5">
        <v>68.008627450000006</v>
      </c>
      <c r="AN1284" s="2">
        <v>13444</v>
      </c>
      <c r="AO1284" s="7">
        <f t="shared" si="294"/>
        <v>224.06666666666666</v>
      </c>
      <c r="AP1284" s="5">
        <f t="shared" ref="AP1284:AP1347" si="298">AO1284*AL1284</f>
        <v>15.021523268225049</v>
      </c>
      <c r="AQ1284" s="6">
        <f t="shared" ref="AQ1284:AQ1347" si="299">37.141*AP1284^0.4897</f>
        <v>139.98787665171929</v>
      </c>
      <c r="AR1284" s="2">
        <f t="shared" ref="AR1284:AR1347" si="300">IF((AM1284-$AP$1)/($AN$1-$AP$1)&lt;0, 0, IF((AA1284-$AP$1)/($AN$1-$AP$1)&gt;1, 1, (AA1284-$AP$1)/($AN$1-$AP$1)))</f>
        <v>-2.1301186875174403</v>
      </c>
      <c r="AS1284" s="2">
        <f t="shared" ref="AS1284:AS1347" si="301">AQ1284*AR1284</f>
        <v>-298.1907920817136</v>
      </c>
    </row>
    <row r="1285" spans="13:45" x14ac:dyDescent="0.3">
      <c r="M1285" s="78">
        <v>45046.083333333336</v>
      </c>
      <c r="N1285" s="79">
        <v>7.0665204607788898E-2</v>
      </c>
      <c r="O1285" s="5">
        <v>76.094169239999999</v>
      </c>
      <c r="P1285" s="2">
        <v>12607</v>
      </c>
      <c r="Q1285" s="7">
        <f t="shared" si="295"/>
        <v>210.11666666666667</v>
      </c>
      <c r="R1285" s="6">
        <f t="shared" si="296"/>
        <v>14.847937241506578</v>
      </c>
      <c r="S1285" s="6">
        <f t="shared" si="290"/>
        <v>139.19335192280718</v>
      </c>
      <c r="T1285" s="2">
        <f t="shared" si="291"/>
        <v>1</v>
      </c>
      <c r="U1285" s="6">
        <f t="shared" si="292"/>
        <v>139.19335192280718</v>
      </c>
      <c r="V1285">
        <f t="shared" si="293"/>
        <v>0</v>
      </c>
      <c r="W1285" s="6">
        <f t="shared" si="297"/>
        <v>0</v>
      </c>
      <c r="AK1285" s="78">
        <v>45045.083333333336</v>
      </c>
      <c r="AL1285" s="79">
        <v>6.8195155505674496E-2</v>
      </c>
      <c r="AM1285" s="5">
        <v>66.647934039999996</v>
      </c>
      <c r="AN1285" s="2">
        <v>13320</v>
      </c>
      <c r="AO1285" s="7">
        <f t="shared" si="294"/>
        <v>222</v>
      </c>
      <c r="AP1285" s="5">
        <f t="shared" si="298"/>
        <v>15.139324522259738</v>
      </c>
      <c r="AQ1285" s="6">
        <f t="shared" si="299"/>
        <v>140.52440173077289</v>
      </c>
      <c r="AR1285" s="2">
        <f t="shared" si="300"/>
        <v>-2.1301186875174403</v>
      </c>
      <c r="AS1285" s="2">
        <f t="shared" si="301"/>
        <v>-299.33365417892747</v>
      </c>
    </row>
    <row r="1286" spans="13:45" x14ac:dyDescent="0.3">
      <c r="M1286" s="78">
        <v>45046.09375</v>
      </c>
      <c r="N1286" s="79">
        <v>7.3304815756905603E-2</v>
      </c>
      <c r="O1286" s="5">
        <v>77.427442880000001</v>
      </c>
      <c r="P1286" s="2">
        <v>12865</v>
      </c>
      <c r="Q1286" s="7">
        <f t="shared" si="295"/>
        <v>214.41666666666666</v>
      </c>
      <c r="R1286" s="6">
        <f t="shared" si="296"/>
        <v>15.717774245209842</v>
      </c>
      <c r="S1286" s="6">
        <f t="shared" si="290"/>
        <v>143.12855549966159</v>
      </c>
      <c r="T1286" s="2">
        <f t="shared" si="291"/>
        <v>1</v>
      </c>
      <c r="U1286" s="6">
        <f t="shared" si="292"/>
        <v>143.12855549966159</v>
      </c>
      <c r="V1286">
        <f t="shared" si="293"/>
        <v>0.15091935399783071</v>
      </c>
      <c r="W1286" s="6">
        <f t="shared" si="297"/>
        <v>21.600869134651585</v>
      </c>
      <c r="AK1286" s="78">
        <v>45045.09375</v>
      </c>
      <c r="AL1286" s="79">
        <v>6.8920713031677197E-2</v>
      </c>
      <c r="AM1286" s="5">
        <v>66.647934039999996</v>
      </c>
      <c r="AN1286" s="2">
        <v>13205</v>
      </c>
      <c r="AO1286" s="7">
        <f t="shared" si="294"/>
        <v>220.08333333333334</v>
      </c>
      <c r="AP1286" s="5">
        <f t="shared" si="298"/>
        <v>15.168300259721624</v>
      </c>
      <c r="AQ1286" s="6">
        <f t="shared" si="299"/>
        <v>140.65604477506525</v>
      </c>
      <c r="AR1286" s="2">
        <f t="shared" si="300"/>
        <v>-2.1301186875174403</v>
      </c>
      <c r="AS1286" s="2">
        <f t="shared" si="301"/>
        <v>-299.61406948765631</v>
      </c>
    </row>
    <row r="1287" spans="13:45" x14ac:dyDescent="0.3">
      <c r="M1287" s="78">
        <v>45046.104166666664</v>
      </c>
      <c r="N1287" s="79">
        <v>6.8472872240792002E-2</v>
      </c>
      <c r="O1287" s="5">
        <v>74.312865549999998</v>
      </c>
      <c r="P1287" s="2">
        <v>12620</v>
      </c>
      <c r="Q1287" s="7">
        <f t="shared" si="295"/>
        <v>210.33333333333334</v>
      </c>
      <c r="R1287" s="6">
        <f t="shared" si="296"/>
        <v>14.402127461313251</v>
      </c>
      <c r="S1287" s="6">
        <f t="shared" si="290"/>
        <v>137.13083588894116</v>
      </c>
      <c r="T1287" s="2">
        <f t="shared" si="291"/>
        <v>1</v>
      </c>
      <c r="U1287" s="6">
        <f t="shared" si="292"/>
        <v>137.13083588894116</v>
      </c>
      <c r="V1287">
        <f t="shared" si="293"/>
        <v>0</v>
      </c>
      <c r="W1287" s="6">
        <f t="shared" si="297"/>
        <v>0</v>
      </c>
      <c r="AK1287" s="78">
        <v>45045.104166666664</v>
      </c>
      <c r="AL1287" s="79">
        <v>6.95696081974949E-2</v>
      </c>
      <c r="AM1287" s="5">
        <v>65.283151739999994</v>
      </c>
      <c r="AN1287" s="2">
        <v>13810</v>
      </c>
      <c r="AO1287" s="7">
        <f t="shared" si="294"/>
        <v>230.16666666666666</v>
      </c>
      <c r="AP1287" s="5">
        <f t="shared" si="298"/>
        <v>16.012604820123411</v>
      </c>
      <c r="AQ1287" s="6">
        <f t="shared" si="299"/>
        <v>144.43705576157336</v>
      </c>
      <c r="AR1287" s="2">
        <f t="shared" si="300"/>
        <v>-2.1301186875174403</v>
      </c>
      <c r="AS1287" s="2">
        <f t="shared" si="301"/>
        <v>-307.66807164772598</v>
      </c>
    </row>
    <row r="1288" spans="13:45" x14ac:dyDescent="0.3">
      <c r="M1288" s="78">
        <v>45046.114583333336</v>
      </c>
      <c r="N1288" s="79">
        <v>6.9856321991284304E-2</v>
      </c>
      <c r="O1288" s="5">
        <v>73.868067069999995</v>
      </c>
      <c r="P1288" s="2">
        <v>12829</v>
      </c>
      <c r="Q1288" s="7">
        <f t="shared" si="295"/>
        <v>213.81666666666666</v>
      </c>
      <c r="R1288" s="6">
        <f t="shared" si="296"/>
        <v>14.936445913769772</v>
      </c>
      <c r="S1288" s="6">
        <f t="shared" si="290"/>
        <v>139.5990558710657</v>
      </c>
      <c r="T1288" s="2">
        <f t="shared" si="291"/>
        <v>1</v>
      </c>
      <c r="U1288" s="6">
        <f t="shared" si="292"/>
        <v>139.5990558710657</v>
      </c>
      <c r="V1288">
        <f t="shared" si="293"/>
        <v>7.8976244977703551E-3</v>
      </c>
      <c r="W1288" s="6">
        <f t="shared" si="297"/>
        <v>1.102500923512941</v>
      </c>
      <c r="AK1288" s="78">
        <v>45045.114583333336</v>
      </c>
      <c r="AL1288" s="79">
        <v>6.8075031576865702E-2</v>
      </c>
      <c r="AM1288" s="5">
        <v>66.647934039999996</v>
      </c>
      <c r="AN1288" s="2">
        <v>13337</v>
      </c>
      <c r="AO1288" s="7">
        <f t="shared" si="294"/>
        <v>222.28333333333333</v>
      </c>
      <c r="AP1288" s="5">
        <f t="shared" si="298"/>
        <v>15.13194493567763</v>
      </c>
      <c r="AQ1288" s="6">
        <f t="shared" si="299"/>
        <v>140.49085413457971</v>
      </c>
      <c r="AR1288" s="2">
        <f t="shared" si="300"/>
        <v>-2.1301186875174403</v>
      </c>
      <c r="AS1288" s="2">
        <f t="shared" si="301"/>
        <v>-299.26219381735507</v>
      </c>
    </row>
    <row r="1289" spans="13:45" x14ac:dyDescent="0.3">
      <c r="M1289" s="78">
        <v>45046.125</v>
      </c>
      <c r="N1289" s="79">
        <v>7.2607108338101495E-2</v>
      </c>
      <c r="O1289" s="5">
        <v>72.970159429999995</v>
      </c>
      <c r="P1289" s="2">
        <v>12454</v>
      </c>
      <c r="Q1289" s="7">
        <f t="shared" si="295"/>
        <v>207.56666666666666</v>
      </c>
      <c r="R1289" s="6">
        <f t="shared" si="296"/>
        <v>15.070815454045267</v>
      </c>
      <c r="S1289" s="6">
        <f t="shared" ref="S1289:S1352" si="302">37.141*R1289^0.4897</f>
        <v>140.21263791435879</v>
      </c>
      <c r="T1289" s="2">
        <f t="shared" ref="T1289:T1352" si="303">IF((O1289-$R$1)/($P$1-$R$1)&lt;0, 0, IF((O1289-$R$1)/($P$1-$R$1)&gt;1, 1, (O1289-$R$1)/($P$1-$R$1)))</f>
        <v>1</v>
      </c>
      <c r="U1289" s="6">
        <f t="shared" ref="U1289:U1352" si="304">S1289*T1289</f>
        <v>140.21263791435879</v>
      </c>
      <c r="V1289">
        <f t="shared" ref="V1289:V1352" si="305">IF((R1289-$AB$774)/($Z$773-$AB$774)&lt;0, 0, IF((R1289-$AB$774)/($Z$773-$AB$774)&gt;1, 1, (R1289-$AB$774)/($Z$773-$AB$774)))</f>
        <v>3.2493896345367312E-2</v>
      </c>
      <c r="W1289" s="6">
        <f t="shared" si="297"/>
        <v>4.5560549226996931</v>
      </c>
      <c r="AK1289" s="78">
        <v>45045.125</v>
      </c>
      <c r="AL1289" s="79">
        <v>6.8143295014808203E-2</v>
      </c>
      <c r="AM1289" s="5">
        <v>65.743635260000005</v>
      </c>
      <c r="AN1289" s="2">
        <v>13668</v>
      </c>
      <c r="AO1289" s="7">
        <f t="shared" si="294"/>
        <v>227.8</v>
      </c>
      <c r="AP1289" s="5">
        <f t="shared" si="298"/>
        <v>15.523042604373309</v>
      </c>
      <c r="AQ1289" s="6">
        <f t="shared" si="299"/>
        <v>142.25742912400028</v>
      </c>
      <c r="AR1289" s="2">
        <f t="shared" si="300"/>
        <v>-2.1301186875174403</v>
      </c>
      <c r="AS1289" s="2">
        <f t="shared" si="301"/>
        <v>-303.02520821522074</v>
      </c>
    </row>
    <row r="1290" spans="13:45" x14ac:dyDescent="0.3">
      <c r="M1290" s="78">
        <v>45046.135416666664</v>
      </c>
      <c r="N1290" s="79">
        <v>6.7795900500493902E-2</v>
      </c>
      <c r="O1290" s="5">
        <v>71.622551369999996</v>
      </c>
      <c r="P1290" s="2">
        <v>12594</v>
      </c>
      <c r="Q1290" s="7">
        <f t="shared" si="295"/>
        <v>209.9</v>
      </c>
      <c r="R1290" s="6">
        <f t="shared" si="296"/>
        <v>14.230359515053671</v>
      </c>
      <c r="S1290" s="6">
        <f t="shared" si="302"/>
        <v>136.32747950377293</v>
      </c>
      <c r="T1290" s="2">
        <f t="shared" si="303"/>
        <v>1</v>
      </c>
      <c r="U1290" s="6">
        <f t="shared" si="304"/>
        <v>136.32747950377293</v>
      </c>
      <c r="V1290">
        <f t="shared" si="305"/>
        <v>0</v>
      </c>
      <c r="W1290" s="6">
        <f t="shared" si="297"/>
        <v>0</v>
      </c>
      <c r="AK1290" s="78">
        <v>45045.135416666664</v>
      </c>
      <c r="AL1290" s="79">
        <v>6.4418373136113899E-2</v>
      </c>
      <c r="AM1290" s="5">
        <v>68.008627450000006</v>
      </c>
      <c r="AN1290" s="2">
        <v>13887</v>
      </c>
      <c r="AO1290" s="7">
        <f t="shared" si="294"/>
        <v>231.45</v>
      </c>
      <c r="AP1290" s="5">
        <f t="shared" si="298"/>
        <v>14.909632462353562</v>
      </c>
      <c r="AQ1290" s="6">
        <f t="shared" si="299"/>
        <v>139.47627885002467</v>
      </c>
      <c r="AR1290" s="2">
        <f t="shared" si="300"/>
        <v>-2.1301186875174403</v>
      </c>
      <c r="AS1290" s="2">
        <f t="shared" si="301"/>
        <v>-297.10102804383104</v>
      </c>
    </row>
    <row r="1291" spans="13:45" x14ac:dyDescent="0.3">
      <c r="M1291" s="78">
        <v>45046.145833333336</v>
      </c>
      <c r="N1291" s="79">
        <v>7.1371666264142999E-2</v>
      </c>
      <c r="O1291" s="5">
        <v>70.720093730000002</v>
      </c>
      <c r="P1291" s="2">
        <v>12397</v>
      </c>
      <c r="Q1291" s="7">
        <f t="shared" si="295"/>
        <v>206.61666666666667</v>
      </c>
      <c r="R1291" s="6">
        <f t="shared" si="296"/>
        <v>14.746575777943013</v>
      </c>
      <c r="S1291" s="6">
        <f t="shared" si="302"/>
        <v>138.72721473014266</v>
      </c>
      <c r="T1291" s="2">
        <f t="shared" si="303"/>
        <v>1</v>
      </c>
      <c r="U1291" s="6">
        <f t="shared" si="304"/>
        <v>138.72721473014266</v>
      </c>
      <c r="V1291">
        <f t="shared" si="305"/>
        <v>0</v>
      </c>
      <c r="W1291" s="6">
        <f t="shared" si="297"/>
        <v>0</v>
      </c>
      <c r="AK1291" s="78">
        <v>45045.145833333336</v>
      </c>
      <c r="AL1291" s="79">
        <v>6.9165896290889997E-2</v>
      </c>
      <c r="AM1291" s="5">
        <v>67.106545600000004</v>
      </c>
      <c r="AN1291" s="2">
        <v>13626</v>
      </c>
      <c r="AO1291" s="7">
        <f t="shared" si="294"/>
        <v>227.1</v>
      </c>
      <c r="AP1291" s="5">
        <f t="shared" si="298"/>
        <v>15.707575047661118</v>
      </c>
      <c r="AQ1291" s="6">
        <f t="shared" si="299"/>
        <v>143.08306682630354</v>
      </c>
      <c r="AR1291" s="2">
        <f t="shared" si="300"/>
        <v>-2.1301186875174403</v>
      </c>
      <c r="AS1291" s="2">
        <f t="shared" si="301"/>
        <v>-304.78391451401586</v>
      </c>
    </row>
    <row r="1292" spans="13:45" x14ac:dyDescent="0.3">
      <c r="M1292" s="78">
        <v>45046.15625</v>
      </c>
      <c r="N1292" s="79">
        <v>7.13712890014227E-2</v>
      </c>
      <c r="O1292" s="5">
        <v>72.069636250000002</v>
      </c>
      <c r="P1292" s="2">
        <v>12525</v>
      </c>
      <c r="Q1292" s="7">
        <f t="shared" si="295"/>
        <v>208.75</v>
      </c>
      <c r="R1292" s="6">
        <f t="shared" si="296"/>
        <v>14.898756579046989</v>
      </c>
      <c r="S1292" s="6">
        <f t="shared" si="302"/>
        <v>139.4264467820137</v>
      </c>
      <c r="T1292" s="2">
        <f t="shared" si="303"/>
        <v>1</v>
      </c>
      <c r="U1292" s="6">
        <f t="shared" si="304"/>
        <v>139.4264467820137</v>
      </c>
      <c r="V1292">
        <f t="shared" si="305"/>
        <v>9.986121122549619E-4</v>
      </c>
      <c r="W1292" s="6">
        <f t="shared" si="297"/>
        <v>0.13923293852519072</v>
      </c>
      <c r="AK1292" s="78">
        <v>45045.15625</v>
      </c>
      <c r="AL1292" s="79">
        <v>6.6709343058658194E-2</v>
      </c>
      <c r="AM1292" s="5">
        <v>65.743635260000005</v>
      </c>
      <c r="AN1292" s="2">
        <v>13561</v>
      </c>
      <c r="AO1292" s="7">
        <f t="shared" si="294"/>
        <v>226.01666666666668</v>
      </c>
      <c r="AP1292" s="5">
        <f t="shared" si="298"/>
        <v>15.077423353641064</v>
      </c>
      <c r="AQ1292" s="6">
        <f t="shared" si="299"/>
        <v>140.24273991566193</v>
      </c>
      <c r="AR1292" s="2">
        <f t="shared" si="300"/>
        <v>-2.1301186875174403</v>
      </c>
      <c r="AS1292" s="2">
        <f t="shared" si="301"/>
        <v>-298.73368108299951</v>
      </c>
    </row>
    <row r="1293" spans="13:45" x14ac:dyDescent="0.3">
      <c r="M1293" s="78">
        <v>45046.166666666664</v>
      </c>
      <c r="N1293" s="79">
        <v>7.7016390233398097E-2</v>
      </c>
      <c r="O1293" s="5">
        <v>73.868067069999995</v>
      </c>
      <c r="P1293" s="2">
        <v>12244</v>
      </c>
      <c r="Q1293" s="7">
        <f t="shared" si="295"/>
        <v>204.06666666666666</v>
      </c>
      <c r="R1293" s="6">
        <f t="shared" si="296"/>
        <v>15.716478033628771</v>
      </c>
      <c r="S1293" s="6">
        <f t="shared" si="302"/>
        <v>143.12277519962913</v>
      </c>
      <c r="T1293" s="2">
        <f t="shared" si="303"/>
        <v>1</v>
      </c>
      <c r="U1293" s="6">
        <f t="shared" si="304"/>
        <v>143.12277519962913</v>
      </c>
      <c r="V1293">
        <f t="shared" si="305"/>
        <v>0.15068208316729387</v>
      </c>
      <c r="W1293" s="6">
        <f t="shared" si="297"/>
        <v>21.566037915764422</v>
      </c>
      <c r="AK1293" s="78">
        <v>45045.166666666664</v>
      </c>
      <c r="AL1293" s="79">
        <v>6.8961320836327E-2</v>
      </c>
      <c r="AM1293" s="5">
        <v>64.377553680000005</v>
      </c>
      <c r="AN1293" s="2">
        <v>13721</v>
      </c>
      <c r="AO1293" s="7">
        <f t="shared" si="294"/>
        <v>228.68333333333334</v>
      </c>
      <c r="AP1293" s="5">
        <f t="shared" si="298"/>
        <v>15.770304719920713</v>
      </c>
      <c r="AQ1293" s="6">
        <f t="shared" si="299"/>
        <v>143.36260450283905</v>
      </c>
      <c r="AR1293" s="2">
        <f t="shared" si="300"/>
        <v>-2.1301186875174403</v>
      </c>
      <c r="AS1293" s="2">
        <f t="shared" si="301"/>
        <v>-305.37936294266939</v>
      </c>
    </row>
    <row r="1294" spans="13:45" x14ac:dyDescent="0.3">
      <c r="M1294" s="78">
        <v>45046.177083333336</v>
      </c>
      <c r="N1294" s="79">
        <v>6.8192308186153697E-2</v>
      </c>
      <c r="O1294" s="5">
        <v>72.069636250000002</v>
      </c>
      <c r="P1294" s="2">
        <v>12750</v>
      </c>
      <c r="Q1294" s="7">
        <f t="shared" si="295"/>
        <v>212.5</v>
      </c>
      <c r="R1294" s="6">
        <f t="shared" si="296"/>
        <v>14.490865489557661</v>
      </c>
      <c r="S1294" s="6">
        <f t="shared" si="302"/>
        <v>137.54394728475415</v>
      </c>
      <c r="T1294" s="2">
        <f t="shared" si="303"/>
        <v>1</v>
      </c>
      <c r="U1294" s="6">
        <f t="shared" si="304"/>
        <v>137.54394728475415</v>
      </c>
      <c r="V1294">
        <f t="shared" si="305"/>
        <v>0</v>
      </c>
      <c r="W1294" s="6">
        <f t="shared" si="297"/>
        <v>0</v>
      </c>
      <c r="AK1294" s="78">
        <v>45045.177083333336</v>
      </c>
      <c r="AL1294" s="79">
        <v>6.7409894560210598E-2</v>
      </c>
      <c r="AM1294" s="5">
        <v>65.290959470000004</v>
      </c>
      <c r="AN1294" s="2">
        <v>14003</v>
      </c>
      <c r="AO1294" s="7">
        <f t="shared" si="294"/>
        <v>233.38333333333333</v>
      </c>
      <c r="AP1294" s="5">
        <f t="shared" si="298"/>
        <v>15.732345892110484</v>
      </c>
      <c r="AQ1294" s="6">
        <f t="shared" si="299"/>
        <v>143.19351928014973</v>
      </c>
      <c r="AR1294" s="2">
        <f t="shared" si="300"/>
        <v>-2.1301186875174403</v>
      </c>
      <c r="AS1294" s="2">
        <f t="shared" si="301"/>
        <v>-305.01919135003584</v>
      </c>
    </row>
    <row r="1295" spans="13:45" x14ac:dyDescent="0.3">
      <c r="M1295" s="78">
        <v>45046.1875</v>
      </c>
      <c r="N1295" s="79">
        <v>7.4316098643148698E-2</v>
      </c>
      <c r="O1295" s="5">
        <v>72.069636250000002</v>
      </c>
      <c r="P1295" s="2">
        <v>12594</v>
      </c>
      <c r="Q1295" s="7">
        <f t="shared" si="295"/>
        <v>209.9</v>
      </c>
      <c r="R1295" s="6">
        <f t="shared" si="296"/>
        <v>15.598949105196912</v>
      </c>
      <c r="S1295" s="6">
        <f t="shared" si="302"/>
        <v>142.59765420137964</v>
      </c>
      <c r="T1295" s="2">
        <f t="shared" si="303"/>
        <v>1</v>
      </c>
      <c r="U1295" s="6">
        <f t="shared" si="304"/>
        <v>142.59765420137964</v>
      </c>
      <c r="V1295">
        <f t="shared" si="305"/>
        <v>0.12916847623122865</v>
      </c>
      <c r="W1295" s="6">
        <f t="shared" si="297"/>
        <v>18.419121707339869</v>
      </c>
      <c r="AK1295" s="78">
        <v>45045.1875</v>
      </c>
      <c r="AL1295" s="79">
        <v>6.8772819741116695E-2</v>
      </c>
      <c r="AM1295" s="5">
        <v>65.743635260000005</v>
      </c>
      <c r="AN1295" s="2">
        <v>13576</v>
      </c>
      <c r="AO1295" s="7">
        <f t="shared" si="294"/>
        <v>226.26666666666668</v>
      </c>
      <c r="AP1295" s="5">
        <f t="shared" si="298"/>
        <v>15.560996680090005</v>
      </c>
      <c r="AQ1295" s="6">
        <f t="shared" si="299"/>
        <v>142.4276512247807</v>
      </c>
      <c r="AR1295" s="2">
        <f t="shared" si="300"/>
        <v>-2.1301186875174403</v>
      </c>
      <c r="AS1295" s="2">
        <f t="shared" si="301"/>
        <v>-303.38780149312163</v>
      </c>
    </row>
    <row r="1296" spans="13:45" x14ac:dyDescent="0.3">
      <c r="M1296" s="78">
        <v>45046.197916666664</v>
      </c>
      <c r="N1296" s="79">
        <v>7.0882427703029702E-2</v>
      </c>
      <c r="O1296" s="5">
        <v>71.622551369999996</v>
      </c>
      <c r="P1296" s="2">
        <v>12718</v>
      </c>
      <c r="Q1296" s="7">
        <f t="shared" si="295"/>
        <v>211.96666666666667</v>
      </c>
      <c r="R1296" s="6">
        <f t="shared" si="296"/>
        <v>15.024711925452197</v>
      </c>
      <c r="S1296" s="6">
        <f t="shared" si="302"/>
        <v>140.00242758573799</v>
      </c>
      <c r="T1296" s="2">
        <f t="shared" si="303"/>
        <v>1</v>
      </c>
      <c r="U1296" s="6">
        <f t="shared" si="304"/>
        <v>140.00242758573799</v>
      </c>
      <c r="V1296">
        <f t="shared" si="305"/>
        <v>2.4054670311820948E-2</v>
      </c>
      <c r="W1296" s="6">
        <f t="shared" si="297"/>
        <v>3.3677122384295135</v>
      </c>
      <c r="AK1296" s="78">
        <v>45045.197916666664</v>
      </c>
      <c r="AL1296" s="79">
        <v>7.0603232095549195E-2</v>
      </c>
      <c r="AM1296" s="5">
        <v>67.106545600000004</v>
      </c>
      <c r="AN1296" s="2">
        <v>13846</v>
      </c>
      <c r="AO1296" s="7">
        <f t="shared" si="294"/>
        <v>230.76666666666668</v>
      </c>
      <c r="AP1296" s="5">
        <f t="shared" si="298"/>
        <v>16.292872526582904</v>
      </c>
      <c r="AQ1296" s="6">
        <f t="shared" si="299"/>
        <v>145.66957281243032</v>
      </c>
      <c r="AR1296" s="2">
        <f t="shared" si="300"/>
        <v>-2.1301186875174403</v>
      </c>
      <c r="AS1296" s="2">
        <f t="shared" si="301"/>
        <v>-310.29347925044027</v>
      </c>
    </row>
    <row r="1297" spans="13:45" x14ac:dyDescent="0.3">
      <c r="M1297" s="78">
        <v>45046.208333333336</v>
      </c>
      <c r="N1297" s="79">
        <v>7.5875359518174104E-2</v>
      </c>
      <c r="O1297" s="5">
        <v>72.970159429999995</v>
      </c>
      <c r="P1297" s="2">
        <v>12194</v>
      </c>
      <c r="Q1297" s="7">
        <f t="shared" si="295"/>
        <v>203.23333333333332</v>
      </c>
      <c r="R1297" s="6">
        <f t="shared" si="296"/>
        <v>15.420402232743582</v>
      </c>
      <c r="S1297" s="6">
        <f t="shared" si="302"/>
        <v>141.79602555920312</v>
      </c>
      <c r="T1297" s="2">
        <f t="shared" si="303"/>
        <v>1</v>
      </c>
      <c r="U1297" s="6">
        <f t="shared" si="304"/>
        <v>141.79602555920312</v>
      </c>
      <c r="V1297">
        <f t="shared" si="305"/>
        <v>9.6485567564604149E-2</v>
      </c>
      <c r="W1297" s="6">
        <f t="shared" si="297"/>
        <v>13.68127000448483</v>
      </c>
      <c r="AK1297" s="78">
        <v>45045.208333333336</v>
      </c>
      <c r="AL1297" s="79">
        <v>6.4174629795812302E-2</v>
      </c>
      <c r="AM1297" s="5">
        <v>65.743635260000005</v>
      </c>
      <c r="AN1297" s="2">
        <v>13744</v>
      </c>
      <c r="AO1297" s="7">
        <f t="shared" si="294"/>
        <v>229.06666666666666</v>
      </c>
      <c r="AP1297" s="5">
        <f t="shared" si="298"/>
        <v>14.700268531894071</v>
      </c>
      <c r="AQ1297" s="6">
        <f t="shared" si="299"/>
        <v>138.51371471220315</v>
      </c>
      <c r="AR1297" s="2">
        <f t="shared" si="300"/>
        <v>-2.1301186875174403</v>
      </c>
      <c r="AS1297" s="2">
        <f t="shared" si="301"/>
        <v>-295.05065218592335</v>
      </c>
    </row>
    <row r="1298" spans="13:45" x14ac:dyDescent="0.3">
      <c r="M1298" s="78">
        <v>45046.21875</v>
      </c>
      <c r="N1298" s="79">
        <v>6.9023742706703403E-2</v>
      </c>
      <c r="O1298" s="5">
        <v>71.622551369999996</v>
      </c>
      <c r="P1298" s="2">
        <v>12450</v>
      </c>
      <c r="Q1298" s="7">
        <f t="shared" si="295"/>
        <v>207.5</v>
      </c>
      <c r="R1298" s="6">
        <f t="shared" si="296"/>
        <v>14.322426611640957</v>
      </c>
      <c r="S1298" s="6">
        <f t="shared" si="302"/>
        <v>136.75868759899851</v>
      </c>
      <c r="T1298" s="2">
        <f t="shared" si="303"/>
        <v>1</v>
      </c>
      <c r="U1298" s="6">
        <f t="shared" si="304"/>
        <v>136.75868759899851</v>
      </c>
      <c r="V1298">
        <f t="shared" si="305"/>
        <v>0</v>
      </c>
      <c r="W1298" s="6">
        <f t="shared" si="297"/>
        <v>0</v>
      </c>
      <c r="AK1298" s="78">
        <v>45045.21875</v>
      </c>
      <c r="AL1298" s="79">
        <v>6.5935022982411898E-2</v>
      </c>
      <c r="AM1298" s="5">
        <v>65.743635260000005</v>
      </c>
      <c r="AN1298" s="2">
        <v>14206</v>
      </c>
      <c r="AO1298" s="7">
        <f t="shared" si="294"/>
        <v>236.76666666666668</v>
      </c>
      <c r="AP1298" s="5">
        <f t="shared" si="298"/>
        <v>15.611215608135725</v>
      </c>
      <c r="AQ1298" s="6">
        <f t="shared" si="299"/>
        <v>142.65255527021765</v>
      </c>
      <c r="AR1298" s="2">
        <f t="shared" si="300"/>
        <v>-2.1301186875174403</v>
      </c>
      <c r="AS1298" s="2">
        <f t="shared" si="301"/>
        <v>-303.86687380320512</v>
      </c>
    </row>
    <row r="1299" spans="13:45" x14ac:dyDescent="0.3">
      <c r="M1299" s="78">
        <v>45046.229166666664</v>
      </c>
      <c r="N1299" s="79">
        <v>7.8129560805389894E-2</v>
      </c>
      <c r="O1299" s="5">
        <v>72.970159429999995</v>
      </c>
      <c r="P1299" s="2">
        <v>12282</v>
      </c>
      <c r="Q1299" s="7">
        <f t="shared" si="295"/>
        <v>204.7</v>
      </c>
      <c r="R1299" s="6">
        <f t="shared" si="296"/>
        <v>15.993121096863311</v>
      </c>
      <c r="S1299" s="6">
        <f t="shared" si="302"/>
        <v>144.35096558659566</v>
      </c>
      <c r="T1299" s="2">
        <f t="shared" si="303"/>
        <v>1</v>
      </c>
      <c r="U1299" s="6">
        <f t="shared" si="304"/>
        <v>144.35096558659566</v>
      </c>
      <c r="V1299">
        <f t="shared" si="305"/>
        <v>0.20132144662807369</v>
      </c>
      <c r="W1299" s="6">
        <f t="shared" si="297"/>
        <v>29.060945214052722</v>
      </c>
      <c r="AK1299" s="78">
        <v>45045.229166666664</v>
      </c>
      <c r="AL1299" s="79">
        <v>6.4707437385044406E-2</v>
      </c>
      <c r="AM1299" s="5">
        <v>65.743635260000005</v>
      </c>
      <c r="AN1299" s="2">
        <v>13955</v>
      </c>
      <c r="AO1299" s="7">
        <f t="shared" si="294"/>
        <v>232.58333333333334</v>
      </c>
      <c r="AP1299" s="5">
        <f t="shared" si="298"/>
        <v>15.049871478471578</v>
      </c>
      <c r="AQ1299" s="6">
        <f t="shared" si="299"/>
        <v>140.1171840074</v>
      </c>
      <c r="AR1299" s="2">
        <f t="shared" si="300"/>
        <v>-2.1301186875174403</v>
      </c>
      <c r="AS1299" s="2">
        <f t="shared" si="301"/>
        <v>-298.46623209648254</v>
      </c>
    </row>
    <row r="1300" spans="13:45" x14ac:dyDescent="0.3">
      <c r="M1300" s="78">
        <v>45046.239583333336</v>
      </c>
      <c r="N1300" s="79">
        <v>7.3828917545053094E-2</v>
      </c>
      <c r="O1300" s="5">
        <v>70.727821939999998</v>
      </c>
      <c r="P1300" s="2">
        <v>12300</v>
      </c>
      <c r="Q1300" s="7">
        <f t="shared" si="295"/>
        <v>205</v>
      </c>
      <c r="R1300" s="6">
        <f t="shared" si="296"/>
        <v>15.134928096735884</v>
      </c>
      <c r="S1300" s="6">
        <f t="shared" si="302"/>
        <v>140.50441658807205</v>
      </c>
      <c r="T1300" s="2">
        <f t="shared" si="303"/>
        <v>1</v>
      </c>
      <c r="U1300" s="6">
        <f t="shared" si="304"/>
        <v>140.50441658807205</v>
      </c>
      <c r="V1300">
        <f t="shared" si="305"/>
        <v>4.4229680997551979E-2</v>
      </c>
      <c r="W1300" s="6">
        <f t="shared" si="297"/>
        <v>6.2144655244375775</v>
      </c>
      <c r="AK1300" s="78">
        <v>45045.239583333336</v>
      </c>
      <c r="AL1300" s="79">
        <v>7.0131488642934406E-2</v>
      </c>
      <c r="AM1300" s="5">
        <v>65.743635260000005</v>
      </c>
      <c r="AN1300" s="2">
        <v>13856</v>
      </c>
      <c r="AO1300" s="7">
        <f t="shared" si="294"/>
        <v>230.93333333333334</v>
      </c>
      <c r="AP1300" s="5">
        <f t="shared" si="298"/>
        <v>16.195698443941652</v>
      </c>
      <c r="AQ1300" s="6">
        <f t="shared" si="299"/>
        <v>145.24347027326615</v>
      </c>
      <c r="AR1300" s="2">
        <f t="shared" si="300"/>
        <v>-2.1301186875174403</v>
      </c>
      <c r="AS1300" s="2">
        <f t="shared" si="301"/>
        <v>-309.38583026896805</v>
      </c>
    </row>
    <row r="1301" spans="13:45" x14ac:dyDescent="0.3">
      <c r="M1301" s="78">
        <v>45046.25</v>
      </c>
      <c r="N1301" s="79">
        <v>7.1686795702886497E-2</v>
      </c>
      <c r="O1301" s="5">
        <v>72.970159429999995</v>
      </c>
      <c r="P1301" s="2">
        <v>12230</v>
      </c>
      <c r="Q1301" s="7">
        <f t="shared" si="295"/>
        <v>203.83333333333334</v>
      </c>
      <c r="R1301" s="6">
        <f t="shared" si="296"/>
        <v>14.612158524105032</v>
      </c>
      <c r="S1301" s="6">
        <f t="shared" si="302"/>
        <v>138.10653275628908</v>
      </c>
      <c r="T1301" s="2">
        <f t="shared" si="303"/>
        <v>1</v>
      </c>
      <c r="U1301" s="6">
        <f t="shared" si="304"/>
        <v>138.10653275628908</v>
      </c>
      <c r="V1301">
        <f t="shared" si="305"/>
        <v>0</v>
      </c>
      <c r="W1301" s="6">
        <f t="shared" si="297"/>
        <v>0</v>
      </c>
      <c r="AK1301" s="78">
        <v>45045.25</v>
      </c>
      <c r="AL1301" s="79">
        <v>6.9561413114302001E-2</v>
      </c>
      <c r="AM1301" s="5">
        <v>65.283151739999994</v>
      </c>
      <c r="AN1301" s="2">
        <v>13891</v>
      </c>
      <c r="AO1301" s="7">
        <f t="shared" si="294"/>
        <v>231.51666666666668</v>
      </c>
      <c r="AP1301" s="5">
        <f t="shared" si="298"/>
        <v>16.104626492846151</v>
      </c>
      <c r="AQ1301" s="6">
        <f t="shared" si="299"/>
        <v>144.84293929513521</v>
      </c>
      <c r="AR1301" s="2">
        <f t="shared" si="300"/>
        <v>-2.1301186875174403</v>
      </c>
      <c r="AS1301" s="2">
        <f t="shared" si="301"/>
        <v>-308.5326517475217</v>
      </c>
    </row>
    <row r="1302" spans="13:45" x14ac:dyDescent="0.3">
      <c r="M1302" s="78">
        <v>45046.260416666664</v>
      </c>
      <c r="N1302" s="79">
        <v>7.5431888409979803E-2</v>
      </c>
      <c r="O1302" s="5">
        <v>72.970159429999995</v>
      </c>
      <c r="P1302" s="2">
        <v>12313</v>
      </c>
      <c r="Q1302" s="7">
        <f t="shared" si="295"/>
        <v>205.21666666666667</v>
      </c>
      <c r="R1302" s="6">
        <f t="shared" si="296"/>
        <v>15.479880699868023</v>
      </c>
      <c r="S1302" s="6">
        <f t="shared" si="302"/>
        <v>142.06359187347803</v>
      </c>
      <c r="T1302" s="2">
        <f t="shared" si="303"/>
        <v>1</v>
      </c>
      <c r="U1302" s="6">
        <f t="shared" si="304"/>
        <v>142.06359187347803</v>
      </c>
      <c r="V1302">
        <f t="shared" si="305"/>
        <v>0.10737306887979547</v>
      </c>
      <c r="W1302" s="6">
        <f t="shared" si="297"/>
        <v>15.25380383554211</v>
      </c>
      <c r="AK1302" s="78">
        <v>45045.260416666664</v>
      </c>
      <c r="AL1302" s="79">
        <v>6.8317240251667799E-2</v>
      </c>
      <c r="AM1302" s="5">
        <v>64.377553680000005</v>
      </c>
      <c r="AN1302" s="2">
        <v>14083</v>
      </c>
      <c r="AO1302" s="7">
        <f t="shared" si="294"/>
        <v>234.71666666666667</v>
      </c>
      <c r="AP1302" s="5">
        <f t="shared" si="298"/>
        <v>16.035194907737292</v>
      </c>
      <c r="AQ1302" s="6">
        <f t="shared" si="299"/>
        <v>144.53680473065191</v>
      </c>
      <c r="AR1302" s="2">
        <f t="shared" si="300"/>
        <v>-2.1301186875174403</v>
      </c>
      <c r="AS1302" s="2">
        <f t="shared" si="301"/>
        <v>-307.8805487908208</v>
      </c>
    </row>
    <row r="1303" spans="13:45" x14ac:dyDescent="0.3">
      <c r="M1303" s="78">
        <v>45046.270833333336</v>
      </c>
      <c r="N1303" s="79">
        <v>7.7070390365065605E-2</v>
      </c>
      <c r="O1303" s="5">
        <v>70.271667750000006</v>
      </c>
      <c r="P1303" s="2">
        <v>12153</v>
      </c>
      <c r="Q1303" s="7">
        <f t="shared" si="295"/>
        <v>202.55</v>
      </c>
      <c r="R1303" s="6">
        <f t="shared" si="296"/>
        <v>15.610607568444038</v>
      </c>
      <c r="S1303" s="6">
        <f t="shared" si="302"/>
        <v>142.64983439149998</v>
      </c>
      <c r="T1303" s="2">
        <f t="shared" si="303"/>
        <v>1</v>
      </c>
      <c r="U1303" s="6">
        <f t="shared" si="304"/>
        <v>142.64983439149998</v>
      </c>
      <c r="V1303">
        <f t="shared" si="305"/>
        <v>0.13130255163822652</v>
      </c>
      <c r="W1303" s="6">
        <f t="shared" si="297"/>
        <v>18.730287246374388</v>
      </c>
      <c r="AK1303" s="78">
        <v>45045.270833333336</v>
      </c>
      <c r="AL1303" s="79">
        <v>6.9261624000778704E-2</v>
      </c>
      <c r="AM1303" s="5">
        <v>65.743635260000005</v>
      </c>
      <c r="AN1303" s="2">
        <v>14145</v>
      </c>
      <c r="AO1303" s="7">
        <f t="shared" si="294"/>
        <v>235.75</v>
      </c>
      <c r="AP1303" s="5">
        <f t="shared" si="298"/>
        <v>16.328427858183581</v>
      </c>
      <c r="AQ1303" s="6">
        <f t="shared" si="299"/>
        <v>145.82515662347589</v>
      </c>
      <c r="AR1303" s="2">
        <f t="shared" si="300"/>
        <v>-2.1301186875174403</v>
      </c>
      <c r="AS1303" s="2">
        <f t="shared" si="301"/>
        <v>-310.62489123382363</v>
      </c>
    </row>
    <row r="1304" spans="13:45" x14ac:dyDescent="0.3">
      <c r="M1304" s="78">
        <v>45046.28125</v>
      </c>
      <c r="N1304" s="79">
        <v>6.9857083922642699E-2</v>
      </c>
      <c r="O1304" s="5">
        <v>72.970159429999995</v>
      </c>
      <c r="P1304" s="2">
        <v>13968</v>
      </c>
      <c r="Q1304" s="7">
        <f t="shared" si="295"/>
        <v>232.8</v>
      </c>
      <c r="R1304" s="6">
        <f t="shared" si="296"/>
        <v>16.262729137191222</v>
      </c>
      <c r="S1304" s="6">
        <f t="shared" si="302"/>
        <v>145.5375349371586</v>
      </c>
      <c r="T1304" s="2">
        <f t="shared" si="303"/>
        <v>1</v>
      </c>
      <c r="U1304" s="6">
        <f t="shared" si="304"/>
        <v>145.5375349371586</v>
      </c>
      <c r="V1304">
        <f t="shared" si="305"/>
        <v>0.25067305294158104</v>
      </c>
      <c r="W1304" s="6">
        <f t="shared" si="297"/>
        <v>36.482338200289554</v>
      </c>
      <c r="AK1304" s="78">
        <v>45045.28125</v>
      </c>
      <c r="AL1304" s="79">
        <v>6.5884344023866406E-2</v>
      </c>
      <c r="AM1304" s="5">
        <v>63.015482910000003</v>
      </c>
      <c r="AN1304" s="2">
        <v>13948</v>
      </c>
      <c r="AO1304" s="7">
        <f t="shared" si="294"/>
        <v>232.46666666666667</v>
      </c>
      <c r="AP1304" s="5">
        <f t="shared" si="298"/>
        <v>15.315913840748143</v>
      </c>
      <c r="AQ1304" s="6">
        <f t="shared" si="299"/>
        <v>141.32470186448359</v>
      </c>
      <c r="AR1304" s="2">
        <f t="shared" si="300"/>
        <v>-2.1301186875174403</v>
      </c>
      <c r="AS1304" s="2">
        <f t="shared" si="301"/>
        <v>-301.03838844936735</v>
      </c>
    </row>
    <row r="1305" spans="13:45" x14ac:dyDescent="0.3">
      <c r="M1305" s="78">
        <v>45046.291666666664</v>
      </c>
      <c r="N1305" s="79">
        <v>6.5483303268925305E-2</v>
      </c>
      <c r="O1305" s="5">
        <v>70.720093730000002</v>
      </c>
      <c r="P1305" s="2">
        <v>14475</v>
      </c>
      <c r="Q1305" s="7">
        <f t="shared" si="295"/>
        <v>241.25</v>
      </c>
      <c r="R1305" s="6">
        <f t="shared" si="296"/>
        <v>15.797846913628231</v>
      </c>
      <c r="S1305" s="6">
        <f t="shared" si="302"/>
        <v>143.4851595019324</v>
      </c>
      <c r="T1305" s="2">
        <f t="shared" si="303"/>
        <v>1</v>
      </c>
      <c r="U1305" s="6">
        <f t="shared" si="304"/>
        <v>143.4851595019324</v>
      </c>
      <c r="V1305">
        <f t="shared" si="305"/>
        <v>0.16557661274816338</v>
      </c>
      <c r="W1305" s="6">
        <f t="shared" si="297"/>
        <v>23.757786689959914</v>
      </c>
      <c r="AK1305" s="78">
        <v>45045.291666666664</v>
      </c>
      <c r="AL1305" s="79">
        <v>6.4911640858486899E-2</v>
      </c>
      <c r="AM1305" s="5">
        <v>64.377553680000005</v>
      </c>
      <c r="AN1305" s="2">
        <v>14120</v>
      </c>
      <c r="AO1305" s="7">
        <f t="shared" si="294"/>
        <v>235.33333333333334</v>
      </c>
      <c r="AP1305" s="5">
        <f t="shared" si="298"/>
        <v>15.275872815363918</v>
      </c>
      <c r="AQ1305" s="6">
        <f t="shared" si="299"/>
        <v>141.14365106839765</v>
      </c>
      <c r="AR1305" s="2">
        <f t="shared" si="300"/>
        <v>-2.1301186875174403</v>
      </c>
      <c r="AS1305" s="2">
        <f t="shared" si="301"/>
        <v>-300.65272876523477</v>
      </c>
    </row>
    <row r="1306" spans="13:45" x14ac:dyDescent="0.3">
      <c r="M1306" s="78">
        <v>45046.302083333336</v>
      </c>
      <c r="N1306" s="79">
        <v>6.81541915737051E-2</v>
      </c>
      <c r="O1306" s="5">
        <v>69.822823</v>
      </c>
      <c r="P1306" s="2">
        <v>14266</v>
      </c>
      <c r="Q1306" s="7">
        <f t="shared" si="295"/>
        <v>237.76666666666668</v>
      </c>
      <c r="R1306" s="6">
        <f t="shared" si="296"/>
        <v>16.204794949841283</v>
      </c>
      <c r="S1306" s="6">
        <f t="shared" si="302"/>
        <v>145.28341315733707</v>
      </c>
      <c r="T1306" s="2">
        <f t="shared" si="303"/>
        <v>1</v>
      </c>
      <c r="U1306" s="6">
        <f t="shared" si="304"/>
        <v>145.28341315733707</v>
      </c>
      <c r="V1306">
        <f t="shared" si="305"/>
        <v>0.24006823120588744</v>
      </c>
      <c r="W1306" s="6">
        <f t="shared" si="297"/>
        <v>34.877932020236067</v>
      </c>
      <c r="AK1306" s="78">
        <v>45045.302083333336</v>
      </c>
      <c r="AL1306" s="79">
        <v>6.4516882718650401E-2</v>
      </c>
      <c r="AM1306" s="5">
        <v>61.180993239999999</v>
      </c>
      <c r="AN1306" s="2">
        <v>13887</v>
      </c>
      <c r="AO1306" s="7">
        <f t="shared" si="294"/>
        <v>231.45</v>
      </c>
      <c r="AP1306" s="5">
        <f t="shared" si="298"/>
        <v>14.932432505231635</v>
      </c>
      <c r="AQ1306" s="6">
        <f t="shared" si="299"/>
        <v>139.58068590041725</v>
      </c>
      <c r="AR1306" s="2">
        <f t="shared" si="300"/>
        <v>-2.1301186875174403</v>
      </c>
      <c r="AS1306" s="2">
        <f t="shared" si="301"/>
        <v>-297.32342745298087</v>
      </c>
    </row>
    <row r="1307" spans="13:45" x14ac:dyDescent="0.3">
      <c r="M1307" s="78">
        <v>45046.3125</v>
      </c>
      <c r="N1307" s="79">
        <v>6.5948133919392804E-2</v>
      </c>
      <c r="O1307" s="5">
        <v>69.36581735</v>
      </c>
      <c r="P1307" s="2">
        <v>14897</v>
      </c>
      <c r="Q1307" s="7">
        <f t="shared" si="295"/>
        <v>248.28333333333333</v>
      </c>
      <c r="R1307" s="6">
        <f t="shared" si="296"/>
        <v>16.37382251661991</v>
      </c>
      <c r="S1307" s="6">
        <f t="shared" si="302"/>
        <v>146.02354452989491</v>
      </c>
      <c r="T1307" s="2">
        <f t="shared" si="303"/>
        <v>1</v>
      </c>
      <c r="U1307" s="6">
        <f t="shared" si="304"/>
        <v>146.02354452989491</v>
      </c>
      <c r="V1307">
        <f t="shared" si="305"/>
        <v>0.27100863610495196</v>
      </c>
      <c r="W1307" s="6">
        <f t="shared" si="297"/>
        <v>39.573641642257535</v>
      </c>
      <c r="AK1307" s="78">
        <v>45045.3125</v>
      </c>
      <c r="AL1307" s="79">
        <v>6.6376993651806299E-2</v>
      </c>
      <c r="AM1307" s="5">
        <v>63.92387093</v>
      </c>
      <c r="AN1307" s="2">
        <v>14296</v>
      </c>
      <c r="AO1307" s="7">
        <f t="shared" si="294"/>
        <v>238.26666666666668</v>
      </c>
      <c r="AP1307" s="5">
        <f t="shared" si="298"/>
        <v>15.815425020770382</v>
      </c>
      <c r="AQ1307" s="6">
        <f t="shared" si="299"/>
        <v>143.56332013154787</v>
      </c>
      <c r="AR1307" s="2">
        <f t="shared" si="300"/>
        <v>-2.1301186875174403</v>
      </c>
      <c r="AS1307" s="2">
        <f t="shared" si="301"/>
        <v>-305.80691105425888</v>
      </c>
    </row>
    <row r="1308" spans="13:45" x14ac:dyDescent="0.3">
      <c r="M1308" s="78">
        <v>45046.322916666664</v>
      </c>
      <c r="N1308" s="79">
        <v>6.6700055263051297E-2</v>
      </c>
      <c r="O1308" s="5">
        <v>69.36581735</v>
      </c>
      <c r="P1308" s="2">
        <v>14904</v>
      </c>
      <c r="Q1308" s="7">
        <f t="shared" si="295"/>
        <v>248.4</v>
      </c>
      <c r="R1308" s="6">
        <f t="shared" si="296"/>
        <v>16.568293727341942</v>
      </c>
      <c r="S1308" s="6">
        <f t="shared" si="302"/>
        <v>146.87028043800302</v>
      </c>
      <c r="T1308" s="2">
        <f t="shared" si="303"/>
        <v>1</v>
      </c>
      <c r="U1308" s="6">
        <f t="shared" si="304"/>
        <v>146.87028043800302</v>
      </c>
      <c r="V1308">
        <f t="shared" si="305"/>
        <v>0.30660648629959708</v>
      </c>
      <c r="W1308" s="6">
        <f t="shared" si="297"/>
        <v>45.031380626932553</v>
      </c>
      <c r="AK1308" s="78">
        <v>45045.322916666664</v>
      </c>
      <c r="AL1308" s="79">
        <v>6.7278449977253102E-2</v>
      </c>
      <c r="AM1308" s="5">
        <v>63.015482910000003</v>
      </c>
      <c r="AN1308" s="2">
        <v>13930</v>
      </c>
      <c r="AO1308" s="7">
        <f t="shared" si="294"/>
        <v>232.16666666666666</v>
      </c>
      <c r="AP1308" s="5">
        <f t="shared" si="298"/>
        <v>15.619813469718927</v>
      </c>
      <c r="AQ1308" s="6">
        <f t="shared" si="299"/>
        <v>142.69102351498103</v>
      </c>
      <c r="AR1308" s="2">
        <f t="shared" si="300"/>
        <v>-2.1301186875174403</v>
      </c>
      <c r="AS1308" s="2">
        <f t="shared" si="301"/>
        <v>-303.94881573025157</v>
      </c>
    </row>
    <row r="1309" spans="13:45" x14ac:dyDescent="0.3">
      <c r="M1309" s="78">
        <v>45046.333333333336</v>
      </c>
      <c r="N1309" s="79">
        <v>6.3977455052039597E-2</v>
      </c>
      <c r="O1309" s="5">
        <v>66.647934039999996</v>
      </c>
      <c r="P1309" s="2">
        <v>15140</v>
      </c>
      <c r="Q1309" s="7">
        <f t="shared" si="295"/>
        <v>252.33333333333334</v>
      </c>
      <c r="R1309" s="6">
        <f t="shared" si="296"/>
        <v>16.143644491464659</v>
      </c>
      <c r="S1309" s="6">
        <f t="shared" si="302"/>
        <v>145.01468011847709</v>
      </c>
      <c r="T1309" s="2">
        <f t="shared" si="303"/>
        <v>1</v>
      </c>
      <c r="U1309" s="6">
        <f t="shared" si="304"/>
        <v>145.01468011847709</v>
      </c>
      <c r="V1309">
        <f t="shared" si="305"/>
        <v>0.22887467279411627</v>
      </c>
      <c r="W1309" s="6">
        <f t="shared" si="297"/>
        <v>33.190187462459882</v>
      </c>
      <c r="AK1309" s="78">
        <v>45045.333333333336</v>
      </c>
      <c r="AL1309" s="79">
        <v>6.8688634493117198E-2</v>
      </c>
      <c r="AM1309" s="5">
        <v>63.015482910000003</v>
      </c>
      <c r="AN1309" s="2">
        <v>14248</v>
      </c>
      <c r="AO1309" s="7">
        <f t="shared" si="294"/>
        <v>237.46666666666667</v>
      </c>
      <c r="AP1309" s="5">
        <f t="shared" si="298"/>
        <v>16.311261070965564</v>
      </c>
      <c r="AQ1309" s="6">
        <f t="shared" si="299"/>
        <v>145.75005942192914</v>
      </c>
      <c r="AR1309" s="2">
        <f t="shared" si="300"/>
        <v>-2.1301186875174403</v>
      </c>
      <c r="AS1309" s="2">
        <f t="shared" si="301"/>
        <v>-310.46492528142863</v>
      </c>
    </row>
    <row r="1310" spans="13:45" x14ac:dyDescent="0.3">
      <c r="M1310" s="78">
        <v>45046.34375</v>
      </c>
      <c r="N1310" s="79">
        <v>6.9077914949502495E-2</v>
      </c>
      <c r="O1310" s="5">
        <v>70.271667750000006</v>
      </c>
      <c r="P1310" s="2">
        <v>14468</v>
      </c>
      <c r="Q1310" s="7">
        <f t="shared" si="295"/>
        <v>241.13333333333333</v>
      </c>
      <c r="R1310" s="6">
        <f t="shared" si="296"/>
        <v>16.656987891490033</v>
      </c>
      <c r="S1310" s="6">
        <f t="shared" si="302"/>
        <v>147.254774187094</v>
      </c>
      <c r="T1310" s="2">
        <f t="shared" si="303"/>
        <v>1</v>
      </c>
      <c r="U1310" s="6">
        <f t="shared" si="304"/>
        <v>147.254774187094</v>
      </c>
      <c r="V1310">
        <f t="shared" si="305"/>
        <v>0.32284190519147582</v>
      </c>
      <c r="W1310" s="6">
        <f t="shared" si="297"/>
        <v>47.540011847101979</v>
      </c>
      <c r="AK1310" s="78">
        <v>45045.34375</v>
      </c>
      <c r="AL1310" s="79">
        <v>6.9668366371788595E-2</v>
      </c>
      <c r="AM1310" s="5">
        <v>61.92162476</v>
      </c>
      <c r="AN1310" s="2">
        <v>13911</v>
      </c>
      <c r="AO1310" s="7">
        <f t="shared" si="294"/>
        <v>231.85</v>
      </c>
      <c r="AP1310" s="5">
        <f t="shared" si="298"/>
        <v>16.152610743299185</v>
      </c>
      <c r="AQ1310" s="6">
        <f t="shared" si="299"/>
        <v>145.05411584887077</v>
      </c>
      <c r="AR1310" s="2">
        <f t="shared" si="300"/>
        <v>-2.1301186875174403</v>
      </c>
      <c r="AS1310" s="2">
        <f t="shared" si="301"/>
        <v>-308.98248287099932</v>
      </c>
    </row>
    <row r="1311" spans="13:45" x14ac:dyDescent="0.3">
      <c r="M1311" s="78">
        <v>45046.354166666664</v>
      </c>
      <c r="N1311" s="79">
        <v>6.5203125283862004E-2</v>
      </c>
      <c r="O1311" s="5">
        <v>68.466857000000005</v>
      </c>
      <c r="P1311" s="2">
        <v>14672</v>
      </c>
      <c r="Q1311" s="7">
        <f t="shared" si="295"/>
        <v>244.53333333333333</v>
      </c>
      <c r="R1311" s="6">
        <f t="shared" si="296"/>
        <v>15.944337569413722</v>
      </c>
      <c r="S1311" s="6">
        <f t="shared" si="302"/>
        <v>144.13517715302004</v>
      </c>
      <c r="T1311" s="2">
        <f t="shared" si="303"/>
        <v>1</v>
      </c>
      <c r="U1311" s="6">
        <f t="shared" si="304"/>
        <v>144.13517715302004</v>
      </c>
      <c r="V1311">
        <f t="shared" si="305"/>
        <v>0.19239164824985</v>
      </c>
      <c r="W1311" s="6">
        <f t="shared" si="297"/>
        <v>27.730404303253646</v>
      </c>
      <c r="AK1311" s="78">
        <v>45045.354166666664</v>
      </c>
      <c r="AL1311" s="79">
        <v>6.6400352873241905E-2</v>
      </c>
      <c r="AM1311" s="5">
        <v>63.015482910000003</v>
      </c>
      <c r="AN1311" s="2">
        <v>13735</v>
      </c>
      <c r="AO1311" s="7">
        <f t="shared" si="294"/>
        <v>228.91666666666666</v>
      </c>
      <c r="AP1311" s="5">
        <f t="shared" si="298"/>
        <v>15.200147445232959</v>
      </c>
      <c r="AQ1311" s="6">
        <f t="shared" si="299"/>
        <v>140.80058548155284</v>
      </c>
      <c r="AR1311" s="2">
        <f t="shared" si="300"/>
        <v>-2.1301186875174403</v>
      </c>
      <c r="AS1311" s="2">
        <f t="shared" si="301"/>
        <v>-299.92195834765249</v>
      </c>
    </row>
    <row r="1312" spans="13:45" x14ac:dyDescent="0.3">
      <c r="M1312" s="78">
        <v>45046.364583333336</v>
      </c>
      <c r="N1312" s="79">
        <v>6.7811256976263307E-2</v>
      </c>
      <c r="O1312" s="5">
        <v>69.36581735</v>
      </c>
      <c r="P1312" s="2">
        <v>14178</v>
      </c>
      <c r="Q1312" s="7">
        <f t="shared" si="295"/>
        <v>236.3</v>
      </c>
      <c r="R1312" s="6">
        <f t="shared" si="296"/>
        <v>16.02380002349102</v>
      </c>
      <c r="S1312" s="6">
        <f t="shared" si="302"/>
        <v>144.48649835923493</v>
      </c>
      <c r="T1312" s="2">
        <f t="shared" si="303"/>
        <v>1</v>
      </c>
      <c r="U1312" s="6">
        <f t="shared" si="304"/>
        <v>144.48649835923493</v>
      </c>
      <c r="V1312">
        <f t="shared" si="305"/>
        <v>0.20693720759429055</v>
      </c>
      <c r="W1312" s="6">
        <f t="shared" si="297"/>
        <v>29.89963250553712</v>
      </c>
      <c r="AK1312" s="78">
        <v>45045.364583333336</v>
      </c>
      <c r="AL1312" s="79">
        <v>6.4036347442102598E-2</v>
      </c>
      <c r="AM1312" s="5">
        <v>63.916046000000001</v>
      </c>
      <c r="AN1312" s="2">
        <v>13541</v>
      </c>
      <c r="AO1312" s="7">
        <f t="shared" si="294"/>
        <v>225.68333333333334</v>
      </c>
      <c r="AP1312" s="5">
        <f t="shared" si="298"/>
        <v>14.451936345225189</v>
      </c>
      <c r="AQ1312" s="6">
        <f t="shared" si="299"/>
        <v>137.36287578073006</v>
      </c>
      <c r="AR1312" s="2">
        <f t="shared" si="300"/>
        <v>-2.1301186875174403</v>
      </c>
      <c r="AS1312" s="2">
        <f t="shared" si="301"/>
        <v>-292.59922867166989</v>
      </c>
    </row>
    <row r="1313" spans="13:45" x14ac:dyDescent="0.3">
      <c r="M1313" s="78">
        <v>45046.375</v>
      </c>
      <c r="N1313" s="79">
        <v>6.7778449427294399E-2</v>
      </c>
      <c r="O1313" s="5">
        <v>69.36581735</v>
      </c>
      <c r="P1313" s="2">
        <v>13946</v>
      </c>
      <c r="Q1313" s="7">
        <f t="shared" si="295"/>
        <v>232.43333333333334</v>
      </c>
      <c r="R1313" s="6">
        <f t="shared" si="296"/>
        <v>15.753970928550794</v>
      </c>
      <c r="S1313" s="6">
        <f t="shared" si="302"/>
        <v>143.28987213613615</v>
      </c>
      <c r="T1313" s="2">
        <f t="shared" si="303"/>
        <v>1</v>
      </c>
      <c r="U1313" s="6">
        <f t="shared" si="304"/>
        <v>143.28987213613615</v>
      </c>
      <c r="V1313">
        <f t="shared" si="305"/>
        <v>0.1575451373532703</v>
      </c>
      <c r="W1313" s="6">
        <f t="shared" si="297"/>
        <v>22.574622587020109</v>
      </c>
      <c r="AK1313" s="78">
        <v>45045.375</v>
      </c>
      <c r="AL1313" s="79">
        <v>6.8130976798883205E-2</v>
      </c>
      <c r="AM1313" s="5">
        <v>61.187353479999999</v>
      </c>
      <c r="AN1313" s="2">
        <v>13949</v>
      </c>
      <c r="AO1313" s="7">
        <f t="shared" si="294"/>
        <v>232.48333333333332</v>
      </c>
      <c r="AP1313" s="5">
        <f t="shared" si="298"/>
        <v>15.839316589460363</v>
      </c>
      <c r="AQ1313" s="6">
        <f t="shared" si="299"/>
        <v>143.66948237690949</v>
      </c>
      <c r="AR1313" s="2">
        <f t="shared" si="300"/>
        <v>-2.1301186875174403</v>
      </c>
      <c r="AS1313" s="2">
        <f t="shared" si="301"/>
        <v>-306.03304923701245</v>
      </c>
    </row>
    <row r="1314" spans="13:45" x14ac:dyDescent="0.3">
      <c r="M1314" s="78">
        <v>45046.385416666664</v>
      </c>
      <c r="N1314" s="79">
        <v>7.1530503296057604E-2</v>
      </c>
      <c r="O1314" s="5">
        <v>67.106545600000004</v>
      </c>
      <c r="P1314" s="2">
        <v>14252</v>
      </c>
      <c r="Q1314" s="7">
        <f t="shared" si="295"/>
        <v>237.53333333333333</v>
      </c>
      <c r="R1314" s="6">
        <f t="shared" si="296"/>
        <v>16.99087888292355</v>
      </c>
      <c r="S1314" s="6">
        <f t="shared" si="302"/>
        <v>148.69292048606206</v>
      </c>
      <c r="T1314" s="2">
        <f t="shared" si="303"/>
        <v>1</v>
      </c>
      <c r="U1314" s="6">
        <f t="shared" si="304"/>
        <v>148.69292048606206</v>
      </c>
      <c r="V1314">
        <f t="shared" si="305"/>
        <v>0.38396047102064063</v>
      </c>
      <c r="W1314" s="6">
        <f t="shared" si="297"/>
        <v>57.092203787263053</v>
      </c>
      <c r="AK1314" s="78">
        <v>45045.385416666664</v>
      </c>
      <c r="AL1314" s="79">
        <v>6.5519132781080694E-2</v>
      </c>
      <c r="AM1314" s="5">
        <v>65.290959470000004</v>
      </c>
      <c r="AN1314" s="2">
        <v>14165</v>
      </c>
      <c r="AO1314" s="7">
        <f t="shared" si="294"/>
        <v>236.08333333333334</v>
      </c>
      <c r="AP1314" s="5">
        <f t="shared" si="298"/>
        <v>15.467975264066801</v>
      </c>
      <c r="AQ1314" s="6">
        <f t="shared" si="299"/>
        <v>142.01007683636681</v>
      </c>
      <c r="AR1314" s="2">
        <f t="shared" si="300"/>
        <v>-2.1301186875174403</v>
      </c>
      <c r="AS1314" s="2">
        <f t="shared" si="301"/>
        <v>-302.4983184849325</v>
      </c>
    </row>
    <row r="1315" spans="13:45" x14ac:dyDescent="0.3">
      <c r="M1315" s="78">
        <v>45046.395833333336</v>
      </c>
      <c r="N1315" s="79">
        <v>6.8600580965858998E-2</v>
      </c>
      <c r="O1315" s="5">
        <v>68.466857000000005</v>
      </c>
      <c r="P1315" s="2">
        <v>14153</v>
      </c>
      <c r="Q1315" s="7">
        <f t="shared" si="295"/>
        <v>235.88333333333333</v>
      </c>
      <c r="R1315" s="6">
        <f t="shared" si="296"/>
        <v>16.181733706830041</v>
      </c>
      <c r="S1315" s="6">
        <f t="shared" si="302"/>
        <v>145.18212863358801</v>
      </c>
      <c r="T1315" s="2">
        <f t="shared" si="303"/>
        <v>1</v>
      </c>
      <c r="U1315" s="6">
        <f t="shared" si="304"/>
        <v>145.18212863358801</v>
      </c>
      <c r="V1315">
        <f t="shared" si="305"/>
        <v>0.23584688311550153</v>
      </c>
      <c r="W1315" s="6">
        <f t="shared" si="297"/>
        <v>34.240752522305542</v>
      </c>
      <c r="AK1315" s="78">
        <v>45045.395833333336</v>
      </c>
      <c r="AL1315" s="79">
        <v>7.1031933422586499E-2</v>
      </c>
      <c r="AM1315" s="5">
        <v>60.811216330000001</v>
      </c>
      <c r="AN1315" s="2">
        <v>13739</v>
      </c>
      <c r="AO1315" s="7">
        <f t="shared" si="294"/>
        <v>228.98333333333332</v>
      </c>
      <c r="AP1315" s="5">
        <f t="shared" si="298"/>
        <v>16.265128888215266</v>
      </c>
      <c r="AQ1315" s="6">
        <f t="shared" si="299"/>
        <v>145.54805120225365</v>
      </c>
      <c r="AR1315" s="2">
        <f t="shared" si="300"/>
        <v>-2.1301186875174403</v>
      </c>
      <c r="AS1315" s="2">
        <f t="shared" si="301"/>
        <v>-310.03462379766574</v>
      </c>
    </row>
    <row r="1316" spans="13:45" x14ac:dyDescent="0.3">
      <c r="M1316" s="78">
        <v>45046.40625</v>
      </c>
      <c r="N1316" s="79">
        <v>7.0748827710581302E-2</v>
      </c>
      <c r="O1316" s="5">
        <v>68.466857000000005</v>
      </c>
      <c r="P1316" s="2">
        <v>14221</v>
      </c>
      <c r="Q1316" s="7">
        <f t="shared" si="295"/>
        <v>237.01666666666668</v>
      </c>
      <c r="R1316" s="6">
        <f t="shared" si="296"/>
        <v>16.768651314536278</v>
      </c>
      <c r="S1316" s="6">
        <f t="shared" si="302"/>
        <v>147.73735825661066</v>
      </c>
      <c r="T1316" s="2">
        <f t="shared" si="303"/>
        <v>1</v>
      </c>
      <c r="U1316" s="6">
        <f t="shared" si="304"/>
        <v>147.73735825661066</v>
      </c>
      <c r="V1316">
        <f t="shared" si="305"/>
        <v>0.34328183453147038</v>
      </c>
      <c r="W1316" s="6">
        <f t="shared" si="297"/>
        <v>50.715551371162377</v>
      </c>
      <c r="AK1316" s="78">
        <v>45045.40625</v>
      </c>
      <c r="AL1316" s="79">
        <v>6.7891968506988698E-2</v>
      </c>
      <c r="AM1316" s="5">
        <v>60.060669519999998</v>
      </c>
      <c r="AN1316" s="2">
        <v>13735</v>
      </c>
      <c r="AO1316" s="7">
        <f t="shared" ref="AO1316:AO1379" si="306">AN1316/60</f>
        <v>228.91666666666666</v>
      </c>
      <c r="AP1316" s="5">
        <f t="shared" si="298"/>
        <v>15.541603124058161</v>
      </c>
      <c r="AQ1316" s="6">
        <f t="shared" si="299"/>
        <v>142.34069861480418</v>
      </c>
      <c r="AR1316" s="2">
        <f t="shared" si="300"/>
        <v>-2.1301186875174403</v>
      </c>
      <c r="AS1316" s="2">
        <f t="shared" si="301"/>
        <v>-303.20258211368224</v>
      </c>
    </row>
    <row r="1317" spans="13:45" x14ac:dyDescent="0.3">
      <c r="M1317" s="78">
        <v>45046.416666666664</v>
      </c>
      <c r="N1317" s="79">
        <v>6.6675367821617704E-2</v>
      </c>
      <c r="O1317" s="5">
        <v>67.106545600000004</v>
      </c>
      <c r="P1317" s="2">
        <v>14634</v>
      </c>
      <c r="Q1317" s="7">
        <f t="shared" si="295"/>
        <v>243.9</v>
      </c>
      <c r="R1317" s="6">
        <f t="shared" si="296"/>
        <v>16.262122211692557</v>
      </c>
      <c r="S1317" s="6">
        <f t="shared" si="302"/>
        <v>145.53487512351535</v>
      </c>
      <c r="T1317" s="2">
        <f t="shared" si="303"/>
        <v>1</v>
      </c>
      <c r="U1317" s="6">
        <f t="shared" si="304"/>
        <v>145.53487512351535</v>
      </c>
      <c r="V1317">
        <f t="shared" si="305"/>
        <v>0.25056195555652033</v>
      </c>
      <c r="W1317" s="6">
        <f t="shared" si="297"/>
        <v>36.465502912621986</v>
      </c>
      <c r="AK1317" s="78">
        <v>45045.416666666664</v>
      </c>
      <c r="AL1317" s="79">
        <v>7.0015247108535905E-2</v>
      </c>
      <c r="AM1317" s="5">
        <v>60.811216330000001</v>
      </c>
      <c r="AN1317" s="2">
        <v>13814</v>
      </c>
      <c r="AO1317" s="7">
        <f t="shared" si="306"/>
        <v>230.23333333333332</v>
      </c>
      <c r="AP1317" s="5">
        <f t="shared" si="298"/>
        <v>16.119843725955249</v>
      </c>
      <c r="AQ1317" s="6">
        <f t="shared" si="299"/>
        <v>144.90994438635795</v>
      </c>
      <c r="AR1317" s="2">
        <f t="shared" si="300"/>
        <v>-2.1301186875174403</v>
      </c>
      <c r="AS1317" s="2">
        <f t="shared" si="301"/>
        <v>-308.67538054449403</v>
      </c>
    </row>
    <row r="1318" spans="13:45" x14ac:dyDescent="0.3">
      <c r="M1318" s="78">
        <v>45046.427083333336</v>
      </c>
      <c r="N1318" s="79">
        <v>7.41521472444472E-2</v>
      </c>
      <c r="O1318" s="5">
        <v>68.008627450000006</v>
      </c>
      <c r="P1318" s="2">
        <v>13570</v>
      </c>
      <c r="Q1318" s="7">
        <f t="shared" si="295"/>
        <v>226.16666666666666</v>
      </c>
      <c r="R1318" s="6">
        <f t="shared" si="296"/>
        <v>16.770743968452475</v>
      </c>
      <c r="S1318" s="6">
        <f t="shared" si="302"/>
        <v>147.74638655452412</v>
      </c>
      <c r="T1318" s="2">
        <f t="shared" si="303"/>
        <v>1</v>
      </c>
      <c r="U1318" s="6">
        <f t="shared" si="304"/>
        <v>147.74638655452412</v>
      </c>
      <c r="V1318">
        <f t="shared" si="305"/>
        <v>0.3436648937017272</v>
      </c>
      <c r="W1318" s="6">
        <f t="shared" si="297"/>
        <v>50.775246230074828</v>
      </c>
      <c r="AK1318" s="78">
        <v>45045.427083333336</v>
      </c>
      <c r="AL1318" s="79">
        <v>6.9039272465999904E-2</v>
      </c>
      <c r="AM1318" s="5">
        <v>61.92162476</v>
      </c>
      <c r="AN1318" s="2">
        <v>13721</v>
      </c>
      <c r="AO1318" s="7">
        <f t="shared" si="306"/>
        <v>228.68333333333334</v>
      </c>
      <c r="AP1318" s="5">
        <f t="shared" si="298"/>
        <v>15.788130958433078</v>
      </c>
      <c r="AQ1318" s="6">
        <f t="shared" si="299"/>
        <v>143.44193869636183</v>
      </c>
      <c r="AR1318" s="2">
        <f t="shared" si="300"/>
        <v>-2.1301186875174403</v>
      </c>
      <c r="AS1318" s="2">
        <f t="shared" si="301"/>
        <v>-305.5483541908514</v>
      </c>
    </row>
    <row r="1319" spans="13:45" x14ac:dyDescent="0.3">
      <c r="M1319" s="78">
        <v>45046.4375</v>
      </c>
      <c r="N1319" s="79">
        <v>7.45901941687937E-2</v>
      </c>
      <c r="O1319" s="5">
        <v>68.466857000000005</v>
      </c>
      <c r="P1319" s="2">
        <v>13250</v>
      </c>
      <c r="Q1319" s="7">
        <f t="shared" si="295"/>
        <v>220.83333333333334</v>
      </c>
      <c r="R1319" s="6">
        <f t="shared" si="296"/>
        <v>16.472001212275277</v>
      </c>
      <c r="S1319" s="6">
        <f t="shared" si="302"/>
        <v>146.45165636633868</v>
      </c>
      <c r="T1319" s="2">
        <f t="shared" si="303"/>
        <v>1</v>
      </c>
      <c r="U1319" s="6">
        <f t="shared" si="304"/>
        <v>146.45165636633868</v>
      </c>
      <c r="V1319">
        <f t="shared" si="305"/>
        <v>0.28898019337180586</v>
      </c>
      <c r="W1319" s="6">
        <f t="shared" si="297"/>
        <v>42.321627976365818</v>
      </c>
      <c r="AK1319" s="78">
        <v>45045.4375</v>
      </c>
      <c r="AL1319" s="79">
        <v>6.9416831991890901E-2</v>
      </c>
      <c r="AM1319" s="5">
        <v>60.440350530000003</v>
      </c>
      <c r="AN1319" s="2">
        <v>13331</v>
      </c>
      <c r="AO1319" s="7">
        <f t="shared" si="306"/>
        <v>222.18333333333334</v>
      </c>
      <c r="AP1319" s="5">
        <f t="shared" si="298"/>
        <v>15.423263121398294</v>
      </c>
      <c r="AQ1319" s="6">
        <f t="shared" si="299"/>
        <v>141.80890742761642</v>
      </c>
      <c r="AR1319" s="2">
        <f t="shared" si="300"/>
        <v>-2.1301186875174403</v>
      </c>
      <c r="AS1319" s="2">
        <f t="shared" si="301"/>
        <v>-302.06980376799646</v>
      </c>
    </row>
    <row r="1320" spans="13:45" x14ac:dyDescent="0.3">
      <c r="M1320" s="78">
        <v>45046.447916666664</v>
      </c>
      <c r="N1320" s="79">
        <v>7.2881944635859702E-2</v>
      </c>
      <c r="O1320" s="5">
        <v>69.822823</v>
      </c>
      <c r="P1320" s="2">
        <v>12940</v>
      </c>
      <c r="Q1320" s="7">
        <f t="shared" si="295"/>
        <v>215.66666666666666</v>
      </c>
      <c r="R1320" s="6">
        <f t="shared" si="296"/>
        <v>15.718206059800409</v>
      </c>
      <c r="S1320" s="6">
        <f t="shared" si="302"/>
        <v>143.13048107100423</v>
      </c>
      <c r="T1320" s="2">
        <f t="shared" si="303"/>
        <v>1</v>
      </c>
      <c r="U1320" s="6">
        <f t="shared" si="304"/>
        <v>143.13048107100423</v>
      </c>
      <c r="V1320">
        <f t="shared" si="305"/>
        <v>0.15099839742564594</v>
      </c>
      <c r="W1320" s="6">
        <f t="shared" si="297"/>
        <v>21.612473264483391</v>
      </c>
      <c r="AK1320" s="78">
        <v>45045.447916666664</v>
      </c>
      <c r="AL1320" s="79">
        <v>7.0371414773405694E-2</v>
      </c>
      <c r="AM1320" s="5">
        <v>61.92162476</v>
      </c>
      <c r="AN1320" s="2">
        <v>13644</v>
      </c>
      <c r="AO1320" s="7">
        <f t="shared" si="306"/>
        <v>227.4</v>
      </c>
      <c r="AP1320" s="5">
        <f t="shared" si="298"/>
        <v>16.002459719472455</v>
      </c>
      <c r="AQ1320" s="6">
        <f t="shared" si="299"/>
        <v>144.39223560924481</v>
      </c>
      <c r="AR1320" s="2">
        <f t="shared" si="300"/>
        <v>-2.1301186875174403</v>
      </c>
      <c r="AS1320" s="2">
        <f t="shared" si="301"/>
        <v>-307.57259940367356</v>
      </c>
    </row>
    <row r="1321" spans="13:45" x14ac:dyDescent="0.3">
      <c r="M1321" s="78">
        <v>45046.458333333336</v>
      </c>
      <c r="N1321" s="79">
        <v>7.1210108366451197E-2</v>
      </c>
      <c r="O1321" s="5">
        <v>68.466857000000005</v>
      </c>
      <c r="P1321" s="2">
        <v>13468</v>
      </c>
      <c r="Q1321" s="7">
        <f t="shared" si="295"/>
        <v>224.46666666666667</v>
      </c>
      <c r="R1321" s="6">
        <f t="shared" si="296"/>
        <v>15.984295657989412</v>
      </c>
      <c r="S1321" s="6">
        <f t="shared" si="302"/>
        <v>144.31195216474572</v>
      </c>
      <c r="T1321" s="2">
        <f t="shared" si="303"/>
        <v>1</v>
      </c>
      <c r="U1321" s="6">
        <f t="shared" si="304"/>
        <v>144.31195216474572</v>
      </c>
      <c r="V1321">
        <f t="shared" si="305"/>
        <v>0.19970595480402112</v>
      </c>
      <c r="W1321" s="6">
        <f t="shared" si="297"/>
        <v>28.819956196692765</v>
      </c>
      <c r="AK1321" s="78">
        <v>45045.458333333336</v>
      </c>
      <c r="AL1321" s="79">
        <v>6.6461236159053902E-2</v>
      </c>
      <c r="AM1321" s="5">
        <v>63.015482910000003</v>
      </c>
      <c r="AN1321" s="2">
        <v>13540</v>
      </c>
      <c r="AO1321" s="7">
        <f t="shared" si="306"/>
        <v>225.66666666666666</v>
      </c>
      <c r="AP1321" s="5">
        <f t="shared" si="298"/>
        <v>14.998085626559829</v>
      </c>
      <c r="AQ1321" s="6">
        <f t="shared" si="299"/>
        <v>139.88087426597721</v>
      </c>
      <c r="AR1321" s="2">
        <f t="shared" si="300"/>
        <v>-2.1301186875174403</v>
      </c>
      <c r="AS1321" s="2">
        <f t="shared" si="301"/>
        <v>-297.96286430023548</v>
      </c>
    </row>
    <row r="1322" spans="13:45" x14ac:dyDescent="0.3">
      <c r="M1322" s="78">
        <v>45046.46875</v>
      </c>
      <c r="N1322" s="79">
        <v>7.6911124071136802E-2</v>
      </c>
      <c r="O1322" s="5">
        <v>68.466857000000005</v>
      </c>
      <c r="P1322" s="2">
        <v>13164</v>
      </c>
      <c r="Q1322" s="7">
        <f t="shared" si="295"/>
        <v>219.4</v>
      </c>
      <c r="R1322" s="6">
        <f t="shared" si="296"/>
        <v>16.874300621207414</v>
      </c>
      <c r="S1322" s="6">
        <f t="shared" si="302"/>
        <v>148.19244318031338</v>
      </c>
      <c r="T1322" s="2">
        <f t="shared" si="303"/>
        <v>1</v>
      </c>
      <c r="U1322" s="6">
        <f t="shared" si="304"/>
        <v>148.19244318031338</v>
      </c>
      <c r="V1322">
        <f t="shared" si="305"/>
        <v>0.36262088311395119</v>
      </c>
      <c r="W1322" s="6">
        <f t="shared" si="297"/>
        <v>53.737674616859266</v>
      </c>
      <c r="AK1322" s="78">
        <v>45045.46875</v>
      </c>
      <c r="AL1322" s="79">
        <v>6.7055409979625599E-2</v>
      </c>
      <c r="AM1322" s="5">
        <v>58.930610829999999</v>
      </c>
      <c r="AN1322" s="2">
        <v>13436</v>
      </c>
      <c r="AO1322" s="7">
        <f t="shared" si="306"/>
        <v>223.93333333333334</v>
      </c>
      <c r="AP1322" s="5">
        <f t="shared" si="298"/>
        <v>15.015941474770827</v>
      </c>
      <c r="AQ1322" s="6">
        <f t="shared" si="299"/>
        <v>139.96240122315555</v>
      </c>
      <c r="AR1322" s="2">
        <f t="shared" si="300"/>
        <v>-2.1301186875174403</v>
      </c>
      <c r="AS1322" s="2">
        <f t="shared" si="301"/>
        <v>-298.13652639525748</v>
      </c>
    </row>
    <row r="1323" spans="13:45" x14ac:dyDescent="0.3">
      <c r="M1323" s="78">
        <v>45046.479166666664</v>
      </c>
      <c r="N1323" s="79">
        <v>7.1370275342498304E-2</v>
      </c>
      <c r="O1323" s="5">
        <v>68.008627450000006</v>
      </c>
      <c r="P1323" s="2">
        <v>12616</v>
      </c>
      <c r="Q1323" s="7">
        <f t="shared" si="295"/>
        <v>210.26666666666668</v>
      </c>
      <c r="R1323" s="6">
        <f t="shared" si="296"/>
        <v>15.006789895349311</v>
      </c>
      <c r="S1323" s="6">
        <f t="shared" si="302"/>
        <v>139.92062275381323</v>
      </c>
      <c r="T1323" s="2">
        <f t="shared" si="303"/>
        <v>1</v>
      </c>
      <c r="U1323" s="6">
        <f t="shared" si="304"/>
        <v>139.92062275381323</v>
      </c>
      <c r="V1323">
        <f t="shared" si="305"/>
        <v>2.077405237141864E-2</v>
      </c>
      <c r="W1323" s="6">
        <f t="shared" si="297"/>
        <v>2.9067183449292266</v>
      </c>
      <c r="AK1323" s="78">
        <v>45045.479166666664</v>
      </c>
      <c r="AL1323" s="79">
        <v>7.3569297726295599E-2</v>
      </c>
      <c r="AM1323" s="5">
        <v>63.015482910000003</v>
      </c>
      <c r="AN1323" s="2">
        <v>12740</v>
      </c>
      <c r="AO1323" s="7">
        <f t="shared" si="306"/>
        <v>212.33333333333334</v>
      </c>
      <c r="AP1323" s="5">
        <f t="shared" si="298"/>
        <v>15.621214217216766</v>
      </c>
      <c r="AQ1323" s="6">
        <f t="shared" si="299"/>
        <v>142.69728966563767</v>
      </c>
      <c r="AR1323" s="2">
        <f t="shared" si="300"/>
        <v>-2.1301186875174403</v>
      </c>
      <c r="AS1323" s="2">
        <f t="shared" si="301"/>
        <v>-303.96216337486408</v>
      </c>
    </row>
    <row r="1324" spans="13:45" x14ac:dyDescent="0.3">
      <c r="M1324" s="78">
        <v>45046.489583333336</v>
      </c>
      <c r="N1324" s="79">
        <v>7.4499322387169803E-2</v>
      </c>
      <c r="O1324" s="5">
        <v>69.822823</v>
      </c>
      <c r="P1324" s="2">
        <v>12638</v>
      </c>
      <c r="Q1324" s="7">
        <f t="shared" si="295"/>
        <v>210.63333333333333</v>
      </c>
      <c r="R1324" s="6">
        <f t="shared" si="296"/>
        <v>15.692040605484198</v>
      </c>
      <c r="S1324" s="6">
        <f t="shared" si="302"/>
        <v>143.01375385870364</v>
      </c>
      <c r="T1324" s="2">
        <f t="shared" si="303"/>
        <v>1</v>
      </c>
      <c r="U1324" s="6">
        <f t="shared" si="304"/>
        <v>143.01375385870364</v>
      </c>
      <c r="V1324">
        <f t="shared" si="305"/>
        <v>0.14620882513077998</v>
      </c>
      <c r="W1324" s="6">
        <f t="shared" si="297"/>
        <v>20.90987292922361</v>
      </c>
      <c r="AK1324" s="78">
        <v>45045.489583333336</v>
      </c>
      <c r="AL1324" s="79">
        <v>6.5066421676467798E-2</v>
      </c>
      <c r="AM1324" s="5">
        <v>60.067120299999999</v>
      </c>
      <c r="AN1324" s="2">
        <v>13669</v>
      </c>
      <c r="AO1324" s="7">
        <f t="shared" si="306"/>
        <v>227.81666666666666</v>
      </c>
      <c r="AP1324" s="5">
        <f t="shared" si="298"/>
        <v>14.823215298260639</v>
      </c>
      <c r="AQ1324" s="6">
        <f t="shared" si="299"/>
        <v>139.07981171240741</v>
      </c>
      <c r="AR1324" s="2">
        <f t="shared" si="300"/>
        <v>-2.1301186875174403</v>
      </c>
      <c r="AS1324" s="2">
        <f t="shared" si="301"/>
        <v>-296.25650598500596</v>
      </c>
    </row>
    <row r="1325" spans="13:45" x14ac:dyDescent="0.3">
      <c r="M1325" s="78">
        <v>45046.5</v>
      </c>
      <c r="N1325" s="79">
        <v>7.2730517452969295E-2</v>
      </c>
      <c r="O1325" s="5">
        <v>64.837941950000001</v>
      </c>
      <c r="P1325" s="2">
        <v>13316</v>
      </c>
      <c r="Q1325" s="7">
        <f t="shared" si="295"/>
        <v>221.93333333333334</v>
      </c>
      <c r="R1325" s="6">
        <f t="shared" si="296"/>
        <v>16.141326173395651</v>
      </c>
      <c r="S1325" s="6">
        <f t="shared" si="302"/>
        <v>145.00448178000227</v>
      </c>
      <c r="T1325" s="2">
        <f t="shared" si="303"/>
        <v>1</v>
      </c>
      <c r="U1325" s="6">
        <f t="shared" si="304"/>
        <v>145.00448178000227</v>
      </c>
      <c r="V1325">
        <f t="shared" si="305"/>
        <v>0.22845030592244572</v>
      </c>
      <c r="W1325" s="6">
        <f t="shared" si="297"/>
        <v>33.126318222767225</v>
      </c>
      <c r="AK1325" s="78">
        <v>45045.5</v>
      </c>
      <c r="AL1325" s="79">
        <v>7.7582031042312802E-2</v>
      </c>
      <c r="AM1325" s="5">
        <v>63.916046000000001</v>
      </c>
      <c r="AN1325" s="2">
        <v>12664</v>
      </c>
      <c r="AO1325" s="7">
        <f t="shared" si="306"/>
        <v>211.06666666666666</v>
      </c>
      <c r="AP1325" s="5">
        <f t="shared" si="298"/>
        <v>16.374980685330822</v>
      </c>
      <c r="AQ1325" s="6">
        <f t="shared" si="299"/>
        <v>146.02860239103285</v>
      </c>
      <c r="AR1325" s="2">
        <f t="shared" si="300"/>
        <v>-2.1301186875174403</v>
      </c>
      <c r="AS1325" s="2">
        <f t="shared" si="301"/>
        <v>-311.05825486519302</v>
      </c>
    </row>
    <row r="1326" spans="13:45" x14ac:dyDescent="0.3">
      <c r="M1326" s="78">
        <v>45046.510416666664</v>
      </c>
      <c r="N1326" s="79">
        <v>7.6707732134231099E-2</v>
      </c>
      <c r="O1326" s="5">
        <v>69.36581735</v>
      </c>
      <c r="P1326" s="2">
        <v>12526</v>
      </c>
      <c r="Q1326" s="7">
        <f t="shared" si="295"/>
        <v>208.76666666666668</v>
      </c>
      <c r="R1326" s="6">
        <f t="shared" si="296"/>
        <v>16.01401754522298</v>
      </c>
      <c r="S1326" s="6">
        <f t="shared" si="302"/>
        <v>144.44329590584499</v>
      </c>
      <c r="T1326" s="2">
        <f t="shared" si="303"/>
        <v>1</v>
      </c>
      <c r="U1326" s="6">
        <f t="shared" si="304"/>
        <v>144.44329590584499</v>
      </c>
      <c r="V1326">
        <f t="shared" si="305"/>
        <v>0.2051465302255164</v>
      </c>
      <c r="W1326" s="6">
        <f t="shared" si="297"/>
        <v>29.632040969421638</v>
      </c>
      <c r="AK1326" s="78">
        <v>45045.510416666664</v>
      </c>
      <c r="AL1326" s="79">
        <v>7.4887637512479996E-2</v>
      </c>
      <c r="AM1326" s="5">
        <v>61.180993239999999</v>
      </c>
      <c r="AN1326" s="2">
        <v>13119</v>
      </c>
      <c r="AO1326" s="7">
        <f t="shared" si="306"/>
        <v>218.65</v>
      </c>
      <c r="AP1326" s="5">
        <f t="shared" si="298"/>
        <v>16.37418194210375</v>
      </c>
      <c r="AQ1326" s="6">
        <f t="shared" si="299"/>
        <v>146.02511420346318</v>
      </c>
      <c r="AR1326" s="2">
        <f t="shared" si="300"/>
        <v>-2.1301186875174403</v>
      </c>
      <c r="AS1326" s="2">
        <f t="shared" si="301"/>
        <v>-311.05082461166529</v>
      </c>
    </row>
    <row r="1327" spans="13:45" x14ac:dyDescent="0.3">
      <c r="M1327" s="78">
        <v>45046.520833333336</v>
      </c>
      <c r="N1327" s="79">
        <v>7.7355728566916304E-2</v>
      </c>
      <c r="O1327" s="5">
        <v>70.720093730000002</v>
      </c>
      <c r="P1327" s="2">
        <v>12046</v>
      </c>
      <c r="Q1327" s="7">
        <f t="shared" si="295"/>
        <v>200.76666666666668</v>
      </c>
      <c r="R1327" s="6">
        <f t="shared" si="296"/>
        <v>15.530451771951231</v>
      </c>
      <c r="S1327" s="6">
        <f t="shared" si="302"/>
        <v>142.29067553333454</v>
      </c>
      <c r="T1327" s="2">
        <f t="shared" si="303"/>
        <v>1</v>
      </c>
      <c r="U1327" s="6">
        <f t="shared" si="304"/>
        <v>142.29067553333454</v>
      </c>
      <c r="V1327">
        <f t="shared" si="305"/>
        <v>0.11663007633872371</v>
      </c>
      <c r="W1327" s="6">
        <f t="shared" si="297"/>
        <v>16.595372349741375</v>
      </c>
      <c r="AK1327" s="78">
        <v>45045.520833333336</v>
      </c>
      <c r="AL1327" s="79">
        <v>7.4034421557291397E-2</v>
      </c>
      <c r="AM1327" s="5">
        <v>61.180993239999999</v>
      </c>
      <c r="AN1327" s="2">
        <v>12713</v>
      </c>
      <c r="AO1327" s="7">
        <f t="shared" si="306"/>
        <v>211.88333333333333</v>
      </c>
      <c r="AP1327" s="5">
        <f t="shared" si="298"/>
        <v>15.686660020964091</v>
      </c>
      <c r="AQ1327" s="6">
        <f t="shared" si="299"/>
        <v>142.98973812025733</v>
      </c>
      <c r="AR1327" s="2">
        <f t="shared" si="300"/>
        <v>-2.1301186875174403</v>
      </c>
      <c r="AS1327" s="2">
        <f t="shared" si="301"/>
        <v>-304.58511329318503</v>
      </c>
    </row>
    <row r="1328" spans="13:45" x14ac:dyDescent="0.3">
      <c r="M1328" s="78">
        <v>45046.53125</v>
      </c>
      <c r="N1328" s="79">
        <v>8.1436396893768997E-2</v>
      </c>
      <c r="O1328" s="5">
        <v>70.720093730000002</v>
      </c>
      <c r="P1328" s="2">
        <v>12138</v>
      </c>
      <c r="Q1328" s="7">
        <f t="shared" si="295"/>
        <v>202.3</v>
      </c>
      <c r="R1328" s="6">
        <f t="shared" si="296"/>
        <v>16.474583091609468</v>
      </c>
      <c r="S1328" s="6">
        <f t="shared" si="302"/>
        <v>146.46289715027038</v>
      </c>
      <c r="T1328" s="2">
        <f t="shared" si="303"/>
        <v>1</v>
      </c>
      <c r="U1328" s="6">
        <f t="shared" si="304"/>
        <v>146.46289715027038</v>
      </c>
      <c r="V1328">
        <f t="shared" si="305"/>
        <v>0.28945280499086207</v>
      </c>
      <c r="W1328" s="6">
        <f t="shared" si="297"/>
        <v>42.394096407233903</v>
      </c>
      <c r="AK1328" s="78">
        <v>45045.53125</v>
      </c>
      <c r="AL1328" s="79">
        <v>7.4181628521606396E-2</v>
      </c>
      <c r="AM1328" s="5">
        <v>61.180993239999999</v>
      </c>
      <c r="AN1328" s="2">
        <v>12252</v>
      </c>
      <c r="AO1328" s="7">
        <f t="shared" si="306"/>
        <v>204.2</v>
      </c>
      <c r="AP1328" s="5">
        <f t="shared" si="298"/>
        <v>15.147888544112025</v>
      </c>
      <c r="AQ1328" s="6">
        <f t="shared" si="299"/>
        <v>140.56332330947689</v>
      </c>
      <c r="AR1328" s="2">
        <f t="shared" si="300"/>
        <v>-2.1301186875174403</v>
      </c>
      <c r="AS1328" s="2">
        <f t="shared" si="301"/>
        <v>-299.4165617610725</v>
      </c>
    </row>
    <row r="1329" spans="13:45" x14ac:dyDescent="0.3">
      <c r="M1329" s="78">
        <v>45046.541666666664</v>
      </c>
      <c r="N1329" s="79">
        <v>8.0506176864041296E-2</v>
      </c>
      <c r="O1329" s="5">
        <v>72.069636250000002</v>
      </c>
      <c r="P1329" s="2">
        <v>11703</v>
      </c>
      <c r="Q1329" s="7">
        <f t="shared" si="295"/>
        <v>195.05</v>
      </c>
      <c r="R1329" s="6">
        <f t="shared" si="296"/>
        <v>15.702729797331255</v>
      </c>
      <c r="S1329" s="6">
        <f t="shared" si="302"/>
        <v>143.06145160900962</v>
      </c>
      <c r="T1329" s="2">
        <f t="shared" si="303"/>
        <v>1</v>
      </c>
      <c r="U1329" s="6">
        <f t="shared" si="304"/>
        <v>143.06145160900962</v>
      </c>
      <c r="V1329">
        <f t="shared" si="305"/>
        <v>0.14816547593097082</v>
      </c>
      <c r="W1329" s="6">
        <f t="shared" si="297"/>
        <v>21.196768065024461</v>
      </c>
      <c r="AK1329" s="78">
        <v>45045.541666666664</v>
      </c>
      <c r="AL1329" s="79">
        <v>7.6115834493392001E-2</v>
      </c>
      <c r="AM1329" s="5">
        <v>65.290959470000004</v>
      </c>
      <c r="AN1329" s="2">
        <v>11941</v>
      </c>
      <c r="AO1329" s="7">
        <f t="shared" si="306"/>
        <v>199.01666666666668</v>
      </c>
      <c r="AP1329" s="5">
        <f t="shared" si="298"/>
        <v>15.148319661426566</v>
      </c>
      <c r="AQ1329" s="6">
        <f t="shared" si="299"/>
        <v>140.56528234509079</v>
      </c>
      <c r="AR1329" s="2">
        <f t="shared" si="300"/>
        <v>-2.1301186875174403</v>
      </c>
      <c r="AS1329" s="2">
        <f t="shared" si="301"/>
        <v>-299.42073473944322</v>
      </c>
    </row>
    <row r="1330" spans="13:45" x14ac:dyDescent="0.3">
      <c r="M1330" s="78">
        <v>45046.552083333336</v>
      </c>
      <c r="N1330" s="79">
        <v>8.3188782749852197E-2</v>
      </c>
      <c r="O1330" s="5">
        <v>75.208694050000005</v>
      </c>
      <c r="P1330" s="2">
        <v>11914</v>
      </c>
      <c r="Q1330" s="7">
        <f t="shared" si="295"/>
        <v>198.56666666666666</v>
      </c>
      <c r="R1330" s="6">
        <f t="shared" si="296"/>
        <v>16.518519294695651</v>
      </c>
      <c r="S1330" s="6">
        <f t="shared" si="302"/>
        <v>146.65404551612457</v>
      </c>
      <c r="T1330" s="2">
        <f t="shared" si="303"/>
        <v>1</v>
      </c>
      <c r="U1330" s="6">
        <f t="shared" si="304"/>
        <v>146.65404551612457</v>
      </c>
      <c r="V1330">
        <f t="shared" si="305"/>
        <v>0.29749530325976525</v>
      </c>
      <c r="W1330" s="6">
        <f t="shared" si="297"/>
        <v>43.628889745090895</v>
      </c>
      <c r="AK1330" s="78">
        <v>45045.552083333336</v>
      </c>
      <c r="AL1330" s="79">
        <v>7.64886358967415E-2</v>
      </c>
      <c r="AM1330" s="5">
        <v>62.286138950000002</v>
      </c>
      <c r="AN1330" s="2">
        <v>11696</v>
      </c>
      <c r="AO1330" s="7">
        <f t="shared" si="306"/>
        <v>194.93333333333334</v>
      </c>
      <c r="AP1330" s="5">
        <f t="shared" si="298"/>
        <v>14.910184757471477</v>
      </c>
      <c r="AQ1330" s="6">
        <f t="shared" si="299"/>
        <v>139.47880890884437</v>
      </c>
      <c r="AR1330" s="2">
        <f t="shared" si="300"/>
        <v>-2.1301186875174403</v>
      </c>
      <c r="AS1330" s="2">
        <f t="shared" si="301"/>
        <v>-297.1064173694034</v>
      </c>
    </row>
    <row r="1331" spans="13:45" x14ac:dyDescent="0.3">
      <c r="M1331" s="78">
        <v>45046.5625</v>
      </c>
      <c r="N1331" s="79">
        <v>8.5014974134758003E-2</v>
      </c>
      <c r="O1331" s="5">
        <v>72.069636250000002</v>
      </c>
      <c r="P1331" s="2">
        <v>11851</v>
      </c>
      <c r="Q1331" s="7">
        <f t="shared" si="295"/>
        <v>197.51666666666668</v>
      </c>
      <c r="R1331" s="6">
        <f t="shared" si="296"/>
        <v>16.791874307850286</v>
      </c>
      <c r="S1331" s="6">
        <f t="shared" si="302"/>
        <v>147.8375165957107</v>
      </c>
      <c r="T1331" s="2">
        <f t="shared" si="303"/>
        <v>1</v>
      </c>
      <c r="U1331" s="6">
        <f t="shared" si="304"/>
        <v>147.8375165957107</v>
      </c>
      <c r="V1331">
        <f t="shared" si="305"/>
        <v>0.34753279092750433</v>
      </c>
      <c r="W1331" s="6">
        <f t="shared" si="297"/>
        <v>51.378384746298579</v>
      </c>
      <c r="AK1331" s="78">
        <v>45045.5625</v>
      </c>
      <c r="AL1331" s="79">
        <v>8.1059021291105302E-2</v>
      </c>
      <c r="AM1331" s="5">
        <v>65.290959470000004</v>
      </c>
      <c r="AN1331" s="2">
        <v>11363</v>
      </c>
      <c r="AO1331" s="7">
        <f t="shared" si="306"/>
        <v>189.38333333333333</v>
      </c>
      <c r="AP1331" s="5">
        <f t="shared" si="298"/>
        <v>15.351227648847159</v>
      </c>
      <c r="AQ1331" s="6">
        <f t="shared" si="299"/>
        <v>141.48417757535296</v>
      </c>
      <c r="AR1331" s="2">
        <f t="shared" si="300"/>
        <v>-2.1301186875174403</v>
      </c>
      <c r="AS1331" s="2">
        <f t="shared" si="301"/>
        <v>-301.37809064129527</v>
      </c>
    </row>
    <row r="1332" spans="13:45" x14ac:dyDescent="0.3">
      <c r="M1332" s="78">
        <v>45046.572916666664</v>
      </c>
      <c r="N1332" s="79">
        <v>8.2277628569088906E-2</v>
      </c>
      <c r="O1332" s="5">
        <v>76.544179459999995</v>
      </c>
      <c r="P1332" s="2">
        <v>11839</v>
      </c>
      <c r="Q1332" s="7">
        <f t="shared" si="295"/>
        <v>197.31666666666666</v>
      </c>
      <c r="R1332" s="6">
        <f t="shared" si="296"/>
        <v>16.234747410490726</v>
      </c>
      <c r="S1332" s="6">
        <f t="shared" si="302"/>
        <v>145.41485402834365</v>
      </c>
      <c r="T1332" s="2">
        <f t="shared" si="303"/>
        <v>1</v>
      </c>
      <c r="U1332" s="6">
        <f t="shared" si="304"/>
        <v>145.41485402834365</v>
      </c>
      <c r="V1332">
        <f t="shared" si="305"/>
        <v>0.24555101296675147</v>
      </c>
      <c r="W1332" s="6">
        <f t="shared" si="297"/>
        <v>35.706764707072082</v>
      </c>
      <c r="AK1332" s="78">
        <v>45045.572916666664</v>
      </c>
      <c r="AL1332" s="79">
        <v>7.4875023419329098E-2</v>
      </c>
      <c r="AM1332" s="5">
        <v>64.377553680000005</v>
      </c>
      <c r="AN1332" s="2">
        <v>11301</v>
      </c>
      <c r="AO1332" s="7">
        <f t="shared" si="306"/>
        <v>188.35</v>
      </c>
      <c r="AP1332" s="5">
        <f t="shared" si="298"/>
        <v>14.102710661030635</v>
      </c>
      <c r="AQ1332" s="6">
        <f t="shared" si="299"/>
        <v>135.72725749916023</v>
      </c>
      <c r="AR1332" s="2">
        <f t="shared" si="300"/>
        <v>-2.1301186875174403</v>
      </c>
      <c r="AS1332" s="2">
        <f t="shared" si="301"/>
        <v>-289.11516760445284</v>
      </c>
    </row>
    <row r="1333" spans="13:45" x14ac:dyDescent="0.3">
      <c r="M1333" s="78">
        <v>45046.583333333336</v>
      </c>
      <c r="N1333" s="79">
        <v>8.2361386434653405E-2</v>
      </c>
      <c r="O1333" s="5">
        <v>78.762941850000004</v>
      </c>
      <c r="P1333" s="2">
        <v>11638</v>
      </c>
      <c r="Q1333" s="7">
        <f t="shared" si="295"/>
        <v>193.96666666666667</v>
      </c>
      <c r="R1333" s="6">
        <f t="shared" si="296"/>
        <v>15.97536358877494</v>
      </c>
      <c r="S1333" s="6">
        <f t="shared" si="302"/>
        <v>144.2724561828218</v>
      </c>
      <c r="T1333" s="2">
        <f t="shared" si="303"/>
        <v>1</v>
      </c>
      <c r="U1333" s="6">
        <f t="shared" si="304"/>
        <v>144.2724561828218</v>
      </c>
      <c r="V1333">
        <f t="shared" si="305"/>
        <v>0.1980709443536596</v>
      </c>
      <c r="W1333" s="6">
        <f t="shared" si="297"/>
        <v>28.576181640353489</v>
      </c>
      <c r="AK1333" s="78">
        <v>45045.583333333336</v>
      </c>
      <c r="AL1333" s="79">
        <v>8.5348898043063795E-2</v>
      </c>
      <c r="AM1333" s="5">
        <v>64.377553680000005</v>
      </c>
      <c r="AN1333" s="2">
        <v>10843</v>
      </c>
      <c r="AO1333" s="7">
        <f t="shared" si="306"/>
        <v>180.71666666666667</v>
      </c>
      <c r="AP1333" s="5">
        <f t="shared" si="298"/>
        <v>15.42396835801568</v>
      </c>
      <c r="AQ1333" s="6">
        <f t="shared" si="299"/>
        <v>141.81208274495054</v>
      </c>
      <c r="AR1333" s="2">
        <f t="shared" si="300"/>
        <v>-2.1301186875174403</v>
      </c>
      <c r="AS1333" s="2">
        <f t="shared" si="301"/>
        <v>-302.07656757078871</v>
      </c>
    </row>
    <row r="1334" spans="13:45" x14ac:dyDescent="0.3">
      <c r="M1334" s="78">
        <v>45046.59375</v>
      </c>
      <c r="N1334" s="79">
        <v>8.0842520299416701E-2</v>
      </c>
      <c r="O1334" s="5">
        <v>76.544179459999995</v>
      </c>
      <c r="P1334" s="2">
        <v>11911</v>
      </c>
      <c r="Q1334" s="7">
        <f t="shared" si="295"/>
        <v>198.51666666666668</v>
      </c>
      <c r="R1334" s="6">
        <f t="shared" si="296"/>
        <v>16.04858765477254</v>
      </c>
      <c r="S1334" s="6">
        <f t="shared" si="302"/>
        <v>144.59590799328629</v>
      </c>
      <c r="T1334" s="2">
        <f t="shared" si="303"/>
        <v>1</v>
      </c>
      <c r="U1334" s="6">
        <f t="shared" si="304"/>
        <v>144.59590799328629</v>
      </c>
      <c r="V1334">
        <f t="shared" si="305"/>
        <v>0.21147457012606843</v>
      </c>
      <c r="W1334" s="6">
        <f t="shared" si="297"/>
        <v>30.578357484868761</v>
      </c>
      <c r="AK1334" s="78">
        <v>45045.59375</v>
      </c>
      <c r="AL1334" s="79">
        <v>8.1943276873591001E-2</v>
      </c>
      <c r="AM1334" s="5">
        <v>64.377553680000005</v>
      </c>
      <c r="AN1334" s="2">
        <v>10924</v>
      </c>
      <c r="AO1334" s="7">
        <f t="shared" si="306"/>
        <v>182.06666666666666</v>
      </c>
      <c r="AP1334" s="5">
        <f t="shared" si="298"/>
        <v>14.919139276118468</v>
      </c>
      <c r="AQ1334" s="6">
        <f t="shared" si="299"/>
        <v>139.51982280435217</v>
      </c>
      <c r="AR1334" s="2">
        <f t="shared" si="300"/>
        <v>-2.1301186875174403</v>
      </c>
      <c r="AS1334" s="2">
        <f t="shared" si="301"/>
        <v>-297.19378183467251</v>
      </c>
    </row>
    <row r="1335" spans="13:45" x14ac:dyDescent="0.3">
      <c r="M1335" s="78">
        <v>45046.604166666664</v>
      </c>
      <c r="N1335" s="79">
        <v>8.2415954504480401E-2</v>
      </c>
      <c r="O1335" s="5">
        <v>80.523852189999999</v>
      </c>
      <c r="P1335" s="2">
        <v>11558</v>
      </c>
      <c r="Q1335" s="7">
        <f t="shared" si="295"/>
        <v>192.63333333333333</v>
      </c>
      <c r="R1335" s="6">
        <f t="shared" si="296"/>
        <v>15.876060036046407</v>
      </c>
      <c r="S1335" s="6">
        <f t="shared" si="302"/>
        <v>143.83259262693616</v>
      </c>
      <c r="T1335" s="2">
        <f t="shared" si="303"/>
        <v>1</v>
      </c>
      <c r="U1335" s="6">
        <f t="shared" si="304"/>
        <v>143.83259262693616</v>
      </c>
      <c r="V1335">
        <f t="shared" si="305"/>
        <v>0.17989348260648566</v>
      </c>
      <c r="W1335" s="6">
        <f t="shared" si="297"/>
        <v>25.874545999979478</v>
      </c>
      <c r="AK1335" s="78">
        <v>45045.604166666664</v>
      </c>
      <c r="AL1335" s="79">
        <v>8.5249930315774394E-2</v>
      </c>
      <c r="AM1335" s="5">
        <v>68.016396760000006</v>
      </c>
      <c r="AN1335" s="2">
        <v>10743</v>
      </c>
      <c r="AO1335" s="7">
        <f t="shared" si="306"/>
        <v>179.05</v>
      </c>
      <c r="AP1335" s="5">
        <f t="shared" si="298"/>
        <v>15.264000023039406</v>
      </c>
      <c r="AQ1335" s="6">
        <f t="shared" si="299"/>
        <v>141.08992012837416</v>
      </c>
      <c r="AR1335" s="2">
        <f t="shared" si="300"/>
        <v>-2.1301186875174403</v>
      </c>
      <c r="AS1335" s="2">
        <f t="shared" si="301"/>
        <v>-300.53827548579284</v>
      </c>
    </row>
    <row r="1336" spans="13:45" x14ac:dyDescent="0.3">
      <c r="M1336" s="78">
        <v>45046.614583333336</v>
      </c>
      <c r="N1336" s="79">
        <v>8.7419968166762396E-2</v>
      </c>
      <c r="O1336" s="5">
        <v>79.202259850000004</v>
      </c>
      <c r="P1336" s="2">
        <v>10939</v>
      </c>
      <c r="Q1336" s="7">
        <f t="shared" si="295"/>
        <v>182.31666666666666</v>
      </c>
      <c r="R1336" s="6">
        <f t="shared" si="296"/>
        <v>15.93811719627023</v>
      </c>
      <c r="S1336" s="6">
        <f t="shared" si="302"/>
        <v>144.10763782847718</v>
      </c>
      <c r="T1336" s="2">
        <f t="shared" si="303"/>
        <v>1</v>
      </c>
      <c r="U1336" s="6">
        <f t="shared" si="304"/>
        <v>144.10763782847718</v>
      </c>
      <c r="V1336">
        <f t="shared" si="305"/>
        <v>0.19125301230217068</v>
      </c>
      <c r="W1336" s="6">
        <f t="shared" si="297"/>
        <v>27.561019830446504</v>
      </c>
      <c r="AK1336" s="78">
        <v>45045.614583333336</v>
      </c>
      <c r="AL1336" s="79">
        <v>8.2030947964520998E-2</v>
      </c>
      <c r="AM1336" s="5">
        <v>65.743635260000005</v>
      </c>
      <c r="AN1336" s="2">
        <v>10529</v>
      </c>
      <c r="AO1336" s="7">
        <f t="shared" si="306"/>
        <v>175.48333333333332</v>
      </c>
      <c r="AP1336" s="5">
        <f t="shared" si="298"/>
        <v>14.395064185307358</v>
      </c>
      <c r="AQ1336" s="6">
        <f t="shared" si="299"/>
        <v>137.09789774604897</v>
      </c>
      <c r="AR1336" s="2">
        <f t="shared" si="300"/>
        <v>-2.1301186875174403</v>
      </c>
      <c r="AS1336" s="2">
        <f t="shared" si="301"/>
        <v>-292.03479400821408</v>
      </c>
    </row>
    <row r="1337" spans="13:45" x14ac:dyDescent="0.3">
      <c r="M1337" s="78">
        <v>45046.625</v>
      </c>
      <c r="N1337" s="79">
        <v>7.2880579145071206E-2</v>
      </c>
      <c r="O1337" s="5">
        <v>83.594462070000006</v>
      </c>
      <c r="P1337" s="2">
        <v>12361</v>
      </c>
      <c r="Q1337" s="7">
        <f t="shared" si="295"/>
        <v>206.01666666666668</v>
      </c>
      <c r="R1337" s="6">
        <f t="shared" si="296"/>
        <v>15.014613980203753</v>
      </c>
      <c r="S1337" s="6">
        <f t="shared" si="302"/>
        <v>139.95634179736953</v>
      </c>
      <c r="T1337" s="2">
        <f t="shared" si="303"/>
        <v>1</v>
      </c>
      <c r="U1337" s="6">
        <f t="shared" si="304"/>
        <v>139.95634179736953</v>
      </c>
      <c r="V1337">
        <f t="shared" si="305"/>
        <v>2.2206246882495929E-2</v>
      </c>
      <c r="W1337" s="6">
        <f t="shared" si="297"/>
        <v>3.107905078723372</v>
      </c>
      <c r="AK1337" s="78">
        <v>45045.625</v>
      </c>
      <c r="AL1337" s="79">
        <v>8.0338137758053596E-2</v>
      </c>
      <c r="AM1337" s="5">
        <v>69.373566690000004</v>
      </c>
      <c r="AN1337" s="2">
        <v>10179</v>
      </c>
      <c r="AO1337" s="7">
        <f t="shared" si="306"/>
        <v>169.65</v>
      </c>
      <c r="AP1337" s="5">
        <f t="shared" si="298"/>
        <v>13.629365070653794</v>
      </c>
      <c r="AQ1337" s="6">
        <f t="shared" si="299"/>
        <v>133.47695974920882</v>
      </c>
      <c r="AR1337" s="2">
        <f t="shared" si="300"/>
        <v>-2.1301186875174403</v>
      </c>
      <c r="AS1337" s="2">
        <f t="shared" si="301"/>
        <v>-284.32176631480291</v>
      </c>
    </row>
    <row r="1338" spans="13:45" x14ac:dyDescent="0.3">
      <c r="M1338" s="78">
        <v>45046.635416666664</v>
      </c>
      <c r="N1338" s="79">
        <v>7.1938456644891499E-2</v>
      </c>
      <c r="O1338" s="5">
        <v>83.594462070000006</v>
      </c>
      <c r="P1338" s="2">
        <v>12723</v>
      </c>
      <c r="Q1338" s="7">
        <f t="shared" si="295"/>
        <v>212.05</v>
      </c>
      <c r="R1338" s="6">
        <f t="shared" si="296"/>
        <v>15.254549731549243</v>
      </c>
      <c r="S1338" s="6">
        <f t="shared" si="302"/>
        <v>141.04713709640967</v>
      </c>
      <c r="T1338" s="2">
        <f t="shared" si="303"/>
        <v>1</v>
      </c>
      <c r="U1338" s="6">
        <f t="shared" si="304"/>
        <v>141.04713709640967</v>
      </c>
      <c r="V1338">
        <f t="shared" si="305"/>
        <v>6.6126356707619446E-2</v>
      </c>
      <c r="W1338" s="6">
        <f t="shared" si="297"/>
        <v>9.32693330022569</v>
      </c>
      <c r="AK1338" s="78">
        <v>45045.635416666664</v>
      </c>
      <c r="AL1338" s="79">
        <v>8.3347471449335103E-2</v>
      </c>
      <c r="AM1338" s="5">
        <v>70.727821939999998</v>
      </c>
      <c r="AN1338" s="2">
        <v>10268</v>
      </c>
      <c r="AO1338" s="7">
        <f t="shared" si="306"/>
        <v>171.13333333333333</v>
      </c>
      <c r="AP1338" s="5">
        <f t="shared" si="298"/>
        <v>14.263530614029547</v>
      </c>
      <c r="AQ1338" s="6">
        <f t="shared" si="299"/>
        <v>136.48300422215274</v>
      </c>
      <c r="AR1338" s="2">
        <f t="shared" si="300"/>
        <v>-2.1301186875174403</v>
      </c>
      <c r="AS1338" s="2">
        <f t="shared" si="301"/>
        <v>-290.72499782212924</v>
      </c>
    </row>
    <row r="1339" spans="13:45" x14ac:dyDescent="0.3">
      <c r="M1339" s="78">
        <v>45046.645833333336</v>
      </c>
      <c r="N1339" s="79">
        <v>7.3241156596889595E-2</v>
      </c>
      <c r="O1339" s="5">
        <v>84.027783200000002</v>
      </c>
      <c r="P1339" s="2">
        <v>12687</v>
      </c>
      <c r="Q1339" s="7">
        <f t="shared" si="295"/>
        <v>211.45</v>
      </c>
      <c r="R1339" s="6">
        <f t="shared" si="296"/>
        <v>15.486842562412305</v>
      </c>
      <c r="S1339" s="6">
        <f t="shared" si="302"/>
        <v>142.09487577448681</v>
      </c>
      <c r="T1339" s="2">
        <f t="shared" si="303"/>
        <v>1</v>
      </c>
      <c r="U1339" s="6">
        <f t="shared" si="304"/>
        <v>142.09487577448681</v>
      </c>
      <c r="V1339">
        <f t="shared" si="305"/>
        <v>0.10864743406221462</v>
      </c>
      <c r="W1339" s="6">
        <f t="shared" si="297"/>
        <v>15.438243646287134</v>
      </c>
      <c r="AK1339" s="78">
        <v>45045.645833333336</v>
      </c>
      <c r="AL1339" s="79">
        <v>8.3785342025261195E-2</v>
      </c>
      <c r="AM1339" s="5">
        <v>71.630262669999993</v>
      </c>
      <c r="AN1339" s="2">
        <v>10691</v>
      </c>
      <c r="AO1339" s="7">
        <f t="shared" si="306"/>
        <v>178.18333333333334</v>
      </c>
      <c r="AP1339" s="5">
        <f t="shared" si="298"/>
        <v>14.929151526534458</v>
      </c>
      <c r="AQ1339" s="6">
        <f t="shared" si="299"/>
        <v>139.56566649875469</v>
      </c>
      <c r="AR1339" s="2">
        <f t="shared" si="300"/>
        <v>-2.1301186875174403</v>
      </c>
      <c r="AS1339" s="2">
        <f t="shared" si="301"/>
        <v>-297.29143434482415</v>
      </c>
    </row>
    <row r="1340" spans="13:45" x14ac:dyDescent="0.3">
      <c r="M1340" s="78">
        <v>45046.65625</v>
      </c>
      <c r="N1340" s="79">
        <v>7.5185943955975998E-2</v>
      </c>
      <c r="O1340" s="5">
        <v>82.718647970000006</v>
      </c>
      <c r="P1340" s="2">
        <v>12783</v>
      </c>
      <c r="Q1340" s="7">
        <f t="shared" si="295"/>
        <v>213.05</v>
      </c>
      <c r="R1340" s="6">
        <f t="shared" si="296"/>
        <v>16.018365359820688</v>
      </c>
      <c r="S1340" s="6">
        <f t="shared" si="302"/>
        <v>144.46249886366604</v>
      </c>
      <c r="T1340" s="2">
        <f t="shared" si="303"/>
        <v>1</v>
      </c>
      <c r="U1340" s="6">
        <f t="shared" si="304"/>
        <v>144.46249886366604</v>
      </c>
      <c r="V1340">
        <f t="shared" si="305"/>
        <v>0.20594239534173925</v>
      </c>
      <c r="W1340" s="6">
        <f t="shared" si="297"/>
        <v>29.750953053036667</v>
      </c>
      <c r="AK1340" s="78">
        <v>45045.65625</v>
      </c>
      <c r="AL1340" s="79">
        <v>7.8721004823601295E-2</v>
      </c>
      <c r="AM1340" s="5">
        <v>68.466857000000005</v>
      </c>
      <c r="AN1340" s="2">
        <v>11131</v>
      </c>
      <c r="AO1340" s="7">
        <f t="shared" si="306"/>
        <v>185.51666666666668</v>
      </c>
      <c r="AP1340" s="5">
        <f t="shared" si="298"/>
        <v>14.604058411525102</v>
      </c>
      <c r="AQ1340" s="6">
        <f t="shared" si="299"/>
        <v>138.06903697170361</v>
      </c>
      <c r="AR1340" s="2">
        <f t="shared" si="300"/>
        <v>-2.1301186875174403</v>
      </c>
      <c r="AS1340" s="2">
        <f t="shared" si="301"/>
        <v>-294.1034358209622</v>
      </c>
    </row>
    <row r="1341" spans="13:45" x14ac:dyDescent="0.3">
      <c r="M1341" s="78">
        <v>45046.666666666664</v>
      </c>
      <c r="N1341" s="79">
        <v>7.4621050253332696E-2</v>
      </c>
      <c r="O1341" s="5">
        <v>81.405228940000001</v>
      </c>
      <c r="P1341" s="2">
        <v>12455</v>
      </c>
      <c r="Q1341" s="7">
        <f t="shared" si="295"/>
        <v>207.58333333333334</v>
      </c>
      <c r="R1341" s="6">
        <f t="shared" si="296"/>
        <v>15.490086348420979</v>
      </c>
      <c r="S1341" s="6">
        <f t="shared" si="302"/>
        <v>142.10944963557523</v>
      </c>
      <c r="T1341" s="2">
        <f t="shared" si="303"/>
        <v>1</v>
      </c>
      <c r="U1341" s="6">
        <f t="shared" si="304"/>
        <v>142.10944963557523</v>
      </c>
      <c r="V1341">
        <f t="shared" si="305"/>
        <v>0.1092412073408997</v>
      </c>
      <c r="W1341" s="6">
        <f t="shared" si="297"/>
        <v>15.524207852741018</v>
      </c>
      <c r="AK1341" s="78">
        <v>45045.666666666664</v>
      </c>
      <c r="AL1341" s="79">
        <v>8.8995827415051507E-2</v>
      </c>
      <c r="AM1341" s="5">
        <v>68.466857000000005</v>
      </c>
      <c r="AN1341" s="2">
        <v>10953</v>
      </c>
      <c r="AO1341" s="7">
        <f t="shared" si="306"/>
        <v>182.55</v>
      </c>
      <c r="AP1341" s="5">
        <f t="shared" si="298"/>
        <v>16.246188294617653</v>
      </c>
      <c r="AQ1341" s="6">
        <f t="shared" si="299"/>
        <v>145.46502758150413</v>
      </c>
      <c r="AR1341" s="2">
        <f t="shared" si="300"/>
        <v>-2.1301186875174403</v>
      </c>
      <c r="AS1341" s="2">
        <f t="shared" si="301"/>
        <v>-309.85777363160184</v>
      </c>
    </row>
    <row r="1342" spans="13:45" x14ac:dyDescent="0.3">
      <c r="M1342" s="78">
        <v>45046.677083333336</v>
      </c>
      <c r="N1342" s="79">
        <v>8.1199619533470296E-2</v>
      </c>
      <c r="O1342" s="5">
        <v>80.079324720000002</v>
      </c>
      <c r="P1342" s="2">
        <v>11974</v>
      </c>
      <c r="Q1342" s="7">
        <f t="shared" si="295"/>
        <v>199.56666666666666</v>
      </c>
      <c r="R1342" s="6">
        <f t="shared" si="296"/>
        <v>16.204737404896221</v>
      </c>
      <c r="S1342" s="6">
        <f t="shared" si="302"/>
        <v>145.283160512649</v>
      </c>
      <c r="T1342" s="2">
        <f t="shared" si="303"/>
        <v>1</v>
      </c>
      <c r="U1342" s="6">
        <f t="shared" si="304"/>
        <v>145.283160512649</v>
      </c>
      <c r="V1342">
        <f t="shared" si="305"/>
        <v>0.24005769763474263</v>
      </c>
      <c r="W1342" s="6">
        <f t="shared" si="297"/>
        <v>34.876341017765277</v>
      </c>
      <c r="AK1342" s="78">
        <v>45045.677083333336</v>
      </c>
      <c r="AL1342" s="79">
        <v>7.8548624220501198E-2</v>
      </c>
      <c r="AM1342" s="5">
        <v>71.622551369999996</v>
      </c>
      <c r="AN1342" s="2">
        <v>10877</v>
      </c>
      <c r="AO1342" s="7">
        <f t="shared" si="306"/>
        <v>181.28333333333333</v>
      </c>
      <c r="AP1342" s="5">
        <f t="shared" si="298"/>
        <v>14.239556427439858</v>
      </c>
      <c r="AQ1342" s="6">
        <f t="shared" si="299"/>
        <v>136.37061830658465</v>
      </c>
      <c r="AR1342" s="2">
        <f t="shared" si="300"/>
        <v>-2.1301186875174403</v>
      </c>
      <c r="AS1342" s="2">
        <f t="shared" si="301"/>
        <v>-290.48560248316392</v>
      </c>
    </row>
    <row r="1343" spans="13:45" x14ac:dyDescent="0.3">
      <c r="M1343" s="78">
        <v>45046.6875</v>
      </c>
      <c r="N1343" s="79">
        <v>7.6218809786196107E-2</v>
      </c>
      <c r="O1343" s="5">
        <v>84.891986889999998</v>
      </c>
      <c r="P1343" s="2">
        <v>11549</v>
      </c>
      <c r="Q1343" s="7">
        <f t="shared" si="295"/>
        <v>192.48333333333332</v>
      </c>
      <c r="R1343" s="6">
        <f t="shared" si="296"/>
        <v>14.670850570346312</v>
      </c>
      <c r="S1343" s="6">
        <f t="shared" si="302"/>
        <v>138.3779046002754</v>
      </c>
      <c r="T1343" s="2">
        <f t="shared" si="303"/>
        <v>1</v>
      </c>
      <c r="U1343" s="6">
        <f t="shared" si="304"/>
        <v>138.3779046002754</v>
      </c>
      <c r="V1343">
        <f t="shared" si="305"/>
        <v>0</v>
      </c>
      <c r="W1343" s="6">
        <f t="shared" si="297"/>
        <v>0</v>
      </c>
      <c r="AK1343" s="78">
        <v>45045.6875</v>
      </c>
      <c r="AL1343" s="79">
        <v>8.0256261741240301E-2</v>
      </c>
      <c r="AM1343" s="5">
        <v>70.720093730000002</v>
      </c>
      <c r="AN1343" s="2">
        <v>11030</v>
      </c>
      <c r="AO1343" s="7">
        <f t="shared" si="306"/>
        <v>183.83333333333334</v>
      </c>
      <c r="AP1343" s="5">
        <f t="shared" si="298"/>
        <v>14.753776116764676</v>
      </c>
      <c r="AQ1343" s="6">
        <f t="shared" si="299"/>
        <v>138.76038121319186</v>
      </c>
      <c r="AR1343" s="2">
        <f t="shared" si="300"/>
        <v>-2.1301186875174403</v>
      </c>
      <c r="AS1343" s="2">
        <f t="shared" si="301"/>
        <v>-295.57608110926395</v>
      </c>
    </row>
    <row r="1344" spans="13:45" x14ac:dyDescent="0.3">
      <c r="M1344" s="78">
        <v>45046.697916666664</v>
      </c>
      <c r="N1344" s="79">
        <v>7.9303363844298397E-2</v>
      </c>
      <c r="O1344" s="5">
        <v>82.276892649999994</v>
      </c>
      <c r="P1344" s="2">
        <v>11989</v>
      </c>
      <c r="Q1344" s="7">
        <f t="shared" si="295"/>
        <v>199.81666666666666</v>
      </c>
      <c r="R1344" s="6">
        <f t="shared" si="296"/>
        <v>15.846133818821558</v>
      </c>
      <c r="S1344" s="6">
        <f t="shared" si="302"/>
        <v>143.69975976534639</v>
      </c>
      <c r="T1344" s="2">
        <f t="shared" si="303"/>
        <v>1</v>
      </c>
      <c r="U1344" s="6">
        <f t="shared" si="304"/>
        <v>143.69975976534639</v>
      </c>
      <c r="V1344">
        <f t="shared" si="305"/>
        <v>0.17441550469033384</v>
      </c>
      <c r="W1344" s="6">
        <f t="shared" si="297"/>
        <v>25.063466123352619</v>
      </c>
      <c r="AK1344" s="78">
        <v>45045.697916666664</v>
      </c>
      <c r="AL1344" s="79">
        <v>7.9325771441061996E-2</v>
      </c>
      <c r="AM1344" s="5">
        <v>70.720093730000002</v>
      </c>
      <c r="AN1344" s="2">
        <v>10857</v>
      </c>
      <c r="AO1344" s="7">
        <f t="shared" si="306"/>
        <v>180.95</v>
      </c>
      <c r="AP1344" s="5">
        <f t="shared" si="298"/>
        <v>14.353998342260168</v>
      </c>
      <c r="AQ1344" s="6">
        <f t="shared" si="299"/>
        <v>136.90623200502003</v>
      </c>
      <c r="AR1344" s="2">
        <f t="shared" si="300"/>
        <v>-2.1301186875174403</v>
      </c>
      <c r="AS1344" s="2">
        <f t="shared" si="301"/>
        <v>-291.62652323149143</v>
      </c>
    </row>
    <row r="1345" spans="13:45" x14ac:dyDescent="0.3">
      <c r="M1345" s="78">
        <v>45046.708333333336</v>
      </c>
      <c r="N1345" s="79">
        <v>7.7330589625306603E-2</v>
      </c>
      <c r="O1345" s="5">
        <v>82.276892649999994</v>
      </c>
      <c r="P1345" s="2">
        <v>12649</v>
      </c>
      <c r="Q1345" s="7">
        <f t="shared" si="295"/>
        <v>210.81666666666666</v>
      </c>
      <c r="R1345" s="6">
        <f t="shared" si="296"/>
        <v>16.302577136175053</v>
      </c>
      <c r="S1345" s="6">
        <f t="shared" si="302"/>
        <v>145.71205563582103</v>
      </c>
      <c r="T1345" s="2">
        <f t="shared" si="303"/>
        <v>1</v>
      </c>
      <c r="U1345" s="6">
        <f t="shared" si="304"/>
        <v>145.71205563582103</v>
      </c>
      <c r="V1345">
        <f t="shared" si="305"/>
        <v>0.25796720765536191</v>
      </c>
      <c r="W1345" s="6">
        <f t="shared" si="297"/>
        <v>37.588932114095492</v>
      </c>
      <c r="AK1345" s="78">
        <v>45045.708333333336</v>
      </c>
      <c r="AL1345" s="79">
        <v>8.1088945441434801E-2</v>
      </c>
      <c r="AM1345" s="5">
        <v>71.622551369999996</v>
      </c>
      <c r="AN1345" s="2">
        <v>11278</v>
      </c>
      <c r="AO1345" s="7">
        <f t="shared" si="306"/>
        <v>187.96666666666667</v>
      </c>
      <c r="AP1345" s="5">
        <f t="shared" si="298"/>
        <v>15.242018778141695</v>
      </c>
      <c r="AQ1345" s="6">
        <f t="shared" si="299"/>
        <v>140.99038653586695</v>
      </c>
      <c r="AR1345" s="2">
        <f t="shared" si="300"/>
        <v>-2.1301186875174403</v>
      </c>
      <c r="AS1345" s="2">
        <f t="shared" si="301"/>
        <v>-300.32625712035747</v>
      </c>
    </row>
    <row r="1346" spans="13:45" x14ac:dyDescent="0.3">
      <c r="M1346" s="78">
        <v>45046.71875</v>
      </c>
      <c r="N1346" s="79">
        <v>7.1195100204567596E-2</v>
      </c>
      <c r="O1346" s="5">
        <v>79.202259850000004</v>
      </c>
      <c r="P1346" s="2">
        <v>12599</v>
      </c>
      <c r="Q1346" s="7">
        <f t="shared" si="295"/>
        <v>209.98333333333332</v>
      </c>
      <c r="R1346" s="6">
        <f t="shared" si="296"/>
        <v>14.949784457955785</v>
      </c>
      <c r="S1346" s="6">
        <f t="shared" si="302"/>
        <v>139.66009029132744</v>
      </c>
      <c r="T1346" s="2">
        <f t="shared" si="303"/>
        <v>1</v>
      </c>
      <c r="U1346" s="6">
        <f t="shared" si="304"/>
        <v>139.66009029132744</v>
      </c>
      <c r="V1346">
        <f t="shared" si="305"/>
        <v>1.0339237814134331E-2</v>
      </c>
      <c r="W1346" s="6">
        <f t="shared" si="297"/>
        <v>1.4439788866655074</v>
      </c>
      <c r="AK1346" s="78">
        <v>45045.71875</v>
      </c>
      <c r="AL1346" s="79">
        <v>8.4554728034549401E-2</v>
      </c>
      <c r="AM1346" s="5">
        <v>73.868067069999995</v>
      </c>
      <c r="AN1346" s="2">
        <v>11007</v>
      </c>
      <c r="AO1346" s="7">
        <f t="shared" si="306"/>
        <v>183.45</v>
      </c>
      <c r="AP1346" s="5">
        <f t="shared" si="298"/>
        <v>15.511564857938087</v>
      </c>
      <c r="AQ1346" s="6">
        <f t="shared" si="299"/>
        <v>142.20591019898797</v>
      </c>
      <c r="AR1346" s="2">
        <f t="shared" si="300"/>
        <v>-2.1301186875174403</v>
      </c>
      <c r="AS1346" s="2">
        <f t="shared" si="301"/>
        <v>-302.91546679029119</v>
      </c>
    </row>
    <row r="1347" spans="13:45" x14ac:dyDescent="0.3">
      <c r="M1347" s="78">
        <v>45046.729166666664</v>
      </c>
      <c r="N1347" s="79">
        <v>8.0721841457197699E-2</v>
      </c>
      <c r="O1347" s="5">
        <v>80.523852189999999</v>
      </c>
      <c r="P1347" s="2">
        <v>12047</v>
      </c>
      <c r="Q1347" s="7">
        <f t="shared" si="295"/>
        <v>200.78333333333333</v>
      </c>
      <c r="R1347" s="6">
        <f t="shared" si="296"/>
        <v>16.207600400581011</v>
      </c>
      <c r="S1347" s="6">
        <f t="shared" si="302"/>
        <v>145.29572962193711</v>
      </c>
      <c r="T1347" s="2">
        <f t="shared" si="303"/>
        <v>1</v>
      </c>
      <c r="U1347" s="6">
        <f t="shared" si="304"/>
        <v>145.29572962193711</v>
      </c>
      <c r="V1347">
        <f t="shared" si="305"/>
        <v>0.24058176745009821</v>
      </c>
      <c r="W1347" s="6">
        <f t="shared" si="297"/>
        <v>34.955503435397219</v>
      </c>
      <c r="AK1347" s="78">
        <v>45045.729166666664</v>
      </c>
      <c r="AL1347" s="79">
        <v>7.7125121750898196E-2</v>
      </c>
      <c r="AM1347" s="5">
        <v>76.544179459999995</v>
      </c>
      <c r="AN1347" s="2">
        <v>11370</v>
      </c>
      <c r="AO1347" s="7">
        <f t="shared" si="306"/>
        <v>189.5</v>
      </c>
      <c r="AP1347" s="5">
        <f t="shared" si="298"/>
        <v>14.615210571795208</v>
      </c>
      <c r="AQ1347" s="6">
        <f t="shared" si="299"/>
        <v>138.12065807069851</v>
      </c>
      <c r="AR1347" s="2">
        <f t="shared" si="300"/>
        <v>-2.1301186875174403</v>
      </c>
      <c r="AS1347" s="2">
        <f t="shared" si="301"/>
        <v>-294.21339488860144</v>
      </c>
    </row>
    <row r="1348" spans="13:45" x14ac:dyDescent="0.3">
      <c r="M1348" s="78">
        <v>45046.739583333336</v>
      </c>
      <c r="N1348" s="79">
        <v>8.0210101348701004E-2</v>
      </c>
      <c r="O1348" s="5">
        <v>80.523852189999999</v>
      </c>
      <c r="P1348" s="2">
        <v>13254</v>
      </c>
      <c r="Q1348" s="7">
        <f t="shared" ref="Q1348:Q1384" si="307">P1348/60</f>
        <v>220.9</v>
      </c>
      <c r="R1348" s="6">
        <f t="shared" ref="R1348:R1384" si="308">N1348*Q1348</f>
        <v>17.718411387928054</v>
      </c>
      <c r="S1348" s="6">
        <f t="shared" si="302"/>
        <v>151.77743459447598</v>
      </c>
      <c r="T1348" s="2">
        <f t="shared" si="303"/>
        <v>1</v>
      </c>
      <c r="U1348" s="6">
        <f t="shared" si="304"/>
        <v>151.77743459447598</v>
      </c>
      <c r="V1348">
        <f t="shared" si="305"/>
        <v>0.51713490351750779</v>
      </c>
      <c r="W1348" s="6">
        <f t="shared" ref="W1348:W1384" si="309">S1348*V1348</f>
        <v>78.489408995149191</v>
      </c>
      <c r="AK1348" s="78">
        <v>45045.739583333336</v>
      </c>
      <c r="AL1348" s="79">
        <v>8.1532599404366093E-2</v>
      </c>
      <c r="AM1348" s="5">
        <v>74.764849499999997</v>
      </c>
      <c r="AN1348" s="2">
        <v>11279</v>
      </c>
      <c r="AO1348" s="7">
        <f t="shared" si="306"/>
        <v>187.98333333333332</v>
      </c>
      <c r="AP1348" s="5">
        <f t="shared" ref="AP1348:AP1411" si="310">AO1348*AL1348</f>
        <v>15.326769811364086</v>
      </c>
      <c r="AQ1348" s="6">
        <f t="shared" ref="AQ1348:AQ1411" si="311">37.141*AP1348^0.4897</f>
        <v>141.37374693968675</v>
      </c>
      <c r="AR1348" s="2">
        <f t="shared" ref="AR1348:AR1411" si="312">IF((AM1348-$AP$1)/($AN$1-$AP$1)&lt;0, 0, IF((AA1348-$AP$1)/($AN$1-$AP$1)&gt;1, 1, (AA1348-$AP$1)/($AN$1-$AP$1)))</f>
        <v>-2.1301186875174403</v>
      </c>
      <c r="AS1348" s="2">
        <f t="shared" ref="AS1348:AS1411" si="313">AQ1348*AR1348</f>
        <v>-301.14286028058831</v>
      </c>
    </row>
    <row r="1349" spans="13:45" x14ac:dyDescent="0.3">
      <c r="M1349" s="78">
        <v>45046.75</v>
      </c>
      <c r="N1349" s="79">
        <v>6.9175005594333996E-2</v>
      </c>
      <c r="O1349" s="5">
        <v>81.397704649999994</v>
      </c>
      <c r="P1349" s="2">
        <v>13445</v>
      </c>
      <c r="Q1349" s="7">
        <f t="shared" si="307"/>
        <v>224.08333333333334</v>
      </c>
      <c r="R1349" s="6">
        <f t="shared" si="308"/>
        <v>15.500965836930344</v>
      </c>
      <c r="S1349" s="6">
        <f t="shared" si="302"/>
        <v>142.15831823512411</v>
      </c>
      <c r="T1349" s="2">
        <f t="shared" si="303"/>
        <v>1</v>
      </c>
      <c r="U1349" s="6">
        <f t="shared" si="304"/>
        <v>142.15831823512411</v>
      </c>
      <c r="V1349">
        <f t="shared" si="305"/>
        <v>0.11123269184245056</v>
      </c>
      <c r="W1349" s="6">
        <f t="shared" si="309"/>
        <v>15.812652405088581</v>
      </c>
      <c r="AK1349" s="78">
        <v>45045.75</v>
      </c>
      <c r="AL1349" s="79">
        <v>8.1861317067925196E-2</v>
      </c>
      <c r="AM1349" s="5">
        <v>78.755362430000005</v>
      </c>
      <c r="AN1349" s="2">
        <v>11184</v>
      </c>
      <c r="AO1349" s="7">
        <f t="shared" si="306"/>
        <v>186.4</v>
      </c>
      <c r="AP1349" s="5">
        <f t="shared" si="310"/>
        <v>15.258949501461258</v>
      </c>
      <c r="AQ1349" s="6">
        <f t="shared" si="311"/>
        <v>141.06705726432966</v>
      </c>
      <c r="AR1349" s="2">
        <f t="shared" si="312"/>
        <v>-2.1301186875174403</v>
      </c>
      <c r="AS1349" s="2">
        <f t="shared" si="313"/>
        <v>-300.48957487184151</v>
      </c>
    </row>
    <row r="1350" spans="13:45" x14ac:dyDescent="0.3">
      <c r="M1350" s="78">
        <v>45046.760416666664</v>
      </c>
      <c r="N1350" s="79">
        <v>6.9982277927048295E-2</v>
      </c>
      <c r="O1350" s="5">
        <v>82.276892649999994</v>
      </c>
      <c r="P1350" s="2">
        <v>13254</v>
      </c>
      <c r="Q1350" s="7">
        <f t="shared" si="307"/>
        <v>220.9</v>
      </c>
      <c r="R1350" s="6">
        <f t="shared" si="308"/>
        <v>15.459085194084969</v>
      </c>
      <c r="S1350" s="6">
        <f t="shared" si="302"/>
        <v>141.97010218561428</v>
      </c>
      <c r="T1350" s="2">
        <f t="shared" si="303"/>
        <v>1</v>
      </c>
      <c r="U1350" s="6">
        <f t="shared" si="304"/>
        <v>141.97010218561428</v>
      </c>
      <c r="V1350">
        <f t="shared" si="305"/>
        <v>0.10356646276653814</v>
      </c>
      <c r="W1350" s="6">
        <f t="shared" si="309"/>
        <v>14.703341301968036</v>
      </c>
      <c r="AK1350" s="78">
        <v>45045.760416666664</v>
      </c>
      <c r="AL1350" s="79">
        <v>7.9385220208819302E-2</v>
      </c>
      <c r="AM1350" s="5">
        <v>77.435049230000004</v>
      </c>
      <c r="AN1350" s="2">
        <v>10969</v>
      </c>
      <c r="AO1350" s="7">
        <f t="shared" si="306"/>
        <v>182.81666666666666</v>
      </c>
      <c r="AP1350" s="5">
        <f t="shared" si="310"/>
        <v>14.512941341175649</v>
      </c>
      <c r="AQ1350" s="6">
        <f t="shared" si="311"/>
        <v>137.64651862106223</v>
      </c>
      <c r="AR1350" s="2">
        <f t="shared" si="312"/>
        <v>-2.1301186875174403</v>
      </c>
      <c r="AS1350" s="2">
        <f t="shared" si="313"/>
        <v>-293.20342158644195</v>
      </c>
    </row>
    <row r="1351" spans="13:45" x14ac:dyDescent="0.3">
      <c r="M1351" s="78">
        <v>45046.770833333336</v>
      </c>
      <c r="N1351" s="79">
        <v>7.2413764651465304E-2</v>
      </c>
      <c r="O1351" s="5">
        <v>85.762083380000007</v>
      </c>
      <c r="P1351" s="2">
        <v>13134</v>
      </c>
      <c r="Q1351" s="7">
        <f t="shared" si="307"/>
        <v>218.9</v>
      </c>
      <c r="R1351" s="6">
        <f t="shared" si="308"/>
        <v>15.851373082205756</v>
      </c>
      <c r="S1351" s="6">
        <f t="shared" si="302"/>
        <v>143.72302441010459</v>
      </c>
      <c r="T1351" s="2">
        <f t="shared" si="303"/>
        <v>1</v>
      </c>
      <c r="U1351" s="6">
        <f t="shared" si="304"/>
        <v>143.72302441010459</v>
      </c>
      <c r="V1351">
        <f t="shared" si="305"/>
        <v>0.17537454902593752</v>
      </c>
      <c r="W1351" s="6">
        <f t="shared" si="309"/>
        <v>25.205360590565903</v>
      </c>
      <c r="AK1351" s="78">
        <v>45045.770833333336</v>
      </c>
      <c r="AL1351" s="79">
        <v>8.4776788708176704E-2</v>
      </c>
      <c r="AM1351" s="5">
        <v>75.208694050000005</v>
      </c>
      <c r="AN1351" s="2">
        <v>11019</v>
      </c>
      <c r="AO1351" s="7">
        <f t="shared" si="306"/>
        <v>183.65</v>
      </c>
      <c r="AP1351" s="5">
        <f t="shared" si="310"/>
        <v>15.569257246256653</v>
      </c>
      <c r="AQ1351" s="6">
        <f t="shared" si="311"/>
        <v>142.46467136067352</v>
      </c>
      <c r="AR1351" s="2">
        <f t="shared" si="312"/>
        <v>-2.1301186875174403</v>
      </c>
      <c r="AS1351" s="2">
        <f t="shared" si="313"/>
        <v>-303.46665877640135</v>
      </c>
    </row>
    <row r="1352" spans="13:45" x14ac:dyDescent="0.3">
      <c r="M1352" s="78">
        <v>45046.78125</v>
      </c>
      <c r="N1352" s="79">
        <v>8.6389991613800496E-2</v>
      </c>
      <c r="O1352" s="5">
        <v>85.762083380000007</v>
      </c>
      <c r="P1352" s="2">
        <v>12925</v>
      </c>
      <c r="Q1352" s="7">
        <f t="shared" si="307"/>
        <v>215.41666666666666</v>
      </c>
      <c r="R1352" s="6">
        <f t="shared" si="308"/>
        <v>18.60984402680619</v>
      </c>
      <c r="S1352" s="6">
        <f t="shared" si="302"/>
        <v>155.47000379062501</v>
      </c>
      <c r="T1352" s="2">
        <f t="shared" si="303"/>
        <v>1</v>
      </c>
      <c r="U1352" s="6">
        <f t="shared" si="304"/>
        <v>155.47000379062501</v>
      </c>
      <c r="V1352">
        <f t="shared" si="305"/>
        <v>0.68031116708671491</v>
      </c>
      <c r="W1352" s="6">
        <f t="shared" si="309"/>
        <v>105.7679797257761</v>
      </c>
      <c r="AK1352" s="78">
        <v>45045.78125</v>
      </c>
      <c r="AL1352" s="79">
        <v>8.0032873043300701E-2</v>
      </c>
      <c r="AM1352" s="5">
        <v>78.762941850000004</v>
      </c>
      <c r="AN1352" s="2">
        <v>11042</v>
      </c>
      <c r="AO1352" s="7">
        <f t="shared" si="306"/>
        <v>184.03333333333333</v>
      </c>
      <c r="AP1352" s="5">
        <f t="shared" si="310"/>
        <v>14.728716402402105</v>
      </c>
      <c r="AQ1352" s="6">
        <f t="shared" si="311"/>
        <v>138.64491448752383</v>
      </c>
      <c r="AR1352" s="2">
        <f t="shared" si="312"/>
        <v>-2.1301186875174403</v>
      </c>
      <c r="AS1352" s="2">
        <f t="shared" si="313"/>
        <v>-295.33012327913201</v>
      </c>
    </row>
    <row r="1353" spans="13:45" x14ac:dyDescent="0.3">
      <c r="M1353" s="78">
        <v>45046.791666666664</v>
      </c>
      <c r="N1353" s="79">
        <v>8.2783568473582106E-2</v>
      </c>
      <c r="O1353" s="5">
        <v>84.891986889999998</v>
      </c>
      <c r="P1353" s="2">
        <v>10365</v>
      </c>
      <c r="Q1353" s="7">
        <f t="shared" si="307"/>
        <v>172.75</v>
      </c>
      <c r="R1353" s="6">
        <f t="shared" si="308"/>
        <v>14.300861453811308</v>
      </c>
      <c r="S1353" s="6">
        <f t="shared" ref="S1353:S1384" si="314">37.141*R1353^0.4897</f>
        <v>136.65781156382792</v>
      </c>
      <c r="T1353" s="2">
        <f t="shared" ref="T1353:T1384" si="315">IF((O1353-$R$1)/($P$1-$R$1)&lt;0, 0, IF((O1353-$R$1)/($P$1-$R$1)&gt;1, 1, (O1353-$R$1)/($P$1-$R$1)))</f>
        <v>1</v>
      </c>
      <c r="U1353" s="6">
        <f t="shared" ref="U1353:U1384" si="316">S1353*T1353</f>
        <v>136.65781156382792</v>
      </c>
      <c r="V1353">
        <f t="shared" ref="V1353:V1384" si="317">IF((R1353-$AB$774)/($Z$773-$AB$774)&lt;0, 0, IF((R1353-$AB$774)/($Z$773-$AB$774)&gt;1, 1, (R1353-$AB$774)/($Z$773-$AB$774)))</f>
        <v>0</v>
      </c>
      <c r="W1353" s="6">
        <f t="shared" si="309"/>
        <v>0</v>
      </c>
      <c r="AK1353" s="78">
        <v>45045.791666666664</v>
      </c>
      <c r="AL1353" s="79">
        <v>8.3194132546553098E-2</v>
      </c>
      <c r="AM1353" s="5">
        <v>76.101800600000004</v>
      </c>
      <c r="AN1353" s="2">
        <v>11219</v>
      </c>
      <c r="AO1353" s="7">
        <f t="shared" si="306"/>
        <v>186.98333333333332</v>
      </c>
      <c r="AP1353" s="5">
        <f t="shared" si="310"/>
        <v>15.555916217329653</v>
      </c>
      <c r="AQ1353" s="6">
        <f t="shared" si="311"/>
        <v>142.40487789887882</v>
      </c>
      <c r="AR1353" s="2">
        <f t="shared" si="312"/>
        <v>-2.1301186875174403</v>
      </c>
      <c r="AS1353" s="2">
        <f t="shared" si="313"/>
        <v>-303.33929160604112</v>
      </c>
    </row>
    <row r="1354" spans="13:45" x14ac:dyDescent="0.3">
      <c r="M1354" s="78">
        <v>45046.802083333336</v>
      </c>
      <c r="N1354" s="79">
        <v>9.2681763006101897E-2</v>
      </c>
      <c r="O1354" s="5">
        <v>83.586986100000004</v>
      </c>
      <c r="P1354" s="2">
        <v>9839</v>
      </c>
      <c r="Q1354" s="7">
        <f t="shared" si="307"/>
        <v>163.98333333333332</v>
      </c>
      <c r="R1354" s="6">
        <f t="shared" si="308"/>
        <v>15.198264436950609</v>
      </c>
      <c r="S1354" s="6">
        <f t="shared" si="314"/>
        <v>140.79204361618255</v>
      </c>
      <c r="T1354" s="2">
        <f t="shared" si="315"/>
        <v>1</v>
      </c>
      <c r="U1354" s="6">
        <f t="shared" si="316"/>
        <v>140.79204361618255</v>
      </c>
      <c r="V1354">
        <f t="shared" si="317"/>
        <v>5.5823363900383012E-2</v>
      </c>
      <c r="W1354" s="6">
        <f t="shared" si="309"/>
        <v>7.8594854850647557</v>
      </c>
      <c r="AK1354" s="78">
        <v>45045.802083333336</v>
      </c>
      <c r="AL1354" s="79">
        <v>7.92022928378769E-2</v>
      </c>
      <c r="AM1354" s="5">
        <v>77.435049230000004</v>
      </c>
      <c r="AN1354" s="2">
        <v>10945</v>
      </c>
      <c r="AO1354" s="7">
        <f t="shared" si="306"/>
        <v>182.41666666666666</v>
      </c>
      <c r="AP1354" s="5">
        <f t="shared" si="310"/>
        <v>14.44781825184271</v>
      </c>
      <c r="AQ1354" s="6">
        <f t="shared" si="311"/>
        <v>137.34370670346635</v>
      </c>
      <c r="AR1354" s="2">
        <f t="shared" si="312"/>
        <v>-2.1301186875174403</v>
      </c>
      <c r="AS1354" s="2">
        <f t="shared" si="313"/>
        <v>-292.55839626196803</v>
      </c>
    </row>
    <row r="1355" spans="13:45" x14ac:dyDescent="0.3">
      <c r="M1355" s="78">
        <v>45046.8125</v>
      </c>
      <c r="N1355" s="79">
        <v>9.5777372009960796E-2</v>
      </c>
      <c r="O1355" s="5">
        <v>85.762083380000007</v>
      </c>
      <c r="P1355" s="2">
        <v>10523</v>
      </c>
      <c r="Q1355" s="7">
        <f t="shared" si="307"/>
        <v>175.38333333333333</v>
      </c>
      <c r="R1355" s="6">
        <f t="shared" si="308"/>
        <v>16.797754761013625</v>
      </c>
      <c r="S1355" s="6">
        <f t="shared" si="314"/>
        <v>147.86286715719322</v>
      </c>
      <c r="T1355" s="2">
        <f t="shared" si="315"/>
        <v>1</v>
      </c>
      <c r="U1355" s="6">
        <f t="shared" si="316"/>
        <v>147.86286715719322</v>
      </c>
      <c r="V1355">
        <f t="shared" si="317"/>
        <v>0.34860920470622242</v>
      </c>
      <c r="W1355" s="6">
        <f t="shared" si="309"/>
        <v>51.546356525250943</v>
      </c>
      <c r="AK1355" s="78">
        <v>45045.8125</v>
      </c>
      <c r="AL1355" s="79">
        <v>8.0948982078953804E-2</v>
      </c>
      <c r="AM1355" s="5">
        <v>78.315517589999999</v>
      </c>
      <c r="AN1355" s="2">
        <v>10838</v>
      </c>
      <c r="AO1355" s="7">
        <f t="shared" si="306"/>
        <v>180.63333333333333</v>
      </c>
      <c r="AP1355" s="5">
        <f t="shared" si="310"/>
        <v>14.622084462861688</v>
      </c>
      <c r="AQ1355" s="6">
        <f t="shared" si="311"/>
        <v>138.15246591257838</v>
      </c>
      <c r="AR1355" s="2">
        <f t="shared" si="312"/>
        <v>-2.1301186875174403</v>
      </c>
      <c r="AS1355" s="2">
        <f t="shared" si="313"/>
        <v>-294.28114936699939</v>
      </c>
    </row>
    <row r="1356" spans="13:45" x14ac:dyDescent="0.3">
      <c r="M1356" s="78">
        <v>45046.822916666664</v>
      </c>
      <c r="N1356" s="79">
        <v>9.3445455090914703E-2</v>
      </c>
      <c r="O1356" s="5">
        <v>84.891986889999998</v>
      </c>
      <c r="P1356" s="2">
        <v>11035</v>
      </c>
      <c r="Q1356" s="7">
        <f t="shared" si="307"/>
        <v>183.91666666666666</v>
      </c>
      <c r="R1356" s="6">
        <f t="shared" si="308"/>
        <v>17.186176615470728</v>
      </c>
      <c r="S1356" s="6">
        <f t="shared" si="314"/>
        <v>149.52743431426825</v>
      </c>
      <c r="T1356" s="2">
        <f t="shared" si="315"/>
        <v>1</v>
      </c>
      <c r="U1356" s="6">
        <f t="shared" si="316"/>
        <v>149.52743431426825</v>
      </c>
      <c r="V1356">
        <f t="shared" si="317"/>
        <v>0.41970961558942443</v>
      </c>
      <c r="W1356" s="6">
        <f t="shared" si="309"/>
        <v>62.758101976114439</v>
      </c>
      <c r="AK1356" s="78">
        <v>45045.822916666664</v>
      </c>
      <c r="AL1356" s="79">
        <v>8.1462762324401403E-2</v>
      </c>
      <c r="AM1356" s="5">
        <v>76.101800600000004</v>
      </c>
      <c r="AN1356" s="2">
        <v>10791</v>
      </c>
      <c r="AO1356" s="7">
        <f t="shared" si="306"/>
        <v>179.85</v>
      </c>
      <c r="AP1356" s="5">
        <f t="shared" si="310"/>
        <v>14.651077804043592</v>
      </c>
      <c r="AQ1356" s="6">
        <f t="shared" si="311"/>
        <v>138.28654411137907</v>
      </c>
      <c r="AR1356" s="2">
        <f t="shared" si="312"/>
        <v>-2.1301186875174403</v>
      </c>
      <c r="AS1356" s="2">
        <f t="shared" si="313"/>
        <v>-294.56675184385341</v>
      </c>
    </row>
    <row r="1357" spans="13:45" x14ac:dyDescent="0.3">
      <c r="M1357" s="78">
        <v>45046.833333333336</v>
      </c>
      <c r="N1357" s="79">
        <v>8.5185694137467793E-2</v>
      </c>
      <c r="O1357" s="5">
        <v>83.586986100000004</v>
      </c>
      <c r="P1357" s="2">
        <v>10944</v>
      </c>
      <c r="Q1357" s="7">
        <f t="shared" si="307"/>
        <v>182.4</v>
      </c>
      <c r="R1357" s="6">
        <f t="shared" si="308"/>
        <v>15.537870610674126</v>
      </c>
      <c r="S1357" s="6">
        <f t="shared" si="314"/>
        <v>142.32395723029668</v>
      </c>
      <c r="T1357" s="2">
        <f t="shared" si="315"/>
        <v>1</v>
      </c>
      <c r="U1357" s="6">
        <f t="shared" si="316"/>
        <v>142.32395723029668</v>
      </c>
      <c r="V1357">
        <f t="shared" si="317"/>
        <v>0.11798809076407399</v>
      </c>
      <c r="W1357" s="6">
        <f t="shared" si="309"/>
        <v>16.792531983590429</v>
      </c>
      <c r="AK1357" s="78">
        <v>45045.833333333336</v>
      </c>
      <c r="AL1357" s="79">
        <v>8.16362890697689E-2</v>
      </c>
      <c r="AM1357" s="5">
        <v>79.641055789999996</v>
      </c>
      <c r="AN1357" s="2">
        <v>11395</v>
      </c>
      <c r="AO1357" s="7">
        <f t="shared" si="306"/>
        <v>189.91666666666666</v>
      </c>
      <c r="AP1357" s="5">
        <f t="shared" si="310"/>
        <v>15.504091899166943</v>
      </c>
      <c r="AQ1357" s="6">
        <f t="shared" si="311"/>
        <v>142.1723566766303</v>
      </c>
      <c r="AR1357" s="2">
        <f t="shared" si="312"/>
        <v>-2.1301186875174403</v>
      </c>
      <c r="AS1357" s="2">
        <f t="shared" si="313"/>
        <v>-302.84399380528509</v>
      </c>
    </row>
    <row r="1358" spans="13:45" x14ac:dyDescent="0.3">
      <c r="M1358" s="78">
        <v>45046.84375</v>
      </c>
      <c r="N1358" s="79">
        <v>8.8852998520491694E-2</v>
      </c>
      <c r="O1358" s="5">
        <v>85.762083380000007</v>
      </c>
      <c r="P1358" s="2">
        <v>11025</v>
      </c>
      <c r="Q1358" s="7">
        <f t="shared" si="307"/>
        <v>183.75</v>
      </c>
      <c r="R1358" s="6">
        <f t="shared" si="308"/>
        <v>16.326738478140349</v>
      </c>
      <c r="S1358" s="6">
        <f t="shared" si="314"/>
        <v>145.81776811104305</v>
      </c>
      <c r="T1358" s="2">
        <f t="shared" si="315"/>
        <v>1</v>
      </c>
      <c r="U1358" s="6">
        <f t="shared" si="316"/>
        <v>145.81776811104305</v>
      </c>
      <c r="V1358">
        <f t="shared" si="317"/>
        <v>0.26238992826572305</v>
      </c>
      <c r="W1358" s="6">
        <f t="shared" si="309"/>
        <v>38.261113714524427</v>
      </c>
      <c r="AK1358" s="78">
        <v>45045.84375</v>
      </c>
      <c r="AL1358" s="79">
        <v>7.9393177962847797E-2</v>
      </c>
      <c r="AM1358" s="5">
        <v>79.641055789999996</v>
      </c>
      <c r="AN1358" s="2">
        <v>11086</v>
      </c>
      <c r="AO1358" s="7">
        <f t="shared" si="306"/>
        <v>184.76666666666668</v>
      </c>
      <c r="AP1358" s="5">
        <f t="shared" si="310"/>
        <v>14.669212848268845</v>
      </c>
      <c r="AQ1358" s="6">
        <f t="shared" si="311"/>
        <v>138.37033985803805</v>
      </c>
      <c r="AR1358" s="2">
        <f t="shared" si="312"/>
        <v>-2.1301186875174403</v>
      </c>
      <c r="AS1358" s="2">
        <f t="shared" si="313"/>
        <v>-294.74524672974616</v>
      </c>
    </row>
    <row r="1359" spans="13:45" x14ac:dyDescent="0.3">
      <c r="M1359" s="78">
        <v>45046.854166666664</v>
      </c>
      <c r="N1359" s="79">
        <v>9.1069414377669994E-2</v>
      </c>
      <c r="O1359" s="5">
        <v>86.192545629999998</v>
      </c>
      <c r="P1359" s="2">
        <v>10375</v>
      </c>
      <c r="Q1359" s="7">
        <f t="shared" si="307"/>
        <v>172.91666666666666</v>
      </c>
      <c r="R1359" s="6">
        <f t="shared" si="308"/>
        <v>15.747419569472102</v>
      </c>
      <c r="S1359" s="6">
        <f t="shared" si="314"/>
        <v>143.26068892674382</v>
      </c>
      <c r="T1359" s="2">
        <f t="shared" si="315"/>
        <v>1</v>
      </c>
      <c r="U1359" s="6">
        <f t="shared" si="316"/>
        <v>143.26068892674382</v>
      </c>
      <c r="V1359">
        <f t="shared" si="317"/>
        <v>0.15634591460873792</v>
      </c>
      <c r="W1359" s="6">
        <f t="shared" si="309"/>
        <v>22.398223437729655</v>
      </c>
      <c r="AK1359" s="78">
        <v>45045.854166666664</v>
      </c>
      <c r="AL1359" s="79">
        <v>7.7404925303168198E-2</v>
      </c>
      <c r="AM1359" s="5">
        <v>76.094169239999999</v>
      </c>
      <c r="AN1359" s="2">
        <v>11349</v>
      </c>
      <c r="AO1359" s="7">
        <f t="shared" si="306"/>
        <v>189.15</v>
      </c>
      <c r="AP1359" s="5">
        <f t="shared" si="310"/>
        <v>14.641141621094265</v>
      </c>
      <c r="AQ1359" s="6">
        <f t="shared" si="311"/>
        <v>138.24061001245124</v>
      </c>
      <c r="AR1359" s="2">
        <f t="shared" si="312"/>
        <v>-2.1301186875174403</v>
      </c>
      <c r="AS1359" s="2">
        <f t="shared" si="313"/>
        <v>-294.46890676133296</v>
      </c>
    </row>
    <row r="1360" spans="13:45" x14ac:dyDescent="0.3">
      <c r="M1360" s="78">
        <v>45046.864583333336</v>
      </c>
      <c r="N1360" s="79">
        <v>8.9467322601683205E-2</v>
      </c>
      <c r="O1360" s="5">
        <v>84.891986889999998</v>
      </c>
      <c r="P1360" s="2">
        <v>10398</v>
      </c>
      <c r="Q1360" s="7">
        <f t="shared" si="307"/>
        <v>173.3</v>
      </c>
      <c r="R1360" s="6">
        <f t="shared" si="308"/>
        <v>15.5046870068717</v>
      </c>
      <c r="S1360" s="6">
        <f t="shared" si="314"/>
        <v>142.1750290076462</v>
      </c>
      <c r="T1360" s="2">
        <f t="shared" si="315"/>
        <v>1</v>
      </c>
      <c r="U1360" s="6">
        <f t="shared" si="316"/>
        <v>142.1750290076462</v>
      </c>
      <c r="V1360">
        <f t="shared" si="317"/>
        <v>0.11191384999243779</v>
      </c>
      <c r="W1360" s="6">
        <f t="shared" si="309"/>
        <v>15.911354869032209</v>
      </c>
      <c r="AK1360" s="78">
        <v>45045.864583333336</v>
      </c>
      <c r="AL1360" s="79">
        <v>7.4320615957870401E-2</v>
      </c>
      <c r="AM1360" s="5">
        <v>79.641055789999996</v>
      </c>
      <c r="AN1360" s="2">
        <v>11212</v>
      </c>
      <c r="AO1360" s="7">
        <f t="shared" si="306"/>
        <v>186.86666666666667</v>
      </c>
      <c r="AP1360" s="5">
        <f t="shared" si="310"/>
        <v>13.888045768660715</v>
      </c>
      <c r="AQ1360" s="6">
        <f t="shared" si="311"/>
        <v>134.71158886835696</v>
      </c>
      <c r="AR1360" s="2">
        <f t="shared" si="312"/>
        <v>-2.1301186875174403</v>
      </c>
      <c r="AS1360" s="2">
        <f t="shared" si="313"/>
        <v>-286.95167287365354</v>
      </c>
    </row>
    <row r="1361" spans="13:45" x14ac:dyDescent="0.3">
      <c r="M1361" s="78">
        <v>45046.875</v>
      </c>
      <c r="N1361" s="79">
        <v>9.5184842897204205E-2</v>
      </c>
      <c r="O1361" s="5">
        <v>87.058386479999996</v>
      </c>
      <c r="P1361" s="2">
        <v>10417</v>
      </c>
      <c r="Q1361" s="7">
        <f t="shared" si="307"/>
        <v>173.61666666666667</v>
      </c>
      <c r="R1361" s="6">
        <f t="shared" si="308"/>
        <v>16.525675141002939</v>
      </c>
      <c r="S1361" s="6">
        <f t="shared" si="314"/>
        <v>146.6851530831581</v>
      </c>
      <c r="T1361" s="2">
        <f t="shared" si="315"/>
        <v>1</v>
      </c>
      <c r="U1361" s="6">
        <f t="shared" si="316"/>
        <v>146.6851530831581</v>
      </c>
      <c r="V1361">
        <f t="shared" si="317"/>
        <v>0.29880517706533771</v>
      </c>
      <c r="W1361" s="6">
        <f t="shared" si="309"/>
        <v>43.830283139869223</v>
      </c>
      <c r="AK1361" s="78">
        <v>45045.875</v>
      </c>
      <c r="AL1361" s="79">
        <v>7.60665099500486E-2</v>
      </c>
      <c r="AM1361" s="5">
        <v>76.094169239999999</v>
      </c>
      <c r="AN1361" s="2">
        <v>11309</v>
      </c>
      <c r="AO1361" s="7">
        <f t="shared" si="306"/>
        <v>188.48333333333332</v>
      </c>
      <c r="AP1361" s="5">
        <f t="shared" si="310"/>
        <v>14.337269350418326</v>
      </c>
      <c r="AQ1361" s="6">
        <f t="shared" si="311"/>
        <v>136.82807293184703</v>
      </c>
      <c r="AR1361" s="2">
        <f t="shared" si="312"/>
        <v>-2.1301186875174403</v>
      </c>
      <c r="AS1361" s="2">
        <f t="shared" si="313"/>
        <v>-291.4600351291266</v>
      </c>
    </row>
    <row r="1362" spans="13:45" x14ac:dyDescent="0.3">
      <c r="M1362" s="78">
        <v>45046.885416666664</v>
      </c>
      <c r="N1362" s="79">
        <v>8.9918088909259397E-2</v>
      </c>
      <c r="O1362" s="5">
        <v>82.276892649999994</v>
      </c>
      <c r="P1362" s="2">
        <v>10576</v>
      </c>
      <c r="Q1362" s="7">
        <f t="shared" si="307"/>
        <v>176.26666666666668</v>
      </c>
      <c r="R1362" s="6">
        <f t="shared" si="308"/>
        <v>15.849561805072124</v>
      </c>
      <c r="S1362" s="6">
        <f t="shared" si="314"/>
        <v>143.71498198304602</v>
      </c>
      <c r="T1362" s="2">
        <f t="shared" si="315"/>
        <v>1</v>
      </c>
      <c r="U1362" s="6">
        <f t="shared" si="316"/>
        <v>143.71498198304602</v>
      </c>
      <c r="V1362">
        <f t="shared" si="317"/>
        <v>0.17504299572391091</v>
      </c>
      <c r="W1362" s="6">
        <f t="shared" si="309"/>
        <v>25.156300976720257</v>
      </c>
      <c r="AK1362" s="78">
        <v>45045.885416666664</v>
      </c>
      <c r="AL1362" s="79">
        <v>7.3318079802105293E-2</v>
      </c>
      <c r="AM1362" s="5">
        <v>72.977848870000003</v>
      </c>
      <c r="AN1362" s="2">
        <v>11911</v>
      </c>
      <c r="AO1362" s="7">
        <f t="shared" si="306"/>
        <v>198.51666666666668</v>
      </c>
      <c r="AP1362" s="5">
        <f t="shared" si="310"/>
        <v>14.554860808714604</v>
      </c>
      <c r="AQ1362" s="6">
        <f t="shared" si="311"/>
        <v>137.84107072590069</v>
      </c>
      <c r="AR1362" s="2">
        <f t="shared" si="312"/>
        <v>-2.1301186875174403</v>
      </c>
      <c r="AS1362" s="2">
        <f t="shared" si="313"/>
        <v>-293.61784066065422</v>
      </c>
    </row>
    <row r="1363" spans="13:45" x14ac:dyDescent="0.3">
      <c r="M1363" s="78">
        <v>45046.895833333336</v>
      </c>
      <c r="N1363" s="79">
        <v>8.9839155165888099E-2</v>
      </c>
      <c r="O1363" s="5">
        <v>84.891986889999998</v>
      </c>
      <c r="P1363" s="2">
        <v>10649</v>
      </c>
      <c r="Q1363" s="7">
        <f t="shared" si="307"/>
        <v>177.48333333333332</v>
      </c>
      <c r="R1363" s="6">
        <f t="shared" si="308"/>
        <v>15.944952722692372</v>
      </c>
      <c r="S1363" s="6">
        <f t="shared" si="314"/>
        <v>144.13790031000033</v>
      </c>
      <c r="T1363" s="2">
        <f t="shared" si="315"/>
        <v>1</v>
      </c>
      <c r="U1363" s="6">
        <f t="shared" si="316"/>
        <v>144.13790031000033</v>
      </c>
      <c r="V1363">
        <f t="shared" si="317"/>
        <v>0.19250425172559751</v>
      </c>
      <c r="W1363" s="6">
        <f t="shared" si="309"/>
        <v>27.747158644475384</v>
      </c>
      <c r="AK1363" s="78">
        <v>45045.895833333336</v>
      </c>
      <c r="AL1363" s="79">
        <v>7.4413353830867807E-2</v>
      </c>
      <c r="AM1363" s="5">
        <v>75.208694050000005</v>
      </c>
      <c r="AN1363" s="2">
        <v>11516</v>
      </c>
      <c r="AO1363" s="7">
        <f t="shared" si="306"/>
        <v>191.93333333333334</v>
      </c>
      <c r="AP1363" s="5">
        <f t="shared" si="310"/>
        <v>14.282403045271227</v>
      </c>
      <c r="AQ1363" s="6">
        <f t="shared" si="311"/>
        <v>136.57140639663976</v>
      </c>
      <c r="AR1363" s="2">
        <f t="shared" si="312"/>
        <v>-2.1301186875174403</v>
      </c>
      <c r="AS1363" s="2">
        <f t="shared" si="313"/>
        <v>-290.91330494602124</v>
      </c>
    </row>
    <row r="1364" spans="13:45" x14ac:dyDescent="0.3">
      <c r="M1364" s="78">
        <v>45046.90625</v>
      </c>
      <c r="N1364" s="79">
        <v>9.2539846686223295E-2</v>
      </c>
      <c r="O1364" s="5">
        <v>82.276892649999994</v>
      </c>
      <c r="P1364" s="2">
        <v>10392</v>
      </c>
      <c r="Q1364" s="7">
        <f t="shared" si="307"/>
        <v>173.2</v>
      </c>
      <c r="R1364" s="6">
        <f t="shared" si="308"/>
        <v>16.027901446053875</v>
      </c>
      <c r="S1364" s="6">
        <f t="shared" si="314"/>
        <v>144.50460750689371</v>
      </c>
      <c r="T1364" s="2">
        <f t="shared" si="315"/>
        <v>1</v>
      </c>
      <c r="U1364" s="6">
        <f t="shared" si="316"/>
        <v>144.50460750689371</v>
      </c>
      <c r="V1364">
        <f t="shared" si="317"/>
        <v>0.20768797078147572</v>
      </c>
      <c r="W1364" s="6">
        <f t="shared" si="309"/>
        <v>30.011868701680356</v>
      </c>
      <c r="AK1364" s="78">
        <v>45045.90625</v>
      </c>
      <c r="AL1364" s="79">
        <v>7.3029224470354703E-2</v>
      </c>
      <c r="AM1364" s="5">
        <v>75.208694050000005</v>
      </c>
      <c r="AN1364" s="2">
        <v>11731</v>
      </c>
      <c r="AO1364" s="7">
        <f t="shared" si="306"/>
        <v>195.51666666666668</v>
      </c>
      <c r="AP1364" s="5">
        <f t="shared" si="310"/>
        <v>14.278430537695519</v>
      </c>
      <c r="AQ1364" s="6">
        <f t="shared" si="311"/>
        <v>136.55280334638573</v>
      </c>
      <c r="AR1364" s="2">
        <f t="shared" si="312"/>
        <v>-2.1301186875174403</v>
      </c>
      <c r="AS1364" s="2">
        <f t="shared" si="313"/>
        <v>-290.87367824103029</v>
      </c>
    </row>
    <row r="1365" spans="13:45" x14ac:dyDescent="0.3">
      <c r="M1365" s="78">
        <v>45046.916666666664</v>
      </c>
      <c r="N1365" s="79">
        <v>8.8429072091145394E-2</v>
      </c>
      <c r="O1365" s="5">
        <v>82.711152870000006</v>
      </c>
      <c r="P1365" s="2">
        <v>10249</v>
      </c>
      <c r="Q1365" s="7">
        <f t="shared" si="307"/>
        <v>170.81666666666666</v>
      </c>
      <c r="R1365" s="6">
        <f t="shared" si="308"/>
        <v>15.105159331035818</v>
      </c>
      <c r="S1365" s="6">
        <f t="shared" si="314"/>
        <v>140.36901658976885</v>
      </c>
      <c r="T1365" s="2">
        <f t="shared" si="315"/>
        <v>1</v>
      </c>
      <c r="U1365" s="6">
        <f t="shared" si="316"/>
        <v>140.36901658976885</v>
      </c>
      <c r="V1365">
        <f t="shared" si="317"/>
        <v>3.8780524498057946E-2</v>
      </c>
      <c r="W1365" s="6">
        <f t="shared" si="309"/>
        <v>5.4435840866278333</v>
      </c>
      <c r="AK1365" s="78">
        <v>45045.916666666664</v>
      </c>
      <c r="AL1365" s="79">
        <v>7.4616546290461896E-2</v>
      </c>
      <c r="AM1365" s="5">
        <v>77.435049230000004</v>
      </c>
      <c r="AN1365" s="2">
        <v>11378</v>
      </c>
      <c r="AO1365" s="7">
        <f t="shared" si="306"/>
        <v>189.63333333333333</v>
      </c>
      <c r="AP1365" s="5">
        <f t="shared" si="310"/>
        <v>14.149784394881257</v>
      </c>
      <c r="AQ1365" s="6">
        <f t="shared" si="311"/>
        <v>135.94892591470372</v>
      </c>
      <c r="AR1365" s="2">
        <f t="shared" si="312"/>
        <v>-2.1301186875174403</v>
      </c>
      <c r="AS1365" s="2">
        <f t="shared" si="313"/>
        <v>-289.58734763883439</v>
      </c>
    </row>
    <row r="1366" spans="13:45" x14ac:dyDescent="0.3">
      <c r="M1366" s="78">
        <v>45046.927083333336</v>
      </c>
      <c r="N1366" s="79">
        <v>9.1828871066715001E-2</v>
      </c>
      <c r="O1366" s="5">
        <v>81.397704649999994</v>
      </c>
      <c r="P1366" s="2">
        <v>10368</v>
      </c>
      <c r="Q1366" s="7">
        <f t="shared" si="307"/>
        <v>172.8</v>
      </c>
      <c r="R1366" s="6">
        <f t="shared" si="308"/>
        <v>15.868028920328353</v>
      </c>
      <c r="S1366" s="6">
        <f t="shared" si="314"/>
        <v>143.79695763791267</v>
      </c>
      <c r="T1366" s="2">
        <f t="shared" si="315"/>
        <v>1</v>
      </c>
      <c r="U1366" s="6">
        <f t="shared" si="316"/>
        <v>143.79695763791267</v>
      </c>
      <c r="V1366">
        <f t="shared" si="317"/>
        <v>0.1784233912075289</v>
      </c>
      <c r="W1366" s="6">
        <f t="shared" si="309"/>
        <v>25.656740827081752</v>
      </c>
      <c r="AK1366" s="78">
        <v>45045.927083333336</v>
      </c>
      <c r="AL1366" s="79">
        <v>7.20888397245351E-2</v>
      </c>
      <c r="AM1366" s="5">
        <v>75.208694050000005</v>
      </c>
      <c r="AN1366" s="2">
        <v>11615</v>
      </c>
      <c r="AO1366" s="7">
        <f t="shared" si="306"/>
        <v>193.58333333333334</v>
      </c>
      <c r="AP1366" s="5">
        <f t="shared" si="310"/>
        <v>13.95519789000792</v>
      </c>
      <c r="AQ1366" s="6">
        <f t="shared" si="311"/>
        <v>135.03016910933741</v>
      </c>
      <c r="AR1366" s="2">
        <f t="shared" si="312"/>
        <v>-2.1301186875174403</v>
      </c>
      <c r="AS1366" s="2">
        <f t="shared" si="313"/>
        <v>-287.6302865984398</v>
      </c>
    </row>
    <row r="1367" spans="13:45" x14ac:dyDescent="0.3">
      <c r="M1367" s="78">
        <v>45046.9375</v>
      </c>
      <c r="N1367" s="79">
        <v>7.3226678513634999E-2</v>
      </c>
      <c r="O1367" s="5">
        <v>85.762083380000007</v>
      </c>
      <c r="P1367" s="2">
        <v>13394</v>
      </c>
      <c r="Q1367" s="7">
        <f t="shared" si="307"/>
        <v>223.23333333333332</v>
      </c>
      <c r="R1367" s="6">
        <f t="shared" si="308"/>
        <v>16.34663553352712</v>
      </c>
      <c r="S1367" s="6">
        <f t="shared" si="314"/>
        <v>145.90476324134659</v>
      </c>
      <c r="T1367" s="2">
        <f t="shared" si="315"/>
        <v>1</v>
      </c>
      <c r="U1367" s="6">
        <f t="shared" si="316"/>
        <v>145.90476324134659</v>
      </c>
      <c r="V1367">
        <f t="shared" si="317"/>
        <v>0.26603207351870461</v>
      </c>
      <c r="W1367" s="6">
        <f t="shared" si="309"/>
        <v>38.815346701351103</v>
      </c>
      <c r="AK1367" s="78">
        <v>45045.9375</v>
      </c>
      <c r="AL1367" s="79">
        <v>7.4054039122413901E-2</v>
      </c>
      <c r="AM1367" s="5">
        <v>76.544179459999995</v>
      </c>
      <c r="AN1367" s="2">
        <v>11773</v>
      </c>
      <c r="AO1367" s="7">
        <f t="shared" si="306"/>
        <v>196.21666666666667</v>
      </c>
      <c r="AP1367" s="5">
        <f t="shared" si="310"/>
        <v>14.53063670980298</v>
      </c>
      <c r="AQ1367" s="6">
        <f t="shared" si="311"/>
        <v>137.72867938389746</v>
      </c>
      <c r="AR1367" s="2">
        <f t="shared" si="312"/>
        <v>-2.1301186875174403</v>
      </c>
      <c r="AS1367" s="2">
        <f t="shared" si="313"/>
        <v>-293.37843376273798</v>
      </c>
    </row>
    <row r="1368" spans="13:45" x14ac:dyDescent="0.3">
      <c r="M1368" s="78">
        <v>45046.947916666664</v>
      </c>
      <c r="N1368" s="79">
        <v>7.0763475649142302E-2</v>
      </c>
      <c r="O1368" s="5">
        <v>82.276892649999994</v>
      </c>
      <c r="P1368" s="2">
        <v>14099</v>
      </c>
      <c r="Q1368" s="7">
        <f t="shared" si="307"/>
        <v>234.98333333333332</v>
      </c>
      <c r="R1368" s="6">
        <f t="shared" si="308"/>
        <v>16.628237386287619</v>
      </c>
      <c r="S1368" s="6">
        <f t="shared" si="314"/>
        <v>147.13025396551291</v>
      </c>
      <c r="T1368" s="2">
        <f t="shared" si="315"/>
        <v>1</v>
      </c>
      <c r="U1368" s="6">
        <f t="shared" si="316"/>
        <v>147.13025396551291</v>
      </c>
      <c r="V1368">
        <f t="shared" si="317"/>
        <v>0.31757914072666893</v>
      </c>
      <c r="W1368" s="6">
        <f t="shared" si="309"/>
        <v>46.725499629264164</v>
      </c>
      <c r="AK1368" s="78">
        <v>45045.947916666664</v>
      </c>
      <c r="AL1368" s="79">
        <v>7.1971402886851901E-2</v>
      </c>
      <c r="AM1368" s="5">
        <v>75.208694050000005</v>
      </c>
      <c r="AN1368" s="2">
        <v>12344</v>
      </c>
      <c r="AO1368" s="7">
        <f t="shared" si="306"/>
        <v>205.73333333333332</v>
      </c>
      <c r="AP1368" s="5">
        <f t="shared" si="310"/>
        <v>14.80691662058833</v>
      </c>
      <c r="AQ1368" s="6">
        <f t="shared" si="311"/>
        <v>139.00490408475952</v>
      </c>
      <c r="AR1368" s="2">
        <f t="shared" si="312"/>
        <v>-2.1301186875174403</v>
      </c>
      <c r="AS1368" s="2">
        <f t="shared" si="313"/>
        <v>-296.0969438475156</v>
      </c>
    </row>
    <row r="1369" spans="13:45" x14ac:dyDescent="0.3">
      <c r="M1369" s="78">
        <v>45046.958333333336</v>
      </c>
      <c r="N1369" s="79">
        <v>7.0093286025905005E-2</v>
      </c>
      <c r="O1369" s="5">
        <v>81.405228940000001</v>
      </c>
      <c r="P1369" s="2">
        <v>14140</v>
      </c>
      <c r="Q1369" s="7">
        <f t="shared" si="307"/>
        <v>235.66666666666666</v>
      </c>
      <c r="R1369" s="6">
        <f t="shared" si="308"/>
        <v>16.518651073438278</v>
      </c>
      <c r="S1369" s="6">
        <f t="shared" si="314"/>
        <v>146.6546184407799</v>
      </c>
      <c r="T1369" s="2">
        <f t="shared" si="315"/>
        <v>1</v>
      </c>
      <c r="U1369" s="6">
        <f t="shared" si="316"/>
        <v>146.6546184407799</v>
      </c>
      <c r="V1369">
        <f t="shared" si="317"/>
        <v>0.29751942528750125</v>
      </c>
      <c r="W1369" s="6">
        <f t="shared" si="309"/>
        <v>43.632597794258615</v>
      </c>
      <c r="AK1369" s="78">
        <v>45045.958333333336</v>
      </c>
      <c r="AL1369" s="79">
        <v>7.9876743825413904E-2</v>
      </c>
      <c r="AM1369" s="5">
        <v>72.523974480000007</v>
      </c>
      <c r="AN1369" s="2">
        <v>11896</v>
      </c>
      <c r="AO1369" s="7">
        <f t="shared" si="306"/>
        <v>198.26666666666668</v>
      </c>
      <c r="AP1369" s="5">
        <f t="shared" si="310"/>
        <v>15.836895742452064</v>
      </c>
      <c r="AQ1369" s="6">
        <f t="shared" si="311"/>
        <v>143.6587290593171</v>
      </c>
      <c r="AR1369" s="2">
        <f t="shared" si="312"/>
        <v>-2.1301186875174403</v>
      </c>
      <c r="AS1369" s="2">
        <f t="shared" si="313"/>
        <v>-306.01014339425609</v>
      </c>
    </row>
    <row r="1370" spans="13:45" x14ac:dyDescent="0.3">
      <c r="M1370" s="78">
        <v>45046.96875</v>
      </c>
      <c r="N1370" s="79">
        <v>7.0664844254644102E-2</v>
      </c>
      <c r="O1370" s="5">
        <v>77.875916610000004</v>
      </c>
      <c r="P1370" s="2">
        <v>14133</v>
      </c>
      <c r="Q1370" s="7">
        <f t="shared" si="307"/>
        <v>235.55</v>
      </c>
      <c r="R1370" s="6">
        <f t="shared" si="308"/>
        <v>16.645104064181417</v>
      </c>
      <c r="S1370" s="6">
        <f t="shared" si="314"/>
        <v>147.20331790207484</v>
      </c>
      <c r="T1370" s="2">
        <f t="shared" si="315"/>
        <v>1</v>
      </c>
      <c r="U1370" s="6">
        <f t="shared" si="316"/>
        <v>147.20331790207484</v>
      </c>
      <c r="V1370">
        <f t="shared" si="317"/>
        <v>0.32066657701461887</v>
      </c>
      <c r="W1370" s="6">
        <f t="shared" si="309"/>
        <v>47.203184076853105</v>
      </c>
      <c r="AK1370" s="78">
        <v>45045.96875</v>
      </c>
      <c r="AL1370" s="79">
        <v>7.7227054931593098E-2</v>
      </c>
      <c r="AM1370" s="5">
        <v>76.094169239999999</v>
      </c>
      <c r="AN1370" s="2">
        <v>11608</v>
      </c>
      <c r="AO1370" s="7">
        <f t="shared" si="306"/>
        <v>193.46666666666667</v>
      </c>
      <c r="AP1370" s="5">
        <f t="shared" si="310"/>
        <v>14.940860894098877</v>
      </c>
      <c r="AQ1370" s="6">
        <f t="shared" si="311"/>
        <v>139.61926098656261</v>
      </c>
      <c r="AR1370" s="2">
        <f t="shared" si="312"/>
        <v>-2.1301186875174403</v>
      </c>
      <c r="AS1370" s="2">
        <f t="shared" si="313"/>
        <v>-297.40559696485167</v>
      </c>
    </row>
    <row r="1371" spans="13:45" x14ac:dyDescent="0.3">
      <c r="M1371" s="78">
        <v>45046.979166666664</v>
      </c>
      <c r="N1371" s="79">
        <v>7.1586297927169001E-2</v>
      </c>
      <c r="O1371" s="5">
        <v>77.875916610000004</v>
      </c>
      <c r="P1371" s="2">
        <v>14025</v>
      </c>
      <c r="Q1371" s="7">
        <f t="shared" si="307"/>
        <v>233.75</v>
      </c>
      <c r="R1371" s="6">
        <f t="shared" si="308"/>
        <v>16.733297140475756</v>
      </c>
      <c r="S1371" s="6">
        <f t="shared" si="314"/>
        <v>147.5847434022206</v>
      </c>
      <c r="T1371" s="2">
        <f t="shared" si="315"/>
        <v>1</v>
      </c>
      <c r="U1371" s="6">
        <f t="shared" si="316"/>
        <v>147.5847434022206</v>
      </c>
      <c r="V1371">
        <f t="shared" si="317"/>
        <v>0.33681027204523295</v>
      </c>
      <c r="W1371" s="6">
        <f t="shared" si="309"/>
        <v>49.708057575027816</v>
      </c>
      <c r="AK1371" s="78">
        <v>45045.979166666664</v>
      </c>
      <c r="AL1371" s="79">
        <v>7.1645012469155306E-2</v>
      </c>
      <c r="AM1371" s="5">
        <v>76.101800600000004</v>
      </c>
      <c r="AN1371" s="2">
        <v>12343</v>
      </c>
      <c r="AO1371" s="7">
        <f t="shared" si="306"/>
        <v>205.71666666666667</v>
      </c>
      <c r="AP1371" s="5">
        <f t="shared" si="310"/>
        <v>14.738573148446399</v>
      </c>
      <c r="AQ1371" s="6">
        <f t="shared" si="311"/>
        <v>138.69034300641709</v>
      </c>
      <c r="AR1371" s="2">
        <f t="shared" si="312"/>
        <v>-2.1301186875174403</v>
      </c>
      <c r="AS1371" s="2">
        <f t="shared" si="313"/>
        <v>-295.42689141617279</v>
      </c>
    </row>
    <row r="1372" spans="13:45" x14ac:dyDescent="0.3">
      <c r="M1372" s="78">
        <v>45046.989583333336</v>
      </c>
      <c r="N1372" s="79">
        <v>7.3619340401859606E-2</v>
      </c>
      <c r="O1372" s="5">
        <v>80.961047410000006</v>
      </c>
      <c r="P1372" s="2">
        <v>13741</v>
      </c>
      <c r="Q1372" s="7">
        <f t="shared" si="307"/>
        <v>229.01666666666668</v>
      </c>
      <c r="R1372" s="6">
        <f t="shared" si="308"/>
        <v>16.860055941032549</v>
      </c>
      <c r="S1372" s="6">
        <f t="shared" si="314"/>
        <v>148.13116912070763</v>
      </c>
      <c r="T1372" s="2">
        <f t="shared" si="315"/>
        <v>1</v>
      </c>
      <c r="U1372" s="6">
        <f t="shared" si="316"/>
        <v>148.13116912070763</v>
      </c>
      <c r="V1372">
        <f t="shared" si="317"/>
        <v>0.36001340209373844</v>
      </c>
      <c r="W1372" s="6">
        <f t="shared" si="309"/>
        <v>53.329206151268885</v>
      </c>
      <c r="AK1372" s="78">
        <v>45045.989583333336</v>
      </c>
      <c r="AL1372" s="79">
        <v>7.1502759605961905E-2</v>
      </c>
      <c r="AM1372" s="5">
        <v>76.986061320000005</v>
      </c>
      <c r="AN1372" s="2">
        <v>12305</v>
      </c>
      <c r="AO1372" s="7">
        <f t="shared" si="306"/>
        <v>205.08333333333334</v>
      </c>
      <c r="AP1372" s="5">
        <f t="shared" si="310"/>
        <v>14.664024282522687</v>
      </c>
      <c r="AQ1372" s="6">
        <f t="shared" si="311"/>
        <v>138.34637069745696</v>
      </c>
      <c r="AR1372" s="2">
        <f t="shared" si="312"/>
        <v>-2.1301186875174403</v>
      </c>
      <c r="AS1372" s="2">
        <f t="shared" si="313"/>
        <v>-294.69418957286825</v>
      </c>
    </row>
    <row r="1373" spans="13:45" x14ac:dyDescent="0.3">
      <c r="M1373" s="78">
        <v>45047</v>
      </c>
      <c r="N1373" s="79">
        <v>7.1157081302026498E-2</v>
      </c>
      <c r="O1373" s="5">
        <v>82.276892649999994</v>
      </c>
      <c r="P1373" s="2">
        <v>13804</v>
      </c>
      <c r="Q1373" s="7">
        <f t="shared" si="307"/>
        <v>230.06666666666666</v>
      </c>
      <c r="R1373" s="6">
        <f t="shared" si="308"/>
        <v>16.370872504886229</v>
      </c>
      <c r="S1373" s="6">
        <f t="shared" si="314"/>
        <v>146.01066065139392</v>
      </c>
      <c r="T1373" s="2">
        <f t="shared" si="315"/>
        <v>1</v>
      </c>
      <c r="U1373" s="6">
        <f t="shared" si="316"/>
        <v>146.01066065139392</v>
      </c>
      <c r="V1373">
        <f t="shared" si="317"/>
        <v>0.27046863804879689</v>
      </c>
      <c r="W1373" s="6">
        <f t="shared" si="309"/>
        <v>39.49130452698757</v>
      </c>
      <c r="AK1373" s="78">
        <v>45046</v>
      </c>
      <c r="AL1373" s="79">
        <v>7.1600719431952398E-2</v>
      </c>
      <c r="AM1373" s="5">
        <v>73.868067069999995</v>
      </c>
      <c r="AN1373" s="2">
        <v>12376</v>
      </c>
      <c r="AO1373" s="7">
        <f t="shared" si="306"/>
        <v>206.26666666666668</v>
      </c>
      <c r="AP1373" s="5">
        <f t="shared" si="310"/>
        <v>14.768841728164048</v>
      </c>
      <c r="AQ1373" s="6">
        <f t="shared" si="311"/>
        <v>138.82975031185424</v>
      </c>
      <c r="AR1373" s="2">
        <f t="shared" si="312"/>
        <v>-2.1301186875174403</v>
      </c>
      <c r="AS1373" s="2">
        <f t="shared" si="313"/>
        <v>-295.72384552266089</v>
      </c>
    </row>
    <row r="1374" spans="13:45" x14ac:dyDescent="0.3">
      <c r="M1374" s="78">
        <v>45047.010416666664</v>
      </c>
      <c r="N1374" s="79">
        <v>7.1715903826244903E-2</v>
      </c>
      <c r="O1374" s="5">
        <v>82.276892649999994</v>
      </c>
      <c r="P1374" s="2">
        <v>14183</v>
      </c>
      <c r="Q1374" s="7">
        <f t="shared" si="307"/>
        <v>236.38333333333333</v>
      </c>
      <c r="R1374" s="6">
        <f t="shared" si="308"/>
        <v>16.952444399460525</v>
      </c>
      <c r="S1374" s="6">
        <f t="shared" si="314"/>
        <v>148.5281131749928</v>
      </c>
      <c r="T1374" s="2">
        <f t="shared" si="315"/>
        <v>1</v>
      </c>
      <c r="U1374" s="6">
        <f t="shared" si="316"/>
        <v>148.5281131749928</v>
      </c>
      <c r="V1374">
        <f t="shared" si="317"/>
        <v>0.37692505956027311</v>
      </c>
      <c r="W1374" s="6">
        <f t="shared" si="309"/>
        <v>55.983967904859142</v>
      </c>
      <c r="AK1374" s="78">
        <v>45046.010416666664</v>
      </c>
      <c r="AL1374" s="79">
        <v>7.4047788634670902E-2</v>
      </c>
      <c r="AM1374" s="5">
        <v>74.764849499999997</v>
      </c>
      <c r="AN1374" s="2">
        <v>12198</v>
      </c>
      <c r="AO1374" s="7">
        <f t="shared" si="306"/>
        <v>203.3</v>
      </c>
      <c r="AP1374" s="5">
        <f t="shared" si="310"/>
        <v>15.053915429428596</v>
      </c>
      <c r="AQ1374" s="6">
        <f t="shared" si="311"/>
        <v>140.1356199276731</v>
      </c>
      <c r="AR1374" s="2">
        <f t="shared" si="312"/>
        <v>-2.1301186875174403</v>
      </c>
      <c r="AS1374" s="2">
        <f t="shared" si="313"/>
        <v>-298.5055027947779</v>
      </c>
    </row>
    <row r="1375" spans="13:45" x14ac:dyDescent="0.3">
      <c r="M1375" s="78">
        <v>45047.020833333336</v>
      </c>
      <c r="N1375" s="79">
        <v>6.9749367945306104E-2</v>
      </c>
      <c r="O1375" s="5">
        <v>81.405228940000001</v>
      </c>
      <c r="P1375" s="2">
        <v>14067</v>
      </c>
      <c r="Q1375" s="7">
        <f t="shared" si="307"/>
        <v>234.45</v>
      </c>
      <c r="R1375" s="6">
        <f t="shared" si="308"/>
        <v>16.352739314777015</v>
      </c>
      <c r="S1375" s="6">
        <f t="shared" si="314"/>
        <v>145.93143973742329</v>
      </c>
      <c r="T1375" s="2">
        <f t="shared" si="315"/>
        <v>1</v>
      </c>
      <c r="U1375" s="6">
        <f t="shared" si="316"/>
        <v>145.93143973742329</v>
      </c>
      <c r="V1375">
        <f t="shared" si="317"/>
        <v>0.26714936738316869</v>
      </c>
      <c r="W1375" s="6">
        <f t="shared" si="309"/>
        <v>38.985491807167634</v>
      </c>
      <c r="AK1375" s="78">
        <v>45046.020833333336</v>
      </c>
      <c r="AL1375" s="79">
        <v>7.4399103962715707E-2</v>
      </c>
      <c r="AM1375" s="5">
        <v>76.544179459999995</v>
      </c>
      <c r="AN1375" s="2">
        <v>12299</v>
      </c>
      <c r="AO1375" s="7">
        <f t="shared" si="306"/>
        <v>204.98333333333332</v>
      </c>
      <c r="AP1375" s="5">
        <f t="shared" si="310"/>
        <v>15.250576327290673</v>
      </c>
      <c r="AQ1375" s="6">
        <f t="shared" si="311"/>
        <v>141.02914479966461</v>
      </c>
      <c r="AR1375" s="2">
        <f t="shared" si="312"/>
        <v>-2.1301186875174403</v>
      </c>
      <c r="AS1375" s="2">
        <f t="shared" si="313"/>
        <v>-300.40881682236864</v>
      </c>
    </row>
    <row r="1376" spans="13:45" x14ac:dyDescent="0.3">
      <c r="M1376" s="78">
        <v>45047.03125</v>
      </c>
      <c r="N1376" s="79">
        <v>6.6358148316530099E-2</v>
      </c>
      <c r="O1376" s="5">
        <v>82.276892649999994</v>
      </c>
      <c r="P1376" s="2">
        <v>14541</v>
      </c>
      <c r="Q1376" s="7">
        <f t="shared" si="307"/>
        <v>242.35</v>
      </c>
      <c r="R1376" s="6">
        <f t="shared" si="308"/>
        <v>16.081897244511069</v>
      </c>
      <c r="S1376" s="6">
        <f t="shared" si="314"/>
        <v>144.74279681911366</v>
      </c>
      <c r="T1376" s="2">
        <f t="shared" si="315"/>
        <v>1</v>
      </c>
      <c r="U1376" s="6">
        <f t="shared" si="316"/>
        <v>144.74279681911366</v>
      </c>
      <c r="V1376">
        <f t="shared" si="317"/>
        <v>0.21757187255533189</v>
      </c>
      <c r="W1376" s="6">
        <f t="shared" si="309"/>
        <v>31.491961342830496</v>
      </c>
      <c r="AK1376" s="78">
        <v>45046.03125</v>
      </c>
      <c r="AL1376" s="79">
        <v>7.4570909139705099E-2</v>
      </c>
      <c r="AM1376" s="5">
        <v>77.435049230000004</v>
      </c>
      <c r="AN1376" s="2">
        <v>12452</v>
      </c>
      <c r="AO1376" s="7">
        <f t="shared" si="306"/>
        <v>207.53333333333333</v>
      </c>
      <c r="AP1376" s="5">
        <f t="shared" si="310"/>
        <v>15.475949343460131</v>
      </c>
      <c r="AQ1376" s="6">
        <f t="shared" si="311"/>
        <v>142.04592271572983</v>
      </c>
      <c r="AR1376" s="2">
        <f t="shared" si="312"/>
        <v>-2.1301186875174403</v>
      </c>
      <c r="AS1376" s="2">
        <f t="shared" si="313"/>
        <v>-302.57467446243419</v>
      </c>
    </row>
    <row r="1377" spans="13:45" x14ac:dyDescent="0.3">
      <c r="M1377" s="78">
        <v>45047.041666666664</v>
      </c>
      <c r="N1377" s="79">
        <v>6.6901835604944795E-2</v>
      </c>
      <c r="O1377" s="5">
        <v>80.961047410000006</v>
      </c>
      <c r="P1377" s="2">
        <v>14653</v>
      </c>
      <c r="Q1377" s="7">
        <f t="shared" si="307"/>
        <v>244.21666666666667</v>
      </c>
      <c r="R1377" s="6">
        <f t="shared" si="308"/>
        <v>16.338543285320934</v>
      </c>
      <c r="S1377" s="6">
        <f t="shared" si="314"/>
        <v>145.86938833853418</v>
      </c>
      <c r="T1377" s="2">
        <f t="shared" si="315"/>
        <v>1</v>
      </c>
      <c r="U1377" s="6">
        <f t="shared" si="316"/>
        <v>145.86938833853418</v>
      </c>
      <c r="V1377">
        <f t="shared" si="317"/>
        <v>0.26455079185077979</v>
      </c>
      <c r="W1377" s="6">
        <f t="shared" si="309"/>
        <v>38.589862191748118</v>
      </c>
      <c r="AK1377" s="78">
        <v>45046.041666666664</v>
      </c>
      <c r="AL1377" s="79">
        <v>7.2039369582221499E-2</v>
      </c>
      <c r="AM1377" s="5">
        <v>78.323104580000006</v>
      </c>
      <c r="AN1377" s="2">
        <v>12392</v>
      </c>
      <c r="AO1377" s="7">
        <f t="shared" si="306"/>
        <v>206.53333333333333</v>
      </c>
      <c r="AP1377" s="5">
        <f t="shared" si="310"/>
        <v>14.878531131048147</v>
      </c>
      <c r="AQ1377" s="6">
        <f t="shared" si="311"/>
        <v>139.33372668147365</v>
      </c>
      <c r="AR1377" s="2">
        <f t="shared" si="312"/>
        <v>-2.1301186875174403</v>
      </c>
      <c r="AS1377" s="2">
        <f t="shared" si="313"/>
        <v>-296.79737500565437</v>
      </c>
    </row>
    <row r="1378" spans="13:45" x14ac:dyDescent="0.3">
      <c r="M1378" s="78">
        <v>45047.052083333336</v>
      </c>
      <c r="N1378" s="79">
        <v>6.78240467867572E-2</v>
      </c>
      <c r="O1378" s="5">
        <v>83.586986100000004</v>
      </c>
      <c r="P1378" s="2">
        <v>14493</v>
      </c>
      <c r="Q1378" s="7">
        <f t="shared" si="307"/>
        <v>241.55</v>
      </c>
      <c r="R1378" s="6">
        <f t="shared" si="308"/>
        <v>16.382898501341202</v>
      </c>
      <c r="S1378" s="6">
        <f t="shared" si="314"/>
        <v>146.06317555066906</v>
      </c>
      <c r="T1378" s="2">
        <f t="shared" si="315"/>
        <v>1</v>
      </c>
      <c r="U1378" s="6">
        <f t="shared" si="316"/>
        <v>146.06317555066906</v>
      </c>
      <c r="V1378">
        <f t="shared" si="317"/>
        <v>0.27266999021118649</v>
      </c>
      <c r="W1378" s="6">
        <f t="shared" si="309"/>
        <v>39.827044647615743</v>
      </c>
      <c r="AK1378" s="78">
        <v>45046.052083333336</v>
      </c>
      <c r="AL1378" s="79">
        <v>7.4538973471910602E-2</v>
      </c>
      <c r="AM1378" s="5">
        <v>77.435049230000004</v>
      </c>
      <c r="AN1378" s="2">
        <v>12301</v>
      </c>
      <c r="AO1378" s="7">
        <f t="shared" si="306"/>
        <v>205.01666666666668</v>
      </c>
      <c r="AP1378" s="5">
        <f t="shared" si="310"/>
        <v>15.281731877966207</v>
      </c>
      <c r="AQ1378" s="6">
        <f t="shared" si="311"/>
        <v>141.17015870821518</v>
      </c>
      <c r="AR1378" s="2">
        <f t="shared" si="312"/>
        <v>-2.1301186875174403</v>
      </c>
      <c r="AS1378" s="2">
        <f t="shared" si="313"/>
        <v>-300.70919318417208</v>
      </c>
    </row>
    <row r="1379" spans="13:45" x14ac:dyDescent="0.3">
      <c r="M1379" s="78">
        <v>45047.0625</v>
      </c>
      <c r="N1379" s="79">
        <v>6.5938184604900696E-2</v>
      </c>
      <c r="O1379" s="5">
        <v>83.153095449999995</v>
      </c>
      <c r="P1379" s="2">
        <v>14286</v>
      </c>
      <c r="Q1379" s="7">
        <f t="shared" si="307"/>
        <v>238.1</v>
      </c>
      <c r="R1379" s="6">
        <f t="shared" si="308"/>
        <v>15.699881754426855</v>
      </c>
      <c r="S1379" s="6">
        <f t="shared" si="314"/>
        <v>143.04874457476004</v>
      </c>
      <c r="T1379" s="2">
        <f t="shared" si="315"/>
        <v>1</v>
      </c>
      <c r="U1379" s="6">
        <f t="shared" si="316"/>
        <v>143.04874457476004</v>
      </c>
      <c r="V1379">
        <f t="shared" si="317"/>
        <v>0.14764414321399774</v>
      </c>
      <c r="W1379" s="6">
        <f t="shared" si="309"/>
        <v>21.120309330578454</v>
      </c>
      <c r="AK1379" s="78">
        <v>45046.0625</v>
      </c>
      <c r="AL1379" s="79">
        <v>7.1135201323136804E-2</v>
      </c>
      <c r="AM1379" s="5">
        <v>77.435049230000004</v>
      </c>
      <c r="AN1379" s="2">
        <v>12309</v>
      </c>
      <c r="AO1379" s="7">
        <f t="shared" si="306"/>
        <v>205.15</v>
      </c>
      <c r="AP1379" s="5">
        <f t="shared" si="310"/>
        <v>14.593386551441515</v>
      </c>
      <c r="AQ1379" s="6">
        <f t="shared" si="311"/>
        <v>138.01962024699142</v>
      </c>
      <c r="AR1379" s="2">
        <f t="shared" si="312"/>
        <v>-2.1301186875174403</v>
      </c>
      <c r="AS1379" s="2">
        <f t="shared" si="313"/>
        <v>-293.99817233217692</v>
      </c>
    </row>
    <row r="1380" spans="13:45" x14ac:dyDescent="0.3">
      <c r="M1380" s="78">
        <v>45047.072916666664</v>
      </c>
      <c r="N1380" s="79">
        <v>6.5982201368766105E-2</v>
      </c>
      <c r="O1380" s="5">
        <v>82.276892649999994</v>
      </c>
      <c r="P1380" s="2">
        <v>14701</v>
      </c>
      <c r="Q1380" s="7">
        <f t="shared" si="307"/>
        <v>245.01666666666668</v>
      </c>
      <c r="R1380" s="6">
        <f t="shared" si="308"/>
        <v>16.166739038703842</v>
      </c>
      <c r="S1380" s="6">
        <f t="shared" si="314"/>
        <v>145.11623282538389</v>
      </c>
      <c r="T1380" s="2">
        <f t="shared" si="315"/>
        <v>1</v>
      </c>
      <c r="U1380" s="6">
        <f t="shared" si="316"/>
        <v>145.11623282538389</v>
      </c>
      <c r="V1380">
        <f t="shared" si="317"/>
        <v>0.23310211720545726</v>
      </c>
      <c r="W1380" s="6">
        <f t="shared" si="309"/>
        <v>33.82690111247706</v>
      </c>
      <c r="AK1380" s="78">
        <v>45046.072916666664</v>
      </c>
      <c r="AL1380" s="79">
        <v>7.1287773863979206E-2</v>
      </c>
      <c r="AM1380" s="5">
        <v>78.755362430000005</v>
      </c>
      <c r="AN1380" s="2">
        <v>12194</v>
      </c>
      <c r="AO1380" s="7">
        <f t="shared" ref="AO1380:AO1443" si="318">AN1380/60</f>
        <v>203.23333333333332</v>
      </c>
      <c r="AP1380" s="5">
        <f t="shared" si="310"/>
        <v>14.488051908289373</v>
      </c>
      <c r="AQ1380" s="6">
        <f t="shared" si="311"/>
        <v>137.53086877552201</v>
      </c>
      <c r="AR1380" s="2">
        <f t="shared" si="312"/>
        <v>-2.1301186875174403</v>
      </c>
      <c r="AS1380" s="2">
        <f t="shared" si="313"/>
        <v>-292.95707368924826</v>
      </c>
    </row>
    <row r="1381" spans="13:45" x14ac:dyDescent="0.3">
      <c r="M1381" s="78">
        <v>45047.083333333336</v>
      </c>
      <c r="N1381" s="79">
        <v>6.46772095508482E-2</v>
      </c>
      <c r="O1381" s="5">
        <v>82.276892649999994</v>
      </c>
      <c r="P1381" s="2">
        <v>14750</v>
      </c>
      <c r="Q1381" s="7">
        <f t="shared" si="307"/>
        <v>245.83333333333334</v>
      </c>
      <c r="R1381" s="6">
        <f t="shared" si="308"/>
        <v>15.899814014583516</v>
      </c>
      <c r="S1381" s="6">
        <f t="shared" si="314"/>
        <v>143.93793796893368</v>
      </c>
      <c r="T1381" s="2">
        <f t="shared" si="315"/>
        <v>1</v>
      </c>
      <c r="U1381" s="6">
        <f t="shared" si="316"/>
        <v>143.93793796893368</v>
      </c>
      <c r="V1381">
        <f t="shared" si="317"/>
        <v>0.1842416355611122</v>
      </c>
      <c r="W1381" s="6">
        <f t="shared" si="309"/>
        <v>26.519361110690255</v>
      </c>
      <c r="AK1381" s="78">
        <v>45046.083333333336</v>
      </c>
      <c r="AL1381" s="79">
        <v>7.0665204607788898E-2</v>
      </c>
      <c r="AM1381" s="5">
        <v>76.094169239999999</v>
      </c>
      <c r="AN1381" s="2">
        <v>12607</v>
      </c>
      <c r="AO1381" s="7">
        <f t="shared" si="318"/>
        <v>210.11666666666667</v>
      </c>
      <c r="AP1381" s="5">
        <f t="shared" si="310"/>
        <v>14.847937241506578</v>
      </c>
      <c r="AQ1381" s="6">
        <f t="shared" si="311"/>
        <v>139.19335192280718</v>
      </c>
      <c r="AR1381" s="2">
        <f t="shared" si="312"/>
        <v>-2.1301186875174403</v>
      </c>
      <c r="AS1381" s="2">
        <f t="shared" si="313"/>
        <v>-296.4983601089632</v>
      </c>
    </row>
    <row r="1382" spans="13:45" x14ac:dyDescent="0.3">
      <c r="M1382" s="78">
        <v>45047.09375</v>
      </c>
      <c r="N1382" s="79">
        <v>6.7910608907546494E-2</v>
      </c>
      <c r="O1382" s="5">
        <v>82.284398269999997</v>
      </c>
      <c r="P1382" s="2">
        <v>14515</v>
      </c>
      <c r="Q1382" s="7">
        <f t="shared" si="307"/>
        <v>241.91666666666666</v>
      </c>
      <c r="R1382" s="6">
        <f t="shared" si="308"/>
        <v>16.428708138217289</v>
      </c>
      <c r="S1382" s="6">
        <f t="shared" si="314"/>
        <v>146.26303626257928</v>
      </c>
      <c r="T1382" s="2">
        <f t="shared" si="315"/>
        <v>1</v>
      </c>
      <c r="U1382" s="6">
        <f t="shared" si="316"/>
        <v>146.26303626257928</v>
      </c>
      <c r="V1382">
        <f t="shared" si="317"/>
        <v>0.28105541952450985</v>
      </c>
      <c r="W1382" s="6">
        <f t="shared" si="309"/>
        <v>41.108019017707818</v>
      </c>
      <c r="AK1382" s="78">
        <v>45046.09375</v>
      </c>
      <c r="AL1382" s="79">
        <v>7.3304815756905603E-2</v>
      </c>
      <c r="AM1382" s="5">
        <v>77.427442880000001</v>
      </c>
      <c r="AN1382" s="2">
        <v>12865</v>
      </c>
      <c r="AO1382" s="7">
        <f t="shared" si="318"/>
        <v>214.41666666666666</v>
      </c>
      <c r="AP1382" s="5">
        <f t="shared" si="310"/>
        <v>15.717774245209842</v>
      </c>
      <c r="AQ1382" s="6">
        <f t="shared" si="311"/>
        <v>143.12855549966159</v>
      </c>
      <c r="AR1382" s="2">
        <f t="shared" si="312"/>
        <v>-2.1301186875174403</v>
      </c>
      <c r="AS1382" s="2">
        <f t="shared" si="313"/>
        <v>-304.88081078720626</v>
      </c>
    </row>
    <row r="1383" spans="13:45" x14ac:dyDescent="0.3">
      <c r="M1383" s="78">
        <v>45047.104166666664</v>
      </c>
      <c r="N1383" s="79">
        <v>6.4348324927243697E-2</v>
      </c>
      <c r="O1383" s="5">
        <v>82.284398269999997</v>
      </c>
      <c r="P1383" s="2">
        <v>14730</v>
      </c>
      <c r="Q1383" s="7">
        <f t="shared" si="307"/>
        <v>245.5</v>
      </c>
      <c r="R1383" s="6">
        <f t="shared" si="308"/>
        <v>15.797513769638327</v>
      </c>
      <c r="S1383" s="6">
        <f t="shared" si="314"/>
        <v>143.48367775680643</v>
      </c>
      <c r="T1383" s="2">
        <f t="shared" si="315"/>
        <v>1</v>
      </c>
      <c r="U1383" s="6">
        <f t="shared" si="316"/>
        <v>143.48367775680643</v>
      </c>
      <c r="V1383">
        <f t="shared" si="317"/>
        <v>0.16551563092056115</v>
      </c>
      <c r="W1383" s="6">
        <f t="shared" si="309"/>
        <v>23.748791450720301</v>
      </c>
      <c r="AK1383" s="78">
        <v>45046.104166666664</v>
      </c>
      <c r="AL1383" s="79">
        <v>6.8472872240792002E-2</v>
      </c>
      <c r="AM1383" s="5">
        <v>74.312865549999998</v>
      </c>
      <c r="AN1383" s="2">
        <v>12620</v>
      </c>
      <c r="AO1383" s="7">
        <f t="shared" si="318"/>
        <v>210.33333333333334</v>
      </c>
      <c r="AP1383" s="5">
        <f t="shared" si="310"/>
        <v>14.402127461313251</v>
      </c>
      <c r="AQ1383" s="6">
        <f t="shared" si="311"/>
        <v>137.13083588894116</v>
      </c>
      <c r="AR1383" s="2">
        <f t="shared" si="312"/>
        <v>-2.1301186875174403</v>
      </c>
      <c r="AS1383" s="2">
        <f t="shared" si="313"/>
        <v>-292.10495616192082</v>
      </c>
    </row>
    <row r="1384" spans="13:45" x14ac:dyDescent="0.3">
      <c r="M1384" s="78">
        <v>45047.114583333336</v>
      </c>
      <c r="N1384" s="79">
        <v>6.4777775644357397E-2</v>
      </c>
      <c r="O1384" s="5">
        <v>81.405228940000001</v>
      </c>
      <c r="P1384" s="2">
        <v>14766</v>
      </c>
      <c r="Q1384" s="7">
        <f t="shared" si="307"/>
        <v>246.1</v>
      </c>
      <c r="R1384" s="6">
        <f t="shared" si="308"/>
        <v>15.941810586076356</v>
      </c>
      <c r="S1384" s="6">
        <f t="shared" si="314"/>
        <v>144.12399015526216</v>
      </c>
      <c r="T1384" s="2">
        <f t="shared" si="315"/>
        <v>1</v>
      </c>
      <c r="U1384" s="6">
        <f t="shared" si="316"/>
        <v>144.12399015526216</v>
      </c>
      <c r="V1384">
        <f t="shared" si="317"/>
        <v>0.19192908531339292</v>
      </c>
      <c r="W1384" s="6">
        <f t="shared" si="309"/>
        <v>27.661585602215915</v>
      </c>
      <c r="AK1384" s="78">
        <v>45046.114583333336</v>
      </c>
      <c r="AL1384" s="79">
        <v>6.9856321991284304E-2</v>
      </c>
      <c r="AM1384" s="5">
        <v>73.868067069999995</v>
      </c>
      <c r="AN1384" s="2">
        <v>12829</v>
      </c>
      <c r="AO1384" s="7">
        <f t="shared" si="318"/>
        <v>213.81666666666666</v>
      </c>
      <c r="AP1384" s="5">
        <f t="shared" si="310"/>
        <v>14.936445913769772</v>
      </c>
      <c r="AQ1384" s="6">
        <f t="shared" si="311"/>
        <v>139.5990558710657</v>
      </c>
      <c r="AR1384" s="2">
        <f t="shared" si="312"/>
        <v>-2.1301186875174403</v>
      </c>
      <c r="AS1384" s="2">
        <f t="shared" si="313"/>
        <v>-297.36255767074829</v>
      </c>
    </row>
    <row r="1385" spans="13:45" x14ac:dyDescent="0.3">
      <c r="AK1385" s="78">
        <v>45046.125</v>
      </c>
      <c r="AL1385" s="79">
        <v>7.2607108338101495E-2</v>
      </c>
      <c r="AM1385" s="5">
        <v>72.970159429999995</v>
      </c>
      <c r="AN1385" s="2">
        <v>12454</v>
      </c>
      <c r="AO1385" s="7">
        <f t="shared" si="318"/>
        <v>207.56666666666666</v>
      </c>
      <c r="AP1385" s="5">
        <f t="shared" si="310"/>
        <v>15.070815454045267</v>
      </c>
      <c r="AQ1385" s="6">
        <f t="shared" si="311"/>
        <v>140.21263791435879</v>
      </c>
      <c r="AR1385" s="2">
        <f t="shared" si="312"/>
        <v>-2.1301186875174403</v>
      </c>
      <c r="AS1385" s="2">
        <f t="shared" si="313"/>
        <v>-298.66956024749203</v>
      </c>
    </row>
    <row r="1386" spans="13:45" x14ac:dyDescent="0.3">
      <c r="AK1386" s="78">
        <v>45046.135416666664</v>
      </c>
      <c r="AL1386" s="79">
        <v>6.7795900500493902E-2</v>
      </c>
      <c r="AM1386" s="5">
        <v>71.622551369999996</v>
      </c>
      <c r="AN1386" s="2">
        <v>12594</v>
      </c>
      <c r="AO1386" s="7">
        <f t="shared" si="318"/>
        <v>209.9</v>
      </c>
      <c r="AP1386" s="5">
        <f t="shared" si="310"/>
        <v>14.230359515053671</v>
      </c>
      <c r="AQ1386" s="6">
        <f t="shared" si="311"/>
        <v>136.32747950377293</v>
      </c>
      <c r="AR1386" s="2">
        <f t="shared" si="312"/>
        <v>-2.1301186875174403</v>
      </c>
      <c r="AS1386" s="2">
        <f t="shared" si="313"/>
        <v>-290.39371171313752</v>
      </c>
    </row>
    <row r="1387" spans="13:45" x14ac:dyDescent="0.3">
      <c r="AK1387" s="78">
        <v>45046.145833333336</v>
      </c>
      <c r="AL1387" s="79">
        <v>7.1371666264142999E-2</v>
      </c>
      <c r="AM1387" s="5">
        <v>70.720093730000002</v>
      </c>
      <c r="AN1387" s="2">
        <v>12397</v>
      </c>
      <c r="AO1387" s="7">
        <f t="shared" si="318"/>
        <v>206.61666666666667</v>
      </c>
      <c r="AP1387" s="5">
        <f t="shared" si="310"/>
        <v>14.746575777943013</v>
      </c>
      <c r="AQ1387" s="6">
        <f t="shared" si="311"/>
        <v>138.72721473014266</v>
      </c>
      <c r="AR1387" s="2">
        <f t="shared" si="312"/>
        <v>-2.1301186875174403</v>
      </c>
      <c r="AS1387" s="2">
        <f t="shared" si="313"/>
        <v>-295.5054325639216</v>
      </c>
    </row>
    <row r="1388" spans="13:45" x14ac:dyDescent="0.3">
      <c r="AK1388" s="78">
        <v>45046.15625</v>
      </c>
      <c r="AL1388" s="79">
        <v>7.13712890014227E-2</v>
      </c>
      <c r="AM1388" s="5">
        <v>72.069636250000002</v>
      </c>
      <c r="AN1388" s="2">
        <v>12525</v>
      </c>
      <c r="AO1388" s="7">
        <f t="shared" si="318"/>
        <v>208.75</v>
      </c>
      <c r="AP1388" s="5">
        <f t="shared" si="310"/>
        <v>14.898756579046989</v>
      </c>
      <c r="AQ1388" s="6">
        <f t="shared" si="311"/>
        <v>139.4264467820137</v>
      </c>
      <c r="AR1388" s="2">
        <f t="shared" si="312"/>
        <v>-2.1301186875174403</v>
      </c>
      <c r="AS1388" s="2">
        <f t="shared" si="313"/>
        <v>-296.99487982452325</v>
      </c>
    </row>
    <row r="1389" spans="13:45" x14ac:dyDescent="0.3">
      <c r="AK1389" s="78">
        <v>45046.166666666664</v>
      </c>
      <c r="AL1389" s="79">
        <v>7.7016390233398097E-2</v>
      </c>
      <c r="AM1389" s="5">
        <v>73.868067069999995</v>
      </c>
      <c r="AN1389" s="2">
        <v>12244</v>
      </c>
      <c r="AO1389" s="7">
        <f t="shared" si="318"/>
        <v>204.06666666666666</v>
      </c>
      <c r="AP1389" s="5">
        <f t="shared" si="310"/>
        <v>15.716478033628771</v>
      </c>
      <c r="AQ1389" s="6">
        <f t="shared" si="311"/>
        <v>143.12277519962913</v>
      </c>
      <c r="AR1389" s="2">
        <f t="shared" si="312"/>
        <v>-2.1301186875174403</v>
      </c>
      <c r="AS1389" s="2">
        <f t="shared" si="313"/>
        <v>-304.86849806208767</v>
      </c>
    </row>
    <row r="1390" spans="13:45" x14ac:dyDescent="0.3">
      <c r="AK1390" s="78">
        <v>45046.177083333336</v>
      </c>
      <c r="AL1390" s="79">
        <v>6.8192308186153697E-2</v>
      </c>
      <c r="AM1390" s="5">
        <v>72.069636250000002</v>
      </c>
      <c r="AN1390" s="2">
        <v>12750</v>
      </c>
      <c r="AO1390" s="7">
        <f t="shared" si="318"/>
        <v>212.5</v>
      </c>
      <c r="AP1390" s="5">
        <f t="shared" si="310"/>
        <v>14.490865489557661</v>
      </c>
      <c r="AQ1390" s="6">
        <f t="shared" si="311"/>
        <v>137.54394728475415</v>
      </c>
      <c r="AR1390" s="2">
        <f t="shared" si="312"/>
        <v>-2.1301186875174403</v>
      </c>
      <c r="AS1390" s="2">
        <f t="shared" si="313"/>
        <v>-292.98493246616852</v>
      </c>
    </row>
    <row r="1391" spans="13:45" x14ac:dyDescent="0.3">
      <c r="AK1391" s="78">
        <v>45046.1875</v>
      </c>
      <c r="AL1391" s="79">
        <v>7.4316098643148698E-2</v>
      </c>
      <c r="AM1391" s="5">
        <v>72.069636250000002</v>
      </c>
      <c r="AN1391" s="2">
        <v>12594</v>
      </c>
      <c r="AO1391" s="7">
        <f t="shared" si="318"/>
        <v>209.9</v>
      </c>
      <c r="AP1391" s="5">
        <f t="shared" si="310"/>
        <v>15.598949105196912</v>
      </c>
      <c r="AQ1391" s="6">
        <f t="shared" si="311"/>
        <v>142.59765420137964</v>
      </c>
      <c r="AR1391" s="2">
        <f t="shared" si="312"/>
        <v>-2.1301186875174403</v>
      </c>
      <c r="AS1391" s="2">
        <f t="shared" si="313"/>
        <v>-303.7499280105086</v>
      </c>
    </row>
    <row r="1392" spans="13:45" x14ac:dyDescent="0.3">
      <c r="AK1392" s="78">
        <v>45046.197916666664</v>
      </c>
      <c r="AL1392" s="79">
        <v>7.0882427703029702E-2</v>
      </c>
      <c r="AM1392" s="5">
        <v>71.622551369999996</v>
      </c>
      <c r="AN1392" s="2">
        <v>12718</v>
      </c>
      <c r="AO1392" s="7">
        <f t="shared" si="318"/>
        <v>211.96666666666667</v>
      </c>
      <c r="AP1392" s="5">
        <f t="shared" si="310"/>
        <v>15.024711925452197</v>
      </c>
      <c r="AQ1392" s="6">
        <f t="shared" si="311"/>
        <v>140.00242758573799</v>
      </c>
      <c r="AR1392" s="2">
        <f t="shared" si="312"/>
        <v>-2.1301186875174403</v>
      </c>
      <c r="AS1392" s="2">
        <f t="shared" si="313"/>
        <v>-298.22178729818768</v>
      </c>
    </row>
    <row r="1393" spans="37:45" x14ac:dyDescent="0.3">
      <c r="AK1393" s="78">
        <v>45046.208333333336</v>
      </c>
      <c r="AL1393" s="79">
        <v>7.5875359518174104E-2</v>
      </c>
      <c r="AM1393" s="5">
        <v>72.970159429999995</v>
      </c>
      <c r="AN1393" s="2">
        <v>12194</v>
      </c>
      <c r="AO1393" s="7">
        <f t="shared" si="318"/>
        <v>203.23333333333332</v>
      </c>
      <c r="AP1393" s="5">
        <f t="shared" si="310"/>
        <v>15.420402232743582</v>
      </c>
      <c r="AQ1393" s="6">
        <f t="shared" si="311"/>
        <v>141.79602555920312</v>
      </c>
      <c r="AR1393" s="2">
        <f t="shared" si="312"/>
        <v>-2.1301186875174403</v>
      </c>
      <c r="AS1393" s="2">
        <f t="shared" si="313"/>
        <v>-302.04236385935917</v>
      </c>
    </row>
    <row r="1394" spans="37:45" x14ac:dyDescent="0.3">
      <c r="AK1394" s="78">
        <v>45046.21875</v>
      </c>
      <c r="AL1394" s="79">
        <v>6.9023742706703403E-2</v>
      </c>
      <c r="AM1394" s="5">
        <v>71.622551369999996</v>
      </c>
      <c r="AN1394" s="2">
        <v>12450</v>
      </c>
      <c r="AO1394" s="7">
        <f t="shared" si="318"/>
        <v>207.5</v>
      </c>
      <c r="AP1394" s="5">
        <f t="shared" si="310"/>
        <v>14.322426611640957</v>
      </c>
      <c r="AQ1394" s="6">
        <f t="shared" si="311"/>
        <v>136.75868759899851</v>
      </c>
      <c r="AR1394" s="2">
        <f t="shared" si="312"/>
        <v>-2.1301186875174403</v>
      </c>
      <c r="AS1394" s="2">
        <f t="shared" si="313"/>
        <v>-291.31223613498634</v>
      </c>
    </row>
    <row r="1395" spans="37:45" x14ac:dyDescent="0.3">
      <c r="AK1395" s="78">
        <v>45046.229166666664</v>
      </c>
      <c r="AL1395" s="79">
        <v>7.8129560805389894E-2</v>
      </c>
      <c r="AM1395" s="5">
        <v>72.970159429999995</v>
      </c>
      <c r="AN1395" s="2">
        <v>12282</v>
      </c>
      <c r="AO1395" s="7">
        <f t="shared" si="318"/>
        <v>204.7</v>
      </c>
      <c r="AP1395" s="5">
        <f t="shared" si="310"/>
        <v>15.993121096863311</v>
      </c>
      <c r="AQ1395" s="6">
        <f t="shared" si="311"/>
        <v>144.35096558659566</v>
      </c>
      <c r="AR1395" s="2">
        <f t="shared" si="312"/>
        <v>-2.1301186875174403</v>
      </c>
      <c r="AS1395" s="2">
        <f t="shared" si="313"/>
        <v>-307.48468935719433</v>
      </c>
    </row>
    <row r="1396" spans="37:45" x14ac:dyDescent="0.3">
      <c r="AK1396" s="78">
        <v>45046.239583333336</v>
      </c>
      <c r="AL1396" s="79">
        <v>7.3828917545053094E-2</v>
      </c>
      <c r="AM1396" s="5">
        <v>70.727821939999998</v>
      </c>
      <c r="AN1396" s="2">
        <v>12300</v>
      </c>
      <c r="AO1396" s="7">
        <f t="shared" si="318"/>
        <v>205</v>
      </c>
      <c r="AP1396" s="5">
        <f t="shared" si="310"/>
        <v>15.134928096735884</v>
      </c>
      <c r="AQ1396" s="6">
        <f t="shared" si="311"/>
        <v>140.50441658807205</v>
      </c>
      <c r="AR1396" s="2">
        <f t="shared" si="312"/>
        <v>-2.1301186875174403</v>
      </c>
      <c r="AS1396" s="2">
        <f t="shared" si="313"/>
        <v>-299.29108345298766</v>
      </c>
    </row>
    <row r="1397" spans="37:45" x14ac:dyDescent="0.3">
      <c r="AK1397" s="78">
        <v>45046.25</v>
      </c>
      <c r="AL1397" s="79">
        <v>7.1686795702886497E-2</v>
      </c>
      <c r="AM1397" s="5">
        <v>72.970159429999995</v>
      </c>
      <c r="AN1397" s="2">
        <v>12230</v>
      </c>
      <c r="AO1397" s="7">
        <f t="shared" si="318"/>
        <v>203.83333333333334</v>
      </c>
      <c r="AP1397" s="5">
        <f t="shared" si="310"/>
        <v>14.612158524105032</v>
      </c>
      <c r="AQ1397" s="6">
        <f t="shared" si="311"/>
        <v>138.10653275628908</v>
      </c>
      <c r="AR1397" s="2">
        <f t="shared" si="312"/>
        <v>-2.1301186875174403</v>
      </c>
      <c r="AS1397" s="2">
        <f t="shared" si="313"/>
        <v>-294.18330629241086</v>
      </c>
    </row>
    <row r="1398" spans="37:45" x14ac:dyDescent="0.3">
      <c r="AK1398" s="78">
        <v>45046.260416666664</v>
      </c>
      <c r="AL1398" s="79">
        <v>7.5431888409979803E-2</v>
      </c>
      <c r="AM1398" s="5">
        <v>72.970159429999995</v>
      </c>
      <c r="AN1398" s="2">
        <v>12313</v>
      </c>
      <c r="AO1398" s="7">
        <f t="shared" si="318"/>
        <v>205.21666666666667</v>
      </c>
      <c r="AP1398" s="5">
        <f t="shared" si="310"/>
        <v>15.479880699868023</v>
      </c>
      <c r="AQ1398" s="6">
        <f t="shared" si="311"/>
        <v>142.06359187347803</v>
      </c>
      <c r="AR1398" s="2">
        <f t="shared" si="312"/>
        <v>-2.1301186875174403</v>
      </c>
      <c r="AS1398" s="2">
        <f t="shared" si="313"/>
        <v>-302.6123118655463</v>
      </c>
    </row>
    <row r="1399" spans="37:45" x14ac:dyDescent="0.3">
      <c r="AK1399" s="78">
        <v>45046.270833333336</v>
      </c>
      <c r="AL1399" s="79">
        <v>7.7070390365065605E-2</v>
      </c>
      <c r="AM1399" s="5">
        <v>70.271667750000006</v>
      </c>
      <c r="AN1399" s="2">
        <v>12153</v>
      </c>
      <c r="AO1399" s="7">
        <f t="shared" si="318"/>
        <v>202.55</v>
      </c>
      <c r="AP1399" s="5">
        <f t="shared" si="310"/>
        <v>15.610607568444038</v>
      </c>
      <c r="AQ1399" s="6">
        <f t="shared" si="311"/>
        <v>142.64983439149998</v>
      </c>
      <c r="AR1399" s="2">
        <f t="shared" si="312"/>
        <v>-2.1301186875174403</v>
      </c>
      <c r="AS1399" s="2">
        <f t="shared" si="313"/>
        <v>-303.86107800860214</v>
      </c>
    </row>
    <row r="1400" spans="37:45" x14ac:dyDescent="0.3">
      <c r="AK1400" s="78">
        <v>45046.28125</v>
      </c>
      <c r="AL1400" s="79">
        <v>6.9857083922642699E-2</v>
      </c>
      <c r="AM1400" s="5">
        <v>72.970159429999995</v>
      </c>
      <c r="AN1400" s="2">
        <v>13968</v>
      </c>
      <c r="AO1400" s="7">
        <f t="shared" si="318"/>
        <v>232.8</v>
      </c>
      <c r="AP1400" s="5">
        <f t="shared" si="310"/>
        <v>16.262729137191222</v>
      </c>
      <c r="AQ1400" s="6">
        <f t="shared" si="311"/>
        <v>145.5375349371586</v>
      </c>
      <c r="AR1400" s="2">
        <f t="shared" si="312"/>
        <v>-2.1301186875174403</v>
      </c>
      <c r="AS1400" s="2">
        <f t="shared" si="313"/>
        <v>-310.0122229048639</v>
      </c>
    </row>
    <row r="1401" spans="37:45" x14ac:dyDescent="0.3">
      <c r="AK1401" s="78">
        <v>45046.291666666664</v>
      </c>
      <c r="AL1401" s="79">
        <v>6.5483303268925305E-2</v>
      </c>
      <c r="AM1401" s="5">
        <v>70.720093730000002</v>
      </c>
      <c r="AN1401" s="2">
        <v>14475</v>
      </c>
      <c r="AO1401" s="7">
        <f t="shared" si="318"/>
        <v>241.25</v>
      </c>
      <c r="AP1401" s="5">
        <f t="shared" si="310"/>
        <v>15.797846913628231</v>
      </c>
      <c r="AQ1401" s="6">
        <f t="shared" si="311"/>
        <v>143.4851595019324</v>
      </c>
      <c r="AR1401" s="2">
        <f t="shared" si="312"/>
        <v>-2.1301186875174403</v>
      </c>
      <c r="AS1401" s="2">
        <f t="shared" si="313"/>
        <v>-305.6404196364868</v>
      </c>
    </row>
    <row r="1402" spans="37:45" x14ac:dyDescent="0.3">
      <c r="AK1402" s="78">
        <v>45046.302083333336</v>
      </c>
      <c r="AL1402" s="79">
        <v>6.81541915737051E-2</v>
      </c>
      <c r="AM1402" s="5">
        <v>69.822823</v>
      </c>
      <c r="AN1402" s="2">
        <v>14266</v>
      </c>
      <c r="AO1402" s="7">
        <f t="shared" si="318"/>
        <v>237.76666666666668</v>
      </c>
      <c r="AP1402" s="5">
        <f t="shared" si="310"/>
        <v>16.204794949841283</v>
      </c>
      <c r="AQ1402" s="6">
        <f t="shared" si="311"/>
        <v>145.28341315733707</v>
      </c>
      <c r="AR1402" s="2">
        <f t="shared" si="312"/>
        <v>-2.1301186875174403</v>
      </c>
      <c r="AS1402" s="2">
        <f t="shared" si="313"/>
        <v>-309.47091335276082</v>
      </c>
    </row>
    <row r="1403" spans="37:45" x14ac:dyDescent="0.3">
      <c r="AK1403" s="78">
        <v>45046.3125</v>
      </c>
      <c r="AL1403" s="79">
        <v>6.5948133919392804E-2</v>
      </c>
      <c r="AM1403" s="5">
        <v>69.36581735</v>
      </c>
      <c r="AN1403" s="2">
        <v>14897</v>
      </c>
      <c r="AO1403" s="7">
        <f t="shared" si="318"/>
        <v>248.28333333333333</v>
      </c>
      <c r="AP1403" s="5">
        <f t="shared" si="310"/>
        <v>16.37382251661991</v>
      </c>
      <c r="AQ1403" s="6">
        <f t="shared" si="311"/>
        <v>146.02354452989491</v>
      </c>
      <c r="AR1403" s="2">
        <f t="shared" si="312"/>
        <v>-2.1301186875174403</v>
      </c>
      <c r="AS1403" s="2">
        <f t="shared" si="313"/>
        <v>-311.04748102066424</v>
      </c>
    </row>
    <row r="1404" spans="37:45" x14ac:dyDescent="0.3">
      <c r="AK1404" s="78">
        <v>45046.322916666664</v>
      </c>
      <c r="AL1404" s="79">
        <v>6.6700055263051297E-2</v>
      </c>
      <c r="AM1404" s="5">
        <v>69.36581735</v>
      </c>
      <c r="AN1404" s="2">
        <v>14904</v>
      </c>
      <c r="AO1404" s="7">
        <f t="shared" si="318"/>
        <v>248.4</v>
      </c>
      <c r="AP1404" s="5">
        <f t="shared" si="310"/>
        <v>16.568293727341942</v>
      </c>
      <c r="AQ1404" s="6">
        <f t="shared" si="311"/>
        <v>146.87028043800302</v>
      </c>
      <c r="AR1404" s="2">
        <f t="shared" si="312"/>
        <v>-2.1301186875174403</v>
      </c>
      <c r="AS1404" s="2">
        <f t="shared" si="313"/>
        <v>-312.8511290019174</v>
      </c>
    </row>
    <row r="1405" spans="37:45" x14ac:dyDescent="0.3">
      <c r="AK1405" s="78">
        <v>45046.333333333336</v>
      </c>
      <c r="AL1405" s="79">
        <v>6.3977455052039597E-2</v>
      </c>
      <c r="AM1405" s="5">
        <v>66.647934039999996</v>
      </c>
      <c r="AN1405" s="2">
        <v>15140</v>
      </c>
      <c r="AO1405" s="7">
        <f t="shared" si="318"/>
        <v>252.33333333333334</v>
      </c>
      <c r="AP1405" s="5">
        <f t="shared" si="310"/>
        <v>16.143644491464659</v>
      </c>
      <c r="AQ1405" s="6">
        <f t="shared" si="311"/>
        <v>145.01468011847709</v>
      </c>
      <c r="AR1405" s="2">
        <f t="shared" si="312"/>
        <v>-2.1301186875174403</v>
      </c>
      <c r="AS1405" s="2">
        <f t="shared" si="313"/>
        <v>-308.89848008473183</v>
      </c>
    </row>
    <row r="1406" spans="37:45" x14ac:dyDescent="0.3">
      <c r="AK1406" s="78">
        <v>45046.34375</v>
      </c>
      <c r="AL1406" s="79">
        <v>6.9077914949502495E-2</v>
      </c>
      <c r="AM1406" s="5">
        <v>70.271667750000006</v>
      </c>
      <c r="AN1406" s="2">
        <v>14468</v>
      </c>
      <c r="AO1406" s="7">
        <f t="shared" si="318"/>
        <v>241.13333333333333</v>
      </c>
      <c r="AP1406" s="5">
        <f t="shared" si="310"/>
        <v>16.656987891490033</v>
      </c>
      <c r="AQ1406" s="6">
        <f t="shared" si="311"/>
        <v>147.254774187094</v>
      </c>
      <c r="AR1406" s="2">
        <f t="shared" si="312"/>
        <v>-2.1301186875174403</v>
      </c>
      <c r="AS1406" s="2">
        <f t="shared" si="313"/>
        <v>-313.67014632208969</v>
      </c>
    </row>
    <row r="1407" spans="37:45" x14ac:dyDescent="0.3">
      <c r="AK1407" s="78">
        <v>45046.354166666664</v>
      </c>
      <c r="AL1407" s="79">
        <v>6.5203125283862004E-2</v>
      </c>
      <c r="AM1407" s="5">
        <v>68.466857000000005</v>
      </c>
      <c r="AN1407" s="2">
        <v>14672</v>
      </c>
      <c r="AO1407" s="7">
        <f t="shared" si="318"/>
        <v>244.53333333333333</v>
      </c>
      <c r="AP1407" s="5">
        <f t="shared" si="310"/>
        <v>15.944337569413722</v>
      </c>
      <c r="AQ1407" s="6">
        <f t="shared" si="311"/>
        <v>144.13517715302004</v>
      </c>
      <c r="AR1407" s="2">
        <f t="shared" si="312"/>
        <v>-2.1301186875174403</v>
      </c>
      <c r="AS1407" s="2">
        <f t="shared" si="313"/>
        <v>-307.02503438228479</v>
      </c>
    </row>
    <row r="1408" spans="37:45" x14ac:dyDescent="0.3">
      <c r="AK1408" s="78">
        <v>45046.364583333336</v>
      </c>
      <c r="AL1408" s="79">
        <v>6.7811256976263307E-2</v>
      </c>
      <c r="AM1408" s="5">
        <v>69.36581735</v>
      </c>
      <c r="AN1408" s="2">
        <v>14178</v>
      </c>
      <c r="AO1408" s="7">
        <f t="shared" si="318"/>
        <v>236.3</v>
      </c>
      <c r="AP1408" s="5">
        <f t="shared" si="310"/>
        <v>16.02380002349102</v>
      </c>
      <c r="AQ1408" s="6">
        <f t="shared" si="311"/>
        <v>144.48649835923493</v>
      </c>
      <c r="AR1408" s="2">
        <f t="shared" si="312"/>
        <v>-2.1301186875174403</v>
      </c>
      <c r="AS1408" s="2">
        <f t="shared" si="313"/>
        <v>-307.77339024896429</v>
      </c>
    </row>
    <row r="1409" spans="37:45" x14ac:dyDescent="0.3">
      <c r="AK1409" s="78">
        <v>45046.375</v>
      </c>
      <c r="AL1409" s="79">
        <v>6.7778449427294399E-2</v>
      </c>
      <c r="AM1409" s="5">
        <v>69.36581735</v>
      </c>
      <c r="AN1409" s="2">
        <v>13946</v>
      </c>
      <c r="AO1409" s="7">
        <f t="shared" si="318"/>
        <v>232.43333333333334</v>
      </c>
      <c r="AP1409" s="5">
        <f t="shared" si="310"/>
        <v>15.753970928550794</v>
      </c>
      <c r="AQ1409" s="6">
        <f t="shared" si="311"/>
        <v>143.28987213613615</v>
      </c>
      <c r="AR1409" s="2">
        <f t="shared" si="312"/>
        <v>-2.1301186875174403</v>
      </c>
      <c r="AS1409" s="2">
        <f t="shared" si="313"/>
        <v>-305.22443436916819</v>
      </c>
    </row>
    <row r="1410" spans="37:45" x14ac:dyDescent="0.3">
      <c r="AK1410" s="78">
        <v>45046.385416666664</v>
      </c>
      <c r="AL1410" s="79">
        <v>7.1530503296057604E-2</v>
      </c>
      <c r="AM1410" s="5">
        <v>67.106545600000004</v>
      </c>
      <c r="AN1410" s="2">
        <v>14252</v>
      </c>
      <c r="AO1410" s="7">
        <f t="shared" si="318"/>
        <v>237.53333333333333</v>
      </c>
      <c r="AP1410" s="5">
        <f t="shared" si="310"/>
        <v>16.99087888292355</v>
      </c>
      <c r="AQ1410" s="6">
        <f t="shared" si="311"/>
        <v>148.69292048606206</v>
      </c>
      <c r="AR1410" s="2">
        <f t="shared" si="312"/>
        <v>-2.1301186875174403</v>
      </c>
      <c r="AS1410" s="2">
        <f t="shared" si="313"/>
        <v>-316.73356862890563</v>
      </c>
    </row>
    <row r="1411" spans="37:45" x14ac:dyDescent="0.3">
      <c r="AK1411" s="78">
        <v>45046.395833333336</v>
      </c>
      <c r="AL1411" s="79">
        <v>6.8600580965858998E-2</v>
      </c>
      <c r="AM1411" s="5">
        <v>68.466857000000005</v>
      </c>
      <c r="AN1411" s="2">
        <v>14153</v>
      </c>
      <c r="AO1411" s="7">
        <f t="shared" si="318"/>
        <v>235.88333333333333</v>
      </c>
      <c r="AP1411" s="5">
        <f t="shared" si="310"/>
        <v>16.181733706830041</v>
      </c>
      <c r="AQ1411" s="6">
        <f t="shared" si="311"/>
        <v>145.18212863358801</v>
      </c>
      <c r="AR1411" s="2">
        <f t="shared" si="312"/>
        <v>-2.1301186875174403</v>
      </c>
      <c r="AS1411" s="2">
        <f t="shared" si="313"/>
        <v>-309.25516529596666</v>
      </c>
    </row>
    <row r="1412" spans="37:45" x14ac:dyDescent="0.3">
      <c r="AK1412" s="78">
        <v>45046.40625</v>
      </c>
      <c r="AL1412" s="79">
        <v>7.0748827710581302E-2</v>
      </c>
      <c r="AM1412" s="5">
        <v>68.466857000000005</v>
      </c>
      <c r="AN1412" s="2">
        <v>14221</v>
      </c>
      <c r="AO1412" s="7">
        <f t="shared" si="318"/>
        <v>237.01666666666668</v>
      </c>
      <c r="AP1412" s="5">
        <f t="shared" ref="AP1412:AP1475" si="319">AO1412*AL1412</f>
        <v>16.768651314536278</v>
      </c>
      <c r="AQ1412" s="6">
        <f t="shared" ref="AQ1412:AQ1475" si="320">37.141*AP1412^0.4897</f>
        <v>147.73735825661066</v>
      </c>
      <c r="AR1412" s="2">
        <f t="shared" ref="AR1412:AR1475" si="321">IF((AM1412-$AP$1)/($AN$1-$AP$1)&lt;0, 0, IF((AA1412-$AP$1)/($AN$1-$AP$1)&gt;1, 1, (AA1412-$AP$1)/($AN$1-$AP$1)))</f>
        <v>-2.1301186875174403</v>
      </c>
      <c r="AS1412" s="2">
        <f t="shared" ref="AS1412:AS1475" si="322">AQ1412*AR1412</f>
        <v>-314.69810766686538</v>
      </c>
    </row>
    <row r="1413" spans="37:45" x14ac:dyDescent="0.3">
      <c r="AK1413" s="78">
        <v>45046.416666666664</v>
      </c>
      <c r="AL1413" s="79">
        <v>6.6675367821617704E-2</v>
      </c>
      <c r="AM1413" s="5">
        <v>67.106545600000004</v>
      </c>
      <c r="AN1413" s="2">
        <v>14634</v>
      </c>
      <c r="AO1413" s="7">
        <f t="shared" si="318"/>
        <v>243.9</v>
      </c>
      <c r="AP1413" s="5">
        <f t="shared" si="319"/>
        <v>16.262122211692557</v>
      </c>
      <c r="AQ1413" s="6">
        <f t="shared" si="320"/>
        <v>145.53487512351535</v>
      </c>
      <c r="AR1413" s="2">
        <f t="shared" si="321"/>
        <v>-2.1301186875174403</v>
      </c>
      <c r="AS1413" s="2">
        <f t="shared" si="322"/>
        <v>-310.00655718611711</v>
      </c>
    </row>
    <row r="1414" spans="37:45" x14ac:dyDescent="0.3">
      <c r="AK1414" s="78">
        <v>45046.427083333336</v>
      </c>
      <c r="AL1414" s="79">
        <v>7.41521472444472E-2</v>
      </c>
      <c r="AM1414" s="5">
        <v>68.008627450000006</v>
      </c>
      <c r="AN1414" s="2">
        <v>13570</v>
      </c>
      <c r="AO1414" s="7">
        <f t="shared" si="318"/>
        <v>226.16666666666666</v>
      </c>
      <c r="AP1414" s="5">
        <f t="shared" si="319"/>
        <v>16.770743968452475</v>
      </c>
      <c r="AQ1414" s="6">
        <f t="shared" si="320"/>
        <v>147.74638655452412</v>
      </c>
      <c r="AR1414" s="2">
        <f t="shared" si="321"/>
        <v>-2.1301186875174403</v>
      </c>
      <c r="AS1414" s="2">
        <f t="shared" si="322"/>
        <v>-314.71733901296733</v>
      </c>
    </row>
    <row r="1415" spans="37:45" x14ac:dyDescent="0.3">
      <c r="AK1415" s="78">
        <v>45046.4375</v>
      </c>
      <c r="AL1415" s="79">
        <v>7.45901941687937E-2</v>
      </c>
      <c r="AM1415" s="5">
        <v>68.466857000000005</v>
      </c>
      <c r="AN1415" s="2">
        <v>13250</v>
      </c>
      <c r="AO1415" s="7">
        <f t="shared" si="318"/>
        <v>220.83333333333334</v>
      </c>
      <c r="AP1415" s="5">
        <f t="shared" si="319"/>
        <v>16.472001212275277</v>
      </c>
      <c r="AQ1415" s="6">
        <f t="shared" si="320"/>
        <v>146.45165636633868</v>
      </c>
      <c r="AR1415" s="2">
        <f t="shared" si="321"/>
        <v>-2.1301186875174403</v>
      </c>
      <c r="AS1415" s="2">
        <f t="shared" si="322"/>
        <v>-311.95941004382053</v>
      </c>
    </row>
    <row r="1416" spans="37:45" x14ac:dyDescent="0.3">
      <c r="AK1416" s="78">
        <v>45046.447916666664</v>
      </c>
      <c r="AL1416" s="79">
        <v>7.2881944635859702E-2</v>
      </c>
      <c r="AM1416" s="5">
        <v>69.822823</v>
      </c>
      <c r="AN1416" s="2">
        <v>12940</v>
      </c>
      <c r="AO1416" s="7">
        <f t="shared" si="318"/>
        <v>215.66666666666666</v>
      </c>
      <c r="AP1416" s="5">
        <f t="shared" si="319"/>
        <v>15.718206059800409</v>
      </c>
      <c r="AQ1416" s="6">
        <f t="shared" si="320"/>
        <v>143.13048107100423</v>
      </c>
      <c r="AR1416" s="2">
        <f t="shared" si="321"/>
        <v>-2.1301186875174403</v>
      </c>
      <c r="AS1416" s="2">
        <f t="shared" si="322"/>
        <v>-304.88491248270736</v>
      </c>
    </row>
    <row r="1417" spans="37:45" x14ac:dyDescent="0.3">
      <c r="AK1417" s="78">
        <v>45046.458333333336</v>
      </c>
      <c r="AL1417" s="79">
        <v>7.1210108366451197E-2</v>
      </c>
      <c r="AM1417" s="5">
        <v>68.466857000000005</v>
      </c>
      <c r="AN1417" s="2">
        <v>13468</v>
      </c>
      <c r="AO1417" s="7">
        <f t="shared" si="318"/>
        <v>224.46666666666667</v>
      </c>
      <c r="AP1417" s="5">
        <f t="shared" si="319"/>
        <v>15.984295657989412</v>
      </c>
      <c r="AQ1417" s="6">
        <f t="shared" si="320"/>
        <v>144.31195216474572</v>
      </c>
      <c r="AR1417" s="2">
        <f t="shared" si="321"/>
        <v>-2.1301186875174403</v>
      </c>
      <c r="AS1417" s="2">
        <f t="shared" si="322"/>
        <v>-307.40158613824775</v>
      </c>
    </row>
    <row r="1418" spans="37:45" x14ac:dyDescent="0.3">
      <c r="AK1418" s="78">
        <v>45046.46875</v>
      </c>
      <c r="AL1418" s="79">
        <v>7.6911124071136802E-2</v>
      </c>
      <c r="AM1418" s="5">
        <v>68.466857000000005</v>
      </c>
      <c r="AN1418" s="2">
        <v>13164</v>
      </c>
      <c r="AO1418" s="7">
        <f t="shared" si="318"/>
        <v>219.4</v>
      </c>
      <c r="AP1418" s="5">
        <f t="shared" si="319"/>
        <v>16.874300621207414</v>
      </c>
      <c r="AQ1418" s="6">
        <f t="shared" si="320"/>
        <v>148.19244318031338</v>
      </c>
      <c r="AR1418" s="2">
        <f t="shared" si="321"/>
        <v>-2.1301186875174403</v>
      </c>
      <c r="AS1418" s="2">
        <f t="shared" si="322"/>
        <v>-315.667492567252</v>
      </c>
    </row>
    <row r="1419" spans="37:45" x14ac:dyDescent="0.3">
      <c r="AK1419" s="78">
        <v>45046.479166666664</v>
      </c>
      <c r="AL1419" s="79">
        <v>7.1370275342498304E-2</v>
      </c>
      <c r="AM1419" s="5">
        <v>68.008627450000006</v>
      </c>
      <c r="AN1419" s="2">
        <v>12616</v>
      </c>
      <c r="AO1419" s="7">
        <f t="shared" si="318"/>
        <v>210.26666666666668</v>
      </c>
      <c r="AP1419" s="5">
        <f t="shared" si="319"/>
        <v>15.006789895349311</v>
      </c>
      <c r="AQ1419" s="6">
        <f t="shared" si="320"/>
        <v>139.92062275381323</v>
      </c>
      <c r="AR1419" s="2">
        <f t="shared" si="321"/>
        <v>-2.1301186875174403</v>
      </c>
      <c r="AS1419" s="2">
        <f t="shared" si="322"/>
        <v>-298.04753329697553</v>
      </c>
    </row>
    <row r="1420" spans="37:45" x14ac:dyDescent="0.3">
      <c r="AK1420" s="78">
        <v>45046.489583333336</v>
      </c>
      <c r="AL1420" s="79">
        <v>7.4499322387169803E-2</v>
      </c>
      <c r="AM1420" s="5">
        <v>69.822823</v>
      </c>
      <c r="AN1420" s="2">
        <v>12638</v>
      </c>
      <c r="AO1420" s="7">
        <f t="shared" si="318"/>
        <v>210.63333333333333</v>
      </c>
      <c r="AP1420" s="5">
        <f t="shared" si="319"/>
        <v>15.692040605484198</v>
      </c>
      <c r="AQ1420" s="6">
        <f t="shared" si="320"/>
        <v>143.01375385870364</v>
      </c>
      <c r="AR1420" s="2">
        <f t="shared" si="321"/>
        <v>-2.1301186875174403</v>
      </c>
      <c r="AS1420" s="2">
        <f t="shared" si="322"/>
        <v>-304.63626966644404</v>
      </c>
    </row>
    <row r="1421" spans="37:45" x14ac:dyDescent="0.3">
      <c r="AK1421" s="78">
        <v>45046.5</v>
      </c>
      <c r="AL1421" s="79">
        <v>7.2730517452969295E-2</v>
      </c>
      <c r="AM1421" s="5">
        <v>64.837941950000001</v>
      </c>
      <c r="AN1421" s="2">
        <v>13316</v>
      </c>
      <c r="AO1421" s="7">
        <f t="shared" si="318"/>
        <v>221.93333333333334</v>
      </c>
      <c r="AP1421" s="5">
        <f t="shared" si="319"/>
        <v>16.141326173395651</v>
      </c>
      <c r="AQ1421" s="6">
        <f t="shared" si="320"/>
        <v>145.00448178000227</v>
      </c>
      <c r="AR1421" s="2">
        <f t="shared" si="321"/>
        <v>-2.1301186875174403</v>
      </c>
      <c r="AS1421" s="2">
        <f t="shared" si="322"/>
        <v>-308.876756413365</v>
      </c>
    </row>
    <row r="1422" spans="37:45" x14ac:dyDescent="0.3">
      <c r="AK1422" s="78">
        <v>45046.510416666664</v>
      </c>
      <c r="AL1422" s="79">
        <v>7.6707732134231099E-2</v>
      </c>
      <c r="AM1422" s="5">
        <v>69.36581735</v>
      </c>
      <c r="AN1422" s="2">
        <v>12526</v>
      </c>
      <c r="AO1422" s="7">
        <f t="shared" si="318"/>
        <v>208.76666666666668</v>
      </c>
      <c r="AP1422" s="5">
        <f t="shared" si="319"/>
        <v>16.01401754522298</v>
      </c>
      <c r="AQ1422" s="6">
        <f t="shared" si="320"/>
        <v>144.44329590584499</v>
      </c>
      <c r="AR1422" s="2">
        <f t="shared" si="321"/>
        <v>-2.1301186875174403</v>
      </c>
      <c r="AS1422" s="2">
        <f t="shared" si="322"/>
        <v>-307.68136389565177</v>
      </c>
    </row>
    <row r="1423" spans="37:45" x14ac:dyDescent="0.3">
      <c r="AK1423" s="78">
        <v>45046.520833333336</v>
      </c>
      <c r="AL1423" s="79">
        <v>7.7355728566916304E-2</v>
      </c>
      <c r="AM1423" s="5">
        <v>70.720093730000002</v>
      </c>
      <c r="AN1423" s="2">
        <v>12046</v>
      </c>
      <c r="AO1423" s="7">
        <f t="shared" si="318"/>
        <v>200.76666666666668</v>
      </c>
      <c r="AP1423" s="5">
        <f t="shared" si="319"/>
        <v>15.530451771951231</v>
      </c>
      <c r="AQ1423" s="6">
        <f t="shared" si="320"/>
        <v>142.29067553333454</v>
      </c>
      <c r="AR1423" s="2">
        <f t="shared" si="321"/>
        <v>-2.1301186875174403</v>
      </c>
      <c r="AS1423" s="2">
        <f t="shared" si="322"/>
        <v>-303.09602701303652</v>
      </c>
    </row>
    <row r="1424" spans="37:45" x14ac:dyDescent="0.3">
      <c r="AK1424" s="78">
        <v>45046.53125</v>
      </c>
      <c r="AL1424" s="79">
        <v>8.1436396893768997E-2</v>
      </c>
      <c r="AM1424" s="5">
        <v>70.720093730000002</v>
      </c>
      <c r="AN1424" s="2">
        <v>12138</v>
      </c>
      <c r="AO1424" s="7">
        <f t="shared" si="318"/>
        <v>202.3</v>
      </c>
      <c r="AP1424" s="5">
        <f t="shared" si="319"/>
        <v>16.474583091609468</v>
      </c>
      <c r="AQ1424" s="6">
        <f t="shared" si="320"/>
        <v>146.46289715027038</v>
      </c>
      <c r="AR1424" s="2">
        <f t="shared" si="321"/>
        <v>-2.1301186875174403</v>
      </c>
      <c r="AS1424" s="2">
        <f t="shared" si="322"/>
        <v>-311.9833542477358</v>
      </c>
    </row>
    <row r="1425" spans="37:45" x14ac:dyDescent="0.3">
      <c r="AK1425" s="78">
        <v>45046.541666666664</v>
      </c>
      <c r="AL1425" s="79">
        <v>8.0506176864041296E-2</v>
      </c>
      <c r="AM1425" s="5">
        <v>72.069636250000002</v>
      </c>
      <c r="AN1425" s="2">
        <v>11703</v>
      </c>
      <c r="AO1425" s="7">
        <f t="shared" si="318"/>
        <v>195.05</v>
      </c>
      <c r="AP1425" s="5">
        <f t="shared" si="319"/>
        <v>15.702729797331255</v>
      </c>
      <c r="AQ1425" s="6">
        <f t="shared" si="320"/>
        <v>143.06145160900962</v>
      </c>
      <c r="AR1425" s="2">
        <f t="shared" si="321"/>
        <v>-2.1301186875174403</v>
      </c>
      <c r="AS1425" s="2">
        <f t="shared" si="322"/>
        <v>-304.73787153572334</v>
      </c>
    </row>
    <row r="1426" spans="37:45" x14ac:dyDescent="0.3">
      <c r="AK1426" s="78">
        <v>45046.552083333336</v>
      </c>
      <c r="AL1426" s="79">
        <v>8.3188782749852197E-2</v>
      </c>
      <c r="AM1426" s="5">
        <v>75.208694050000005</v>
      </c>
      <c r="AN1426" s="2">
        <v>11914</v>
      </c>
      <c r="AO1426" s="7">
        <f t="shared" si="318"/>
        <v>198.56666666666666</v>
      </c>
      <c r="AP1426" s="5">
        <f t="shared" si="319"/>
        <v>16.518519294695651</v>
      </c>
      <c r="AQ1426" s="6">
        <f t="shared" si="320"/>
        <v>146.65404551612457</v>
      </c>
      <c r="AR1426" s="2">
        <f t="shared" si="321"/>
        <v>-2.1301186875174403</v>
      </c>
      <c r="AS1426" s="2">
        <f t="shared" si="322"/>
        <v>-312.3905229539302</v>
      </c>
    </row>
    <row r="1427" spans="37:45" x14ac:dyDescent="0.3">
      <c r="AK1427" s="78">
        <v>45046.5625</v>
      </c>
      <c r="AL1427" s="79">
        <v>8.5014974134758003E-2</v>
      </c>
      <c r="AM1427" s="5">
        <v>72.069636250000002</v>
      </c>
      <c r="AN1427" s="2">
        <v>11851</v>
      </c>
      <c r="AO1427" s="7">
        <f t="shared" si="318"/>
        <v>197.51666666666668</v>
      </c>
      <c r="AP1427" s="5">
        <f t="shared" si="319"/>
        <v>16.791874307850286</v>
      </c>
      <c r="AQ1427" s="6">
        <f t="shared" si="320"/>
        <v>147.8375165957107</v>
      </c>
      <c r="AR1427" s="2">
        <f t="shared" si="321"/>
        <v>-2.1301186875174403</v>
      </c>
      <c r="AS1427" s="2">
        <f t="shared" si="322"/>
        <v>-314.91145681669309</v>
      </c>
    </row>
    <row r="1428" spans="37:45" x14ac:dyDescent="0.3">
      <c r="AK1428" s="78">
        <v>45046.572916666664</v>
      </c>
      <c r="AL1428" s="79">
        <v>8.2277628569088906E-2</v>
      </c>
      <c r="AM1428" s="5">
        <v>76.544179459999995</v>
      </c>
      <c r="AN1428" s="2">
        <v>11839</v>
      </c>
      <c r="AO1428" s="7">
        <f t="shared" si="318"/>
        <v>197.31666666666666</v>
      </c>
      <c r="AP1428" s="5">
        <f t="shared" si="319"/>
        <v>16.234747410490726</v>
      </c>
      <c r="AQ1428" s="6">
        <f t="shared" si="320"/>
        <v>145.41485402834365</v>
      </c>
      <c r="AR1428" s="2">
        <f t="shared" si="321"/>
        <v>-2.1301186875174403</v>
      </c>
      <c r="AS1428" s="2">
        <f t="shared" si="322"/>
        <v>-309.75089800839555</v>
      </c>
    </row>
    <row r="1429" spans="37:45" x14ac:dyDescent="0.3">
      <c r="AK1429" s="78">
        <v>45046.583333333336</v>
      </c>
      <c r="AL1429" s="79">
        <v>8.2361386434653405E-2</v>
      </c>
      <c r="AM1429" s="5">
        <v>78.762941850000004</v>
      </c>
      <c r="AN1429" s="2">
        <v>11638</v>
      </c>
      <c r="AO1429" s="7">
        <f t="shared" si="318"/>
        <v>193.96666666666667</v>
      </c>
      <c r="AP1429" s="5">
        <f t="shared" si="319"/>
        <v>15.97536358877494</v>
      </c>
      <c r="AQ1429" s="6">
        <f t="shared" si="320"/>
        <v>144.2724561828218</v>
      </c>
      <c r="AR1429" s="2">
        <f t="shared" si="321"/>
        <v>-2.1301186875174403</v>
      </c>
      <c r="AS1429" s="2">
        <f t="shared" si="322"/>
        <v>-307.31745500906976</v>
      </c>
    </row>
    <row r="1430" spans="37:45" x14ac:dyDescent="0.3">
      <c r="AK1430" s="78">
        <v>45046.59375</v>
      </c>
      <c r="AL1430" s="79">
        <v>8.0842520299416701E-2</v>
      </c>
      <c r="AM1430" s="5">
        <v>76.544179459999995</v>
      </c>
      <c r="AN1430" s="2">
        <v>11911</v>
      </c>
      <c r="AO1430" s="7">
        <f t="shared" si="318"/>
        <v>198.51666666666668</v>
      </c>
      <c r="AP1430" s="5">
        <f t="shared" si="319"/>
        <v>16.04858765477254</v>
      </c>
      <c r="AQ1430" s="6">
        <f t="shared" si="320"/>
        <v>144.59590799328629</v>
      </c>
      <c r="AR1430" s="2">
        <f t="shared" si="321"/>
        <v>-2.1301186875174403</v>
      </c>
      <c r="AS1430" s="2">
        <f t="shared" si="322"/>
        <v>-308.00644575505152</v>
      </c>
    </row>
    <row r="1431" spans="37:45" x14ac:dyDescent="0.3">
      <c r="AK1431" s="78">
        <v>45046.604166666664</v>
      </c>
      <c r="AL1431" s="79">
        <v>8.2415954504480401E-2</v>
      </c>
      <c r="AM1431" s="5">
        <v>80.523852189999999</v>
      </c>
      <c r="AN1431" s="2">
        <v>11558</v>
      </c>
      <c r="AO1431" s="7">
        <f t="shared" si="318"/>
        <v>192.63333333333333</v>
      </c>
      <c r="AP1431" s="5">
        <f t="shared" si="319"/>
        <v>15.876060036046407</v>
      </c>
      <c r="AQ1431" s="6">
        <f t="shared" si="320"/>
        <v>143.83259262693616</v>
      </c>
      <c r="AR1431" s="2">
        <f t="shared" si="321"/>
        <v>-2.1301186875174403</v>
      </c>
      <c r="AS1431" s="2">
        <f t="shared" si="322"/>
        <v>-306.38049342871989</v>
      </c>
    </row>
    <row r="1432" spans="37:45" x14ac:dyDescent="0.3">
      <c r="AK1432" s="78">
        <v>45046.614583333336</v>
      </c>
      <c r="AL1432" s="79">
        <v>8.7419968166762396E-2</v>
      </c>
      <c r="AM1432" s="5">
        <v>79.202259850000004</v>
      </c>
      <c r="AN1432" s="2">
        <v>10939</v>
      </c>
      <c r="AO1432" s="7">
        <f t="shared" si="318"/>
        <v>182.31666666666666</v>
      </c>
      <c r="AP1432" s="5">
        <f t="shared" si="319"/>
        <v>15.93811719627023</v>
      </c>
      <c r="AQ1432" s="6">
        <f t="shared" si="320"/>
        <v>144.10763782847718</v>
      </c>
      <c r="AR1432" s="2">
        <f t="shared" si="321"/>
        <v>-2.1301186875174403</v>
      </c>
      <c r="AS1432" s="2">
        <f t="shared" si="322"/>
        <v>-306.96637235243446</v>
      </c>
    </row>
    <row r="1433" spans="37:45" x14ac:dyDescent="0.3">
      <c r="AK1433" s="78">
        <v>45046.625</v>
      </c>
      <c r="AL1433" s="79">
        <v>7.2880579145071206E-2</v>
      </c>
      <c r="AM1433" s="5">
        <v>83.594462070000006</v>
      </c>
      <c r="AN1433" s="2">
        <v>12361</v>
      </c>
      <c r="AO1433" s="7">
        <f t="shared" si="318"/>
        <v>206.01666666666668</v>
      </c>
      <c r="AP1433" s="5">
        <f t="shared" si="319"/>
        <v>15.014613980203753</v>
      </c>
      <c r="AQ1433" s="6">
        <f t="shared" si="320"/>
        <v>139.95634179736953</v>
      </c>
      <c r="AR1433" s="2">
        <f t="shared" si="321"/>
        <v>-2.1301186875174403</v>
      </c>
      <c r="AS1433" s="2">
        <f t="shared" si="322"/>
        <v>-298.12361909915506</v>
      </c>
    </row>
    <row r="1434" spans="37:45" x14ac:dyDescent="0.3">
      <c r="AK1434" s="78">
        <v>45046.635416666664</v>
      </c>
      <c r="AL1434" s="79">
        <v>7.1938456644891499E-2</v>
      </c>
      <c r="AM1434" s="5">
        <v>83.594462070000006</v>
      </c>
      <c r="AN1434" s="2">
        <v>12723</v>
      </c>
      <c r="AO1434" s="7">
        <f t="shared" si="318"/>
        <v>212.05</v>
      </c>
      <c r="AP1434" s="5">
        <f t="shared" si="319"/>
        <v>15.254549731549243</v>
      </c>
      <c r="AQ1434" s="6">
        <f t="shared" si="320"/>
        <v>141.04713709640967</v>
      </c>
      <c r="AR1434" s="2">
        <f t="shared" si="321"/>
        <v>-2.1301186875174403</v>
      </c>
      <c r="AS1434" s="2">
        <f t="shared" si="322"/>
        <v>-300.44714254989663</v>
      </c>
    </row>
    <row r="1435" spans="37:45" x14ac:dyDescent="0.3">
      <c r="AK1435" s="78">
        <v>45046.645833333336</v>
      </c>
      <c r="AL1435" s="79">
        <v>7.3241156596889595E-2</v>
      </c>
      <c r="AM1435" s="5">
        <v>84.027783200000002</v>
      </c>
      <c r="AN1435" s="2">
        <v>12687</v>
      </c>
      <c r="AO1435" s="7">
        <f t="shared" si="318"/>
        <v>211.45</v>
      </c>
      <c r="AP1435" s="5">
        <f t="shared" si="319"/>
        <v>15.486842562412305</v>
      </c>
      <c r="AQ1435" s="6">
        <f t="shared" si="320"/>
        <v>142.09487577448681</v>
      </c>
      <c r="AR1435" s="2">
        <f t="shared" si="321"/>
        <v>-2.1301186875174403</v>
      </c>
      <c r="AS1435" s="2">
        <f t="shared" si="322"/>
        <v>-302.67895028770357</v>
      </c>
    </row>
    <row r="1436" spans="37:45" x14ac:dyDescent="0.3">
      <c r="AK1436" s="78">
        <v>45046.65625</v>
      </c>
      <c r="AL1436" s="79">
        <v>7.5185943955975998E-2</v>
      </c>
      <c r="AM1436" s="5">
        <v>82.718647970000006</v>
      </c>
      <c r="AN1436" s="2">
        <v>12783</v>
      </c>
      <c r="AO1436" s="7">
        <f t="shared" si="318"/>
        <v>213.05</v>
      </c>
      <c r="AP1436" s="5">
        <f t="shared" si="319"/>
        <v>16.018365359820688</v>
      </c>
      <c r="AQ1436" s="6">
        <f t="shared" si="320"/>
        <v>144.46249886366604</v>
      </c>
      <c r="AR1436" s="2">
        <f t="shared" si="321"/>
        <v>-2.1301186875174403</v>
      </c>
      <c r="AS1436" s="2">
        <f t="shared" si="322"/>
        <v>-307.72226847496199</v>
      </c>
    </row>
    <row r="1437" spans="37:45" x14ac:dyDescent="0.3">
      <c r="AK1437" s="78">
        <v>45046.666666666664</v>
      </c>
      <c r="AL1437" s="79">
        <v>7.4621050253332696E-2</v>
      </c>
      <c r="AM1437" s="5">
        <v>81.405228940000001</v>
      </c>
      <c r="AN1437" s="2">
        <v>12455</v>
      </c>
      <c r="AO1437" s="7">
        <f t="shared" si="318"/>
        <v>207.58333333333334</v>
      </c>
      <c r="AP1437" s="5">
        <f t="shared" si="319"/>
        <v>15.490086348420979</v>
      </c>
      <c r="AQ1437" s="6">
        <f t="shared" si="320"/>
        <v>142.10944963557523</v>
      </c>
      <c r="AR1437" s="2">
        <f t="shared" si="321"/>
        <v>-2.1301186875174403</v>
      </c>
      <c r="AS1437" s="2">
        <f t="shared" si="322"/>
        <v>-302.70999434155732</v>
      </c>
    </row>
    <row r="1438" spans="37:45" x14ac:dyDescent="0.3">
      <c r="AK1438" s="78">
        <v>45046.677083333336</v>
      </c>
      <c r="AL1438" s="79">
        <v>8.1199619533470296E-2</v>
      </c>
      <c r="AM1438" s="5">
        <v>80.079324720000002</v>
      </c>
      <c r="AN1438" s="2">
        <v>11974</v>
      </c>
      <c r="AO1438" s="7">
        <f t="shared" si="318"/>
        <v>199.56666666666666</v>
      </c>
      <c r="AP1438" s="5">
        <f t="shared" si="319"/>
        <v>16.204737404896221</v>
      </c>
      <c r="AQ1438" s="6">
        <f t="shared" si="320"/>
        <v>145.283160512649</v>
      </c>
      <c r="AR1438" s="2">
        <f t="shared" si="321"/>
        <v>-2.1301186875174403</v>
      </c>
      <c r="AS1438" s="2">
        <f t="shared" si="322"/>
        <v>-309.4703751895895</v>
      </c>
    </row>
    <row r="1439" spans="37:45" x14ac:dyDescent="0.3">
      <c r="AK1439" s="78">
        <v>45046.6875</v>
      </c>
      <c r="AL1439" s="79">
        <v>7.6218809786196107E-2</v>
      </c>
      <c r="AM1439" s="5">
        <v>84.891986889999998</v>
      </c>
      <c r="AN1439" s="2">
        <v>11549</v>
      </c>
      <c r="AO1439" s="7">
        <f t="shared" si="318"/>
        <v>192.48333333333332</v>
      </c>
      <c r="AP1439" s="5">
        <f t="shared" si="319"/>
        <v>14.670850570346312</v>
      </c>
      <c r="AQ1439" s="6">
        <f t="shared" si="320"/>
        <v>138.3779046002754</v>
      </c>
      <c r="AR1439" s="2">
        <f t="shared" si="321"/>
        <v>-2.1301186875174403</v>
      </c>
      <c r="AS1439" s="2">
        <f t="shared" si="322"/>
        <v>-294.76136052855219</v>
      </c>
    </row>
    <row r="1440" spans="37:45" x14ac:dyDescent="0.3">
      <c r="AK1440" s="78">
        <v>45046.697916666664</v>
      </c>
      <c r="AL1440" s="79">
        <v>7.9303363844298397E-2</v>
      </c>
      <c r="AM1440" s="5">
        <v>82.276892649999994</v>
      </c>
      <c r="AN1440" s="2">
        <v>11989</v>
      </c>
      <c r="AO1440" s="7">
        <f t="shared" si="318"/>
        <v>199.81666666666666</v>
      </c>
      <c r="AP1440" s="5">
        <f t="shared" si="319"/>
        <v>15.846133818821558</v>
      </c>
      <c r="AQ1440" s="6">
        <f t="shared" si="320"/>
        <v>143.69975976534639</v>
      </c>
      <c r="AR1440" s="2">
        <f t="shared" si="321"/>
        <v>-2.1301186875174403</v>
      </c>
      <c r="AS1440" s="2">
        <f t="shared" si="322"/>
        <v>-306.09754366793112</v>
      </c>
    </row>
    <row r="1441" spans="37:45" x14ac:dyDescent="0.3">
      <c r="AK1441" s="78">
        <v>45046.708333333336</v>
      </c>
      <c r="AL1441" s="79">
        <v>7.7330589625306603E-2</v>
      </c>
      <c r="AM1441" s="5">
        <v>82.276892649999994</v>
      </c>
      <c r="AN1441" s="2">
        <v>12649</v>
      </c>
      <c r="AO1441" s="7">
        <f t="shared" si="318"/>
        <v>210.81666666666666</v>
      </c>
      <c r="AP1441" s="5">
        <f t="shared" si="319"/>
        <v>16.302577136175053</v>
      </c>
      <c r="AQ1441" s="6">
        <f t="shared" si="320"/>
        <v>145.71205563582103</v>
      </c>
      <c r="AR1441" s="2">
        <f t="shared" si="321"/>
        <v>-2.1301186875174403</v>
      </c>
      <c r="AS1441" s="2">
        <f t="shared" si="322"/>
        <v>-310.38397270644333</v>
      </c>
    </row>
    <row r="1442" spans="37:45" x14ac:dyDescent="0.3">
      <c r="AK1442" s="78">
        <v>45046.71875</v>
      </c>
      <c r="AL1442" s="79">
        <v>7.1195100204567596E-2</v>
      </c>
      <c r="AM1442" s="5">
        <v>79.202259850000004</v>
      </c>
      <c r="AN1442" s="2">
        <v>12599</v>
      </c>
      <c r="AO1442" s="7">
        <f t="shared" si="318"/>
        <v>209.98333333333332</v>
      </c>
      <c r="AP1442" s="5">
        <f t="shared" si="319"/>
        <v>14.949784457955785</v>
      </c>
      <c r="AQ1442" s="6">
        <f t="shared" si="320"/>
        <v>139.66009029132744</v>
      </c>
      <c r="AR1442" s="2">
        <f t="shared" si="321"/>
        <v>-2.1301186875174403</v>
      </c>
      <c r="AS1442" s="2">
        <f t="shared" si="322"/>
        <v>-297.49256822992959</v>
      </c>
    </row>
    <row r="1443" spans="37:45" x14ac:dyDescent="0.3">
      <c r="AK1443" s="78">
        <v>45046.729166666664</v>
      </c>
      <c r="AL1443" s="79">
        <v>8.0721841457197699E-2</v>
      </c>
      <c r="AM1443" s="5">
        <v>80.523852189999999</v>
      </c>
      <c r="AN1443" s="2">
        <v>12047</v>
      </c>
      <c r="AO1443" s="7">
        <f t="shared" si="318"/>
        <v>200.78333333333333</v>
      </c>
      <c r="AP1443" s="5">
        <f t="shared" si="319"/>
        <v>16.207600400581011</v>
      </c>
      <c r="AQ1443" s="6">
        <f t="shared" si="320"/>
        <v>145.29572962193711</v>
      </c>
      <c r="AR1443" s="2">
        <f t="shared" si="321"/>
        <v>-2.1301186875174403</v>
      </c>
      <c r="AS1443" s="2">
        <f t="shared" si="322"/>
        <v>-309.49714888416958</v>
      </c>
    </row>
    <row r="1444" spans="37:45" x14ac:dyDescent="0.3">
      <c r="AK1444" s="78">
        <v>45046.739583333336</v>
      </c>
      <c r="AL1444" s="79">
        <v>8.0210101348701004E-2</v>
      </c>
      <c r="AM1444" s="5">
        <v>80.523852189999999</v>
      </c>
      <c r="AN1444" s="2">
        <v>13254</v>
      </c>
      <c r="AO1444" s="7">
        <f t="shared" ref="AO1444:AO1480" si="323">AN1444/60</f>
        <v>220.9</v>
      </c>
      <c r="AP1444" s="5">
        <f t="shared" si="319"/>
        <v>17.718411387928054</v>
      </c>
      <c r="AQ1444" s="6">
        <f t="shared" si="320"/>
        <v>151.77743459447598</v>
      </c>
      <c r="AR1444" s="2">
        <f t="shared" si="321"/>
        <v>-2.1301186875174403</v>
      </c>
      <c r="AS1444" s="2">
        <f t="shared" si="322"/>
        <v>-323.30394977314933</v>
      </c>
    </row>
    <row r="1445" spans="37:45" x14ac:dyDescent="0.3">
      <c r="AK1445" s="78">
        <v>45046.75</v>
      </c>
      <c r="AL1445" s="79">
        <v>6.9175005594333996E-2</v>
      </c>
      <c r="AM1445" s="5">
        <v>81.397704649999994</v>
      </c>
      <c r="AN1445" s="2">
        <v>13445</v>
      </c>
      <c r="AO1445" s="7">
        <f t="shared" si="323"/>
        <v>224.08333333333334</v>
      </c>
      <c r="AP1445" s="5">
        <f t="shared" si="319"/>
        <v>15.500965836930344</v>
      </c>
      <c r="AQ1445" s="6">
        <f t="shared" si="320"/>
        <v>142.15831823512411</v>
      </c>
      <c r="AR1445" s="2">
        <f t="shared" si="321"/>
        <v>-2.1301186875174403</v>
      </c>
      <c r="AS1445" s="2">
        <f t="shared" si="322"/>
        <v>-302.81409025868919</v>
      </c>
    </row>
    <row r="1446" spans="37:45" x14ac:dyDescent="0.3">
      <c r="AK1446" s="78">
        <v>45046.760416666664</v>
      </c>
      <c r="AL1446" s="79">
        <v>6.9982277927048295E-2</v>
      </c>
      <c r="AM1446" s="5">
        <v>82.276892649999994</v>
      </c>
      <c r="AN1446" s="2">
        <v>13254</v>
      </c>
      <c r="AO1446" s="7">
        <f t="shared" si="323"/>
        <v>220.9</v>
      </c>
      <c r="AP1446" s="5">
        <f t="shared" si="319"/>
        <v>15.459085194084969</v>
      </c>
      <c r="AQ1446" s="6">
        <f t="shared" si="320"/>
        <v>141.97010218561428</v>
      </c>
      <c r="AR1446" s="2">
        <f t="shared" si="321"/>
        <v>-2.1301186875174403</v>
      </c>
      <c r="AS1446" s="2">
        <f t="shared" si="322"/>
        <v>-302.41316773433755</v>
      </c>
    </row>
    <row r="1447" spans="37:45" x14ac:dyDescent="0.3">
      <c r="AK1447" s="78">
        <v>45046.770833333336</v>
      </c>
      <c r="AL1447" s="79">
        <v>7.2413764651465304E-2</v>
      </c>
      <c r="AM1447" s="5">
        <v>85.762083380000007</v>
      </c>
      <c r="AN1447" s="2">
        <v>13134</v>
      </c>
      <c r="AO1447" s="7">
        <f t="shared" si="323"/>
        <v>218.9</v>
      </c>
      <c r="AP1447" s="5">
        <f t="shared" si="319"/>
        <v>15.851373082205756</v>
      </c>
      <c r="AQ1447" s="6">
        <f t="shared" si="320"/>
        <v>143.72302441010459</v>
      </c>
      <c r="AR1447" s="2">
        <f t="shared" si="321"/>
        <v>-2.1301186875174403</v>
      </c>
      <c r="AS1447" s="2">
        <f t="shared" si="322"/>
        <v>-306.14710012248901</v>
      </c>
    </row>
    <row r="1448" spans="37:45" x14ac:dyDescent="0.3">
      <c r="AK1448" s="78">
        <v>45046.78125</v>
      </c>
      <c r="AL1448" s="79">
        <v>8.6389991613800496E-2</v>
      </c>
      <c r="AM1448" s="5">
        <v>85.762083380000007</v>
      </c>
      <c r="AN1448" s="2">
        <v>12925</v>
      </c>
      <c r="AO1448" s="7">
        <f t="shared" si="323"/>
        <v>215.41666666666666</v>
      </c>
      <c r="AP1448" s="5">
        <f t="shared" si="319"/>
        <v>18.60984402680619</v>
      </c>
      <c r="AQ1448" s="6">
        <f t="shared" si="320"/>
        <v>155.47000379062501</v>
      </c>
      <c r="AR1448" s="2">
        <f t="shared" si="321"/>
        <v>-2.1301186875174403</v>
      </c>
      <c r="AS1448" s="2">
        <f t="shared" si="322"/>
        <v>-331.1695604228176</v>
      </c>
    </row>
    <row r="1449" spans="37:45" x14ac:dyDescent="0.3">
      <c r="AK1449" s="78">
        <v>45046.791666666664</v>
      </c>
      <c r="AL1449" s="79">
        <v>8.2783568473582106E-2</v>
      </c>
      <c r="AM1449" s="5">
        <v>84.891986889999998</v>
      </c>
      <c r="AN1449" s="2">
        <v>10365</v>
      </c>
      <c r="AO1449" s="7">
        <f t="shared" si="323"/>
        <v>172.75</v>
      </c>
      <c r="AP1449" s="5">
        <f t="shared" si="319"/>
        <v>14.300861453811308</v>
      </c>
      <c r="AQ1449" s="6">
        <f t="shared" si="320"/>
        <v>136.65781156382792</v>
      </c>
      <c r="AR1449" s="2">
        <f t="shared" si="321"/>
        <v>-2.1301186875174403</v>
      </c>
      <c r="AS1449" s="2">
        <f t="shared" si="322"/>
        <v>-291.09735820734682</v>
      </c>
    </row>
    <row r="1450" spans="37:45" x14ac:dyDescent="0.3">
      <c r="AK1450" s="78">
        <v>45046.802083333336</v>
      </c>
      <c r="AL1450" s="79">
        <v>9.2681763006101897E-2</v>
      </c>
      <c r="AM1450" s="5">
        <v>83.586986100000004</v>
      </c>
      <c r="AN1450" s="2">
        <v>9839</v>
      </c>
      <c r="AO1450" s="7">
        <f t="shared" si="323"/>
        <v>163.98333333333332</v>
      </c>
      <c r="AP1450" s="5">
        <f t="shared" si="319"/>
        <v>15.198264436950609</v>
      </c>
      <c r="AQ1450" s="6">
        <f t="shared" si="320"/>
        <v>140.79204361618255</v>
      </c>
      <c r="AR1450" s="2">
        <f t="shared" si="321"/>
        <v>-2.1301186875174403</v>
      </c>
      <c r="AS1450" s="2">
        <f t="shared" si="322"/>
        <v>-299.90376316060099</v>
      </c>
    </row>
    <row r="1451" spans="37:45" x14ac:dyDescent="0.3">
      <c r="AK1451" s="78">
        <v>45046.8125</v>
      </c>
      <c r="AL1451" s="79">
        <v>9.5777372009960796E-2</v>
      </c>
      <c r="AM1451" s="5">
        <v>85.762083380000007</v>
      </c>
      <c r="AN1451" s="2">
        <v>10523</v>
      </c>
      <c r="AO1451" s="7">
        <f t="shared" si="323"/>
        <v>175.38333333333333</v>
      </c>
      <c r="AP1451" s="5">
        <f t="shared" si="319"/>
        <v>16.797754761013625</v>
      </c>
      <c r="AQ1451" s="6">
        <f t="shared" si="320"/>
        <v>147.86286715719322</v>
      </c>
      <c r="AR1451" s="2">
        <f t="shared" si="321"/>
        <v>-2.1301186875174403</v>
      </c>
      <c r="AS1451" s="2">
        <f t="shared" si="322"/>
        <v>-314.96545652144607</v>
      </c>
    </row>
    <row r="1452" spans="37:45" x14ac:dyDescent="0.3">
      <c r="AK1452" s="78">
        <v>45046.822916666664</v>
      </c>
      <c r="AL1452" s="79">
        <v>9.3445455090914703E-2</v>
      </c>
      <c r="AM1452" s="5">
        <v>84.891986889999998</v>
      </c>
      <c r="AN1452" s="2">
        <v>11035</v>
      </c>
      <c r="AO1452" s="7">
        <f t="shared" si="323"/>
        <v>183.91666666666666</v>
      </c>
      <c r="AP1452" s="5">
        <f t="shared" si="319"/>
        <v>17.186176615470728</v>
      </c>
      <c r="AQ1452" s="6">
        <f t="shared" si="320"/>
        <v>149.52743431426825</v>
      </c>
      <c r="AR1452" s="2">
        <f t="shared" si="321"/>
        <v>-2.1301186875174403</v>
      </c>
      <c r="AS1452" s="2">
        <f t="shared" si="322"/>
        <v>-318.51118212935933</v>
      </c>
    </row>
    <row r="1453" spans="37:45" x14ac:dyDescent="0.3">
      <c r="AK1453" s="78">
        <v>45046.833333333336</v>
      </c>
      <c r="AL1453" s="79">
        <v>8.5185694137467793E-2</v>
      </c>
      <c r="AM1453" s="5">
        <v>83.586986100000004</v>
      </c>
      <c r="AN1453" s="2">
        <v>10944</v>
      </c>
      <c r="AO1453" s="7">
        <f t="shared" si="323"/>
        <v>182.4</v>
      </c>
      <c r="AP1453" s="5">
        <f t="shared" si="319"/>
        <v>15.537870610674126</v>
      </c>
      <c r="AQ1453" s="6">
        <f t="shared" si="320"/>
        <v>142.32395723029668</v>
      </c>
      <c r="AR1453" s="2">
        <f t="shared" si="321"/>
        <v>-2.1301186875174403</v>
      </c>
      <c r="AS1453" s="2">
        <f t="shared" si="322"/>
        <v>-303.16692097768788</v>
      </c>
    </row>
    <row r="1454" spans="37:45" x14ac:dyDescent="0.3">
      <c r="AK1454" s="78">
        <v>45046.84375</v>
      </c>
      <c r="AL1454" s="79">
        <v>8.8852998520491694E-2</v>
      </c>
      <c r="AM1454" s="5">
        <v>85.762083380000007</v>
      </c>
      <c r="AN1454" s="2">
        <v>11025</v>
      </c>
      <c r="AO1454" s="7">
        <f t="shared" si="323"/>
        <v>183.75</v>
      </c>
      <c r="AP1454" s="5">
        <f t="shared" si="319"/>
        <v>16.326738478140349</v>
      </c>
      <c r="AQ1454" s="6">
        <f t="shared" si="320"/>
        <v>145.81776811104305</v>
      </c>
      <c r="AR1454" s="2">
        <f t="shared" si="321"/>
        <v>-2.1301186875174403</v>
      </c>
      <c r="AS1454" s="2">
        <f t="shared" si="322"/>
        <v>-310.60915282541748</v>
      </c>
    </row>
    <row r="1455" spans="37:45" x14ac:dyDescent="0.3">
      <c r="AK1455" s="78">
        <v>45046.854166666664</v>
      </c>
      <c r="AL1455" s="79">
        <v>9.1069414377669994E-2</v>
      </c>
      <c r="AM1455" s="5">
        <v>86.192545629999998</v>
      </c>
      <c r="AN1455" s="2">
        <v>10375</v>
      </c>
      <c r="AO1455" s="7">
        <f t="shared" si="323"/>
        <v>172.91666666666666</v>
      </c>
      <c r="AP1455" s="5">
        <f t="shared" si="319"/>
        <v>15.747419569472102</v>
      </c>
      <c r="AQ1455" s="6">
        <f t="shared" si="320"/>
        <v>143.26068892674382</v>
      </c>
      <c r="AR1455" s="2">
        <f t="shared" si="321"/>
        <v>-2.1301186875174403</v>
      </c>
      <c r="AS1455" s="2">
        <f t="shared" si="322"/>
        <v>-305.16227066947982</v>
      </c>
    </row>
    <row r="1456" spans="37:45" x14ac:dyDescent="0.3">
      <c r="AK1456" s="78">
        <v>45046.864583333336</v>
      </c>
      <c r="AL1456" s="79">
        <v>8.9467322601683205E-2</v>
      </c>
      <c r="AM1456" s="5">
        <v>84.891986889999998</v>
      </c>
      <c r="AN1456" s="2">
        <v>10398</v>
      </c>
      <c r="AO1456" s="7">
        <f t="shared" si="323"/>
        <v>173.3</v>
      </c>
      <c r="AP1456" s="5">
        <f t="shared" si="319"/>
        <v>15.5046870068717</v>
      </c>
      <c r="AQ1456" s="6">
        <f t="shared" si="320"/>
        <v>142.1750290076462</v>
      </c>
      <c r="AR1456" s="2">
        <f t="shared" si="321"/>
        <v>-2.1301186875174403</v>
      </c>
      <c r="AS1456" s="2">
        <f t="shared" si="322"/>
        <v>-302.84968618752134</v>
      </c>
    </row>
    <row r="1457" spans="37:45" x14ac:dyDescent="0.3">
      <c r="AK1457" s="78">
        <v>45046.875</v>
      </c>
      <c r="AL1457" s="79">
        <v>9.5184842897204205E-2</v>
      </c>
      <c r="AM1457" s="5">
        <v>87.058386479999996</v>
      </c>
      <c r="AN1457" s="2">
        <v>10417</v>
      </c>
      <c r="AO1457" s="7">
        <f t="shared" si="323"/>
        <v>173.61666666666667</v>
      </c>
      <c r="AP1457" s="5">
        <f t="shared" si="319"/>
        <v>16.525675141002939</v>
      </c>
      <c r="AQ1457" s="6">
        <f t="shared" si="320"/>
        <v>146.6851530831581</v>
      </c>
      <c r="AR1457" s="2">
        <f t="shared" si="321"/>
        <v>-2.1301186875174403</v>
      </c>
      <c r="AS1457" s="2">
        <f t="shared" si="322"/>
        <v>-312.45678576379152</v>
      </c>
    </row>
    <row r="1458" spans="37:45" x14ac:dyDescent="0.3">
      <c r="AK1458" s="78">
        <v>45046.885416666664</v>
      </c>
      <c r="AL1458" s="79">
        <v>8.9918088909259397E-2</v>
      </c>
      <c r="AM1458" s="5">
        <v>82.276892649999994</v>
      </c>
      <c r="AN1458" s="2">
        <v>10576</v>
      </c>
      <c r="AO1458" s="7">
        <f t="shared" si="323"/>
        <v>176.26666666666668</v>
      </c>
      <c r="AP1458" s="5">
        <f t="shared" si="319"/>
        <v>15.849561805072124</v>
      </c>
      <c r="AQ1458" s="6">
        <f t="shared" si="320"/>
        <v>143.71498198304602</v>
      </c>
      <c r="AR1458" s="2">
        <f t="shared" si="321"/>
        <v>-2.1301186875174403</v>
      </c>
      <c r="AS1458" s="2">
        <f t="shared" si="322"/>
        <v>-306.12996879831854</v>
      </c>
    </row>
    <row r="1459" spans="37:45" x14ac:dyDescent="0.3">
      <c r="AK1459" s="78">
        <v>45046.895833333336</v>
      </c>
      <c r="AL1459" s="79">
        <v>8.9839155165888099E-2</v>
      </c>
      <c r="AM1459" s="5">
        <v>84.891986889999998</v>
      </c>
      <c r="AN1459" s="2">
        <v>10649</v>
      </c>
      <c r="AO1459" s="7">
        <f t="shared" si="323"/>
        <v>177.48333333333332</v>
      </c>
      <c r="AP1459" s="5">
        <f t="shared" si="319"/>
        <v>15.944952722692372</v>
      </c>
      <c r="AQ1459" s="6">
        <f t="shared" si="320"/>
        <v>144.13790031000033</v>
      </c>
      <c r="AR1459" s="2">
        <f t="shared" si="321"/>
        <v>-2.1301186875174403</v>
      </c>
      <c r="AS1459" s="2">
        <f t="shared" si="322"/>
        <v>-307.03083502985754</v>
      </c>
    </row>
    <row r="1460" spans="37:45" x14ac:dyDescent="0.3">
      <c r="AK1460" s="78">
        <v>45046.90625</v>
      </c>
      <c r="AL1460" s="79">
        <v>9.2539846686223295E-2</v>
      </c>
      <c r="AM1460" s="5">
        <v>82.276892649999994</v>
      </c>
      <c r="AN1460" s="2">
        <v>10392</v>
      </c>
      <c r="AO1460" s="7">
        <f t="shared" si="323"/>
        <v>173.2</v>
      </c>
      <c r="AP1460" s="5">
        <f t="shared" si="319"/>
        <v>16.027901446053875</v>
      </c>
      <c r="AQ1460" s="6">
        <f t="shared" si="320"/>
        <v>144.50460750689371</v>
      </c>
      <c r="AR1460" s="2">
        <f t="shared" si="321"/>
        <v>-2.1301186875174403</v>
      </c>
      <c r="AS1460" s="2">
        <f t="shared" si="322"/>
        <v>-307.81196488280727</v>
      </c>
    </row>
    <row r="1461" spans="37:45" x14ac:dyDescent="0.3">
      <c r="AK1461" s="78">
        <v>45046.916666666664</v>
      </c>
      <c r="AL1461" s="79">
        <v>8.8429072091145394E-2</v>
      </c>
      <c r="AM1461" s="5">
        <v>82.711152870000006</v>
      </c>
      <c r="AN1461" s="2">
        <v>10249</v>
      </c>
      <c r="AO1461" s="7">
        <f t="shared" si="323"/>
        <v>170.81666666666666</v>
      </c>
      <c r="AP1461" s="5">
        <f t="shared" si="319"/>
        <v>15.105159331035818</v>
      </c>
      <c r="AQ1461" s="6">
        <f t="shared" si="320"/>
        <v>140.36901658976885</v>
      </c>
      <c r="AR1461" s="2">
        <f t="shared" si="321"/>
        <v>-2.1301186875174403</v>
      </c>
      <c r="AS1461" s="2">
        <f t="shared" si="322"/>
        <v>-299.00266538631223</v>
      </c>
    </row>
    <row r="1462" spans="37:45" x14ac:dyDescent="0.3">
      <c r="AK1462" s="78">
        <v>45046.927083333336</v>
      </c>
      <c r="AL1462" s="79">
        <v>9.1828871066715001E-2</v>
      </c>
      <c r="AM1462" s="5">
        <v>81.397704649999994</v>
      </c>
      <c r="AN1462" s="2">
        <v>10368</v>
      </c>
      <c r="AO1462" s="7">
        <f t="shared" si="323"/>
        <v>172.8</v>
      </c>
      <c r="AP1462" s="5">
        <f t="shared" si="319"/>
        <v>15.868028920328353</v>
      </c>
      <c r="AQ1462" s="6">
        <f t="shared" si="320"/>
        <v>143.79695763791267</v>
      </c>
      <c r="AR1462" s="2">
        <f t="shared" si="321"/>
        <v>-2.1301186875174403</v>
      </c>
      <c r="AS1462" s="2">
        <f t="shared" si="322"/>
        <v>-306.30458667267152</v>
      </c>
    </row>
    <row r="1463" spans="37:45" x14ac:dyDescent="0.3">
      <c r="AK1463" s="78">
        <v>45046.9375</v>
      </c>
      <c r="AL1463" s="79">
        <v>7.3226678513634999E-2</v>
      </c>
      <c r="AM1463" s="5">
        <v>85.762083380000007</v>
      </c>
      <c r="AN1463" s="2">
        <v>13394</v>
      </c>
      <c r="AO1463" s="7">
        <f t="shared" si="323"/>
        <v>223.23333333333332</v>
      </c>
      <c r="AP1463" s="5">
        <f t="shared" si="319"/>
        <v>16.34663553352712</v>
      </c>
      <c r="AQ1463" s="6">
        <f t="shared" si="320"/>
        <v>145.90476324134659</v>
      </c>
      <c r="AR1463" s="2">
        <f t="shared" si="321"/>
        <v>-2.1301186875174403</v>
      </c>
      <c r="AS1463" s="2">
        <f t="shared" si="322"/>
        <v>-310.79446277820006</v>
      </c>
    </row>
    <row r="1464" spans="37:45" x14ac:dyDescent="0.3">
      <c r="AK1464" s="78">
        <v>45046.947916666664</v>
      </c>
      <c r="AL1464" s="79">
        <v>7.0763475649142302E-2</v>
      </c>
      <c r="AM1464" s="5">
        <v>82.276892649999994</v>
      </c>
      <c r="AN1464" s="2">
        <v>14099</v>
      </c>
      <c r="AO1464" s="7">
        <f t="shared" si="323"/>
        <v>234.98333333333332</v>
      </c>
      <c r="AP1464" s="5">
        <f t="shared" si="319"/>
        <v>16.628237386287619</v>
      </c>
      <c r="AQ1464" s="6">
        <f t="shared" si="320"/>
        <v>147.13025396551291</v>
      </c>
      <c r="AR1464" s="2">
        <f t="shared" si="321"/>
        <v>-2.1301186875174403</v>
      </c>
      <c r="AS1464" s="2">
        <f t="shared" si="322"/>
        <v>-313.40490347112603</v>
      </c>
    </row>
    <row r="1465" spans="37:45" x14ac:dyDescent="0.3">
      <c r="AK1465" s="78">
        <v>45046.958333333336</v>
      </c>
      <c r="AL1465" s="79">
        <v>7.0093286025905005E-2</v>
      </c>
      <c r="AM1465" s="5">
        <v>81.405228940000001</v>
      </c>
      <c r="AN1465" s="2">
        <v>14140</v>
      </c>
      <c r="AO1465" s="7">
        <f t="shared" si="323"/>
        <v>235.66666666666666</v>
      </c>
      <c r="AP1465" s="5">
        <f t="shared" si="319"/>
        <v>16.518651073438278</v>
      </c>
      <c r="AQ1465" s="6">
        <f t="shared" si="320"/>
        <v>146.6546184407799</v>
      </c>
      <c r="AR1465" s="2">
        <f t="shared" si="321"/>
        <v>-2.1301186875174403</v>
      </c>
      <c r="AS1465" s="2">
        <f t="shared" si="322"/>
        <v>-312.39174335144509</v>
      </c>
    </row>
    <row r="1466" spans="37:45" x14ac:dyDescent="0.3">
      <c r="AK1466" s="78">
        <v>45046.96875</v>
      </c>
      <c r="AL1466" s="79">
        <v>7.0664844254644102E-2</v>
      </c>
      <c r="AM1466" s="5">
        <v>77.875916610000004</v>
      </c>
      <c r="AN1466" s="2">
        <v>14133</v>
      </c>
      <c r="AO1466" s="7">
        <f t="shared" si="323"/>
        <v>235.55</v>
      </c>
      <c r="AP1466" s="5">
        <f t="shared" si="319"/>
        <v>16.645104064181417</v>
      </c>
      <c r="AQ1466" s="6">
        <f t="shared" si="320"/>
        <v>147.20331790207484</v>
      </c>
      <c r="AR1466" s="2">
        <f t="shared" si="321"/>
        <v>-2.1301186875174403</v>
      </c>
      <c r="AS1466" s="2">
        <f t="shared" si="322"/>
        <v>-313.56053832778019</v>
      </c>
    </row>
    <row r="1467" spans="37:45" x14ac:dyDescent="0.3">
      <c r="AK1467" s="78">
        <v>45046.979166666664</v>
      </c>
      <c r="AL1467" s="79">
        <v>7.1586297927169001E-2</v>
      </c>
      <c r="AM1467" s="5">
        <v>77.875916610000004</v>
      </c>
      <c r="AN1467" s="2">
        <v>14025</v>
      </c>
      <c r="AO1467" s="7">
        <f t="shared" si="323"/>
        <v>233.75</v>
      </c>
      <c r="AP1467" s="5">
        <f t="shared" si="319"/>
        <v>16.733297140475756</v>
      </c>
      <c r="AQ1467" s="6">
        <f t="shared" si="320"/>
        <v>147.5847434022206</v>
      </c>
      <c r="AR1467" s="2">
        <f t="shared" si="321"/>
        <v>-2.1301186875174403</v>
      </c>
      <c r="AS1467" s="2">
        <f t="shared" si="322"/>
        <v>-314.37301991353633</v>
      </c>
    </row>
    <row r="1468" spans="37:45" x14ac:dyDescent="0.3">
      <c r="AK1468" s="78">
        <v>45046.989583333336</v>
      </c>
      <c r="AL1468" s="79">
        <v>7.3619340401859606E-2</v>
      </c>
      <c r="AM1468" s="5">
        <v>80.961047410000006</v>
      </c>
      <c r="AN1468" s="2">
        <v>13741</v>
      </c>
      <c r="AO1468" s="7">
        <f t="shared" si="323"/>
        <v>229.01666666666668</v>
      </c>
      <c r="AP1468" s="5">
        <f t="shared" si="319"/>
        <v>16.860055941032549</v>
      </c>
      <c r="AQ1468" s="6">
        <f t="shared" si="320"/>
        <v>148.13116912070763</v>
      </c>
      <c r="AR1468" s="2">
        <f t="shared" si="321"/>
        <v>-2.1301186875174403</v>
      </c>
      <c r="AS1468" s="2">
        <f t="shared" si="322"/>
        <v>-315.53697154782571</v>
      </c>
    </row>
    <row r="1469" spans="37:45" x14ac:dyDescent="0.3">
      <c r="AK1469" s="78">
        <v>45047</v>
      </c>
      <c r="AL1469" s="79">
        <v>7.1157081302026498E-2</v>
      </c>
      <c r="AM1469" s="5">
        <v>82.276892649999994</v>
      </c>
      <c r="AN1469" s="2">
        <v>13804</v>
      </c>
      <c r="AO1469" s="7">
        <f t="shared" si="323"/>
        <v>230.06666666666666</v>
      </c>
      <c r="AP1469" s="5">
        <f t="shared" si="319"/>
        <v>16.370872504886229</v>
      </c>
      <c r="AQ1469" s="6">
        <f t="shared" si="320"/>
        <v>146.01066065139392</v>
      </c>
      <c r="AR1469" s="2">
        <f t="shared" si="321"/>
        <v>-2.1301186875174403</v>
      </c>
      <c r="AS1469" s="2">
        <f t="shared" si="322"/>
        <v>-311.02003683030159</v>
      </c>
    </row>
    <row r="1470" spans="37:45" x14ac:dyDescent="0.3">
      <c r="AK1470" s="78">
        <v>45047.010416666664</v>
      </c>
      <c r="AL1470" s="79">
        <v>7.1715903826244903E-2</v>
      </c>
      <c r="AM1470" s="5">
        <v>82.276892649999994</v>
      </c>
      <c r="AN1470" s="2">
        <v>14183</v>
      </c>
      <c r="AO1470" s="7">
        <f t="shared" si="323"/>
        <v>236.38333333333333</v>
      </c>
      <c r="AP1470" s="5">
        <f t="shared" si="319"/>
        <v>16.952444399460525</v>
      </c>
      <c r="AQ1470" s="6">
        <f t="shared" si="320"/>
        <v>148.5281131749928</v>
      </c>
      <c r="AR1470" s="2">
        <f t="shared" si="321"/>
        <v>-2.1301186875174403</v>
      </c>
      <c r="AS1470" s="2">
        <f t="shared" si="322"/>
        <v>-316.38250949575746</v>
      </c>
    </row>
    <row r="1471" spans="37:45" x14ac:dyDescent="0.3">
      <c r="AK1471" s="78">
        <v>45047.020833333336</v>
      </c>
      <c r="AL1471" s="79">
        <v>6.9749367945306104E-2</v>
      </c>
      <c r="AM1471" s="5">
        <v>81.405228940000001</v>
      </c>
      <c r="AN1471" s="2">
        <v>14067</v>
      </c>
      <c r="AO1471" s="7">
        <f t="shared" si="323"/>
        <v>234.45</v>
      </c>
      <c r="AP1471" s="5">
        <f t="shared" si="319"/>
        <v>16.352739314777015</v>
      </c>
      <c r="AQ1471" s="6">
        <f t="shared" si="320"/>
        <v>145.93143973742329</v>
      </c>
      <c r="AR1471" s="2">
        <f t="shared" si="321"/>
        <v>-2.1301186875174403</v>
      </c>
      <c r="AS1471" s="2">
        <f t="shared" si="322"/>
        <v>-310.85128688101054</v>
      </c>
    </row>
    <row r="1472" spans="37:45" x14ac:dyDescent="0.3">
      <c r="AK1472" s="78">
        <v>45047.03125</v>
      </c>
      <c r="AL1472" s="79">
        <v>6.6358148316530099E-2</v>
      </c>
      <c r="AM1472" s="5">
        <v>82.276892649999994</v>
      </c>
      <c r="AN1472" s="2">
        <v>14541</v>
      </c>
      <c r="AO1472" s="7">
        <f t="shared" si="323"/>
        <v>242.35</v>
      </c>
      <c r="AP1472" s="5">
        <f t="shared" si="319"/>
        <v>16.081897244511069</v>
      </c>
      <c r="AQ1472" s="6">
        <f t="shared" si="320"/>
        <v>144.74279681911366</v>
      </c>
      <c r="AR1472" s="2">
        <f t="shared" si="321"/>
        <v>-2.1301186875174403</v>
      </c>
      <c r="AS1472" s="2">
        <f t="shared" si="322"/>
        <v>-308.3193363879339</v>
      </c>
    </row>
    <row r="1473" spans="37:45" x14ac:dyDescent="0.3">
      <c r="AK1473" s="78">
        <v>45047.041666666664</v>
      </c>
      <c r="AL1473" s="79">
        <v>6.6901835604944795E-2</v>
      </c>
      <c r="AM1473" s="5">
        <v>80.961047410000006</v>
      </c>
      <c r="AN1473" s="2">
        <v>14653</v>
      </c>
      <c r="AO1473" s="7">
        <f t="shared" si="323"/>
        <v>244.21666666666667</v>
      </c>
      <c r="AP1473" s="5">
        <f t="shared" si="319"/>
        <v>16.338543285320934</v>
      </c>
      <c r="AQ1473" s="6">
        <f t="shared" si="320"/>
        <v>145.86938833853418</v>
      </c>
      <c r="AR1473" s="2">
        <f t="shared" si="321"/>
        <v>-2.1301186875174403</v>
      </c>
      <c r="AS1473" s="2">
        <f t="shared" si="322"/>
        <v>-310.71911003665025</v>
      </c>
    </row>
    <row r="1474" spans="37:45" x14ac:dyDescent="0.3">
      <c r="AK1474" s="78">
        <v>45047.052083333336</v>
      </c>
      <c r="AL1474" s="79">
        <v>6.78240467867572E-2</v>
      </c>
      <c r="AM1474" s="5">
        <v>83.586986100000004</v>
      </c>
      <c r="AN1474" s="2">
        <v>14493</v>
      </c>
      <c r="AO1474" s="7">
        <f t="shared" si="323"/>
        <v>241.55</v>
      </c>
      <c r="AP1474" s="5">
        <f t="shared" si="319"/>
        <v>16.382898501341202</v>
      </c>
      <c r="AQ1474" s="6">
        <f t="shared" si="320"/>
        <v>146.06317555066906</v>
      </c>
      <c r="AR1474" s="2">
        <f t="shared" si="321"/>
        <v>-2.1301186875174403</v>
      </c>
      <c r="AS1474" s="2">
        <f t="shared" si="322"/>
        <v>-311.13189979862062</v>
      </c>
    </row>
    <row r="1475" spans="37:45" x14ac:dyDescent="0.3">
      <c r="AK1475" s="78">
        <v>45047.0625</v>
      </c>
      <c r="AL1475" s="79">
        <v>6.5938184604900696E-2</v>
      </c>
      <c r="AM1475" s="5">
        <v>83.153095449999995</v>
      </c>
      <c r="AN1475" s="2">
        <v>14286</v>
      </c>
      <c r="AO1475" s="7">
        <f t="shared" si="323"/>
        <v>238.1</v>
      </c>
      <c r="AP1475" s="5">
        <f t="shared" si="319"/>
        <v>15.699881754426855</v>
      </c>
      <c r="AQ1475" s="6">
        <f t="shared" si="320"/>
        <v>143.04874457476004</v>
      </c>
      <c r="AR1475" s="2">
        <f t="shared" si="321"/>
        <v>-2.1301186875174403</v>
      </c>
      <c r="AS1475" s="2">
        <f t="shared" si="322"/>
        <v>-304.71080404460542</v>
      </c>
    </row>
    <row r="1476" spans="37:45" x14ac:dyDescent="0.3">
      <c r="AK1476" s="78">
        <v>45047.072916666664</v>
      </c>
      <c r="AL1476" s="79">
        <v>6.5982201368766105E-2</v>
      </c>
      <c r="AM1476" s="5">
        <v>82.276892649999994</v>
      </c>
      <c r="AN1476" s="2">
        <v>14701</v>
      </c>
      <c r="AO1476" s="7">
        <f t="shared" si="323"/>
        <v>245.01666666666668</v>
      </c>
      <c r="AP1476" s="5">
        <f t="shared" ref="AP1476:AP1539" si="324">AO1476*AL1476</f>
        <v>16.166739038703842</v>
      </c>
      <c r="AQ1476" s="6">
        <f t="shared" ref="AQ1476:AQ1539" si="325">37.141*AP1476^0.4897</f>
        <v>145.11623282538389</v>
      </c>
      <c r="AR1476" s="2">
        <f t="shared" ref="AR1476:AR1539" si="326">IF((AM1476-$AP$1)/($AN$1-$AP$1)&lt;0, 0, IF((AA1476-$AP$1)/($AN$1-$AP$1)&gt;1, 1, (AA1476-$AP$1)/($AN$1-$AP$1)))</f>
        <v>-2.1301186875174403</v>
      </c>
      <c r="AS1476" s="2">
        <f t="shared" ref="AS1476:AS1539" si="327">AQ1476*AR1476</f>
        <v>-309.11479940348204</v>
      </c>
    </row>
    <row r="1477" spans="37:45" x14ac:dyDescent="0.3">
      <c r="AK1477" s="78">
        <v>45047.083333333336</v>
      </c>
      <c r="AL1477" s="79">
        <v>6.46772095508482E-2</v>
      </c>
      <c r="AM1477" s="5">
        <v>82.276892649999994</v>
      </c>
      <c r="AN1477" s="2">
        <v>14750</v>
      </c>
      <c r="AO1477" s="7">
        <f t="shared" si="323"/>
        <v>245.83333333333334</v>
      </c>
      <c r="AP1477" s="5">
        <f t="shared" si="324"/>
        <v>15.899814014583516</v>
      </c>
      <c r="AQ1477" s="6">
        <f t="shared" si="325"/>
        <v>143.93793796893368</v>
      </c>
      <c r="AR1477" s="2">
        <f t="shared" si="326"/>
        <v>-2.1301186875174403</v>
      </c>
      <c r="AS1477" s="2">
        <f t="shared" si="327"/>
        <v>-306.60489151035176</v>
      </c>
    </row>
    <row r="1478" spans="37:45" x14ac:dyDescent="0.3">
      <c r="AK1478" s="78">
        <v>45047.09375</v>
      </c>
      <c r="AL1478" s="79">
        <v>6.7910608907546494E-2</v>
      </c>
      <c r="AM1478" s="5">
        <v>82.284398269999997</v>
      </c>
      <c r="AN1478" s="2">
        <v>14515</v>
      </c>
      <c r="AO1478" s="7">
        <f t="shared" si="323"/>
        <v>241.91666666666666</v>
      </c>
      <c r="AP1478" s="5">
        <f t="shared" si="324"/>
        <v>16.428708138217289</v>
      </c>
      <c r="AQ1478" s="6">
        <f t="shared" si="325"/>
        <v>146.26303626257928</v>
      </c>
      <c r="AR1478" s="2">
        <f t="shared" si="326"/>
        <v>-2.1301186875174403</v>
      </c>
      <c r="AS1478" s="2">
        <f t="shared" si="327"/>
        <v>-311.55762683596112</v>
      </c>
    </row>
    <row r="1479" spans="37:45" x14ac:dyDescent="0.3">
      <c r="AK1479" s="78">
        <v>45047.104166666664</v>
      </c>
      <c r="AL1479" s="79">
        <v>6.4348324927243697E-2</v>
      </c>
      <c r="AM1479" s="5">
        <v>82.284398269999997</v>
      </c>
      <c r="AN1479" s="2">
        <v>14730</v>
      </c>
      <c r="AO1479" s="7">
        <f t="shared" si="323"/>
        <v>245.5</v>
      </c>
      <c r="AP1479" s="5">
        <f t="shared" si="324"/>
        <v>15.797513769638327</v>
      </c>
      <c r="AQ1479" s="6">
        <f t="shared" si="325"/>
        <v>143.48367775680643</v>
      </c>
      <c r="AR1479" s="2">
        <f t="shared" si="326"/>
        <v>-2.1301186875174403</v>
      </c>
      <c r="AS1479" s="2">
        <f t="shared" si="327"/>
        <v>-305.63726334350383</v>
      </c>
    </row>
    <row r="1480" spans="37:45" x14ac:dyDescent="0.3">
      <c r="AK1480" s="78">
        <v>45047.114583333336</v>
      </c>
      <c r="AL1480" s="79">
        <v>6.4777775644357397E-2</v>
      </c>
      <c r="AM1480" s="5">
        <v>81.405228940000001</v>
      </c>
      <c r="AN1480" s="2">
        <v>14766</v>
      </c>
      <c r="AO1480" s="7">
        <f t="shared" si="323"/>
        <v>246.1</v>
      </c>
      <c r="AP1480" s="5">
        <f t="shared" si="324"/>
        <v>15.941810586076356</v>
      </c>
      <c r="AQ1480" s="6">
        <f t="shared" si="325"/>
        <v>144.12399015526216</v>
      </c>
      <c r="AR1480" s="2">
        <f t="shared" si="326"/>
        <v>-2.1301186875174403</v>
      </c>
      <c r="AS1480" s="2">
        <f t="shared" si="327"/>
        <v>-307.0012047493035</v>
      </c>
    </row>
    <row r="1481" spans="37:45" x14ac:dyDescent="0.3">
      <c r="AK1481" s="78">
        <v>45047.125</v>
      </c>
      <c r="AL1481">
        <v>6.4166294638106303E-2</v>
      </c>
      <c r="AM1481" s="6">
        <v>81.405228940000001</v>
      </c>
      <c r="AN1481" s="2">
        <v>15034</v>
      </c>
      <c r="AO1481" s="7">
        <f>AN1481/60</f>
        <v>250.56666666666666</v>
      </c>
      <c r="AP1481" s="5">
        <f t="shared" si="324"/>
        <v>16.077934559821504</v>
      </c>
      <c r="AQ1481" s="6">
        <f t="shared" si="325"/>
        <v>144.72533029028179</v>
      </c>
      <c r="AR1481" s="2">
        <f t="shared" si="326"/>
        <v>-2.1301186875174403</v>
      </c>
      <c r="AS1481" s="2">
        <f t="shared" si="327"/>
        <v>-308.28213060846309</v>
      </c>
    </row>
    <row r="1482" spans="37:45" x14ac:dyDescent="0.3">
      <c r="AK1482" s="78">
        <v>45047.135416666664</v>
      </c>
      <c r="AL1482">
        <v>6.6547440731441004E-2</v>
      </c>
      <c r="AM1482" s="6">
        <v>82.276892649999994</v>
      </c>
      <c r="AN1482" s="2">
        <v>15446</v>
      </c>
      <c r="AO1482" s="7">
        <f t="shared" ref="AO1482:AO1545" si="328">AN1482/60</f>
        <v>257.43333333333334</v>
      </c>
      <c r="AP1482" s="5">
        <f t="shared" si="324"/>
        <v>17.131529492297297</v>
      </c>
      <c r="AQ1482" s="6">
        <f t="shared" si="325"/>
        <v>149.29441507201969</v>
      </c>
      <c r="AR1482" s="2">
        <f t="shared" si="326"/>
        <v>-2.1301186875174403</v>
      </c>
      <c r="AS1482" s="2">
        <f t="shared" si="327"/>
        <v>-318.01482348689456</v>
      </c>
    </row>
    <row r="1483" spans="37:45" x14ac:dyDescent="0.3">
      <c r="AK1483" s="78">
        <v>45047.145833333336</v>
      </c>
      <c r="AL1483">
        <v>6.3749501686087895E-2</v>
      </c>
      <c r="AM1483" s="6">
        <v>82.284398269999997</v>
      </c>
      <c r="AN1483" s="2">
        <v>15094</v>
      </c>
      <c r="AO1483" s="7">
        <f t="shared" si="328"/>
        <v>251.56666666666666</v>
      </c>
      <c r="AP1483" s="5">
        <f t="shared" si="324"/>
        <v>16.037249640830179</v>
      </c>
      <c r="AQ1483" s="6">
        <f t="shared" si="325"/>
        <v>144.54587406739748</v>
      </c>
      <c r="AR1483" s="2">
        <f t="shared" si="326"/>
        <v>-2.1301186875174403</v>
      </c>
      <c r="AS1483" s="2">
        <f t="shared" si="327"/>
        <v>-307.89986755450593</v>
      </c>
    </row>
    <row r="1484" spans="37:45" x14ac:dyDescent="0.3">
      <c r="AK1484" s="78">
        <v>45047.15625</v>
      </c>
      <c r="AL1484">
        <v>6.3286491809405696E-2</v>
      </c>
      <c r="AM1484" s="6">
        <v>82.284398269999997</v>
      </c>
      <c r="AN1484" s="2">
        <v>15463</v>
      </c>
      <c r="AO1484" s="7">
        <f t="shared" si="328"/>
        <v>257.71666666666664</v>
      </c>
      <c r="AP1484" s="5">
        <f t="shared" si="324"/>
        <v>16.309983714147336</v>
      </c>
      <c r="AQ1484" s="6">
        <f t="shared" si="325"/>
        <v>145.74446993153589</v>
      </c>
      <c r="AR1484" s="2">
        <f t="shared" si="326"/>
        <v>-2.1301186875174403</v>
      </c>
      <c r="AS1484" s="2">
        <f t="shared" si="327"/>
        <v>-310.45301900348829</v>
      </c>
    </row>
    <row r="1485" spans="37:45" x14ac:dyDescent="0.3">
      <c r="AK1485" s="78">
        <v>45047.166666666664</v>
      </c>
      <c r="AL1485">
        <v>6.7478563723563506E-2</v>
      </c>
      <c r="AM1485" s="6">
        <v>80.086877509999994</v>
      </c>
      <c r="AN1485" s="2">
        <v>15280</v>
      </c>
      <c r="AO1485" s="7">
        <f t="shared" si="328"/>
        <v>254.66666666666666</v>
      </c>
      <c r="AP1485" s="5">
        <f t="shared" si="324"/>
        <v>17.184540894934173</v>
      </c>
      <c r="AQ1485" s="6">
        <f t="shared" si="325"/>
        <v>149.5204649788254</v>
      </c>
      <c r="AR1485" s="2">
        <f t="shared" si="326"/>
        <v>-2.1301186875174403</v>
      </c>
      <c r="AS1485" s="2">
        <f t="shared" si="327"/>
        <v>-318.49633661769298</v>
      </c>
    </row>
    <row r="1486" spans="37:45" x14ac:dyDescent="0.3">
      <c r="AK1486" s="78">
        <v>45047.177083333336</v>
      </c>
      <c r="AL1486">
        <v>6.7624255369105504E-2</v>
      </c>
      <c r="AM1486" s="6">
        <v>83.594462070000006</v>
      </c>
      <c r="AN1486" s="2">
        <v>15423</v>
      </c>
      <c r="AO1486" s="7">
        <f t="shared" si="328"/>
        <v>257.05</v>
      </c>
      <c r="AP1486" s="5">
        <f t="shared" si="324"/>
        <v>17.382814842628569</v>
      </c>
      <c r="AQ1486" s="6">
        <f t="shared" si="325"/>
        <v>150.36280115228618</v>
      </c>
      <c r="AR1486" s="2">
        <f t="shared" si="326"/>
        <v>-2.1301186875174403</v>
      </c>
      <c r="AS1486" s="2">
        <f t="shared" si="327"/>
        <v>-320.29061264195371</v>
      </c>
    </row>
    <row r="1487" spans="37:45" x14ac:dyDescent="0.3">
      <c r="AK1487" s="78">
        <v>45047.1875</v>
      </c>
      <c r="AL1487">
        <v>6.24873367992064E-2</v>
      </c>
      <c r="AM1487" s="6">
        <v>82.276892649999994</v>
      </c>
      <c r="AN1487" s="2">
        <v>15724</v>
      </c>
      <c r="AO1487" s="7">
        <f t="shared" si="328"/>
        <v>262.06666666666666</v>
      </c>
      <c r="AP1487" s="5">
        <f t="shared" si="324"/>
        <v>16.375848063845357</v>
      </c>
      <c r="AQ1487" s="6">
        <f t="shared" si="325"/>
        <v>146.03239021708771</v>
      </c>
      <c r="AR1487" s="2">
        <f t="shared" si="326"/>
        <v>-2.1301186875174403</v>
      </c>
      <c r="AS1487" s="2">
        <f t="shared" si="327"/>
        <v>-311.06632338425754</v>
      </c>
    </row>
    <row r="1488" spans="37:45" x14ac:dyDescent="0.3">
      <c r="AK1488" s="78">
        <v>45047.197916666664</v>
      </c>
      <c r="AL1488">
        <v>6.6549787221927406E-2</v>
      </c>
      <c r="AM1488" s="6">
        <v>82.718647970000006</v>
      </c>
      <c r="AN1488" s="2">
        <v>14631</v>
      </c>
      <c r="AO1488" s="7">
        <f t="shared" si="328"/>
        <v>243.85</v>
      </c>
      <c r="AP1488" s="5">
        <f t="shared" si="324"/>
        <v>16.228165614066999</v>
      </c>
      <c r="AQ1488" s="6">
        <f t="shared" si="325"/>
        <v>145.38598163963994</v>
      </c>
      <c r="AR1488" s="2">
        <f t="shared" si="326"/>
        <v>-2.1301186875174403</v>
      </c>
      <c r="AS1488" s="2">
        <f t="shared" si="327"/>
        <v>-309.68939639366448</v>
      </c>
    </row>
    <row r="1489" spans="37:45" x14ac:dyDescent="0.3">
      <c r="AK1489" s="78">
        <v>45047.208333333336</v>
      </c>
      <c r="AL1489">
        <v>6.6288078375222506E-2</v>
      </c>
      <c r="AM1489" s="6">
        <v>81.405228940000001</v>
      </c>
      <c r="AN1489" s="2">
        <v>15405</v>
      </c>
      <c r="AO1489" s="7">
        <f t="shared" si="328"/>
        <v>256.75</v>
      </c>
      <c r="AP1489" s="5">
        <f t="shared" si="324"/>
        <v>17.019464122838379</v>
      </c>
      <c r="AQ1489" s="6">
        <f t="shared" si="325"/>
        <v>148.81537085136506</v>
      </c>
      <c r="AR1489" s="2">
        <f t="shared" si="326"/>
        <v>-2.1301186875174403</v>
      </c>
      <c r="AS1489" s="2">
        <f t="shared" si="327"/>
        <v>-316.99440244033087</v>
      </c>
    </row>
    <row r="1490" spans="37:45" x14ac:dyDescent="0.3">
      <c r="AK1490" s="78">
        <v>45047.21875</v>
      </c>
      <c r="AL1490">
        <v>6.1613715210645403E-2</v>
      </c>
      <c r="AM1490" s="6">
        <v>78.755362430000005</v>
      </c>
      <c r="AN1490" s="2">
        <v>16110</v>
      </c>
      <c r="AO1490" s="7">
        <f t="shared" si="328"/>
        <v>268.5</v>
      </c>
      <c r="AP1490" s="5">
        <f t="shared" si="324"/>
        <v>16.543282534058292</v>
      </c>
      <c r="AQ1490" s="6">
        <f t="shared" si="325"/>
        <v>146.76166588295504</v>
      </c>
      <c r="AR1490" s="2">
        <f t="shared" si="326"/>
        <v>-2.1301186875174403</v>
      </c>
      <c r="AS1490" s="2">
        <f t="shared" si="327"/>
        <v>-312.6197671084733</v>
      </c>
    </row>
    <row r="1491" spans="37:45" x14ac:dyDescent="0.3">
      <c r="AK1491" s="78">
        <v>45047.229166666664</v>
      </c>
      <c r="AL1491">
        <v>5.5733977431693803E-2</v>
      </c>
      <c r="AM1491" s="6">
        <v>80.079324720000002</v>
      </c>
      <c r="AN1491" s="2">
        <v>17199</v>
      </c>
      <c r="AO1491" s="7">
        <f t="shared" si="328"/>
        <v>286.64999999999998</v>
      </c>
      <c r="AP1491" s="5">
        <f t="shared" si="324"/>
        <v>15.976144630795027</v>
      </c>
      <c r="AQ1491" s="6">
        <f t="shared" si="325"/>
        <v>144.27591025779873</v>
      </c>
      <c r="AR1491" s="2">
        <f t="shared" si="326"/>
        <v>-2.1301186875174403</v>
      </c>
      <c r="AS1491" s="2">
        <f t="shared" si="327"/>
        <v>-307.32481259872623</v>
      </c>
    </row>
    <row r="1492" spans="37:45" x14ac:dyDescent="0.3">
      <c r="AK1492" s="78">
        <v>45047.239583333336</v>
      </c>
      <c r="AL1492">
        <v>5.80696194386187E-2</v>
      </c>
      <c r="AM1492" s="6">
        <v>81.397704649999994</v>
      </c>
      <c r="AN1492" s="2">
        <v>17149</v>
      </c>
      <c r="AO1492" s="7">
        <f t="shared" si="328"/>
        <v>285.81666666666666</v>
      </c>
      <c r="AP1492" s="5">
        <f t="shared" si="324"/>
        <v>16.597265062547869</v>
      </c>
      <c r="AQ1492" s="6">
        <f t="shared" si="325"/>
        <v>146.99598791739652</v>
      </c>
      <c r="AR1492" s="2">
        <f t="shared" si="326"/>
        <v>-2.1301186875174403</v>
      </c>
      <c r="AS1492" s="2">
        <f t="shared" si="327"/>
        <v>-313.11890085293419</v>
      </c>
    </row>
    <row r="1493" spans="37:45" x14ac:dyDescent="0.3">
      <c r="AK1493" s="78">
        <v>45047.25</v>
      </c>
      <c r="AL1493">
        <v>5.6713991957006799E-2</v>
      </c>
      <c r="AM1493" s="6">
        <v>80.961047410000006</v>
      </c>
      <c r="AN1493" s="2">
        <v>16801</v>
      </c>
      <c r="AO1493" s="7">
        <f t="shared" si="328"/>
        <v>280.01666666666665</v>
      </c>
      <c r="AP1493" s="5">
        <f t="shared" si="324"/>
        <v>15.880862981161187</v>
      </c>
      <c r="AQ1493" s="6">
        <f t="shared" si="325"/>
        <v>143.8538994541868</v>
      </c>
      <c r="AR1493" s="2">
        <f t="shared" si="326"/>
        <v>-2.1301186875174403</v>
      </c>
      <c r="AS1493" s="2">
        <f t="shared" si="327"/>
        <v>-306.42587949961819</v>
      </c>
    </row>
    <row r="1494" spans="37:45" x14ac:dyDescent="0.3">
      <c r="AK1494" s="78">
        <v>45047.260416666664</v>
      </c>
      <c r="AL1494">
        <v>5.7839581461537899E-2</v>
      </c>
      <c r="AM1494" s="6">
        <v>82.276892649999994</v>
      </c>
      <c r="AN1494" s="2">
        <v>17042</v>
      </c>
      <c r="AO1494" s="7">
        <f t="shared" si="328"/>
        <v>284.03333333333336</v>
      </c>
      <c r="AP1494" s="5">
        <f t="shared" si="324"/>
        <v>16.428369121125481</v>
      </c>
      <c r="AQ1494" s="6">
        <f t="shared" si="325"/>
        <v>146.26155822609269</v>
      </c>
      <c r="AR1494" s="2">
        <f t="shared" si="326"/>
        <v>-2.1301186875174403</v>
      </c>
      <c r="AS1494" s="2">
        <f t="shared" si="327"/>
        <v>-311.55447844282025</v>
      </c>
    </row>
    <row r="1495" spans="37:45" x14ac:dyDescent="0.3">
      <c r="AK1495" s="78">
        <v>45047.270833333336</v>
      </c>
      <c r="AL1495">
        <v>5.5954758852804799E-2</v>
      </c>
      <c r="AM1495" s="6">
        <v>82.718647970000006</v>
      </c>
      <c r="AN1495" s="2">
        <v>16797</v>
      </c>
      <c r="AO1495" s="7">
        <f t="shared" si="328"/>
        <v>279.95</v>
      </c>
      <c r="AP1495" s="5">
        <f t="shared" si="324"/>
        <v>15.664534740842702</v>
      </c>
      <c r="AQ1495" s="6">
        <f t="shared" si="325"/>
        <v>142.89093978110154</v>
      </c>
      <c r="AR1495" s="2">
        <f t="shared" si="326"/>
        <v>-2.1301186875174403</v>
      </c>
      <c r="AS1495" s="2">
        <f t="shared" si="327"/>
        <v>-304.37466110465363</v>
      </c>
    </row>
    <row r="1496" spans="37:45" x14ac:dyDescent="0.3">
      <c r="AK1496" s="78">
        <v>45047.28125</v>
      </c>
      <c r="AL1496">
        <v>5.63088367268572E-2</v>
      </c>
      <c r="AM1496" s="6">
        <v>84.460540300000005</v>
      </c>
      <c r="AN1496" s="2">
        <v>17039</v>
      </c>
      <c r="AO1496" s="7">
        <f t="shared" si="328"/>
        <v>283.98333333333335</v>
      </c>
      <c r="AP1496" s="5">
        <f t="shared" si="324"/>
        <v>15.990771149815332</v>
      </c>
      <c r="AQ1496" s="6">
        <f t="shared" si="325"/>
        <v>144.34057856748302</v>
      </c>
      <c r="AR1496" s="2">
        <f t="shared" si="326"/>
        <v>-2.1301186875174403</v>
      </c>
      <c r="AS1496" s="2">
        <f t="shared" si="327"/>
        <v>-307.4625637736749</v>
      </c>
    </row>
    <row r="1497" spans="37:45" x14ac:dyDescent="0.3">
      <c r="AK1497" s="78">
        <v>45047.291666666664</v>
      </c>
      <c r="AL1497">
        <v>5.86436039788455E-2</v>
      </c>
      <c r="AM1497" s="6">
        <v>82.284398269999997</v>
      </c>
      <c r="AN1497" s="2">
        <v>16629</v>
      </c>
      <c r="AO1497" s="7">
        <f t="shared" si="328"/>
        <v>277.14999999999998</v>
      </c>
      <c r="AP1497" s="5">
        <f t="shared" si="324"/>
        <v>16.253074842737028</v>
      </c>
      <c r="AQ1497" s="6">
        <f t="shared" si="325"/>
        <v>145.49521957839681</v>
      </c>
      <c r="AR1497" s="2">
        <f t="shared" si="326"/>
        <v>-2.1301186875174403</v>
      </c>
      <c r="AS1497" s="2">
        <f t="shared" si="327"/>
        <v>-309.92208616839639</v>
      </c>
    </row>
    <row r="1498" spans="37:45" x14ac:dyDescent="0.3">
      <c r="AK1498" s="78">
        <v>45047.302083333336</v>
      </c>
      <c r="AL1498">
        <v>5.7723210305112002E-2</v>
      </c>
      <c r="AM1498" s="6">
        <v>82.284398269999997</v>
      </c>
      <c r="AN1498" s="2">
        <v>17032</v>
      </c>
      <c r="AO1498" s="7">
        <f t="shared" si="328"/>
        <v>283.86666666666667</v>
      </c>
      <c r="AP1498" s="5">
        <f t="shared" si="324"/>
        <v>16.385695298611129</v>
      </c>
      <c r="AQ1498" s="6">
        <f t="shared" si="325"/>
        <v>146.07538573367222</v>
      </c>
      <c r="AR1498" s="2">
        <f t="shared" si="326"/>
        <v>-2.1301186875174403</v>
      </c>
      <c r="AS1498" s="2">
        <f t="shared" si="327"/>
        <v>-311.15790893761368</v>
      </c>
    </row>
    <row r="1499" spans="37:45" x14ac:dyDescent="0.3">
      <c r="AK1499" s="78">
        <v>45047.3125</v>
      </c>
      <c r="AL1499">
        <v>5.3649040905256198E-2</v>
      </c>
      <c r="AM1499" s="6">
        <v>81.405228940000001</v>
      </c>
      <c r="AN1499" s="2">
        <v>17031</v>
      </c>
      <c r="AO1499" s="7">
        <f t="shared" si="328"/>
        <v>283.85000000000002</v>
      </c>
      <c r="AP1499" s="5">
        <f t="shared" si="324"/>
        <v>15.228280260956973</v>
      </c>
      <c r="AQ1499" s="6">
        <f t="shared" si="325"/>
        <v>140.92813975625992</v>
      </c>
      <c r="AR1499" s="2">
        <f t="shared" si="326"/>
        <v>-2.1301186875174403</v>
      </c>
      <c r="AS1499" s="2">
        <f t="shared" si="327"/>
        <v>-300.19366409187876</v>
      </c>
    </row>
    <row r="1500" spans="37:45" x14ac:dyDescent="0.3">
      <c r="AK1500" s="78">
        <v>45047.322916666664</v>
      </c>
      <c r="AL1500">
        <v>5.7068673315312297E-2</v>
      </c>
      <c r="AM1500" s="6">
        <v>82.284398269999997</v>
      </c>
      <c r="AN1500" s="2">
        <v>17228</v>
      </c>
      <c r="AO1500" s="7">
        <f t="shared" si="328"/>
        <v>287.13333333333333</v>
      </c>
      <c r="AP1500" s="5">
        <f t="shared" si="324"/>
        <v>16.38631839793667</v>
      </c>
      <c r="AQ1500" s="6">
        <f t="shared" si="325"/>
        <v>146.07810589923787</v>
      </c>
      <c r="AR1500" s="2">
        <f t="shared" si="326"/>
        <v>-2.1301186875174403</v>
      </c>
      <c r="AS1500" s="2">
        <f t="shared" si="327"/>
        <v>-311.1637032131182</v>
      </c>
    </row>
    <row r="1501" spans="37:45" x14ac:dyDescent="0.3">
      <c r="AK1501" s="78">
        <v>45047.333333333336</v>
      </c>
      <c r="AL1501">
        <v>5.4489234022291097E-2</v>
      </c>
      <c r="AM1501" s="6">
        <v>78.762941850000004</v>
      </c>
      <c r="AN1501" s="2">
        <v>17371</v>
      </c>
      <c r="AO1501" s="7">
        <f t="shared" si="328"/>
        <v>289.51666666666665</v>
      </c>
      <c r="AP1501" s="5">
        <f t="shared" si="324"/>
        <v>15.775541403353643</v>
      </c>
      <c r="AQ1501" s="6">
        <f t="shared" si="325"/>
        <v>143.38591467231709</v>
      </c>
      <c r="AR1501" s="2">
        <f t="shared" si="326"/>
        <v>-2.1301186875174403</v>
      </c>
      <c r="AS1501" s="2">
        <f t="shared" si="327"/>
        <v>-305.42901637028376</v>
      </c>
    </row>
    <row r="1502" spans="37:45" x14ac:dyDescent="0.3">
      <c r="AK1502" s="78">
        <v>45047.34375</v>
      </c>
      <c r="AL1502">
        <v>6.2561074195113101E-2</v>
      </c>
      <c r="AM1502" s="6">
        <v>80.968580889999998</v>
      </c>
      <c r="AN1502" s="2">
        <v>17049</v>
      </c>
      <c r="AO1502" s="7">
        <f t="shared" si="328"/>
        <v>284.14999999999998</v>
      </c>
      <c r="AP1502" s="5">
        <f t="shared" si="324"/>
        <v>17.776729232541385</v>
      </c>
      <c r="AQ1502" s="6">
        <f t="shared" si="325"/>
        <v>152.02186190448506</v>
      </c>
      <c r="AR1502" s="2">
        <f t="shared" si="326"/>
        <v>-2.1301186875174403</v>
      </c>
      <c r="AS1502" s="2">
        <f t="shared" si="327"/>
        <v>-323.82460895393928</v>
      </c>
    </row>
    <row r="1503" spans="37:45" x14ac:dyDescent="0.3">
      <c r="AK1503" s="78">
        <v>45047.354166666664</v>
      </c>
      <c r="AL1503">
        <v>5.3936902945492103E-2</v>
      </c>
      <c r="AM1503" s="6">
        <v>78.762941850000004</v>
      </c>
      <c r="AN1503" s="2">
        <v>17224</v>
      </c>
      <c r="AO1503" s="7">
        <f t="shared" si="328"/>
        <v>287.06666666666666</v>
      </c>
      <c r="AP1503" s="5">
        <f t="shared" si="324"/>
        <v>15.483486938885934</v>
      </c>
      <c r="AQ1503" s="6">
        <f t="shared" si="325"/>
        <v>142.07979780431768</v>
      </c>
      <c r="AR1503" s="2">
        <f t="shared" si="326"/>
        <v>-2.1301186875174403</v>
      </c>
      <c r="AS1503" s="2">
        <f t="shared" si="327"/>
        <v>-302.64683242167649</v>
      </c>
    </row>
    <row r="1504" spans="37:45" x14ac:dyDescent="0.3">
      <c r="AK1504" s="78">
        <v>45047.364583333336</v>
      </c>
      <c r="AL1504">
        <v>5.6140641655109201E-2</v>
      </c>
      <c r="AM1504" s="6">
        <v>78.762941850000004</v>
      </c>
      <c r="AN1504" s="2">
        <v>16917</v>
      </c>
      <c r="AO1504" s="7">
        <f t="shared" si="328"/>
        <v>281.95</v>
      </c>
      <c r="AP1504" s="5">
        <f t="shared" si="324"/>
        <v>15.828853914658039</v>
      </c>
      <c r="AQ1504" s="6">
        <f t="shared" si="325"/>
        <v>143.62300151929472</v>
      </c>
      <c r="AR1504" s="2">
        <f t="shared" si="326"/>
        <v>-2.1301186875174403</v>
      </c>
      <c r="AS1504" s="2">
        <f t="shared" si="327"/>
        <v>-305.93403949359538</v>
      </c>
    </row>
    <row r="1505" spans="37:45" x14ac:dyDescent="0.3">
      <c r="AK1505" s="78">
        <v>45047.375</v>
      </c>
      <c r="AL1505">
        <v>5.9411993802767397E-2</v>
      </c>
      <c r="AM1505" s="6">
        <v>80.086877509999994</v>
      </c>
      <c r="AN1505" s="2">
        <v>17215</v>
      </c>
      <c r="AO1505" s="7">
        <f t="shared" si="328"/>
        <v>286.91666666666669</v>
      </c>
      <c r="AP1505" s="5">
        <f t="shared" si="324"/>
        <v>17.046291221910682</v>
      </c>
      <c r="AQ1505" s="6">
        <f t="shared" si="325"/>
        <v>148.93019445271398</v>
      </c>
      <c r="AR1505" s="2">
        <f t="shared" si="326"/>
        <v>-2.1301186875174403</v>
      </c>
      <c r="AS1505" s="2">
        <f t="shared" si="327"/>
        <v>-317.23899033933225</v>
      </c>
    </row>
    <row r="1506" spans="37:45" x14ac:dyDescent="0.3">
      <c r="AK1506" s="78">
        <v>45047.385416666664</v>
      </c>
      <c r="AL1506">
        <v>5.81349985014935E-2</v>
      </c>
      <c r="AM1506" s="6">
        <v>75.208694050000005</v>
      </c>
      <c r="AN1506" s="2">
        <v>16871</v>
      </c>
      <c r="AO1506" s="7">
        <f t="shared" si="328"/>
        <v>281.18333333333334</v>
      </c>
      <c r="AP1506" s="5">
        <f t="shared" si="324"/>
        <v>16.346592661978281</v>
      </c>
      <c r="AQ1506" s="6">
        <f t="shared" si="325"/>
        <v>145.90457585382856</v>
      </c>
      <c r="AR1506" s="2">
        <f t="shared" si="326"/>
        <v>-2.1301186875174403</v>
      </c>
      <c r="AS1506" s="2">
        <f t="shared" si="327"/>
        <v>-310.79406362054613</v>
      </c>
    </row>
    <row r="1507" spans="37:45" x14ac:dyDescent="0.3">
      <c r="AK1507" s="78">
        <v>45047.395833333336</v>
      </c>
      <c r="AL1507">
        <v>5.6890714477220397E-2</v>
      </c>
      <c r="AM1507" s="6">
        <v>76.544179459999995</v>
      </c>
      <c r="AN1507" s="2">
        <v>16677</v>
      </c>
      <c r="AO1507" s="7">
        <f t="shared" si="328"/>
        <v>277.95</v>
      </c>
      <c r="AP1507" s="5">
        <f t="shared" si="324"/>
        <v>15.812774088943408</v>
      </c>
      <c r="AQ1507" s="6">
        <f t="shared" si="325"/>
        <v>143.55153566673147</v>
      </c>
      <c r="AR1507" s="2">
        <f t="shared" si="326"/>
        <v>-2.1301186875174403</v>
      </c>
      <c r="AS1507" s="2">
        <f t="shared" si="327"/>
        <v>-305.78180874553107</v>
      </c>
    </row>
    <row r="1508" spans="37:45" x14ac:dyDescent="0.3">
      <c r="AK1508" s="78">
        <v>45047.40625</v>
      </c>
      <c r="AL1508">
        <v>5.8779478962316702E-2</v>
      </c>
      <c r="AM1508" s="6">
        <v>76.986061320000005</v>
      </c>
      <c r="AN1508" s="2">
        <v>16805</v>
      </c>
      <c r="AO1508" s="7">
        <f t="shared" si="328"/>
        <v>280.08333333333331</v>
      </c>
      <c r="AP1508" s="5">
        <f t="shared" si="324"/>
        <v>16.463152399362201</v>
      </c>
      <c r="AQ1508" s="6">
        <f t="shared" si="325"/>
        <v>146.41312427517809</v>
      </c>
      <c r="AR1508" s="2">
        <f t="shared" si="326"/>
        <v>-2.1301186875174403</v>
      </c>
      <c r="AS1508" s="2">
        <f t="shared" si="327"/>
        <v>-311.87733211637021</v>
      </c>
    </row>
    <row r="1509" spans="37:45" x14ac:dyDescent="0.3">
      <c r="AK1509" s="78">
        <v>45047.416666666664</v>
      </c>
      <c r="AL1509">
        <v>5.7681405820359501E-2</v>
      </c>
      <c r="AM1509" s="6">
        <v>77.875916610000004</v>
      </c>
      <c r="AN1509" s="2">
        <v>16132</v>
      </c>
      <c r="AO1509" s="7">
        <f t="shared" si="328"/>
        <v>268.86666666666667</v>
      </c>
      <c r="AP1509" s="5">
        <f t="shared" si="324"/>
        <v>15.508607311567324</v>
      </c>
      <c r="AQ1509" s="6">
        <f t="shared" si="325"/>
        <v>142.1926318270535</v>
      </c>
      <c r="AR1509" s="2">
        <f t="shared" si="326"/>
        <v>-2.1301186875174403</v>
      </c>
      <c r="AS1509" s="2">
        <f t="shared" si="327"/>
        <v>-302.88718228209382</v>
      </c>
    </row>
    <row r="1510" spans="37:45" x14ac:dyDescent="0.3">
      <c r="AK1510" s="78">
        <v>45047.427083333336</v>
      </c>
      <c r="AL1510">
        <v>5.63501282021402E-2</v>
      </c>
      <c r="AM1510" s="6">
        <v>75.652056590000001</v>
      </c>
      <c r="AN1510" s="2">
        <v>16436</v>
      </c>
      <c r="AO1510" s="7">
        <f t="shared" si="328"/>
        <v>273.93333333333334</v>
      </c>
      <c r="AP1510" s="5">
        <f t="shared" si="324"/>
        <v>15.436178452172939</v>
      </c>
      <c r="AQ1510" s="6">
        <f t="shared" si="325"/>
        <v>141.86704677040228</v>
      </c>
      <c r="AR1510" s="2">
        <f t="shared" si="326"/>
        <v>-2.1301186875174403</v>
      </c>
      <c r="AS1510" s="2">
        <f t="shared" si="327"/>
        <v>-302.19364746854461</v>
      </c>
    </row>
    <row r="1511" spans="37:45" x14ac:dyDescent="0.3">
      <c r="AK1511" s="78">
        <v>45047.4375</v>
      </c>
      <c r="AL1511">
        <v>5.7590909314479598E-2</v>
      </c>
      <c r="AM1511" s="6">
        <v>76.986061320000005</v>
      </c>
      <c r="AN1511" s="2">
        <v>16692</v>
      </c>
      <c r="AO1511" s="7">
        <f t="shared" si="328"/>
        <v>278.2</v>
      </c>
      <c r="AP1511" s="5">
        <f t="shared" si="324"/>
        <v>16.021790971288222</v>
      </c>
      <c r="AQ1511" s="6">
        <f t="shared" si="325"/>
        <v>144.47762686102624</v>
      </c>
      <c r="AR1511" s="2">
        <f t="shared" si="326"/>
        <v>-2.1301186875174403</v>
      </c>
      <c r="AS1511" s="2">
        <f t="shared" si="327"/>
        <v>-307.75449290484369</v>
      </c>
    </row>
    <row r="1512" spans="37:45" x14ac:dyDescent="0.3">
      <c r="AK1512" s="78">
        <v>45047.447916666664</v>
      </c>
      <c r="AL1512">
        <v>5.5397659359203398E-2</v>
      </c>
      <c r="AM1512" s="6">
        <v>80.523852189999999</v>
      </c>
      <c r="AN1512" s="2">
        <v>16728</v>
      </c>
      <c r="AO1512" s="7">
        <f t="shared" si="328"/>
        <v>278.8</v>
      </c>
      <c r="AP1512" s="5">
        <f t="shared" si="324"/>
        <v>15.444867429345909</v>
      </c>
      <c r="AQ1512" s="6">
        <f t="shared" si="325"/>
        <v>141.90614689454387</v>
      </c>
      <c r="AR1512" s="2">
        <f t="shared" si="326"/>
        <v>-2.1301186875174403</v>
      </c>
      <c r="AS1512" s="2">
        <f t="shared" si="327"/>
        <v>-302.27693537366287</v>
      </c>
    </row>
    <row r="1513" spans="37:45" x14ac:dyDescent="0.3">
      <c r="AK1513" s="78">
        <v>45047.458333333336</v>
      </c>
      <c r="AL1513">
        <v>5.7865014255255899E-2</v>
      </c>
      <c r="AM1513" s="6">
        <v>75.652056590000001</v>
      </c>
      <c r="AN1513" s="2">
        <v>16232</v>
      </c>
      <c r="AO1513" s="7">
        <f t="shared" si="328"/>
        <v>270.53333333333336</v>
      </c>
      <c r="AP1513" s="5">
        <f t="shared" si="324"/>
        <v>15.65441518985523</v>
      </c>
      <c r="AQ1513" s="6">
        <f t="shared" si="325"/>
        <v>142.84572815348199</v>
      </c>
      <c r="AR1513" s="2">
        <f t="shared" si="326"/>
        <v>-2.1301186875174403</v>
      </c>
      <c r="AS1513" s="2">
        <f t="shared" si="327"/>
        <v>-304.27835497176812</v>
      </c>
    </row>
    <row r="1514" spans="37:45" x14ac:dyDescent="0.3">
      <c r="AK1514" s="78">
        <v>45047.46875</v>
      </c>
      <c r="AL1514">
        <v>5.8989781477211602E-2</v>
      </c>
      <c r="AM1514" s="6">
        <v>76.986061320000005</v>
      </c>
      <c r="AN1514" s="2">
        <v>16005</v>
      </c>
      <c r="AO1514" s="7">
        <f t="shared" si="328"/>
        <v>266.75</v>
      </c>
      <c r="AP1514" s="5">
        <f t="shared" si="324"/>
        <v>15.735524209046195</v>
      </c>
      <c r="AQ1514" s="6">
        <f t="shared" si="325"/>
        <v>143.20768487440162</v>
      </c>
      <c r="AR1514" s="2">
        <f t="shared" si="326"/>
        <v>-2.1301186875174403</v>
      </c>
      <c r="AS1514" s="2">
        <f t="shared" si="327"/>
        <v>-305.04936574707159</v>
      </c>
    </row>
    <row r="1515" spans="37:45" x14ac:dyDescent="0.3">
      <c r="AK1515" s="78">
        <v>45047.479166666664</v>
      </c>
      <c r="AL1515">
        <v>5.6506680199580599E-2</v>
      </c>
      <c r="AM1515" s="6">
        <v>76.986061320000005</v>
      </c>
      <c r="AN1515" s="2">
        <v>16730</v>
      </c>
      <c r="AO1515" s="7">
        <f t="shared" si="328"/>
        <v>278.83333333333331</v>
      </c>
      <c r="AP1515" s="5">
        <f t="shared" si="324"/>
        <v>15.755945995649723</v>
      </c>
      <c r="AQ1515" s="6">
        <f t="shared" si="325"/>
        <v>143.29866891191497</v>
      </c>
      <c r="AR1515" s="2">
        <f t="shared" si="326"/>
        <v>-2.1301186875174403</v>
      </c>
      <c r="AS1515" s="2">
        <f t="shared" si="327"/>
        <v>-305.24317254564454</v>
      </c>
    </row>
    <row r="1516" spans="37:45" x14ac:dyDescent="0.3">
      <c r="AK1516" s="78">
        <v>45047.489583333336</v>
      </c>
      <c r="AL1516">
        <v>5.72855989791261E-2</v>
      </c>
      <c r="AM1516" s="6">
        <v>72.970159429999995</v>
      </c>
      <c r="AN1516" s="2">
        <v>16369</v>
      </c>
      <c r="AO1516" s="7">
        <f t="shared" si="328"/>
        <v>272.81666666666666</v>
      </c>
      <c r="AP1516" s="5">
        <f t="shared" si="324"/>
        <v>15.628466161488586</v>
      </c>
      <c r="AQ1516" s="6">
        <f t="shared" si="325"/>
        <v>142.72972617152959</v>
      </c>
      <c r="AR1516" s="2">
        <f t="shared" si="326"/>
        <v>-2.1301186875174403</v>
      </c>
      <c r="AS1516" s="2">
        <f t="shared" si="327"/>
        <v>-304.03125698222226</v>
      </c>
    </row>
    <row r="1517" spans="37:45" x14ac:dyDescent="0.3">
      <c r="AK1517" s="78">
        <v>45047.5</v>
      </c>
      <c r="AL1517">
        <v>5.9253663868503399E-2</v>
      </c>
      <c r="AM1517" s="6">
        <v>77.875916610000004</v>
      </c>
      <c r="AN1517" s="2">
        <v>15717</v>
      </c>
      <c r="AO1517" s="7">
        <f t="shared" si="328"/>
        <v>261.95</v>
      </c>
      <c r="AP1517" s="5">
        <f t="shared" si="324"/>
        <v>15.521497250354464</v>
      </c>
      <c r="AQ1517" s="6">
        <f t="shared" si="325"/>
        <v>142.25049379244379</v>
      </c>
      <c r="AR1517" s="2">
        <f t="shared" si="326"/>
        <v>-2.1301186875174403</v>
      </c>
      <c r="AS1517" s="2">
        <f t="shared" si="327"/>
        <v>-303.01043513586814</v>
      </c>
    </row>
    <row r="1518" spans="37:45" x14ac:dyDescent="0.3">
      <c r="AK1518" s="78">
        <v>45047.510416666664</v>
      </c>
      <c r="AL1518">
        <v>5.7731396824689203E-2</v>
      </c>
      <c r="AM1518" s="6">
        <v>79.202259850000004</v>
      </c>
      <c r="AN1518" s="2">
        <v>15506</v>
      </c>
      <c r="AO1518" s="7">
        <f t="shared" si="328"/>
        <v>258.43333333333334</v>
      </c>
      <c r="AP1518" s="5">
        <f t="shared" si="324"/>
        <v>14.919717319393847</v>
      </c>
      <c r="AQ1518" s="6">
        <f t="shared" si="325"/>
        <v>139.52246995289241</v>
      </c>
      <c r="AR1518" s="2">
        <f t="shared" si="326"/>
        <v>-2.1301186875174403</v>
      </c>
      <c r="AS1518" s="2">
        <f t="shared" si="327"/>
        <v>-297.19942057524668</v>
      </c>
    </row>
    <row r="1519" spans="37:45" x14ac:dyDescent="0.3">
      <c r="AK1519" s="78">
        <v>45047.520833333336</v>
      </c>
      <c r="AL1519">
        <v>6.0825299186746902E-2</v>
      </c>
      <c r="AM1519" s="6">
        <v>76.544179459999995</v>
      </c>
      <c r="AN1519" s="2">
        <v>15806</v>
      </c>
      <c r="AO1519" s="7">
        <f t="shared" si="328"/>
        <v>263.43333333333334</v>
      </c>
      <c r="AP1519" s="5">
        <f t="shared" si="324"/>
        <v>16.023411315762026</v>
      </c>
      <c r="AQ1519" s="6">
        <f t="shared" si="325"/>
        <v>144.48478196234893</v>
      </c>
      <c r="AR1519" s="2">
        <f t="shared" si="326"/>
        <v>-2.1301186875174403</v>
      </c>
      <c r="AS1519" s="2">
        <f t="shared" si="327"/>
        <v>-307.76973411988223</v>
      </c>
    </row>
    <row r="1520" spans="37:45" x14ac:dyDescent="0.3">
      <c r="AK1520" s="78">
        <v>45047.53125</v>
      </c>
      <c r="AL1520">
        <v>5.9969496914068901E-2</v>
      </c>
      <c r="AM1520" s="6">
        <v>78.323104580000006</v>
      </c>
      <c r="AN1520" s="2">
        <v>15385</v>
      </c>
      <c r="AO1520" s="7">
        <f t="shared" si="328"/>
        <v>256.41666666666669</v>
      </c>
      <c r="AP1520" s="5">
        <f t="shared" si="324"/>
        <v>15.377178500382502</v>
      </c>
      <c r="AQ1520" s="6">
        <f t="shared" si="325"/>
        <v>141.60125125723181</v>
      </c>
      <c r="AR1520" s="2">
        <f t="shared" si="326"/>
        <v>-2.1301186875174403</v>
      </c>
      <c r="AS1520" s="2">
        <f t="shared" si="327"/>
        <v>-301.62747147888189</v>
      </c>
    </row>
    <row r="1521" spans="37:45" x14ac:dyDescent="0.3">
      <c r="AK1521" s="78">
        <v>45047.541666666664</v>
      </c>
      <c r="AL1521">
        <v>6.1184366981335198E-2</v>
      </c>
      <c r="AM1521" s="6">
        <v>77.875916610000004</v>
      </c>
      <c r="AN1521" s="2">
        <v>15289</v>
      </c>
      <c r="AO1521" s="7">
        <f t="shared" si="328"/>
        <v>254.81666666666666</v>
      </c>
      <c r="AP1521" s="5">
        <f t="shared" si="324"/>
        <v>15.590796446293897</v>
      </c>
      <c r="AQ1521" s="6">
        <f t="shared" si="325"/>
        <v>142.56115323675016</v>
      </c>
      <c r="AR1521" s="2">
        <f t="shared" si="326"/>
        <v>-2.1301186875174403</v>
      </c>
      <c r="AS1521" s="2">
        <f t="shared" si="327"/>
        <v>-303.6721766236389</v>
      </c>
    </row>
    <row r="1522" spans="37:45" x14ac:dyDescent="0.3">
      <c r="AK1522" s="78">
        <v>45047.552083333336</v>
      </c>
      <c r="AL1522">
        <v>6.5878564702496395E-2</v>
      </c>
      <c r="AM1522" s="6">
        <v>75.659696060000002</v>
      </c>
      <c r="AN1522" s="2">
        <v>14538</v>
      </c>
      <c r="AO1522" s="7">
        <f t="shared" si="328"/>
        <v>242.3</v>
      </c>
      <c r="AP1522" s="5">
        <f t="shared" si="324"/>
        <v>15.962376227414877</v>
      </c>
      <c r="AQ1522" s="6">
        <f t="shared" si="325"/>
        <v>144.21500832817128</v>
      </c>
      <c r="AR1522" s="2">
        <f t="shared" si="326"/>
        <v>-2.1301186875174403</v>
      </c>
      <c r="AS1522" s="2">
        <f t="shared" si="327"/>
        <v>-307.19508426032093</v>
      </c>
    </row>
    <row r="1523" spans="37:45" x14ac:dyDescent="0.3">
      <c r="AK1523" s="78">
        <v>45047.5625</v>
      </c>
      <c r="AL1523">
        <v>6.2223611994809601E-2</v>
      </c>
      <c r="AM1523" s="6">
        <v>78.323104580000006</v>
      </c>
      <c r="AN1523" s="2">
        <v>14789</v>
      </c>
      <c r="AO1523" s="7">
        <f t="shared" si="328"/>
        <v>246.48333333333332</v>
      </c>
      <c r="AP1523" s="5">
        <f t="shared" si="324"/>
        <v>15.337083296520653</v>
      </c>
      <c r="AQ1523" s="6">
        <f t="shared" si="325"/>
        <v>141.42032475767908</v>
      </c>
      <c r="AR1523" s="2">
        <f t="shared" si="326"/>
        <v>-2.1301186875174403</v>
      </c>
      <c r="AS1523" s="2">
        <f t="shared" si="327"/>
        <v>-301.24207656111753</v>
      </c>
    </row>
    <row r="1524" spans="37:45" x14ac:dyDescent="0.3">
      <c r="AK1524" s="78">
        <v>45047.572916666664</v>
      </c>
      <c r="AL1524">
        <v>6.1660744790547103E-2</v>
      </c>
      <c r="AM1524" s="6">
        <v>76.101800600000004</v>
      </c>
      <c r="AN1524" s="2">
        <v>14477</v>
      </c>
      <c r="AO1524" s="7">
        <f t="shared" si="328"/>
        <v>241.28333333333333</v>
      </c>
      <c r="AP1524" s="5">
        <f t="shared" si="324"/>
        <v>14.877710038879174</v>
      </c>
      <c r="AQ1524" s="6">
        <f t="shared" si="325"/>
        <v>139.32996116697109</v>
      </c>
      <c r="AR1524" s="2">
        <f t="shared" si="326"/>
        <v>-2.1301186875174403</v>
      </c>
      <c r="AS1524" s="2">
        <f t="shared" si="327"/>
        <v>-296.7893540128444</v>
      </c>
    </row>
    <row r="1525" spans="37:45" x14ac:dyDescent="0.3">
      <c r="AK1525" s="78">
        <v>45047.583333333336</v>
      </c>
      <c r="AL1525">
        <v>6.5778639247241602E-2</v>
      </c>
      <c r="AM1525" s="6">
        <v>79.202259850000004</v>
      </c>
      <c r="AN1525" s="2">
        <v>14413</v>
      </c>
      <c r="AO1525" s="7">
        <f t="shared" si="328"/>
        <v>240.21666666666667</v>
      </c>
      <c r="AP1525" s="5">
        <f t="shared" si="324"/>
        <v>15.801125457841554</v>
      </c>
      <c r="AQ1525" s="6">
        <f t="shared" si="325"/>
        <v>143.49974083525382</v>
      </c>
      <c r="AR1525" s="2">
        <f t="shared" si="326"/>
        <v>-2.1301186875174403</v>
      </c>
      <c r="AS1525" s="2">
        <f t="shared" si="327"/>
        <v>-305.67147960708371</v>
      </c>
    </row>
    <row r="1526" spans="37:45" x14ac:dyDescent="0.3">
      <c r="AK1526" s="78">
        <v>45047.59375</v>
      </c>
      <c r="AL1526">
        <v>6.6645184167713895E-2</v>
      </c>
      <c r="AM1526" s="6">
        <v>80.523852189999999</v>
      </c>
      <c r="AN1526" s="2">
        <v>14265</v>
      </c>
      <c r="AO1526" s="7">
        <f t="shared" si="328"/>
        <v>237.75</v>
      </c>
      <c r="AP1526" s="5">
        <f t="shared" si="324"/>
        <v>15.844892535873978</v>
      </c>
      <c r="AQ1526" s="6">
        <f t="shared" si="325"/>
        <v>143.69424734538694</v>
      </c>
      <c r="AR1526" s="2">
        <f t="shared" si="326"/>
        <v>-2.1301186875174403</v>
      </c>
      <c r="AS1526" s="2">
        <f t="shared" si="327"/>
        <v>-306.08580155916206</v>
      </c>
    </row>
    <row r="1527" spans="37:45" x14ac:dyDescent="0.3">
      <c r="AK1527" s="78">
        <v>45047.604166666664</v>
      </c>
      <c r="AL1527">
        <v>6.8058943486363696E-2</v>
      </c>
      <c r="AM1527" s="6">
        <v>80.523852189999999</v>
      </c>
      <c r="AN1527" s="2">
        <v>14008</v>
      </c>
      <c r="AO1527" s="7">
        <f t="shared" si="328"/>
        <v>233.46666666666667</v>
      </c>
      <c r="AP1527" s="5">
        <f t="shared" si="324"/>
        <v>15.889494672616378</v>
      </c>
      <c r="AQ1527" s="6">
        <f t="shared" si="325"/>
        <v>143.89218310407216</v>
      </c>
      <c r="AR1527" s="2">
        <f t="shared" si="326"/>
        <v>-2.1301186875174403</v>
      </c>
      <c r="AS1527" s="2">
        <f t="shared" si="327"/>
        <v>-306.50742821766539</v>
      </c>
    </row>
    <row r="1528" spans="37:45" x14ac:dyDescent="0.3">
      <c r="AK1528" s="78">
        <v>45047.614583333336</v>
      </c>
      <c r="AL1528">
        <v>6.7658920280888699E-2</v>
      </c>
      <c r="AM1528" s="6">
        <v>82.718647970000006</v>
      </c>
      <c r="AN1528" s="2">
        <v>14003</v>
      </c>
      <c r="AO1528" s="7">
        <f t="shared" si="328"/>
        <v>233.38333333333333</v>
      </c>
      <c r="AP1528" s="5">
        <f t="shared" si="324"/>
        <v>15.790464344888074</v>
      </c>
      <c r="AQ1528" s="6">
        <f t="shared" si="325"/>
        <v>143.45231985497395</v>
      </c>
      <c r="AR1528" s="2">
        <f t="shared" si="326"/>
        <v>-2.1301186875174403</v>
      </c>
      <c r="AS1528" s="2">
        <f t="shared" si="327"/>
        <v>-305.57046729080918</v>
      </c>
    </row>
    <row r="1529" spans="37:45" x14ac:dyDescent="0.3">
      <c r="AK1529" s="78">
        <v>45047.625</v>
      </c>
      <c r="AL1529">
        <v>6.4310912918414995E-2</v>
      </c>
      <c r="AM1529" s="6">
        <v>81.405228940000001</v>
      </c>
      <c r="AN1529" s="2">
        <v>13736</v>
      </c>
      <c r="AO1529" s="7">
        <f t="shared" si="328"/>
        <v>228.93333333333334</v>
      </c>
      <c r="AP1529" s="5">
        <f t="shared" si="324"/>
        <v>14.722911664122472</v>
      </c>
      <c r="AQ1529" s="6">
        <f t="shared" si="325"/>
        <v>138.61815391075785</v>
      </c>
      <c r="AR1529" s="2">
        <f t="shared" si="326"/>
        <v>-2.1301186875174403</v>
      </c>
      <c r="AS1529" s="2">
        <f t="shared" si="327"/>
        <v>-295.27312007447404</v>
      </c>
    </row>
    <row r="1530" spans="37:45" x14ac:dyDescent="0.3">
      <c r="AK1530" s="78">
        <v>45047.635416666664</v>
      </c>
      <c r="AL1530">
        <v>6.8229137082090302E-2</v>
      </c>
      <c r="AM1530" s="6">
        <v>84.027783200000002</v>
      </c>
      <c r="AN1530" s="2">
        <v>13570</v>
      </c>
      <c r="AO1530" s="7">
        <f t="shared" si="328"/>
        <v>226.16666666666666</v>
      </c>
      <c r="AP1530" s="5">
        <f t="shared" si="324"/>
        <v>15.431156503399423</v>
      </c>
      <c r="AQ1530" s="6">
        <f t="shared" si="325"/>
        <v>141.84444303707815</v>
      </c>
      <c r="AR1530" s="2">
        <f t="shared" si="326"/>
        <v>-2.1301186875174403</v>
      </c>
      <c r="AS1530" s="2">
        <f t="shared" si="327"/>
        <v>-302.14549883378322</v>
      </c>
    </row>
    <row r="1531" spans="37:45" x14ac:dyDescent="0.3">
      <c r="AK1531" s="78">
        <v>45047.645833333336</v>
      </c>
      <c r="AL1531">
        <v>6.9488697753175802E-2</v>
      </c>
      <c r="AM1531" s="6">
        <v>82.718647970000006</v>
      </c>
      <c r="AN1531" s="2">
        <v>13705</v>
      </c>
      <c r="AO1531" s="7">
        <f t="shared" si="328"/>
        <v>228.41666666666666</v>
      </c>
      <c r="AP1531" s="5">
        <f t="shared" si="324"/>
        <v>15.872376711787906</v>
      </c>
      <c r="AQ1531" s="6">
        <f t="shared" si="325"/>
        <v>143.81625043359057</v>
      </c>
      <c r="AR1531" s="2">
        <f t="shared" si="326"/>
        <v>-2.1301186875174403</v>
      </c>
      <c r="AS1531" s="2">
        <f t="shared" si="327"/>
        <v>-306.34568261727946</v>
      </c>
    </row>
    <row r="1532" spans="37:45" x14ac:dyDescent="0.3">
      <c r="AK1532" s="78">
        <v>45047.65625</v>
      </c>
      <c r="AL1532">
        <v>6.8925837892379604E-2</v>
      </c>
      <c r="AM1532" s="6">
        <v>87.494480339999996</v>
      </c>
      <c r="AN1532" s="2">
        <v>13089</v>
      </c>
      <c r="AO1532" s="7">
        <f t="shared" si="328"/>
        <v>218.15</v>
      </c>
      <c r="AP1532" s="5">
        <f t="shared" si="324"/>
        <v>15.036171536222611</v>
      </c>
      <c r="AQ1532" s="6">
        <f t="shared" si="325"/>
        <v>140.05470870668657</v>
      </c>
      <c r="AR1532" s="2">
        <f t="shared" si="326"/>
        <v>-2.1301186875174403</v>
      </c>
      <c r="AS1532" s="2">
        <f t="shared" si="327"/>
        <v>-298.3331522909246</v>
      </c>
    </row>
    <row r="1533" spans="37:45" x14ac:dyDescent="0.3">
      <c r="AK1533" s="78">
        <v>45047.708333333336</v>
      </c>
      <c r="AL1533">
        <v>6.8403121913964401E-2</v>
      </c>
      <c r="AM1533" s="6">
        <v>85.323607859999996</v>
      </c>
      <c r="AN1533" s="2">
        <v>12687</v>
      </c>
      <c r="AO1533" s="7">
        <f t="shared" si="328"/>
        <v>211.45</v>
      </c>
      <c r="AP1533" s="5">
        <f t="shared" si="324"/>
        <v>14.463840128707773</v>
      </c>
      <c r="AQ1533" s="6">
        <f t="shared" si="325"/>
        <v>137.41827035300793</v>
      </c>
      <c r="AR1533" s="2">
        <f t="shared" si="326"/>
        <v>-2.1301186875174403</v>
      </c>
      <c r="AS1533" s="2">
        <f t="shared" si="327"/>
        <v>-292.71722568526604</v>
      </c>
    </row>
    <row r="1534" spans="37:45" x14ac:dyDescent="0.3">
      <c r="AK1534" s="78">
        <v>45047.71875</v>
      </c>
      <c r="AL1534">
        <v>7.07962066888186E-2</v>
      </c>
      <c r="AM1534" s="6">
        <v>84.020316870000002</v>
      </c>
      <c r="AN1534" s="2">
        <v>12600</v>
      </c>
      <c r="AO1534" s="7">
        <f t="shared" si="328"/>
        <v>210</v>
      </c>
      <c r="AP1534" s="5">
        <f t="shared" si="324"/>
        <v>14.867203404651907</v>
      </c>
      <c r="AQ1534" s="6">
        <f t="shared" si="325"/>
        <v>139.28176856022307</v>
      </c>
      <c r="AR1534" s="2">
        <f t="shared" si="326"/>
        <v>-2.1301186875174403</v>
      </c>
      <c r="AS1534" s="2">
        <f t="shared" si="327"/>
        <v>-296.68669804061022</v>
      </c>
    </row>
    <row r="1535" spans="37:45" x14ac:dyDescent="0.3">
      <c r="AK1535" s="78">
        <v>45047.729166666664</v>
      </c>
      <c r="AL1535">
        <v>6.8374891970531995E-2</v>
      </c>
      <c r="AM1535" s="6">
        <v>85.323607859999996</v>
      </c>
      <c r="AN1535" s="2">
        <v>12435</v>
      </c>
      <c r="AO1535" s="7">
        <f t="shared" si="328"/>
        <v>207.25</v>
      </c>
      <c r="AP1535" s="5">
        <f t="shared" si="324"/>
        <v>14.170696360892755</v>
      </c>
      <c r="AQ1535" s="6">
        <f t="shared" si="325"/>
        <v>136.04727883310312</v>
      </c>
      <c r="AR1535" s="2">
        <f t="shared" si="326"/>
        <v>-2.1301186875174403</v>
      </c>
      <c r="AS1535" s="2">
        <f t="shared" si="327"/>
        <v>-289.79685102828887</v>
      </c>
    </row>
    <row r="1536" spans="37:45" x14ac:dyDescent="0.3">
      <c r="AK1536" s="78">
        <v>45047.739583333336</v>
      </c>
      <c r="AL1536">
        <v>6.8240443945303403E-2</v>
      </c>
      <c r="AM1536" s="6">
        <v>85.323607859999996</v>
      </c>
      <c r="AN1536" s="2">
        <v>12754</v>
      </c>
      <c r="AO1536" s="7">
        <f t="shared" si="328"/>
        <v>212.56666666666666</v>
      </c>
      <c r="AP1536" s="5">
        <f t="shared" si="324"/>
        <v>14.50564370130666</v>
      </c>
      <c r="AQ1536" s="6">
        <f t="shared" si="325"/>
        <v>137.61262031057174</v>
      </c>
      <c r="AR1536" s="2">
        <f t="shared" si="326"/>
        <v>-2.1301186875174403</v>
      </c>
      <c r="AS1536" s="2">
        <f t="shared" si="327"/>
        <v>-293.13121416179092</v>
      </c>
    </row>
    <row r="1537" spans="37:45" x14ac:dyDescent="0.3">
      <c r="AK1537" s="78">
        <v>45047.75</v>
      </c>
      <c r="AL1537">
        <v>6.9518729318144595E-2</v>
      </c>
      <c r="AM1537" s="6">
        <v>86.192545629999998</v>
      </c>
      <c r="AN1537" s="2">
        <v>12799</v>
      </c>
      <c r="AO1537" s="7">
        <f t="shared" si="328"/>
        <v>213.31666666666666</v>
      </c>
      <c r="AP1537" s="5">
        <f t="shared" si="324"/>
        <v>14.829503609048878</v>
      </c>
      <c r="AQ1537" s="6">
        <f t="shared" si="325"/>
        <v>139.10870112948453</v>
      </c>
      <c r="AR1537" s="2">
        <f t="shared" si="326"/>
        <v>-2.1301186875174403</v>
      </c>
      <c r="AS1537" s="2">
        <f t="shared" si="327"/>
        <v>-296.31804387219347</v>
      </c>
    </row>
    <row r="1538" spans="37:45" x14ac:dyDescent="0.3">
      <c r="AK1538" s="78">
        <v>45047.760416666664</v>
      </c>
      <c r="AL1538">
        <v>6.7698503679805899E-2</v>
      </c>
      <c r="AM1538" s="6">
        <v>82.711152870000006</v>
      </c>
      <c r="AN1538" s="2">
        <v>12517</v>
      </c>
      <c r="AO1538" s="7">
        <f t="shared" si="328"/>
        <v>208.61666666666667</v>
      </c>
      <c r="AP1538" s="5">
        <f t="shared" si="324"/>
        <v>14.123036176002174</v>
      </c>
      <c r="AQ1538" s="6">
        <f t="shared" si="325"/>
        <v>135.82301581983432</v>
      </c>
      <c r="AR1538" s="2">
        <f t="shared" si="326"/>
        <v>-2.1301186875174403</v>
      </c>
      <c r="AS1538" s="2">
        <f t="shared" si="327"/>
        <v>-289.31914419280599</v>
      </c>
    </row>
    <row r="1539" spans="37:45" x14ac:dyDescent="0.3">
      <c r="AK1539" s="78">
        <v>45047.770833333336</v>
      </c>
      <c r="AL1539">
        <v>6.6444217210182094E-2</v>
      </c>
      <c r="AM1539" s="6">
        <v>90.484855949999996</v>
      </c>
      <c r="AN1539" s="2">
        <v>12768</v>
      </c>
      <c r="AO1539" s="7">
        <f t="shared" si="328"/>
        <v>212.8</v>
      </c>
      <c r="AP1539" s="5">
        <f t="shared" si="324"/>
        <v>14.13932942232675</v>
      </c>
      <c r="AQ1539" s="6">
        <f t="shared" si="325"/>
        <v>135.89972639563928</v>
      </c>
      <c r="AR1539" s="2">
        <f t="shared" si="326"/>
        <v>-2.1301186875174403</v>
      </c>
      <c r="AS1539" s="2">
        <f t="shared" si="327"/>
        <v>-289.48254682385834</v>
      </c>
    </row>
    <row r="1540" spans="37:45" x14ac:dyDescent="0.3">
      <c r="AK1540" s="78">
        <v>45047.78125</v>
      </c>
      <c r="AL1540">
        <v>6.8167556776378896E-2</v>
      </c>
      <c r="AM1540" s="6">
        <v>87.058386479999996</v>
      </c>
      <c r="AN1540" s="2">
        <v>12706</v>
      </c>
      <c r="AO1540" s="7">
        <f t="shared" si="328"/>
        <v>211.76666666666668</v>
      </c>
      <c r="AP1540" s="5">
        <f t="shared" ref="AP1540:AP1603" si="329">AO1540*AL1540</f>
        <v>14.435616273344506</v>
      </c>
      <c r="AQ1540" s="6">
        <f t="shared" ref="AQ1540:AQ1603" si="330">37.141*AP1540^0.4897</f>
        <v>137.2868920360292</v>
      </c>
      <c r="AR1540" s="2">
        <f t="shared" ref="AR1540:AR1603" si="331">IF((AM1540-$AP$1)/($AN$1-$AP$1)&lt;0, 0, IF((AA1540-$AP$1)/($AN$1-$AP$1)&gt;1, 1, (AA1540-$AP$1)/($AN$1-$AP$1)))</f>
        <v>-2.1301186875174403</v>
      </c>
      <c r="AS1540" s="2">
        <f t="shared" ref="AS1540:AS1603" si="332">AQ1540*AR1540</f>
        <v>-292.43737427713506</v>
      </c>
    </row>
    <row r="1541" spans="37:45" x14ac:dyDescent="0.3">
      <c r="AK1541" s="78">
        <v>45047.791666666664</v>
      </c>
      <c r="AL1541">
        <v>7.4318266533230898E-2</v>
      </c>
      <c r="AM1541" s="6">
        <v>86.192545629999998</v>
      </c>
      <c r="AN1541" s="2">
        <v>12304</v>
      </c>
      <c r="AO1541" s="7">
        <f t="shared" si="328"/>
        <v>205.06666666666666</v>
      </c>
      <c r="AP1541" s="5">
        <f t="shared" si="329"/>
        <v>15.240199190414549</v>
      </c>
      <c r="AQ1541" s="6">
        <f t="shared" si="330"/>
        <v>140.98214395264236</v>
      </c>
      <c r="AR1541" s="2">
        <f t="shared" si="331"/>
        <v>-2.1301186875174403</v>
      </c>
      <c r="AS1541" s="2">
        <f t="shared" si="332"/>
        <v>-300.30869943979735</v>
      </c>
    </row>
    <row r="1542" spans="37:45" x14ac:dyDescent="0.3">
      <c r="AK1542" s="78">
        <v>45047.802083333336</v>
      </c>
      <c r="AL1542">
        <v>7.1030706999229101E-2</v>
      </c>
      <c r="AM1542" s="6">
        <v>87.487093729999998</v>
      </c>
      <c r="AN1542" s="2">
        <v>12693</v>
      </c>
      <c r="AO1542" s="7">
        <f t="shared" si="328"/>
        <v>211.55</v>
      </c>
      <c r="AP1542" s="5">
        <f t="shared" si="329"/>
        <v>15.026546065686917</v>
      </c>
      <c r="AQ1542" s="6">
        <f t="shared" si="330"/>
        <v>140.01079668131754</v>
      </c>
      <c r="AR1542" s="2">
        <f t="shared" si="331"/>
        <v>-2.1301186875174403</v>
      </c>
      <c r="AS1542" s="2">
        <f t="shared" si="332"/>
        <v>-298.23961446507928</v>
      </c>
    </row>
    <row r="1543" spans="37:45" x14ac:dyDescent="0.3">
      <c r="AK1543" s="78">
        <v>45047.8125</v>
      </c>
      <c r="AL1543">
        <v>7.1587633956232702E-2</v>
      </c>
      <c r="AM1543" s="6">
        <v>89.635700749999998</v>
      </c>
      <c r="AN1543" s="2">
        <v>12252</v>
      </c>
      <c r="AO1543" s="7">
        <f t="shared" si="328"/>
        <v>204.2</v>
      </c>
      <c r="AP1543" s="5">
        <f t="shared" si="329"/>
        <v>14.618194853862716</v>
      </c>
      <c r="AQ1543" s="6">
        <f t="shared" si="330"/>
        <v>138.13446830066894</v>
      </c>
      <c r="AR1543" s="2">
        <f t="shared" si="331"/>
        <v>-2.1301186875174403</v>
      </c>
      <c r="AS1543" s="2">
        <f t="shared" si="332"/>
        <v>-294.24281231754037</v>
      </c>
    </row>
    <row r="1544" spans="37:45" x14ac:dyDescent="0.3">
      <c r="AK1544" s="78">
        <v>45047.822916666664</v>
      </c>
      <c r="AL1544">
        <v>6.9607742166890502E-2</v>
      </c>
      <c r="AM1544" s="6">
        <v>84.891986889999998</v>
      </c>
      <c r="AN1544" s="2">
        <v>12192</v>
      </c>
      <c r="AO1544" s="7">
        <f t="shared" si="328"/>
        <v>203.2</v>
      </c>
      <c r="AP1544" s="5">
        <f t="shared" si="329"/>
        <v>14.144293208312149</v>
      </c>
      <c r="AQ1544" s="6">
        <f t="shared" si="330"/>
        <v>135.92308753530347</v>
      </c>
      <c r="AR1544" s="2">
        <f t="shared" si="331"/>
        <v>-2.1301186875174403</v>
      </c>
      <c r="AS1544" s="2">
        <f t="shared" si="332"/>
        <v>-289.53230882401874</v>
      </c>
    </row>
    <row r="1545" spans="37:45" x14ac:dyDescent="0.3">
      <c r="AK1545" s="78">
        <v>45047.833333333336</v>
      </c>
      <c r="AL1545">
        <v>7.0491915578508396E-2</v>
      </c>
      <c r="AM1545" s="6">
        <v>87.494480339999996</v>
      </c>
      <c r="AN1545" s="2">
        <v>12445</v>
      </c>
      <c r="AO1545" s="7">
        <f t="shared" si="328"/>
        <v>207.41666666666666</v>
      </c>
      <c r="AP1545" s="5">
        <f t="shared" si="329"/>
        <v>14.621198156242283</v>
      </c>
      <c r="AQ1545" s="6">
        <f t="shared" si="330"/>
        <v>138.14836509768037</v>
      </c>
      <c r="AR1545" s="2">
        <f t="shared" si="331"/>
        <v>-2.1301186875174403</v>
      </c>
      <c r="AS1545" s="2">
        <f t="shared" si="332"/>
        <v>-294.27241414455108</v>
      </c>
    </row>
    <row r="1546" spans="37:45" x14ac:dyDescent="0.3">
      <c r="AK1546" s="78">
        <v>45047.84375</v>
      </c>
      <c r="AL1546">
        <v>6.7018665161960297E-2</v>
      </c>
      <c r="AM1546" s="6">
        <v>84.891986889999998</v>
      </c>
      <c r="AN1546" s="2">
        <v>12340</v>
      </c>
      <c r="AO1546" s="7">
        <f t="shared" ref="AO1546:AO1609" si="333">AN1546/60</f>
        <v>205.66666666666666</v>
      </c>
      <c r="AP1546" s="5">
        <f t="shared" si="329"/>
        <v>13.783505468309833</v>
      </c>
      <c r="AQ1546" s="6">
        <f t="shared" si="330"/>
        <v>134.21406474269375</v>
      </c>
      <c r="AR1546" s="2">
        <f t="shared" si="331"/>
        <v>-2.1301186875174403</v>
      </c>
      <c r="AS1546" s="2">
        <f t="shared" si="332"/>
        <v>-285.89188743608759</v>
      </c>
    </row>
    <row r="1547" spans="37:45" x14ac:dyDescent="0.3">
      <c r="AK1547" s="78">
        <v>45047.854166666664</v>
      </c>
      <c r="AL1547">
        <v>6.7736316523859905E-2</v>
      </c>
      <c r="AM1547" s="6">
        <v>84.027783200000002</v>
      </c>
      <c r="AN1547" s="2">
        <v>12670</v>
      </c>
      <c r="AO1547" s="7">
        <f t="shared" si="333"/>
        <v>211.16666666666666</v>
      </c>
      <c r="AP1547" s="5">
        <f t="shared" si="329"/>
        <v>14.303652172621749</v>
      </c>
      <c r="AQ1547" s="6">
        <f t="shared" si="330"/>
        <v>136.67087016998252</v>
      </c>
      <c r="AR1547" s="2">
        <f t="shared" si="331"/>
        <v>-2.1301186875174403</v>
      </c>
      <c r="AS1547" s="2">
        <f t="shared" si="332"/>
        <v>-291.12517458834964</v>
      </c>
    </row>
    <row r="1548" spans="37:45" x14ac:dyDescent="0.3">
      <c r="AK1548" s="78">
        <v>45047.864583333336</v>
      </c>
      <c r="AL1548">
        <v>6.89322257681967E-2</v>
      </c>
      <c r="AM1548" s="6">
        <v>84.027783200000002</v>
      </c>
      <c r="AN1548" s="2">
        <v>12262</v>
      </c>
      <c r="AO1548" s="7">
        <f t="shared" si="333"/>
        <v>204.36666666666667</v>
      </c>
      <c r="AP1548" s="5">
        <f t="shared" si="329"/>
        <v>14.087449206160466</v>
      </c>
      <c r="AQ1548" s="6">
        <f t="shared" si="330"/>
        <v>135.65531086480411</v>
      </c>
      <c r="AR1548" s="2">
        <f t="shared" si="331"/>
        <v>-2.1301186875174403</v>
      </c>
      <c r="AS1548" s="2">
        <f t="shared" si="332"/>
        <v>-288.96191273410687</v>
      </c>
    </row>
    <row r="1549" spans="37:45" x14ac:dyDescent="0.3">
      <c r="AK1549" s="78">
        <v>45047.875</v>
      </c>
      <c r="AL1549">
        <v>6.7470114269237894E-2</v>
      </c>
      <c r="AM1549" s="6">
        <v>84.899432570000002</v>
      </c>
      <c r="AN1549" s="2">
        <v>12731</v>
      </c>
      <c r="AO1549" s="7">
        <f t="shared" si="333"/>
        <v>212.18333333333334</v>
      </c>
      <c r="AP1549" s="5">
        <f t="shared" si="329"/>
        <v>14.316033746027793</v>
      </c>
      <c r="AQ1549" s="6">
        <f t="shared" si="330"/>
        <v>136.72879157270697</v>
      </c>
      <c r="AR1549" s="2">
        <f t="shared" si="331"/>
        <v>-2.1301186875174403</v>
      </c>
      <c r="AS1549" s="2">
        <f t="shared" si="332"/>
        <v>-291.24855405070019</v>
      </c>
    </row>
    <row r="1550" spans="37:45" x14ac:dyDescent="0.3">
      <c r="AK1550" s="78">
        <v>45047.885416666664</v>
      </c>
      <c r="AL1550">
        <v>6.7959156005615501E-2</v>
      </c>
      <c r="AM1550" s="6">
        <v>82.718647970000006</v>
      </c>
      <c r="AN1550" s="2">
        <v>12911</v>
      </c>
      <c r="AO1550" s="7">
        <f t="shared" si="333"/>
        <v>215.18333333333334</v>
      </c>
      <c r="AP1550" s="5">
        <f t="shared" si="329"/>
        <v>14.623677719808363</v>
      </c>
      <c r="AQ1550" s="6">
        <f t="shared" si="330"/>
        <v>138.15983736732886</v>
      </c>
      <c r="AR1550" s="2">
        <f t="shared" si="331"/>
        <v>-2.1301186875174403</v>
      </c>
      <c r="AS1550" s="2">
        <f t="shared" si="332"/>
        <v>-294.29685144051757</v>
      </c>
    </row>
    <row r="1551" spans="37:45" x14ac:dyDescent="0.3">
      <c r="AK1551" s="78">
        <v>45047.895833333336</v>
      </c>
      <c r="AL1551">
        <v>6.8463672932695896E-2</v>
      </c>
      <c r="AM1551" s="6">
        <v>86.199962600000006</v>
      </c>
      <c r="AN1551" s="2">
        <v>12777</v>
      </c>
      <c r="AO1551" s="7">
        <f t="shared" si="333"/>
        <v>212.95</v>
      </c>
      <c r="AP1551" s="5">
        <f t="shared" si="329"/>
        <v>14.57933915101759</v>
      </c>
      <c r="AQ1551" s="6">
        <f t="shared" si="330"/>
        <v>137.95454474735632</v>
      </c>
      <c r="AR1551" s="2">
        <f t="shared" si="331"/>
        <v>-2.1301186875174403</v>
      </c>
      <c r="AS1551" s="2">
        <f t="shared" si="332"/>
        <v>-293.85955379430465</v>
      </c>
    </row>
    <row r="1552" spans="37:45" x14ac:dyDescent="0.3">
      <c r="AK1552" s="78">
        <v>45047.90625</v>
      </c>
      <c r="AL1552">
        <v>6.4694294394534099E-2</v>
      </c>
      <c r="AM1552" s="6">
        <v>86.199962600000006</v>
      </c>
      <c r="AN1552" s="2">
        <v>12998</v>
      </c>
      <c r="AO1552" s="7">
        <f t="shared" si="333"/>
        <v>216.63333333333333</v>
      </c>
      <c r="AP1552" s="5">
        <f t="shared" si="329"/>
        <v>14.014940642335903</v>
      </c>
      <c r="AQ1552" s="6">
        <f t="shared" si="330"/>
        <v>135.3129411859984</v>
      </c>
      <c r="AR1552" s="2">
        <f t="shared" si="331"/>
        <v>-2.1301186875174403</v>
      </c>
      <c r="AS1552" s="2">
        <f t="shared" si="332"/>
        <v>-288.2326246832435</v>
      </c>
    </row>
    <row r="1553" spans="37:45" x14ac:dyDescent="0.3">
      <c r="AK1553" s="78">
        <v>45047.916666666664</v>
      </c>
      <c r="AL1553">
        <v>9.4228698833576097E-2</v>
      </c>
      <c r="AM1553" s="6">
        <v>87.494480339999996</v>
      </c>
      <c r="AN1553" s="2">
        <v>8941</v>
      </c>
      <c r="AO1553" s="7">
        <f t="shared" si="333"/>
        <v>149.01666666666668</v>
      </c>
      <c r="AP1553" s="5">
        <f t="shared" si="329"/>
        <v>14.041646604516732</v>
      </c>
      <c r="AQ1553" s="6">
        <f t="shared" si="330"/>
        <v>135.43914584951281</v>
      </c>
      <c r="AR1553" s="2">
        <f t="shared" si="331"/>
        <v>-2.1301186875174403</v>
      </c>
      <c r="AS1553" s="2">
        <f t="shared" si="332"/>
        <v>-288.5014555954474</v>
      </c>
    </row>
    <row r="1554" spans="37:45" x14ac:dyDescent="0.3">
      <c r="AK1554" s="78">
        <v>45047.927083333336</v>
      </c>
      <c r="AL1554">
        <v>9.0797821221923897E-2</v>
      </c>
      <c r="AM1554" s="6">
        <v>86.199962600000006</v>
      </c>
      <c r="AN1554" s="2">
        <v>8797</v>
      </c>
      <c r="AO1554" s="7">
        <f t="shared" si="333"/>
        <v>146.61666666666667</v>
      </c>
      <c r="AP1554" s="5">
        <f t="shared" si="329"/>
        <v>13.312473888154409</v>
      </c>
      <c r="AQ1554" s="6">
        <f t="shared" si="330"/>
        <v>131.94809115957486</v>
      </c>
      <c r="AR1554" s="2">
        <f t="shared" si="331"/>
        <v>-2.1301186875174403</v>
      </c>
      <c r="AS1554" s="2">
        <f t="shared" si="332"/>
        <v>-281.06509476126519</v>
      </c>
    </row>
    <row r="1555" spans="37:45" x14ac:dyDescent="0.3">
      <c r="AK1555" s="78">
        <v>45047.9375</v>
      </c>
      <c r="AL1555">
        <v>9.6011472213576199E-2</v>
      </c>
      <c r="AM1555" s="6">
        <v>82.718647970000006</v>
      </c>
      <c r="AN1555" s="2">
        <v>8718</v>
      </c>
      <c r="AO1555" s="7">
        <f t="shared" si="333"/>
        <v>145.30000000000001</v>
      </c>
      <c r="AP1555" s="5">
        <f t="shared" si="329"/>
        <v>13.950466912632622</v>
      </c>
      <c r="AQ1555" s="6">
        <f t="shared" si="330"/>
        <v>135.00775025794559</v>
      </c>
      <c r="AR1555" s="2">
        <f t="shared" si="331"/>
        <v>-2.1301186875174403</v>
      </c>
      <c r="AS1555" s="2">
        <f t="shared" si="332"/>
        <v>-287.58253178413742</v>
      </c>
    </row>
    <row r="1556" spans="37:45" x14ac:dyDescent="0.3">
      <c r="AK1556" s="78">
        <v>45047.947916666664</v>
      </c>
      <c r="AL1556">
        <v>9.4553213138944797E-2</v>
      </c>
      <c r="AM1556" s="6">
        <v>88.350109630000006</v>
      </c>
      <c r="AN1556" s="2">
        <v>8807</v>
      </c>
      <c r="AO1556" s="7">
        <f t="shared" si="333"/>
        <v>146.78333333333333</v>
      </c>
      <c r="AP1556" s="5">
        <f t="shared" si="329"/>
        <v>13.878835801911446</v>
      </c>
      <c r="AQ1556" s="6">
        <f t="shared" si="330"/>
        <v>134.6678340899519</v>
      </c>
      <c r="AR1556" s="2">
        <f t="shared" si="331"/>
        <v>-2.1301186875174403</v>
      </c>
      <c r="AS1556" s="2">
        <f t="shared" si="332"/>
        <v>-286.85847000250476</v>
      </c>
    </row>
    <row r="1557" spans="37:45" x14ac:dyDescent="0.3">
      <c r="AK1557" s="78">
        <v>45047.958333333336</v>
      </c>
      <c r="AL1557">
        <v>9.0670515392771003E-2</v>
      </c>
      <c r="AM1557" s="6">
        <v>89.209976960000006</v>
      </c>
      <c r="AN1557" s="2">
        <v>8684</v>
      </c>
      <c r="AO1557" s="7">
        <f t="shared" si="333"/>
        <v>144.73333333333332</v>
      </c>
      <c r="AP1557" s="5">
        <f t="shared" si="329"/>
        <v>13.123045927847055</v>
      </c>
      <c r="AQ1557" s="6">
        <f t="shared" si="330"/>
        <v>131.02529922778203</v>
      </c>
      <c r="AR1557" s="2">
        <f t="shared" si="331"/>
        <v>-2.1301186875174403</v>
      </c>
      <c r="AS1557" s="2">
        <f t="shared" si="332"/>
        <v>-279.09943842266296</v>
      </c>
    </row>
    <row r="1558" spans="37:45" x14ac:dyDescent="0.3">
      <c r="AK1558" s="78">
        <v>45047.96875</v>
      </c>
      <c r="AL1558">
        <v>9.2971148302521997E-2</v>
      </c>
      <c r="AM1558" s="6">
        <v>82.718647970000006</v>
      </c>
      <c r="AN1558" s="2">
        <v>8643</v>
      </c>
      <c r="AO1558" s="7">
        <f t="shared" si="333"/>
        <v>144.05000000000001</v>
      </c>
      <c r="AP1558" s="5">
        <f t="shared" si="329"/>
        <v>13.392493912978296</v>
      </c>
      <c r="AQ1558" s="6">
        <f t="shared" si="330"/>
        <v>132.33589183273713</v>
      </c>
      <c r="AR1558" s="2">
        <f t="shared" si="331"/>
        <v>-2.1301186875174403</v>
      </c>
      <c r="AS1558" s="2">
        <f t="shared" si="332"/>
        <v>-281.89115622219998</v>
      </c>
    </row>
    <row r="1559" spans="37:45" x14ac:dyDescent="0.3">
      <c r="AK1559" s="78">
        <v>45047.979166666664</v>
      </c>
      <c r="AL1559">
        <v>9.6160072508700095E-2</v>
      </c>
      <c r="AM1559" s="6">
        <v>84.891986889999998</v>
      </c>
      <c r="AN1559" s="2">
        <v>8851</v>
      </c>
      <c r="AO1559" s="7">
        <f t="shared" si="333"/>
        <v>147.51666666666668</v>
      </c>
      <c r="AP1559" s="5">
        <f t="shared" si="329"/>
        <v>14.18521336290841</v>
      </c>
      <c r="AQ1559" s="6">
        <f t="shared" si="330"/>
        <v>136.11551148234824</v>
      </c>
      <c r="AR1559" s="2">
        <f t="shared" si="331"/>
        <v>-2.1301186875174403</v>
      </c>
      <c r="AS1559" s="2">
        <f t="shared" si="332"/>
        <v>-289.94219466954468</v>
      </c>
    </row>
    <row r="1560" spans="37:45" x14ac:dyDescent="0.3">
      <c r="AK1560" s="78">
        <v>45047.989583333336</v>
      </c>
      <c r="AL1560">
        <v>9.3865753165205304E-2</v>
      </c>
      <c r="AM1560" s="6">
        <v>88.350109630000006</v>
      </c>
      <c r="AN1560" s="2">
        <v>8480</v>
      </c>
      <c r="AO1560" s="7">
        <f t="shared" si="333"/>
        <v>141.33333333333334</v>
      </c>
      <c r="AP1560" s="5">
        <f t="shared" si="329"/>
        <v>13.26635978068235</v>
      </c>
      <c r="AQ1560" s="6">
        <f t="shared" si="330"/>
        <v>131.72406816453287</v>
      </c>
      <c r="AR1560" s="2">
        <f t="shared" si="331"/>
        <v>-2.1301186875174403</v>
      </c>
      <c r="AS1560" s="2">
        <f t="shared" si="332"/>
        <v>-280.5878991930926</v>
      </c>
    </row>
    <row r="1561" spans="37:45" x14ac:dyDescent="0.3">
      <c r="AK1561" s="78">
        <v>45048</v>
      </c>
      <c r="AL1561">
        <v>9.6245677000997995E-2</v>
      </c>
      <c r="AM1561" s="6">
        <v>89.635700749999998</v>
      </c>
      <c r="AN1561" s="2">
        <v>8600</v>
      </c>
      <c r="AO1561" s="7">
        <f t="shared" si="333"/>
        <v>143.33333333333334</v>
      </c>
      <c r="AP1561" s="5">
        <f t="shared" si="329"/>
        <v>13.79521370347638</v>
      </c>
      <c r="AQ1561" s="6">
        <f t="shared" si="330"/>
        <v>134.26988165276674</v>
      </c>
      <c r="AR1561" s="2">
        <f t="shared" si="331"/>
        <v>-2.1301186875174403</v>
      </c>
      <c r="AS1561" s="2">
        <f t="shared" si="332"/>
        <v>-286.01078407931351</v>
      </c>
    </row>
    <row r="1562" spans="37:45" x14ac:dyDescent="0.3">
      <c r="AK1562" s="78">
        <v>45048.010416666664</v>
      </c>
      <c r="AL1562">
        <v>9.5184118581330301E-2</v>
      </c>
      <c r="AM1562" s="6">
        <v>89.635700749999998</v>
      </c>
      <c r="AN1562" s="2">
        <v>8551</v>
      </c>
      <c r="AO1562" s="7">
        <f t="shared" si="333"/>
        <v>142.51666666666668</v>
      </c>
      <c r="AP1562" s="5">
        <f t="shared" si="329"/>
        <v>13.565323299815924</v>
      </c>
      <c r="AQ1562" s="6">
        <f t="shared" si="330"/>
        <v>133.16945932747728</v>
      </c>
      <c r="AR1562" s="2">
        <f t="shared" si="331"/>
        <v>-2.1301186875174403</v>
      </c>
      <c r="AS1562" s="2">
        <f t="shared" si="332"/>
        <v>-283.66675392005305</v>
      </c>
    </row>
    <row r="1563" spans="37:45" x14ac:dyDescent="0.3">
      <c r="AK1563" s="78">
        <v>45048.020833333336</v>
      </c>
      <c r="AL1563">
        <v>9.5099304026644099E-2</v>
      </c>
      <c r="AM1563" s="6">
        <v>88.350109630000006</v>
      </c>
      <c r="AN1563" s="2">
        <v>8559</v>
      </c>
      <c r="AO1563" s="7">
        <f t="shared" si="333"/>
        <v>142.65</v>
      </c>
      <c r="AP1563" s="5">
        <f t="shared" si="329"/>
        <v>13.565915719400781</v>
      </c>
      <c r="AQ1563" s="6">
        <f t="shared" si="330"/>
        <v>133.17230725649142</v>
      </c>
      <c r="AR1563" s="2">
        <f t="shared" si="331"/>
        <v>-2.1301186875174403</v>
      </c>
      <c r="AS1563" s="2">
        <f t="shared" si="332"/>
        <v>-283.67282034686679</v>
      </c>
    </row>
    <row r="1564" spans="37:45" x14ac:dyDescent="0.3">
      <c r="AK1564" s="78">
        <v>45048.03125</v>
      </c>
      <c r="AL1564">
        <v>9.1934797084491898E-2</v>
      </c>
      <c r="AM1564" s="6">
        <v>87.058386479999996</v>
      </c>
      <c r="AN1564" s="2">
        <v>8639</v>
      </c>
      <c r="AO1564" s="7">
        <f t="shared" si="333"/>
        <v>143.98333333333332</v>
      </c>
      <c r="AP1564" s="5">
        <f t="shared" si="329"/>
        <v>13.237078533548758</v>
      </c>
      <c r="AQ1564" s="6">
        <f t="shared" si="330"/>
        <v>131.58161312444008</v>
      </c>
      <c r="AR1564" s="2">
        <f t="shared" si="331"/>
        <v>-2.1301186875174403</v>
      </c>
      <c r="AS1564" s="2">
        <f t="shared" si="332"/>
        <v>-280.28445305005988</v>
      </c>
    </row>
    <row r="1565" spans="37:45" x14ac:dyDescent="0.3">
      <c r="AK1565" s="78">
        <v>45048.041666666664</v>
      </c>
      <c r="AL1565">
        <v>8.80023712935189E-2</v>
      </c>
      <c r="AM1565" s="6">
        <v>89.635700749999998</v>
      </c>
      <c r="AN1565" s="2">
        <v>8804</v>
      </c>
      <c r="AO1565" s="7">
        <f t="shared" si="333"/>
        <v>146.73333333333332</v>
      </c>
      <c r="AP1565" s="5">
        <f t="shared" si="329"/>
        <v>12.912881281135672</v>
      </c>
      <c r="AQ1565" s="6">
        <f t="shared" si="330"/>
        <v>129.9934988706853</v>
      </c>
      <c r="AR1565" s="2">
        <f t="shared" si="331"/>
        <v>-2.1301186875174403</v>
      </c>
      <c r="AS1565" s="2">
        <f t="shared" si="332"/>
        <v>-276.90158120022403</v>
      </c>
    </row>
    <row r="1566" spans="37:45" x14ac:dyDescent="0.3">
      <c r="AK1566" s="78">
        <v>45048.052083333336</v>
      </c>
      <c r="AL1566">
        <v>9.1216954270555595E-2</v>
      </c>
      <c r="AM1566" s="6">
        <v>93.038532979999999</v>
      </c>
      <c r="AN1566" s="2">
        <v>8775</v>
      </c>
      <c r="AO1566" s="7">
        <f t="shared" si="333"/>
        <v>146.25</v>
      </c>
      <c r="AP1566" s="5">
        <f t="shared" si="329"/>
        <v>13.340479562068756</v>
      </c>
      <c r="AQ1566" s="6">
        <f t="shared" si="330"/>
        <v>132.08394988799191</v>
      </c>
      <c r="AR1566" s="2">
        <f t="shared" si="331"/>
        <v>-2.1301186875174403</v>
      </c>
      <c r="AS1566" s="2">
        <f t="shared" si="332"/>
        <v>-281.35448997752866</v>
      </c>
    </row>
    <row r="1567" spans="37:45" x14ac:dyDescent="0.3">
      <c r="AK1567" s="78">
        <v>45048.0625</v>
      </c>
      <c r="AL1567">
        <v>8.8115111818959604E-2</v>
      </c>
      <c r="AM1567" s="6">
        <v>87.058386479999996</v>
      </c>
      <c r="AN1567" s="2">
        <v>8713</v>
      </c>
      <c r="AO1567" s="7">
        <f t="shared" si="333"/>
        <v>145.21666666666667</v>
      </c>
      <c r="AP1567" s="5">
        <f t="shared" si="329"/>
        <v>12.795782821309917</v>
      </c>
      <c r="AQ1567" s="6">
        <f t="shared" si="330"/>
        <v>129.41488602674062</v>
      </c>
      <c r="AR1567" s="2">
        <f t="shared" si="331"/>
        <v>-2.1301186875174403</v>
      </c>
      <c r="AS1567" s="2">
        <f t="shared" si="332"/>
        <v>-275.66906716849985</v>
      </c>
    </row>
    <row r="1568" spans="37:45" x14ac:dyDescent="0.3">
      <c r="AK1568" s="78">
        <v>45048.072916666664</v>
      </c>
      <c r="AL1568">
        <v>9.0662433817662993E-2</v>
      </c>
      <c r="AM1568" s="6">
        <v>89.635700749999998</v>
      </c>
      <c r="AN1568" s="2">
        <v>8842</v>
      </c>
      <c r="AO1568" s="7">
        <f t="shared" si="333"/>
        <v>147.36666666666667</v>
      </c>
      <c r="AP1568" s="5">
        <f t="shared" si="329"/>
        <v>13.36062066359627</v>
      </c>
      <c r="AQ1568" s="6">
        <f t="shared" si="330"/>
        <v>132.18156672356582</v>
      </c>
      <c r="AR1568" s="2">
        <f t="shared" si="331"/>
        <v>-2.1301186875174403</v>
      </c>
      <c r="AS1568" s="2">
        <f t="shared" si="332"/>
        <v>-281.56242542320098</v>
      </c>
    </row>
    <row r="1569" spans="37:45" x14ac:dyDescent="0.3">
      <c r="AK1569" s="78">
        <v>45048.083333333336</v>
      </c>
      <c r="AL1569">
        <v>8.6893018159726498E-2</v>
      </c>
      <c r="AM1569" s="6">
        <v>84.891986889999998</v>
      </c>
      <c r="AN1569" s="2">
        <v>8945</v>
      </c>
      <c r="AO1569" s="7">
        <f t="shared" si="333"/>
        <v>149.08333333333334</v>
      </c>
      <c r="AP1569" s="5">
        <f t="shared" si="329"/>
        <v>12.954300790645894</v>
      </c>
      <c r="AQ1569" s="6">
        <f t="shared" si="330"/>
        <v>130.19752158554823</v>
      </c>
      <c r="AR1569" s="2">
        <f t="shared" si="331"/>
        <v>-2.1301186875174403</v>
      </c>
      <c r="AS1569" s="2">
        <f t="shared" si="332"/>
        <v>-277.33617379783158</v>
      </c>
    </row>
    <row r="1570" spans="37:45" x14ac:dyDescent="0.3">
      <c r="AK1570" s="78">
        <v>45048.09375</v>
      </c>
      <c r="AL1570">
        <v>9.06291838086907E-2</v>
      </c>
      <c r="AM1570" s="6">
        <v>86.192545629999998</v>
      </c>
      <c r="AN1570" s="2">
        <v>8922</v>
      </c>
      <c r="AO1570" s="7">
        <f t="shared" si="333"/>
        <v>148.69999999999999</v>
      </c>
      <c r="AP1570" s="5">
        <f t="shared" si="329"/>
        <v>13.476559632352306</v>
      </c>
      <c r="AQ1570" s="6">
        <f t="shared" si="330"/>
        <v>132.74202765721702</v>
      </c>
      <c r="AR1570" s="2">
        <f t="shared" si="331"/>
        <v>-2.1301186875174403</v>
      </c>
      <c r="AS1570" s="2">
        <f t="shared" si="332"/>
        <v>-282.75627373159489</v>
      </c>
    </row>
    <row r="1571" spans="37:45" x14ac:dyDescent="0.3">
      <c r="AK1571" s="78">
        <v>45048.104166666664</v>
      </c>
      <c r="AL1571">
        <v>9.0593260858147895E-2</v>
      </c>
      <c r="AM1571" s="6">
        <v>89.635700749999998</v>
      </c>
      <c r="AN1571" s="2">
        <v>8749</v>
      </c>
      <c r="AO1571" s="7">
        <f t="shared" si="333"/>
        <v>145.81666666666666</v>
      </c>
      <c r="AP1571" s="5">
        <f t="shared" si="329"/>
        <v>13.210007320798931</v>
      </c>
      <c r="AQ1571" s="6">
        <f t="shared" si="330"/>
        <v>131.44976690851524</v>
      </c>
      <c r="AR1571" s="2">
        <f t="shared" si="331"/>
        <v>-2.1301186875174403</v>
      </c>
      <c r="AS1571" s="2">
        <f t="shared" si="332"/>
        <v>-280.00360496163995</v>
      </c>
    </row>
    <row r="1572" spans="37:45" x14ac:dyDescent="0.3">
      <c r="AK1572" s="78">
        <v>45048.114583333336</v>
      </c>
      <c r="AL1572">
        <v>9.2713622530752396E-2</v>
      </c>
      <c r="AM1572" s="6">
        <v>93.038532979999999</v>
      </c>
      <c r="AN1572" s="2">
        <v>8770</v>
      </c>
      <c r="AO1572" s="7">
        <f t="shared" si="333"/>
        <v>146.16666666666666</v>
      </c>
      <c r="AP1572" s="5">
        <f t="shared" si="329"/>
        <v>13.551641159911641</v>
      </c>
      <c r="AQ1572" s="6">
        <f t="shared" si="330"/>
        <v>133.1036677309032</v>
      </c>
      <c r="AR1572" s="2">
        <f t="shared" si="331"/>
        <v>-2.1301186875174403</v>
      </c>
      <c r="AS1572" s="2">
        <f t="shared" si="332"/>
        <v>-283.52661001070896</v>
      </c>
    </row>
    <row r="1573" spans="37:45" x14ac:dyDescent="0.3">
      <c r="AK1573" s="78">
        <v>45048.125</v>
      </c>
      <c r="AL1573">
        <v>9.0849932077533904E-2</v>
      </c>
      <c r="AM1573" s="6">
        <v>89.635700749999998</v>
      </c>
      <c r="AN1573" s="2">
        <v>8795</v>
      </c>
      <c r="AO1573" s="7">
        <f t="shared" si="333"/>
        <v>146.58333333333334</v>
      </c>
      <c r="AP1573" s="5">
        <f t="shared" si="329"/>
        <v>13.317085877031845</v>
      </c>
      <c r="AQ1573" s="6">
        <f t="shared" si="330"/>
        <v>131.97047446980091</v>
      </c>
      <c r="AR1573" s="2">
        <f t="shared" si="331"/>
        <v>-2.1301186875174403</v>
      </c>
      <c r="AS1573" s="2">
        <f t="shared" si="332"/>
        <v>-281.11277386866618</v>
      </c>
    </row>
    <row r="1574" spans="37:45" x14ac:dyDescent="0.3">
      <c r="AK1574" s="78">
        <v>45048.135416666664</v>
      </c>
      <c r="AL1574">
        <v>8.8658303360015497E-2</v>
      </c>
      <c r="AM1574" s="6">
        <v>85.762083380000007</v>
      </c>
      <c r="AN1574" s="2">
        <v>9154</v>
      </c>
      <c r="AO1574" s="7">
        <f t="shared" si="333"/>
        <v>152.56666666666666</v>
      </c>
      <c r="AP1574" s="5">
        <f t="shared" si="329"/>
        <v>13.526301815959698</v>
      </c>
      <c r="AQ1574" s="6">
        <f t="shared" si="330"/>
        <v>132.98173201206129</v>
      </c>
      <c r="AR1574" s="2">
        <f t="shared" si="331"/>
        <v>-2.1301186875174403</v>
      </c>
      <c r="AS1574" s="2">
        <f t="shared" si="332"/>
        <v>-283.26687245732796</v>
      </c>
    </row>
    <row r="1575" spans="37:45" x14ac:dyDescent="0.3">
      <c r="AK1575" s="78">
        <v>45048.145833333336</v>
      </c>
      <c r="AL1575">
        <v>8.7540918300834394E-2</v>
      </c>
      <c r="AM1575" s="6">
        <v>87.058386479999996</v>
      </c>
      <c r="AN1575" s="2">
        <v>8930</v>
      </c>
      <c r="AO1575" s="7">
        <f t="shared" si="333"/>
        <v>148.83333333333334</v>
      </c>
      <c r="AP1575" s="5">
        <f t="shared" si="329"/>
        <v>13.029006673774186</v>
      </c>
      <c r="AQ1575" s="6">
        <f t="shared" si="330"/>
        <v>130.56466521752247</v>
      </c>
      <c r="AR1575" s="2">
        <f t="shared" si="331"/>
        <v>-2.1301186875174403</v>
      </c>
      <c r="AS1575" s="2">
        <f t="shared" si="332"/>
        <v>-278.11823330930298</v>
      </c>
    </row>
    <row r="1576" spans="37:45" x14ac:dyDescent="0.3">
      <c r="AK1576" s="78">
        <v>45048.15625</v>
      </c>
      <c r="AL1576">
        <v>9.1263812126798599E-2</v>
      </c>
      <c r="AM1576" s="6">
        <v>87.922589900000006</v>
      </c>
      <c r="AN1576" s="2">
        <v>8892</v>
      </c>
      <c r="AO1576" s="7">
        <f t="shared" si="333"/>
        <v>148.19999999999999</v>
      </c>
      <c r="AP1576" s="5">
        <f t="shared" si="329"/>
        <v>13.525296957191552</v>
      </c>
      <c r="AQ1576" s="6">
        <f t="shared" si="330"/>
        <v>132.97689411889172</v>
      </c>
      <c r="AR1576" s="2">
        <f t="shared" si="331"/>
        <v>-2.1301186875174403</v>
      </c>
      <c r="AS1576" s="2">
        <f t="shared" si="332"/>
        <v>-283.25656717067926</v>
      </c>
    </row>
    <row r="1577" spans="37:45" x14ac:dyDescent="0.3">
      <c r="AK1577" s="78">
        <v>45048.166666666664</v>
      </c>
      <c r="AL1577">
        <v>9.0284575355063804E-2</v>
      </c>
      <c r="AM1577" s="6">
        <v>84.899432570000002</v>
      </c>
      <c r="AN1577" s="2">
        <v>9005</v>
      </c>
      <c r="AO1577" s="7">
        <f t="shared" si="333"/>
        <v>150.08333333333334</v>
      </c>
      <c r="AP1577" s="5">
        <f t="shared" si="329"/>
        <v>13.550210017872493</v>
      </c>
      <c r="AQ1577" s="6">
        <f t="shared" si="330"/>
        <v>133.09678401916679</v>
      </c>
      <c r="AR1577" s="2">
        <f t="shared" si="331"/>
        <v>-2.1301186875174403</v>
      </c>
      <c r="AS1577" s="2">
        <f t="shared" si="332"/>
        <v>-283.51194688769976</v>
      </c>
    </row>
    <row r="1578" spans="37:45" x14ac:dyDescent="0.3">
      <c r="AK1578" s="78">
        <v>45048.177083333336</v>
      </c>
      <c r="AL1578">
        <v>9.0662401653771402E-2</v>
      </c>
      <c r="AM1578" s="6">
        <v>92.610732819999996</v>
      </c>
      <c r="AN1578" s="2">
        <v>8708</v>
      </c>
      <c r="AO1578" s="7">
        <f t="shared" si="333"/>
        <v>145.13333333333333</v>
      </c>
      <c r="AP1578" s="5">
        <f t="shared" si="329"/>
        <v>13.158136560017356</v>
      </c>
      <c r="AQ1578" s="6">
        <f t="shared" si="330"/>
        <v>131.19675250934438</v>
      </c>
      <c r="AR1578" s="2">
        <f t="shared" si="331"/>
        <v>-2.1301186875174403</v>
      </c>
      <c r="AS1578" s="2">
        <f t="shared" si="332"/>
        <v>-279.46465426175507</v>
      </c>
    </row>
    <row r="1579" spans="37:45" x14ac:dyDescent="0.3">
      <c r="AK1579" s="78">
        <v>45048.1875</v>
      </c>
      <c r="AL1579">
        <v>9.2904304669193805E-2</v>
      </c>
      <c r="AM1579" s="6">
        <v>84.891986889999998</v>
      </c>
      <c r="AN1579" s="2">
        <v>8969</v>
      </c>
      <c r="AO1579" s="7">
        <f t="shared" si="333"/>
        <v>149.48333333333332</v>
      </c>
      <c r="AP1579" s="5">
        <f t="shared" si="329"/>
        <v>13.887645142966653</v>
      </c>
      <c r="AQ1579" s="6">
        <f t="shared" si="330"/>
        <v>134.70968588092848</v>
      </c>
      <c r="AR1579" s="2">
        <f t="shared" si="331"/>
        <v>-2.1301186875174403</v>
      </c>
      <c r="AS1579" s="2">
        <f t="shared" si="332"/>
        <v>-286.94761928457001</v>
      </c>
    </row>
    <row r="1580" spans="37:45" x14ac:dyDescent="0.3">
      <c r="AK1580" s="78">
        <v>45048.197916666664</v>
      </c>
      <c r="AL1580">
        <v>8.9747547171867406E-2</v>
      </c>
      <c r="AM1580" s="6">
        <v>84.891986889999998</v>
      </c>
      <c r="AN1580" s="2">
        <v>9272</v>
      </c>
      <c r="AO1580" s="7">
        <f t="shared" si="333"/>
        <v>154.53333333333333</v>
      </c>
      <c r="AP1580" s="5">
        <f t="shared" si="329"/>
        <v>13.868987622959242</v>
      </c>
      <c r="AQ1580" s="6">
        <f t="shared" si="330"/>
        <v>134.6210308925674</v>
      </c>
      <c r="AR1580" s="2">
        <f t="shared" si="331"/>
        <v>-2.1301186875174403</v>
      </c>
      <c r="AS1580" s="2">
        <f t="shared" si="332"/>
        <v>-286.75877363712044</v>
      </c>
    </row>
    <row r="1581" spans="37:45" x14ac:dyDescent="0.3">
      <c r="AK1581" s="78">
        <v>45048.208333333336</v>
      </c>
      <c r="AL1581">
        <v>8.7177533982742694E-2</v>
      </c>
      <c r="AM1581" s="6">
        <v>85.762083380000007</v>
      </c>
      <c r="AN1581" s="2">
        <v>9159</v>
      </c>
      <c r="AO1581" s="7">
        <f t="shared" si="333"/>
        <v>152.65</v>
      </c>
      <c r="AP1581" s="5">
        <f t="shared" si="329"/>
        <v>13.307650562465673</v>
      </c>
      <c r="AQ1581" s="6">
        <f t="shared" si="330"/>
        <v>131.92467793726391</v>
      </c>
      <c r="AR1581" s="2">
        <f t="shared" si="331"/>
        <v>-2.1301186875174403</v>
      </c>
      <c r="AS1581" s="2">
        <f t="shared" si="332"/>
        <v>-281.01522181888561</v>
      </c>
    </row>
    <row r="1582" spans="37:45" x14ac:dyDescent="0.3">
      <c r="AK1582" s="78">
        <v>45048.21875</v>
      </c>
      <c r="AL1582">
        <v>8.8066029506402896E-2</v>
      </c>
      <c r="AM1582" s="6">
        <v>87.915213519999995</v>
      </c>
      <c r="AN1582" s="2">
        <v>8815</v>
      </c>
      <c r="AO1582" s="7">
        <f t="shared" si="333"/>
        <v>146.91666666666666</v>
      </c>
      <c r="AP1582" s="5">
        <f t="shared" si="329"/>
        <v>12.938367501649024</v>
      </c>
      <c r="AQ1582" s="6">
        <f t="shared" si="330"/>
        <v>130.11907742261388</v>
      </c>
      <c r="AR1582" s="2">
        <f t="shared" si="331"/>
        <v>-2.1301186875174403</v>
      </c>
      <c r="AS1582" s="2">
        <f t="shared" si="332"/>
        <v>-277.1690784204385</v>
      </c>
    </row>
    <row r="1583" spans="37:45" x14ac:dyDescent="0.3">
      <c r="AK1583" s="78">
        <v>45048.229166666664</v>
      </c>
      <c r="AL1583">
        <v>8.3413232150416003E-2</v>
      </c>
      <c r="AM1583" s="6">
        <v>87.058386479999996</v>
      </c>
      <c r="AN1583" s="2">
        <v>9104</v>
      </c>
      <c r="AO1583" s="7">
        <f t="shared" si="333"/>
        <v>151.73333333333332</v>
      </c>
      <c r="AP1583" s="5">
        <f t="shared" si="329"/>
        <v>12.656567758289787</v>
      </c>
      <c r="AQ1583" s="6">
        <f t="shared" si="330"/>
        <v>128.72346233734572</v>
      </c>
      <c r="AR1583" s="2">
        <f t="shared" si="331"/>
        <v>-2.1301186875174403</v>
      </c>
      <c r="AS1583" s="2">
        <f t="shared" si="332"/>
        <v>-274.19625264672754</v>
      </c>
    </row>
    <row r="1584" spans="37:45" x14ac:dyDescent="0.3">
      <c r="AK1584" s="78">
        <v>45048.239583333336</v>
      </c>
      <c r="AL1584">
        <v>8.7572658875317302E-2</v>
      </c>
      <c r="AM1584" s="6">
        <v>86.199962600000006</v>
      </c>
      <c r="AN1584" s="2">
        <v>9423</v>
      </c>
      <c r="AO1584" s="7">
        <f t="shared" si="333"/>
        <v>157.05000000000001</v>
      </c>
      <c r="AP1584" s="5">
        <f t="shared" si="329"/>
        <v>13.753286076368584</v>
      </c>
      <c r="AQ1584" s="6">
        <f t="shared" si="330"/>
        <v>134.06988730059865</v>
      </c>
      <c r="AR1584" s="2">
        <f t="shared" si="331"/>
        <v>-2.1301186875174403</v>
      </c>
      <c r="AS1584" s="2">
        <f t="shared" si="332"/>
        <v>-285.58477237236235</v>
      </c>
    </row>
    <row r="1585" spans="37:45" x14ac:dyDescent="0.3">
      <c r="AK1585" s="78">
        <v>45048.25</v>
      </c>
      <c r="AL1585">
        <v>8.5869905900389204E-2</v>
      </c>
      <c r="AM1585" s="6">
        <v>87.915213519999995</v>
      </c>
      <c r="AN1585" s="2">
        <v>9344</v>
      </c>
      <c r="AO1585" s="7">
        <f t="shared" si="333"/>
        <v>155.73333333333332</v>
      </c>
      <c r="AP1585" s="5">
        <f t="shared" si="329"/>
        <v>13.372806678887278</v>
      </c>
      <c r="AQ1585" s="6">
        <f t="shared" si="330"/>
        <v>132.24059159511555</v>
      </c>
      <c r="AR1585" s="2">
        <f t="shared" si="331"/>
        <v>-2.1301186875174403</v>
      </c>
      <c r="AS1585" s="2">
        <f t="shared" si="332"/>
        <v>-281.68815540511736</v>
      </c>
    </row>
    <row r="1586" spans="37:45" x14ac:dyDescent="0.3">
      <c r="AK1586" s="78">
        <v>45048.260416666664</v>
      </c>
      <c r="AL1586">
        <v>8.8364361996603705E-2</v>
      </c>
      <c r="AM1586" s="6">
        <v>84.460540300000005</v>
      </c>
      <c r="AN1586" s="2">
        <v>9549</v>
      </c>
      <c r="AO1586" s="7">
        <f t="shared" si="333"/>
        <v>159.15</v>
      </c>
      <c r="AP1586" s="5">
        <f t="shared" si="329"/>
        <v>14.06318821175948</v>
      </c>
      <c r="AQ1586" s="6">
        <f t="shared" si="330"/>
        <v>135.54085604203934</v>
      </c>
      <c r="AR1586" s="2">
        <f t="shared" si="331"/>
        <v>-2.1301186875174403</v>
      </c>
      <c r="AS1586" s="2">
        <f t="shared" si="332"/>
        <v>-288.71811037725917</v>
      </c>
    </row>
    <row r="1587" spans="37:45" x14ac:dyDescent="0.3">
      <c r="AK1587" s="78">
        <v>45048.270833333336</v>
      </c>
      <c r="AL1587">
        <v>8.4048406490252803E-2</v>
      </c>
      <c r="AM1587" s="6">
        <v>88.350109630000006</v>
      </c>
      <c r="AN1587" s="2">
        <v>9525</v>
      </c>
      <c r="AO1587" s="7">
        <f t="shared" si="333"/>
        <v>158.75</v>
      </c>
      <c r="AP1587" s="5">
        <f t="shared" si="329"/>
        <v>13.342684530327633</v>
      </c>
      <c r="AQ1587" s="6">
        <f t="shared" si="330"/>
        <v>132.09464025802441</v>
      </c>
      <c r="AR1587" s="2">
        <f t="shared" si="331"/>
        <v>-2.1301186875174403</v>
      </c>
      <c r="AS1587" s="2">
        <f t="shared" si="332"/>
        <v>-281.37726173451136</v>
      </c>
    </row>
    <row r="1588" spans="37:45" x14ac:dyDescent="0.3">
      <c r="AK1588" s="78">
        <v>45048.28125</v>
      </c>
      <c r="AL1588">
        <v>8.2629113742888796E-2</v>
      </c>
      <c r="AM1588" s="6">
        <v>84.891986889999998</v>
      </c>
      <c r="AN1588" s="2">
        <v>9628</v>
      </c>
      <c r="AO1588" s="7">
        <f t="shared" si="333"/>
        <v>160.46666666666667</v>
      </c>
      <c r="AP1588" s="5">
        <f t="shared" si="329"/>
        <v>13.259218451942223</v>
      </c>
      <c r="AQ1588" s="6">
        <f t="shared" si="330"/>
        <v>131.68933997403184</v>
      </c>
      <c r="AR1588" s="2">
        <f t="shared" si="331"/>
        <v>-2.1301186875174403</v>
      </c>
      <c r="AS1588" s="2">
        <f t="shared" si="332"/>
        <v>-280.51392402552267</v>
      </c>
    </row>
    <row r="1589" spans="37:45" x14ac:dyDescent="0.3">
      <c r="AK1589" s="78">
        <v>45048.291666666664</v>
      </c>
      <c r="AL1589">
        <v>8.3925798059494294E-2</v>
      </c>
      <c r="AM1589" s="6">
        <v>84.891986889999998</v>
      </c>
      <c r="AN1589" s="2">
        <v>9773</v>
      </c>
      <c r="AO1589" s="7">
        <f t="shared" si="333"/>
        <v>162.88333333333333</v>
      </c>
      <c r="AP1589" s="5">
        <f t="shared" si="329"/>
        <v>13.670113740590628</v>
      </c>
      <c r="AQ1589" s="6">
        <f t="shared" si="330"/>
        <v>133.67223324347322</v>
      </c>
      <c r="AR1589" s="2">
        <f t="shared" si="331"/>
        <v>-2.1301186875174403</v>
      </c>
      <c r="AS1589" s="2">
        <f t="shared" si="332"/>
        <v>-284.73772203411232</v>
      </c>
    </row>
    <row r="1590" spans="37:45" x14ac:dyDescent="0.3">
      <c r="AK1590" s="78">
        <v>45048.302083333336</v>
      </c>
      <c r="AL1590">
        <v>7.7612350936066707E-2</v>
      </c>
      <c r="AM1590" s="6">
        <v>83.586986100000004</v>
      </c>
      <c r="AN1590" s="2">
        <v>9779</v>
      </c>
      <c r="AO1590" s="7">
        <f t="shared" si="333"/>
        <v>162.98333333333332</v>
      </c>
      <c r="AP1590" s="5">
        <f t="shared" si="329"/>
        <v>12.649519663396605</v>
      </c>
      <c r="AQ1590" s="6">
        <f t="shared" si="330"/>
        <v>128.68835439868391</v>
      </c>
      <c r="AR1590" s="2">
        <f t="shared" si="331"/>
        <v>-2.1301186875174403</v>
      </c>
      <c r="AS1590" s="2">
        <f t="shared" si="332"/>
        <v>-274.12146857050379</v>
      </c>
    </row>
    <row r="1591" spans="37:45" x14ac:dyDescent="0.3">
      <c r="AK1591" s="78">
        <v>45048.3125</v>
      </c>
      <c r="AL1591">
        <v>8.3326713487075599E-2</v>
      </c>
      <c r="AM1591" s="6">
        <v>84.891986889999998</v>
      </c>
      <c r="AN1591" s="2">
        <v>9680</v>
      </c>
      <c r="AO1591" s="7">
        <f t="shared" si="333"/>
        <v>161.33333333333334</v>
      </c>
      <c r="AP1591" s="5">
        <f t="shared" si="329"/>
        <v>13.443376442581531</v>
      </c>
      <c r="AQ1591" s="6">
        <f t="shared" si="330"/>
        <v>132.58186887999219</v>
      </c>
      <c r="AR1591" s="2">
        <f t="shared" si="331"/>
        <v>-2.1301186875174403</v>
      </c>
      <c r="AS1591" s="2">
        <f t="shared" si="332"/>
        <v>-282.41511652725831</v>
      </c>
    </row>
    <row r="1592" spans="37:45" x14ac:dyDescent="0.3">
      <c r="AK1592" s="78">
        <v>45048.322916666664</v>
      </c>
      <c r="AL1592">
        <v>8.4801985082220893E-2</v>
      </c>
      <c r="AM1592" s="6">
        <v>84.460540300000005</v>
      </c>
      <c r="AN1592" s="2">
        <v>9648</v>
      </c>
      <c r="AO1592" s="7">
        <f t="shared" si="333"/>
        <v>160.80000000000001</v>
      </c>
      <c r="AP1592" s="5">
        <f t="shared" si="329"/>
        <v>13.636159201221121</v>
      </c>
      <c r="AQ1592" s="6">
        <f t="shared" si="330"/>
        <v>133.50953887650357</v>
      </c>
      <c r="AR1592" s="2">
        <f t="shared" si="331"/>
        <v>-2.1301186875174403</v>
      </c>
      <c r="AS1592" s="2">
        <f t="shared" si="332"/>
        <v>-284.39116372267642</v>
      </c>
    </row>
    <row r="1593" spans="37:45" x14ac:dyDescent="0.3">
      <c r="AK1593" s="78">
        <v>45048.333333333336</v>
      </c>
      <c r="AL1593">
        <v>8.6549833753727004E-2</v>
      </c>
      <c r="AM1593" s="6">
        <v>82.711152870000006</v>
      </c>
      <c r="AN1593" s="2">
        <v>9494</v>
      </c>
      <c r="AO1593" s="7">
        <f t="shared" si="333"/>
        <v>158.23333333333332</v>
      </c>
      <c r="AP1593" s="5">
        <f t="shared" si="329"/>
        <v>13.695068694298069</v>
      </c>
      <c r="AQ1593" s="6">
        <f t="shared" si="330"/>
        <v>133.79167434544792</v>
      </c>
      <c r="AR1593" s="2">
        <f t="shared" si="331"/>
        <v>-2.1301186875174403</v>
      </c>
      <c r="AS1593" s="2">
        <f t="shared" si="332"/>
        <v>-284.9921457574863</v>
      </c>
    </row>
    <row r="1594" spans="37:45" x14ac:dyDescent="0.3">
      <c r="AK1594" s="78">
        <v>45048.34375</v>
      </c>
      <c r="AL1594">
        <v>8.3874605222193005E-2</v>
      </c>
      <c r="AM1594" s="6">
        <v>89.635700749999998</v>
      </c>
      <c r="AN1594" s="2">
        <v>9423</v>
      </c>
      <c r="AO1594" s="7">
        <f t="shared" si="333"/>
        <v>157.05000000000001</v>
      </c>
      <c r="AP1594" s="5">
        <f t="shared" si="329"/>
        <v>13.172506750145413</v>
      </c>
      <c r="AQ1594" s="6">
        <f t="shared" si="330"/>
        <v>131.26689809510589</v>
      </c>
      <c r="AR1594" s="2">
        <f t="shared" si="331"/>
        <v>-2.1301186875174403</v>
      </c>
      <c r="AS1594" s="2">
        <f t="shared" si="332"/>
        <v>-279.61407268483254</v>
      </c>
    </row>
    <row r="1595" spans="37:45" x14ac:dyDescent="0.3">
      <c r="AK1595" s="78">
        <v>45048.354166666664</v>
      </c>
      <c r="AL1595">
        <v>8.8471124178845603E-2</v>
      </c>
      <c r="AM1595" s="6">
        <v>85.762083380000007</v>
      </c>
      <c r="AN1595" s="2">
        <v>9511</v>
      </c>
      <c r="AO1595" s="7">
        <f t="shared" si="333"/>
        <v>158.51666666666668</v>
      </c>
      <c r="AP1595" s="5">
        <f t="shared" si="329"/>
        <v>14.024147701083344</v>
      </c>
      <c r="AQ1595" s="6">
        <f t="shared" si="330"/>
        <v>135.35646493641701</v>
      </c>
      <c r="AR1595" s="2">
        <f t="shared" si="331"/>
        <v>-2.1301186875174403</v>
      </c>
      <c r="AS1595" s="2">
        <f t="shared" si="332"/>
        <v>-288.32533543736105</v>
      </c>
    </row>
    <row r="1596" spans="37:45" x14ac:dyDescent="0.3">
      <c r="AK1596" s="78">
        <v>45048.364583333336</v>
      </c>
      <c r="AL1596">
        <v>8.3761057044793294E-2</v>
      </c>
      <c r="AM1596" s="6">
        <v>85.762083380000007</v>
      </c>
      <c r="AN1596" s="2">
        <v>9653</v>
      </c>
      <c r="AO1596" s="7">
        <f t="shared" si="333"/>
        <v>160.88333333333333</v>
      </c>
      <c r="AP1596" s="5">
        <f t="shared" si="329"/>
        <v>13.475758060889827</v>
      </c>
      <c r="AQ1596" s="6">
        <f t="shared" si="330"/>
        <v>132.7381612432406</v>
      </c>
      <c r="AR1596" s="2">
        <f t="shared" si="331"/>
        <v>-2.1301186875174403</v>
      </c>
      <c r="AS1596" s="2">
        <f t="shared" si="332"/>
        <v>-282.74803781093004</v>
      </c>
    </row>
    <row r="1597" spans="37:45" x14ac:dyDescent="0.3">
      <c r="AK1597" s="78">
        <v>45048.375</v>
      </c>
      <c r="AL1597">
        <v>8.3582359163388104E-2</v>
      </c>
      <c r="AM1597" s="6">
        <v>84.891986889999998</v>
      </c>
      <c r="AN1597" s="2">
        <v>9846</v>
      </c>
      <c r="AO1597" s="7">
        <f t="shared" si="333"/>
        <v>164.1</v>
      </c>
      <c r="AP1597" s="5">
        <f t="shared" si="329"/>
        <v>13.715865138711987</v>
      </c>
      <c r="AQ1597" s="6">
        <f t="shared" si="330"/>
        <v>133.8911268888138</v>
      </c>
      <c r="AR1597" s="2">
        <f t="shared" si="331"/>
        <v>-2.1301186875174403</v>
      </c>
      <c r="AS1597" s="2">
        <f t="shared" si="332"/>
        <v>-285.20399147863111</v>
      </c>
    </row>
    <row r="1598" spans="37:45" x14ac:dyDescent="0.3">
      <c r="AK1598" s="78">
        <v>45048.385416666664</v>
      </c>
      <c r="AL1598">
        <v>8.6069874354267203E-2</v>
      </c>
      <c r="AM1598" s="6">
        <v>85.762083380000007</v>
      </c>
      <c r="AN1598" s="2">
        <v>9443</v>
      </c>
      <c r="AO1598" s="7">
        <f t="shared" si="333"/>
        <v>157.38333333333333</v>
      </c>
      <c r="AP1598" s="5">
        <f t="shared" si="329"/>
        <v>13.545963725455753</v>
      </c>
      <c r="AQ1598" s="6">
        <f t="shared" si="330"/>
        <v>133.0763574105959</v>
      </c>
      <c r="AR1598" s="2">
        <f t="shared" si="331"/>
        <v>-2.1301186875174403</v>
      </c>
      <c r="AS1598" s="2">
        <f t="shared" si="332"/>
        <v>-283.46843578706034</v>
      </c>
    </row>
    <row r="1599" spans="37:45" x14ac:dyDescent="0.3">
      <c r="AK1599" s="78">
        <v>45048.395833333336</v>
      </c>
      <c r="AL1599">
        <v>8.5530296535878902E-2</v>
      </c>
      <c r="AM1599" s="6">
        <v>80.079324720000002</v>
      </c>
      <c r="AN1599" s="2">
        <v>9714</v>
      </c>
      <c r="AO1599" s="7">
        <f t="shared" si="333"/>
        <v>161.9</v>
      </c>
      <c r="AP1599" s="5">
        <f t="shared" si="329"/>
        <v>13.847355009158795</v>
      </c>
      <c r="AQ1599" s="6">
        <f t="shared" si="330"/>
        <v>134.51816291682383</v>
      </c>
      <c r="AR1599" s="2">
        <f t="shared" si="331"/>
        <v>-2.1301186875174403</v>
      </c>
      <c r="AS1599" s="2">
        <f t="shared" si="332"/>
        <v>-286.53965263964199</v>
      </c>
    </row>
    <row r="1600" spans="37:45" x14ac:dyDescent="0.3">
      <c r="AK1600" s="78">
        <v>45048.40625</v>
      </c>
      <c r="AL1600">
        <v>8.2411260125793806E-2</v>
      </c>
      <c r="AM1600" s="6">
        <v>85.762083380000007</v>
      </c>
      <c r="AN1600" s="2">
        <v>9587</v>
      </c>
      <c r="AO1600" s="7">
        <f t="shared" si="333"/>
        <v>159.78333333333333</v>
      </c>
      <c r="AP1600" s="5">
        <f t="shared" si="329"/>
        <v>13.167945847099753</v>
      </c>
      <c r="AQ1600" s="6">
        <f t="shared" si="330"/>
        <v>131.24463907152281</v>
      </c>
      <c r="AR1600" s="2">
        <f t="shared" si="331"/>
        <v>-2.1301186875174403</v>
      </c>
      <c r="AS1600" s="2">
        <f t="shared" si="332"/>
        <v>-279.56665832273234</v>
      </c>
    </row>
    <row r="1601" spans="37:45" x14ac:dyDescent="0.3">
      <c r="AK1601" s="78">
        <v>45048.416666666664</v>
      </c>
      <c r="AL1601">
        <v>8.4745082914981298E-2</v>
      </c>
      <c r="AM1601" s="6">
        <v>84.899432570000002</v>
      </c>
      <c r="AN1601" s="2">
        <v>9498</v>
      </c>
      <c r="AO1601" s="7">
        <f t="shared" si="333"/>
        <v>158.30000000000001</v>
      </c>
      <c r="AP1601" s="5">
        <f t="shared" si="329"/>
        <v>13.41514662544154</v>
      </c>
      <c r="AQ1601" s="6">
        <f t="shared" si="330"/>
        <v>132.44545868790294</v>
      </c>
      <c r="AR1601" s="2">
        <f t="shared" si="331"/>
        <v>-2.1301186875174403</v>
      </c>
      <c r="AS1601" s="2">
        <f t="shared" si="332"/>
        <v>-282.12454662792118</v>
      </c>
    </row>
    <row r="1602" spans="37:45" x14ac:dyDescent="0.3">
      <c r="AK1602" s="78">
        <v>45048.427083333336</v>
      </c>
      <c r="AL1602">
        <v>8.4755978489292103E-2</v>
      </c>
      <c r="AM1602" s="6">
        <v>83.594462070000006</v>
      </c>
      <c r="AN1602" s="2">
        <v>9580</v>
      </c>
      <c r="AO1602" s="7">
        <f t="shared" si="333"/>
        <v>159.66666666666666</v>
      </c>
      <c r="AP1602" s="5">
        <f t="shared" si="329"/>
        <v>13.532704565456971</v>
      </c>
      <c r="AQ1602" s="6">
        <f t="shared" si="330"/>
        <v>133.01255374710797</v>
      </c>
      <c r="AR1602" s="2">
        <f t="shared" si="331"/>
        <v>-2.1301186875174403</v>
      </c>
      <c r="AS1602" s="2">
        <f t="shared" si="332"/>
        <v>-283.33252641113262</v>
      </c>
    </row>
    <row r="1603" spans="37:45" x14ac:dyDescent="0.3">
      <c r="AK1603" s="78">
        <v>45048.4375</v>
      </c>
      <c r="AL1603">
        <v>8.2461723996205702E-2</v>
      </c>
      <c r="AM1603" s="6">
        <v>80.086877509999994</v>
      </c>
      <c r="AN1603" s="2">
        <v>9643</v>
      </c>
      <c r="AO1603" s="7">
        <f t="shared" si="333"/>
        <v>160.71666666666667</v>
      </c>
      <c r="AP1603" s="5">
        <f t="shared" si="329"/>
        <v>13.25297340825686</v>
      </c>
      <c r="AQ1603" s="6">
        <f t="shared" si="330"/>
        <v>131.65896258239627</v>
      </c>
      <c r="AR1603" s="2">
        <f t="shared" si="331"/>
        <v>-2.1301186875174403</v>
      </c>
      <c r="AS1603" s="2">
        <f t="shared" si="332"/>
        <v>-280.4492165759217</v>
      </c>
    </row>
    <row r="1604" spans="37:45" x14ac:dyDescent="0.3">
      <c r="AK1604" s="78">
        <v>45048.447916666664</v>
      </c>
      <c r="AL1604">
        <v>8.95563363257742E-2</v>
      </c>
      <c r="AM1604" s="6">
        <v>85.762083380000007</v>
      </c>
      <c r="AN1604" s="2">
        <v>9347</v>
      </c>
      <c r="AO1604" s="7">
        <f t="shared" si="333"/>
        <v>155.78333333333333</v>
      </c>
      <c r="AP1604" s="5">
        <f t="shared" ref="AP1604:AP1667" si="334">AO1604*AL1604</f>
        <v>13.951384593950191</v>
      </c>
      <c r="AQ1604" s="6">
        <f t="shared" ref="AQ1604:AQ1667" si="335">37.141*AP1604^0.4897</f>
        <v>135.01209921042485</v>
      </c>
      <c r="AR1604" s="2">
        <f t="shared" ref="AR1604:AR1667" si="336">IF((AM1604-$AP$1)/($AN$1-$AP$1)&lt;0, 0, IF((AA1604-$AP$1)/($AN$1-$AP$1)&gt;1, 1, (AA1604-$AP$1)/($AN$1-$AP$1)))</f>
        <v>-2.1301186875174403</v>
      </c>
      <c r="AS1604" s="2">
        <f t="shared" ref="AS1604:AS1667" si="337">AQ1604*AR1604</f>
        <v>-287.59179556908464</v>
      </c>
    </row>
    <row r="1605" spans="37:45" x14ac:dyDescent="0.3">
      <c r="AK1605" s="78">
        <v>45048.458333333336</v>
      </c>
      <c r="AL1605">
        <v>9.0091763001789296E-2</v>
      </c>
      <c r="AM1605" s="6">
        <v>80.086877509999994</v>
      </c>
      <c r="AN1605" s="2">
        <v>9334</v>
      </c>
      <c r="AO1605" s="7">
        <f t="shared" si="333"/>
        <v>155.56666666666666</v>
      </c>
      <c r="AP1605" s="5">
        <f t="shared" si="334"/>
        <v>14.015275264311688</v>
      </c>
      <c r="AQ1605" s="6">
        <f t="shared" si="335"/>
        <v>135.31452327163913</v>
      </c>
      <c r="AR1605" s="2">
        <f t="shared" si="336"/>
        <v>-2.1301186875174403</v>
      </c>
      <c r="AS1605" s="2">
        <f t="shared" si="337"/>
        <v>-288.23599471343209</v>
      </c>
    </row>
    <row r="1606" spans="37:45" x14ac:dyDescent="0.3">
      <c r="AK1606" s="78">
        <v>45048.46875</v>
      </c>
      <c r="AL1606">
        <v>8.0749233628608003E-2</v>
      </c>
      <c r="AM1606" s="6">
        <v>81.405228940000001</v>
      </c>
      <c r="AN1606" s="2">
        <v>9493</v>
      </c>
      <c r="AO1606" s="7">
        <f t="shared" si="333"/>
        <v>158.21666666666667</v>
      </c>
      <c r="AP1606" s="5">
        <f t="shared" si="334"/>
        <v>12.775874580606263</v>
      </c>
      <c r="AQ1606" s="6">
        <f t="shared" si="335"/>
        <v>129.31624607179438</v>
      </c>
      <c r="AR1606" s="2">
        <f t="shared" si="336"/>
        <v>-2.1301186875174403</v>
      </c>
      <c r="AS1606" s="2">
        <f t="shared" si="337"/>
        <v>-275.458952357133</v>
      </c>
    </row>
    <row r="1607" spans="37:45" x14ac:dyDescent="0.3">
      <c r="AK1607" s="78">
        <v>45048.479166666664</v>
      </c>
      <c r="AL1607">
        <v>8.3930438963235404E-2</v>
      </c>
      <c r="AM1607" s="6">
        <v>79.202259850000004</v>
      </c>
      <c r="AN1607" s="2">
        <v>9610</v>
      </c>
      <c r="AO1607" s="7">
        <f t="shared" si="333"/>
        <v>160.16666666666666</v>
      </c>
      <c r="AP1607" s="5">
        <f t="shared" si="334"/>
        <v>13.442858640611536</v>
      </c>
      <c r="AQ1607" s="6">
        <f t="shared" si="335"/>
        <v>132.57936810943713</v>
      </c>
      <c r="AR1607" s="2">
        <f t="shared" si="336"/>
        <v>-2.1301186875174403</v>
      </c>
      <c r="AS1607" s="2">
        <f t="shared" si="337"/>
        <v>-282.40978958916577</v>
      </c>
    </row>
    <row r="1608" spans="37:45" x14ac:dyDescent="0.3">
      <c r="AK1608" s="78">
        <v>45048.489583333336</v>
      </c>
      <c r="AL1608">
        <v>8.7261747153624794E-2</v>
      </c>
      <c r="AM1608" s="6">
        <v>81.405228940000001</v>
      </c>
      <c r="AN1608" s="2">
        <v>9384</v>
      </c>
      <c r="AO1608" s="7">
        <f t="shared" si="333"/>
        <v>156.4</v>
      </c>
      <c r="AP1608" s="5">
        <f t="shared" si="334"/>
        <v>13.647737254826918</v>
      </c>
      <c r="AQ1608" s="6">
        <f t="shared" si="335"/>
        <v>133.56503873008123</v>
      </c>
      <c r="AR1608" s="2">
        <f t="shared" si="336"/>
        <v>-2.1301186875174403</v>
      </c>
      <c r="AS1608" s="2">
        <f t="shared" si="337"/>
        <v>-284.50938499793671</v>
      </c>
    </row>
    <row r="1609" spans="37:45" x14ac:dyDescent="0.3">
      <c r="AK1609" s="78">
        <v>45048.5</v>
      </c>
      <c r="AL1609">
        <v>8.4209075689070295E-2</v>
      </c>
      <c r="AM1609" s="6">
        <v>83.594462070000006</v>
      </c>
      <c r="AN1609" s="2">
        <v>9280</v>
      </c>
      <c r="AO1609" s="7">
        <f t="shared" si="333"/>
        <v>154.66666666666666</v>
      </c>
      <c r="AP1609" s="5">
        <f t="shared" si="334"/>
        <v>13.024337039909538</v>
      </c>
      <c r="AQ1609" s="6">
        <f t="shared" si="335"/>
        <v>130.54174772982404</v>
      </c>
      <c r="AR1609" s="2">
        <f t="shared" si="336"/>
        <v>-2.1301186875174403</v>
      </c>
      <c r="AS1609" s="2">
        <f t="shared" si="337"/>
        <v>-278.06941634048559</v>
      </c>
    </row>
    <row r="1610" spans="37:45" x14ac:dyDescent="0.3">
      <c r="AK1610" s="78">
        <v>45048.510416666664</v>
      </c>
      <c r="AL1610">
        <v>8.4210862025282093E-2</v>
      </c>
      <c r="AM1610" s="6">
        <v>83.586986100000004</v>
      </c>
      <c r="AN1610" s="2">
        <v>9352</v>
      </c>
      <c r="AO1610" s="7">
        <f t="shared" ref="AO1610:AO1673" si="338">AN1610/60</f>
        <v>155.86666666666667</v>
      </c>
      <c r="AP1610" s="5">
        <f t="shared" si="334"/>
        <v>13.125666361007303</v>
      </c>
      <c r="AQ1610" s="6">
        <f t="shared" si="335"/>
        <v>131.03811077486236</v>
      </c>
      <c r="AR1610" s="2">
        <f t="shared" si="336"/>
        <v>-2.1301186875174403</v>
      </c>
      <c r="AS1610" s="2">
        <f t="shared" si="337"/>
        <v>-279.12672853851478</v>
      </c>
    </row>
    <row r="1611" spans="37:45" x14ac:dyDescent="0.3">
      <c r="AK1611" s="78">
        <v>45048.520833333336</v>
      </c>
      <c r="AL1611">
        <v>8.7281093477810504E-2</v>
      </c>
      <c r="AM1611" s="6">
        <v>84.020316870000002</v>
      </c>
      <c r="AN1611" s="2">
        <v>9456</v>
      </c>
      <c r="AO1611" s="7">
        <f t="shared" si="338"/>
        <v>157.6</v>
      </c>
      <c r="AP1611" s="5">
        <f t="shared" si="334"/>
        <v>13.755500332102935</v>
      </c>
      <c r="AQ1611" s="6">
        <f t="shared" si="335"/>
        <v>134.0804570529163</v>
      </c>
      <c r="AR1611" s="2">
        <f t="shared" si="336"/>
        <v>-2.1301186875174403</v>
      </c>
      <c r="AS1611" s="2">
        <f t="shared" si="337"/>
        <v>-285.60728719929659</v>
      </c>
    </row>
    <row r="1612" spans="37:45" x14ac:dyDescent="0.3">
      <c r="AK1612" s="78">
        <v>45048.53125</v>
      </c>
      <c r="AL1612">
        <v>9.0357470218111594E-2</v>
      </c>
      <c r="AM1612" s="6">
        <v>80.079324720000002</v>
      </c>
      <c r="AN1612" s="2">
        <v>9385</v>
      </c>
      <c r="AO1612" s="7">
        <f t="shared" si="338"/>
        <v>156.41666666666666</v>
      </c>
      <c r="AP1612" s="5">
        <f t="shared" si="334"/>
        <v>14.133414299949621</v>
      </c>
      <c r="AQ1612" s="6">
        <f t="shared" si="335"/>
        <v>135.87188250163516</v>
      </c>
      <c r="AR1612" s="2">
        <f t="shared" si="336"/>
        <v>-2.1301186875174403</v>
      </c>
      <c r="AS1612" s="2">
        <f t="shared" si="337"/>
        <v>-289.42323602490694</v>
      </c>
    </row>
    <row r="1613" spans="37:45" x14ac:dyDescent="0.3">
      <c r="AK1613" s="78">
        <v>45048.541666666664</v>
      </c>
      <c r="AL1613">
        <v>9.0928312889350105E-2</v>
      </c>
      <c r="AM1613" s="6">
        <v>81.397704649999994</v>
      </c>
      <c r="AN1613" s="2">
        <v>9375</v>
      </c>
      <c r="AO1613" s="7">
        <f t="shared" si="338"/>
        <v>156.25</v>
      </c>
      <c r="AP1613" s="5">
        <f t="shared" si="334"/>
        <v>14.207548888960954</v>
      </c>
      <c r="AQ1613" s="6">
        <f t="shared" si="335"/>
        <v>136.22042311892346</v>
      </c>
      <c r="AR1613" s="2">
        <f t="shared" si="336"/>
        <v>-2.1301186875174403</v>
      </c>
      <c r="AS1613" s="2">
        <f t="shared" si="337"/>
        <v>-290.1656689071516</v>
      </c>
    </row>
    <row r="1614" spans="37:45" x14ac:dyDescent="0.3">
      <c r="AK1614" s="78">
        <v>45048.552083333336</v>
      </c>
      <c r="AL1614">
        <v>9.0382250104590806E-2</v>
      </c>
      <c r="AM1614" s="6">
        <v>85.762083380000007</v>
      </c>
      <c r="AN1614" s="2">
        <v>9244</v>
      </c>
      <c r="AO1614" s="7">
        <f t="shared" si="338"/>
        <v>154.06666666666666</v>
      </c>
      <c r="AP1614" s="5">
        <f t="shared" si="334"/>
        <v>13.92489199944729</v>
      </c>
      <c r="AQ1614" s="6">
        <f t="shared" si="335"/>
        <v>134.88649027192005</v>
      </c>
      <c r="AR1614" s="2">
        <f t="shared" si="336"/>
        <v>-2.1301186875174403</v>
      </c>
      <c r="AS1614" s="2">
        <f t="shared" si="337"/>
        <v>-287.32423362185631</v>
      </c>
    </row>
    <row r="1615" spans="37:45" x14ac:dyDescent="0.3">
      <c r="AK1615" s="78">
        <v>45048.5625</v>
      </c>
      <c r="AL1615">
        <v>9.0125132355848903E-2</v>
      </c>
      <c r="AM1615" s="6">
        <v>81.405228940000001</v>
      </c>
      <c r="AN1615" s="2">
        <v>8847</v>
      </c>
      <c r="AO1615" s="7">
        <f t="shared" si="338"/>
        <v>147.44999999999999</v>
      </c>
      <c r="AP1615" s="5">
        <f t="shared" si="334"/>
        <v>13.28895076586992</v>
      </c>
      <c r="AQ1615" s="6">
        <f t="shared" si="335"/>
        <v>131.83386506066424</v>
      </c>
      <c r="AR1615" s="2">
        <f t="shared" si="336"/>
        <v>-2.1301186875174403</v>
      </c>
      <c r="AS1615" s="2">
        <f t="shared" si="337"/>
        <v>-280.82177961337345</v>
      </c>
    </row>
    <row r="1616" spans="37:45" x14ac:dyDescent="0.3">
      <c r="AK1616" s="78">
        <v>45048.572916666664</v>
      </c>
      <c r="AL1616">
        <v>8.8979469753410007E-2</v>
      </c>
      <c r="AM1616" s="6">
        <v>81.405228940000001</v>
      </c>
      <c r="AN1616" s="2">
        <v>8887</v>
      </c>
      <c r="AO1616" s="7">
        <f t="shared" si="338"/>
        <v>148.11666666666667</v>
      </c>
      <c r="AP1616" s="5">
        <f t="shared" si="334"/>
        <v>13.17934246164258</v>
      </c>
      <c r="AQ1616" s="6">
        <f t="shared" si="335"/>
        <v>131.30025172685663</v>
      </c>
      <c r="AR1616" s="2">
        <f t="shared" si="336"/>
        <v>-2.1301186875174403</v>
      </c>
      <c r="AS1616" s="2">
        <f t="shared" si="337"/>
        <v>-279.68511987912137</v>
      </c>
    </row>
    <row r="1617" spans="37:45" x14ac:dyDescent="0.3">
      <c r="AK1617" s="78">
        <v>45048.583333333336</v>
      </c>
      <c r="AL1617">
        <v>8.8235327578982906E-2</v>
      </c>
      <c r="AM1617" s="6">
        <v>86.192545629999998</v>
      </c>
      <c r="AN1617" s="2">
        <v>8763</v>
      </c>
      <c r="AO1617" s="7">
        <f t="shared" si="338"/>
        <v>146.05000000000001</v>
      </c>
      <c r="AP1617" s="5">
        <f t="shared" si="334"/>
        <v>12.886769592910454</v>
      </c>
      <c r="AQ1617" s="6">
        <f t="shared" si="335"/>
        <v>129.86470720047973</v>
      </c>
      <c r="AR1617" s="2">
        <f t="shared" si="336"/>
        <v>-2.1301186875174403</v>
      </c>
      <c r="AS1617" s="2">
        <f t="shared" si="337"/>
        <v>-276.62723965672257</v>
      </c>
    </row>
    <row r="1618" spans="37:45" x14ac:dyDescent="0.3">
      <c r="AK1618" s="78">
        <v>45048.59375</v>
      </c>
      <c r="AL1618">
        <v>8.9062384704187106E-2</v>
      </c>
      <c r="AM1618" s="6">
        <v>83.586986100000004</v>
      </c>
      <c r="AN1618" s="2">
        <v>8938</v>
      </c>
      <c r="AO1618" s="7">
        <f t="shared" si="338"/>
        <v>148.96666666666667</v>
      </c>
      <c r="AP1618" s="5">
        <f t="shared" si="334"/>
        <v>13.267326574767072</v>
      </c>
      <c r="AQ1618" s="6">
        <f t="shared" si="335"/>
        <v>131.72876893859004</v>
      </c>
      <c r="AR1618" s="2">
        <f t="shared" si="336"/>
        <v>-2.1301186875174403</v>
      </c>
      <c r="AS1618" s="2">
        <f t="shared" si="337"/>
        <v>-280.59791239975755</v>
      </c>
    </row>
    <row r="1619" spans="37:45" x14ac:dyDescent="0.3">
      <c r="AK1619" s="78">
        <v>45048.604166666664</v>
      </c>
      <c r="AL1619">
        <v>8.8734637146339196E-2</v>
      </c>
      <c r="AM1619" s="6">
        <v>84.891986889999998</v>
      </c>
      <c r="AN1619" s="2">
        <v>8689</v>
      </c>
      <c r="AO1619" s="7">
        <f t="shared" si="338"/>
        <v>144.81666666666666</v>
      </c>
      <c r="AP1619" s="5">
        <f t="shared" si="334"/>
        <v>12.85025436940902</v>
      </c>
      <c r="AQ1619" s="6">
        <f t="shared" si="335"/>
        <v>129.68437824597623</v>
      </c>
      <c r="AR1619" s="2">
        <f t="shared" si="336"/>
        <v>-2.1301186875174403</v>
      </c>
      <c r="AS1619" s="2">
        <f t="shared" si="337"/>
        <v>-276.24311758083417</v>
      </c>
    </row>
    <row r="1620" spans="37:45" x14ac:dyDescent="0.3">
      <c r="AK1620" s="78">
        <v>45048.614583333336</v>
      </c>
      <c r="AL1620">
        <v>9.1160792766572005E-2</v>
      </c>
      <c r="AM1620" s="6">
        <v>80.523852189999999</v>
      </c>
      <c r="AN1620" s="2">
        <v>8606</v>
      </c>
      <c r="AO1620" s="7">
        <f t="shared" si="338"/>
        <v>143.43333333333334</v>
      </c>
      <c r="AP1620" s="5">
        <f t="shared" si="334"/>
        <v>13.075496375818645</v>
      </c>
      <c r="AQ1620" s="6">
        <f t="shared" si="335"/>
        <v>130.79259777280785</v>
      </c>
      <c r="AR1620" s="2">
        <f t="shared" si="336"/>
        <v>-2.1301186875174403</v>
      </c>
      <c r="AS1620" s="2">
        <f t="shared" si="337"/>
        <v>-278.60375670480994</v>
      </c>
    </row>
    <row r="1621" spans="37:45" x14ac:dyDescent="0.3">
      <c r="AK1621" s="78">
        <v>45048.625</v>
      </c>
      <c r="AL1621">
        <v>9.1277705386221597E-2</v>
      </c>
      <c r="AM1621" s="6">
        <v>84.027783200000002</v>
      </c>
      <c r="AN1621" s="2">
        <v>8325</v>
      </c>
      <c r="AO1621" s="7">
        <f t="shared" si="338"/>
        <v>138.75</v>
      </c>
      <c r="AP1621" s="5">
        <f t="shared" si="334"/>
        <v>12.664781622338246</v>
      </c>
      <c r="AQ1621" s="6">
        <f t="shared" si="335"/>
        <v>128.76436461405126</v>
      </c>
      <c r="AR1621" s="2">
        <f t="shared" si="336"/>
        <v>-2.1301186875174403</v>
      </c>
      <c r="AS1621" s="2">
        <f t="shared" si="337"/>
        <v>-274.28337935069999</v>
      </c>
    </row>
    <row r="1622" spans="37:45" x14ac:dyDescent="0.3">
      <c r="AK1622" s="78">
        <v>45048.635416666664</v>
      </c>
      <c r="AL1622">
        <v>9.9972797855203105E-2</v>
      </c>
      <c r="AM1622" s="6">
        <v>93.884261949999996</v>
      </c>
      <c r="AN1622" s="2">
        <v>8245</v>
      </c>
      <c r="AO1622" s="7">
        <f t="shared" si="338"/>
        <v>137.41666666666666</v>
      </c>
      <c r="AP1622" s="5">
        <f t="shared" si="334"/>
        <v>13.737928638602492</v>
      </c>
      <c r="AQ1622" s="6">
        <f t="shared" si="335"/>
        <v>133.99655464327944</v>
      </c>
      <c r="AR1622" s="2">
        <f t="shared" si="336"/>
        <v>-2.1301186875174403</v>
      </c>
      <c r="AS1622" s="2">
        <f t="shared" si="337"/>
        <v>-285.42856510860139</v>
      </c>
    </row>
    <row r="1623" spans="37:45" x14ac:dyDescent="0.3">
      <c r="AK1623" s="78">
        <v>45048.645833333336</v>
      </c>
      <c r="AL1623">
        <v>9.8214457056985394E-2</v>
      </c>
      <c r="AM1623" s="6">
        <v>89.635700749999998</v>
      </c>
      <c r="AN1623" s="2">
        <v>7741</v>
      </c>
      <c r="AO1623" s="7">
        <f t="shared" si="338"/>
        <v>129.01666666666668</v>
      </c>
      <c r="AP1623" s="5">
        <f t="shared" si="334"/>
        <v>12.671301867968733</v>
      </c>
      <c r="AQ1623" s="6">
        <f t="shared" si="335"/>
        <v>128.79682360438272</v>
      </c>
      <c r="AR1623" s="2">
        <f t="shared" si="336"/>
        <v>-2.1301186875174403</v>
      </c>
      <c r="AS1623" s="2">
        <f t="shared" si="337"/>
        <v>-274.35252085258298</v>
      </c>
    </row>
    <row r="1624" spans="37:45" x14ac:dyDescent="0.3">
      <c r="AK1624" s="78">
        <v>45048.65625</v>
      </c>
      <c r="AL1624">
        <v>0.103325005157724</v>
      </c>
      <c r="AM1624" s="6">
        <v>86.199962600000006</v>
      </c>
      <c r="AN1624" s="2">
        <v>7949</v>
      </c>
      <c r="AO1624" s="7">
        <f t="shared" si="338"/>
        <v>132.48333333333332</v>
      </c>
      <c r="AP1624" s="5">
        <f t="shared" si="334"/>
        <v>13.688841099979133</v>
      </c>
      <c r="AQ1624" s="6">
        <f t="shared" si="335"/>
        <v>133.76187781554259</v>
      </c>
      <c r="AR1624" s="2">
        <f t="shared" si="336"/>
        <v>-2.1301186875174403</v>
      </c>
      <c r="AS1624" s="2">
        <f t="shared" si="337"/>
        <v>-284.92867561231179</v>
      </c>
    </row>
    <row r="1625" spans="37:45" x14ac:dyDescent="0.3">
      <c r="AK1625" s="78">
        <v>45048.666666666664</v>
      </c>
      <c r="AL1625">
        <v>0.102243578816422</v>
      </c>
      <c r="AM1625" s="6">
        <v>90.915794009999999</v>
      </c>
      <c r="AN1625" s="2">
        <v>7771</v>
      </c>
      <c r="AO1625" s="7">
        <f t="shared" si="338"/>
        <v>129.51666666666668</v>
      </c>
      <c r="AP1625" s="5">
        <f t="shared" si="334"/>
        <v>13.24224751637359</v>
      </c>
      <c r="AQ1625" s="6">
        <f t="shared" si="335"/>
        <v>131.60677221797721</v>
      </c>
      <c r="AR1625" s="2">
        <f t="shared" si="336"/>
        <v>-2.1301186875174403</v>
      </c>
      <c r="AS1625" s="2">
        <f t="shared" si="337"/>
        <v>-280.33804490536431</v>
      </c>
    </row>
    <row r="1626" spans="37:45" x14ac:dyDescent="0.3">
      <c r="AK1626" s="78">
        <v>45048.677083333336</v>
      </c>
      <c r="AL1626">
        <v>9.49351880898157E-2</v>
      </c>
      <c r="AM1626" s="6">
        <v>88.350109630000006</v>
      </c>
      <c r="AN1626" s="2">
        <v>7926</v>
      </c>
      <c r="AO1626" s="7">
        <f t="shared" si="338"/>
        <v>132.1</v>
      </c>
      <c r="AP1626" s="5">
        <f t="shared" si="334"/>
        <v>12.540938346664653</v>
      </c>
      <c r="AQ1626" s="6">
        <f t="shared" si="335"/>
        <v>128.14622285094455</v>
      </c>
      <c r="AR1626" s="2">
        <f t="shared" si="336"/>
        <v>-2.1301186875174403</v>
      </c>
      <c r="AS1626" s="2">
        <f t="shared" si="337"/>
        <v>-272.9666640295714</v>
      </c>
    </row>
    <row r="1627" spans="37:45" x14ac:dyDescent="0.3">
      <c r="AK1627" s="78">
        <v>45048.6875</v>
      </c>
      <c r="AL1627">
        <v>9.6357896651456207E-2</v>
      </c>
      <c r="AM1627" s="6">
        <v>91.767774239999994</v>
      </c>
      <c r="AN1627" s="2">
        <v>7747</v>
      </c>
      <c r="AO1627" s="7">
        <f t="shared" si="338"/>
        <v>129.11666666666667</v>
      </c>
      <c r="AP1627" s="5">
        <f t="shared" si="334"/>
        <v>12.441410422647188</v>
      </c>
      <c r="AQ1627" s="6">
        <f t="shared" si="335"/>
        <v>127.64718569971043</v>
      </c>
      <c r="AR1627" s="2">
        <f t="shared" si="336"/>
        <v>-2.1301186875174403</v>
      </c>
      <c r="AS1627" s="2">
        <f t="shared" si="337"/>
        <v>-271.90365566796214</v>
      </c>
    </row>
    <row r="1628" spans="37:45" x14ac:dyDescent="0.3">
      <c r="AK1628" s="78">
        <v>45048.697916666664</v>
      </c>
      <c r="AL1628">
        <v>0.10132743780932101</v>
      </c>
      <c r="AM1628" s="6">
        <v>96.393321510000007</v>
      </c>
      <c r="AN1628" s="2">
        <v>7608</v>
      </c>
      <c r="AO1628" s="7">
        <f t="shared" si="338"/>
        <v>126.8</v>
      </c>
      <c r="AP1628" s="5">
        <f t="shared" si="334"/>
        <v>12.848319114221903</v>
      </c>
      <c r="AQ1628" s="6">
        <f t="shared" si="335"/>
        <v>129.67481377457597</v>
      </c>
      <c r="AR1628" s="2">
        <f t="shared" si="336"/>
        <v>-2.1301186875174403</v>
      </c>
      <c r="AS1628" s="2">
        <f t="shared" si="337"/>
        <v>-276.22274412156827</v>
      </c>
    </row>
    <row r="1629" spans="37:45" x14ac:dyDescent="0.3">
      <c r="AK1629" s="78">
        <v>45048.708333333336</v>
      </c>
      <c r="AL1629">
        <v>0.103324284078888</v>
      </c>
      <c r="AM1629" s="6">
        <v>102.9873886</v>
      </c>
      <c r="AN1629" s="2">
        <v>7457</v>
      </c>
      <c r="AO1629" s="7">
        <f t="shared" si="338"/>
        <v>124.28333333333333</v>
      </c>
      <c r="AP1629" s="5">
        <f t="shared" si="334"/>
        <v>12.841486439604463</v>
      </c>
      <c r="AQ1629" s="6">
        <f t="shared" si="335"/>
        <v>129.64103926108348</v>
      </c>
      <c r="AR1629" s="2">
        <f t="shared" si="336"/>
        <v>-2.1301186875174403</v>
      </c>
      <c r="AS1629" s="2">
        <f t="shared" si="337"/>
        <v>-276.15080039921611</v>
      </c>
    </row>
    <row r="1630" spans="37:45" x14ac:dyDescent="0.3">
      <c r="AK1630" s="78">
        <v>45048.71875</v>
      </c>
      <c r="AL1630">
        <v>0.105601713214922</v>
      </c>
      <c r="AM1630" s="6">
        <v>99.297599469999994</v>
      </c>
      <c r="AN1630" s="2">
        <v>7573</v>
      </c>
      <c r="AO1630" s="7">
        <f t="shared" si="338"/>
        <v>126.21666666666667</v>
      </c>
      <c r="AP1630" s="5">
        <f t="shared" si="334"/>
        <v>13.328696236276738</v>
      </c>
      <c r="AQ1630" s="6">
        <f t="shared" si="335"/>
        <v>132.02680537919684</v>
      </c>
      <c r="AR1630" s="2">
        <f t="shared" si="336"/>
        <v>-2.1301186875174403</v>
      </c>
      <c r="AS1630" s="2">
        <f t="shared" si="337"/>
        <v>-281.2327653914553</v>
      </c>
    </row>
    <row r="1631" spans="37:45" x14ac:dyDescent="0.3">
      <c r="AK1631" s="78">
        <v>45048.729166666664</v>
      </c>
      <c r="AL1631">
        <v>9.8412100089446106E-2</v>
      </c>
      <c r="AM1631" s="6">
        <v>110.9974619</v>
      </c>
      <c r="AN1631" s="2">
        <v>7905</v>
      </c>
      <c r="AO1631" s="7">
        <f t="shared" si="338"/>
        <v>131.75</v>
      </c>
      <c r="AP1631" s="5">
        <f t="shared" si="334"/>
        <v>12.965794186784525</v>
      </c>
      <c r="AQ1631" s="6">
        <f t="shared" si="335"/>
        <v>130.25407631627783</v>
      </c>
      <c r="AR1631" s="2">
        <f t="shared" si="336"/>
        <v>-2.1301186875174403</v>
      </c>
      <c r="AS1631" s="2">
        <f t="shared" si="337"/>
        <v>-277.45664208662623</v>
      </c>
    </row>
    <row r="1632" spans="37:45" x14ac:dyDescent="0.3">
      <c r="AK1632" s="78">
        <v>45048.739583333336</v>
      </c>
      <c r="AL1632">
        <v>0.102103033573226</v>
      </c>
      <c r="AM1632" s="6">
        <v>122.1341827</v>
      </c>
      <c r="AN1632" s="2">
        <v>7361</v>
      </c>
      <c r="AO1632" s="7">
        <f t="shared" si="338"/>
        <v>122.68333333333334</v>
      </c>
      <c r="AP1632" s="5">
        <f t="shared" si="334"/>
        <v>12.52634050220861</v>
      </c>
      <c r="AQ1632" s="6">
        <f t="shared" si="335"/>
        <v>128.07315545090975</v>
      </c>
      <c r="AR1632" s="2">
        <f t="shared" si="336"/>
        <v>-2.1301186875174403</v>
      </c>
      <c r="AS1632" s="2">
        <f t="shared" si="337"/>
        <v>-272.81102179530899</v>
      </c>
    </row>
    <row r="1633" spans="37:45" x14ac:dyDescent="0.3">
      <c r="AK1633" s="78">
        <v>45048.75</v>
      </c>
      <c r="AL1633">
        <v>0.10132636221946301</v>
      </c>
      <c r="AM1633" s="6">
        <v>113.3544048</v>
      </c>
      <c r="AN1633" s="2">
        <v>7543</v>
      </c>
      <c r="AO1633" s="7">
        <f t="shared" si="338"/>
        <v>125.71666666666667</v>
      </c>
      <c r="AP1633" s="5">
        <f t="shared" si="334"/>
        <v>12.738412503690158</v>
      </c>
      <c r="AQ1633" s="6">
        <f t="shared" si="335"/>
        <v>129.1304186991305</v>
      </c>
      <c r="AR1633" s="2">
        <f t="shared" si="336"/>
        <v>-2.1301186875174403</v>
      </c>
      <c r="AS1633" s="2">
        <f t="shared" si="337"/>
        <v>-275.06311799796941</v>
      </c>
    </row>
    <row r="1634" spans="37:45" x14ac:dyDescent="0.3">
      <c r="AK1634" s="78">
        <v>45048.760416666664</v>
      </c>
      <c r="AL1634">
        <v>0.110540875032604</v>
      </c>
      <c r="AM1634" s="6">
        <v>118.36070239999999</v>
      </c>
      <c r="AN1634" s="2">
        <v>7557</v>
      </c>
      <c r="AO1634" s="7">
        <f t="shared" si="338"/>
        <v>125.95</v>
      </c>
      <c r="AP1634" s="5">
        <f t="shared" si="334"/>
        <v>13.922623210356473</v>
      </c>
      <c r="AQ1634" s="6">
        <f t="shared" si="335"/>
        <v>134.87572762968981</v>
      </c>
      <c r="AR1634" s="2">
        <f t="shared" si="336"/>
        <v>-2.1301186875174403</v>
      </c>
      <c r="AS1634" s="2">
        <f t="shared" si="337"/>
        <v>-287.30130791651459</v>
      </c>
    </row>
    <row r="1635" spans="37:45" x14ac:dyDescent="0.3">
      <c r="AK1635" s="78">
        <v>45048.770833333336</v>
      </c>
      <c r="AL1635">
        <v>0.10120429884024799</v>
      </c>
      <c r="AM1635" s="6">
        <v>114.9053189</v>
      </c>
      <c r="AN1635" s="2">
        <v>7634</v>
      </c>
      <c r="AO1635" s="7">
        <f t="shared" si="338"/>
        <v>127.23333333333333</v>
      </c>
      <c r="AP1635" s="5">
        <f t="shared" si="334"/>
        <v>12.876560289107553</v>
      </c>
      <c r="AQ1635" s="6">
        <f t="shared" si="335"/>
        <v>129.81431525540017</v>
      </c>
      <c r="AR1635" s="2">
        <f t="shared" si="336"/>
        <v>-2.1301186875174403</v>
      </c>
      <c r="AS1635" s="2">
        <f t="shared" si="337"/>
        <v>-276.51989883280822</v>
      </c>
    </row>
    <row r="1636" spans="37:45" x14ac:dyDescent="0.3">
      <c r="AK1636" s="78">
        <v>45048.78125</v>
      </c>
      <c r="AL1636">
        <v>0.104289677408879</v>
      </c>
      <c r="AM1636" s="6">
        <v>119.12362779999999</v>
      </c>
      <c r="AN1636" s="2">
        <v>7801</v>
      </c>
      <c r="AO1636" s="7">
        <f t="shared" si="338"/>
        <v>130.01666666666668</v>
      </c>
      <c r="AP1636" s="5">
        <f t="shared" si="334"/>
        <v>13.559396224444418</v>
      </c>
      <c r="AQ1636" s="6">
        <f t="shared" si="335"/>
        <v>133.14096269994792</v>
      </c>
      <c r="AR1636" s="2">
        <f t="shared" si="336"/>
        <v>-2.1301186875174403</v>
      </c>
      <c r="AS1636" s="2">
        <f t="shared" si="337"/>
        <v>-283.60605272122154</v>
      </c>
    </row>
    <row r="1637" spans="37:45" x14ac:dyDescent="0.3">
      <c r="AK1637" s="78">
        <v>45048.791666666664</v>
      </c>
      <c r="AL1637">
        <v>9.9754898197001896E-2</v>
      </c>
      <c r="AM1637" s="6">
        <v>116.4455014</v>
      </c>
      <c r="AN1637" s="2">
        <v>7712</v>
      </c>
      <c r="AO1637" s="7">
        <f t="shared" si="338"/>
        <v>128.53333333333333</v>
      </c>
      <c r="AP1637" s="5">
        <f t="shared" si="334"/>
        <v>12.821829581587977</v>
      </c>
      <c r="AQ1637" s="6">
        <f t="shared" si="335"/>
        <v>129.54382250412087</v>
      </c>
      <c r="AR1637" s="2">
        <f t="shared" si="336"/>
        <v>-2.1301186875174403</v>
      </c>
      <c r="AS1637" s="2">
        <f t="shared" si="337"/>
        <v>-275.94371716847019</v>
      </c>
    </row>
    <row r="1638" spans="37:45" x14ac:dyDescent="0.3">
      <c r="AK1638" s="78">
        <v>45048.802083333336</v>
      </c>
      <c r="AL1638">
        <v>9.7742235806576497E-2</v>
      </c>
      <c r="AM1638" s="6">
        <v>112.18199679999999</v>
      </c>
      <c r="AN1638" s="2">
        <v>7759</v>
      </c>
      <c r="AO1638" s="7">
        <f t="shared" si="338"/>
        <v>129.31666666666666</v>
      </c>
      <c r="AP1638" s="5">
        <f t="shared" si="334"/>
        <v>12.639700127053784</v>
      </c>
      <c r="AQ1638" s="6">
        <f t="shared" si="335"/>
        <v>128.63942472230636</v>
      </c>
      <c r="AR1638" s="2">
        <f t="shared" si="336"/>
        <v>-2.1301186875174403</v>
      </c>
      <c r="AS1638" s="2">
        <f t="shared" si="337"/>
        <v>-274.0172425524778</v>
      </c>
    </row>
    <row r="1639" spans="37:45" x14ac:dyDescent="0.3">
      <c r="AK1639" s="78">
        <v>45048.8125</v>
      </c>
      <c r="AL1639">
        <v>0.102391251100252</v>
      </c>
      <c r="AM1639" s="6">
        <v>129.48707379999999</v>
      </c>
      <c r="AN1639" s="2">
        <v>7612</v>
      </c>
      <c r="AO1639" s="7">
        <f t="shared" si="338"/>
        <v>126.86666666666666</v>
      </c>
      <c r="AP1639" s="5">
        <f t="shared" si="334"/>
        <v>12.990036722918637</v>
      </c>
      <c r="AQ1639" s="6">
        <f t="shared" si="335"/>
        <v>130.37328099890266</v>
      </c>
      <c r="AR1639" s="2">
        <f t="shared" si="336"/>
        <v>-2.1301186875174403</v>
      </c>
      <c r="AS1639" s="2">
        <f t="shared" si="337"/>
        <v>-277.71056220872498</v>
      </c>
    </row>
    <row r="1640" spans="37:45" x14ac:dyDescent="0.3">
      <c r="AK1640" s="78">
        <v>45048.822916666664</v>
      </c>
      <c r="AL1640">
        <v>0.103003685369567</v>
      </c>
      <c r="AM1640" s="6">
        <v>125.108964</v>
      </c>
      <c r="AN1640" s="2">
        <v>7740</v>
      </c>
      <c r="AO1640" s="7">
        <f t="shared" si="338"/>
        <v>129</v>
      </c>
      <c r="AP1640" s="5">
        <f t="shared" si="334"/>
        <v>13.287475412674143</v>
      </c>
      <c r="AQ1640" s="6">
        <f t="shared" si="335"/>
        <v>131.82669744514871</v>
      </c>
      <c r="AR1640" s="2">
        <f t="shared" si="336"/>
        <v>-2.1301186875174403</v>
      </c>
      <c r="AS1640" s="2">
        <f t="shared" si="337"/>
        <v>-280.80651174161886</v>
      </c>
    </row>
    <row r="1641" spans="37:45" x14ac:dyDescent="0.3">
      <c r="AK1641" s="78">
        <v>45048.833333333336</v>
      </c>
      <c r="AL1641">
        <v>0.100152906219518</v>
      </c>
      <c r="AM1641" s="6">
        <v>117.9749527</v>
      </c>
      <c r="AN1641" s="2">
        <v>7785</v>
      </c>
      <c r="AO1641" s="7">
        <f t="shared" si="338"/>
        <v>129.75</v>
      </c>
      <c r="AP1641" s="5">
        <f t="shared" si="334"/>
        <v>12.994839581982461</v>
      </c>
      <c r="AQ1641" s="6">
        <f t="shared" si="335"/>
        <v>130.39688399847708</v>
      </c>
      <c r="AR1641" s="2">
        <f t="shared" si="336"/>
        <v>-2.1301186875174403</v>
      </c>
      <c r="AS1641" s="2">
        <f t="shared" si="337"/>
        <v>-277.76083939919988</v>
      </c>
    </row>
    <row r="1642" spans="37:45" x14ac:dyDescent="0.3">
      <c r="AK1642" s="78">
        <v>45048.84375</v>
      </c>
      <c r="AL1642">
        <v>9.5971309918892994E-2</v>
      </c>
      <c r="AM1642" s="6">
        <v>104.61473460000001</v>
      </c>
      <c r="AN1642" s="2">
        <v>8257</v>
      </c>
      <c r="AO1642" s="7">
        <f t="shared" si="338"/>
        <v>137.61666666666667</v>
      </c>
      <c r="AP1642" s="5">
        <f t="shared" si="334"/>
        <v>13.207251766671659</v>
      </c>
      <c r="AQ1642" s="6">
        <f t="shared" si="335"/>
        <v>131.43633867364716</v>
      </c>
      <c r="AR1642" s="2">
        <f t="shared" si="336"/>
        <v>-2.1301186875174403</v>
      </c>
      <c r="AS1642" s="2">
        <f t="shared" si="337"/>
        <v>-279.97500122760704</v>
      </c>
    </row>
    <row r="1643" spans="37:45" x14ac:dyDescent="0.3">
      <c r="AK1643" s="78">
        <v>45048.854166666664</v>
      </c>
      <c r="AL1643">
        <v>9.4456611912506705E-2</v>
      </c>
      <c r="AM1643" s="6">
        <v>100.12409340000001</v>
      </c>
      <c r="AN1643" s="2">
        <v>8138</v>
      </c>
      <c r="AO1643" s="7">
        <f t="shared" si="338"/>
        <v>135.63333333333333</v>
      </c>
      <c r="AP1643" s="5">
        <f t="shared" si="334"/>
        <v>12.811465129066326</v>
      </c>
      <c r="AQ1643" s="6">
        <f t="shared" si="335"/>
        <v>129.49253249479264</v>
      </c>
      <c r="AR1643" s="2">
        <f t="shared" si="336"/>
        <v>-2.1301186875174403</v>
      </c>
      <c r="AS1643" s="2">
        <f t="shared" si="337"/>
        <v>-275.83446336111717</v>
      </c>
    </row>
    <row r="1644" spans="37:45" x14ac:dyDescent="0.3">
      <c r="AK1644" s="78">
        <v>45048.864583333336</v>
      </c>
      <c r="AL1644">
        <v>9.3622983248821304E-2</v>
      </c>
      <c r="AM1644" s="6">
        <v>103.80204430000001</v>
      </c>
      <c r="AN1644" s="2">
        <v>8307</v>
      </c>
      <c r="AO1644" s="7">
        <f t="shared" si="338"/>
        <v>138.44999999999999</v>
      </c>
      <c r="AP1644" s="5">
        <f t="shared" si="334"/>
        <v>12.962102030799308</v>
      </c>
      <c r="AQ1644" s="6">
        <f t="shared" si="335"/>
        <v>130.23591137900431</v>
      </c>
      <c r="AR1644" s="2">
        <f t="shared" si="336"/>
        <v>-2.1301186875174403</v>
      </c>
      <c r="AS1644" s="2">
        <f t="shared" si="337"/>
        <v>-277.4179486142823</v>
      </c>
    </row>
    <row r="1645" spans="37:45" x14ac:dyDescent="0.3">
      <c r="AK1645" s="78">
        <v>45048.875</v>
      </c>
      <c r="AL1645">
        <v>9.3267755042865705E-2</v>
      </c>
      <c r="AM1645" s="6">
        <v>102.5822131</v>
      </c>
      <c r="AN1645" s="2">
        <v>8365</v>
      </c>
      <c r="AO1645" s="7">
        <f t="shared" si="338"/>
        <v>139.41666666666666</v>
      </c>
      <c r="AP1645" s="5">
        <f t="shared" si="334"/>
        <v>13.003079515559525</v>
      </c>
      <c r="AQ1645" s="6">
        <f t="shared" si="335"/>
        <v>130.43736766683759</v>
      </c>
      <c r="AR1645" s="2">
        <f t="shared" si="336"/>
        <v>-2.1301186875174403</v>
      </c>
      <c r="AS1645" s="2">
        <f t="shared" si="337"/>
        <v>-277.84707441771388</v>
      </c>
    </row>
    <row r="1646" spans="37:45" x14ac:dyDescent="0.3">
      <c r="AK1646" s="78">
        <v>45048.885416666664</v>
      </c>
      <c r="AL1646">
        <v>9.4881656114100404E-2</v>
      </c>
      <c r="AM1646" s="6">
        <v>101.36348099999999</v>
      </c>
      <c r="AN1646" s="2">
        <v>8322</v>
      </c>
      <c r="AO1646" s="7">
        <f t="shared" si="338"/>
        <v>138.69999999999999</v>
      </c>
      <c r="AP1646" s="5">
        <f t="shared" si="334"/>
        <v>13.160085703025725</v>
      </c>
      <c r="AQ1646" s="6">
        <f t="shared" si="335"/>
        <v>131.20626920302379</v>
      </c>
      <c r="AR1646" s="2">
        <f t="shared" si="336"/>
        <v>-2.1301186875174403</v>
      </c>
      <c r="AS1646" s="2">
        <f t="shared" si="337"/>
        <v>-279.48492594880497</v>
      </c>
    </row>
    <row r="1647" spans="37:45" x14ac:dyDescent="0.3">
      <c r="AK1647" s="78">
        <v>45048.895833333336</v>
      </c>
      <c r="AL1647">
        <v>9.2281356461081904E-2</v>
      </c>
      <c r="AM1647" s="6">
        <v>101.36348099999999</v>
      </c>
      <c r="AN1647" s="2">
        <v>8411</v>
      </c>
      <c r="AO1647" s="7">
        <f t="shared" si="338"/>
        <v>140.18333333333334</v>
      </c>
      <c r="AP1647" s="5">
        <f t="shared" si="334"/>
        <v>12.936308153235998</v>
      </c>
      <c r="AQ1647" s="6">
        <f t="shared" si="335"/>
        <v>130.1089350616158</v>
      </c>
      <c r="AR1647" s="2">
        <f t="shared" si="336"/>
        <v>-2.1301186875174403</v>
      </c>
      <c r="AS1647" s="2">
        <f t="shared" si="337"/>
        <v>-277.14747398774091</v>
      </c>
    </row>
    <row r="1648" spans="37:45" x14ac:dyDescent="0.3">
      <c r="AK1648" s="78">
        <v>45048.90625</v>
      </c>
      <c r="AL1648">
        <v>9.6486237909513495E-2</v>
      </c>
      <c r="AM1648" s="6">
        <v>96.815355729999993</v>
      </c>
      <c r="AN1648" s="2">
        <v>8896</v>
      </c>
      <c r="AO1648" s="7">
        <f t="shared" si="338"/>
        <v>148.26666666666668</v>
      </c>
      <c r="AP1648" s="5">
        <f t="shared" si="334"/>
        <v>14.305692874050536</v>
      </c>
      <c r="AQ1648" s="6">
        <f t="shared" si="335"/>
        <v>136.68041839802888</v>
      </c>
      <c r="AR1648" s="2">
        <f t="shared" si="336"/>
        <v>-2.1301186875174403</v>
      </c>
      <c r="AS1648" s="2">
        <f t="shared" si="337"/>
        <v>-291.14551344734389</v>
      </c>
    </row>
    <row r="1649" spans="37:45" x14ac:dyDescent="0.3">
      <c r="AK1649" s="78">
        <v>45048.916666666664</v>
      </c>
      <c r="AL1649">
        <v>9.5716247443404498E-2</v>
      </c>
      <c r="AM1649" s="6">
        <v>94.720978599999995</v>
      </c>
      <c r="AN1649" s="2">
        <v>8691</v>
      </c>
      <c r="AO1649" s="7">
        <f t="shared" si="338"/>
        <v>144.85</v>
      </c>
      <c r="AP1649" s="5">
        <f t="shared" si="334"/>
        <v>13.86449844217714</v>
      </c>
      <c r="AQ1649" s="6">
        <f t="shared" si="335"/>
        <v>134.59969055807269</v>
      </c>
      <c r="AR1649" s="2">
        <f t="shared" si="336"/>
        <v>-2.1301186875174403</v>
      </c>
      <c r="AS1649" s="2">
        <f t="shared" si="337"/>
        <v>-286.71331619181541</v>
      </c>
    </row>
    <row r="1650" spans="37:45" x14ac:dyDescent="0.3">
      <c r="AK1650" s="78">
        <v>45048.927083333336</v>
      </c>
      <c r="AL1650">
        <v>9.2684406172247005E-2</v>
      </c>
      <c r="AM1650" s="6">
        <v>100.9486689</v>
      </c>
      <c r="AN1650" s="2">
        <v>8853</v>
      </c>
      <c r="AO1650" s="7">
        <f t="shared" si="338"/>
        <v>147.55000000000001</v>
      </c>
      <c r="AP1650" s="5">
        <f t="shared" si="334"/>
        <v>13.675584130715047</v>
      </c>
      <c r="AQ1650" s="6">
        <f t="shared" si="335"/>
        <v>133.69842551370127</v>
      </c>
      <c r="AR1650" s="2">
        <f t="shared" si="336"/>
        <v>-2.1301186875174403</v>
      </c>
      <c r="AS1650" s="2">
        <f t="shared" si="337"/>
        <v>-284.79351467839359</v>
      </c>
    </row>
    <row r="1651" spans="37:45" x14ac:dyDescent="0.3">
      <c r="AK1651" s="78">
        <v>45048.9375</v>
      </c>
      <c r="AL1651">
        <v>9.0311246614523097E-2</v>
      </c>
      <c r="AM1651" s="6">
        <v>97.229596529999995</v>
      </c>
      <c r="AN1651" s="2">
        <v>8825</v>
      </c>
      <c r="AO1651" s="7">
        <f t="shared" si="338"/>
        <v>147.08333333333334</v>
      </c>
      <c r="AP1651" s="5">
        <f t="shared" si="334"/>
        <v>13.283279189552774</v>
      </c>
      <c r="AQ1651" s="6">
        <f t="shared" si="335"/>
        <v>131.80630897812767</v>
      </c>
      <c r="AR1651" s="2">
        <f t="shared" si="336"/>
        <v>-2.1301186875174403</v>
      </c>
      <c r="AS1651" s="2">
        <f t="shared" si="337"/>
        <v>-280.7630818870075</v>
      </c>
    </row>
    <row r="1652" spans="37:45" x14ac:dyDescent="0.3">
      <c r="AK1652" s="78">
        <v>45048.947916666664</v>
      </c>
      <c r="AL1652">
        <v>9.2121978680520897E-2</v>
      </c>
      <c r="AM1652" s="6">
        <v>102.9943694</v>
      </c>
      <c r="AN1652" s="2">
        <v>8497</v>
      </c>
      <c r="AO1652" s="7">
        <f t="shared" si="338"/>
        <v>141.61666666666667</v>
      </c>
      <c r="AP1652" s="5">
        <f t="shared" si="334"/>
        <v>13.046007547473101</v>
      </c>
      <c r="AQ1652" s="6">
        <f t="shared" si="335"/>
        <v>130.64806620221847</v>
      </c>
      <c r="AR1652" s="2">
        <f t="shared" si="336"/>
        <v>-2.1301186875174403</v>
      </c>
      <c r="AS1652" s="2">
        <f t="shared" si="337"/>
        <v>-278.29588730536125</v>
      </c>
    </row>
    <row r="1653" spans="37:45" x14ac:dyDescent="0.3">
      <c r="AK1653" s="78">
        <v>45048.958333333336</v>
      </c>
      <c r="AL1653">
        <v>9.3270159029743505E-2</v>
      </c>
      <c r="AM1653" s="6">
        <v>95.561650760000006</v>
      </c>
      <c r="AN1653" s="2">
        <v>9027</v>
      </c>
      <c r="AO1653" s="7">
        <f t="shared" si="338"/>
        <v>150.44999999999999</v>
      </c>
      <c r="AP1653" s="5">
        <f t="shared" si="334"/>
        <v>14.032495426024909</v>
      </c>
      <c r="AQ1653" s="6">
        <f t="shared" si="335"/>
        <v>135.39591382909637</v>
      </c>
      <c r="AR1653" s="2">
        <f t="shared" si="336"/>
        <v>-2.1301186875174403</v>
      </c>
      <c r="AS1653" s="2">
        <f t="shared" si="337"/>
        <v>-288.4093662608592</v>
      </c>
    </row>
    <row r="1654" spans="37:45" x14ac:dyDescent="0.3">
      <c r="AK1654" s="78">
        <v>45048.96875</v>
      </c>
      <c r="AL1654">
        <v>8.5774989570864699E-2</v>
      </c>
      <c r="AM1654" s="6">
        <v>93.877037450000003</v>
      </c>
      <c r="AN1654" s="2">
        <v>9206</v>
      </c>
      <c r="AO1654" s="7">
        <f t="shared" si="338"/>
        <v>153.43333333333334</v>
      </c>
      <c r="AP1654" s="5">
        <f t="shared" si="334"/>
        <v>13.160742566489674</v>
      </c>
      <c r="AQ1654" s="6">
        <f t="shared" si="335"/>
        <v>131.20947617783298</v>
      </c>
      <c r="AR1654" s="2">
        <f t="shared" si="336"/>
        <v>-2.1301186875174403</v>
      </c>
      <c r="AS1654" s="2">
        <f t="shared" si="337"/>
        <v>-279.49175718577646</v>
      </c>
    </row>
    <row r="1655" spans="37:45" x14ac:dyDescent="0.3">
      <c r="AK1655" s="78">
        <v>45048.979166666664</v>
      </c>
      <c r="AL1655">
        <v>9.0322903679903699E-2</v>
      </c>
      <c r="AM1655" s="6">
        <v>93.877037450000003</v>
      </c>
      <c r="AN1655" s="2">
        <v>8459</v>
      </c>
      <c r="AO1655" s="7">
        <f t="shared" si="338"/>
        <v>140.98333333333332</v>
      </c>
      <c r="AP1655" s="5">
        <f t="shared" si="334"/>
        <v>12.734024037138422</v>
      </c>
      <c r="AQ1655" s="6">
        <f t="shared" si="335"/>
        <v>129.10863185495677</v>
      </c>
      <c r="AR1655" s="2">
        <f t="shared" si="336"/>
        <v>-2.1301186875174403</v>
      </c>
      <c r="AS1655" s="2">
        <f t="shared" si="337"/>
        <v>-275.01670943405287</v>
      </c>
    </row>
    <row r="1656" spans="37:45" x14ac:dyDescent="0.3">
      <c r="AK1656" s="78">
        <v>45048.989583333336</v>
      </c>
      <c r="AL1656">
        <v>8.6814732776948594E-2</v>
      </c>
      <c r="AM1656" s="6">
        <v>92.610732819999996</v>
      </c>
      <c r="AN1656" s="2">
        <v>9500</v>
      </c>
      <c r="AO1656" s="7">
        <f t="shared" si="338"/>
        <v>158.33333333333334</v>
      </c>
      <c r="AP1656" s="5">
        <f t="shared" si="334"/>
        <v>13.745666023016861</v>
      </c>
      <c r="AQ1656" s="6">
        <f t="shared" si="335"/>
        <v>134.03350632916428</v>
      </c>
      <c r="AR1656" s="2">
        <f t="shared" si="336"/>
        <v>-2.1301186875174403</v>
      </c>
      <c r="AS1656" s="2">
        <f t="shared" si="337"/>
        <v>-285.50727658523994</v>
      </c>
    </row>
    <row r="1657" spans="37:45" x14ac:dyDescent="0.3">
      <c r="AK1657" s="78">
        <v>45049</v>
      </c>
      <c r="AL1657">
        <v>8.8087878352272594E-2</v>
      </c>
      <c r="AM1657" s="6">
        <v>93.457733590000004</v>
      </c>
      <c r="AN1657" s="2">
        <v>9688</v>
      </c>
      <c r="AO1657" s="7">
        <f t="shared" si="338"/>
        <v>161.46666666666667</v>
      </c>
      <c r="AP1657" s="5">
        <f t="shared" si="334"/>
        <v>14.223256091280282</v>
      </c>
      <c r="AQ1657" s="6">
        <f t="shared" si="335"/>
        <v>136.29415062639498</v>
      </c>
      <c r="AR1657" s="2">
        <f t="shared" si="336"/>
        <v>-2.1301186875174403</v>
      </c>
      <c r="AS1657" s="2">
        <f t="shared" si="337"/>
        <v>-290.32271724860078</v>
      </c>
    </row>
    <row r="1658" spans="37:45" x14ac:dyDescent="0.3">
      <c r="AK1658" s="78">
        <v>45049.010416666664</v>
      </c>
      <c r="AL1658">
        <v>8.2821686569018102E-2</v>
      </c>
      <c r="AM1658" s="6">
        <v>92.610732819999996</v>
      </c>
      <c r="AN1658" s="2">
        <v>9797</v>
      </c>
      <c r="AO1658" s="7">
        <f t="shared" si="338"/>
        <v>163.28333333333333</v>
      </c>
      <c r="AP1658" s="5">
        <f t="shared" si="334"/>
        <v>13.523401055277839</v>
      </c>
      <c r="AQ1658" s="6">
        <f t="shared" si="335"/>
        <v>132.96776579842174</v>
      </c>
      <c r="AR1658" s="2">
        <f t="shared" si="336"/>
        <v>-2.1301186875174403</v>
      </c>
      <c r="AS1658" s="2">
        <f t="shared" si="337"/>
        <v>-283.23712276466051</v>
      </c>
    </row>
    <row r="1659" spans="37:45" x14ac:dyDescent="0.3">
      <c r="AK1659" s="78">
        <v>45049.020833333336</v>
      </c>
      <c r="AL1659">
        <v>9.05321829186084E-2</v>
      </c>
      <c r="AM1659" s="6">
        <v>98.886564129999996</v>
      </c>
      <c r="AN1659" s="2">
        <v>9362</v>
      </c>
      <c r="AO1659" s="7">
        <f t="shared" si="338"/>
        <v>156.03333333333333</v>
      </c>
      <c r="AP1659" s="5">
        <f t="shared" si="334"/>
        <v>14.126038274733531</v>
      </c>
      <c r="AQ1659" s="6">
        <f t="shared" si="335"/>
        <v>135.83715345662387</v>
      </c>
      <c r="AR1659" s="2">
        <f t="shared" si="336"/>
        <v>-2.1301186875174403</v>
      </c>
      <c r="AS1659" s="2">
        <f t="shared" si="337"/>
        <v>-289.34925903712877</v>
      </c>
    </row>
    <row r="1660" spans="37:45" x14ac:dyDescent="0.3">
      <c r="AK1660" s="78">
        <v>45049.03125</v>
      </c>
      <c r="AL1660">
        <v>8.8418640146508895E-2</v>
      </c>
      <c r="AM1660" s="6">
        <v>102.17638460000001</v>
      </c>
      <c r="AN1660" s="2">
        <v>9120</v>
      </c>
      <c r="AO1660" s="7">
        <f t="shared" si="338"/>
        <v>152</v>
      </c>
      <c r="AP1660" s="5">
        <f t="shared" si="334"/>
        <v>13.439633302269351</v>
      </c>
      <c r="AQ1660" s="6">
        <f t="shared" si="335"/>
        <v>132.56378994493951</v>
      </c>
      <c r="AR1660" s="2">
        <f t="shared" si="336"/>
        <v>-2.1301186875174403</v>
      </c>
      <c r="AS1660" s="2">
        <f t="shared" si="337"/>
        <v>-282.37660624985222</v>
      </c>
    </row>
    <row r="1661" spans="37:45" x14ac:dyDescent="0.3">
      <c r="AK1661" s="78">
        <v>45049.041666666664</v>
      </c>
      <c r="AL1661">
        <v>0.120388681719321</v>
      </c>
      <c r="AM1661" s="6">
        <v>97.229596529999995</v>
      </c>
      <c r="AN1661" s="2">
        <v>8477</v>
      </c>
      <c r="AO1661" s="7">
        <f t="shared" si="338"/>
        <v>141.28333333333333</v>
      </c>
      <c r="AP1661" s="5">
        <f t="shared" si="334"/>
        <v>17.008914248911402</v>
      </c>
      <c r="AQ1661" s="6">
        <f t="shared" si="335"/>
        <v>148.77019066821617</v>
      </c>
      <c r="AR1661" s="2">
        <f t="shared" si="336"/>
        <v>-2.1301186875174403</v>
      </c>
      <c r="AS1661" s="2">
        <f t="shared" si="337"/>
        <v>-316.89816328789999</v>
      </c>
    </row>
    <row r="1662" spans="37:45" x14ac:dyDescent="0.3">
      <c r="AK1662" s="78">
        <v>45049.052083333336</v>
      </c>
      <c r="AL1662">
        <v>9.7636990981604097E-2</v>
      </c>
      <c r="AM1662" s="6">
        <v>95.561650760000006</v>
      </c>
      <c r="AN1662" s="2">
        <v>8804</v>
      </c>
      <c r="AO1662" s="7">
        <f t="shared" si="338"/>
        <v>146.73333333333332</v>
      </c>
      <c r="AP1662" s="5">
        <f t="shared" si="334"/>
        <v>14.326601143367373</v>
      </c>
      <c r="AQ1662" s="6">
        <f t="shared" si="335"/>
        <v>136.77820598465394</v>
      </c>
      <c r="AR1662" s="2">
        <f t="shared" si="336"/>
        <v>-2.1301186875174403</v>
      </c>
      <c r="AS1662" s="2">
        <f t="shared" si="337"/>
        <v>-291.35381261302115</v>
      </c>
    </row>
    <row r="1663" spans="37:45" x14ac:dyDescent="0.3">
      <c r="AK1663" s="78">
        <v>45049.0625</v>
      </c>
      <c r="AL1663">
        <v>8.2724864488865998E-2</v>
      </c>
      <c r="AM1663" s="6">
        <v>98.886564129999996</v>
      </c>
      <c r="AN1663" s="2">
        <v>11935</v>
      </c>
      <c r="AO1663" s="7">
        <f t="shared" si="338"/>
        <v>198.91666666666666</v>
      </c>
      <c r="AP1663" s="5">
        <f t="shared" si="334"/>
        <v>16.455354294576928</v>
      </c>
      <c r="AQ1663" s="6">
        <f t="shared" si="335"/>
        <v>146.37915872317527</v>
      </c>
      <c r="AR1663" s="2">
        <f t="shared" si="336"/>
        <v>-2.1301186875174403</v>
      </c>
      <c r="AS1663" s="2">
        <f t="shared" si="337"/>
        <v>-311.80498145931716</v>
      </c>
    </row>
    <row r="1664" spans="37:45" x14ac:dyDescent="0.3">
      <c r="AK1664" s="78">
        <v>45049.072916666664</v>
      </c>
      <c r="AL1664">
        <v>4.5186614586723003E-2</v>
      </c>
      <c r="AM1664" s="6">
        <v>95.977802339999997</v>
      </c>
      <c r="AN1664" s="2">
        <v>20674</v>
      </c>
      <c r="AO1664" s="7">
        <f t="shared" si="338"/>
        <v>344.56666666666666</v>
      </c>
      <c r="AP1664" s="5">
        <f t="shared" si="334"/>
        <v>15.569801166098523</v>
      </c>
      <c r="AQ1664" s="6">
        <f t="shared" si="335"/>
        <v>142.46710861259206</v>
      </c>
      <c r="AR1664" s="2">
        <f t="shared" si="336"/>
        <v>-2.1301186875174403</v>
      </c>
      <c r="AS1664" s="2">
        <f t="shared" si="337"/>
        <v>-303.47185041225919</v>
      </c>
    </row>
    <row r="1665" spans="37:45" x14ac:dyDescent="0.3">
      <c r="AK1665" s="78">
        <v>45049.083333333336</v>
      </c>
      <c r="AL1665">
        <v>4.3902127618192302E-2</v>
      </c>
      <c r="AM1665" s="6">
        <v>95.561650760000006</v>
      </c>
      <c r="AN1665" s="2">
        <v>20701</v>
      </c>
      <c r="AO1665" s="7">
        <f t="shared" si="338"/>
        <v>345.01666666666665</v>
      </c>
      <c r="AP1665" s="5">
        <f t="shared" si="334"/>
        <v>15.146965730403313</v>
      </c>
      <c r="AQ1665" s="6">
        <f t="shared" si="335"/>
        <v>140.55912986586253</v>
      </c>
      <c r="AR1665" s="2">
        <f t="shared" si="336"/>
        <v>-2.1301186875174403</v>
      </c>
      <c r="AS1665" s="2">
        <f t="shared" si="337"/>
        <v>-299.40762922846454</v>
      </c>
    </row>
    <row r="1666" spans="37:45" x14ac:dyDescent="0.3">
      <c r="AK1666" s="78">
        <v>45049.09375</v>
      </c>
      <c r="AL1666">
        <v>4.3592218223829603E-2</v>
      </c>
      <c r="AM1666" s="6">
        <v>93.457733590000004</v>
      </c>
      <c r="AN1666" s="2">
        <v>20950</v>
      </c>
      <c r="AO1666" s="7">
        <f t="shared" si="338"/>
        <v>349.16666666666669</v>
      </c>
      <c r="AP1666" s="5">
        <f t="shared" si="334"/>
        <v>15.220949529820503</v>
      </c>
      <c r="AQ1666" s="6">
        <f t="shared" si="335"/>
        <v>140.89491379101969</v>
      </c>
      <c r="AR1666" s="2">
        <f t="shared" si="336"/>
        <v>-2.1301186875174403</v>
      </c>
      <c r="AS1666" s="2">
        <f t="shared" si="337"/>
        <v>-300.12288884240974</v>
      </c>
    </row>
    <row r="1667" spans="37:45" x14ac:dyDescent="0.3">
      <c r="AK1667" s="78">
        <v>45049.104166666664</v>
      </c>
      <c r="AL1667">
        <v>4.9577027964710703E-2</v>
      </c>
      <c r="AM1667" s="6">
        <v>96.815355729999993</v>
      </c>
      <c r="AN1667" s="2">
        <v>20070</v>
      </c>
      <c r="AO1667" s="7">
        <f t="shared" si="338"/>
        <v>334.5</v>
      </c>
      <c r="AP1667" s="5">
        <f t="shared" si="334"/>
        <v>16.583515854195731</v>
      </c>
      <c r="AQ1667" s="6">
        <f t="shared" si="335"/>
        <v>146.93634366865109</v>
      </c>
      <c r="AR1667" s="2">
        <f t="shared" si="336"/>
        <v>-2.1301186875174403</v>
      </c>
      <c r="AS1667" s="2">
        <f t="shared" si="337"/>
        <v>-312.99185152407858</v>
      </c>
    </row>
    <row r="1668" spans="37:45" x14ac:dyDescent="0.3">
      <c r="AK1668" s="78">
        <v>45049.114583333336</v>
      </c>
      <c r="AL1668">
        <v>4.46450513418249E-2</v>
      </c>
      <c r="AM1668" s="6">
        <v>100.1311515</v>
      </c>
      <c r="AN1668" s="2">
        <v>20840</v>
      </c>
      <c r="AO1668" s="7">
        <f t="shared" si="338"/>
        <v>347.33333333333331</v>
      </c>
      <c r="AP1668" s="5">
        <f t="shared" ref="AP1668:AP1731" si="339">AO1668*AL1668</f>
        <v>15.506714499393848</v>
      </c>
      <c r="AQ1668" s="6">
        <f t="shared" ref="AQ1668:AQ1731" si="340">37.141*AP1668^0.4897</f>
        <v>142.18413306945513</v>
      </c>
      <c r="AR1668" s="2">
        <f t="shared" ref="AR1668:AR1731" si="341">IF((AM1668-$AP$1)/($AN$1-$AP$1)&lt;0, 0, IF((AA1668-$AP$1)/($AN$1-$AP$1)&gt;1, 1, (AA1668-$AP$1)/($AN$1-$AP$1)))</f>
        <v>-2.1301186875174403</v>
      </c>
      <c r="AS1668" s="2">
        <f t="shared" ref="AS1668:AS1731" si="342">AQ1668*AR1668</f>
        <v>-302.86907891971282</v>
      </c>
    </row>
    <row r="1669" spans="37:45" x14ac:dyDescent="0.3">
      <c r="AK1669" s="78">
        <v>45049.125</v>
      </c>
      <c r="AL1669">
        <v>4.4693423682583097E-2</v>
      </c>
      <c r="AM1669" s="6">
        <v>103.3988808</v>
      </c>
      <c r="AN1669" s="2">
        <v>20707</v>
      </c>
      <c r="AO1669" s="7">
        <f t="shared" si="338"/>
        <v>345.11666666666667</v>
      </c>
      <c r="AP1669" s="5">
        <f t="shared" si="339"/>
        <v>15.424445403254136</v>
      </c>
      <c r="AQ1669" s="6">
        <f t="shared" si="340"/>
        <v>141.81423059200222</v>
      </c>
      <c r="AR1669" s="2">
        <f t="shared" si="341"/>
        <v>-2.1301186875174403</v>
      </c>
      <c r="AS1669" s="2">
        <f t="shared" si="342"/>
        <v>-302.08114273993141</v>
      </c>
    </row>
    <row r="1670" spans="37:45" x14ac:dyDescent="0.3">
      <c r="AK1670" s="78">
        <v>45049.135416666664</v>
      </c>
      <c r="AL1670">
        <v>4.5602756846007397E-2</v>
      </c>
      <c r="AM1670" s="6">
        <v>102.17638460000001</v>
      </c>
      <c r="AN1670" s="2">
        <v>20335</v>
      </c>
      <c r="AO1670" s="7">
        <f t="shared" si="338"/>
        <v>338.91666666666669</v>
      </c>
      <c r="AP1670" s="5">
        <f t="shared" si="339"/>
        <v>15.455534341059341</v>
      </c>
      <c r="AQ1670" s="6">
        <f t="shared" si="340"/>
        <v>141.95413231639381</v>
      </c>
      <c r="AR1670" s="2">
        <f t="shared" si="341"/>
        <v>-2.1301186875174403</v>
      </c>
      <c r="AS1670" s="2">
        <f t="shared" si="342"/>
        <v>-302.37915001747382</v>
      </c>
    </row>
    <row r="1671" spans="37:45" x14ac:dyDescent="0.3">
      <c r="AK1671" s="78">
        <v>45049.145833333336</v>
      </c>
      <c r="AL1671">
        <v>4.6587631816359901E-2</v>
      </c>
      <c r="AM1671" s="6">
        <v>96.808208239999999</v>
      </c>
      <c r="AN1671" s="2">
        <v>20066</v>
      </c>
      <c r="AO1671" s="7">
        <f t="shared" si="338"/>
        <v>334.43333333333334</v>
      </c>
      <c r="AP1671" s="5">
        <f t="shared" si="339"/>
        <v>15.580457000451297</v>
      </c>
      <c r="AQ1671" s="6">
        <f t="shared" si="340"/>
        <v>142.51484760962751</v>
      </c>
      <c r="AR1671" s="2">
        <f t="shared" si="341"/>
        <v>-2.1301186875174403</v>
      </c>
      <c r="AS1671" s="2">
        <f t="shared" si="342"/>
        <v>-303.57354014196778</v>
      </c>
    </row>
    <row r="1672" spans="37:45" x14ac:dyDescent="0.3">
      <c r="AK1672" s="78">
        <v>45049.15625</v>
      </c>
      <c r="AL1672">
        <v>4.4645514006852099E-2</v>
      </c>
      <c r="AM1672" s="6">
        <v>100.12409340000001</v>
      </c>
      <c r="AN1672" s="2">
        <v>19671</v>
      </c>
      <c r="AO1672" s="7">
        <f t="shared" si="338"/>
        <v>327.85</v>
      </c>
      <c r="AP1672" s="5">
        <f t="shared" si="339"/>
        <v>14.637031767146462</v>
      </c>
      <c r="AQ1672" s="6">
        <f t="shared" si="340"/>
        <v>138.22160586895546</v>
      </c>
      <c r="AR1672" s="2">
        <f t="shared" si="341"/>
        <v>-2.1301186875174403</v>
      </c>
      <c r="AS1672" s="2">
        <f t="shared" si="342"/>
        <v>-294.42842568013231</v>
      </c>
    </row>
    <row r="1673" spans="37:45" x14ac:dyDescent="0.3">
      <c r="AK1673" s="78">
        <v>45049.166666666664</v>
      </c>
      <c r="AL1673">
        <v>4.5242354444864699E-2</v>
      </c>
      <c r="AM1673" s="6">
        <v>98.055454810000001</v>
      </c>
      <c r="AN1673" s="2">
        <v>20310</v>
      </c>
      <c r="AO1673" s="7">
        <f t="shared" si="338"/>
        <v>338.5</v>
      </c>
      <c r="AP1673" s="5">
        <f t="shared" si="339"/>
        <v>15.3145369795867</v>
      </c>
      <c r="AQ1673" s="6">
        <f t="shared" si="340"/>
        <v>141.31848021731076</v>
      </c>
      <c r="AR1673" s="2">
        <f t="shared" si="341"/>
        <v>-2.1301186875174403</v>
      </c>
      <c r="AS1673" s="2">
        <f t="shared" si="342"/>
        <v>-301.02513560245734</v>
      </c>
    </row>
    <row r="1674" spans="37:45" x14ac:dyDescent="0.3">
      <c r="AK1674" s="78">
        <v>45049.177083333336</v>
      </c>
      <c r="AL1674">
        <v>4.62213531487419E-2</v>
      </c>
      <c r="AM1674" s="6">
        <v>103.3988808</v>
      </c>
      <c r="AN1674" s="2">
        <v>20001</v>
      </c>
      <c r="AO1674" s="7">
        <f t="shared" ref="AO1674:AO1737" si="343">AN1674/60</f>
        <v>333.35</v>
      </c>
      <c r="AP1674" s="5">
        <f t="shared" si="339"/>
        <v>15.407888072133114</v>
      </c>
      <c r="AQ1674" s="6">
        <f t="shared" si="340"/>
        <v>141.73966307352083</v>
      </c>
      <c r="AR1674" s="2">
        <f t="shared" si="341"/>
        <v>-2.1301186875174403</v>
      </c>
      <c r="AS1674" s="2">
        <f t="shared" si="342"/>
        <v>-301.92230507533236</v>
      </c>
    </row>
    <row r="1675" spans="37:45" x14ac:dyDescent="0.3">
      <c r="AK1675" s="78">
        <v>45049.1875</v>
      </c>
      <c r="AL1675">
        <v>4.6907575576896503E-2</v>
      </c>
      <c r="AM1675" s="6">
        <v>98.055454810000001</v>
      </c>
      <c r="AN1675" s="2">
        <v>19808</v>
      </c>
      <c r="AO1675" s="7">
        <f t="shared" si="343"/>
        <v>330.13333333333333</v>
      </c>
      <c r="AP1675" s="5">
        <f t="shared" si="339"/>
        <v>15.485754283786099</v>
      </c>
      <c r="AQ1675" s="6">
        <f t="shared" si="340"/>
        <v>142.08998594715175</v>
      </c>
      <c r="AR1675" s="2">
        <f t="shared" si="341"/>
        <v>-2.1301186875174403</v>
      </c>
      <c r="AS1675" s="2">
        <f t="shared" si="342"/>
        <v>-302.66853437511838</v>
      </c>
    </row>
    <row r="1676" spans="37:45" x14ac:dyDescent="0.3">
      <c r="AK1676" s="78">
        <v>45049.197916666664</v>
      </c>
      <c r="AL1676">
        <v>4.4282566433040502E-2</v>
      </c>
      <c r="AM1676" s="6">
        <v>93.457733590000004</v>
      </c>
      <c r="AN1676" s="2">
        <v>20843</v>
      </c>
      <c r="AO1676" s="7">
        <f t="shared" si="343"/>
        <v>347.38333333333333</v>
      </c>
      <c r="AP1676" s="5">
        <f t="shared" si="339"/>
        <v>15.383025536064386</v>
      </c>
      <c r="AQ1676" s="6">
        <f t="shared" si="340"/>
        <v>141.62761543035666</v>
      </c>
      <c r="AR1676" s="2">
        <f t="shared" si="341"/>
        <v>-2.1301186875174403</v>
      </c>
      <c r="AS1676" s="2">
        <f t="shared" si="342"/>
        <v>-301.68363029673611</v>
      </c>
    </row>
    <row r="1677" spans="37:45" x14ac:dyDescent="0.3">
      <c r="AK1677" s="78">
        <v>45049.208333333336</v>
      </c>
      <c r="AL1677">
        <v>4.39665865914141E-2</v>
      </c>
      <c r="AM1677" s="6">
        <v>95.977802339999997</v>
      </c>
      <c r="AN1677" s="2">
        <v>21023</v>
      </c>
      <c r="AO1677" s="7">
        <f t="shared" si="343"/>
        <v>350.38333333333333</v>
      </c>
      <c r="AP1677" s="5">
        <f t="shared" si="339"/>
        <v>15.40515916518831</v>
      </c>
      <c r="AQ1677" s="6">
        <f t="shared" si="340"/>
        <v>141.72736925667331</v>
      </c>
      <c r="AR1677" s="2">
        <f t="shared" si="341"/>
        <v>-2.1301186875174403</v>
      </c>
      <c r="AS1677" s="2">
        <f t="shared" si="342"/>
        <v>-301.89611778632457</v>
      </c>
    </row>
    <row r="1678" spans="37:45" x14ac:dyDescent="0.3">
      <c r="AK1678" s="78">
        <v>45049.21875</v>
      </c>
      <c r="AL1678">
        <v>4.2831952654501897E-2</v>
      </c>
      <c r="AM1678" s="6">
        <v>98.886564129999996</v>
      </c>
      <c r="AN1678" s="2">
        <v>20958</v>
      </c>
      <c r="AO1678" s="7">
        <f t="shared" si="343"/>
        <v>349.3</v>
      </c>
      <c r="AP1678" s="5">
        <f t="shared" si="339"/>
        <v>14.961201062217514</v>
      </c>
      <c r="AQ1678" s="6">
        <f t="shared" si="340"/>
        <v>139.71230824409523</v>
      </c>
      <c r="AR1678" s="2">
        <f t="shared" si="341"/>
        <v>-2.1301186875174403</v>
      </c>
      <c r="AS1678" s="2">
        <f t="shared" si="342"/>
        <v>-297.60379866694416</v>
      </c>
    </row>
    <row r="1679" spans="37:45" x14ac:dyDescent="0.3">
      <c r="AK1679" s="78">
        <v>45049.229166666664</v>
      </c>
      <c r="AL1679">
        <v>4.41232455364413E-2</v>
      </c>
      <c r="AM1679" s="6">
        <v>94.720978599999995</v>
      </c>
      <c r="AN1679" s="2">
        <v>20668</v>
      </c>
      <c r="AO1679" s="7">
        <f t="shared" si="343"/>
        <v>344.46666666666664</v>
      </c>
      <c r="AP1679" s="5">
        <f t="shared" si="339"/>
        <v>15.198987312452811</v>
      </c>
      <c r="AQ1679" s="6">
        <f t="shared" si="340"/>
        <v>140.79532285055009</v>
      </c>
      <c r="AR1679" s="2">
        <f t="shared" si="341"/>
        <v>-2.1301186875174403</v>
      </c>
      <c r="AS1679" s="2">
        <f t="shared" si="342"/>
        <v>-299.91074831900801</v>
      </c>
    </row>
    <row r="1680" spans="37:45" x14ac:dyDescent="0.3">
      <c r="AK1680" s="78">
        <v>45049.239583333336</v>
      </c>
      <c r="AL1680">
        <v>4.3202940603197799E-2</v>
      </c>
      <c r="AM1680" s="6">
        <v>100.12409340000001</v>
      </c>
      <c r="AN1680" s="2">
        <v>20883</v>
      </c>
      <c r="AO1680" s="7">
        <f t="shared" si="343"/>
        <v>348.05</v>
      </c>
      <c r="AP1680" s="5">
        <f t="shared" si="339"/>
        <v>15.036783476942995</v>
      </c>
      <c r="AQ1680" s="6">
        <f t="shared" si="340"/>
        <v>140.05749993518603</v>
      </c>
      <c r="AR1680" s="2">
        <f t="shared" si="341"/>
        <v>-2.1301186875174403</v>
      </c>
      <c r="AS1680" s="2">
        <f t="shared" si="342"/>
        <v>-298.33909793891246</v>
      </c>
    </row>
    <row r="1681" spans="37:45" x14ac:dyDescent="0.3">
      <c r="AK1681" s="78">
        <v>45049.25</v>
      </c>
      <c r="AL1681">
        <v>4.11701593223983E-2</v>
      </c>
      <c r="AM1681" s="6">
        <v>98.886564129999996</v>
      </c>
      <c r="AN1681" s="2">
        <v>21741</v>
      </c>
      <c r="AO1681" s="7">
        <f t="shared" si="343"/>
        <v>362.35</v>
      </c>
      <c r="AP1681" s="5">
        <f t="shared" si="339"/>
        <v>14.918007230471025</v>
      </c>
      <c r="AQ1681" s="6">
        <f t="shared" si="340"/>
        <v>139.51463845093886</v>
      </c>
      <c r="AR1681" s="2">
        <f t="shared" si="341"/>
        <v>-2.1301186875174403</v>
      </c>
      <c r="AS1681" s="2">
        <f t="shared" si="342"/>
        <v>-297.18273854658412</v>
      </c>
    </row>
    <row r="1682" spans="37:45" x14ac:dyDescent="0.3">
      <c r="AK1682" s="78">
        <v>45049.260416666664</v>
      </c>
      <c r="AL1682">
        <v>4.4266810525568398E-2</v>
      </c>
      <c r="AM1682" s="6">
        <v>94.720978599999995</v>
      </c>
      <c r="AN1682" s="2">
        <v>21636</v>
      </c>
      <c r="AO1682" s="7">
        <f t="shared" si="343"/>
        <v>360.6</v>
      </c>
      <c r="AP1682" s="5">
        <f t="shared" si="339"/>
        <v>15.962611875519965</v>
      </c>
      <c r="AQ1682" s="6">
        <f t="shared" si="340"/>
        <v>144.21605089844178</v>
      </c>
      <c r="AR1682" s="2">
        <f t="shared" si="341"/>
        <v>-2.1301186875174403</v>
      </c>
      <c r="AS1682" s="2">
        <f t="shared" si="342"/>
        <v>-307.19730505873719</v>
      </c>
    </row>
    <row r="1683" spans="37:45" x14ac:dyDescent="0.3">
      <c r="AK1683" s="78">
        <v>45049.270833333336</v>
      </c>
      <c r="AL1683">
        <v>4.1512611787644899E-2</v>
      </c>
      <c r="AM1683" s="6">
        <v>100.9486689</v>
      </c>
      <c r="AN1683" s="2">
        <v>21234</v>
      </c>
      <c r="AO1683" s="7">
        <f t="shared" si="343"/>
        <v>353.9</v>
      </c>
      <c r="AP1683" s="5">
        <f t="shared" si="339"/>
        <v>14.691313311647528</v>
      </c>
      <c r="AQ1683" s="6">
        <f t="shared" si="340"/>
        <v>138.47238699629011</v>
      </c>
      <c r="AR1683" s="2">
        <f t="shared" si="341"/>
        <v>-2.1301186875174403</v>
      </c>
      <c r="AS1683" s="2">
        <f t="shared" si="342"/>
        <v>-294.96261924594455</v>
      </c>
    </row>
    <row r="1684" spans="37:45" x14ac:dyDescent="0.3">
      <c r="AK1684" s="78">
        <v>45049.28125</v>
      </c>
      <c r="AL1684">
        <v>4.2109957625671199E-2</v>
      </c>
      <c r="AM1684" s="6">
        <v>103.3988808</v>
      </c>
      <c r="AN1684" s="2">
        <v>21676</v>
      </c>
      <c r="AO1684" s="7">
        <f t="shared" si="343"/>
        <v>361.26666666666665</v>
      </c>
      <c r="AP1684" s="5">
        <f t="shared" si="339"/>
        <v>15.212924024900815</v>
      </c>
      <c r="AQ1684" s="6">
        <f t="shared" si="340"/>
        <v>140.85852945304097</v>
      </c>
      <c r="AR1684" s="2">
        <f t="shared" si="341"/>
        <v>-2.1301186875174403</v>
      </c>
      <c r="AS1684" s="2">
        <f t="shared" si="342"/>
        <v>-300.04538588414835</v>
      </c>
    </row>
    <row r="1685" spans="37:45" x14ac:dyDescent="0.3">
      <c r="AK1685" s="78">
        <v>45049.291666666664</v>
      </c>
      <c r="AL1685">
        <v>4.3032442713890902E-2</v>
      </c>
      <c r="AM1685" s="6">
        <v>108.62303609999999</v>
      </c>
      <c r="AN1685" s="2">
        <v>21240</v>
      </c>
      <c r="AO1685" s="7">
        <f t="shared" si="343"/>
        <v>354</v>
      </c>
      <c r="AP1685" s="5">
        <f t="shared" si="339"/>
        <v>15.23348472071738</v>
      </c>
      <c r="AQ1685" s="6">
        <f t="shared" si="340"/>
        <v>140.95172360883836</v>
      </c>
      <c r="AR1685" s="2">
        <f t="shared" si="341"/>
        <v>-2.1301186875174403</v>
      </c>
      <c r="AS1685" s="2">
        <f t="shared" si="342"/>
        <v>-300.24390049697979</v>
      </c>
    </row>
    <row r="1686" spans="37:45" x14ac:dyDescent="0.3">
      <c r="AK1686" s="78">
        <v>45049.302083333336</v>
      </c>
      <c r="AL1686">
        <v>4.0686098870163702E-2</v>
      </c>
      <c r="AM1686" s="6">
        <v>93.457733590000004</v>
      </c>
      <c r="AN1686" s="2">
        <v>21601</v>
      </c>
      <c r="AO1686" s="7">
        <f t="shared" si="343"/>
        <v>360.01666666666665</v>
      </c>
      <c r="AP1686" s="5">
        <f t="shared" si="339"/>
        <v>14.647673694906768</v>
      </c>
      <c r="AQ1686" s="6">
        <f t="shared" si="340"/>
        <v>138.27080900524857</v>
      </c>
      <c r="AR1686" s="2">
        <f t="shared" si="341"/>
        <v>-2.1301186875174403</v>
      </c>
      <c r="AS1686" s="2">
        <f t="shared" si="342"/>
        <v>-294.53323420023474</v>
      </c>
    </row>
    <row r="1687" spans="37:45" x14ac:dyDescent="0.3">
      <c r="AK1687" s="78">
        <v>45049.3125</v>
      </c>
      <c r="AL1687">
        <v>4.1976496896095297E-2</v>
      </c>
      <c r="AM1687" s="6">
        <v>98.893656829999998</v>
      </c>
      <c r="AN1687" s="2">
        <v>21724</v>
      </c>
      <c r="AO1687" s="7">
        <f t="shared" si="343"/>
        <v>362.06666666666666</v>
      </c>
      <c r="AP1687" s="5">
        <f t="shared" si="339"/>
        <v>15.198290309512904</v>
      </c>
      <c r="AQ1687" s="6">
        <f t="shared" si="340"/>
        <v>140.79216098520106</v>
      </c>
      <c r="AR1687" s="2">
        <f t="shared" si="341"/>
        <v>-2.1301186875174403</v>
      </c>
      <c r="AS1687" s="2">
        <f t="shared" si="342"/>
        <v>-299.90401317054068</v>
      </c>
    </row>
    <row r="1688" spans="37:45" x14ac:dyDescent="0.3">
      <c r="AK1688" s="78">
        <v>45049.322916666664</v>
      </c>
      <c r="AL1688">
        <v>4.17378334561051E-2</v>
      </c>
      <c r="AM1688" s="6">
        <v>91.345373739999999</v>
      </c>
      <c r="AN1688" s="2">
        <v>22046</v>
      </c>
      <c r="AO1688" s="7">
        <f t="shared" si="343"/>
        <v>367.43333333333334</v>
      </c>
      <c r="AP1688" s="5">
        <f t="shared" si="339"/>
        <v>15.335871272888218</v>
      </c>
      <c r="AQ1688" s="6">
        <f t="shared" si="340"/>
        <v>141.41485183890009</v>
      </c>
      <c r="AR1688" s="2">
        <f t="shared" si="341"/>
        <v>-2.1301186875174403</v>
      </c>
      <c r="AS1688" s="2">
        <f t="shared" si="342"/>
        <v>-301.23041859455111</v>
      </c>
    </row>
    <row r="1689" spans="37:45" x14ac:dyDescent="0.3">
      <c r="AK1689" s="78">
        <v>45049.333333333336</v>
      </c>
      <c r="AL1689">
        <v>4.15743417177512E-2</v>
      </c>
      <c r="AM1689" s="6">
        <v>94.720978599999995</v>
      </c>
      <c r="AN1689" s="2">
        <v>21803</v>
      </c>
      <c r="AO1689" s="7">
        <f t="shared" si="343"/>
        <v>363.38333333333333</v>
      </c>
      <c r="AP1689" s="5">
        <f t="shared" si="339"/>
        <v>15.107422874535489</v>
      </c>
      <c r="AQ1689" s="6">
        <f t="shared" si="340"/>
        <v>140.37931685223751</v>
      </c>
      <c r="AR1689" s="2">
        <f t="shared" si="341"/>
        <v>-2.1301186875174403</v>
      </c>
      <c r="AS1689" s="2">
        <f t="shared" si="342"/>
        <v>-299.02460616788306</v>
      </c>
    </row>
    <row r="1690" spans="37:45" x14ac:dyDescent="0.3">
      <c r="AK1690" s="78">
        <v>45049.34375</v>
      </c>
      <c r="AL1690">
        <v>4.0892065156023297E-2</v>
      </c>
      <c r="AM1690" s="6">
        <v>97.229596529999995</v>
      </c>
      <c r="AN1690" s="2">
        <v>22156</v>
      </c>
      <c r="AO1690" s="7">
        <f t="shared" si="343"/>
        <v>369.26666666666665</v>
      </c>
      <c r="AP1690" s="5">
        <f t="shared" si="339"/>
        <v>15.100076593280869</v>
      </c>
      <c r="AQ1690" s="6">
        <f t="shared" si="340"/>
        <v>140.34588470369408</v>
      </c>
      <c r="AR1690" s="2">
        <f t="shared" si="341"/>
        <v>-2.1301186875174403</v>
      </c>
      <c r="AS1690" s="2">
        <f t="shared" si="342"/>
        <v>-298.95339172350685</v>
      </c>
    </row>
    <row r="1691" spans="37:45" x14ac:dyDescent="0.3">
      <c r="AK1691" s="78">
        <v>45049.354166666664</v>
      </c>
      <c r="AL1691">
        <v>4.0630072084136902E-2</v>
      </c>
      <c r="AM1691" s="6">
        <v>91.338086169999997</v>
      </c>
      <c r="AN1691" s="2">
        <v>22371</v>
      </c>
      <c r="AO1691" s="7">
        <f t="shared" si="343"/>
        <v>372.85</v>
      </c>
      <c r="AP1691" s="5">
        <f t="shared" si="339"/>
        <v>15.148922376570445</v>
      </c>
      <c r="AQ1691" s="6">
        <f t="shared" si="340"/>
        <v>140.56802108888914</v>
      </c>
      <c r="AR1691" s="2">
        <f t="shared" si="341"/>
        <v>-2.1301186875174403</v>
      </c>
      <c r="AS1691" s="2">
        <f t="shared" si="342"/>
        <v>-299.42656858878837</v>
      </c>
    </row>
    <row r="1692" spans="37:45" x14ac:dyDescent="0.3">
      <c r="AK1692" s="78">
        <v>45049.364583333336</v>
      </c>
      <c r="AL1692">
        <v>4.0249737676509502E-2</v>
      </c>
      <c r="AM1692" s="6">
        <v>90.492164919999993</v>
      </c>
      <c r="AN1692" s="2">
        <v>21922</v>
      </c>
      <c r="AO1692" s="7">
        <f t="shared" si="343"/>
        <v>365.36666666666667</v>
      </c>
      <c r="AP1692" s="5">
        <f t="shared" si="339"/>
        <v>14.705912489074022</v>
      </c>
      <c r="AQ1692" s="6">
        <f t="shared" si="340"/>
        <v>138.53975458057903</v>
      </c>
      <c r="AR1692" s="2">
        <f t="shared" si="341"/>
        <v>-2.1301186875174403</v>
      </c>
      <c r="AS1692" s="2">
        <f t="shared" si="342"/>
        <v>-295.10612019617128</v>
      </c>
    </row>
    <row r="1693" spans="37:45" x14ac:dyDescent="0.3">
      <c r="AK1693" s="78">
        <v>45049.375</v>
      </c>
      <c r="AL1693">
        <v>4.2156575667920401E-2</v>
      </c>
      <c r="AM1693" s="6">
        <v>92.610732819999996</v>
      </c>
      <c r="AN1693" s="2">
        <v>22098</v>
      </c>
      <c r="AO1693" s="7">
        <f t="shared" si="343"/>
        <v>368.3</v>
      </c>
      <c r="AP1693" s="5">
        <f t="shared" si="339"/>
        <v>15.526266818495085</v>
      </c>
      <c r="AQ1693" s="6">
        <f t="shared" si="340"/>
        <v>142.27189780935188</v>
      </c>
      <c r="AR1693" s="2">
        <f t="shared" si="341"/>
        <v>-2.1301186875174403</v>
      </c>
      <c r="AS1693" s="2">
        <f t="shared" si="342"/>
        <v>-303.05602823227201</v>
      </c>
    </row>
    <row r="1694" spans="37:45" x14ac:dyDescent="0.3">
      <c r="AK1694" s="78">
        <v>45049.385416666664</v>
      </c>
      <c r="AL1694">
        <v>3.9626630821816999E-2</v>
      </c>
      <c r="AM1694" s="6">
        <v>87.058386479999996</v>
      </c>
      <c r="AN1694" s="2">
        <v>21947</v>
      </c>
      <c r="AO1694" s="7">
        <f t="shared" si="343"/>
        <v>365.78333333333336</v>
      </c>
      <c r="AP1694" s="5">
        <f t="shared" si="339"/>
        <v>14.494761110773629</v>
      </c>
      <c r="AQ1694" s="6">
        <f t="shared" si="340"/>
        <v>137.56205335489869</v>
      </c>
      <c r="AR1694" s="2">
        <f t="shared" si="341"/>
        <v>-2.1301186875174403</v>
      </c>
      <c r="AS1694" s="2">
        <f t="shared" si="342"/>
        <v>-293.02350054454092</v>
      </c>
    </row>
    <row r="1695" spans="37:45" x14ac:dyDescent="0.3">
      <c r="AK1695" s="78">
        <v>45049.395833333336</v>
      </c>
      <c r="AL1695">
        <v>4.3425233825179203E-2</v>
      </c>
      <c r="AM1695" s="6">
        <v>90.492164919999993</v>
      </c>
      <c r="AN1695" s="2">
        <v>22048</v>
      </c>
      <c r="AO1695" s="7">
        <f t="shared" si="343"/>
        <v>367.46666666666664</v>
      </c>
      <c r="AP1695" s="5">
        <f t="shared" si="339"/>
        <v>15.957325922959184</v>
      </c>
      <c r="AQ1695" s="6">
        <f t="shared" si="340"/>
        <v>144.19266254172337</v>
      </c>
      <c r="AR1695" s="2">
        <f t="shared" si="341"/>
        <v>-2.1301186875174403</v>
      </c>
      <c r="AS1695" s="2">
        <f t="shared" si="342"/>
        <v>-307.14748508302097</v>
      </c>
    </row>
    <row r="1696" spans="37:45" x14ac:dyDescent="0.3">
      <c r="AK1696" s="78">
        <v>45049.40625</v>
      </c>
      <c r="AL1696">
        <v>4.0427074895175497E-2</v>
      </c>
      <c r="AM1696" s="6">
        <v>90.492164919999993</v>
      </c>
      <c r="AN1696" s="2">
        <v>21732</v>
      </c>
      <c r="AO1696" s="7">
        <f t="shared" si="343"/>
        <v>362.2</v>
      </c>
      <c r="AP1696" s="5">
        <f t="shared" si="339"/>
        <v>14.642686527032565</v>
      </c>
      <c r="AQ1696" s="6">
        <f t="shared" si="340"/>
        <v>138.24775302074775</v>
      </c>
      <c r="AR1696" s="2">
        <f t="shared" si="341"/>
        <v>-2.1301186875174403</v>
      </c>
      <c r="AS1696" s="2">
        <f t="shared" si="342"/>
        <v>-294.48412221679041</v>
      </c>
    </row>
    <row r="1697" spans="37:45" x14ac:dyDescent="0.3">
      <c r="AK1697" s="78">
        <v>45049.416666666664</v>
      </c>
      <c r="AL1697">
        <v>4.3893348339928598E-2</v>
      </c>
      <c r="AM1697" s="6">
        <v>90.060609240000005</v>
      </c>
      <c r="AN1697" s="2">
        <v>22431</v>
      </c>
      <c r="AO1697" s="7">
        <f t="shared" si="343"/>
        <v>373.85</v>
      </c>
      <c r="AP1697" s="5">
        <f t="shared" si="339"/>
        <v>16.409528276882309</v>
      </c>
      <c r="AQ1697" s="6">
        <f t="shared" si="340"/>
        <v>146.17939199922148</v>
      </c>
      <c r="AR1697" s="2">
        <f t="shared" si="341"/>
        <v>-2.1301186875174403</v>
      </c>
      <c r="AS1697" s="2">
        <f t="shared" si="342"/>
        <v>-311.37945462747905</v>
      </c>
    </row>
    <row r="1698" spans="37:45" x14ac:dyDescent="0.3">
      <c r="AK1698" s="78">
        <v>45049.427083333336</v>
      </c>
      <c r="AL1698">
        <v>4.2695793438102099E-2</v>
      </c>
      <c r="AM1698" s="6">
        <v>91.338086169999997</v>
      </c>
      <c r="AN1698" s="2">
        <v>22666</v>
      </c>
      <c r="AO1698" s="7">
        <f t="shared" si="343"/>
        <v>377.76666666666665</v>
      </c>
      <c r="AP1698" s="5">
        <f t="shared" si="339"/>
        <v>16.12904756780037</v>
      </c>
      <c r="AQ1698" s="6">
        <f t="shared" si="340"/>
        <v>144.95045542321861</v>
      </c>
      <c r="AR1698" s="2">
        <f t="shared" si="341"/>
        <v>-2.1301186875174403</v>
      </c>
      <c r="AS1698" s="2">
        <f t="shared" si="342"/>
        <v>-308.76167386116168</v>
      </c>
    </row>
    <row r="1699" spans="37:45" x14ac:dyDescent="0.3">
      <c r="AK1699" s="78">
        <v>45049.4375</v>
      </c>
      <c r="AL1699">
        <v>3.9679800260839497E-2</v>
      </c>
      <c r="AM1699" s="6">
        <v>87.058386479999996</v>
      </c>
      <c r="AN1699" s="2">
        <v>22523</v>
      </c>
      <c r="AO1699" s="7">
        <f t="shared" si="343"/>
        <v>375.38333333333333</v>
      </c>
      <c r="AP1699" s="5">
        <f t="shared" si="339"/>
        <v>14.895135687914799</v>
      </c>
      <c r="AQ1699" s="6">
        <f t="shared" si="340"/>
        <v>139.40985214949973</v>
      </c>
      <c r="AR1699" s="2">
        <f t="shared" si="341"/>
        <v>-2.1301186875174403</v>
      </c>
      <c r="AS1699" s="2">
        <f t="shared" si="342"/>
        <v>-296.95953128769276</v>
      </c>
    </row>
    <row r="1700" spans="37:45" x14ac:dyDescent="0.3">
      <c r="AK1700" s="78">
        <v>45049.447916666664</v>
      </c>
      <c r="AL1700">
        <v>4.2279586296954198E-2</v>
      </c>
      <c r="AM1700" s="6">
        <v>93.877037450000003</v>
      </c>
      <c r="AN1700" s="2">
        <v>21918</v>
      </c>
      <c r="AO1700" s="7">
        <f t="shared" si="343"/>
        <v>365.3</v>
      </c>
      <c r="AP1700" s="5">
        <f t="shared" si="339"/>
        <v>15.444732874277369</v>
      </c>
      <c r="AQ1700" s="6">
        <f t="shared" si="340"/>
        <v>141.90554148654553</v>
      </c>
      <c r="AR1700" s="2">
        <f t="shared" si="341"/>
        <v>-2.1301186875174403</v>
      </c>
      <c r="AS1700" s="2">
        <f t="shared" si="342"/>
        <v>-302.27564578277202</v>
      </c>
    </row>
    <row r="1701" spans="37:45" x14ac:dyDescent="0.3">
      <c r="AK1701" s="78">
        <v>45049.458333333336</v>
      </c>
      <c r="AL1701">
        <v>4.2044054453967902E-2</v>
      </c>
      <c r="AM1701" s="6">
        <v>89.209976960000006</v>
      </c>
      <c r="AN1701" s="2">
        <v>22378</v>
      </c>
      <c r="AO1701" s="7">
        <f t="shared" si="343"/>
        <v>372.96666666666664</v>
      </c>
      <c r="AP1701" s="5">
        <f t="shared" si="339"/>
        <v>15.681030842848228</v>
      </c>
      <c r="AQ1701" s="6">
        <f t="shared" si="340"/>
        <v>142.96460830759423</v>
      </c>
      <c r="AR1701" s="2">
        <f t="shared" si="341"/>
        <v>-2.1301186875174403</v>
      </c>
      <c r="AS1701" s="2">
        <f t="shared" si="342"/>
        <v>-304.53158380961759</v>
      </c>
    </row>
    <row r="1702" spans="37:45" x14ac:dyDescent="0.3">
      <c r="AK1702" s="78">
        <v>45049.46875</v>
      </c>
      <c r="AL1702">
        <v>4.0293971624522397E-2</v>
      </c>
      <c r="AM1702" s="6">
        <v>91.338086169999997</v>
      </c>
      <c r="AN1702" s="2">
        <v>22018</v>
      </c>
      <c r="AO1702" s="7">
        <f t="shared" si="343"/>
        <v>366.96666666666664</v>
      </c>
      <c r="AP1702" s="5">
        <f t="shared" si="339"/>
        <v>14.786544453812235</v>
      </c>
      <c r="AQ1702" s="6">
        <f t="shared" si="340"/>
        <v>138.91121578529533</v>
      </c>
      <c r="AR1702" s="2">
        <f t="shared" si="341"/>
        <v>-2.1301186875174403</v>
      </c>
      <c r="AS1702" s="2">
        <f t="shared" si="342"/>
        <v>-295.89737665002519</v>
      </c>
    </row>
    <row r="1703" spans="37:45" x14ac:dyDescent="0.3">
      <c r="AK1703" s="78">
        <v>45049.479166666664</v>
      </c>
      <c r="AL1703">
        <v>3.77368251199202E-2</v>
      </c>
      <c r="AM1703" s="6">
        <v>84.891986889999998</v>
      </c>
      <c r="AN1703" s="2">
        <v>23144</v>
      </c>
      <c r="AO1703" s="7">
        <f t="shared" si="343"/>
        <v>385.73333333333335</v>
      </c>
      <c r="AP1703" s="5">
        <f t="shared" si="339"/>
        <v>14.556351342923886</v>
      </c>
      <c r="AQ1703" s="6">
        <f t="shared" si="340"/>
        <v>137.84798316449002</v>
      </c>
      <c r="AR1703" s="2">
        <f t="shared" si="341"/>
        <v>-2.1301186875174403</v>
      </c>
      <c r="AS1703" s="2">
        <f t="shared" si="342"/>
        <v>-293.6325649752697</v>
      </c>
    </row>
    <row r="1704" spans="37:45" x14ac:dyDescent="0.3">
      <c r="AK1704" s="78">
        <v>45049.489583333336</v>
      </c>
      <c r="AL1704">
        <v>4.1340485727669997E-2</v>
      </c>
      <c r="AM1704" s="6">
        <v>87.058386479999996</v>
      </c>
      <c r="AN1704" s="2">
        <v>22280</v>
      </c>
      <c r="AO1704" s="7">
        <f t="shared" si="343"/>
        <v>371.33333333333331</v>
      </c>
      <c r="AP1704" s="5">
        <f t="shared" si="339"/>
        <v>15.351100366874791</v>
      </c>
      <c r="AQ1704" s="6">
        <f t="shared" si="340"/>
        <v>141.48360311153277</v>
      </c>
      <c r="AR1704" s="2">
        <f t="shared" si="341"/>
        <v>-2.1301186875174403</v>
      </c>
      <c r="AS1704" s="2">
        <f t="shared" si="342"/>
        <v>-301.37686696517665</v>
      </c>
    </row>
    <row r="1705" spans="37:45" x14ac:dyDescent="0.3">
      <c r="AK1705" s="78">
        <v>45049.5</v>
      </c>
      <c r="AL1705">
        <v>4.2677621099264602E-2</v>
      </c>
      <c r="AM1705" s="6">
        <v>87.922589900000006</v>
      </c>
      <c r="AN1705" s="2">
        <v>21854</v>
      </c>
      <c r="AO1705" s="7">
        <f t="shared" si="343"/>
        <v>364.23333333333335</v>
      </c>
      <c r="AP1705" s="5">
        <f t="shared" si="339"/>
        <v>15.544612191722145</v>
      </c>
      <c r="AQ1705" s="6">
        <f t="shared" si="340"/>
        <v>142.35419364570879</v>
      </c>
      <c r="AR1705" s="2">
        <f t="shared" si="341"/>
        <v>-2.1301186875174403</v>
      </c>
      <c r="AS1705" s="2">
        <f t="shared" si="342"/>
        <v>-303.23132813120077</v>
      </c>
    </row>
    <row r="1706" spans="37:45" x14ac:dyDescent="0.3">
      <c r="AK1706" s="78">
        <v>45049.510416666664</v>
      </c>
      <c r="AL1706">
        <v>4.0204107757973298E-2</v>
      </c>
      <c r="AM1706" s="6">
        <v>95.977802339999997</v>
      </c>
      <c r="AN1706" s="2">
        <v>21463</v>
      </c>
      <c r="AO1706" s="7">
        <f t="shared" si="343"/>
        <v>357.71666666666664</v>
      </c>
      <c r="AP1706" s="5">
        <f t="shared" si="339"/>
        <v>14.38167941348968</v>
      </c>
      <c r="AQ1706" s="6">
        <f t="shared" si="340"/>
        <v>137.0354579702832</v>
      </c>
      <c r="AR1706" s="2">
        <f t="shared" si="341"/>
        <v>-2.1301186875174403</v>
      </c>
      <c r="AS1706" s="2">
        <f t="shared" si="342"/>
        <v>-291.90178987501099</v>
      </c>
    </row>
    <row r="1707" spans="37:45" x14ac:dyDescent="0.3">
      <c r="AK1707" s="78">
        <v>45049.520833333336</v>
      </c>
      <c r="AL1707">
        <v>4.1877807398415998E-2</v>
      </c>
      <c r="AM1707" s="6">
        <v>92.617989059999999</v>
      </c>
      <c r="AN1707" s="2">
        <v>21079</v>
      </c>
      <c r="AO1707" s="7">
        <f t="shared" si="343"/>
        <v>351.31666666666666</v>
      </c>
      <c r="AP1707" s="5">
        <f t="shared" si="339"/>
        <v>14.71237170252018</v>
      </c>
      <c r="AQ1707" s="6">
        <f t="shared" si="340"/>
        <v>138.56954958911501</v>
      </c>
      <c r="AR1707" s="2">
        <f t="shared" si="341"/>
        <v>-2.1301186875174403</v>
      </c>
      <c r="AS1707" s="2">
        <f t="shared" si="342"/>
        <v>-295.16958710064853</v>
      </c>
    </row>
    <row r="1708" spans="37:45" x14ac:dyDescent="0.3">
      <c r="AK1708" s="78">
        <v>45049.53125</v>
      </c>
      <c r="AL1708">
        <v>4.0597543251292098E-2</v>
      </c>
      <c r="AM1708" s="6">
        <v>91.767774239999994</v>
      </c>
      <c r="AN1708" s="2">
        <v>21179</v>
      </c>
      <c r="AO1708" s="7">
        <f t="shared" si="343"/>
        <v>352.98333333333335</v>
      </c>
      <c r="AP1708" s="5">
        <f t="shared" si="339"/>
        <v>14.330256141985256</v>
      </c>
      <c r="AQ1708" s="6">
        <f t="shared" si="340"/>
        <v>136.79529286534034</v>
      </c>
      <c r="AR1708" s="2">
        <f t="shared" si="341"/>
        <v>-2.1301186875174403</v>
      </c>
      <c r="AS1708" s="2">
        <f t="shared" si="342"/>
        <v>-291.39020969688261</v>
      </c>
    </row>
    <row r="1709" spans="37:45" x14ac:dyDescent="0.3">
      <c r="AK1709" s="78">
        <v>45049.541666666664</v>
      </c>
      <c r="AL1709">
        <v>4.3571153036980399E-2</v>
      </c>
      <c r="AM1709" s="6">
        <v>97.229596529999995</v>
      </c>
      <c r="AN1709" s="2">
        <v>20533</v>
      </c>
      <c r="AO1709" s="7">
        <f t="shared" si="343"/>
        <v>342.21666666666664</v>
      </c>
      <c r="AP1709" s="5">
        <f t="shared" si="339"/>
        <v>14.910774755138641</v>
      </c>
      <c r="AQ1709" s="6">
        <f t="shared" si="340"/>
        <v>139.48151162986127</v>
      </c>
      <c r="AR1709" s="2">
        <f t="shared" si="341"/>
        <v>-2.1301186875174403</v>
      </c>
      <c r="AS1709" s="2">
        <f t="shared" si="342"/>
        <v>-297.11217448594869</v>
      </c>
    </row>
    <row r="1710" spans="37:45" x14ac:dyDescent="0.3">
      <c r="AK1710" s="78">
        <v>45049.552083333336</v>
      </c>
      <c r="AL1710">
        <v>4.3948286136784101E-2</v>
      </c>
      <c r="AM1710" s="6">
        <v>93.877037450000003</v>
      </c>
      <c r="AN1710" s="2">
        <v>20384</v>
      </c>
      <c r="AO1710" s="7">
        <f t="shared" si="343"/>
        <v>339.73333333333335</v>
      </c>
      <c r="AP1710" s="5">
        <f t="shared" si="339"/>
        <v>14.930697743536786</v>
      </c>
      <c r="AQ1710" s="6">
        <f t="shared" si="340"/>
        <v>139.57274485701794</v>
      </c>
      <c r="AR1710" s="2">
        <f t="shared" si="341"/>
        <v>-2.1301186875174403</v>
      </c>
      <c r="AS1710" s="2">
        <f t="shared" si="342"/>
        <v>-297.30651208803761</v>
      </c>
    </row>
    <row r="1711" spans="37:45" x14ac:dyDescent="0.3">
      <c r="AK1711" s="78">
        <v>45049.5625</v>
      </c>
      <c r="AL1711">
        <v>4.2911326208228802E-2</v>
      </c>
      <c r="AM1711" s="6">
        <v>95.138397370000007</v>
      </c>
      <c r="AN1711" s="2">
        <v>20070</v>
      </c>
      <c r="AO1711" s="7">
        <f t="shared" si="343"/>
        <v>334.5</v>
      </c>
      <c r="AP1711" s="5">
        <f t="shared" si="339"/>
        <v>14.353838616652535</v>
      </c>
      <c r="AQ1711" s="6">
        <f t="shared" si="340"/>
        <v>136.90548597515743</v>
      </c>
      <c r="AR1711" s="2">
        <f t="shared" si="341"/>
        <v>-2.1301186875174403</v>
      </c>
      <c r="AS1711" s="2">
        <f t="shared" si="342"/>
        <v>-291.62493409933967</v>
      </c>
    </row>
    <row r="1712" spans="37:45" x14ac:dyDescent="0.3">
      <c r="AK1712" s="78">
        <v>45049.572916666664</v>
      </c>
      <c r="AL1712">
        <v>4.3881602289142001E-2</v>
      </c>
      <c r="AM1712" s="6">
        <v>93.877037450000003</v>
      </c>
      <c r="AN1712" s="2">
        <v>19839</v>
      </c>
      <c r="AO1712" s="7">
        <f t="shared" si="343"/>
        <v>330.65</v>
      </c>
      <c r="AP1712" s="5">
        <f t="shared" si="339"/>
        <v>14.509451796904802</v>
      </c>
      <c r="AQ1712" s="6">
        <f t="shared" si="340"/>
        <v>137.63031040362563</v>
      </c>
      <c r="AR1712" s="2">
        <f t="shared" si="341"/>
        <v>-2.1301186875174403</v>
      </c>
      <c r="AS1712" s="2">
        <f t="shared" si="342"/>
        <v>-293.16889615958894</v>
      </c>
    </row>
    <row r="1713" spans="37:45" x14ac:dyDescent="0.3">
      <c r="AK1713" s="78">
        <v>45049.583333333336</v>
      </c>
      <c r="AL1713">
        <v>4.6000371902851403E-2</v>
      </c>
      <c r="AM1713" s="6">
        <v>95.977802339999997</v>
      </c>
      <c r="AN1713" s="2">
        <v>19689</v>
      </c>
      <c r="AO1713" s="7">
        <f t="shared" si="343"/>
        <v>328.15</v>
      </c>
      <c r="AP1713" s="5">
        <f t="shared" si="339"/>
        <v>15.095022039920687</v>
      </c>
      <c r="AQ1713" s="6">
        <f t="shared" si="340"/>
        <v>140.3228771460397</v>
      </c>
      <c r="AR1713" s="2">
        <f t="shared" si="341"/>
        <v>-2.1301186875174403</v>
      </c>
      <c r="AS1713" s="2">
        <f t="shared" si="342"/>
        <v>-298.90438289499309</v>
      </c>
    </row>
    <row r="1714" spans="37:45" x14ac:dyDescent="0.3">
      <c r="AK1714" s="78">
        <v>45049.59375</v>
      </c>
      <c r="AL1714">
        <v>4.7069335980341298E-2</v>
      </c>
      <c r="AM1714" s="6">
        <v>97.229596529999995</v>
      </c>
      <c r="AN1714" s="2">
        <v>18828</v>
      </c>
      <c r="AO1714" s="7">
        <f t="shared" si="343"/>
        <v>313.8</v>
      </c>
      <c r="AP1714" s="5">
        <f t="shared" si="339"/>
        <v>14.7703576306311</v>
      </c>
      <c r="AQ1714" s="6">
        <f t="shared" si="340"/>
        <v>138.83672823363094</v>
      </c>
      <c r="AR1714" s="2">
        <f t="shared" si="341"/>
        <v>-2.1301186875174403</v>
      </c>
      <c r="AS1714" s="2">
        <f t="shared" si="342"/>
        <v>-295.73870932423745</v>
      </c>
    </row>
    <row r="1715" spans="37:45" x14ac:dyDescent="0.3">
      <c r="AK1715" s="78">
        <v>45049.604166666664</v>
      </c>
      <c r="AL1715">
        <v>4.9963919046796E-2</v>
      </c>
      <c r="AM1715" s="6">
        <v>101.36348099999999</v>
      </c>
      <c r="AN1715" s="2">
        <v>18369</v>
      </c>
      <c r="AO1715" s="7">
        <f t="shared" si="343"/>
        <v>306.14999999999998</v>
      </c>
      <c r="AP1715" s="5">
        <f t="shared" si="339"/>
        <v>15.296453816176594</v>
      </c>
      <c r="AQ1715" s="6">
        <f t="shared" si="340"/>
        <v>141.23674099538576</v>
      </c>
      <c r="AR1715" s="2">
        <f t="shared" si="341"/>
        <v>-2.1301186875174403</v>
      </c>
      <c r="AS1715" s="2">
        <f t="shared" si="342"/>
        <v>-300.85102135833176</v>
      </c>
    </row>
    <row r="1716" spans="37:45" x14ac:dyDescent="0.3">
      <c r="AK1716" s="78">
        <v>45049.614583333336</v>
      </c>
      <c r="AL1716">
        <v>5.3139610006208503E-2</v>
      </c>
      <c r="AM1716" s="6">
        <v>99.714355679999997</v>
      </c>
      <c r="AN1716" s="2">
        <v>17844</v>
      </c>
      <c r="AO1716" s="7">
        <f t="shared" si="343"/>
        <v>297.39999999999998</v>
      </c>
      <c r="AP1716" s="5">
        <f t="shared" si="339"/>
        <v>15.803720015846407</v>
      </c>
      <c r="AQ1716" s="6">
        <f t="shared" si="340"/>
        <v>143.51127904394616</v>
      </c>
      <c r="AR1716" s="2">
        <f t="shared" si="341"/>
        <v>-2.1301186875174403</v>
      </c>
      <c r="AS1716" s="2">
        <f t="shared" si="342"/>
        <v>-305.69605736103972</v>
      </c>
    </row>
    <row r="1717" spans="37:45" x14ac:dyDescent="0.3">
      <c r="AK1717" s="78">
        <v>45049.625</v>
      </c>
      <c r="AL1717">
        <v>5.0757343447824101E-2</v>
      </c>
      <c r="AM1717" s="6">
        <v>103.8090014</v>
      </c>
      <c r="AN1717" s="2">
        <v>17120</v>
      </c>
      <c r="AO1717" s="7">
        <f t="shared" si="343"/>
        <v>285.33333333333331</v>
      </c>
      <c r="AP1717" s="5">
        <f t="shared" si="339"/>
        <v>14.482761997112476</v>
      </c>
      <c r="AQ1717" s="6">
        <f t="shared" si="340"/>
        <v>137.50627590961452</v>
      </c>
      <c r="AR1717" s="2">
        <f t="shared" si="341"/>
        <v>-2.1301186875174403</v>
      </c>
      <c r="AS1717" s="2">
        <f t="shared" si="342"/>
        <v>-292.90468796599907</v>
      </c>
    </row>
    <row r="1718" spans="37:45" x14ac:dyDescent="0.3">
      <c r="AK1718" s="78">
        <v>45049.635416666664</v>
      </c>
      <c r="AL1718">
        <v>5.28829526689545E-2</v>
      </c>
      <c r="AM1718" s="6">
        <v>103.8090014</v>
      </c>
      <c r="AN1718" s="2">
        <v>17194</v>
      </c>
      <c r="AO1718" s="7">
        <f t="shared" si="343"/>
        <v>286.56666666666666</v>
      </c>
      <c r="AP1718" s="5">
        <f t="shared" si="339"/>
        <v>15.154491469833394</v>
      </c>
      <c r="AQ1718" s="6">
        <f t="shared" si="340"/>
        <v>140.59332447571086</v>
      </c>
      <c r="AR1718" s="2">
        <f t="shared" si="341"/>
        <v>-2.1301186875174403</v>
      </c>
      <c r="AS1718" s="2">
        <f t="shared" si="342"/>
        <v>-299.48046780591483</v>
      </c>
    </row>
    <row r="1719" spans="37:45" x14ac:dyDescent="0.3">
      <c r="AK1719" s="78">
        <v>45049.645833333336</v>
      </c>
      <c r="AL1719">
        <v>5.9361256668664202E-2</v>
      </c>
      <c r="AM1719" s="6">
        <v>103.80204430000001</v>
      </c>
      <c r="AN1719" s="2">
        <v>16853</v>
      </c>
      <c r="AO1719" s="7">
        <f t="shared" si="343"/>
        <v>280.88333333333333</v>
      </c>
      <c r="AP1719" s="5">
        <f t="shared" si="339"/>
        <v>16.673587643949961</v>
      </c>
      <c r="AQ1719" s="6">
        <f t="shared" si="340"/>
        <v>147.32661880537728</v>
      </c>
      <c r="AR1719" s="2">
        <f t="shared" si="341"/>
        <v>-2.1301186875174403</v>
      </c>
      <c r="AS1719" s="2">
        <f t="shared" si="342"/>
        <v>-313.82318388609247</v>
      </c>
    </row>
    <row r="1720" spans="37:45" x14ac:dyDescent="0.3">
      <c r="AK1720" s="78">
        <v>45049.65625</v>
      </c>
      <c r="AL1720">
        <v>5.7108910597253697E-2</v>
      </c>
      <c r="AM1720" s="6">
        <v>102.9873886</v>
      </c>
      <c r="AN1720" s="2">
        <v>16624</v>
      </c>
      <c r="AO1720" s="7">
        <f t="shared" si="343"/>
        <v>277.06666666666666</v>
      </c>
      <c r="AP1720" s="5">
        <f t="shared" si="339"/>
        <v>15.822975496145757</v>
      </c>
      <c r="AQ1720" s="6">
        <f t="shared" si="340"/>
        <v>143.59687952731895</v>
      </c>
      <c r="AR1720" s="2">
        <f t="shared" si="341"/>
        <v>-2.1301186875174403</v>
      </c>
      <c r="AS1720" s="2">
        <f t="shared" si="342"/>
        <v>-305.87839655033264</v>
      </c>
    </row>
    <row r="1721" spans="37:45" x14ac:dyDescent="0.3">
      <c r="AK1721" s="78">
        <v>45049.666666666664</v>
      </c>
      <c r="AL1721">
        <v>6.3555440436673702E-2</v>
      </c>
      <c r="AM1721" s="6">
        <v>104.61473460000001</v>
      </c>
      <c r="AN1721" s="2">
        <v>17121</v>
      </c>
      <c r="AO1721" s="7">
        <f t="shared" si="343"/>
        <v>285.35000000000002</v>
      </c>
      <c r="AP1721" s="5">
        <f t="shared" si="339"/>
        <v>18.135544928604844</v>
      </c>
      <c r="AQ1721" s="6">
        <f t="shared" si="340"/>
        <v>153.51684351124823</v>
      </c>
      <c r="AR1721" s="2">
        <f t="shared" si="341"/>
        <v>-2.1301186875174403</v>
      </c>
      <c r="AS1721" s="2">
        <f t="shared" si="342"/>
        <v>-327.00909721200031</v>
      </c>
    </row>
    <row r="1722" spans="37:45" x14ac:dyDescent="0.3">
      <c r="AK1722" s="78">
        <v>45049.677083333336</v>
      </c>
      <c r="AL1722">
        <v>5.1843035763933801E-2</v>
      </c>
      <c r="AM1722" s="6">
        <v>106.2245245</v>
      </c>
      <c r="AN1722" s="2">
        <v>16346</v>
      </c>
      <c r="AO1722" s="7">
        <f t="shared" si="343"/>
        <v>272.43333333333334</v>
      </c>
      <c r="AP1722" s="5">
        <f t="shared" si="339"/>
        <v>14.123771043287698</v>
      </c>
      <c r="AQ1722" s="6">
        <f t="shared" si="340"/>
        <v>135.82647663615518</v>
      </c>
      <c r="AR1722" s="2">
        <f t="shared" si="341"/>
        <v>-2.1301186875174403</v>
      </c>
      <c r="AS1722" s="2">
        <f t="shared" si="342"/>
        <v>-289.32651614232515</v>
      </c>
    </row>
    <row r="1723" spans="37:45" x14ac:dyDescent="0.3">
      <c r="AK1723" s="78">
        <v>45049.6875</v>
      </c>
      <c r="AL1723">
        <v>0.106487179583</v>
      </c>
      <c r="AM1723" s="6">
        <v>101.7699069</v>
      </c>
      <c r="AN1723" s="2">
        <v>14263</v>
      </c>
      <c r="AO1723" s="7">
        <f t="shared" si="343"/>
        <v>237.71666666666667</v>
      </c>
      <c r="AP1723" s="5">
        <f t="shared" si="339"/>
        <v>25.313777373205482</v>
      </c>
      <c r="AQ1723" s="6">
        <f t="shared" si="340"/>
        <v>180.74966214455637</v>
      </c>
      <c r="AR1723" s="2">
        <f t="shared" si="341"/>
        <v>-2.1301186875174403</v>
      </c>
      <c r="AS1723" s="2">
        <f t="shared" si="342"/>
        <v>-385.01823309658317</v>
      </c>
    </row>
    <row r="1724" spans="37:45" x14ac:dyDescent="0.3">
      <c r="AK1724" s="78">
        <v>45049.697916666664</v>
      </c>
      <c r="AL1724">
        <v>0.129393810097339</v>
      </c>
      <c r="AM1724" s="6">
        <v>106.2245245</v>
      </c>
      <c r="AN1724" s="2">
        <v>7070</v>
      </c>
      <c r="AO1724" s="7">
        <f t="shared" si="343"/>
        <v>117.83333333333333</v>
      </c>
      <c r="AP1724" s="5">
        <f t="shared" si="339"/>
        <v>15.246903956469778</v>
      </c>
      <c r="AQ1724" s="6">
        <f t="shared" si="340"/>
        <v>141.01251350975997</v>
      </c>
      <c r="AR1724" s="2">
        <f t="shared" si="341"/>
        <v>-2.1301186875174403</v>
      </c>
      <c r="AS1724" s="2">
        <f t="shared" si="342"/>
        <v>-300.37339020094521</v>
      </c>
    </row>
    <row r="1725" spans="37:45" x14ac:dyDescent="0.3">
      <c r="AK1725" s="78">
        <v>45049.708333333336</v>
      </c>
      <c r="AL1725">
        <v>0.12058399033685401</v>
      </c>
      <c r="AM1725" s="6">
        <v>109.0251016</v>
      </c>
      <c r="AN1725" s="2">
        <v>7913</v>
      </c>
      <c r="AO1725" s="7">
        <f t="shared" si="343"/>
        <v>131.88333333333333</v>
      </c>
      <c r="AP1725" s="5">
        <f t="shared" si="339"/>
        <v>15.903018592258761</v>
      </c>
      <c r="AQ1725" s="6">
        <f t="shared" si="340"/>
        <v>143.9521436417381</v>
      </c>
      <c r="AR1725" s="2">
        <f t="shared" si="341"/>
        <v>-2.1301186875174403</v>
      </c>
      <c r="AS1725" s="2">
        <f t="shared" si="342"/>
        <v>-306.63515127946118</v>
      </c>
    </row>
    <row r="1726" spans="37:45" x14ac:dyDescent="0.3">
      <c r="AK1726" s="78">
        <v>45049.71875</v>
      </c>
      <c r="AL1726">
        <v>0.13238184856675</v>
      </c>
      <c r="AM1726" s="6">
        <v>112.18199679999999</v>
      </c>
      <c r="AN1726" s="2">
        <v>7405</v>
      </c>
      <c r="AO1726" s="7">
        <f t="shared" si="343"/>
        <v>123.41666666666667</v>
      </c>
      <c r="AP1726" s="5">
        <f t="shared" si="339"/>
        <v>16.338126477279729</v>
      </c>
      <c r="AQ1726" s="6">
        <f t="shared" si="340"/>
        <v>145.86756603864535</v>
      </c>
      <c r="AR1726" s="2">
        <f t="shared" si="341"/>
        <v>-2.1301186875174403</v>
      </c>
      <c r="AS1726" s="2">
        <f t="shared" si="342"/>
        <v>-310.71522832160275</v>
      </c>
    </row>
    <row r="1727" spans="37:45" x14ac:dyDescent="0.3">
      <c r="AK1727" s="78">
        <v>45049.729166666664</v>
      </c>
      <c r="AL1727">
        <v>0.121083942008165</v>
      </c>
      <c r="AM1727" s="6">
        <v>105.0166174</v>
      </c>
      <c r="AN1727" s="2">
        <v>8007</v>
      </c>
      <c r="AO1727" s="7">
        <f t="shared" si="343"/>
        <v>133.44999999999999</v>
      </c>
      <c r="AP1727" s="5">
        <f t="shared" si="339"/>
        <v>16.158652060989617</v>
      </c>
      <c r="AQ1727" s="6">
        <f t="shared" si="340"/>
        <v>145.08068071724566</v>
      </c>
      <c r="AR1727" s="2">
        <f t="shared" si="341"/>
        <v>-2.1301186875174403</v>
      </c>
      <c r="AS1727" s="2">
        <f t="shared" si="342"/>
        <v>-309.03906919355614</v>
      </c>
    </row>
    <row r="1728" spans="37:45" x14ac:dyDescent="0.3">
      <c r="AK1728" s="78">
        <v>45049.739583333336</v>
      </c>
      <c r="AL1728">
        <v>0.12194762358990199</v>
      </c>
      <c r="AM1728" s="6">
        <v>105.0166174</v>
      </c>
      <c r="AN1728" s="2">
        <v>7479</v>
      </c>
      <c r="AO1728" s="7">
        <f t="shared" si="343"/>
        <v>124.65</v>
      </c>
      <c r="AP1728" s="5">
        <f t="shared" si="339"/>
        <v>15.200771280481284</v>
      </c>
      <c r="AQ1728" s="6">
        <f t="shared" si="340"/>
        <v>140.80341525799093</v>
      </c>
      <c r="AR1728" s="2">
        <f t="shared" si="341"/>
        <v>-2.1301186875174403</v>
      </c>
      <c r="AS1728" s="2">
        <f t="shared" si="342"/>
        <v>-299.92798610732478</v>
      </c>
    </row>
    <row r="1729" spans="37:45" x14ac:dyDescent="0.3">
      <c r="AK1729" s="78">
        <v>45049.75</v>
      </c>
      <c r="AL1729">
        <v>0.124444274070785</v>
      </c>
      <c r="AM1729" s="6">
        <v>109.0251016</v>
      </c>
      <c r="AN1729" s="2">
        <v>7597</v>
      </c>
      <c r="AO1729" s="7">
        <f t="shared" si="343"/>
        <v>126.61666666666666</v>
      </c>
      <c r="AP1729" s="5">
        <f t="shared" si="339"/>
        <v>15.756719168595893</v>
      </c>
      <c r="AQ1729" s="6">
        <f t="shared" si="340"/>
        <v>143.30211240320287</v>
      </c>
      <c r="AR1729" s="2">
        <f t="shared" si="341"/>
        <v>-2.1301186875174403</v>
      </c>
      <c r="AS1729" s="2">
        <f t="shared" si="342"/>
        <v>-305.25050759078721</v>
      </c>
    </row>
    <row r="1730" spans="37:45" x14ac:dyDescent="0.3">
      <c r="AK1730" s="78">
        <v>45049.760416666664</v>
      </c>
      <c r="AL1730">
        <v>0.11816017442341401</v>
      </c>
      <c r="AM1730" s="6">
        <v>123.998997</v>
      </c>
      <c r="AN1730" s="2">
        <v>7501</v>
      </c>
      <c r="AO1730" s="7">
        <f t="shared" si="343"/>
        <v>125.01666666666667</v>
      </c>
      <c r="AP1730" s="5">
        <f t="shared" si="339"/>
        <v>14.77199113916714</v>
      </c>
      <c r="AQ1730" s="6">
        <f t="shared" si="340"/>
        <v>138.84424710435277</v>
      </c>
      <c r="AR1730" s="2">
        <f t="shared" si="341"/>
        <v>-2.1301186875174403</v>
      </c>
      <c r="AS1730" s="2">
        <f t="shared" si="342"/>
        <v>-295.75472541127107</v>
      </c>
    </row>
    <row r="1731" spans="37:45" x14ac:dyDescent="0.3">
      <c r="AK1731" s="78">
        <v>45049.770833333336</v>
      </c>
      <c r="AL1731">
        <v>0.12446849881369799</v>
      </c>
      <c r="AM1731" s="6">
        <v>126.9470365</v>
      </c>
      <c r="AN1731" s="2">
        <v>7348</v>
      </c>
      <c r="AO1731" s="7">
        <f t="shared" si="343"/>
        <v>122.46666666666667</v>
      </c>
      <c r="AP1731" s="5">
        <f t="shared" si="339"/>
        <v>15.243242154717548</v>
      </c>
      <c r="AQ1731" s="6">
        <f t="shared" si="340"/>
        <v>140.99592804916654</v>
      </c>
      <c r="AR1731" s="2">
        <f t="shared" si="341"/>
        <v>-2.1301186875174403</v>
      </c>
      <c r="AS1731" s="2">
        <f t="shared" si="342"/>
        <v>-300.33806120139405</v>
      </c>
    </row>
    <row r="1732" spans="37:45" x14ac:dyDescent="0.3">
      <c r="AK1732" s="78">
        <v>45049.78125</v>
      </c>
      <c r="AL1732">
        <v>0.114808952347802</v>
      </c>
      <c r="AM1732" s="6">
        <v>130.92322350000001</v>
      </c>
      <c r="AN1732" s="2">
        <v>7811</v>
      </c>
      <c r="AO1732" s="7">
        <f t="shared" si="343"/>
        <v>130.18333333333334</v>
      </c>
      <c r="AP1732" s="5">
        <f t="shared" ref="AP1732:AP1795" si="344">AO1732*AL1732</f>
        <v>14.946212113144691</v>
      </c>
      <c r="AQ1732" s="6">
        <f t="shared" ref="AQ1732:AQ1795" si="345">37.141*AP1732^0.4897</f>
        <v>139.64374670565698</v>
      </c>
      <c r="AR1732" s="2">
        <f t="shared" ref="AR1732:AR1795" si="346">IF((AM1732-$AP$1)/($AN$1-$AP$1)&lt;0, 0, IF((AA1732-$AP$1)/($AN$1-$AP$1)&gt;1, 1, (AA1732-$AP$1)/($AN$1-$AP$1)))</f>
        <v>-2.1301186875174403</v>
      </c>
      <c r="AS1732" s="2">
        <f t="shared" ref="AS1732:AS1795" si="347">AQ1732*AR1732</f>
        <v>-297.45775445267191</v>
      </c>
    </row>
    <row r="1733" spans="37:45" x14ac:dyDescent="0.3">
      <c r="AK1733" s="78">
        <v>45049.791666666664</v>
      </c>
      <c r="AL1733">
        <v>0.123896248757585</v>
      </c>
      <c r="AM1733" s="6">
        <v>129.12778700000001</v>
      </c>
      <c r="AN1733" s="2">
        <v>7426</v>
      </c>
      <c r="AO1733" s="7">
        <f t="shared" si="343"/>
        <v>123.76666666666667</v>
      </c>
      <c r="AP1733" s="5">
        <f t="shared" si="344"/>
        <v>15.334225721230435</v>
      </c>
      <c r="AQ1733" s="6">
        <f t="shared" si="345"/>
        <v>141.4074209617188</v>
      </c>
      <c r="AR1733" s="2">
        <f t="shared" si="346"/>
        <v>-2.1301186875174403</v>
      </c>
      <c r="AS1733" s="2">
        <f t="shared" si="347"/>
        <v>-301.2145899442026</v>
      </c>
    </row>
    <row r="1734" spans="37:45" x14ac:dyDescent="0.3">
      <c r="AK1734" s="78">
        <v>45049.802083333336</v>
      </c>
      <c r="AL1734">
        <v>0.13686665560375399</v>
      </c>
      <c r="AM1734" s="6">
        <v>133.7707528</v>
      </c>
      <c r="AN1734" s="2">
        <v>7309</v>
      </c>
      <c r="AO1734" s="7">
        <f t="shared" si="343"/>
        <v>121.81666666666666</v>
      </c>
      <c r="AP1734" s="5">
        <f t="shared" si="344"/>
        <v>16.672639763463966</v>
      </c>
      <c r="AQ1734" s="6">
        <f t="shared" si="345"/>
        <v>147.32251731071</v>
      </c>
      <c r="AR1734" s="2">
        <f t="shared" si="346"/>
        <v>-2.1301186875174403</v>
      </c>
      <c r="AS1734" s="2">
        <f t="shared" si="347"/>
        <v>-313.81444721565498</v>
      </c>
    </row>
    <row r="1735" spans="37:45" x14ac:dyDescent="0.3">
      <c r="AK1735" s="78">
        <v>45049.8125</v>
      </c>
      <c r="AL1735">
        <v>0.118120804476795</v>
      </c>
      <c r="AM1735" s="6">
        <v>131.64072830000001</v>
      </c>
      <c r="AN1735" s="2">
        <v>7722</v>
      </c>
      <c r="AO1735" s="7">
        <f t="shared" si="343"/>
        <v>128.69999999999999</v>
      </c>
      <c r="AP1735" s="5">
        <f t="shared" si="344"/>
        <v>15.202147536163515</v>
      </c>
      <c r="AQ1735" s="6">
        <f t="shared" si="345"/>
        <v>140.80965787600698</v>
      </c>
      <c r="AR1735" s="2">
        <f t="shared" si="346"/>
        <v>-2.1301186875174403</v>
      </c>
      <c r="AS1735" s="2">
        <f t="shared" si="347"/>
        <v>-299.94128362461976</v>
      </c>
    </row>
    <row r="1736" spans="37:45" x14ac:dyDescent="0.3">
      <c r="AK1736" s="78">
        <v>45049.822916666664</v>
      </c>
      <c r="AL1736">
        <v>0.119251797277837</v>
      </c>
      <c r="AM1736" s="6">
        <v>126.9470365</v>
      </c>
      <c r="AN1736" s="2">
        <v>7754</v>
      </c>
      <c r="AO1736" s="7">
        <f t="shared" si="343"/>
        <v>129.23333333333332</v>
      </c>
      <c r="AP1736" s="5">
        <f t="shared" si="344"/>
        <v>15.4113072682058</v>
      </c>
      <c r="AQ1736" s="6">
        <f t="shared" si="345"/>
        <v>141.75506509777884</v>
      </c>
      <c r="AR1736" s="2">
        <f t="shared" si="346"/>
        <v>-2.1301186875174403</v>
      </c>
      <c r="AS1736" s="2">
        <f t="shared" si="347"/>
        <v>-301.95511321502994</v>
      </c>
    </row>
    <row r="1737" spans="37:45" x14ac:dyDescent="0.3">
      <c r="AK1737" s="78">
        <v>45049.833333333336</v>
      </c>
      <c r="AL1737">
        <v>0.115329129033186</v>
      </c>
      <c r="AM1737" s="6">
        <v>126.9470365</v>
      </c>
      <c r="AN1737" s="2">
        <v>7880</v>
      </c>
      <c r="AO1737" s="7">
        <f t="shared" si="343"/>
        <v>131.33333333333334</v>
      </c>
      <c r="AP1737" s="5">
        <f t="shared" si="344"/>
        <v>15.146558946358429</v>
      </c>
      <c r="AQ1737" s="6">
        <f t="shared" si="345"/>
        <v>140.55728131924397</v>
      </c>
      <c r="AR1737" s="2">
        <f t="shared" si="346"/>
        <v>-2.1301186875174403</v>
      </c>
      <c r="AS1737" s="2">
        <f t="shared" si="347"/>
        <v>-299.40369160476757</v>
      </c>
    </row>
    <row r="1738" spans="37:45" x14ac:dyDescent="0.3">
      <c r="AK1738" s="78">
        <v>45049.84375</v>
      </c>
      <c r="AL1738">
        <v>0.12094300587033199</v>
      </c>
      <c r="AM1738" s="6">
        <v>119.87671349999999</v>
      </c>
      <c r="AN1738" s="2">
        <v>8236</v>
      </c>
      <c r="AO1738" s="7">
        <f t="shared" ref="AO1738:AO1801" si="348">AN1738/60</f>
        <v>137.26666666666668</v>
      </c>
      <c r="AP1738" s="5">
        <f t="shared" si="344"/>
        <v>16.601443272467574</v>
      </c>
      <c r="AQ1738" s="6">
        <f t="shared" si="345"/>
        <v>147.0141080519607</v>
      </c>
      <c r="AR1738" s="2">
        <f t="shared" si="346"/>
        <v>-2.1301186875174403</v>
      </c>
      <c r="AS1738" s="2">
        <f t="shared" si="347"/>
        <v>-313.15749889018969</v>
      </c>
    </row>
    <row r="1739" spans="37:45" x14ac:dyDescent="0.3">
      <c r="AK1739" s="78">
        <v>45049.854166666664</v>
      </c>
      <c r="AL1739">
        <v>0.112990920693855</v>
      </c>
      <c r="AM1739" s="6">
        <v>132.70838019999999</v>
      </c>
      <c r="AN1739" s="2">
        <v>8200</v>
      </c>
      <c r="AO1739" s="7">
        <f t="shared" si="348"/>
        <v>136.66666666666666</v>
      </c>
      <c r="AP1739" s="5">
        <f t="shared" si="344"/>
        <v>15.442092494826849</v>
      </c>
      <c r="AQ1739" s="6">
        <f t="shared" si="345"/>
        <v>141.89366099671361</v>
      </c>
      <c r="AR1739" s="2">
        <f t="shared" si="346"/>
        <v>-2.1301186875174403</v>
      </c>
      <c r="AS1739" s="2">
        <f t="shared" si="347"/>
        <v>-302.2503389293642</v>
      </c>
    </row>
    <row r="1740" spans="37:45" x14ac:dyDescent="0.3">
      <c r="AK1740" s="78">
        <v>45049.864583333336</v>
      </c>
      <c r="AL1740">
        <v>0.11112230408431401</v>
      </c>
      <c r="AM1740" s="6">
        <v>133.7707528</v>
      </c>
      <c r="AN1740" s="2">
        <v>8102</v>
      </c>
      <c r="AO1740" s="7">
        <f t="shared" si="348"/>
        <v>135.03333333333333</v>
      </c>
      <c r="AP1740" s="5">
        <f t="shared" si="344"/>
        <v>15.005215128185201</v>
      </c>
      <c r="AQ1740" s="6">
        <f t="shared" si="345"/>
        <v>139.91343237103715</v>
      </c>
      <c r="AR1740" s="2">
        <f t="shared" si="346"/>
        <v>-2.1301186875174403</v>
      </c>
      <c r="AS1740" s="2">
        <f t="shared" si="347"/>
        <v>-298.03221692825377</v>
      </c>
    </row>
    <row r="1741" spans="37:45" x14ac:dyDescent="0.3">
      <c r="AK1741" s="78">
        <v>45049.875</v>
      </c>
      <c r="AL1741">
        <v>0.13404061812728499</v>
      </c>
      <c r="AM1741" s="6">
        <v>135.52973059999999</v>
      </c>
      <c r="AN1741" s="2">
        <v>8463</v>
      </c>
      <c r="AO1741" s="7">
        <f t="shared" si="348"/>
        <v>141.05000000000001</v>
      </c>
      <c r="AP1741" s="5">
        <f t="shared" si="344"/>
        <v>18.906429186853551</v>
      </c>
      <c r="AQ1741" s="6">
        <f t="shared" si="345"/>
        <v>156.67845160083203</v>
      </c>
      <c r="AR1741" s="2">
        <f t="shared" si="346"/>
        <v>-2.1301186875174403</v>
      </c>
      <c r="AS1741" s="2">
        <f t="shared" si="347"/>
        <v>-333.7436976862291</v>
      </c>
    </row>
    <row r="1742" spans="37:45" x14ac:dyDescent="0.3">
      <c r="AK1742" s="78">
        <v>45049.885416666664</v>
      </c>
      <c r="AL1742">
        <v>0.12314697069593</v>
      </c>
      <c r="AM1742" s="6">
        <v>129.12778700000001</v>
      </c>
      <c r="AN1742" s="2">
        <v>7903</v>
      </c>
      <c r="AO1742" s="7">
        <f t="shared" si="348"/>
        <v>131.71666666666667</v>
      </c>
      <c r="AP1742" s="5">
        <f t="shared" si="344"/>
        <v>16.220508490165582</v>
      </c>
      <c r="AQ1742" s="6">
        <f t="shared" si="345"/>
        <v>145.35238458739707</v>
      </c>
      <c r="AR1742" s="2">
        <f t="shared" si="346"/>
        <v>-2.1301186875174403</v>
      </c>
      <c r="AS1742" s="2">
        <f t="shared" si="347"/>
        <v>-309.61783068483646</v>
      </c>
    </row>
    <row r="1743" spans="37:45" x14ac:dyDescent="0.3">
      <c r="AK1743" s="78">
        <v>45049.895833333336</v>
      </c>
      <c r="AL1743">
        <v>0.112984239402302</v>
      </c>
      <c r="AM1743" s="6">
        <v>119.87671349999999</v>
      </c>
      <c r="AN1743" s="2">
        <v>8216</v>
      </c>
      <c r="AO1743" s="7">
        <f t="shared" si="348"/>
        <v>136.93333333333334</v>
      </c>
      <c r="AP1743" s="5">
        <f t="shared" si="344"/>
        <v>15.471308515488554</v>
      </c>
      <c r="AQ1743" s="6">
        <f t="shared" si="345"/>
        <v>142.02506194837832</v>
      </c>
      <c r="AR1743" s="2">
        <f t="shared" si="346"/>
        <v>-2.1301186875174403</v>
      </c>
      <c r="AS1743" s="2">
        <f t="shared" si="347"/>
        <v>-302.53023855206277</v>
      </c>
    </row>
    <row r="1744" spans="37:45" x14ac:dyDescent="0.3">
      <c r="AK1744" s="78">
        <v>45049.90625</v>
      </c>
      <c r="AL1744">
        <v>0.13654690851342</v>
      </c>
      <c r="AM1744" s="6">
        <v>130.567172</v>
      </c>
      <c r="AN1744" s="2">
        <v>7793</v>
      </c>
      <c r="AO1744" s="7">
        <f t="shared" si="348"/>
        <v>129.88333333333333</v>
      </c>
      <c r="AP1744" s="5">
        <f t="shared" si="344"/>
        <v>17.7351676340847</v>
      </c>
      <c r="AQ1744" s="6">
        <f t="shared" si="345"/>
        <v>151.84770694930953</v>
      </c>
      <c r="AR1744" s="2">
        <f t="shared" si="346"/>
        <v>-2.1301186875174403</v>
      </c>
      <c r="AS1744" s="2">
        <f t="shared" si="347"/>
        <v>-323.45363822939612</v>
      </c>
    </row>
    <row r="1745" spans="37:45" x14ac:dyDescent="0.3">
      <c r="AK1745" s="78">
        <v>45049.916666666664</v>
      </c>
      <c r="AL1745">
        <v>0.122822708584262</v>
      </c>
      <c r="AM1745" s="6">
        <v>122.1341827</v>
      </c>
      <c r="AN1745" s="2">
        <v>8033</v>
      </c>
      <c r="AO1745" s="7">
        <f t="shared" si="348"/>
        <v>133.88333333333333</v>
      </c>
      <c r="AP1745" s="5">
        <f t="shared" si="344"/>
        <v>16.443913634289611</v>
      </c>
      <c r="AQ1745" s="6">
        <f t="shared" si="345"/>
        <v>146.32931272869777</v>
      </c>
      <c r="AR1745" s="2">
        <f t="shared" si="346"/>
        <v>-2.1301186875174403</v>
      </c>
      <c r="AS1745" s="2">
        <f t="shared" si="347"/>
        <v>-311.69880357498278</v>
      </c>
    </row>
    <row r="1746" spans="37:45" x14ac:dyDescent="0.3">
      <c r="AK1746" s="78">
        <v>45049.927083333336</v>
      </c>
      <c r="AL1746">
        <v>0.119331664778523</v>
      </c>
      <c r="AM1746" s="6">
        <v>136.5531871</v>
      </c>
      <c r="AN1746" s="2">
        <v>7725</v>
      </c>
      <c r="AO1746" s="7">
        <f t="shared" si="348"/>
        <v>128.75</v>
      </c>
      <c r="AP1746" s="5">
        <f t="shared" si="344"/>
        <v>15.363951840234837</v>
      </c>
      <c r="AQ1746" s="6">
        <f t="shared" si="345"/>
        <v>141.54159361599281</v>
      </c>
      <c r="AR1746" s="2">
        <f t="shared" si="346"/>
        <v>-2.1301186875174403</v>
      </c>
      <c r="AS1746" s="2">
        <f t="shared" si="347"/>
        <v>-301.50039362242552</v>
      </c>
    </row>
    <row r="1747" spans="37:45" x14ac:dyDescent="0.3">
      <c r="AK1747" s="78">
        <v>45049.9375</v>
      </c>
      <c r="AL1747">
        <v>0.123567674139276</v>
      </c>
      <c r="AM1747" s="6">
        <v>131.9954343</v>
      </c>
      <c r="AN1747" s="2">
        <v>8027</v>
      </c>
      <c r="AO1747" s="7">
        <f t="shared" si="348"/>
        <v>133.78333333333333</v>
      </c>
      <c r="AP1747" s="5">
        <f t="shared" si="344"/>
        <v>16.531295338599474</v>
      </c>
      <c r="AQ1747" s="6">
        <f t="shared" si="345"/>
        <v>146.70958012945911</v>
      </c>
      <c r="AR1747" s="2">
        <f t="shared" si="346"/>
        <v>-2.1301186875174403</v>
      </c>
      <c r="AS1747" s="2">
        <f t="shared" si="347"/>
        <v>-312.50881827159816</v>
      </c>
    </row>
    <row r="1748" spans="37:45" x14ac:dyDescent="0.3">
      <c r="AK1748" s="78">
        <v>45049.947916666664</v>
      </c>
      <c r="AL1748">
        <v>0.122356174175134</v>
      </c>
      <c r="AM1748" s="6">
        <v>124.3675379</v>
      </c>
      <c r="AN1748" s="2">
        <v>8112</v>
      </c>
      <c r="AO1748" s="7">
        <f t="shared" si="348"/>
        <v>135.19999999999999</v>
      </c>
      <c r="AP1748" s="5">
        <f t="shared" si="344"/>
        <v>16.542554748478114</v>
      </c>
      <c r="AQ1748" s="6">
        <f t="shared" si="345"/>
        <v>146.75850411952942</v>
      </c>
      <c r="AR1748" s="2">
        <f t="shared" si="346"/>
        <v>-2.1301186875174403</v>
      </c>
      <c r="AS1748" s="2">
        <f t="shared" si="347"/>
        <v>-312.61303217711486</v>
      </c>
    </row>
    <row r="1749" spans="37:45" x14ac:dyDescent="0.3">
      <c r="AK1749" s="78">
        <v>45049.958333333336</v>
      </c>
      <c r="AL1749">
        <v>0.125883498083213</v>
      </c>
      <c r="AM1749" s="6">
        <v>124.3675379</v>
      </c>
      <c r="AN1749" s="2">
        <v>8145</v>
      </c>
      <c r="AO1749" s="7">
        <f t="shared" si="348"/>
        <v>135.75</v>
      </c>
      <c r="AP1749" s="5">
        <f t="shared" si="344"/>
        <v>17.088684864796164</v>
      </c>
      <c r="AQ1749" s="6">
        <f t="shared" si="345"/>
        <v>149.11145712120663</v>
      </c>
      <c r="AR1749" s="2">
        <f t="shared" si="346"/>
        <v>-2.1301186875174403</v>
      </c>
      <c r="AS1749" s="2">
        <f t="shared" si="347"/>
        <v>-317.62510133683776</v>
      </c>
    </row>
    <row r="1750" spans="37:45" x14ac:dyDescent="0.3">
      <c r="AK1750" s="78">
        <v>45049.96875</v>
      </c>
      <c r="AL1750">
        <v>0.116010547960554</v>
      </c>
      <c r="AM1750" s="6">
        <v>129.12158679999999</v>
      </c>
      <c r="AN1750" s="2">
        <v>8172</v>
      </c>
      <c r="AO1750" s="7">
        <f t="shared" si="348"/>
        <v>136.19999999999999</v>
      </c>
      <c r="AP1750" s="5">
        <f t="shared" si="344"/>
        <v>15.800636632227453</v>
      </c>
      <c r="AQ1750" s="6">
        <f t="shared" si="345"/>
        <v>143.49756688009396</v>
      </c>
      <c r="AR1750" s="2">
        <f t="shared" si="346"/>
        <v>-2.1301186875174403</v>
      </c>
      <c r="AS1750" s="2">
        <f t="shared" si="347"/>
        <v>-305.66684882457184</v>
      </c>
    </row>
    <row r="1751" spans="37:45" x14ac:dyDescent="0.3">
      <c r="AK1751" s="78">
        <v>45049.979166666664</v>
      </c>
      <c r="AL1751">
        <v>0.136836784665468</v>
      </c>
      <c r="AM1751" s="6">
        <v>124.3675379</v>
      </c>
      <c r="AN1751" s="2">
        <v>8049</v>
      </c>
      <c r="AO1751" s="7">
        <f t="shared" si="348"/>
        <v>134.15</v>
      </c>
      <c r="AP1751" s="5">
        <f t="shared" si="344"/>
        <v>18.356654662872533</v>
      </c>
      <c r="AQ1751" s="6">
        <f t="shared" si="345"/>
        <v>154.43057487649864</v>
      </c>
      <c r="AR1751" s="2">
        <f t="shared" si="346"/>
        <v>-2.1301186875174403</v>
      </c>
      <c r="AS1751" s="2">
        <f t="shared" si="347"/>
        <v>-328.95545346849104</v>
      </c>
    </row>
    <row r="1752" spans="37:45" x14ac:dyDescent="0.3">
      <c r="AK1752" s="78">
        <v>45049.989583333336</v>
      </c>
      <c r="AL1752">
        <v>0.12760263180091</v>
      </c>
      <c r="AM1752" s="6">
        <v>124.3675379</v>
      </c>
      <c r="AN1752" s="2">
        <v>7891</v>
      </c>
      <c r="AO1752" s="7">
        <f t="shared" si="348"/>
        <v>131.51666666666668</v>
      </c>
      <c r="AP1752" s="5">
        <f t="shared" si="344"/>
        <v>16.781872792349681</v>
      </c>
      <c r="AQ1752" s="6">
        <f t="shared" si="345"/>
        <v>147.7943897777775</v>
      </c>
      <c r="AR1752" s="2">
        <f t="shared" si="346"/>
        <v>-2.1301186875174403</v>
      </c>
      <c r="AS1752" s="2">
        <f t="shared" si="347"/>
        <v>-314.81959157588039</v>
      </c>
    </row>
    <row r="1753" spans="37:45" x14ac:dyDescent="0.3">
      <c r="AK1753" s="78">
        <v>45050</v>
      </c>
      <c r="AL1753">
        <v>0.116522238459079</v>
      </c>
      <c r="AM1753" s="6">
        <v>118.36070239999999</v>
      </c>
      <c r="AN1753" s="2">
        <v>8208</v>
      </c>
      <c r="AO1753" s="7">
        <f t="shared" si="348"/>
        <v>136.80000000000001</v>
      </c>
      <c r="AP1753" s="5">
        <f t="shared" si="344"/>
        <v>15.940242221202007</v>
      </c>
      <c r="AQ1753" s="6">
        <f t="shared" si="345"/>
        <v>144.11704652246658</v>
      </c>
      <c r="AR1753" s="2">
        <f t="shared" si="346"/>
        <v>-2.1301186875174403</v>
      </c>
      <c r="AS1753" s="2">
        <f t="shared" si="347"/>
        <v>-306.98641398732639</v>
      </c>
    </row>
    <row r="1754" spans="37:45" x14ac:dyDescent="0.3">
      <c r="AK1754" s="78">
        <v>45050.010416666664</v>
      </c>
      <c r="AL1754">
        <v>0.11892119586001899</v>
      </c>
      <c r="AM1754" s="6">
        <v>120.2525852</v>
      </c>
      <c r="AN1754" s="2">
        <v>8052</v>
      </c>
      <c r="AO1754" s="7">
        <f t="shared" si="348"/>
        <v>134.19999999999999</v>
      </c>
      <c r="AP1754" s="5">
        <f t="shared" si="344"/>
        <v>15.959224484414548</v>
      </c>
      <c r="AQ1754" s="6">
        <f t="shared" si="345"/>
        <v>144.20106341872207</v>
      </c>
      <c r="AR1754" s="2">
        <f t="shared" si="346"/>
        <v>-2.1301186875174403</v>
      </c>
      <c r="AS1754" s="2">
        <f t="shared" si="347"/>
        <v>-307.16537994810744</v>
      </c>
    </row>
    <row r="1755" spans="37:45" x14ac:dyDescent="0.3">
      <c r="AK1755" s="78">
        <v>45050.020833333336</v>
      </c>
      <c r="AL1755">
        <v>0.11385543864655</v>
      </c>
      <c r="AM1755" s="6">
        <v>119.11711819999999</v>
      </c>
      <c r="AN1755" s="2">
        <v>8351</v>
      </c>
      <c r="AO1755" s="7">
        <f t="shared" si="348"/>
        <v>139.18333333333334</v>
      </c>
      <c r="AP1755" s="5">
        <f t="shared" si="344"/>
        <v>15.846779468955651</v>
      </c>
      <c r="AQ1755" s="6">
        <f t="shared" si="345"/>
        <v>143.70262694930113</v>
      </c>
      <c r="AR1755" s="2">
        <f t="shared" si="346"/>
        <v>-2.1301186875174403</v>
      </c>
      <c r="AS1755" s="2">
        <f t="shared" si="347"/>
        <v>-306.10365111005365</v>
      </c>
    </row>
    <row r="1756" spans="37:45" x14ac:dyDescent="0.3">
      <c r="AK1756" s="78">
        <v>45050.03125</v>
      </c>
      <c r="AL1756">
        <v>0.13189527620025601</v>
      </c>
      <c r="AM1756" s="6">
        <v>117.21518</v>
      </c>
      <c r="AN1756" s="2">
        <v>8148</v>
      </c>
      <c r="AO1756" s="7">
        <f t="shared" si="348"/>
        <v>135.80000000000001</v>
      </c>
      <c r="AP1756" s="5">
        <f t="shared" si="344"/>
        <v>17.911378507994769</v>
      </c>
      <c r="AQ1756" s="6">
        <f t="shared" si="345"/>
        <v>152.58465837541888</v>
      </c>
      <c r="AR1756" s="2">
        <f t="shared" si="346"/>
        <v>-2.1301186875174403</v>
      </c>
      <c r="AS1756" s="2">
        <f t="shared" si="347"/>
        <v>-325.02343223394428</v>
      </c>
    </row>
    <row r="1757" spans="37:45" x14ac:dyDescent="0.3">
      <c r="AK1757" s="78">
        <v>45050.041666666664</v>
      </c>
      <c r="AL1757">
        <v>0.11238013755266101</v>
      </c>
      <c r="AM1757" s="6">
        <v>114.1275401</v>
      </c>
      <c r="AN1757" s="2">
        <v>8378</v>
      </c>
      <c r="AO1757" s="7">
        <f t="shared" si="348"/>
        <v>139.63333333333333</v>
      </c>
      <c r="AP1757" s="5">
        <f t="shared" si="344"/>
        <v>15.692013206936565</v>
      </c>
      <c r="AQ1757" s="6">
        <f t="shared" si="345"/>
        <v>143.0136315784805</v>
      </c>
      <c r="AR1757" s="2">
        <f t="shared" si="346"/>
        <v>-2.1301186875174403</v>
      </c>
      <c r="AS1757" s="2">
        <f t="shared" si="347"/>
        <v>-304.63600919505564</v>
      </c>
    </row>
    <row r="1758" spans="37:45" x14ac:dyDescent="0.3">
      <c r="AK1758" s="78">
        <v>45050.052083333336</v>
      </c>
      <c r="AL1758">
        <v>0.112368174421013</v>
      </c>
      <c r="AM1758" s="6">
        <v>126.9470365</v>
      </c>
      <c r="AN1758" s="2">
        <v>8230</v>
      </c>
      <c r="AO1758" s="7">
        <f t="shared" si="348"/>
        <v>137.16666666666666</v>
      </c>
      <c r="AP1758" s="5">
        <f t="shared" si="344"/>
        <v>15.413167924748949</v>
      </c>
      <c r="AQ1758" s="6">
        <f t="shared" si="345"/>
        <v>141.76344583159371</v>
      </c>
      <c r="AR1758" s="2">
        <f t="shared" si="346"/>
        <v>-2.1301186875174403</v>
      </c>
      <c r="AS1758" s="2">
        <f t="shared" si="347"/>
        <v>-301.97296517274413</v>
      </c>
    </row>
    <row r="1759" spans="37:45" x14ac:dyDescent="0.3">
      <c r="AK1759" s="78">
        <v>45050.0625</v>
      </c>
      <c r="AL1759">
        <v>0.12565869217425499</v>
      </c>
      <c r="AM1759" s="6">
        <v>109.0251016</v>
      </c>
      <c r="AN1759" s="2">
        <v>8472</v>
      </c>
      <c r="AO1759" s="7">
        <f t="shared" si="348"/>
        <v>141.19999999999999</v>
      </c>
      <c r="AP1759" s="5">
        <f t="shared" si="344"/>
        <v>17.743007335004801</v>
      </c>
      <c r="AQ1759" s="6">
        <f t="shared" si="345"/>
        <v>151.88057345737164</v>
      </c>
      <c r="AR1759" s="2">
        <f t="shared" si="346"/>
        <v>-2.1301186875174403</v>
      </c>
      <c r="AS1759" s="2">
        <f t="shared" si="347"/>
        <v>-323.52364779241265</v>
      </c>
    </row>
    <row r="1760" spans="37:45" x14ac:dyDescent="0.3">
      <c r="AK1760" s="78">
        <v>45050.072916666664</v>
      </c>
      <c r="AL1760">
        <v>0.13549850155470999</v>
      </c>
      <c r="AM1760" s="6">
        <v>121.00878899999999</v>
      </c>
      <c r="AN1760" s="2">
        <v>8307</v>
      </c>
      <c r="AO1760" s="7">
        <f t="shared" si="348"/>
        <v>138.44999999999999</v>
      </c>
      <c r="AP1760" s="5">
        <f t="shared" si="344"/>
        <v>18.759767540249598</v>
      </c>
      <c r="AQ1760" s="6">
        <f t="shared" si="345"/>
        <v>156.08209158518463</v>
      </c>
      <c r="AR1760" s="2">
        <f t="shared" si="346"/>
        <v>-2.1301186875174403</v>
      </c>
      <c r="AS1760" s="2">
        <f t="shared" si="347"/>
        <v>-332.47338007241041</v>
      </c>
    </row>
    <row r="1761" spans="37:45" x14ac:dyDescent="0.3">
      <c r="AK1761" s="78">
        <v>45050.083333333336</v>
      </c>
      <c r="AL1761">
        <v>0.13097763477393201</v>
      </c>
      <c r="AM1761" s="6">
        <v>121.00878899999999</v>
      </c>
      <c r="AN1761" s="2">
        <v>8181</v>
      </c>
      <c r="AO1761" s="7">
        <f t="shared" si="348"/>
        <v>136.35</v>
      </c>
      <c r="AP1761" s="5">
        <f t="shared" si="344"/>
        <v>17.85880050142563</v>
      </c>
      <c r="AQ1761" s="6">
        <f t="shared" si="345"/>
        <v>152.36515474066027</v>
      </c>
      <c r="AR1761" s="2">
        <f t="shared" si="346"/>
        <v>-2.1301186875174403</v>
      </c>
      <c r="AS1761" s="2">
        <f t="shared" si="347"/>
        <v>-324.55586343956696</v>
      </c>
    </row>
    <row r="1762" spans="37:45" x14ac:dyDescent="0.3">
      <c r="AK1762" s="78">
        <v>45050.09375</v>
      </c>
      <c r="AL1762">
        <v>0.125841618488513</v>
      </c>
      <c r="AM1762" s="6">
        <v>115.2898797</v>
      </c>
      <c r="AN1762" s="2">
        <v>8470</v>
      </c>
      <c r="AO1762" s="7">
        <f t="shared" si="348"/>
        <v>141.16666666666666</v>
      </c>
      <c r="AP1762" s="5">
        <f t="shared" si="344"/>
        <v>17.764641809961748</v>
      </c>
      <c r="AQ1762" s="6">
        <f t="shared" si="345"/>
        <v>151.97123360216216</v>
      </c>
      <c r="AR1762" s="2">
        <f t="shared" si="346"/>
        <v>-2.1301186875174403</v>
      </c>
      <c r="AS1762" s="2">
        <f t="shared" si="347"/>
        <v>-323.71676466104395</v>
      </c>
    </row>
    <row r="1763" spans="37:45" x14ac:dyDescent="0.3">
      <c r="AK1763" s="78">
        <v>45050.104166666664</v>
      </c>
      <c r="AL1763">
        <v>0.114950815451243</v>
      </c>
      <c r="AM1763" s="6">
        <v>116.4455014</v>
      </c>
      <c r="AN1763" s="2">
        <v>8397</v>
      </c>
      <c r="AO1763" s="7">
        <f t="shared" si="348"/>
        <v>139.94999999999999</v>
      </c>
      <c r="AP1763" s="5">
        <f t="shared" si="344"/>
        <v>16.087366622401458</v>
      </c>
      <c r="AQ1763" s="6">
        <f t="shared" si="345"/>
        <v>144.766900869735</v>
      </c>
      <c r="AR1763" s="2">
        <f t="shared" si="346"/>
        <v>-2.1301186875174403</v>
      </c>
      <c r="AS1763" s="2">
        <f t="shared" si="347"/>
        <v>-308.37068087660731</v>
      </c>
    </row>
    <row r="1764" spans="37:45" x14ac:dyDescent="0.3">
      <c r="AK1764" s="78">
        <v>45050.114583333336</v>
      </c>
      <c r="AL1764">
        <v>0.129121142751292</v>
      </c>
      <c r="AM1764" s="6">
        <v>121.00878899999999</v>
      </c>
      <c r="AN1764" s="2">
        <v>8259</v>
      </c>
      <c r="AO1764" s="7">
        <f t="shared" si="348"/>
        <v>137.65</v>
      </c>
      <c r="AP1764" s="5">
        <f t="shared" si="344"/>
        <v>17.773525299715345</v>
      </c>
      <c r="AQ1764" s="6">
        <f t="shared" si="345"/>
        <v>152.00844390815456</v>
      </c>
      <c r="AR1764" s="2">
        <f t="shared" si="346"/>
        <v>-2.1301186875174403</v>
      </c>
      <c r="AS1764" s="2">
        <f t="shared" si="347"/>
        <v>-323.79602702920664</v>
      </c>
    </row>
    <row r="1765" spans="37:45" x14ac:dyDescent="0.3">
      <c r="AK1765" s="78">
        <v>45050.125</v>
      </c>
      <c r="AL1765">
        <v>0.125221662559933</v>
      </c>
      <c r="AM1765" s="6">
        <v>107.0292163</v>
      </c>
      <c r="AN1765" s="2">
        <v>8251</v>
      </c>
      <c r="AO1765" s="7">
        <f t="shared" si="348"/>
        <v>137.51666666666668</v>
      </c>
      <c r="AP1765" s="5">
        <f t="shared" si="344"/>
        <v>17.220065629700123</v>
      </c>
      <c r="AQ1765" s="6">
        <f t="shared" si="345"/>
        <v>149.67174959177117</v>
      </c>
      <c r="AR1765" s="2">
        <f t="shared" si="346"/>
        <v>-2.1301186875174403</v>
      </c>
      <c r="AS1765" s="2">
        <f t="shared" si="347"/>
        <v>-318.8185907988626</v>
      </c>
    </row>
    <row r="1766" spans="37:45" x14ac:dyDescent="0.3">
      <c r="AK1766" s="78">
        <v>45050.135416666664</v>
      </c>
      <c r="AL1766">
        <v>0.116148512685152</v>
      </c>
      <c r="AM1766" s="6">
        <v>126.9407683</v>
      </c>
      <c r="AN1766" s="2">
        <v>8397</v>
      </c>
      <c r="AO1766" s="7">
        <f t="shared" si="348"/>
        <v>139.94999999999999</v>
      </c>
      <c r="AP1766" s="5">
        <f t="shared" si="344"/>
        <v>16.254984350287021</v>
      </c>
      <c r="AQ1766" s="6">
        <f t="shared" si="345"/>
        <v>145.50359008329522</v>
      </c>
      <c r="AR1766" s="2">
        <f t="shared" si="346"/>
        <v>-2.1301186875174403</v>
      </c>
      <c r="AS1766" s="2">
        <f t="shared" si="347"/>
        <v>-309.93991633730445</v>
      </c>
    </row>
    <row r="1767" spans="37:45" x14ac:dyDescent="0.3">
      <c r="AK1767" s="78">
        <v>45050.145833333336</v>
      </c>
      <c r="AL1767">
        <v>0.122256374462352</v>
      </c>
      <c r="AM1767" s="6">
        <v>110.21295859999999</v>
      </c>
      <c r="AN1767" s="2">
        <v>8548</v>
      </c>
      <c r="AO1767" s="7">
        <f t="shared" si="348"/>
        <v>142.46666666666667</v>
      </c>
      <c r="AP1767" s="5">
        <f t="shared" si="344"/>
        <v>17.417458148403082</v>
      </c>
      <c r="AQ1767" s="6">
        <f t="shared" si="345"/>
        <v>150.50947377544398</v>
      </c>
      <c r="AR1767" s="2">
        <f t="shared" si="346"/>
        <v>-2.1301186875174403</v>
      </c>
      <c r="AS1767" s="2">
        <f t="shared" si="347"/>
        <v>-320.60304273748932</v>
      </c>
    </row>
    <row r="1768" spans="37:45" x14ac:dyDescent="0.3">
      <c r="AK1768" s="78">
        <v>45050.15625</v>
      </c>
      <c r="AL1768">
        <v>0.119916790121865</v>
      </c>
      <c r="AM1768" s="6">
        <v>112.1752807</v>
      </c>
      <c r="AN1768" s="2">
        <v>8608</v>
      </c>
      <c r="AO1768" s="7">
        <f t="shared" si="348"/>
        <v>143.46666666666667</v>
      </c>
      <c r="AP1768" s="5">
        <f t="shared" si="344"/>
        <v>17.204062156150233</v>
      </c>
      <c r="AQ1768" s="6">
        <f t="shared" si="345"/>
        <v>149.60361739202324</v>
      </c>
      <c r="AR1768" s="2">
        <f t="shared" si="346"/>
        <v>-2.1301186875174403</v>
      </c>
      <c r="AS1768" s="2">
        <f t="shared" si="347"/>
        <v>-318.67346112695782</v>
      </c>
    </row>
    <row r="1769" spans="37:45" x14ac:dyDescent="0.3">
      <c r="AK1769" s="78">
        <v>45050.166666666664</v>
      </c>
      <c r="AL1769">
        <v>0.120513265749927</v>
      </c>
      <c r="AM1769" s="6">
        <v>112.1752807</v>
      </c>
      <c r="AN1769" s="2">
        <v>8390</v>
      </c>
      <c r="AO1769" s="7">
        <f t="shared" si="348"/>
        <v>139.83333333333334</v>
      </c>
      <c r="AP1769" s="5">
        <f t="shared" si="344"/>
        <v>16.851771660698127</v>
      </c>
      <c r="AQ1769" s="6">
        <f t="shared" si="345"/>
        <v>148.09552180871086</v>
      </c>
      <c r="AR1769" s="2">
        <f t="shared" si="346"/>
        <v>-2.1301186875174403</v>
      </c>
      <c r="AS1769" s="2">
        <f t="shared" si="347"/>
        <v>-315.46103854238163</v>
      </c>
    </row>
    <row r="1770" spans="37:45" x14ac:dyDescent="0.3">
      <c r="AK1770" s="78">
        <v>45050.177083333336</v>
      </c>
      <c r="AL1770">
        <v>0.11567342493522299</v>
      </c>
      <c r="AM1770" s="6">
        <v>110.9974619</v>
      </c>
      <c r="AN1770" s="2">
        <v>8248</v>
      </c>
      <c r="AO1770" s="7">
        <f t="shared" si="348"/>
        <v>137.46666666666667</v>
      </c>
      <c r="AP1770" s="5">
        <f t="shared" si="344"/>
        <v>15.901240147761987</v>
      </c>
      <c r="AQ1770" s="6">
        <f t="shared" si="345"/>
        <v>143.944260099801</v>
      </c>
      <c r="AR1770" s="2">
        <f t="shared" si="346"/>
        <v>-2.1301186875174403</v>
      </c>
      <c r="AS1770" s="2">
        <f t="shared" si="347"/>
        <v>-306.61835839945712</v>
      </c>
    </row>
    <row r="1771" spans="37:45" x14ac:dyDescent="0.3">
      <c r="AK1771" s="78">
        <v>45050.1875</v>
      </c>
      <c r="AL1771">
        <v>0.147470909317377</v>
      </c>
      <c r="AM1771" s="6">
        <v>119.87671349999999</v>
      </c>
      <c r="AN1771" s="2">
        <v>8169</v>
      </c>
      <c r="AO1771" s="7">
        <f t="shared" si="348"/>
        <v>136.15</v>
      </c>
      <c r="AP1771" s="5">
        <f t="shared" si="344"/>
        <v>20.078164303560879</v>
      </c>
      <c r="AQ1771" s="6">
        <f t="shared" si="345"/>
        <v>161.36061385290796</v>
      </c>
      <c r="AR1771" s="2">
        <f t="shared" si="346"/>
        <v>-2.1301186875174403</v>
      </c>
      <c r="AS1771" s="2">
        <f t="shared" si="347"/>
        <v>-343.71725899736481</v>
      </c>
    </row>
    <row r="1772" spans="37:45" x14ac:dyDescent="0.3">
      <c r="AK1772" s="78">
        <v>45050.197916666664</v>
      </c>
      <c r="AL1772">
        <v>0.13477928885725299</v>
      </c>
      <c r="AM1772" s="6">
        <v>114.8986831</v>
      </c>
      <c r="AN1772" s="2">
        <v>8315</v>
      </c>
      <c r="AO1772" s="7">
        <f t="shared" si="348"/>
        <v>138.58333333333334</v>
      </c>
      <c r="AP1772" s="5">
        <f t="shared" si="344"/>
        <v>18.678163114134311</v>
      </c>
      <c r="AQ1772" s="6">
        <f t="shared" si="345"/>
        <v>155.74923875515489</v>
      </c>
      <c r="AR1772" s="2">
        <f t="shared" si="346"/>
        <v>-2.1301186875174403</v>
      </c>
      <c r="AS1772" s="2">
        <f t="shared" si="347"/>
        <v>-331.764364038971</v>
      </c>
    </row>
    <row r="1773" spans="37:45" x14ac:dyDescent="0.3">
      <c r="AK1773" s="78">
        <v>45050.208333333336</v>
      </c>
      <c r="AL1773">
        <v>0.147720453050458</v>
      </c>
      <c r="AM1773" s="6">
        <v>110.9974619</v>
      </c>
      <c r="AN1773" s="2">
        <v>8455</v>
      </c>
      <c r="AO1773" s="7">
        <f t="shared" si="348"/>
        <v>140.91666666666666</v>
      </c>
      <c r="AP1773" s="5">
        <f t="shared" si="344"/>
        <v>20.816273842360371</v>
      </c>
      <c r="AQ1773" s="6">
        <f t="shared" si="345"/>
        <v>164.23871486592813</v>
      </c>
      <c r="AR1773" s="2">
        <f t="shared" si="346"/>
        <v>-2.1301186875174403</v>
      </c>
      <c r="AS1773" s="2">
        <f t="shared" si="347"/>
        <v>-349.84795574976192</v>
      </c>
    </row>
    <row r="1774" spans="37:45" x14ac:dyDescent="0.3">
      <c r="AK1774" s="78">
        <v>45050.21875</v>
      </c>
      <c r="AL1774">
        <v>0.115925384579442</v>
      </c>
      <c r="AM1774" s="6">
        <v>109.01829240000001</v>
      </c>
      <c r="AN1774" s="2">
        <v>8601</v>
      </c>
      <c r="AO1774" s="7">
        <f t="shared" si="348"/>
        <v>143.35</v>
      </c>
      <c r="AP1774" s="5">
        <f t="shared" si="344"/>
        <v>16.617903879463011</v>
      </c>
      <c r="AQ1774" s="6">
        <f t="shared" si="345"/>
        <v>147.08547206902765</v>
      </c>
      <c r="AR1774" s="2">
        <f t="shared" si="346"/>
        <v>-2.1301186875174403</v>
      </c>
      <c r="AS1774" s="2">
        <f t="shared" si="347"/>
        <v>-313.30951271656028</v>
      </c>
    </row>
    <row r="1775" spans="37:45" x14ac:dyDescent="0.3">
      <c r="AK1775" s="78">
        <v>45050.229166666664</v>
      </c>
      <c r="AL1775">
        <v>0.116789910477303</v>
      </c>
      <c r="AM1775" s="6">
        <v>107.8236938</v>
      </c>
      <c r="AN1775" s="2">
        <v>8412</v>
      </c>
      <c r="AO1775" s="7">
        <f t="shared" si="348"/>
        <v>140.19999999999999</v>
      </c>
      <c r="AP1775" s="5">
        <f t="shared" si="344"/>
        <v>16.37394544891788</v>
      </c>
      <c r="AQ1775" s="6">
        <f t="shared" si="345"/>
        <v>146.02408139858844</v>
      </c>
      <c r="AR1775" s="2">
        <f t="shared" si="346"/>
        <v>-2.1301186875174403</v>
      </c>
      <c r="AS1775" s="2">
        <f t="shared" si="347"/>
        <v>-311.04862461470105</v>
      </c>
    </row>
    <row r="1776" spans="37:45" x14ac:dyDescent="0.3">
      <c r="AK1776" s="78">
        <v>45050.239583333336</v>
      </c>
      <c r="AL1776">
        <v>0.131094256511428</v>
      </c>
      <c r="AM1776" s="6">
        <v>113.3477233</v>
      </c>
      <c r="AN1776" s="2">
        <v>8296</v>
      </c>
      <c r="AO1776" s="7">
        <f t="shared" si="348"/>
        <v>138.26666666666668</v>
      </c>
      <c r="AP1776" s="5">
        <f t="shared" si="344"/>
        <v>18.125965866980113</v>
      </c>
      <c r="AQ1776" s="6">
        <f t="shared" si="345"/>
        <v>153.47713011449267</v>
      </c>
      <c r="AR1776" s="2">
        <f t="shared" si="346"/>
        <v>-2.1301186875174403</v>
      </c>
      <c r="AS1776" s="2">
        <f t="shared" si="347"/>
        <v>-326.92450296342651</v>
      </c>
    </row>
    <row r="1777" spans="37:45" x14ac:dyDescent="0.3">
      <c r="AK1777" s="78">
        <v>45050.25</v>
      </c>
      <c r="AL1777">
        <v>0.112137140839835</v>
      </c>
      <c r="AM1777" s="6">
        <v>116.4455014</v>
      </c>
      <c r="AN1777" s="2">
        <v>8575</v>
      </c>
      <c r="AO1777" s="7">
        <f t="shared" si="348"/>
        <v>142.91666666666666</v>
      </c>
      <c r="AP1777" s="5">
        <f t="shared" si="344"/>
        <v>16.02626637835975</v>
      </c>
      <c r="AQ1777" s="6">
        <f t="shared" si="345"/>
        <v>144.49738842152107</v>
      </c>
      <c r="AR1777" s="2">
        <f t="shared" si="346"/>
        <v>-2.1301186875174403</v>
      </c>
      <c r="AS1777" s="2">
        <f t="shared" si="347"/>
        <v>-307.7965873741482</v>
      </c>
    </row>
    <row r="1778" spans="37:45" x14ac:dyDescent="0.3">
      <c r="AK1778" s="78">
        <v>45050.260416666664</v>
      </c>
      <c r="AL1778">
        <v>0.13900290306692401</v>
      </c>
      <c r="AM1778" s="6">
        <v>111.7853645</v>
      </c>
      <c r="AN1778" s="2">
        <v>8390</v>
      </c>
      <c r="AO1778" s="7">
        <f t="shared" si="348"/>
        <v>139.83333333333334</v>
      </c>
      <c r="AP1778" s="5">
        <f t="shared" si="344"/>
        <v>19.437239278858208</v>
      </c>
      <c r="AQ1778" s="6">
        <f t="shared" si="345"/>
        <v>158.81735066885545</v>
      </c>
      <c r="AR1778" s="2">
        <f t="shared" si="346"/>
        <v>-2.1301186875174403</v>
      </c>
      <c r="AS1778" s="2">
        <f t="shared" si="347"/>
        <v>-338.29980656173944</v>
      </c>
    </row>
    <row r="1779" spans="37:45" x14ac:dyDescent="0.3">
      <c r="AK1779" s="78">
        <v>45050.270833333336</v>
      </c>
      <c r="AL1779">
        <v>0.11622427467045</v>
      </c>
      <c r="AM1779" s="6">
        <v>109.0251016</v>
      </c>
      <c r="AN1779" s="2">
        <v>8611</v>
      </c>
      <c r="AO1779" s="7">
        <f t="shared" si="348"/>
        <v>143.51666666666668</v>
      </c>
      <c r="AP1779" s="5">
        <f t="shared" si="344"/>
        <v>16.680120486454083</v>
      </c>
      <c r="AQ1779" s="6">
        <f t="shared" si="345"/>
        <v>147.35488328846662</v>
      </c>
      <c r="AR1779" s="2">
        <f t="shared" si="346"/>
        <v>-2.1301186875174403</v>
      </c>
      <c r="AS1779" s="2">
        <f t="shared" si="347"/>
        <v>-313.88339058971411</v>
      </c>
    </row>
    <row r="1780" spans="37:45" x14ac:dyDescent="0.3">
      <c r="AK1780" s="78">
        <v>45050.28125</v>
      </c>
      <c r="AL1780">
        <v>0.13888355002695499</v>
      </c>
      <c r="AM1780" s="6">
        <v>103.3988808</v>
      </c>
      <c r="AN1780" s="2">
        <v>8603</v>
      </c>
      <c r="AO1780" s="7">
        <f t="shared" si="348"/>
        <v>143.38333333333333</v>
      </c>
      <c r="AP1780" s="5">
        <f t="shared" si="344"/>
        <v>19.913586348031561</v>
      </c>
      <c r="AQ1780" s="6">
        <f t="shared" si="345"/>
        <v>160.71155151760487</v>
      </c>
      <c r="AR1780" s="2">
        <f t="shared" si="346"/>
        <v>-2.1301186875174403</v>
      </c>
      <c r="AS1780" s="2">
        <f t="shared" si="347"/>
        <v>-342.33467918757196</v>
      </c>
    </row>
    <row r="1781" spans="37:45" x14ac:dyDescent="0.3">
      <c r="AK1781" s="78">
        <v>45050.291666666664</v>
      </c>
      <c r="AL1781">
        <v>0.13808012745714501</v>
      </c>
      <c r="AM1781" s="6">
        <v>107.0292163</v>
      </c>
      <c r="AN1781" s="2">
        <v>8524</v>
      </c>
      <c r="AO1781" s="7">
        <f t="shared" si="348"/>
        <v>142.06666666666666</v>
      </c>
      <c r="AP1781" s="5">
        <f t="shared" si="344"/>
        <v>19.616583440745067</v>
      </c>
      <c r="AQ1781" s="6">
        <f t="shared" si="345"/>
        <v>159.53326624914942</v>
      </c>
      <c r="AR1781" s="2">
        <f t="shared" si="346"/>
        <v>-2.1301186875174403</v>
      </c>
      <c r="AS1781" s="2">
        <f t="shared" si="347"/>
        <v>-339.8247917180085</v>
      </c>
    </row>
    <row r="1782" spans="37:45" x14ac:dyDescent="0.3">
      <c r="AK1782" s="78">
        <v>45050.302083333336</v>
      </c>
      <c r="AL1782">
        <v>0.11504240641153</v>
      </c>
      <c r="AM1782" s="6">
        <v>110.60554279999999</v>
      </c>
      <c r="AN1782" s="2">
        <v>8243</v>
      </c>
      <c r="AO1782" s="7">
        <f t="shared" si="348"/>
        <v>137.38333333333333</v>
      </c>
      <c r="AP1782" s="5">
        <f t="shared" si="344"/>
        <v>15.80490926750403</v>
      </c>
      <c r="AQ1782" s="6">
        <f t="shared" si="345"/>
        <v>143.5165674188938</v>
      </c>
      <c r="AR1782" s="2">
        <f t="shared" si="346"/>
        <v>-2.1301186875174403</v>
      </c>
      <c r="AS1782" s="2">
        <f t="shared" si="347"/>
        <v>-305.70732222734227</v>
      </c>
    </row>
    <row r="1783" spans="37:45" x14ac:dyDescent="0.3">
      <c r="AK1783" s="78">
        <v>45050.3125</v>
      </c>
      <c r="AL1783">
        <v>0.126799094844642</v>
      </c>
      <c r="AM1783" s="6">
        <v>104.61473460000001</v>
      </c>
      <c r="AN1783" s="2">
        <v>8429</v>
      </c>
      <c r="AO1783" s="7">
        <f t="shared" si="348"/>
        <v>140.48333333333332</v>
      </c>
      <c r="AP1783" s="5">
        <f t="shared" si="344"/>
        <v>17.813159507424789</v>
      </c>
      <c r="AQ1783" s="6">
        <f t="shared" si="345"/>
        <v>152.17434434372558</v>
      </c>
      <c r="AR1783" s="2">
        <f t="shared" si="346"/>
        <v>-2.1301186875174403</v>
      </c>
      <c r="AS1783" s="2">
        <f t="shared" si="347"/>
        <v>-324.14941464728372</v>
      </c>
    </row>
    <row r="1784" spans="37:45" x14ac:dyDescent="0.3">
      <c r="AK1784" s="78">
        <v>45050.322916666664</v>
      </c>
      <c r="AL1784">
        <v>0.133571234588482</v>
      </c>
      <c r="AM1784" s="6">
        <v>107.8305381</v>
      </c>
      <c r="AN1784" s="2">
        <v>8402</v>
      </c>
      <c r="AO1784" s="7">
        <f t="shared" si="348"/>
        <v>140.03333333333333</v>
      </c>
      <c r="AP1784" s="5">
        <f t="shared" si="344"/>
        <v>18.704425216873762</v>
      </c>
      <c r="AQ1784" s="6">
        <f t="shared" si="345"/>
        <v>155.85643896819667</v>
      </c>
      <c r="AR1784" s="2">
        <f t="shared" si="346"/>
        <v>-2.1301186875174403</v>
      </c>
      <c r="AS1784" s="2">
        <f t="shared" si="347"/>
        <v>-331.99271321607711</v>
      </c>
    </row>
    <row r="1785" spans="37:45" x14ac:dyDescent="0.3">
      <c r="AK1785" s="78">
        <v>45050.333333333336</v>
      </c>
      <c r="AL1785">
        <v>0.117437127728584</v>
      </c>
      <c r="AM1785" s="6">
        <v>99.304680700000006</v>
      </c>
      <c r="AN1785" s="2">
        <v>8604</v>
      </c>
      <c r="AO1785" s="7">
        <f t="shared" si="348"/>
        <v>143.4</v>
      </c>
      <c r="AP1785" s="5">
        <f t="shared" si="344"/>
        <v>16.840484116278947</v>
      </c>
      <c r="AQ1785" s="6">
        <f t="shared" si="345"/>
        <v>148.04693703573619</v>
      </c>
      <c r="AR1785" s="2">
        <f t="shared" si="346"/>
        <v>-2.1301186875174403</v>
      </c>
      <c r="AS1785" s="2">
        <f t="shared" si="347"/>
        <v>-315.35754720953952</v>
      </c>
    </row>
    <row r="1786" spans="37:45" x14ac:dyDescent="0.3">
      <c r="AK1786" s="78">
        <v>45050.34375</v>
      </c>
      <c r="AL1786">
        <v>0.149057833451717</v>
      </c>
      <c r="AM1786" s="6">
        <v>104.61473460000001</v>
      </c>
      <c r="AN1786" s="2">
        <v>8375</v>
      </c>
      <c r="AO1786" s="7">
        <f t="shared" si="348"/>
        <v>139.58333333333334</v>
      </c>
      <c r="AP1786" s="5">
        <f t="shared" si="344"/>
        <v>20.805989252635499</v>
      </c>
      <c r="AQ1786" s="6">
        <f t="shared" si="345"/>
        <v>164.19897335461758</v>
      </c>
      <c r="AR1786" s="2">
        <f t="shared" si="346"/>
        <v>-2.1301186875174403</v>
      </c>
      <c r="AS1786" s="2">
        <f t="shared" si="347"/>
        <v>-349.76330161384914</v>
      </c>
    </row>
    <row r="1787" spans="37:45" x14ac:dyDescent="0.3">
      <c r="AK1787" s="78">
        <v>45050.354166666664</v>
      </c>
      <c r="AL1787">
        <v>0.12912172736320801</v>
      </c>
      <c r="AM1787" s="6">
        <v>104.61473460000001</v>
      </c>
      <c r="AN1787" s="2">
        <v>8402</v>
      </c>
      <c r="AO1787" s="7">
        <f t="shared" si="348"/>
        <v>140.03333333333333</v>
      </c>
      <c r="AP1787" s="5">
        <f t="shared" si="344"/>
        <v>18.081345888427894</v>
      </c>
      <c r="AQ1787" s="6">
        <f t="shared" si="345"/>
        <v>153.29200088099711</v>
      </c>
      <c r="AR1787" s="2">
        <f t="shared" si="346"/>
        <v>-2.1301186875174403</v>
      </c>
      <c r="AS1787" s="2">
        <f t="shared" si="347"/>
        <v>-326.53015572355184</v>
      </c>
    </row>
    <row r="1788" spans="37:45" x14ac:dyDescent="0.3">
      <c r="AK1788" s="78">
        <v>45050.364583333336</v>
      </c>
      <c r="AL1788">
        <v>0.121170306943249</v>
      </c>
      <c r="AM1788" s="6">
        <v>102.5822131</v>
      </c>
      <c r="AN1788" s="2">
        <v>8396</v>
      </c>
      <c r="AO1788" s="7">
        <f t="shared" si="348"/>
        <v>139.93333333333334</v>
      </c>
      <c r="AP1788" s="5">
        <f t="shared" si="344"/>
        <v>16.955764951591977</v>
      </c>
      <c r="AQ1788" s="6">
        <f t="shared" si="345"/>
        <v>148.54235924384486</v>
      </c>
      <c r="AR1788" s="2">
        <f t="shared" si="346"/>
        <v>-2.1301186875174403</v>
      </c>
      <c r="AS1788" s="2">
        <f t="shared" si="347"/>
        <v>-316.41285531324291</v>
      </c>
    </row>
    <row r="1789" spans="37:45" x14ac:dyDescent="0.3">
      <c r="AK1789" s="78">
        <v>45050.375</v>
      </c>
      <c r="AL1789">
        <v>0.13734024413947299</v>
      </c>
      <c r="AM1789" s="6">
        <v>110.9974619</v>
      </c>
      <c r="AN1789" s="2">
        <v>8397</v>
      </c>
      <c r="AO1789" s="7">
        <f t="shared" si="348"/>
        <v>139.94999999999999</v>
      </c>
      <c r="AP1789" s="5">
        <f t="shared" si="344"/>
        <v>19.220767167319242</v>
      </c>
      <c r="AQ1789" s="6">
        <f t="shared" si="345"/>
        <v>157.94872089260161</v>
      </c>
      <c r="AR1789" s="2">
        <f t="shared" si="346"/>
        <v>-2.1301186875174403</v>
      </c>
      <c r="AS1789" s="2">
        <f t="shared" si="347"/>
        <v>-336.44952204280702</v>
      </c>
    </row>
    <row r="1790" spans="37:45" x14ac:dyDescent="0.3">
      <c r="AK1790" s="78">
        <v>45050.385416666664</v>
      </c>
      <c r="AL1790">
        <v>0.14105937478619501</v>
      </c>
      <c r="AM1790" s="6">
        <v>105.0166174</v>
      </c>
      <c r="AN1790" s="2">
        <v>8328</v>
      </c>
      <c r="AO1790" s="7">
        <f t="shared" si="348"/>
        <v>138.80000000000001</v>
      </c>
      <c r="AP1790" s="5">
        <f t="shared" si="344"/>
        <v>19.57904122032387</v>
      </c>
      <c r="AQ1790" s="6">
        <f t="shared" si="345"/>
        <v>159.38368051831111</v>
      </c>
      <c r="AR1790" s="2">
        <f t="shared" si="346"/>
        <v>-2.1301186875174403</v>
      </c>
      <c r="AS1790" s="2">
        <f t="shared" si="347"/>
        <v>-339.50615635736386</v>
      </c>
    </row>
    <row r="1791" spans="37:45" x14ac:dyDescent="0.3">
      <c r="AK1791" s="78">
        <v>45050.395833333336</v>
      </c>
      <c r="AL1791">
        <v>0.15273165898997301</v>
      </c>
      <c r="AM1791" s="6">
        <v>98.474887140000007</v>
      </c>
      <c r="AN1791" s="2">
        <v>8262</v>
      </c>
      <c r="AO1791" s="7">
        <f t="shared" si="348"/>
        <v>137.69999999999999</v>
      </c>
      <c r="AP1791" s="5">
        <f t="shared" si="344"/>
        <v>21.031149442919283</v>
      </c>
      <c r="AQ1791" s="6">
        <f t="shared" si="345"/>
        <v>165.06675298288587</v>
      </c>
      <c r="AR1791" s="2">
        <f t="shared" si="346"/>
        <v>-2.1301186875174403</v>
      </c>
      <c r="AS1791" s="2">
        <f t="shared" si="347"/>
        <v>-351.61177521667037</v>
      </c>
    </row>
    <row r="1792" spans="37:45" x14ac:dyDescent="0.3">
      <c r="AK1792" s="78">
        <v>45050.40625</v>
      </c>
      <c r="AL1792">
        <v>0.14476003461270301</v>
      </c>
      <c r="AM1792" s="6">
        <v>102.5822131</v>
      </c>
      <c r="AN1792" s="2">
        <v>8043</v>
      </c>
      <c r="AO1792" s="7">
        <f t="shared" si="348"/>
        <v>134.05000000000001</v>
      </c>
      <c r="AP1792" s="5">
        <f t="shared" si="344"/>
        <v>19.405082639832841</v>
      </c>
      <c r="AQ1792" s="6">
        <f t="shared" si="345"/>
        <v>158.68863021653689</v>
      </c>
      <c r="AR1792" s="2">
        <f t="shared" si="346"/>
        <v>-2.1301186875174403</v>
      </c>
      <c r="AS1792" s="2">
        <f t="shared" si="347"/>
        <v>-338.02561672078997</v>
      </c>
    </row>
    <row r="1793" spans="37:45" x14ac:dyDescent="0.3">
      <c r="AK1793" s="78">
        <v>45050.416666666664</v>
      </c>
      <c r="AL1793">
        <v>0.17098236620064999</v>
      </c>
      <c r="AM1793" s="6">
        <v>98.062569339999996</v>
      </c>
      <c r="AN1793" s="2">
        <v>7939</v>
      </c>
      <c r="AO1793" s="7">
        <f t="shared" si="348"/>
        <v>132.31666666666666</v>
      </c>
      <c r="AP1793" s="5">
        <f t="shared" si="344"/>
        <v>22.623816754449336</v>
      </c>
      <c r="AQ1793" s="6">
        <f t="shared" si="345"/>
        <v>171.07419356292488</v>
      </c>
      <c r="AR1793" s="2">
        <f t="shared" si="346"/>
        <v>-2.1301186875174403</v>
      </c>
      <c r="AS1793" s="2">
        <f t="shared" si="347"/>
        <v>-364.40833666036207</v>
      </c>
    </row>
    <row r="1794" spans="37:45" x14ac:dyDescent="0.3">
      <c r="AK1794" s="78">
        <v>45050.427083333336</v>
      </c>
      <c r="AL1794">
        <v>0.144467226211866</v>
      </c>
      <c r="AM1794" s="6">
        <v>98.474887140000007</v>
      </c>
      <c r="AN1794" s="2">
        <v>7956</v>
      </c>
      <c r="AO1794" s="7">
        <f t="shared" si="348"/>
        <v>132.6</v>
      </c>
      <c r="AP1794" s="5">
        <f t="shared" si="344"/>
        <v>19.156354195693432</v>
      </c>
      <c r="AQ1794" s="6">
        <f t="shared" si="345"/>
        <v>157.68929061967094</v>
      </c>
      <c r="AR1794" s="2">
        <f t="shared" si="346"/>
        <v>-2.1301186875174403</v>
      </c>
      <c r="AS1794" s="2">
        <f t="shared" si="347"/>
        <v>-335.89690477032968</v>
      </c>
    </row>
    <row r="1795" spans="37:45" x14ac:dyDescent="0.3">
      <c r="AK1795" s="78">
        <v>45050.4375</v>
      </c>
      <c r="AL1795">
        <v>0.140593131453387</v>
      </c>
      <c r="AM1795" s="6">
        <v>98.474887140000007</v>
      </c>
      <c r="AN1795" s="2">
        <v>7789</v>
      </c>
      <c r="AO1795" s="7">
        <f t="shared" si="348"/>
        <v>129.81666666666666</v>
      </c>
      <c r="AP1795" s="5">
        <f t="shared" si="344"/>
        <v>18.251331681507189</v>
      </c>
      <c r="AQ1795" s="6">
        <f t="shared" si="345"/>
        <v>153.99603447845763</v>
      </c>
      <c r="AR1795" s="2">
        <f t="shared" si="346"/>
        <v>-2.1301186875174403</v>
      </c>
      <c r="AS1795" s="2">
        <f t="shared" si="347"/>
        <v>-328.02983084614266</v>
      </c>
    </row>
    <row r="1796" spans="37:45" x14ac:dyDescent="0.3">
      <c r="AK1796" s="78">
        <v>45050.447916666664</v>
      </c>
      <c r="AL1796">
        <v>0.150459101365787</v>
      </c>
      <c r="AM1796" s="6">
        <v>93.038532979999999</v>
      </c>
      <c r="AN1796" s="2">
        <v>7988</v>
      </c>
      <c r="AO1796" s="7">
        <f t="shared" si="348"/>
        <v>133.13333333333333</v>
      </c>
      <c r="AP1796" s="5">
        <f t="shared" ref="AP1796:AP1859" si="349">AO1796*AL1796</f>
        <v>20.031121695165108</v>
      </c>
      <c r="AQ1796" s="6">
        <f t="shared" ref="AQ1796:AQ1859" si="350">37.141*AP1796^0.4897</f>
        <v>161.17536527350705</v>
      </c>
      <c r="AR1796" s="2">
        <f t="shared" ref="AR1796:AR1859" si="351">IF((AM1796-$AP$1)/($AN$1-$AP$1)&lt;0, 0, IF((AA1796-$AP$1)/($AN$1-$AP$1)&gt;1, 1, (AA1796-$AP$1)/($AN$1-$AP$1)))</f>
        <v>-2.1301186875174403</v>
      </c>
      <c r="AS1796" s="2">
        <f t="shared" ref="AS1796:AS1859" si="352">AQ1796*AR1796</f>
        <v>-343.32265753654684</v>
      </c>
    </row>
    <row r="1797" spans="37:45" x14ac:dyDescent="0.3">
      <c r="AK1797" s="78">
        <v>45050.458333333336</v>
      </c>
      <c r="AL1797">
        <v>0.14253186119264</v>
      </c>
      <c r="AM1797" s="6">
        <v>91.767774239999994</v>
      </c>
      <c r="AN1797" s="2">
        <v>8230</v>
      </c>
      <c r="AO1797" s="7">
        <f t="shared" si="348"/>
        <v>137.16666666666666</v>
      </c>
      <c r="AP1797" s="5">
        <f t="shared" si="349"/>
        <v>19.550620293590452</v>
      </c>
      <c r="AQ1797" s="6">
        <f t="shared" si="350"/>
        <v>159.27034090941373</v>
      </c>
      <c r="AR1797" s="2">
        <f t="shared" si="351"/>
        <v>-2.1301186875174403</v>
      </c>
      <c r="AS1797" s="2">
        <f t="shared" si="352"/>
        <v>-339.26472953841568</v>
      </c>
    </row>
    <row r="1798" spans="37:45" x14ac:dyDescent="0.3">
      <c r="AK1798" s="78">
        <v>45050.46875</v>
      </c>
      <c r="AL1798">
        <v>0.16235250858209799</v>
      </c>
      <c r="AM1798" s="6">
        <v>96.393321510000007</v>
      </c>
      <c r="AN1798" s="2">
        <v>7560</v>
      </c>
      <c r="AO1798" s="7">
        <f t="shared" si="348"/>
        <v>126</v>
      </c>
      <c r="AP1798" s="5">
        <f t="shared" si="349"/>
        <v>20.456416081344347</v>
      </c>
      <c r="AQ1798" s="6">
        <f t="shared" si="350"/>
        <v>162.84214809623575</v>
      </c>
      <c r="AR1798" s="2">
        <f t="shared" si="351"/>
        <v>-2.1301186875174403</v>
      </c>
      <c r="AS1798" s="2">
        <f t="shared" si="352"/>
        <v>-346.87310277527433</v>
      </c>
    </row>
    <row r="1799" spans="37:45" x14ac:dyDescent="0.3">
      <c r="AK1799" s="78">
        <v>45050.479166666664</v>
      </c>
      <c r="AL1799">
        <v>0.14604879778639299</v>
      </c>
      <c r="AM1799" s="6">
        <v>105.0166174</v>
      </c>
      <c r="AN1799" s="2">
        <v>7716</v>
      </c>
      <c r="AO1799" s="7">
        <f t="shared" si="348"/>
        <v>128.6</v>
      </c>
      <c r="AP1799" s="5">
        <f t="shared" si="349"/>
        <v>18.781875395330136</v>
      </c>
      <c r="AQ1799" s="6">
        <f t="shared" si="350"/>
        <v>156.17213911584247</v>
      </c>
      <c r="AR1799" s="2">
        <f t="shared" si="351"/>
        <v>-2.1301186875174403</v>
      </c>
      <c r="AS1799" s="2">
        <f t="shared" si="352"/>
        <v>-332.66519200022947</v>
      </c>
    </row>
    <row r="1800" spans="37:45" x14ac:dyDescent="0.3">
      <c r="AK1800" s="78">
        <v>45050.489583333336</v>
      </c>
      <c r="AL1800">
        <v>0.14948580954954099</v>
      </c>
      <c r="AM1800" s="6">
        <v>108.2271172</v>
      </c>
      <c r="AN1800" s="2">
        <v>7450</v>
      </c>
      <c r="AO1800" s="7">
        <f t="shared" si="348"/>
        <v>124.16666666666667</v>
      </c>
      <c r="AP1800" s="5">
        <f t="shared" si="349"/>
        <v>18.561154685734675</v>
      </c>
      <c r="AQ1800" s="6">
        <f t="shared" si="350"/>
        <v>155.27068048645529</v>
      </c>
      <c r="AR1800" s="2">
        <f t="shared" si="351"/>
        <v>-2.1301186875174403</v>
      </c>
      <c r="AS1800" s="2">
        <f t="shared" si="352"/>
        <v>-330.74497812774797</v>
      </c>
    </row>
    <row r="1801" spans="37:45" x14ac:dyDescent="0.3">
      <c r="AK1801" s="78">
        <v>45050.5</v>
      </c>
      <c r="AL1801">
        <v>0.166033059871359</v>
      </c>
      <c r="AM1801" s="6">
        <v>97.229596529999995</v>
      </c>
      <c r="AN1801" s="2">
        <v>7799</v>
      </c>
      <c r="AO1801" s="7">
        <f t="shared" si="348"/>
        <v>129.98333333333332</v>
      </c>
      <c r="AP1801" s="5">
        <f t="shared" si="349"/>
        <v>21.581530565612145</v>
      </c>
      <c r="AQ1801" s="6">
        <f t="shared" si="350"/>
        <v>167.16820010008951</v>
      </c>
      <c r="AR1801" s="2">
        <f t="shared" si="351"/>
        <v>-2.1301186875174403</v>
      </c>
      <c r="AS1801" s="2">
        <f t="shared" si="352"/>
        <v>-356.08810699185551</v>
      </c>
    </row>
    <row r="1802" spans="37:45" x14ac:dyDescent="0.3">
      <c r="AK1802" s="78">
        <v>45050.510416666664</v>
      </c>
      <c r="AL1802">
        <v>0.13111119470171601</v>
      </c>
      <c r="AM1802" s="6">
        <v>100.5402337</v>
      </c>
      <c r="AN1802" s="2">
        <v>7610</v>
      </c>
      <c r="AO1802" s="7">
        <f t="shared" ref="AO1802:AO1865" si="353">AN1802/60</f>
        <v>126.83333333333333</v>
      </c>
      <c r="AP1802" s="5">
        <f t="shared" si="349"/>
        <v>16.629269861334311</v>
      </c>
      <c r="AQ1802" s="6">
        <f t="shared" si="350"/>
        <v>147.13472758000623</v>
      </c>
      <c r="AR1802" s="2">
        <f t="shared" si="351"/>
        <v>-2.1301186875174403</v>
      </c>
      <c r="AS1802" s="2">
        <f t="shared" si="352"/>
        <v>-313.41443280095899</v>
      </c>
    </row>
    <row r="1803" spans="37:45" x14ac:dyDescent="0.3">
      <c r="AK1803" s="78">
        <v>45050.520833333336</v>
      </c>
      <c r="AL1803">
        <v>0.163764378897165</v>
      </c>
      <c r="AM1803" s="6">
        <v>96.393321510000007</v>
      </c>
      <c r="AN1803" s="2">
        <v>7755</v>
      </c>
      <c r="AO1803" s="7">
        <f t="shared" si="353"/>
        <v>129.25</v>
      </c>
      <c r="AP1803" s="5">
        <f t="shared" si="349"/>
        <v>21.166545972458575</v>
      </c>
      <c r="AQ1803" s="6">
        <f t="shared" si="350"/>
        <v>165.58629726566397</v>
      </c>
      <c r="AR1803" s="2">
        <f t="shared" si="351"/>
        <v>-2.1301186875174403</v>
      </c>
      <c r="AS1803" s="2">
        <f t="shared" si="352"/>
        <v>-352.71846620240888</v>
      </c>
    </row>
    <row r="1804" spans="37:45" x14ac:dyDescent="0.3">
      <c r="AK1804" s="78">
        <v>45050.53125</v>
      </c>
      <c r="AL1804">
        <v>0.124851016099193</v>
      </c>
      <c r="AM1804" s="6">
        <v>96.400480259999995</v>
      </c>
      <c r="AN1804" s="2">
        <v>7591</v>
      </c>
      <c r="AO1804" s="7">
        <f t="shared" si="353"/>
        <v>126.51666666666667</v>
      </c>
      <c r="AP1804" s="5">
        <f t="shared" si="349"/>
        <v>15.795734386816234</v>
      </c>
      <c r="AQ1804" s="6">
        <f t="shared" si="350"/>
        <v>143.47576321574036</v>
      </c>
      <c r="AR1804" s="2">
        <f t="shared" si="351"/>
        <v>-2.1301186875174403</v>
      </c>
      <c r="AS1804" s="2">
        <f t="shared" si="352"/>
        <v>-305.62040443167587</v>
      </c>
    </row>
    <row r="1805" spans="37:45" x14ac:dyDescent="0.3">
      <c r="AK1805" s="78">
        <v>45050.541666666664</v>
      </c>
      <c r="AL1805">
        <v>0.151129998097038</v>
      </c>
      <c r="AM1805" s="6">
        <v>100.9486689</v>
      </c>
      <c r="AN1805" s="2">
        <v>7531</v>
      </c>
      <c r="AO1805" s="7">
        <f t="shared" si="353"/>
        <v>125.51666666666667</v>
      </c>
      <c r="AP1805" s="5">
        <f t="shared" si="349"/>
        <v>18.969333594479888</v>
      </c>
      <c r="AQ1805" s="6">
        <f t="shared" si="350"/>
        <v>156.93351181385793</v>
      </c>
      <c r="AR1805" s="2">
        <f t="shared" si="351"/>
        <v>-2.1301186875174403</v>
      </c>
      <c r="AS1805" s="2">
        <f t="shared" si="352"/>
        <v>-334.28700621243775</v>
      </c>
    </row>
    <row r="1806" spans="37:45" x14ac:dyDescent="0.3">
      <c r="AK1806" s="78">
        <v>45050.552083333336</v>
      </c>
      <c r="AL1806">
        <v>0.148693609319376</v>
      </c>
      <c r="AM1806" s="6">
        <v>97.649612750000003</v>
      </c>
      <c r="AN1806" s="2">
        <v>7406</v>
      </c>
      <c r="AO1806" s="7">
        <f t="shared" si="353"/>
        <v>123.43333333333334</v>
      </c>
      <c r="AP1806" s="5">
        <f t="shared" si="349"/>
        <v>18.353747843654979</v>
      </c>
      <c r="AQ1806" s="6">
        <f t="shared" si="350"/>
        <v>154.41859905193732</v>
      </c>
      <c r="AR1806" s="2">
        <f t="shared" si="351"/>
        <v>-2.1301186875174403</v>
      </c>
      <c r="AS1806" s="2">
        <f t="shared" si="352"/>
        <v>-328.92994354079457</v>
      </c>
    </row>
    <row r="1807" spans="37:45" x14ac:dyDescent="0.3">
      <c r="AK1807" s="78">
        <v>45050.5625</v>
      </c>
      <c r="AL1807">
        <v>0.115629739248839</v>
      </c>
      <c r="AM1807" s="6">
        <v>96.400480259999995</v>
      </c>
      <c r="AN1807" s="2">
        <v>7895</v>
      </c>
      <c r="AO1807" s="7">
        <f t="shared" si="353"/>
        <v>131.58333333333334</v>
      </c>
      <c r="AP1807" s="5">
        <f t="shared" si="349"/>
        <v>15.2149465228264</v>
      </c>
      <c r="AQ1807" s="6">
        <f t="shared" si="350"/>
        <v>140.8676995496599</v>
      </c>
      <c r="AR1807" s="2">
        <f t="shared" si="351"/>
        <v>-2.1301186875174403</v>
      </c>
      <c r="AS1807" s="2">
        <f t="shared" si="352"/>
        <v>-300.06491927832269</v>
      </c>
    </row>
    <row r="1808" spans="37:45" x14ac:dyDescent="0.3">
      <c r="AK1808" s="78">
        <v>45050.572916666664</v>
      </c>
      <c r="AL1808">
        <v>0.14823377036314</v>
      </c>
      <c r="AM1808" s="6">
        <v>97.229596529999995</v>
      </c>
      <c r="AN1808" s="2">
        <v>7655</v>
      </c>
      <c r="AO1808" s="7">
        <f t="shared" si="353"/>
        <v>127.58333333333333</v>
      </c>
      <c r="AP1808" s="5">
        <f t="shared" si="349"/>
        <v>18.912158535497277</v>
      </c>
      <c r="AQ1808" s="6">
        <f t="shared" si="350"/>
        <v>156.70170045415793</v>
      </c>
      <c r="AR1808" s="2">
        <f t="shared" si="351"/>
        <v>-2.1301186875174403</v>
      </c>
      <c r="AS1808" s="2">
        <f t="shared" si="352"/>
        <v>-333.79322050316199</v>
      </c>
    </row>
    <row r="1809" spans="37:45" x14ac:dyDescent="0.3">
      <c r="AK1809" s="78">
        <v>45050.583333333336</v>
      </c>
      <c r="AL1809">
        <v>0.14763113170242001</v>
      </c>
      <c r="AM1809" s="6">
        <v>105.42475589999999</v>
      </c>
      <c r="AN1809" s="2">
        <v>7468</v>
      </c>
      <c r="AO1809" s="7">
        <f t="shared" si="353"/>
        <v>124.46666666666667</v>
      </c>
      <c r="AP1809" s="5">
        <f t="shared" si="349"/>
        <v>18.375154859227877</v>
      </c>
      <c r="AQ1809" s="6">
        <f t="shared" si="350"/>
        <v>154.50677129488992</v>
      </c>
      <c r="AR1809" s="2">
        <f t="shared" si="351"/>
        <v>-2.1301186875174403</v>
      </c>
      <c r="AS1809" s="2">
        <f t="shared" si="352"/>
        <v>-329.11776088322824</v>
      </c>
    </row>
    <row r="1810" spans="37:45" x14ac:dyDescent="0.3">
      <c r="AK1810" s="78">
        <v>45050.59375</v>
      </c>
      <c r="AL1810">
        <v>0.133860911770638</v>
      </c>
      <c r="AM1810" s="6">
        <v>99.714355679999997</v>
      </c>
      <c r="AN1810" s="2">
        <v>7566</v>
      </c>
      <c r="AO1810" s="7">
        <f t="shared" si="353"/>
        <v>126.1</v>
      </c>
      <c r="AP1810" s="5">
        <f t="shared" si="349"/>
        <v>16.879860974277452</v>
      </c>
      <c r="AQ1810" s="6">
        <f t="shared" si="350"/>
        <v>148.21635409776584</v>
      </c>
      <c r="AR1810" s="2">
        <f t="shared" si="351"/>
        <v>-2.1301186875174403</v>
      </c>
      <c r="AS1810" s="2">
        <f t="shared" si="352"/>
        <v>-315.71842565935316</v>
      </c>
    </row>
    <row r="1811" spans="37:45" x14ac:dyDescent="0.3">
      <c r="AK1811" s="78">
        <v>45050.604166666664</v>
      </c>
      <c r="AL1811">
        <v>0.14611198258062799</v>
      </c>
      <c r="AM1811" s="6">
        <v>97.642487979999999</v>
      </c>
      <c r="AN1811" s="2">
        <v>7679</v>
      </c>
      <c r="AO1811" s="7">
        <f t="shared" si="353"/>
        <v>127.98333333333333</v>
      </c>
      <c r="AP1811" s="5">
        <f t="shared" si="349"/>
        <v>18.699898570610706</v>
      </c>
      <c r="AQ1811" s="6">
        <f t="shared" si="350"/>
        <v>155.83796697059699</v>
      </c>
      <c r="AR1811" s="2">
        <f t="shared" si="351"/>
        <v>-2.1301186875174403</v>
      </c>
      <c r="AS1811" s="2">
        <f t="shared" si="352"/>
        <v>-331.95336566879428</v>
      </c>
    </row>
    <row r="1812" spans="37:45" x14ac:dyDescent="0.3">
      <c r="AK1812" s="78">
        <v>45050.614583333336</v>
      </c>
      <c r="AL1812">
        <v>0.121487863491516</v>
      </c>
      <c r="AM1812" s="6">
        <v>102.9873886</v>
      </c>
      <c r="AN1812" s="2">
        <v>8018</v>
      </c>
      <c r="AO1812" s="7">
        <f t="shared" si="353"/>
        <v>133.63333333333333</v>
      </c>
      <c r="AP1812" s="5">
        <f t="shared" si="349"/>
        <v>16.234828157916255</v>
      </c>
      <c r="AQ1812" s="6">
        <f t="shared" si="350"/>
        <v>145.41520820625553</v>
      </c>
      <c r="AR1812" s="2">
        <f t="shared" si="351"/>
        <v>-2.1301186875174403</v>
      </c>
      <c r="AS1812" s="2">
        <f t="shared" si="352"/>
        <v>-309.75165244938432</v>
      </c>
    </row>
    <row r="1813" spans="37:45" x14ac:dyDescent="0.3">
      <c r="AK1813" s="78">
        <v>45050.625</v>
      </c>
      <c r="AL1813">
        <v>0.131077119009611</v>
      </c>
      <c r="AM1813" s="6">
        <v>103.80204430000001</v>
      </c>
      <c r="AN1813" s="2">
        <v>7735</v>
      </c>
      <c r="AO1813" s="7">
        <f t="shared" si="353"/>
        <v>128.91666666666666</v>
      </c>
      <c r="AP1813" s="5">
        <f t="shared" si="349"/>
        <v>16.898025258989016</v>
      </c>
      <c r="AQ1813" s="6">
        <f t="shared" si="350"/>
        <v>148.29443709426968</v>
      </c>
      <c r="AR1813" s="2">
        <f t="shared" si="351"/>
        <v>-2.1301186875174403</v>
      </c>
      <c r="AS1813" s="2">
        <f t="shared" si="352"/>
        <v>-315.88475170938335</v>
      </c>
    </row>
    <row r="1814" spans="37:45" x14ac:dyDescent="0.3">
      <c r="AK1814" s="78">
        <v>45050.635416666664</v>
      </c>
      <c r="AL1814">
        <v>0.133885990425574</v>
      </c>
      <c r="AM1814" s="6">
        <v>102.9873886</v>
      </c>
      <c r="AN1814" s="2">
        <v>7622</v>
      </c>
      <c r="AO1814" s="7">
        <f t="shared" si="353"/>
        <v>127.03333333333333</v>
      </c>
      <c r="AP1814" s="5">
        <f t="shared" si="349"/>
        <v>17.007983650395417</v>
      </c>
      <c r="AQ1814" s="6">
        <f t="shared" si="350"/>
        <v>148.76620466311238</v>
      </c>
      <c r="AR1814" s="2">
        <f t="shared" si="351"/>
        <v>-2.1301186875174403</v>
      </c>
      <c r="AS1814" s="2">
        <f t="shared" si="352"/>
        <v>-316.88967262393982</v>
      </c>
    </row>
    <row r="1815" spans="37:45" x14ac:dyDescent="0.3">
      <c r="AK1815" s="78">
        <v>45050.645833333336</v>
      </c>
      <c r="AL1815">
        <v>0.127968171692354</v>
      </c>
      <c r="AM1815" s="6">
        <v>104.2121959</v>
      </c>
      <c r="AN1815" s="2">
        <v>7849</v>
      </c>
      <c r="AO1815" s="7">
        <f t="shared" si="353"/>
        <v>130.81666666666666</v>
      </c>
      <c r="AP1815" s="5">
        <f t="shared" si="349"/>
        <v>16.740369660221443</v>
      </c>
      <c r="AQ1815" s="6">
        <f t="shared" si="350"/>
        <v>147.61528680268194</v>
      </c>
      <c r="AR1815" s="2">
        <f t="shared" si="351"/>
        <v>-2.1301186875174403</v>
      </c>
      <c r="AS1815" s="2">
        <f t="shared" si="352"/>
        <v>-314.43808098163936</v>
      </c>
    </row>
    <row r="1816" spans="37:45" x14ac:dyDescent="0.3">
      <c r="AK1816" s="78">
        <v>45050.65625</v>
      </c>
      <c r="AL1816">
        <v>0.12305747278010599</v>
      </c>
      <c r="AM1816" s="6">
        <v>106.2245245</v>
      </c>
      <c r="AN1816" s="2">
        <v>7720</v>
      </c>
      <c r="AO1816" s="7">
        <f t="shared" si="353"/>
        <v>128.66666666666666</v>
      </c>
      <c r="AP1816" s="5">
        <f t="shared" si="349"/>
        <v>15.833394831040303</v>
      </c>
      <c r="AQ1816" s="6">
        <f t="shared" si="350"/>
        <v>143.64317664972421</v>
      </c>
      <c r="AR1816" s="2">
        <f t="shared" si="351"/>
        <v>-2.1301186875174403</v>
      </c>
      <c r="AS1816" s="2">
        <f t="shared" si="352"/>
        <v>-305.97701491594637</v>
      </c>
    </row>
    <row r="1817" spans="37:45" x14ac:dyDescent="0.3">
      <c r="AK1817" s="78">
        <v>45050.666666666664</v>
      </c>
      <c r="AL1817">
        <v>0.13759609646690599</v>
      </c>
      <c r="AM1817" s="6">
        <v>109.4196846</v>
      </c>
      <c r="AN1817" s="2">
        <v>7385</v>
      </c>
      <c r="AO1817" s="7">
        <f t="shared" si="353"/>
        <v>123.08333333333333</v>
      </c>
      <c r="AP1817" s="5">
        <f t="shared" si="349"/>
        <v>16.935786206801676</v>
      </c>
      <c r="AQ1817" s="6">
        <f t="shared" si="350"/>
        <v>148.45662351244798</v>
      </c>
      <c r="AR1817" s="2">
        <f t="shared" si="351"/>
        <v>-2.1301186875174403</v>
      </c>
      <c r="AS1817" s="2">
        <f t="shared" si="352"/>
        <v>-316.23022802960645</v>
      </c>
    </row>
    <row r="1818" spans="37:45" x14ac:dyDescent="0.3">
      <c r="AK1818" s="78">
        <v>45050.677083333336</v>
      </c>
      <c r="AL1818">
        <v>0.124435901727365</v>
      </c>
      <c r="AM1818" s="6">
        <v>102.17638460000001</v>
      </c>
      <c r="AN1818" s="2">
        <v>7818</v>
      </c>
      <c r="AO1818" s="7">
        <f t="shared" si="353"/>
        <v>130.30000000000001</v>
      </c>
      <c r="AP1818" s="5">
        <f t="shared" si="349"/>
        <v>16.213997995075662</v>
      </c>
      <c r="AQ1818" s="6">
        <f t="shared" si="350"/>
        <v>145.32381221517377</v>
      </c>
      <c r="AR1818" s="2">
        <f t="shared" si="351"/>
        <v>-2.1301186875174403</v>
      </c>
      <c r="AS1818" s="2">
        <f t="shared" si="352"/>
        <v>-309.55696814081693</v>
      </c>
    </row>
    <row r="1819" spans="37:45" x14ac:dyDescent="0.3">
      <c r="AK1819" s="78">
        <v>45050.6875</v>
      </c>
      <c r="AL1819">
        <v>0.128489697197293</v>
      </c>
      <c r="AM1819" s="6">
        <v>105.0235411</v>
      </c>
      <c r="AN1819" s="2">
        <v>7680</v>
      </c>
      <c r="AO1819" s="7">
        <f t="shared" si="353"/>
        <v>128</v>
      </c>
      <c r="AP1819" s="5">
        <f t="shared" si="349"/>
        <v>16.446681241253504</v>
      </c>
      <c r="AQ1819" s="6">
        <f t="shared" si="350"/>
        <v>146.34137258173823</v>
      </c>
      <c r="AR1819" s="2">
        <f t="shared" si="351"/>
        <v>-2.1301186875174403</v>
      </c>
      <c r="AS1819" s="2">
        <f t="shared" si="352"/>
        <v>-311.72449249331294</v>
      </c>
    </row>
    <row r="1820" spans="37:45" x14ac:dyDescent="0.3">
      <c r="AK1820" s="78">
        <v>45050.697916666664</v>
      </c>
      <c r="AL1820">
        <v>0.126714186682861</v>
      </c>
      <c r="AM1820" s="6">
        <v>109.0251016</v>
      </c>
      <c r="AN1820" s="2">
        <v>7483</v>
      </c>
      <c r="AO1820" s="7">
        <f t="shared" si="353"/>
        <v>124.71666666666667</v>
      </c>
      <c r="AP1820" s="5">
        <f t="shared" si="349"/>
        <v>15.803370982464147</v>
      </c>
      <c r="AQ1820" s="6">
        <f t="shared" si="350"/>
        <v>143.50972692062197</v>
      </c>
      <c r="AR1820" s="2">
        <f t="shared" si="351"/>
        <v>-2.1301186875174403</v>
      </c>
      <c r="AS1820" s="2">
        <f t="shared" si="352"/>
        <v>-305.69275115414155</v>
      </c>
    </row>
    <row r="1821" spans="37:45" x14ac:dyDescent="0.3">
      <c r="AK1821" s="78">
        <v>45050.708333333336</v>
      </c>
      <c r="AL1821">
        <v>0.14213737472618601</v>
      </c>
      <c r="AM1821" s="6">
        <v>110.21295859999999</v>
      </c>
      <c r="AN1821" s="2">
        <v>7609</v>
      </c>
      <c r="AO1821" s="7">
        <f t="shared" si="353"/>
        <v>126.81666666666666</v>
      </c>
      <c r="AP1821" s="5">
        <f t="shared" si="349"/>
        <v>18.025388071525821</v>
      </c>
      <c r="AQ1821" s="6">
        <f t="shared" si="350"/>
        <v>153.05950089083765</v>
      </c>
      <c r="AR1821" s="2">
        <f t="shared" si="351"/>
        <v>-2.1301186875174403</v>
      </c>
      <c r="AS1821" s="2">
        <f t="shared" si="352"/>
        <v>-326.03490314966558</v>
      </c>
    </row>
    <row r="1822" spans="37:45" x14ac:dyDescent="0.3">
      <c r="AK1822" s="78">
        <v>45050.71875</v>
      </c>
      <c r="AL1822">
        <v>0.13569309547441899</v>
      </c>
      <c r="AM1822" s="6">
        <v>118.36070239999999</v>
      </c>
      <c r="AN1822" s="2">
        <v>7644</v>
      </c>
      <c r="AO1822" s="7">
        <f t="shared" si="353"/>
        <v>127.4</v>
      </c>
      <c r="AP1822" s="5">
        <f t="shared" si="349"/>
        <v>17.287300363440981</v>
      </c>
      <c r="AQ1822" s="6">
        <f t="shared" si="350"/>
        <v>149.95763817202635</v>
      </c>
      <c r="AR1822" s="2">
        <f t="shared" si="351"/>
        <v>-2.1301186875174403</v>
      </c>
      <c r="AS1822" s="2">
        <f t="shared" si="352"/>
        <v>-319.42756740621195</v>
      </c>
    </row>
    <row r="1823" spans="37:45" x14ac:dyDescent="0.3">
      <c r="AK1823" s="78">
        <v>45050.729166666664</v>
      </c>
      <c r="AL1823">
        <v>0.122878692040586</v>
      </c>
      <c r="AM1823" s="6">
        <v>114.1275401</v>
      </c>
      <c r="AN1823" s="2">
        <v>7580</v>
      </c>
      <c r="AO1823" s="7">
        <f t="shared" si="353"/>
        <v>126.33333333333333</v>
      </c>
      <c r="AP1823" s="5">
        <f t="shared" si="349"/>
        <v>15.523674761127365</v>
      </c>
      <c r="AQ1823" s="6">
        <f t="shared" si="350"/>
        <v>142.26026605308812</v>
      </c>
      <c r="AR1823" s="2">
        <f t="shared" si="351"/>
        <v>-2.1301186875174403</v>
      </c>
      <c r="AS1823" s="2">
        <f t="shared" si="352"/>
        <v>-303.0312512108859</v>
      </c>
    </row>
    <row r="1824" spans="37:45" x14ac:dyDescent="0.3">
      <c r="AK1824" s="78">
        <v>45050.739583333336</v>
      </c>
      <c r="AL1824">
        <v>0.12731616359425599</v>
      </c>
      <c r="AM1824" s="6">
        <v>108.2271172</v>
      </c>
      <c r="AN1824" s="2">
        <v>7808</v>
      </c>
      <c r="AO1824" s="7">
        <f t="shared" si="353"/>
        <v>130.13333333333333</v>
      </c>
      <c r="AP1824" s="5">
        <f t="shared" si="349"/>
        <v>16.568076755732513</v>
      </c>
      <c r="AQ1824" s="6">
        <f t="shared" si="350"/>
        <v>146.86933856878312</v>
      </c>
      <c r="AR1824" s="2">
        <f t="shared" si="351"/>
        <v>-2.1301186875174403</v>
      </c>
      <c r="AS1824" s="2">
        <f t="shared" si="352"/>
        <v>-312.84912270869086</v>
      </c>
    </row>
    <row r="1825" spans="37:45" x14ac:dyDescent="0.3">
      <c r="AK1825" s="78">
        <v>45050.75</v>
      </c>
      <c r="AL1825">
        <v>0.12835182638071599</v>
      </c>
      <c r="AM1825" s="6">
        <v>122.51245830000001</v>
      </c>
      <c r="AN1825" s="2">
        <v>7639</v>
      </c>
      <c r="AO1825" s="7">
        <f t="shared" si="353"/>
        <v>127.31666666666666</v>
      </c>
      <c r="AP1825" s="5">
        <f t="shared" si="349"/>
        <v>16.341326695371489</v>
      </c>
      <c r="AQ1825" s="6">
        <f t="shared" si="350"/>
        <v>145.88155690021136</v>
      </c>
      <c r="AR1825" s="2">
        <f t="shared" si="351"/>
        <v>-2.1301186875174403</v>
      </c>
      <c r="AS1825" s="2">
        <f t="shared" si="352"/>
        <v>-310.74503051727902</v>
      </c>
    </row>
    <row r="1826" spans="37:45" x14ac:dyDescent="0.3">
      <c r="AK1826" s="78">
        <v>45050.760416666664</v>
      </c>
      <c r="AL1826">
        <v>0.132745022050654</v>
      </c>
      <c r="AM1826" s="6">
        <v>123.6297958</v>
      </c>
      <c r="AN1826" s="2">
        <v>7570</v>
      </c>
      <c r="AO1826" s="7">
        <f t="shared" si="353"/>
        <v>126.16666666666667</v>
      </c>
      <c r="AP1826" s="5">
        <f t="shared" si="349"/>
        <v>16.747996948724179</v>
      </c>
      <c r="AQ1826" s="6">
        <f t="shared" si="350"/>
        <v>147.64821864973786</v>
      </c>
      <c r="AR1826" s="2">
        <f t="shared" si="351"/>
        <v>-2.1301186875174403</v>
      </c>
      <c r="AS1826" s="2">
        <f t="shared" si="352"/>
        <v>-314.50822972446764</v>
      </c>
    </row>
    <row r="1827" spans="37:45" x14ac:dyDescent="0.3">
      <c r="AK1827" s="78">
        <v>45050.770833333336</v>
      </c>
      <c r="AL1827">
        <v>0.12737276493767399</v>
      </c>
      <c r="AM1827" s="6">
        <v>130.92322350000001</v>
      </c>
      <c r="AN1827" s="2">
        <v>7721</v>
      </c>
      <c r="AO1827" s="7">
        <f t="shared" si="353"/>
        <v>128.68333333333334</v>
      </c>
      <c r="AP1827" s="5">
        <f t="shared" si="349"/>
        <v>16.390751968063014</v>
      </c>
      <c r="AQ1827" s="6">
        <f t="shared" si="350"/>
        <v>146.09745930702562</v>
      </c>
      <c r="AR1827" s="2">
        <f t="shared" si="351"/>
        <v>-2.1301186875174403</v>
      </c>
      <c r="AS1827" s="2">
        <f t="shared" si="352"/>
        <v>-311.20492826871407</v>
      </c>
    </row>
    <row r="1828" spans="37:45" x14ac:dyDescent="0.3">
      <c r="AK1828" s="78">
        <v>45050.78125</v>
      </c>
      <c r="AL1828">
        <v>0.127524901572861</v>
      </c>
      <c r="AM1828" s="6">
        <v>126.21229889999999</v>
      </c>
      <c r="AN1828" s="2">
        <v>7731</v>
      </c>
      <c r="AO1828" s="7">
        <f t="shared" si="353"/>
        <v>128.85</v>
      </c>
      <c r="AP1828" s="5">
        <f t="shared" si="349"/>
        <v>16.431583567663139</v>
      </c>
      <c r="AQ1828" s="6">
        <f t="shared" si="350"/>
        <v>146.27557184731702</v>
      </c>
      <c r="AR1828" s="2">
        <f t="shared" si="351"/>
        <v>-2.1301186875174403</v>
      </c>
      <c r="AS1828" s="2">
        <f t="shared" si="352"/>
        <v>-311.58432911926997</v>
      </c>
    </row>
    <row r="1829" spans="37:45" x14ac:dyDescent="0.3">
      <c r="AK1829" s="78">
        <v>45050.791666666664</v>
      </c>
      <c r="AL1829">
        <v>0.113870075855715</v>
      </c>
      <c r="AM1829" s="6">
        <v>129.12778700000001</v>
      </c>
      <c r="AN1829" s="2">
        <v>8242</v>
      </c>
      <c r="AO1829" s="7">
        <f t="shared" si="353"/>
        <v>137.36666666666667</v>
      </c>
      <c r="AP1829" s="5">
        <f t="shared" si="349"/>
        <v>15.641952753380052</v>
      </c>
      <c r="AQ1829" s="6">
        <f t="shared" si="350"/>
        <v>142.79002860010192</v>
      </c>
      <c r="AR1829" s="2">
        <f t="shared" si="351"/>
        <v>-2.1301186875174403</v>
      </c>
      <c r="AS1829" s="2">
        <f t="shared" si="352"/>
        <v>-304.15970831222688</v>
      </c>
    </row>
    <row r="1830" spans="37:45" x14ac:dyDescent="0.3">
      <c r="AK1830" s="78">
        <v>45050.802083333336</v>
      </c>
      <c r="AL1830">
        <v>0.113302857418764</v>
      </c>
      <c r="AM1830" s="6">
        <v>115.673114</v>
      </c>
      <c r="AN1830" s="2">
        <v>8600</v>
      </c>
      <c r="AO1830" s="7">
        <f t="shared" si="353"/>
        <v>143.33333333333334</v>
      </c>
      <c r="AP1830" s="5">
        <f t="shared" si="349"/>
        <v>16.24007623002284</v>
      </c>
      <c r="AQ1830" s="6">
        <f t="shared" si="350"/>
        <v>145.43822560358763</v>
      </c>
      <c r="AR1830" s="2">
        <f t="shared" si="351"/>
        <v>-2.1301186875174403</v>
      </c>
      <c r="AS1830" s="2">
        <f t="shared" si="352"/>
        <v>-309.80068223757945</v>
      </c>
    </row>
    <row r="1831" spans="37:45" x14ac:dyDescent="0.3">
      <c r="AK1831" s="78">
        <v>45050.8125</v>
      </c>
      <c r="AL1831">
        <v>0.117145018962124</v>
      </c>
      <c r="AM1831" s="6">
        <v>129.12778700000001</v>
      </c>
      <c r="AN1831" s="2">
        <v>8546</v>
      </c>
      <c r="AO1831" s="7">
        <f t="shared" si="353"/>
        <v>142.43333333333334</v>
      </c>
      <c r="AP1831" s="5">
        <f t="shared" si="349"/>
        <v>16.685355534171862</v>
      </c>
      <c r="AQ1831" s="6">
        <f t="shared" si="350"/>
        <v>147.37752875772003</v>
      </c>
      <c r="AR1831" s="2">
        <f t="shared" si="351"/>
        <v>-2.1301186875174403</v>
      </c>
      <c r="AS1831" s="2">
        <f t="shared" si="352"/>
        <v>-313.9316281269584</v>
      </c>
    </row>
    <row r="1832" spans="37:45" x14ac:dyDescent="0.3">
      <c r="AK1832" s="78">
        <v>45050.822916666664</v>
      </c>
      <c r="AL1832">
        <v>0.118523725348121</v>
      </c>
      <c r="AM1832" s="6">
        <v>124.3675379</v>
      </c>
      <c r="AN1832" s="2">
        <v>8561</v>
      </c>
      <c r="AO1832" s="7">
        <f t="shared" si="353"/>
        <v>142.68333333333334</v>
      </c>
      <c r="AP1832" s="5">
        <f t="shared" si="349"/>
        <v>16.911360211754399</v>
      </c>
      <c r="AQ1832" s="6">
        <f t="shared" si="350"/>
        <v>148.35173293170061</v>
      </c>
      <c r="AR1832" s="2">
        <f t="shared" si="351"/>
        <v>-2.1301186875174403</v>
      </c>
      <c r="AS1832" s="2">
        <f t="shared" si="352"/>
        <v>-316.00679864341191</v>
      </c>
    </row>
    <row r="1833" spans="37:45" x14ac:dyDescent="0.3">
      <c r="AK1833" s="78">
        <v>45050.833333333336</v>
      </c>
      <c r="AL1833">
        <v>0.118736584549472</v>
      </c>
      <c r="AM1833" s="6">
        <v>114.5134446</v>
      </c>
      <c r="AN1833" s="2">
        <v>8787</v>
      </c>
      <c r="AO1833" s="7">
        <f t="shared" si="353"/>
        <v>146.44999999999999</v>
      </c>
      <c r="AP1833" s="5">
        <f t="shared" si="349"/>
        <v>17.388972807270175</v>
      </c>
      <c r="AQ1833" s="6">
        <f t="shared" si="350"/>
        <v>150.38888360018234</v>
      </c>
      <c r="AR1833" s="2">
        <f t="shared" si="351"/>
        <v>-2.1301186875174403</v>
      </c>
      <c r="AS1833" s="2">
        <f t="shared" si="352"/>
        <v>-320.34617135163353</v>
      </c>
    </row>
    <row r="1834" spans="37:45" x14ac:dyDescent="0.3">
      <c r="AK1834" s="78">
        <v>45050.84375</v>
      </c>
      <c r="AL1834">
        <v>0.11148336735704199</v>
      </c>
      <c r="AM1834" s="6">
        <v>124.3675379</v>
      </c>
      <c r="AN1834" s="2">
        <v>8502</v>
      </c>
      <c r="AO1834" s="7">
        <f t="shared" si="353"/>
        <v>141.69999999999999</v>
      </c>
      <c r="AP1834" s="5">
        <f t="shared" si="349"/>
        <v>15.797193154492849</v>
      </c>
      <c r="AQ1834" s="6">
        <f t="shared" si="350"/>
        <v>143.48225172193912</v>
      </c>
      <c r="AR1834" s="2">
        <f t="shared" si="351"/>
        <v>-2.1301186875174403</v>
      </c>
      <c r="AS1834" s="2">
        <f t="shared" si="352"/>
        <v>-305.63422571998393</v>
      </c>
    </row>
    <row r="1835" spans="37:45" x14ac:dyDescent="0.3">
      <c r="AK1835" s="78">
        <v>45050.854166666664</v>
      </c>
      <c r="AL1835">
        <v>0.11286652776181801</v>
      </c>
      <c r="AM1835" s="6">
        <v>113.3477233</v>
      </c>
      <c r="AN1835" s="2">
        <v>8817</v>
      </c>
      <c r="AO1835" s="7">
        <f t="shared" si="353"/>
        <v>146.94999999999999</v>
      </c>
      <c r="AP1835" s="5">
        <f t="shared" si="349"/>
        <v>16.585736254599155</v>
      </c>
      <c r="AQ1835" s="6">
        <f t="shared" si="350"/>
        <v>146.94597750321535</v>
      </c>
      <c r="AR1835" s="2">
        <f t="shared" si="351"/>
        <v>-2.1301186875174403</v>
      </c>
      <c r="AS1835" s="2">
        <f t="shared" si="352"/>
        <v>-313.0123727351164</v>
      </c>
    </row>
    <row r="1836" spans="37:45" x14ac:dyDescent="0.3">
      <c r="AK1836" s="78">
        <v>45050.864583333336</v>
      </c>
      <c r="AL1836">
        <v>0.11339375224491501</v>
      </c>
      <c r="AM1836" s="6">
        <v>114.1275401</v>
      </c>
      <c r="AN1836" s="2">
        <v>8659</v>
      </c>
      <c r="AO1836" s="7">
        <f t="shared" si="353"/>
        <v>144.31666666666666</v>
      </c>
      <c r="AP1836" s="5">
        <f t="shared" si="349"/>
        <v>16.364608344811984</v>
      </c>
      <c r="AQ1836" s="6">
        <f t="shared" si="350"/>
        <v>145.98329863507962</v>
      </c>
      <c r="AR1836" s="2">
        <f t="shared" si="351"/>
        <v>-2.1301186875174403</v>
      </c>
      <c r="AS1836" s="2">
        <f t="shared" si="352"/>
        <v>-310.96175248802234</v>
      </c>
    </row>
    <row r="1837" spans="37:45" x14ac:dyDescent="0.3">
      <c r="AK1837" s="78">
        <v>45050.875</v>
      </c>
      <c r="AL1837">
        <v>0.117490348124467</v>
      </c>
      <c r="AM1837" s="6">
        <v>120.2525852</v>
      </c>
      <c r="AN1837" s="2">
        <v>8437</v>
      </c>
      <c r="AO1837" s="7">
        <f t="shared" si="353"/>
        <v>140.61666666666667</v>
      </c>
      <c r="AP1837" s="5">
        <f t="shared" si="349"/>
        <v>16.521101118768801</v>
      </c>
      <c r="AQ1837" s="6">
        <f t="shared" si="350"/>
        <v>146.66526989619922</v>
      </c>
      <c r="AR1837" s="2">
        <f t="shared" si="351"/>
        <v>-2.1301186875174403</v>
      </c>
      <c r="AS1837" s="2">
        <f t="shared" si="352"/>
        <v>-312.41443221568301</v>
      </c>
    </row>
    <row r="1838" spans="37:45" x14ac:dyDescent="0.3">
      <c r="AK1838" s="78">
        <v>45050.885416666664</v>
      </c>
      <c r="AL1838">
        <v>0.11717356980327</v>
      </c>
      <c r="AM1838" s="6">
        <v>114.8986831</v>
      </c>
      <c r="AN1838" s="2">
        <v>8455</v>
      </c>
      <c r="AO1838" s="7">
        <f t="shared" si="353"/>
        <v>140.91666666666666</v>
      </c>
      <c r="AP1838" s="5">
        <f t="shared" si="349"/>
        <v>16.511708878110795</v>
      </c>
      <c r="AQ1838" s="6">
        <f t="shared" si="350"/>
        <v>146.6244331979054</v>
      </c>
      <c r="AR1838" s="2">
        <f t="shared" si="351"/>
        <v>-2.1301186875174403</v>
      </c>
      <c r="AS1838" s="2">
        <f t="shared" si="352"/>
        <v>-312.32744520151084</v>
      </c>
    </row>
    <row r="1839" spans="37:45" x14ac:dyDescent="0.3">
      <c r="AK1839" s="78">
        <v>45050.895833333336</v>
      </c>
      <c r="AL1839">
        <v>0.11091888635116701</v>
      </c>
      <c r="AM1839" s="6">
        <v>114.1275401</v>
      </c>
      <c r="AN1839" s="2">
        <v>8693</v>
      </c>
      <c r="AO1839" s="7">
        <f t="shared" si="353"/>
        <v>144.88333333333333</v>
      </c>
      <c r="AP1839" s="5">
        <f t="shared" si="349"/>
        <v>16.070297984178247</v>
      </c>
      <c r="AQ1839" s="6">
        <f t="shared" si="350"/>
        <v>144.6916639664982</v>
      </c>
      <c r="AR1839" s="2">
        <f t="shared" si="351"/>
        <v>-2.1301186875174403</v>
      </c>
      <c r="AS1839" s="2">
        <f t="shared" si="352"/>
        <v>-308.21041734303162</v>
      </c>
    </row>
    <row r="1840" spans="37:45" x14ac:dyDescent="0.3">
      <c r="AK1840" s="78">
        <v>45050.90625</v>
      </c>
      <c r="AL1840">
        <v>0.116349717887949</v>
      </c>
      <c r="AM1840" s="6">
        <v>112.9598134</v>
      </c>
      <c r="AN1840" s="2">
        <v>8725</v>
      </c>
      <c r="AO1840" s="7">
        <f t="shared" si="353"/>
        <v>145.41666666666666</v>
      </c>
      <c r="AP1840" s="5">
        <f t="shared" si="349"/>
        <v>16.919188142872581</v>
      </c>
      <c r="AQ1840" s="6">
        <f t="shared" si="350"/>
        <v>148.38535619799472</v>
      </c>
      <c r="AR1840" s="2">
        <f t="shared" si="351"/>
        <v>-2.1301186875174403</v>
      </c>
      <c r="AS1840" s="2">
        <f t="shared" si="352"/>
        <v>-316.07842019128037</v>
      </c>
    </row>
    <row r="1841" spans="37:45" x14ac:dyDescent="0.3">
      <c r="AK1841" s="78">
        <v>45050.916666666664</v>
      </c>
      <c r="AL1841">
        <v>0.108904141920767</v>
      </c>
      <c r="AM1841" s="6">
        <v>114.1275401</v>
      </c>
      <c r="AN1841" s="2">
        <v>8776</v>
      </c>
      <c r="AO1841" s="7">
        <f t="shared" si="353"/>
        <v>146.26666666666668</v>
      </c>
      <c r="AP1841" s="5">
        <f t="shared" si="349"/>
        <v>15.929045824944188</v>
      </c>
      <c r="AQ1841" s="6">
        <f t="shared" si="350"/>
        <v>144.06746650736483</v>
      </c>
      <c r="AR1841" s="2">
        <f t="shared" si="351"/>
        <v>-2.1301186875174403</v>
      </c>
      <c r="AS1841" s="2">
        <f t="shared" si="352"/>
        <v>-306.88080267063077</v>
      </c>
    </row>
    <row r="1842" spans="37:45" x14ac:dyDescent="0.3">
      <c r="AK1842" s="78">
        <v>45050.927083333336</v>
      </c>
      <c r="AL1842">
        <v>0.11690027208270699</v>
      </c>
      <c r="AM1842" s="6">
        <v>113.74097140000001</v>
      </c>
      <c r="AN1842" s="2">
        <v>8422</v>
      </c>
      <c r="AO1842" s="7">
        <f t="shared" si="353"/>
        <v>140.36666666666667</v>
      </c>
      <c r="AP1842" s="5">
        <f t="shared" si="349"/>
        <v>16.408901524675972</v>
      </c>
      <c r="AQ1842" s="6">
        <f t="shared" si="350"/>
        <v>146.17665786228193</v>
      </c>
      <c r="AR1842" s="2">
        <f t="shared" si="351"/>
        <v>-2.1301186875174403</v>
      </c>
      <c r="AS1842" s="2">
        <f t="shared" si="352"/>
        <v>-311.3736305912899</v>
      </c>
    </row>
    <row r="1843" spans="37:45" x14ac:dyDescent="0.3">
      <c r="AK1843" s="78">
        <v>45050.9375</v>
      </c>
      <c r="AL1843">
        <v>0.119001115531968</v>
      </c>
      <c r="AM1843" s="6">
        <v>114.1275401</v>
      </c>
      <c r="AN1843" s="2">
        <v>8992</v>
      </c>
      <c r="AO1843" s="7">
        <f t="shared" si="353"/>
        <v>149.86666666666667</v>
      </c>
      <c r="AP1843" s="5">
        <f t="shared" si="349"/>
        <v>17.834300514390939</v>
      </c>
      <c r="AQ1843" s="6">
        <f t="shared" si="350"/>
        <v>152.26275910988502</v>
      </c>
      <c r="AR1843" s="2">
        <f t="shared" si="351"/>
        <v>-2.1301186875174403</v>
      </c>
      <c r="AS1843" s="2">
        <f t="shared" si="352"/>
        <v>-324.33774859293248</v>
      </c>
    </row>
    <row r="1844" spans="37:45" x14ac:dyDescent="0.3">
      <c r="AK1844" s="78">
        <v>45050.947916666664</v>
      </c>
      <c r="AL1844">
        <v>0.110267334313972</v>
      </c>
      <c r="AM1844" s="6">
        <v>107.0292163</v>
      </c>
      <c r="AN1844" s="2">
        <v>9072</v>
      </c>
      <c r="AO1844" s="7">
        <f t="shared" si="353"/>
        <v>151.19999999999999</v>
      </c>
      <c r="AP1844" s="5">
        <f t="shared" si="349"/>
        <v>16.672420948272563</v>
      </c>
      <c r="AQ1844" s="6">
        <f t="shared" si="350"/>
        <v>147.32157047682355</v>
      </c>
      <c r="AR1844" s="2">
        <f t="shared" si="351"/>
        <v>-2.1301186875174403</v>
      </c>
      <c r="AS1844" s="2">
        <f t="shared" si="352"/>
        <v>-313.81243034709945</v>
      </c>
    </row>
    <row r="1845" spans="37:45" x14ac:dyDescent="0.3">
      <c r="AK1845" s="78">
        <v>45050.958333333336</v>
      </c>
      <c r="AL1845">
        <v>0.10786385924306099</v>
      </c>
      <c r="AM1845" s="6">
        <v>112.9598134</v>
      </c>
      <c r="AN1845" s="2">
        <v>8810</v>
      </c>
      <c r="AO1845" s="7">
        <f t="shared" si="353"/>
        <v>146.83333333333334</v>
      </c>
      <c r="AP1845" s="5">
        <f t="shared" si="349"/>
        <v>15.838009998856124</v>
      </c>
      <c r="AQ1845" s="6">
        <f t="shared" si="350"/>
        <v>143.66367865140626</v>
      </c>
      <c r="AR1845" s="2">
        <f t="shared" si="351"/>
        <v>-2.1301186875174403</v>
      </c>
      <c r="AS1845" s="2">
        <f t="shared" si="352"/>
        <v>-306.0206866128608</v>
      </c>
    </row>
    <row r="1846" spans="37:45" x14ac:dyDescent="0.3">
      <c r="AK1846" s="78">
        <v>45050.96875</v>
      </c>
      <c r="AL1846">
        <v>0.111451585777278</v>
      </c>
      <c r="AM1846" s="6">
        <v>110.9974619</v>
      </c>
      <c r="AN1846" s="2">
        <v>9066</v>
      </c>
      <c r="AO1846" s="7">
        <f t="shared" si="353"/>
        <v>151.1</v>
      </c>
      <c r="AP1846" s="5">
        <f t="shared" si="349"/>
        <v>16.840334610946705</v>
      </c>
      <c r="AQ1846" s="6">
        <f t="shared" si="350"/>
        <v>148.04629341115125</v>
      </c>
      <c r="AR1846" s="2">
        <f t="shared" si="351"/>
        <v>-2.1301186875174403</v>
      </c>
      <c r="AS1846" s="2">
        <f t="shared" si="352"/>
        <v>-315.3561762127834</v>
      </c>
    </row>
    <row r="1847" spans="37:45" x14ac:dyDescent="0.3">
      <c r="AK1847" s="78">
        <v>45050.979166666664</v>
      </c>
      <c r="AL1847">
        <v>0.10723034436047001</v>
      </c>
      <c r="AM1847" s="6">
        <v>107.8305381</v>
      </c>
      <c r="AN1847" s="2">
        <v>8758</v>
      </c>
      <c r="AO1847" s="7">
        <f t="shared" si="353"/>
        <v>145.96666666666667</v>
      </c>
      <c r="AP1847" s="5">
        <f t="shared" si="349"/>
        <v>15.652055931816605</v>
      </c>
      <c r="AQ1847" s="6">
        <f t="shared" si="350"/>
        <v>142.83518543384085</v>
      </c>
      <c r="AR1847" s="2">
        <f t="shared" si="351"/>
        <v>-2.1301186875174403</v>
      </c>
      <c r="AS1847" s="2">
        <f t="shared" si="352"/>
        <v>-304.25589772764329</v>
      </c>
    </row>
    <row r="1848" spans="37:45" x14ac:dyDescent="0.3">
      <c r="AK1848" s="78">
        <v>45050.989583333336</v>
      </c>
      <c r="AL1848">
        <v>0.116193183925159</v>
      </c>
      <c r="AM1848" s="6">
        <v>109.0251016</v>
      </c>
      <c r="AN1848" s="2">
        <v>9068</v>
      </c>
      <c r="AO1848" s="7">
        <f t="shared" si="353"/>
        <v>151.13333333333333</v>
      </c>
      <c r="AP1848" s="5">
        <f t="shared" si="349"/>
        <v>17.560663197222361</v>
      </c>
      <c r="AQ1848" s="6">
        <f t="shared" si="350"/>
        <v>151.11420058738679</v>
      </c>
      <c r="AR1848" s="2">
        <f t="shared" si="351"/>
        <v>-2.1301186875174403</v>
      </c>
      <c r="AS1848" s="2">
        <f t="shared" si="352"/>
        <v>-321.89118262045156</v>
      </c>
    </row>
    <row r="1849" spans="37:45" x14ac:dyDescent="0.3">
      <c r="AK1849" s="78">
        <v>45051</v>
      </c>
      <c r="AL1849">
        <v>0.113456629756831</v>
      </c>
      <c r="AM1849" s="6">
        <v>115.2898797</v>
      </c>
      <c r="AN1849" s="2">
        <v>8851</v>
      </c>
      <c r="AO1849" s="7">
        <f t="shared" si="353"/>
        <v>147.51666666666668</v>
      </c>
      <c r="AP1849" s="5">
        <f t="shared" si="349"/>
        <v>16.736743832961857</v>
      </c>
      <c r="AQ1849" s="6">
        <f t="shared" si="350"/>
        <v>147.59962911928952</v>
      </c>
      <c r="AR1849" s="2">
        <f t="shared" si="351"/>
        <v>-2.1301186875174403</v>
      </c>
      <c r="AS1849" s="2">
        <f t="shared" si="352"/>
        <v>-314.40472825764192</v>
      </c>
    </row>
    <row r="1850" spans="37:45" x14ac:dyDescent="0.3">
      <c r="AK1850" s="78">
        <v>45051.010416666664</v>
      </c>
      <c r="AL1850">
        <v>0.11829346858190699</v>
      </c>
      <c r="AM1850" s="6">
        <v>104.61473460000001</v>
      </c>
      <c r="AN1850" s="2">
        <v>8710</v>
      </c>
      <c r="AO1850" s="7">
        <f t="shared" si="353"/>
        <v>145.16666666666666</v>
      </c>
      <c r="AP1850" s="5">
        <f t="shared" si="349"/>
        <v>17.172268522473498</v>
      </c>
      <c r="AQ1850" s="6">
        <f t="shared" si="350"/>
        <v>149.4681651228326</v>
      </c>
      <c r="AR1850" s="2">
        <f t="shared" si="351"/>
        <v>-2.1301186875174403</v>
      </c>
      <c r="AS1850" s="2">
        <f t="shared" si="352"/>
        <v>-318.38493171708825</v>
      </c>
    </row>
    <row r="1851" spans="37:45" x14ac:dyDescent="0.3">
      <c r="AK1851" s="78">
        <v>45051.020833333336</v>
      </c>
      <c r="AL1851">
        <v>0.10641322051245899</v>
      </c>
      <c r="AM1851" s="6">
        <v>110.9974619</v>
      </c>
      <c r="AN1851" s="2">
        <v>8878</v>
      </c>
      <c r="AO1851" s="7">
        <f t="shared" si="353"/>
        <v>147.96666666666667</v>
      </c>
      <c r="AP1851" s="5">
        <f t="shared" si="349"/>
        <v>15.745609528493516</v>
      </c>
      <c r="AQ1851" s="6">
        <f t="shared" si="350"/>
        <v>143.25262495708563</v>
      </c>
      <c r="AR1851" s="2">
        <f t="shared" si="351"/>
        <v>-2.1301186875174403</v>
      </c>
      <c r="AS1851" s="2">
        <f t="shared" si="352"/>
        <v>-305.14509345701532</v>
      </c>
    </row>
    <row r="1852" spans="37:45" x14ac:dyDescent="0.3">
      <c r="AK1852" s="78">
        <v>45051.03125</v>
      </c>
      <c r="AL1852">
        <v>0.11291028032163899</v>
      </c>
      <c r="AM1852" s="6">
        <v>103.80204430000001</v>
      </c>
      <c r="AN1852" s="2">
        <v>8946</v>
      </c>
      <c r="AO1852" s="7">
        <f t="shared" si="353"/>
        <v>149.1</v>
      </c>
      <c r="AP1852" s="5">
        <f t="shared" si="349"/>
        <v>16.834922795956373</v>
      </c>
      <c r="AQ1852" s="6">
        <f t="shared" si="350"/>
        <v>148.02299343472316</v>
      </c>
      <c r="AR1852" s="2">
        <f t="shared" si="351"/>
        <v>-2.1301186875174403</v>
      </c>
      <c r="AS1852" s="2">
        <f t="shared" si="352"/>
        <v>-315.3065444975752</v>
      </c>
    </row>
    <row r="1853" spans="37:45" x14ac:dyDescent="0.3">
      <c r="AK1853" s="78">
        <v>45051.041666666664</v>
      </c>
      <c r="AL1853">
        <v>0.131748584465089</v>
      </c>
      <c r="AM1853" s="6">
        <v>109.0251016</v>
      </c>
      <c r="AN1853" s="2">
        <v>8621</v>
      </c>
      <c r="AO1853" s="7">
        <f t="shared" si="353"/>
        <v>143.68333333333334</v>
      </c>
      <c r="AP1853" s="5">
        <f t="shared" si="349"/>
        <v>18.930075777892206</v>
      </c>
      <c r="AQ1853" s="6">
        <f t="shared" si="350"/>
        <v>156.77438280055509</v>
      </c>
      <c r="AR1853" s="2">
        <f t="shared" si="351"/>
        <v>-2.1301186875174403</v>
      </c>
      <c r="AS1853" s="2">
        <f t="shared" si="352"/>
        <v>-333.94804252747514</v>
      </c>
    </row>
    <row r="1854" spans="37:45" x14ac:dyDescent="0.3">
      <c r="AK1854" s="78">
        <v>45051.052083333336</v>
      </c>
      <c r="AL1854">
        <v>0.108092906985203</v>
      </c>
      <c r="AM1854" s="6">
        <v>109.8129265</v>
      </c>
      <c r="AN1854" s="2">
        <v>8454</v>
      </c>
      <c r="AO1854" s="7">
        <f t="shared" si="353"/>
        <v>140.9</v>
      </c>
      <c r="AP1854" s="5">
        <f t="shared" si="349"/>
        <v>15.230290594215104</v>
      </c>
      <c r="AQ1854" s="6">
        <f t="shared" si="350"/>
        <v>140.93725000830105</v>
      </c>
      <c r="AR1854" s="2">
        <f t="shared" si="351"/>
        <v>-2.1301186875174403</v>
      </c>
      <c r="AS1854" s="2">
        <f t="shared" si="352"/>
        <v>-300.21307000999957</v>
      </c>
    </row>
    <row r="1855" spans="37:45" x14ac:dyDescent="0.3">
      <c r="AK1855" s="78">
        <v>45051.0625</v>
      </c>
      <c r="AL1855">
        <v>0.11580751203197</v>
      </c>
      <c r="AM1855" s="6">
        <v>111.0042136</v>
      </c>
      <c r="AN1855" s="2">
        <v>8514</v>
      </c>
      <c r="AO1855" s="7">
        <f t="shared" si="353"/>
        <v>141.9</v>
      </c>
      <c r="AP1855" s="5">
        <f t="shared" si="349"/>
        <v>16.433085957336544</v>
      </c>
      <c r="AQ1855" s="6">
        <f t="shared" si="350"/>
        <v>146.28212114826468</v>
      </c>
      <c r="AR1855" s="2">
        <f t="shared" si="351"/>
        <v>-2.1301186875174403</v>
      </c>
      <c r="AS1855" s="2">
        <f t="shared" si="352"/>
        <v>-311.59827990760874</v>
      </c>
    </row>
    <row r="1856" spans="37:45" x14ac:dyDescent="0.3">
      <c r="AK1856" s="78">
        <v>45051.072916666664</v>
      </c>
      <c r="AL1856">
        <v>0.124287631091968</v>
      </c>
      <c r="AM1856" s="6">
        <v>112.9598134</v>
      </c>
      <c r="AN1856" s="2">
        <v>8760</v>
      </c>
      <c r="AO1856" s="7">
        <f t="shared" si="353"/>
        <v>146</v>
      </c>
      <c r="AP1856" s="5">
        <f t="shared" si="349"/>
        <v>18.145994139427327</v>
      </c>
      <c r="AQ1856" s="6">
        <f t="shared" si="350"/>
        <v>153.56015221508426</v>
      </c>
      <c r="AR1856" s="2">
        <f t="shared" si="351"/>
        <v>-2.1301186875174403</v>
      </c>
      <c r="AS1856" s="2">
        <f t="shared" si="352"/>
        <v>-327.10134989137362</v>
      </c>
    </row>
    <row r="1857" spans="37:45" x14ac:dyDescent="0.3">
      <c r="AK1857" s="78">
        <v>45051.083333333336</v>
      </c>
      <c r="AL1857">
        <v>0.121975523708596</v>
      </c>
      <c r="AM1857" s="6">
        <v>109.0251016</v>
      </c>
      <c r="AN1857" s="2">
        <v>8679</v>
      </c>
      <c r="AO1857" s="7">
        <f t="shared" si="353"/>
        <v>144.65</v>
      </c>
      <c r="AP1857" s="5">
        <f t="shared" si="349"/>
        <v>17.643759504448411</v>
      </c>
      <c r="AQ1857" s="6">
        <f t="shared" si="350"/>
        <v>151.46394660145486</v>
      </c>
      <c r="AR1857" s="2">
        <f t="shared" si="351"/>
        <v>-2.1301186875174403</v>
      </c>
      <c r="AS1857" s="2">
        <f t="shared" si="352"/>
        <v>-322.63618314090269</v>
      </c>
    </row>
    <row r="1858" spans="37:45" x14ac:dyDescent="0.3">
      <c r="AK1858" s="78">
        <v>45051.09375</v>
      </c>
      <c r="AL1858">
        <v>0.118692319621386</v>
      </c>
      <c r="AM1858" s="6">
        <v>107.8305381</v>
      </c>
      <c r="AN1858" s="2">
        <v>8556</v>
      </c>
      <c r="AO1858" s="7">
        <f t="shared" si="353"/>
        <v>142.6</v>
      </c>
      <c r="AP1858" s="5">
        <f t="shared" si="349"/>
        <v>16.925524778009642</v>
      </c>
      <c r="AQ1858" s="6">
        <f t="shared" si="350"/>
        <v>148.41256809595274</v>
      </c>
      <c r="AR1858" s="2">
        <f t="shared" si="351"/>
        <v>-2.1301186875174403</v>
      </c>
      <c r="AS1858" s="2">
        <f t="shared" si="352"/>
        <v>-316.13638476364355</v>
      </c>
    </row>
    <row r="1859" spans="37:45" x14ac:dyDescent="0.3">
      <c r="AK1859" s="78">
        <v>45051.104166666664</v>
      </c>
      <c r="AL1859">
        <v>0.13432182076298799</v>
      </c>
      <c r="AM1859" s="6">
        <v>122.1341827</v>
      </c>
      <c r="AN1859" s="2">
        <v>8393</v>
      </c>
      <c r="AO1859" s="7">
        <f t="shared" si="353"/>
        <v>139.88333333333333</v>
      </c>
      <c r="AP1859" s="5">
        <f t="shared" si="349"/>
        <v>18.789384027729302</v>
      </c>
      <c r="AQ1859" s="6">
        <f t="shared" si="350"/>
        <v>156.20271022937399</v>
      </c>
      <c r="AR1859" s="2">
        <f t="shared" si="351"/>
        <v>-2.1301186875174403</v>
      </c>
      <c r="AS1859" s="2">
        <f t="shared" si="352"/>
        <v>-332.73031210046116</v>
      </c>
    </row>
    <row r="1860" spans="37:45" x14ac:dyDescent="0.3">
      <c r="AK1860" s="78">
        <v>45051.114583333336</v>
      </c>
      <c r="AL1860">
        <v>0.113916550031627</v>
      </c>
      <c r="AM1860" s="6">
        <v>105.42475589999999</v>
      </c>
      <c r="AN1860" s="2">
        <v>8776</v>
      </c>
      <c r="AO1860" s="7">
        <f t="shared" si="353"/>
        <v>146.26666666666668</v>
      </c>
      <c r="AP1860" s="5">
        <f t="shared" ref="AP1860:AP1920" si="354">AO1860*AL1860</f>
        <v>16.662194051292644</v>
      </c>
      <c r="AQ1860" s="6">
        <f t="shared" ref="AQ1860:AQ1920" si="355">37.141*AP1860^0.4897</f>
        <v>147.27731065665515</v>
      </c>
      <c r="AR1860" s="2">
        <f t="shared" ref="AR1860:AR1920" si="356">IF((AM1860-$AP$1)/($AN$1-$AP$1)&lt;0, 0, IF((AA1860-$AP$1)/($AN$1-$AP$1)&gt;1, 1, (AA1860-$AP$1)/($AN$1-$AP$1)))</f>
        <v>-2.1301186875174403</v>
      </c>
      <c r="AS1860" s="2">
        <f t="shared" ref="AS1860:AS1920" si="357">AQ1860*AR1860</f>
        <v>-313.71815167705256</v>
      </c>
    </row>
    <row r="1861" spans="37:45" x14ac:dyDescent="0.3">
      <c r="AK1861" s="78">
        <v>45051.125</v>
      </c>
      <c r="AL1861">
        <v>0.116822238011888</v>
      </c>
      <c r="AM1861" s="6">
        <v>109.8197124</v>
      </c>
      <c r="AN1861" s="2">
        <v>8408</v>
      </c>
      <c r="AO1861" s="7">
        <f t="shared" si="353"/>
        <v>140.13333333333333</v>
      </c>
      <c r="AP1861" s="5">
        <f t="shared" si="354"/>
        <v>16.370689620065903</v>
      </c>
      <c r="AQ1861" s="6">
        <f t="shared" si="355"/>
        <v>146.00986188140081</v>
      </c>
      <c r="AR1861" s="2">
        <f t="shared" si="356"/>
        <v>-2.1301186875174403</v>
      </c>
      <c r="AS1861" s="2">
        <f t="shared" si="357"/>
        <v>-311.0183353554122</v>
      </c>
    </row>
    <row r="1862" spans="37:45" x14ac:dyDescent="0.3">
      <c r="AK1862" s="78">
        <v>45051.135416666664</v>
      </c>
      <c r="AL1862">
        <v>0.123595767269454</v>
      </c>
      <c r="AM1862" s="6">
        <v>99.304680700000006</v>
      </c>
      <c r="AN1862" s="2">
        <v>8715</v>
      </c>
      <c r="AO1862" s="7">
        <f t="shared" si="353"/>
        <v>145.25</v>
      </c>
      <c r="AP1862" s="5">
        <f t="shared" si="354"/>
        <v>17.952285195888194</v>
      </c>
      <c r="AQ1862" s="6">
        <f t="shared" si="355"/>
        <v>152.75520904298438</v>
      </c>
      <c r="AR1862" s="2">
        <f t="shared" si="356"/>
        <v>-2.1301186875174403</v>
      </c>
      <c r="AS1862" s="2">
        <f t="shared" si="357"/>
        <v>-325.38672539809409</v>
      </c>
    </row>
    <row r="1863" spans="37:45" x14ac:dyDescent="0.3">
      <c r="AK1863" s="78">
        <v>45051.145833333336</v>
      </c>
      <c r="AL1863">
        <v>0.116562152392525</v>
      </c>
      <c r="AM1863" s="6">
        <v>98.474887140000007</v>
      </c>
      <c r="AN1863" s="2">
        <v>8488</v>
      </c>
      <c r="AO1863" s="7">
        <f t="shared" si="353"/>
        <v>141.46666666666667</v>
      </c>
      <c r="AP1863" s="5">
        <f t="shared" si="354"/>
        <v>16.489659158462537</v>
      </c>
      <c r="AQ1863" s="6">
        <f t="shared" si="355"/>
        <v>146.52851620612529</v>
      </c>
      <c r="AR1863" s="2">
        <f t="shared" si="356"/>
        <v>-2.1301186875174403</v>
      </c>
      <c r="AS1863" s="2">
        <f t="shared" si="357"/>
        <v>-312.12313062486959</v>
      </c>
    </row>
    <row r="1864" spans="37:45" x14ac:dyDescent="0.3">
      <c r="AK1864" s="78">
        <v>45051.15625</v>
      </c>
      <c r="AL1864">
        <v>0.118648482483579</v>
      </c>
      <c r="AM1864" s="6">
        <v>109.0251016</v>
      </c>
      <c r="AN1864" s="2">
        <v>8623</v>
      </c>
      <c r="AO1864" s="7">
        <f t="shared" si="353"/>
        <v>143.71666666666667</v>
      </c>
      <c r="AP1864" s="5">
        <f t="shared" si="354"/>
        <v>17.051764407598363</v>
      </c>
      <c r="AQ1864" s="6">
        <f t="shared" si="355"/>
        <v>148.95360909703459</v>
      </c>
      <c r="AR1864" s="2">
        <f t="shared" si="356"/>
        <v>-2.1301186875174403</v>
      </c>
      <c r="AS1864" s="2">
        <f t="shared" si="357"/>
        <v>-317.28886631076119</v>
      </c>
    </row>
    <row r="1865" spans="37:45" x14ac:dyDescent="0.3">
      <c r="AK1865" s="78">
        <v>45051.166666666664</v>
      </c>
      <c r="AL1865">
        <v>0.117727028679679</v>
      </c>
      <c r="AM1865" s="6">
        <v>107.0292163</v>
      </c>
      <c r="AN1865" s="2">
        <v>8560</v>
      </c>
      <c r="AO1865" s="7">
        <f t="shared" si="353"/>
        <v>142.66666666666666</v>
      </c>
      <c r="AP1865" s="5">
        <f t="shared" si="354"/>
        <v>16.795722758300869</v>
      </c>
      <c r="AQ1865" s="6">
        <f t="shared" si="355"/>
        <v>147.85410773056245</v>
      </c>
      <c r="AR1865" s="2">
        <f t="shared" si="356"/>
        <v>-2.1301186875174403</v>
      </c>
      <c r="AS1865" s="2">
        <f t="shared" si="357"/>
        <v>-314.94679790308788</v>
      </c>
    </row>
    <row r="1866" spans="37:45" x14ac:dyDescent="0.3">
      <c r="AK1866" s="78">
        <v>45051.177083333336</v>
      </c>
      <c r="AL1866">
        <v>0.120455743802837</v>
      </c>
      <c r="AM1866" s="6">
        <v>101.7699069</v>
      </c>
      <c r="AN1866" s="2">
        <v>8595</v>
      </c>
      <c r="AO1866" s="7">
        <f t="shared" ref="AO1866:AO1920" si="358">AN1866/60</f>
        <v>143.25</v>
      </c>
      <c r="AP1866" s="5">
        <f t="shared" si="354"/>
        <v>17.255285299756398</v>
      </c>
      <c r="AQ1866" s="6">
        <f t="shared" si="355"/>
        <v>149.82157792818469</v>
      </c>
      <c r="AR1866" s="2">
        <f t="shared" si="356"/>
        <v>-2.1301186875174403</v>
      </c>
      <c r="AS1866" s="2">
        <f t="shared" si="357"/>
        <v>-319.1377429381767</v>
      </c>
    </row>
    <row r="1867" spans="37:45" x14ac:dyDescent="0.3">
      <c r="AK1867" s="78">
        <v>45051.1875</v>
      </c>
      <c r="AL1867">
        <v>0.120071953207291</v>
      </c>
      <c r="AM1867" s="6">
        <v>104.61473460000001</v>
      </c>
      <c r="AN1867" s="2">
        <v>8559</v>
      </c>
      <c r="AO1867" s="7">
        <f t="shared" si="358"/>
        <v>142.65</v>
      </c>
      <c r="AP1867" s="5">
        <f t="shared" si="354"/>
        <v>17.128264125020063</v>
      </c>
      <c r="AQ1867" s="6">
        <f t="shared" si="355"/>
        <v>149.28047931112494</v>
      </c>
      <c r="AR1867" s="2">
        <f t="shared" si="356"/>
        <v>-2.1301186875174403</v>
      </c>
      <c r="AS1867" s="2">
        <f t="shared" si="357"/>
        <v>-317.98513866218786</v>
      </c>
    </row>
    <row r="1868" spans="37:45" x14ac:dyDescent="0.3">
      <c r="AK1868" s="78">
        <v>45051.197916666664</v>
      </c>
      <c r="AL1868">
        <v>0.120313191721239</v>
      </c>
      <c r="AM1868" s="6">
        <v>107.0292163</v>
      </c>
      <c r="AN1868" s="2">
        <v>8484</v>
      </c>
      <c r="AO1868" s="7">
        <f t="shared" si="358"/>
        <v>141.4</v>
      </c>
      <c r="AP1868" s="5">
        <f t="shared" si="354"/>
        <v>17.012285309383195</v>
      </c>
      <c r="AQ1868" s="6">
        <f t="shared" si="355"/>
        <v>148.78462890018116</v>
      </c>
      <c r="AR1868" s="2">
        <f t="shared" si="356"/>
        <v>-2.1301186875174403</v>
      </c>
      <c r="AS1868" s="2">
        <f t="shared" si="357"/>
        <v>-316.9289184356233</v>
      </c>
    </row>
    <row r="1869" spans="37:45" x14ac:dyDescent="0.3">
      <c r="AK1869" s="78">
        <v>45051.208333333336</v>
      </c>
      <c r="AL1869">
        <v>0.129139935133878</v>
      </c>
      <c r="AM1869" s="6">
        <v>98.055454810000001</v>
      </c>
      <c r="AN1869" s="2">
        <v>8665</v>
      </c>
      <c r="AO1869" s="7">
        <f t="shared" si="358"/>
        <v>144.41666666666666</v>
      </c>
      <c r="AP1869" s="5">
        <f t="shared" si="354"/>
        <v>18.649958965584215</v>
      </c>
      <c r="AQ1869" s="6">
        <f t="shared" si="355"/>
        <v>155.63402554282868</v>
      </c>
      <c r="AR1869" s="2">
        <f t="shared" si="356"/>
        <v>-2.1301186875174403</v>
      </c>
      <c r="AS1869" s="2">
        <f t="shared" si="357"/>
        <v>-331.51894622234602</v>
      </c>
    </row>
    <row r="1870" spans="37:45" x14ac:dyDescent="0.3">
      <c r="AK1870" s="78">
        <v>45051.21875</v>
      </c>
      <c r="AL1870">
        <v>0.116283802794582</v>
      </c>
      <c r="AM1870" s="6">
        <v>100.5402337</v>
      </c>
      <c r="AN1870" s="2">
        <v>8594</v>
      </c>
      <c r="AO1870" s="7">
        <f t="shared" si="358"/>
        <v>143.23333333333332</v>
      </c>
      <c r="AP1870" s="5">
        <f t="shared" si="354"/>
        <v>16.655716686943961</v>
      </c>
      <c r="AQ1870" s="6">
        <f t="shared" si="355"/>
        <v>147.24927083990102</v>
      </c>
      <c r="AR1870" s="2">
        <f t="shared" si="356"/>
        <v>-2.1301186875174403</v>
      </c>
      <c r="AS1870" s="2">
        <f t="shared" si="357"/>
        <v>-313.65842353939001</v>
      </c>
    </row>
    <row r="1871" spans="37:45" x14ac:dyDescent="0.3">
      <c r="AK1871" s="78">
        <v>45051.229166666664</v>
      </c>
      <c r="AL1871">
        <v>0.121937249915435</v>
      </c>
      <c r="AM1871" s="6">
        <v>101.7699069</v>
      </c>
      <c r="AN1871" s="2">
        <v>8433</v>
      </c>
      <c r="AO1871" s="7">
        <f t="shared" si="358"/>
        <v>140.55000000000001</v>
      </c>
      <c r="AP1871" s="5">
        <f t="shared" si="354"/>
        <v>17.13828047561439</v>
      </c>
      <c r="AQ1871" s="6">
        <f t="shared" si="355"/>
        <v>149.32322226233859</v>
      </c>
      <c r="AR1871" s="2">
        <f t="shared" si="356"/>
        <v>-2.1301186875174403</v>
      </c>
      <c r="AS1871" s="2">
        <f t="shared" si="357"/>
        <v>-318.0761862213277</v>
      </c>
    </row>
    <row r="1872" spans="37:45" x14ac:dyDescent="0.3">
      <c r="AK1872" s="78">
        <v>45051.239583333336</v>
      </c>
      <c r="AL1872">
        <v>0.11012329030743299</v>
      </c>
      <c r="AM1872" s="6">
        <v>96.808208239999999</v>
      </c>
      <c r="AN1872" s="2">
        <v>8758</v>
      </c>
      <c r="AO1872" s="7">
        <f t="shared" si="358"/>
        <v>145.96666666666667</v>
      </c>
      <c r="AP1872" s="5">
        <f t="shared" si="354"/>
        <v>16.074329608541635</v>
      </c>
      <c r="AQ1872" s="6">
        <f t="shared" si="355"/>
        <v>144.70943865299486</v>
      </c>
      <c r="AR1872" s="2">
        <f t="shared" si="356"/>
        <v>-2.1301186875174403</v>
      </c>
      <c r="AS1872" s="2">
        <f t="shared" si="357"/>
        <v>-308.24827953490296</v>
      </c>
    </row>
    <row r="1873" spans="37:45" x14ac:dyDescent="0.3">
      <c r="AK1873" s="78">
        <v>45051.25</v>
      </c>
      <c r="AL1873">
        <v>0.12548785782202601</v>
      </c>
      <c r="AM1873" s="6">
        <v>103.3988808</v>
      </c>
      <c r="AN1873" s="2">
        <v>8280</v>
      </c>
      <c r="AO1873" s="7">
        <f t="shared" si="358"/>
        <v>138</v>
      </c>
      <c r="AP1873" s="5">
        <f t="shared" si="354"/>
        <v>17.31732437943959</v>
      </c>
      <c r="AQ1873" s="6">
        <f t="shared" si="355"/>
        <v>150.08511990969799</v>
      </c>
      <c r="AR1873" s="2">
        <f t="shared" si="356"/>
        <v>-2.1301186875174403</v>
      </c>
      <c r="AS1873" s="2">
        <f t="shared" si="357"/>
        <v>-319.69911863794351</v>
      </c>
    </row>
    <row r="1874" spans="37:45" x14ac:dyDescent="0.3">
      <c r="AK1874" s="78">
        <v>45051.260416666664</v>
      </c>
      <c r="AL1874">
        <v>0.123911950731253</v>
      </c>
      <c r="AM1874" s="6">
        <v>103.3988808</v>
      </c>
      <c r="AN1874" s="2">
        <v>8410</v>
      </c>
      <c r="AO1874" s="7">
        <f t="shared" si="358"/>
        <v>140.16666666666666</v>
      </c>
      <c r="AP1874" s="5">
        <f t="shared" si="354"/>
        <v>17.368325094163961</v>
      </c>
      <c r="AQ1874" s="6">
        <f t="shared" si="355"/>
        <v>150.30141030170103</v>
      </c>
      <c r="AR1874" s="2">
        <f t="shared" si="356"/>
        <v>-2.1301186875174403</v>
      </c>
      <c r="AS1874" s="2">
        <f t="shared" si="357"/>
        <v>-320.15984284387969</v>
      </c>
    </row>
    <row r="1875" spans="37:45" x14ac:dyDescent="0.3">
      <c r="AK1875" s="78">
        <v>45051.270833333336</v>
      </c>
      <c r="AL1875">
        <v>0.13239830410456099</v>
      </c>
      <c r="AM1875" s="6">
        <v>105.0235411</v>
      </c>
      <c r="AN1875" s="2">
        <v>8196</v>
      </c>
      <c r="AO1875" s="7">
        <f t="shared" si="358"/>
        <v>136.6</v>
      </c>
      <c r="AP1875" s="5">
        <f t="shared" si="354"/>
        <v>18.085608340683031</v>
      </c>
      <c r="AQ1875" s="6">
        <f t="shared" si="355"/>
        <v>153.3096959495885</v>
      </c>
      <c r="AR1875" s="2">
        <f t="shared" si="356"/>
        <v>-2.1301186875174403</v>
      </c>
      <c r="AS1875" s="2">
        <f t="shared" si="357"/>
        <v>-326.56784831983526</v>
      </c>
    </row>
    <row r="1876" spans="37:45" x14ac:dyDescent="0.3">
      <c r="AK1876" s="78">
        <v>45051.28125</v>
      </c>
      <c r="AL1876">
        <v>0.13147381648194001</v>
      </c>
      <c r="AM1876" s="6">
        <v>104.61473460000001</v>
      </c>
      <c r="AN1876" s="2">
        <v>8363</v>
      </c>
      <c r="AO1876" s="7">
        <f t="shared" si="358"/>
        <v>139.38333333333333</v>
      </c>
      <c r="AP1876" s="5">
        <f t="shared" si="354"/>
        <v>18.325258787307739</v>
      </c>
      <c r="AQ1876" s="6">
        <f t="shared" si="355"/>
        <v>154.30117552579276</v>
      </c>
      <c r="AR1876" s="2">
        <f t="shared" si="356"/>
        <v>-2.1301186875174403</v>
      </c>
      <c r="AS1876" s="2">
        <f t="shared" si="357"/>
        <v>-328.67981749339987</v>
      </c>
    </row>
    <row r="1877" spans="37:45" x14ac:dyDescent="0.3">
      <c r="AK1877" s="78">
        <v>45051.291666666664</v>
      </c>
      <c r="AL1877">
        <v>0.116417757668612</v>
      </c>
      <c r="AM1877" s="6">
        <v>94.720978599999995</v>
      </c>
      <c r="AN1877" s="2">
        <v>8575</v>
      </c>
      <c r="AO1877" s="7">
        <f t="shared" si="358"/>
        <v>142.91666666666666</v>
      </c>
      <c r="AP1877" s="5">
        <f t="shared" si="354"/>
        <v>16.638037866805796</v>
      </c>
      <c r="AQ1877" s="6">
        <f t="shared" si="355"/>
        <v>147.17271278809838</v>
      </c>
      <c r="AR1877" s="2">
        <f t="shared" si="356"/>
        <v>-2.1301186875174403</v>
      </c>
      <c r="AS1877" s="2">
        <f t="shared" si="357"/>
        <v>-313.49534580256534</v>
      </c>
    </row>
    <row r="1878" spans="37:45" x14ac:dyDescent="0.3">
      <c r="AK1878" s="78">
        <v>45051.302083333336</v>
      </c>
      <c r="AL1878">
        <v>0.121301804174727</v>
      </c>
      <c r="AM1878" s="6">
        <v>95.138397370000007</v>
      </c>
      <c r="AN1878" s="2">
        <v>8598</v>
      </c>
      <c r="AO1878" s="7">
        <f t="shared" si="358"/>
        <v>143.30000000000001</v>
      </c>
      <c r="AP1878" s="5">
        <f t="shared" si="354"/>
        <v>17.382548538238378</v>
      </c>
      <c r="AQ1878" s="6">
        <f t="shared" si="355"/>
        <v>150.36167309687988</v>
      </c>
      <c r="AR1878" s="2">
        <f t="shared" si="356"/>
        <v>-2.1301186875174403</v>
      </c>
      <c r="AS1878" s="2">
        <f t="shared" si="357"/>
        <v>-320.2882097500522</v>
      </c>
    </row>
    <row r="1879" spans="37:45" x14ac:dyDescent="0.3">
      <c r="AK1879" s="78">
        <v>45051.3125</v>
      </c>
      <c r="AL1879">
        <v>0.12522404052023201</v>
      </c>
      <c r="AM1879" s="6">
        <v>99.304680700000006</v>
      </c>
      <c r="AN1879" s="2">
        <v>8515</v>
      </c>
      <c r="AO1879" s="7">
        <f t="shared" si="358"/>
        <v>141.91666666666666</v>
      </c>
      <c r="AP1879" s="5">
        <f t="shared" si="354"/>
        <v>17.771378417162925</v>
      </c>
      <c r="AQ1879" s="6">
        <f t="shared" si="355"/>
        <v>151.99945212318639</v>
      </c>
      <c r="AR1879" s="2">
        <f t="shared" si="356"/>
        <v>-2.1301186875174403</v>
      </c>
      <c r="AS1879" s="2">
        <f t="shared" si="357"/>
        <v>-323.77687346001181</v>
      </c>
    </row>
    <row r="1880" spans="37:45" x14ac:dyDescent="0.3">
      <c r="AK1880" s="78">
        <v>45051.322916666664</v>
      </c>
      <c r="AL1880">
        <v>0.13664541024920901</v>
      </c>
      <c r="AM1880" s="6">
        <v>95.138397370000007</v>
      </c>
      <c r="AN1880" s="2">
        <v>8049</v>
      </c>
      <c r="AO1880" s="7">
        <f t="shared" si="358"/>
        <v>134.15</v>
      </c>
      <c r="AP1880" s="5">
        <f t="shared" si="354"/>
        <v>18.330981784931389</v>
      </c>
      <c r="AQ1880" s="6">
        <f t="shared" si="355"/>
        <v>154.32477151483343</v>
      </c>
      <c r="AR1880" s="2">
        <f t="shared" si="356"/>
        <v>-2.1301186875174403</v>
      </c>
      <c r="AS1880" s="2">
        <f t="shared" si="357"/>
        <v>-328.73007975060585</v>
      </c>
    </row>
    <row r="1881" spans="37:45" x14ac:dyDescent="0.3">
      <c r="AK1881" s="78">
        <v>45051.333333333336</v>
      </c>
      <c r="AL1881">
        <v>0.14999290042437299</v>
      </c>
      <c r="AM1881" s="6">
        <v>100.5402337</v>
      </c>
      <c r="AN1881" s="2">
        <v>8085</v>
      </c>
      <c r="AO1881" s="7">
        <f t="shared" si="358"/>
        <v>134.75</v>
      </c>
      <c r="AP1881" s="5">
        <f t="shared" si="354"/>
        <v>20.211543332184259</v>
      </c>
      <c r="AQ1881" s="6">
        <f t="shared" si="355"/>
        <v>161.88464476663884</v>
      </c>
      <c r="AR1881" s="2">
        <f t="shared" si="356"/>
        <v>-2.1301186875174403</v>
      </c>
      <c r="AS1881" s="2">
        <f t="shared" si="357"/>
        <v>-344.83350703953977</v>
      </c>
    </row>
    <row r="1882" spans="37:45" x14ac:dyDescent="0.3">
      <c r="AK1882" s="78">
        <v>45051.34375</v>
      </c>
      <c r="AL1882">
        <v>0.155179384540789</v>
      </c>
      <c r="AM1882" s="6">
        <v>107.0292163</v>
      </c>
      <c r="AN1882" s="2">
        <v>7729</v>
      </c>
      <c r="AO1882" s="7">
        <f t="shared" si="358"/>
        <v>128.81666666666666</v>
      </c>
      <c r="AP1882" s="5">
        <f t="shared" si="354"/>
        <v>19.989691051929302</v>
      </c>
      <c r="AQ1882" s="6">
        <f t="shared" si="355"/>
        <v>161.01203204655062</v>
      </c>
      <c r="AR1882" s="2">
        <f t="shared" si="356"/>
        <v>-2.1301186875174403</v>
      </c>
      <c r="AS1882" s="2">
        <f t="shared" si="357"/>
        <v>-342.97473837751443</v>
      </c>
    </row>
    <row r="1883" spans="37:45" x14ac:dyDescent="0.3">
      <c r="AK1883" s="78">
        <v>45051.354166666664</v>
      </c>
      <c r="AL1883">
        <v>0.130400864610758</v>
      </c>
      <c r="AM1883" s="6">
        <v>87.058386479999996</v>
      </c>
      <c r="AN1883" s="2">
        <v>8405</v>
      </c>
      <c r="AO1883" s="7">
        <f t="shared" si="358"/>
        <v>140.08333333333334</v>
      </c>
      <c r="AP1883" s="5">
        <f t="shared" si="354"/>
        <v>18.266987784223684</v>
      </c>
      <c r="AQ1883" s="6">
        <f t="shared" si="355"/>
        <v>154.06070907421497</v>
      </c>
      <c r="AR1883" s="2">
        <f t="shared" si="356"/>
        <v>-2.1301186875174403</v>
      </c>
      <c r="AS1883" s="2">
        <f t="shared" si="357"/>
        <v>-328.16759541117301</v>
      </c>
    </row>
    <row r="1884" spans="37:45" x14ac:dyDescent="0.3">
      <c r="AK1884" s="78">
        <v>45051.364583333336</v>
      </c>
      <c r="AL1884">
        <v>0.13276330606890099</v>
      </c>
      <c r="AM1884" s="6">
        <v>97.229596529999995</v>
      </c>
      <c r="AN1884" s="2">
        <v>8160</v>
      </c>
      <c r="AO1884" s="7">
        <f t="shared" si="358"/>
        <v>136</v>
      </c>
      <c r="AP1884" s="5">
        <f t="shared" si="354"/>
        <v>18.055809625370536</v>
      </c>
      <c r="AQ1884" s="6">
        <f t="shared" si="355"/>
        <v>153.18594548578753</v>
      </c>
      <c r="AR1884" s="2">
        <f t="shared" si="356"/>
        <v>-2.1301186875174403</v>
      </c>
      <c r="AS1884" s="2">
        <f t="shared" si="357"/>
        <v>-326.30424514430388</v>
      </c>
    </row>
    <row r="1885" spans="37:45" x14ac:dyDescent="0.3">
      <c r="AK1885" s="78">
        <v>45051.375</v>
      </c>
      <c r="AL1885">
        <v>0.14111921429892199</v>
      </c>
      <c r="AM1885" s="6">
        <v>85.762083380000007</v>
      </c>
      <c r="AN1885" s="2">
        <v>8059</v>
      </c>
      <c r="AO1885" s="7">
        <f t="shared" si="358"/>
        <v>134.31666666666666</v>
      </c>
      <c r="AP1885" s="5">
        <f t="shared" si="354"/>
        <v>18.954662467250206</v>
      </c>
      <c r="AQ1885" s="6">
        <f t="shared" si="355"/>
        <v>156.87406303561903</v>
      </c>
      <c r="AR1885" s="2">
        <f t="shared" si="356"/>
        <v>-2.1301186875174403</v>
      </c>
      <c r="AS1885" s="2">
        <f t="shared" si="357"/>
        <v>-334.16037325896099</v>
      </c>
    </row>
    <row r="1886" spans="37:45" x14ac:dyDescent="0.3">
      <c r="AK1886" s="78">
        <v>45051.385416666664</v>
      </c>
      <c r="AL1886">
        <v>0.156319165685053</v>
      </c>
      <c r="AM1886" s="6">
        <v>91.338086169999997</v>
      </c>
      <c r="AN1886" s="2">
        <v>7158</v>
      </c>
      <c r="AO1886" s="7">
        <f t="shared" si="358"/>
        <v>119.3</v>
      </c>
      <c r="AP1886" s="5">
        <f t="shared" si="354"/>
        <v>18.64887646622682</v>
      </c>
      <c r="AQ1886" s="6">
        <f t="shared" si="355"/>
        <v>155.6296017899999</v>
      </c>
      <c r="AR1886" s="2">
        <f t="shared" si="356"/>
        <v>-2.1301186875174403</v>
      </c>
      <c r="AS1886" s="2">
        <f t="shared" si="357"/>
        <v>-331.50952310377647</v>
      </c>
    </row>
    <row r="1887" spans="37:45" x14ac:dyDescent="0.3">
      <c r="AK1887" s="78">
        <v>45051.395833333336</v>
      </c>
      <c r="AL1887">
        <v>0.15063545718775301</v>
      </c>
      <c r="AM1887" s="6">
        <v>90.484855949999996</v>
      </c>
      <c r="AN1887" s="2">
        <v>7793</v>
      </c>
      <c r="AO1887" s="7">
        <f t="shared" si="358"/>
        <v>129.88333333333333</v>
      </c>
      <c r="AP1887" s="5">
        <f t="shared" si="354"/>
        <v>19.565035297735985</v>
      </c>
      <c r="AQ1887" s="6">
        <f t="shared" si="355"/>
        <v>159.32783690050951</v>
      </c>
      <c r="AR1887" s="2">
        <f t="shared" si="356"/>
        <v>-2.1301186875174403</v>
      </c>
      <c r="AS1887" s="2">
        <f t="shared" si="357"/>
        <v>-339.38720282350613</v>
      </c>
    </row>
    <row r="1888" spans="37:45" x14ac:dyDescent="0.3">
      <c r="AK1888" s="78">
        <v>45051.40625</v>
      </c>
      <c r="AL1888">
        <v>0.13559659874588301</v>
      </c>
      <c r="AM1888" s="6">
        <v>89.635700749999998</v>
      </c>
      <c r="AN1888" s="2">
        <v>7671</v>
      </c>
      <c r="AO1888" s="7">
        <f t="shared" si="358"/>
        <v>127.85</v>
      </c>
      <c r="AP1888" s="5">
        <f t="shared" si="354"/>
        <v>17.336025149661143</v>
      </c>
      <c r="AQ1888" s="6">
        <f t="shared" si="355"/>
        <v>150.16446623683063</v>
      </c>
      <c r="AR1888" s="2">
        <f t="shared" si="356"/>
        <v>-2.1301186875174403</v>
      </c>
      <c r="AS1888" s="2">
        <f t="shared" si="357"/>
        <v>-319.86813573215466</v>
      </c>
    </row>
    <row r="1889" spans="37:45" x14ac:dyDescent="0.3">
      <c r="AK1889" s="78">
        <v>45051.416666666664</v>
      </c>
      <c r="AL1889">
        <v>0.12827066685019001</v>
      </c>
      <c r="AM1889" s="6">
        <v>98.474887140000007</v>
      </c>
      <c r="AN1889" s="2">
        <v>8185</v>
      </c>
      <c r="AO1889" s="7">
        <f t="shared" si="358"/>
        <v>136.41666666666666</v>
      </c>
      <c r="AP1889" s="5">
        <f t="shared" si="354"/>
        <v>17.498256802813419</v>
      </c>
      <c r="AQ1889" s="6">
        <f t="shared" si="355"/>
        <v>150.85098119626912</v>
      </c>
      <c r="AR1889" s="2">
        <f t="shared" si="356"/>
        <v>-2.1301186875174403</v>
      </c>
      <c r="AS1889" s="2">
        <f t="shared" si="357"/>
        <v>-321.33049407651481</v>
      </c>
    </row>
    <row r="1890" spans="37:45" x14ac:dyDescent="0.3">
      <c r="AK1890" s="78">
        <v>45051.427083333336</v>
      </c>
      <c r="AL1890">
        <v>0.15519913711835201</v>
      </c>
      <c r="AM1890" s="6">
        <v>93.877037450000003</v>
      </c>
      <c r="AN1890" s="2">
        <v>7265</v>
      </c>
      <c r="AO1890" s="7">
        <f t="shared" si="358"/>
        <v>121.08333333333333</v>
      </c>
      <c r="AP1890" s="5">
        <f t="shared" si="354"/>
        <v>18.792028852747123</v>
      </c>
      <c r="AQ1890" s="6">
        <f t="shared" si="355"/>
        <v>156.21347704989014</v>
      </c>
      <c r="AR1890" s="2">
        <f t="shared" si="356"/>
        <v>-2.1301186875174403</v>
      </c>
      <c r="AS1890" s="2">
        <f t="shared" si="357"/>
        <v>-332.75324670604778</v>
      </c>
    </row>
    <row r="1891" spans="37:45" x14ac:dyDescent="0.3">
      <c r="AK1891" s="78">
        <v>45051.4375</v>
      </c>
      <c r="AL1891">
        <v>0.14084219855380201</v>
      </c>
      <c r="AM1891" s="6">
        <v>95.977802339999997</v>
      </c>
      <c r="AN1891" s="2">
        <v>7445</v>
      </c>
      <c r="AO1891" s="7">
        <f t="shared" si="358"/>
        <v>124.08333333333333</v>
      </c>
      <c r="AP1891" s="5">
        <f t="shared" si="354"/>
        <v>17.476169470550932</v>
      </c>
      <c r="AQ1891" s="6">
        <f t="shared" si="355"/>
        <v>150.75770589521122</v>
      </c>
      <c r="AR1891" s="2">
        <f t="shared" si="356"/>
        <v>-2.1301186875174403</v>
      </c>
      <c r="AS1891" s="2">
        <f t="shared" si="357"/>
        <v>-321.13180661464759</v>
      </c>
    </row>
    <row r="1892" spans="37:45" x14ac:dyDescent="0.3">
      <c r="AK1892" s="78">
        <v>45051.447916666664</v>
      </c>
      <c r="AL1892">
        <v>0.16067723761462799</v>
      </c>
      <c r="AM1892" s="6">
        <v>95.138397370000007</v>
      </c>
      <c r="AN1892" s="2">
        <v>7254</v>
      </c>
      <c r="AO1892" s="7">
        <f t="shared" si="358"/>
        <v>120.9</v>
      </c>
      <c r="AP1892" s="5">
        <f t="shared" si="354"/>
        <v>19.425878027608526</v>
      </c>
      <c r="AQ1892" s="6">
        <f t="shared" si="355"/>
        <v>158.77188491272929</v>
      </c>
      <c r="AR1892" s="2">
        <f t="shared" si="356"/>
        <v>-2.1301186875174403</v>
      </c>
      <c r="AS1892" s="2">
        <f t="shared" si="357"/>
        <v>-338.20295910497299</v>
      </c>
    </row>
    <row r="1893" spans="37:45" x14ac:dyDescent="0.3">
      <c r="AK1893" s="78">
        <v>45051.458333333336</v>
      </c>
      <c r="AL1893">
        <v>0.14271592972723099</v>
      </c>
      <c r="AM1893" s="6">
        <v>97.229596529999995</v>
      </c>
      <c r="AN1893" s="2">
        <v>7256</v>
      </c>
      <c r="AO1893" s="7">
        <f t="shared" si="358"/>
        <v>120.93333333333334</v>
      </c>
      <c r="AP1893" s="5">
        <f t="shared" si="354"/>
        <v>17.259113101679802</v>
      </c>
      <c r="AQ1893" s="6">
        <f t="shared" si="355"/>
        <v>149.83785241127453</v>
      </c>
      <c r="AR1893" s="2">
        <f t="shared" si="356"/>
        <v>-2.1301186875174403</v>
      </c>
      <c r="AS1893" s="2">
        <f t="shared" si="357"/>
        <v>-319.172409518736</v>
      </c>
    </row>
    <row r="1894" spans="37:45" x14ac:dyDescent="0.3">
      <c r="AK1894" s="78">
        <v>45051.46875</v>
      </c>
      <c r="AL1894">
        <v>0.14286416752634201</v>
      </c>
      <c r="AM1894" s="6">
        <v>95.138397370000007</v>
      </c>
      <c r="AN1894" s="2">
        <v>7122</v>
      </c>
      <c r="AO1894" s="7">
        <f t="shared" si="358"/>
        <v>118.7</v>
      </c>
      <c r="AP1894" s="5">
        <f t="shared" si="354"/>
        <v>16.957976685376796</v>
      </c>
      <c r="AQ1894" s="6">
        <f t="shared" si="355"/>
        <v>148.55184739144906</v>
      </c>
      <c r="AR1894" s="2">
        <f t="shared" si="356"/>
        <v>-2.1301186875174403</v>
      </c>
      <c r="AS1894" s="2">
        <f t="shared" si="357"/>
        <v>-316.43306619376455</v>
      </c>
    </row>
    <row r="1895" spans="37:45" x14ac:dyDescent="0.3">
      <c r="AK1895" s="78">
        <v>45051.479166666664</v>
      </c>
      <c r="AL1895">
        <v>0.158177539412897</v>
      </c>
      <c r="AM1895" s="6">
        <v>98.474887140000007</v>
      </c>
      <c r="AN1895" s="2">
        <v>7193</v>
      </c>
      <c r="AO1895" s="7">
        <f t="shared" si="358"/>
        <v>119.88333333333334</v>
      </c>
      <c r="AP1895" s="5">
        <f t="shared" si="354"/>
        <v>18.962850683282802</v>
      </c>
      <c r="AQ1895" s="6">
        <f t="shared" si="355"/>
        <v>156.90724534627694</v>
      </c>
      <c r="AR1895" s="2">
        <f t="shared" si="356"/>
        <v>-2.1301186875174403</v>
      </c>
      <c r="AS1895" s="2">
        <f t="shared" si="357"/>
        <v>-334.2310555189884</v>
      </c>
    </row>
    <row r="1896" spans="37:45" x14ac:dyDescent="0.3">
      <c r="AK1896" s="78">
        <v>45051.489583333336</v>
      </c>
      <c r="AL1896">
        <v>0.14579520575303401</v>
      </c>
      <c r="AM1896" s="6">
        <v>90.915794009999999</v>
      </c>
      <c r="AN1896" s="2">
        <v>7148</v>
      </c>
      <c r="AO1896" s="7">
        <f t="shared" si="358"/>
        <v>119.13333333333334</v>
      </c>
      <c r="AP1896" s="5">
        <f t="shared" si="354"/>
        <v>17.36906884537812</v>
      </c>
      <c r="AQ1896" s="6">
        <f t="shared" si="355"/>
        <v>150.30456209815691</v>
      </c>
      <c r="AR1896" s="2">
        <f t="shared" si="356"/>
        <v>-2.1301186875174403</v>
      </c>
      <c r="AS1896" s="2">
        <f t="shared" si="357"/>
        <v>-320.16655654440962</v>
      </c>
    </row>
    <row r="1897" spans="37:45" x14ac:dyDescent="0.3">
      <c r="AK1897" s="78">
        <v>45051.5</v>
      </c>
      <c r="AL1897">
        <v>0.16121100364999899</v>
      </c>
      <c r="AM1897" s="6">
        <v>101.3564556</v>
      </c>
      <c r="AN1897" s="2">
        <v>6504</v>
      </c>
      <c r="AO1897" s="7">
        <f t="shared" si="358"/>
        <v>108.4</v>
      </c>
      <c r="AP1897" s="5">
        <f t="shared" si="354"/>
        <v>17.47527279565989</v>
      </c>
      <c r="AQ1897" s="6">
        <f t="shared" si="355"/>
        <v>150.75391794666686</v>
      </c>
      <c r="AR1897" s="2">
        <f t="shared" si="356"/>
        <v>-2.1301186875174403</v>
      </c>
      <c r="AS1897" s="2">
        <f t="shared" si="357"/>
        <v>-321.12373783466592</v>
      </c>
    </row>
    <row r="1898" spans="37:45" x14ac:dyDescent="0.3">
      <c r="AK1898" s="78">
        <v>45051.510416666664</v>
      </c>
      <c r="AL1898">
        <v>0.18428154838922201</v>
      </c>
      <c r="AM1898" s="6">
        <v>95.977802339999997</v>
      </c>
      <c r="AN1898" s="2">
        <v>6768</v>
      </c>
      <c r="AO1898" s="7">
        <f t="shared" si="358"/>
        <v>112.8</v>
      </c>
      <c r="AP1898" s="5">
        <f t="shared" si="354"/>
        <v>20.786958658304243</v>
      </c>
      <c r="AQ1898" s="6">
        <f t="shared" si="355"/>
        <v>164.12540925686838</v>
      </c>
      <c r="AR1898" s="2">
        <f t="shared" si="356"/>
        <v>-2.1301186875174403</v>
      </c>
      <c r="AS1898" s="2">
        <f t="shared" si="357"/>
        <v>-349.6066013545032</v>
      </c>
    </row>
    <row r="1899" spans="37:45" x14ac:dyDescent="0.3">
      <c r="AK1899" s="78">
        <v>45051.520833333336</v>
      </c>
      <c r="AL1899">
        <v>0.16846446893769301</v>
      </c>
      <c r="AM1899" s="6">
        <v>101.3564556</v>
      </c>
      <c r="AN1899" s="2">
        <v>6601</v>
      </c>
      <c r="AO1899" s="7">
        <f t="shared" si="358"/>
        <v>110.01666666666667</v>
      </c>
      <c r="AP1899" s="5">
        <f t="shared" si="354"/>
        <v>18.533899324295191</v>
      </c>
      <c r="AQ1899" s="6">
        <f t="shared" si="355"/>
        <v>155.15898662114034</v>
      </c>
      <c r="AR1899" s="2">
        <f t="shared" si="356"/>
        <v>-2.1301186875174403</v>
      </c>
      <c r="AS1899" s="2">
        <f t="shared" si="357"/>
        <v>-330.50705693795953</v>
      </c>
    </row>
    <row r="1900" spans="37:45" x14ac:dyDescent="0.3">
      <c r="AK1900" s="78">
        <v>45051.53125</v>
      </c>
      <c r="AL1900">
        <v>0.15466310447195999</v>
      </c>
      <c r="AM1900" s="6">
        <v>89.635700749999998</v>
      </c>
      <c r="AN1900" s="2">
        <v>7197</v>
      </c>
      <c r="AO1900" s="7">
        <f t="shared" si="358"/>
        <v>119.95</v>
      </c>
      <c r="AP1900" s="5">
        <f t="shared" si="354"/>
        <v>18.5518393814116</v>
      </c>
      <c r="AQ1900" s="6">
        <f t="shared" si="355"/>
        <v>155.23251531298592</v>
      </c>
      <c r="AR1900" s="2">
        <f t="shared" si="356"/>
        <v>-2.1301186875174403</v>
      </c>
      <c r="AS1900" s="2">
        <f t="shared" si="357"/>
        <v>-330.66368177852854</v>
      </c>
    </row>
    <row r="1901" spans="37:45" x14ac:dyDescent="0.3">
      <c r="AK1901" s="78">
        <v>45051.541666666664</v>
      </c>
      <c r="AL1901">
        <v>0.148331764924691</v>
      </c>
      <c r="AM1901" s="6">
        <v>99.714355679999997</v>
      </c>
      <c r="AN1901" s="2">
        <v>7210</v>
      </c>
      <c r="AO1901" s="7">
        <f t="shared" si="358"/>
        <v>120.16666666666667</v>
      </c>
      <c r="AP1901" s="5">
        <f t="shared" si="354"/>
        <v>17.824533751783701</v>
      </c>
      <c r="AQ1901" s="6">
        <f t="shared" si="355"/>
        <v>152.22191973863391</v>
      </c>
      <c r="AR1901" s="2">
        <f t="shared" si="356"/>
        <v>-2.1301186875174403</v>
      </c>
      <c r="AS1901" s="2">
        <f t="shared" si="357"/>
        <v>-324.25075588504399</v>
      </c>
    </row>
    <row r="1902" spans="37:45" x14ac:dyDescent="0.3">
      <c r="AK1902" s="78">
        <v>45051.552083333336</v>
      </c>
      <c r="AL1902">
        <v>0.14538366242649201</v>
      </c>
      <c r="AM1902" s="6">
        <v>86.192545629999998</v>
      </c>
      <c r="AN1902" s="2">
        <v>7224</v>
      </c>
      <c r="AO1902" s="7">
        <f t="shared" si="358"/>
        <v>120.4</v>
      </c>
      <c r="AP1902" s="5">
        <f t="shared" si="354"/>
        <v>17.504192956149637</v>
      </c>
      <c r="AQ1902" s="6">
        <f t="shared" si="355"/>
        <v>150.87603946032263</v>
      </c>
      <c r="AR1902" s="2">
        <f t="shared" si="356"/>
        <v>-2.1301186875174403</v>
      </c>
      <c r="AS1902" s="2">
        <f t="shared" si="357"/>
        <v>-321.38387115305198</v>
      </c>
    </row>
    <row r="1903" spans="37:45" x14ac:dyDescent="0.3">
      <c r="AK1903" s="78">
        <v>45051.5625</v>
      </c>
      <c r="AL1903">
        <v>0.1515513717261</v>
      </c>
      <c r="AM1903" s="6">
        <v>100.5402337</v>
      </c>
      <c r="AN1903" s="2">
        <v>6937</v>
      </c>
      <c r="AO1903" s="7">
        <f t="shared" si="358"/>
        <v>115.61666666666666</v>
      </c>
      <c r="AP1903" s="5">
        <f t="shared" si="354"/>
        <v>17.521864427732595</v>
      </c>
      <c r="AQ1903" s="6">
        <f t="shared" si="355"/>
        <v>150.95061032467106</v>
      </c>
      <c r="AR1903" s="2">
        <f t="shared" si="356"/>
        <v>-2.1301186875174403</v>
      </c>
      <c r="AS1903" s="2">
        <f t="shared" si="357"/>
        <v>-321.54271594474488</v>
      </c>
    </row>
    <row r="1904" spans="37:45" x14ac:dyDescent="0.3">
      <c r="AK1904" s="78">
        <v>45051.572916666664</v>
      </c>
      <c r="AL1904">
        <v>0.136641750778523</v>
      </c>
      <c r="AM1904" s="6">
        <v>93.877037450000003</v>
      </c>
      <c r="AN1904" s="2">
        <v>7126</v>
      </c>
      <c r="AO1904" s="7">
        <f t="shared" si="358"/>
        <v>118.76666666666667</v>
      </c>
      <c r="AP1904" s="5">
        <f t="shared" si="354"/>
        <v>16.228485267462581</v>
      </c>
      <c r="AQ1904" s="6">
        <f t="shared" si="355"/>
        <v>145.38738400231927</v>
      </c>
      <c r="AR1904" s="2">
        <f t="shared" si="356"/>
        <v>-2.1301186875174403</v>
      </c>
      <c r="AS1904" s="2">
        <f t="shared" si="357"/>
        <v>-309.69238359261442</v>
      </c>
    </row>
    <row r="1905" spans="37:45" x14ac:dyDescent="0.3">
      <c r="AK1905" s="78">
        <v>45051.583333333336</v>
      </c>
      <c r="AL1905">
        <v>0.14169541348591599</v>
      </c>
      <c r="AM1905" s="6">
        <v>95.145588619999998</v>
      </c>
      <c r="AN1905" s="2">
        <v>7415</v>
      </c>
      <c r="AO1905" s="7">
        <f t="shared" si="358"/>
        <v>123.58333333333333</v>
      </c>
      <c r="AP1905" s="5">
        <f t="shared" si="354"/>
        <v>17.511191516634451</v>
      </c>
      <c r="AQ1905" s="6">
        <f t="shared" si="355"/>
        <v>150.9055768906162</v>
      </c>
      <c r="AR1905" s="2">
        <f t="shared" si="356"/>
        <v>-2.1301186875174403</v>
      </c>
      <c r="AS1905" s="2">
        <f t="shared" si="357"/>
        <v>-321.44678938530154</v>
      </c>
    </row>
    <row r="1906" spans="37:45" x14ac:dyDescent="0.3">
      <c r="AK1906" s="78">
        <v>45051.59375</v>
      </c>
      <c r="AL1906">
        <v>0.14431582338987001</v>
      </c>
      <c r="AM1906" s="6">
        <v>100.9486689</v>
      </c>
      <c r="AN1906" s="2">
        <v>7090</v>
      </c>
      <c r="AO1906" s="7">
        <f t="shared" si="358"/>
        <v>118.16666666666667</v>
      </c>
      <c r="AP1906" s="5">
        <f t="shared" si="354"/>
        <v>17.053319797236306</v>
      </c>
      <c r="AQ1906" s="6">
        <f t="shared" si="355"/>
        <v>148.96026245522688</v>
      </c>
      <c r="AR1906" s="2">
        <f t="shared" si="356"/>
        <v>-2.1301186875174403</v>
      </c>
      <c r="AS1906" s="2">
        <f t="shared" si="357"/>
        <v>-317.30303875338132</v>
      </c>
    </row>
    <row r="1907" spans="37:45" x14ac:dyDescent="0.3">
      <c r="AK1907" s="78">
        <v>45051.604166666664</v>
      </c>
      <c r="AL1907">
        <v>0.14174258667314199</v>
      </c>
      <c r="AM1907" s="6">
        <v>94.302932269999999</v>
      </c>
      <c r="AN1907" s="2">
        <v>6947</v>
      </c>
      <c r="AO1907" s="7">
        <f t="shared" si="358"/>
        <v>115.78333333333333</v>
      </c>
      <c r="AP1907" s="5">
        <f t="shared" si="354"/>
        <v>16.411429160305289</v>
      </c>
      <c r="AQ1907" s="6">
        <f t="shared" si="355"/>
        <v>146.18768406629204</v>
      </c>
      <c r="AR1907" s="2">
        <f t="shared" si="356"/>
        <v>-2.1301186875174403</v>
      </c>
      <c r="AS1907" s="2">
        <f t="shared" si="357"/>
        <v>-311.39711771450419</v>
      </c>
    </row>
    <row r="1908" spans="37:45" x14ac:dyDescent="0.3">
      <c r="AK1908" s="78">
        <v>45051.614583333336</v>
      </c>
      <c r="AL1908">
        <v>0.14074799830416901</v>
      </c>
      <c r="AM1908" s="6">
        <v>100.5402337</v>
      </c>
      <c r="AN1908" s="2">
        <v>6774</v>
      </c>
      <c r="AO1908" s="7">
        <f t="shared" si="358"/>
        <v>112.9</v>
      </c>
      <c r="AP1908" s="5">
        <f t="shared" si="354"/>
        <v>15.890449008540681</v>
      </c>
      <c r="AQ1908" s="6">
        <f t="shared" si="355"/>
        <v>143.89641516427551</v>
      </c>
      <c r="AR1908" s="2">
        <f t="shared" si="356"/>
        <v>-2.1301186875174403</v>
      </c>
      <c r="AS1908" s="2">
        <f t="shared" si="357"/>
        <v>-306.51644300819123</v>
      </c>
    </row>
    <row r="1909" spans="37:45" x14ac:dyDescent="0.3">
      <c r="AK1909" s="78">
        <v>45051.625</v>
      </c>
      <c r="AL1909">
        <v>0.158566643388413</v>
      </c>
      <c r="AM1909" s="6">
        <v>98.474887140000007</v>
      </c>
      <c r="AN1909" s="2">
        <v>7204</v>
      </c>
      <c r="AO1909" s="7">
        <f t="shared" si="358"/>
        <v>120.06666666666666</v>
      </c>
      <c r="AP1909" s="5">
        <f t="shared" si="354"/>
        <v>19.038568316168789</v>
      </c>
      <c r="AQ1909" s="6">
        <f t="shared" si="355"/>
        <v>157.21374127386179</v>
      </c>
      <c r="AR1909" s="2">
        <f t="shared" si="356"/>
        <v>-2.1301186875174403</v>
      </c>
      <c r="AS1909" s="2">
        <f t="shared" si="357"/>
        <v>-334.88392822198489</v>
      </c>
    </row>
    <row r="1910" spans="37:45" x14ac:dyDescent="0.3">
      <c r="AK1910" s="78">
        <v>45051.635416666664</v>
      </c>
      <c r="AL1910">
        <v>0.155236628702071</v>
      </c>
      <c r="AM1910" s="6">
        <v>102.5822131</v>
      </c>
      <c r="AN1910" s="2">
        <v>7063</v>
      </c>
      <c r="AO1910" s="7">
        <f t="shared" si="358"/>
        <v>117.71666666666667</v>
      </c>
      <c r="AP1910" s="5">
        <f t="shared" si="354"/>
        <v>18.273938475378792</v>
      </c>
      <c r="AQ1910" s="6">
        <f t="shared" si="355"/>
        <v>154.08941297312188</v>
      </c>
      <c r="AR1910" s="2">
        <f t="shared" si="356"/>
        <v>-2.1301186875174403</v>
      </c>
      <c r="AS1910" s="2">
        <f t="shared" si="357"/>
        <v>-328.22873812263924</v>
      </c>
    </row>
    <row r="1911" spans="37:45" x14ac:dyDescent="0.3">
      <c r="AK1911" s="78">
        <v>45051.645833333336</v>
      </c>
      <c r="AL1911">
        <v>0.14599853962135001</v>
      </c>
      <c r="AM1911" s="6">
        <v>101.7628931</v>
      </c>
      <c r="AN1911" s="2">
        <v>7012</v>
      </c>
      <c r="AO1911" s="7">
        <f t="shared" si="358"/>
        <v>116.86666666666666</v>
      </c>
      <c r="AP1911" s="5">
        <f t="shared" si="354"/>
        <v>17.062362663748438</v>
      </c>
      <c r="AQ1911" s="6">
        <f t="shared" si="355"/>
        <v>148.99893822522051</v>
      </c>
      <c r="AR1911" s="2">
        <f t="shared" si="356"/>
        <v>-2.1301186875174403</v>
      </c>
      <c r="AS1911" s="2">
        <f t="shared" si="357"/>
        <v>-317.38542273379886</v>
      </c>
    </row>
    <row r="1912" spans="37:45" x14ac:dyDescent="0.3">
      <c r="AK1912" s="78">
        <v>45051.65625</v>
      </c>
      <c r="AL1912">
        <v>0.12823704876511899</v>
      </c>
      <c r="AM1912" s="6">
        <v>93.031286489999999</v>
      </c>
      <c r="AN1912" s="2">
        <v>7407</v>
      </c>
      <c r="AO1912" s="7">
        <f t="shared" si="358"/>
        <v>123.45</v>
      </c>
      <c r="AP1912" s="5">
        <f t="shared" si="354"/>
        <v>15.83086367005394</v>
      </c>
      <c r="AQ1912" s="6">
        <f t="shared" si="355"/>
        <v>143.63193115550672</v>
      </c>
      <c r="AR1912" s="2">
        <f t="shared" si="356"/>
        <v>-2.1301186875174403</v>
      </c>
      <c r="AS1912" s="2">
        <f t="shared" si="357"/>
        <v>-305.9530606785633</v>
      </c>
    </row>
    <row r="1913" spans="37:45" x14ac:dyDescent="0.3">
      <c r="AK1913" s="78">
        <v>45051.666666666664</v>
      </c>
      <c r="AL1913">
        <v>0.135437704573241</v>
      </c>
      <c r="AM1913" s="6">
        <v>99.297599469999994</v>
      </c>
      <c r="AN1913" s="2">
        <v>7830</v>
      </c>
      <c r="AO1913" s="7">
        <f t="shared" si="358"/>
        <v>130.5</v>
      </c>
      <c r="AP1913" s="5">
        <f t="shared" si="354"/>
        <v>17.67462044680795</v>
      </c>
      <c r="AQ1913" s="6">
        <f t="shared" si="355"/>
        <v>151.59362383421723</v>
      </c>
      <c r="AR1913" s="2">
        <f t="shared" si="356"/>
        <v>-2.1301186875174403</v>
      </c>
      <c r="AS1913" s="2">
        <f t="shared" si="357"/>
        <v>-322.91241103775536</v>
      </c>
    </row>
    <row r="1914" spans="37:45" x14ac:dyDescent="0.3">
      <c r="AK1914" s="78">
        <v>45051.677083333336</v>
      </c>
      <c r="AL1914">
        <v>0.13673814109316201</v>
      </c>
      <c r="AM1914" s="6">
        <v>106.2245245</v>
      </c>
      <c r="AN1914" s="2">
        <v>7233</v>
      </c>
      <c r="AO1914" s="7">
        <f t="shared" si="358"/>
        <v>120.55</v>
      </c>
      <c r="AP1914" s="5">
        <f t="shared" si="354"/>
        <v>16.483782908780679</v>
      </c>
      <c r="AQ1914" s="6">
        <f t="shared" si="355"/>
        <v>146.50294328664171</v>
      </c>
      <c r="AR1914" s="2">
        <f t="shared" si="356"/>
        <v>-2.1301186875174403</v>
      </c>
      <c r="AS1914" s="2">
        <f t="shared" si="357"/>
        <v>-312.06865727118321</v>
      </c>
    </row>
    <row r="1915" spans="37:45" x14ac:dyDescent="0.3">
      <c r="AK1915" s="78">
        <v>45051.6875</v>
      </c>
      <c r="AL1915">
        <v>0.13251296705056501</v>
      </c>
      <c r="AM1915" s="6">
        <v>100.9486689</v>
      </c>
      <c r="AN1915" s="2">
        <v>7294</v>
      </c>
      <c r="AO1915" s="7">
        <f t="shared" si="358"/>
        <v>121.56666666666666</v>
      </c>
      <c r="AP1915" s="5">
        <f t="shared" si="354"/>
        <v>16.109159694447019</v>
      </c>
      <c r="AQ1915" s="6">
        <f t="shared" si="355"/>
        <v>144.86290343583306</v>
      </c>
      <c r="AR1915" s="2">
        <f t="shared" si="356"/>
        <v>-2.1301186875174403</v>
      </c>
      <c r="AS1915" s="2">
        <f>AQ1915*AR1915</f>
        <v>-308.57517773670241</v>
      </c>
    </row>
    <row r="1916" spans="37:45" x14ac:dyDescent="0.3">
      <c r="AK1916" s="78">
        <v>45051.697916666664</v>
      </c>
      <c r="AL1916">
        <v>0.12615479764072501</v>
      </c>
      <c r="AM1916" s="6">
        <v>105.0166174</v>
      </c>
      <c r="AN1916" s="2">
        <v>7618</v>
      </c>
      <c r="AO1916" s="7">
        <f t="shared" si="358"/>
        <v>126.96666666666667</v>
      </c>
      <c r="AP1916" s="5">
        <f t="shared" si="354"/>
        <v>16.01745414045072</v>
      </c>
      <c r="AQ1916" s="6">
        <f t="shared" si="355"/>
        <v>144.45847450871864</v>
      </c>
      <c r="AR1916" s="2">
        <f t="shared" si="356"/>
        <v>-2.1301186875174403</v>
      </c>
      <c r="AS1916" s="2">
        <f t="shared" si="357"/>
        <v>-307.71369612128336</v>
      </c>
    </row>
    <row r="1917" spans="37:45" x14ac:dyDescent="0.3">
      <c r="AK1917" s="78">
        <v>45051.708333333336</v>
      </c>
      <c r="AL1917">
        <v>0.12012943497820899</v>
      </c>
      <c r="AM1917" s="6">
        <v>106.2245245</v>
      </c>
      <c r="AN1917" s="2">
        <v>7621</v>
      </c>
      <c r="AO1917" s="7">
        <f t="shared" si="358"/>
        <v>127.01666666666667</v>
      </c>
      <c r="AP1917" s="5">
        <f t="shared" si="354"/>
        <v>15.258440399482179</v>
      </c>
      <c r="AQ1917" s="6">
        <f t="shared" si="355"/>
        <v>141.06475243083025</v>
      </c>
      <c r="AR1917" s="2">
        <f t="shared" si="356"/>
        <v>-2.1301186875174403</v>
      </c>
      <c r="AS1917" s="2">
        <f t="shared" si="357"/>
        <v>-300.4846653029328</v>
      </c>
    </row>
    <row r="1918" spans="37:45" x14ac:dyDescent="0.3">
      <c r="AK1918" s="78">
        <v>45051.71875</v>
      </c>
      <c r="AL1918">
        <v>0.13219233960583199</v>
      </c>
      <c r="AM1918" s="6">
        <v>102.9873886</v>
      </c>
      <c r="AN1918" s="2">
        <v>7722</v>
      </c>
      <c r="AO1918" s="7">
        <f t="shared" si="358"/>
        <v>128.69999999999999</v>
      </c>
      <c r="AP1918" s="5">
        <f t="shared" si="354"/>
        <v>17.013154107270577</v>
      </c>
      <c r="AQ1918" s="6">
        <f t="shared" si="355"/>
        <v>148.78834971974416</v>
      </c>
      <c r="AR1918" s="2">
        <f t="shared" si="356"/>
        <v>-2.1301186875174403</v>
      </c>
      <c r="AS1918" s="2">
        <f t="shared" si="357"/>
        <v>-316.93684422290733</v>
      </c>
    </row>
    <row r="1919" spans="37:45" x14ac:dyDescent="0.3">
      <c r="AK1919" s="78">
        <v>45051.729166666664</v>
      </c>
      <c r="AL1919">
        <v>0.13173993116965399</v>
      </c>
      <c r="AM1919" s="6">
        <v>98.474887140000007</v>
      </c>
      <c r="AN1919" s="2">
        <v>8148</v>
      </c>
      <c r="AO1919" s="7">
        <f t="shared" si="358"/>
        <v>135.80000000000001</v>
      </c>
      <c r="AP1919" s="5">
        <f t="shared" si="354"/>
        <v>17.890282652839012</v>
      </c>
      <c r="AQ1919" s="6">
        <f t="shared" si="355"/>
        <v>152.49662655838043</v>
      </c>
      <c r="AR1919" s="2">
        <f>IF((AM1919-$AP$1)/($AN$1-$AP$1)&lt;0, 0, IF((AA1919-$AP$1)/($AN$1-$AP$1)&gt;1, 1, (AA1919-$AP$1)/($AN$1-$AP$1)))</f>
        <v>-2.1301186875174403</v>
      </c>
      <c r="AS1919" s="2">
        <f t="shared" si="357"/>
        <v>-324.83591401537456</v>
      </c>
    </row>
    <row r="1920" spans="37:45" x14ac:dyDescent="0.3">
      <c r="AK1920" s="78">
        <v>45051.739583333336</v>
      </c>
      <c r="AL1920">
        <v>0.48118745487702203</v>
      </c>
      <c r="AM1920" s="6">
        <v>105.0166174</v>
      </c>
      <c r="AN1920" s="2">
        <v>6242</v>
      </c>
      <c r="AO1920" s="7">
        <f t="shared" si="358"/>
        <v>104.03333333333333</v>
      </c>
      <c r="AP1920" s="5">
        <f t="shared" si="354"/>
        <v>50.059534889039526</v>
      </c>
      <c r="AQ1920" s="6">
        <f t="shared" si="355"/>
        <v>252.40170462474771</v>
      </c>
      <c r="AR1920" s="2">
        <f t="shared" si="356"/>
        <v>-2.1301186875174403</v>
      </c>
      <c r="AS1920" s="2">
        <f t="shared" si="357"/>
        <v>-537.64558778243224</v>
      </c>
    </row>
  </sheetData>
  <mergeCells count="8">
    <mergeCell ref="AH1:AI1"/>
    <mergeCell ref="AR1:AS1"/>
    <mergeCell ref="AT1:AU1"/>
    <mergeCell ref="H1:I1"/>
    <mergeCell ref="J1:K1"/>
    <mergeCell ref="T1:U1"/>
    <mergeCell ref="V1:W1"/>
    <mergeCell ref="AF1:A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max results</vt:lpstr>
      <vt:lpstr>storm time series</vt:lpstr>
      <vt:lpstr>spring time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2025-11-24T03:32:20Z</dcterms:modified>
</cp:coreProperties>
</file>