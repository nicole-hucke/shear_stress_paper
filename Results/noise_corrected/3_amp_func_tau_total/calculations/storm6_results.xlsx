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3_amp_func_tau_total\calculations\"/>
    </mc:Choice>
  </mc:AlternateContent>
  <xr:revisionPtr revIDLastSave="0" documentId="13_ncr:1_{2E3366DA-E0C0-4C6F-98F7-0577766CD117}" xr6:coauthVersionLast="47" xr6:coauthVersionMax="47" xr10:uidLastSave="{00000000-0000-0000-0000-000000000000}"/>
  <bookViews>
    <workbookView xWindow="-120" yWindow="-120" windowWidth="29040" windowHeight="15720" xr2:uid="{AEBCD194-AFA8-49EE-8674-E5A4097E31D1}"/>
  </bookViews>
  <sheets>
    <sheet name="storm6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C63" i="1"/>
  <c r="B62" i="1"/>
  <c r="C62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B36" i="1"/>
  <c r="B37" i="1"/>
  <c r="B38" i="1"/>
  <c r="B39" i="1"/>
  <c r="B40" i="1"/>
  <c r="B41" i="1"/>
  <c r="B42" i="1"/>
  <c r="B43" i="1"/>
  <c r="B44" i="1"/>
  <c r="U48" i="1" s="1"/>
  <c r="B45" i="1"/>
  <c r="V48" i="1" s="1"/>
  <c r="B46" i="1"/>
  <c r="W48" i="1" s="1"/>
  <c r="B47" i="1"/>
  <c r="U49" i="1" s="1"/>
  <c r="B48" i="1"/>
  <c r="V49" i="1" s="1"/>
  <c r="B49" i="1"/>
  <c r="W49" i="1" s="1"/>
  <c r="B50" i="1"/>
  <c r="U50" i="1" s="1"/>
  <c r="B51" i="1"/>
  <c r="V50" i="1" s="1"/>
  <c r="B52" i="1"/>
  <c r="W50" i="1" s="1"/>
  <c r="B53" i="1"/>
  <c r="U51" i="1" s="1"/>
  <c r="B54" i="1"/>
  <c r="V51" i="1" s="1"/>
  <c r="B55" i="1"/>
  <c r="W51" i="1" s="1"/>
  <c r="B56" i="1"/>
  <c r="U52" i="1" s="1"/>
  <c r="B57" i="1"/>
  <c r="V52" i="1" s="1"/>
  <c r="B58" i="1"/>
  <c r="W52" i="1" s="1"/>
  <c r="B59" i="1"/>
  <c r="U53" i="1" s="1"/>
  <c r="B60" i="1"/>
  <c r="V53" i="1" s="1"/>
  <c r="B61" i="1"/>
  <c r="W53" i="1" s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C35" i="1"/>
  <c r="A35" i="1"/>
</calcChain>
</file>

<file path=xl/sharedStrings.xml><?xml version="1.0" encoding="utf-8"?>
<sst xmlns="http://schemas.openxmlformats.org/spreadsheetml/2006/main" count="66" uniqueCount="46">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</sst>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storm6_results!$F$35:$F$131</c:f>
              <c:numCache>
                <c:formatCode>0.00E+00</c:formatCode>
                <c:ptCount val="97"/>
                <c:pt idx="0">
                  <c:v>5.0691721655091601E-5</c:v>
                </c:pt>
                <c:pt idx="1">
                  <c:v>9.9686341089394895E-5</c:v>
                </c:pt>
                <c:pt idx="2">
                  <c:v>6.8237659920054397E-5</c:v>
                </c:pt>
                <c:pt idx="3" formatCode="General">
                  <c:v>1.09203843631265E-4</c:v>
                </c:pt>
                <c:pt idx="4">
                  <c:v>9.0036518269164296E-5</c:v>
                </c:pt>
                <c:pt idx="5">
                  <c:v>9.8106794777546699E-5</c:v>
                </c:pt>
                <c:pt idx="6">
                  <c:v>6.9139165871832494E-5</c:v>
                </c:pt>
                <c:pt idx="7">
                  <c:v>8.48637266927575E-5</c:v>
                </c:pt>
                <c:pt idx="8">
                  <c:v>8.7070484746424294E-5</c:v>
                </c:pt>
                <c:pt idx="9">
                  <c:v>6.4040581612375994E-5</c:v>
                </c:pt>
                <c:pt idx="10">
                  <c:v>5.9214404192200901E-5</c:v>
                </c:pt>
                <c:pt idx="11">
                  <c:v>7.0010968011638894E-5</c:v>
                </c:pt>
                <c:pt idx="12">
                  <c:v>4.7570484897430301E-5</c:v>
                </c:pt>
                <c:pt idx="13">
                  <c:v>5.97317410910608E-5</c:v>
                </c:pt>
                <c:pt idx="14">
                  <c:v>8.3287171949620494E-5</c:v>
                </c:pt>
                <c:pt idx="15">
                  <c:v>7.8319645853931595E-5</c:v>
                </c:pt>
                <c:pt idx="16">
                  <c:v>4.8232823606863999E-5</c:v>
                </c:pt>
                <c:pt idx="17">
                  <c:v>8.2750667650959101E-5</c:v>
                </c:pt>
                <c:pt idx="18">
                  <c:v>6.3021949101477997E-5</c:v>
                </c:pt>
                <c:pt idx="19">
                  <c:v>7.7859318493952905E-5</c:v>
                </c:pt>
                <c:pt idx="20">
                  <c:v>6.6337651116805897E-5</c:v>
                </c:pt>
                <c:pt idx="21">
                  <c:v>9.9908645245437098E-5</c:v>
                </c:pt>
                <c:pt idx="22" formatCode="General">
                  <c:v>1.0314020748427501E-4</c:v>
                </c:pt>
                <c:pt idx="23">
                  <c:v>7.8089709243968098E-5</c:v>
                </c:pt>
                <c:pt idx="24">
                  <c:v>6.8926071100552702E-5</c:v>
                </c:pt>
                <c:pt idx="25">
                  <c:v>4.70503573174607E-5</c:v>
                </c:pt>
                <c:pt idx="26">
                  <c:v>8.0691828374749794E-5</c:v>
                </c:pt>
                <c:pt idx="27">
                  <c:v>7.0934662461579701E-5</c:v>
                </c:pt>
                <c:pt idx="28">
                  <c:v>6.3194242990232405E-5</c:v>
                </c:pt>
                <c:pt idx="29">
                  <c:v>4.9860702577643999E-5</c:v>
                </c:pt>
                <c:pt idx="30">
                  <c:v>8.2558631995984102E-5</c:v>
                </c:pt>
                <c:pt idx="31" formatCode="General">
                  <c:v>1.1782946928464E-4</c:v>
                </c:pt>
                <c:pt idx="32">
                  <c:v>7.6335054428668299E-5</c:v>
                </c:pt>
                <c:pt idx="33" formatCode="General">
                  <c:v>1.04003627224063E-4</c:v>
                </c:pt>
                <c:pt idx="34">
                  <c:v>6.0318516552764498E-5</c:v>
                </c:pt>
                <c:pt idx="35">
                  <c:v>7.4465850434088994E-5</c:v>
                </c:pt>
                <c:pt idx="36">
                  <c:v>5.5624887112459603E-5</c:v>
                </c:pt>
                <c:pt idx="37">
                  <c:v>9.2878768676953497E-5</c:v>
                </c:pt>
                <c:pt idx="38">
                  <c:v>8.0155462029345603E-5</c:v>
                </c:pt>
                <c:pt idx="39">
                  <c:v>4.6775577045438402E-5</c:v>
                </c:pt>
                <c:pt idx="40">
                  <c:v>7.7195678547877699E-5</c:v>
                </c:pt>
                <c:pt idx="41">
                  <c:v>7.6208476401090099E-5</c:v>
                </c:pt>
                <c:pt idx="42">
                  <c:v>8.1031194499245896E-5</c:v>
                </c:pt>
                <c:pt idx="43" formatCode="General">
                  <c:v>1.02753296976993E-4</c:v>
                </c:pt>
                <c:pt idx="44" formatCode="General">
                  <c:v>1.0582961826797101E-4</c:v>
                </c:pt>
                <c:pt idx="45">
                  <c:v>6.1615479450457104E-5</c:v>
                </c:pt>
                <c:pt idx="46">
                  <c:v>6.0748241115802998E-5</c:v>
                </c:pt>
                <c:pt idx="47">
                  <c:v>9.8966948384614101E-5</c:v>
                </c:pt>
                <c:pt idx="48">
                  <c:v>7.0484377296628007E-5</c:v>
                </c:pt>
                <c:pt idx="49" formatCode="General">
                  <c:v>1.9432607076610799E-3</c:v>
                </c:pt>
                <c:pt idx="50" formatCode="General">
                  <c:v>8.6461963499705002E-4</c:v>
                </c:pt>
                <c:pt idx="51" formatCode="General">
                  <c:v>8.6391167244406005E-4</c:v>
                </c:pt>
                <c:pt idx="52" formatCode="General">
                  <c:v>7.6967992405856003E-4</c:v>
                </c:pt>
                <c:pt idx="53" formatCode="General">
                  <c:v>5.7266065515786699E-4</c:v>
                </c:pt>
                <c:pt idx="54" formatCode="General">
                  <c:v>1.09976617539475E-3</c:v>
                </c:pt>
                <c:pt idx="55" formatCode="General">
                  <c:v>6.2688763059818003E-4</c:v>
                </c:pt>
                <c:pt idx="56" formatCode="General">
                  <c:v>6.7736136604672897E-4</c:v>
                </c:pt>
                <c:pt idx="57" formatCode="General">
                  <c:v>7.1868844666659595E-4</c:v>
                </c:pt>
                <c:pt idx="58" formatCode="General">
                  <c:v>8.66820174485512E-4</c:v>
                </c:pt>
                <c:pt idx="59" formatCode="General">
                  <c:v>5.7027367492868796E-4</c:v>
                </c:pt>
                <c:pt idx="60" formatCode="General">
                  <c:v>3.9348604717543502E-4</c:v>
                </c:pt>
                <c:pt idx="61" formatCode="General">
                  <c:v>3.34416123356494E-4</c:v>
                </c:pt>
                <c:pt idx="62" formatCode="General">
                  <c:v>4.5749830302447902E-4</c:v>
                </c:pt>
                <c:pt idx="63" formatCode="General">
                  <c:v>3.5015488556746998E-4</c:v>
                </c:pt>
                <c:pt idx="64" formatCode="General">
                  <c:v>1.98798331313193E-4</c:v>
                </c:pt>
                <c:pt idx="65" formatCode="General">
                  <c:v>1.83478949576782E-4</c:v>
                </c:pt>
                <c:pt idx="66" formatCode="General">
                  <c:v>2.2529625637978499E-4</c:v>
                </c:pt>
                <c:pt idx="67" formatCode="General">
                  <c:v>1.9762282589284001E-4</c:v>
                </c:pt>
                <c:pt idx="68" formatCode="General">
                  <c:v>1.87294254900857E-4</c:v>
                </c:pt>
                <c:pt idx="69" formatCode="General">
                  <c:v>1.8352120469713901E-4</c:v>
                </c:pt>
                <c:pt idx="70">
                  <c:v>9.9201093177123204E-5</c:v>
                </c:pt>
                <c:pt idx="71" formatCode="General">
                  <c:v>1.12456070915174E-4</c:v>
                </c:pt>
                <c:pt idx="72">
                  <c:v>9.5037421842474206E-5</c:v>
                </c:pt>
                <c:pt idx="73" formatCode="General">
                  <c:v>1.2994406168143901E-4</c:v>
                </c:pt>
                <c:pt idx="74" formatCode="General">
                  <c:v>1.7197606627985301E-4</c:v>
                </c:pt>
                <c:pt idx="75" formatCode="General">
                  <c:v>1.18733685270813E-4</c:v>
                </c:pt>
                <c:pt idx="76" formatCode="General">
                  <c:v>1.4413094449504301E-4</c:v>
                </c:pt>
                <c:pt idx="77" formatCode="General">
                  <c:v>1.86784011764744E-4</c:v>
                </c:pt>
                <c:pt idx="78" formatCode="General">
                  <c:v>1.2831328194599901E-4</c:v>
                </c:pt>
                <c:pt idx="79">
                  <c:v>8.3894518802155702E-5</c:v>
                </c:pt>
                <c:pt idx="80" formatCode="General">
                  <c:v>1.9139567448755101E-4</c:v>
                </c:pt>
                <c:pt idx="81" formatCode="General">
                  <c:v>1.07471354713044E-4</c:v>
                </c:pt>
                <c:pt idx="82" formatCode="General">
                  <c:v>1.18914444907028E-4</c:v>
                </c:pt>
                <c:pt idx="83" formatCode="General">
                  <c:v>1.32996093406393E-4</c:v>
                </c:pt>
                <c:pt idx="84" formatCode="General">
                  <c:v>1.1043057320819099E-4</c:v>
                </c:pt>
                <c:pt idx="85" formatCode="General">
                  <c:v>1.0030931751979901E-4</c:v>
                </c:pt>
                <c:pt idx="86">
                  <c:v>9.6731958808524105E-5</c:v>
                </c:pt>
                <c:pt idx="87">
                  <c:v>8.9477967642736701E-5</c:v>
                </c:pt>
                <c:pt idx="88" formatCode="General">
                  <c:v>1.1401743403982E-4</c:v>
                </c:pt>
                <c:pt idx="89">
                  <c:v>8.7478133658183999E-5</c:v>
                </c:pt>
                <c:pt idx="90">
                  <c:v>7.44588929248996E-5</c:v>
                </c:pt>
                <c:pt idx="91" formatCode="General">
                  <c:v>1.16849943346382E-4</c:v>
                </c:pt>
                <c:pt idx="92" formatCode="General">
                  <c:v>1.10472356010085E-4</c:v>
                </c:pt>
                <c:pt idx="93">
                  <c:v>7.8195666254724696E-5</c:v>
                </c:pt>
                <c:pt idx="94" formatCode="General">
                  <c:v>1.062028507808E-4</c:v>
                </c:pt>
                <c:pt idx="95" formatCode="General">
                  <c:v>1.11944997552033E-4</c:v>
                </c:pt>
                <c:pt idx="96">
                  <c:v>8.0335968494348706E-5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A-4011-A5EC-683C6DEC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storm6_results!$G$35:$G$131</c:f>
              <c:numCache>
                <c:formatCode>0.00E+00</c:formatCode>
                <c:ptCount val="97"/>
                <c:pt idx="0">
                  <c:v>3.0801303341743101E-5</c:v>
                </c:pt>
                <c:pt idx="1">
                  <c:v>6.8378041080592095E-5</c:v>
                </c:pt>
                <c:pt idx="2">
                  <c:v>4.6798846464567697E-5</c:v>
                </c:pt>
                <c:pt idx="3">
                  <c:v>5.5567601601878101E-5</c:v>
                </c:pt>
                <c:pt idx="4">
                  <c:v>5.4873987754864603E-5</c:v>
                </c:pt>
                <c:pt idx="5">
                  <c:v>6.2963223216172597E-5</c:v>
                </c:pt>
                <c:pt idx="6">
                  <c:v>4.61181387937958E-5</c:v>
                </c:pt>
                <c:pt idx="7">
                  <c:v>5.8657333605605303E-5</c:v>
                </c:pt>
                <c:pt idx="8">
                  <c:v>5.6631927306067003E-5</c:v>
                </c:pt>
                <c:pt idx="9">
                  <c:v>4.0889229127116898E-5</c:v>
                </c:pt>
                <c:pt idx="10">
                  <c:v>4.1365651327473097E-5</c:v>
                </c:pt>
                <c:pt idx="11">
                  <c:v>4.1221420419322E-5</c:v>
                </c:pt>
                <c:pt idx="12">
                  <c:v>3.4182628206501202E-5</c:v>
                </c:pt>
                <c:pt idx="13">
                  <c:v>3.4373123039430997E-5</c:v>
                </c:pt>
                <c:pt idx="14">
                  <c:v>5.3895535923586303E-5</c:v>
                </c:pt>
                <c:pt idx="15">
                  <c:v>4.7554248222713901E-5</c:v>
                </c:pt>
                <c:pt idx="16">
                  <c:v>2.69561485481695E-5</c:v>
                </c:pt>
                <c:pt idx="17">
                  <c:v>5.6765774633691003E-5</c:v>
                </c:pt>
                <c:pt idx="18">
                  <c:v>4.0643025013500098E-5</c:v>
                </c:pt>
                <c:pt idx="19">
                  <c:v>4.6695075969767098E-5</c:v>
                </c:pt>
                <c:pt idx="20">
                  <c:v>4.68414095348317E-5</c:v>
                </c:pt>
                <c:pt idx="21">
                  <c:v>6.1014607247193802E-5</c:v>
                </c:pt>
                <c:pt idx="22">
                  <c:v>6.7463705999933497E-5</c:v>
                </c:pt>
                <c:pt idx="23">
                  <c:v>5.5178358433739801E-5</c:v>
                </c:pt>
                <c:pt idx="24">
                  <c:v>3.8312592014988202E-5</c:v>
                </c:pt>
                <c:pt idx="25">
                  <c:v>3.2473475950757903E-5</c:v>
                </c:pt>
                <c:pt idx="26">
                  <c:v>4.8603179147420601E-5</c:v>
                </c:pt>
                <c:pt idx="27">
                  <c:v>4.6614039287792303E-5</c:v>
                </c:pt>
                <c:pt idx="28">
                  <c:v>3.3744010983035703E-5</c:v>
                </c:pt>
                <c:pt idx="29">
                  <c:v>2.8760485219969299E-5</c:v>
                </c:pt>
                <c:pt idx="30">
                  <c:v>3.8997284638807498E-5</c:v>
                </c:pt>
                <c:pt idx="31">
                  <c:v>6.7972588958695906E-5</c:v>
                </c:pt>
                <c:pt idx="32">
                  <c:v>5.0085251784905702E-5</c:v>
                </c:pt>
                <c:pt idx="33">
                  <c:v>6.3814181274023105E-5</c:v>
                </c:pt>
                <c:pt idx="34">
                  <c:v>3.6188895027418302E-5</c:v>
                </c:pt>
                <c:pt idx="35">
                  <c:v>4.5450598174595299E-5</c:v>
                </c:pt>
                <c:pt idx="36">
                  <c:v>3.5710489986512297E-5</c:v>
                </c:pt>
                <c:pt idx="37">
                  <c:v>6.1954577519696897E-5</c:v>
                </c:pt>
                <c:pt idx="38">
                  <c:v>4.7944292598763903E-5</c:v>
                </c:pt>
                <c:pt idx="39">
                  <c:v>3.2617780222498299E-5</c:v>
                </c:pt>
                <c:pt idx="40">
                  <c:v>4.7248158185876499E-5</c:v>
                </c:pt>
                <c:pt idx="41">
                  <c:v>4.7906485316433598E-5</c:v>
                </c:pt>
                <c:pt idx="42">
                  <c:v>6.2012512117525797E-5</c:v>
                </c:pt>
                <c:pt idx="43">
                  <c:v>6.4873207413121902E-5</c:v>
                </c:pt>
                <c:pt idx="44">
                  <c:v>6.6999898619235894E-5</c:v>
                </c:pt>
                <c:pt idx="45">
                  <c:v>4.4886259386219403E-5</c:v>
                </c:pt>
                <c:pt idx="46">
                  <c:v>4.5335175310381797E-5</c:v>
                </c:pt>
                <c:pt idx="47">
                  <c:v>6.5246368962598895E-5</c:v>
                </c:pt>
                <c:pt idx="48">
                  <c:v>4.1540198297949803E-5</c:v>
                </c:pt>
                <c:pt idx="49" formatCode="General">
                  <c:v>1.2316532423362E-3</c:v>
                </c:pt>
                <c:pt idx="50" formatCode="General">
                  <c:v>6.1662583103984999E-4</c:v>
                </c:pt>
                <c:pt idx="51" formatCode="General">
                  <c:v>5.2763668770102097E-4</c:v>
                </c:pt>
                <c:pt idx="52" formatCode="General">
                  <c:v>4.9260103791728396E-4</c:v>
                </c:pt>
                <c:pt idx="53" formatCode="General">
                  <c:v>3.9071186236511402E-4</c:v>
                </c:pt>
                <c:pt idx="54" formatCode="General">
                  <c:v>8.7106581635359602E-4</c:v>
                </c:pt>
                <c:pt idx="55" formatCode="General">
                  <c:v>4.1350023792049903E-4</c:v>
                </c:pt>
                <c:pt idx="56" formatCode="General">
                  <c:v>5.18960381787518E-4</c:v>
                </c:pt>
                <c:pt idx="57" formatCode="General">
                  <c:v>4.9184958594405298E-4</c:v>
                </c:pt>
                <c:pt idx="58" formatCode="General">
                  <c:v>6.5421861750815304E-4</c:v>
                </c:pt>
                <c:pt idx="59" formatCode="General">
                  <c:v>4.22312683061251E-4</c:v>
                </c:pt>
                <c:pt idx="60" formatCode="General">
                  <c:v>2.7185283677414498E-4</c:v>
                </c:pt>
                <c:pt idx="61" formatCode="General">
                  <c:v>2.2770152235035499E-4</c:v>
                </c:pt>
                <c:pt idx="62" formatCode="General">
                  <c:v>3.3061521450324002E-4</c:v>
                </c:pt>
                <c:pt idx="63" formatCode="General">
                  <c:v>2.23187063716479E-4</c:v>
                </c:pt>
                <c:pt idx="64" formatCode="General">
                  <c:v>1.3896525437660001E-4</c:v>
                </c:pt>
                <c:pt idx="65" formatCode="General">
                  <c:v>1.06357360582271E-4</c:v>
                </c:pt>
                <c:pt idx="66" formatCode="General">
                  <c:v>1.60535377417131E-4</c:v>
                </c:pt>
                <c:pt idx="67" formatCode="General">
                  <c:v>1.3462750356277699E-4</c:v>
                </c:pt>
                <c:pt idx="68" formatCode="General">
                  <c:v>1.3156389653597899E-4</c:v>
                </c:pt>
                <c:pt idx="69" formatCode="General">
                  <c:v>1.1605587191745301E-4</c:v>
                </c:pt>
                <c:pt idx="70">
                  <c:v>6.9915170987474001E-5</c:v>
                </c:pt>
                <c:pt idx="71">
                  <c:v>7.9127432152995399E-5</c:v>
                </c:pt>
                <c:pt idx="72">
                  <c:v>6.6030122245106795E-5</c:v>
                </c:pt>
                <c:pt idx="73">
                  <c:v>8.6404567752780101E-5</c:v>
                </c:pt>
                <c:pt idx="74" formatCode="General">
                  <c:v>1.10691897387962E-4</c:v>
                </c:pt>
                <c:pt idx="75">
                  <c:v>9.0058993780700903E-5</c:v>
                </c:pt>
                <c:pt idx="76" formatCode="General">
                  <c:v>1.0111498633297099E-4</c:v>
                </c:pt>
                <c:pt idx="77" formatCode="General">
                  <c:v>1.2284705140484599E-4</c:v>
                </c:pt>
                <c:pt idx="78">
                  <c:v>9.3682649311220597E-5</c:v>
                </c:pt>
                <c:pt idx="79">
                  <c:v>5.8964336863109903E-5</c:v>
                </c:pt>
                <c:pt idx="80" formatCode="General">
                  <c:v>1.22179801181694E-4</c:v>
                </c:pt>
                <c:pt idx="81">
                  <c:v>7.6726084790616596E-5</c:v>
                </c:pt>
                <c:pt idx="82">
                  <c:v>7.5889234010896304E-5</c:v>
                </c:pt>
                <c:pt idx="83">
                  <c:v>7.79145495481986E-5</c:v>
                </c:pt>
                <c:pt idx="84">
                  <c:v>7.4774886119539303E-5</c:v>
                </c:pt>
                <c:pt idx="85">
                  <c:v>6.3843238280310202E-5</c:v>
                </c:pt>
                <c:pt idx="86">
                  <c:v>6.5927090119246302E-5</c:v>
                </c:pt>
                <c:pt idx="87">
                  <c:v>4.9782505237099498E-5</c:v>
                </c:pt>
                <c:pt idx="88">
                  <c:v>5.7066872683621099E-5</c:v>
                </c:pt>
                <c:pt idx="89">
                  <c:v>5.1140712438158803E-5</c:v>
                </c:pt>
                <c:pt idx="90">
                  <c:v>4.1780612409896798E-5</c:v>
                </c:pt>
                <c:pt idx="91">
                  <c:v>7.0052538781621707E-5</c:v>
                </c:pt>
                <c:pt idx="92">
                  <c:v>6.8861188749251096E-5</c:v>
                </c:pt>
                <c:pt idx="93">
                  <c:v>5.44984427025299E-5</c:v>
                </c:pt>
                <c:pt idx="94">
                  <c:v>5.2894730753239101E-5</c:v>
                </c:pt>
                <c:pt idx="95">
                  <c:v>6.6422817962437294E-5</c:v>
                </c:pt>
                <c:pt idx="96">
                  <c:v>5.4691467068699603E-5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3-447A-9C96-1400F4449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storm6_results!$E$35:$E$131</c:f>
              <c:numCache>
                <c:formatCode>m/d/yyyy\ h:mm</c:formatCode>
                <c:ptCount val="97"/>
                <c:pt idx="0">
                  <c:v>45166</c:v>
                </c:pt>
                <c:pt idx="1">
                  <c:v>45166.010416666664</c:v>
                </c:pt>
                <c:pt idx="2">
                  <c:v>45166.020833333336</c:v>
                </c:pt>
                <c:pt idx="3">
                  <c:v>45166.03125</c:v>
                </c:pt>
                <c:pt idx="4">
                  <c:v>45166.041666666664</c:v>
                </c:pt>
                <c:pt idx="5">
                  <c:v>45166.052083333336</c:v>
                </c:pt>
                <c:pt idx="6">
                  <c:v>45166.0625</c:v>
                </c:pt>
                <c:pt idx="7">
                  <c:v>45166.072916666664</c:v>
                </c:pt>
                <c:pt idx="8">
                  <c:v>45166.083333333336</c:v>
                </c:pt>
                <c:pt idx="9">
                  <c:v>45166.09375</c:v>
                </c:pt>
                <c:pt idx="10">
                  <c:v>45166.104166666664</c:v>
                </c:pt>
                <c:pt idx="11">
                  <c:v>45166.114583333336</c:v>
                </c:pt>
                <c:pt idx="12">
                  <c:v>45166.125</c:v>
                </c:pt>
                <c:pt idx="13">
                  <c:v>45166.135416666664</c:v>
                </c:pt>
                <c:pt idx="14">
                  <c:v>45166.145833333336</c:v>
                </c:pt>
                <c:pt idx="15">
                  <c:v>45166.15625</c:v>
                </c:pt>
                <c:pt idx="16">
                  <c:v>45166.166666666664</c:v>
                </c:pt>
                <c:pt idx="17">
                  <c:v>45166.177083333336</c:v>
                </c:pt>
                <c:pt idx="18">
                  <c:v>45166.1875</c:v>
                </c:pt>
                <c:pt idx="19">
                  <c:v>45166.197916666664</c:v>
                </c:pt>
                <c:pt idx="20">
                  <c:v>45166.208333333336</c:v>
                </c:pt>
                <c:pt idx="21">
                  <c:v>45166.21875</c:v>
                </c:pt>
                <c:pt idx="22">
                  <c:v>45166.229166666664</c:v>
                </c:pt>
                <c:pt idx="23">
                  <c:v>45166.239583333336</c:v>
                </c:pt>
                <c:pt idx="24">
                  <c:v>45166.25</c:v>
                </c:pt>
                <c:pt idx="25">
                  <c:v>45166.260416666664</c:v>
                </c:pt>
                <c:pt idx="26">
                  <c:v>45166.270833333336</c:v>
                </c:pt>
                <c:pt idx="27">
                  <c:v>45166.28125</c:v>
                </c:pt>
                <c:pt idx="28">
                  <c:v>45166.291666666664</c:v>
                </c:pt>
                <c:pt idx="29">
                  <c:v>45166.302083333336</c:v>
                </c:pt>
                <c:pt idx="30">
                  <c:v>45166.3125</c:v>
                </c:pt>
                <c:pt idx="31">
                  <c:v>45166.322916666664</c:v>
                </c:pt>
                <c:pt idx="32">
                  <c:v>45166.333333333336</c:v>
                </c:pt>
                <c:pt idx="33">
                  <c:v>45166.34375</c:v>
                </c:pt>
                <c:pt idx="34">
                  <c:v>45166.354166666664</c:v>
                </c:pt>
                <c:pt idx="35">
                  <c:v>45166.364583333336</c:v>
                </c:pt>
                <c:pt idx="36">
                  <c:v>45166.375</c:v>
                </c:pt>
                <c:pt idx="37">
                  <c:v>45166.385416666664</c:v>
                </c:pt>
                <c:pt idx="38">
                  <c:v>45166.395833333336</c:v>
                </c:pt>
                <c:pt idx="39">
                  <c:v>45166.40625</c:v>
                </c:pt>
                <c:pt idx="40">
                  <c:v>45166.416666666664</c:v>
                </c:pt>
                <c:pt idx="41">
                  <c:v>45166.427083333336</c:v>
                </c:pt>
                <c:pt idx="42">
                  <c:v>45166.4375</c:v>
                </c:pt>
                <c:pt idx="43">
                  <c:v>45166.447916666664</c:v>
                </c:pt>
                <c:pt idx="44">
                  <c:v>45166.458333333336</c:v>
                </c:pt>
                <c:pt idx="45">
                  <c:v>45166.46875</c:v>
                </c:pt>
                <c:pt idx="46">
                  <c:v>45166.479166666664</c:v>
                </c:pt>
                <c:pt idx="47">
                  <c:v>45166.489583333336</c:v>
                </c:pt>
                <c:pt idx="48">
                  <c:v>45166.5</c:v>
                </c:pt>
                <c:pt idx="49">
                  <c:v>45166.510416666664</c:v>
                </c:pt>
                <c:pt idx="50">
                  <c:v>45166.520833333336</c:v>
                </c:pt>
                <c:pt idx="51">
                  <c:v>45166.53125</c:v>
                </c:pt>
                <c:pt idx="52">
                  <c:v>45166.541666666664</c:v>
                </c:pt>
                <c:pt idx="53">
                  <c:v>45166.552083333336</c:v>
                </c:pt>
                <c:pt idx="54">
                  <c:v>45166.5625</c:v>
                </c:pt>
                <c:pt idx="55">
                  <c:v>45166.572916666664</c:v>
                </c:pt>
                <c:pt idx="56">
                  <c:v>45166.583333333336</c:v>
                </c:pt>
                <c:pt idx="57">
                  <c:v>45166.59375</c:v>
                </c:pt>
                <c:pt idx="58">
                  <c:v>45166.604166666664</c:v>
                </c:pt>
                <c:pt idx="59">
                  <c:v>45166.614583333336</c:v>
                </c:pt>
                <c:pt idx="60">
                  <c:v>45166.625</c:v>
                </c:pt>
                <c:pt idx="61">
                  <c:v>45166.635416666664</c:v>
                </c:pt>
                <c:pt idx="62">
                  <c:v>45166.645833333336</c:v>
                </c:pt>
                <c:pt idx="63">
                  <c:v>45166.65625</c:v>
                </c:pt>
                <c:pt idx="64">
                  <c:v>45166.666666666664</c:v>
                </c:pt>
                <c:pt idx="65">
                  <c:v>45166.677083333336</c:v>
                </c:pt>
                <c:pt idx="66">
                  <c:v>45166.6875</c:v>
                </c:pt>
                <c:pt idx="67">
                  <c:v>45166.697916666664</c:v>
                </c:pt>
                <c:pt idx="68">
                  <c:v>45166.708333333336</c:v>
                </c:pt>
                <c:pt idx="69">
                  <c:v>45166.71875</c:v>
                </c:pt>
                <c:pt idx="70">
                  <c:v>45166.729166666664</c:v>
                </c:pt>
                <c:pt idx="71">
                  <c:v>45166.739583333336</c:v>
                </c:pt>
                <c:pt idx="72">
                  <c:v>45166.75</c:v>
                </c:pt>
                <c:pt idx="73">
                  <c:v>45166.760416666664</c:v>
                </c:pt>
                <c:pt idx="74">
                  <c:v>45166.770833333336</c:v>
                </c:pt>
                <c:pt idx="75">
                  <c:v>45166.78125</c:v>
                </c:pt>
                <c:pt idx="76">
                  <c:v>45166.791666666664</c:v>
                </c:pt>
                <c:pt idx="77">
                  <c:v>45166.802083333336</c:v>
                </c:pt>
                <c:pt idx="78">
                  <c:v>45166.8125</c:v>
                </c:pt>
                <c:pt idx="79">
                  <c:v>45166.822916666664</c:v>
                </c:pt>
                <c:pt idx="80">
                  <c:v>45166.833333333336</c:v>
                </c:pt>
                <c:pt idx="81">
                  <c:v>45166.84375</c:v>
                </c:pt>
                <c:pt idx="82">
                  <c:v>45166.854166666664</c:v>
                </c:pt>
                <c:pt idx="83">
                  <c:v>45166.864583333336</c:v>
                </c:pt>
                <c:pt idx="84">
                  <c:v>45166.875</c:v>
                </c:pt>
                <c:pt idx="85">
                  <c:v>45166.885416666664</c:v>
                </c:pt>
                <c:pt idx="86">
                  <c:v>45166.895833333336</c:v>
                </c:pt>
                <c:pt idx="87">
                  <c:v>45166.90625</c:v>
                </c:pt>
                <c:pt idx="88">
                  <c:v>45166.916666666664</c:v>
                </c:pt>
                <c:pt idx="89">
                  <c:v>45166.927083333336</c:v>
                </c:pt>
                <c:pt idx="90">
                  <c:v>45166.9375</c:v>
                </c:pt>
                <c:pt idx="91">
                  <c:v>45166.947916666664</c:v>
                </c:pt>
                <c:pt idx="92">
                  <c:v>45166.958333333336</c:v>
                </c:pt>
                <c:pt idx="93">
                  <c:v>45166.96875</c:v>
                </c:pt>
                <c:pt idx="94">
                  <c:v>45166.979166666664</c:v>
                </c:pt>
                <c:pt idx="95">
                  <c:v>45166.989583333336</c:v>
                </c:pt>
                <c:pt idx="96">
                  <c:v>45167</c:v>
                </c:pt>
              </c:numCache>
            </c:numRef>
          </c:xVal>
          <c:yVal>
            <c:numRef>
              <c:f>storm6_results!$H$35:$H$131</c:f>
              <c:numCache>
                <c:formatCode>0.00E+00</c:formatCode>
                <c:ptCount val="97"/>
                <c:pt idx="0">
                  <c:v>2.9691201672209E-5</c:v>
                </c:pt>
                <c:pt idx="1">
                  <c:v>6.6600844928197699E-5</c:v>
                </c:pt>
                <c:pt idx="2">
                  <c:v>4.5735073504360898E-5</c:v>
                </c:pt>
                <c:pt idx="3">
                  <c:v>5.27221250620427E-5</c:v>
                </c:pt>
                <c:pt idx="4">
                  <c:v>5.3981878839378899E-5</c:v>
                </c:pt>
                <c:pt idx="5">
                  <c:v>6.1952598362043594E-5</c:v>
                </c:pt>
                <c:pt idx="6">
                  <c:v>4.6037281871986797E-5</c:v>
                </c:pt>
                <c:pt idx="7">
                  <c:v>5.7106653476811602E-5</c:v>
                </c:pt>
                <c:pt idx="8">
                  <c:v>5.6468989815876E-5</c:v>
                </c:pt>
                <c:pt idx="9">
                  <c:v>4.0351530788695501E-5</c:v>
                </c:pt>
                <c:pt idx="10">
                  <c:v>4.08269725079989E-5</c:v>
                </c:pt>
                <c:pt idx="11">
                  <c:v>3.9780181914661498E-5</c:v>
                </c:pt>
                <c:pt idx="12">
                  <c:v>3.3639431530192603E-5</c:v>
                </c:pt>
                <c:pt idx="13">
                  <c:v>3.2495761883307501E-5</c:v>
                </c:pt>
                <c:pt idx="14">
                  <c:v>5.2871490469502397E-5</c:v>
                </c:pt>
                <c:pt idx="15">
                  <c:v>4.7579356923905301E-5</c:v>
                </c:pt>
                <c:pt idx="16">
                  <c:v>2.5612084543201299E-5</c:v>
                </c:pt>
                <c:pt idx="17">
                  <c:v>5.5467302553569901E-5</c:v>
                </c:pt>
                <c:pt idx="18">
                  <c:v>3.9273667724813302E-5</c:v>
                </c:pt>
                <c:pt idx="19">
                  <c:v>4.6102718708586202E-5</c:v>
                </c:pt>
                <c:pt idx="20">
                  <c:v>4.5716920932083699E-5</c:v>
                </c:pt>
                <c:pt idx="21">
                  <c:v>5.9557808509828897E-5</c:v>
                </c:pt>
                <c:pt idx="22">
                  <c:v>6.66208646053468E-5</c:v>
                </c:pt>
                <c:pt idx="23">
                  <c:v>5.49631313128121E-5</c:v>
                </c:pt>
                <c:pt idx="24">
                  <c:v>3.6288753967068001E-5</c:v>
                </c:pt>
                <c:pt idx="25">
                  <c:v>3.27287155012092E-5</c:v>
                </c:pt>
                <c:pt idx="26">
                  <c:v>4.8032591228931701E-5</c:v>
                </c:pt>
                <c:pt idx="27">
                  <c:v>4.4689124043011897E-5</c:v>
                </c:pt>
                <c:pt idx="28">
                  <c:v>3.31845568030185E-5</c:v>
                </c:pt>
                <c:pt idx="29">
                  <c:v>2.7794653203976099E-5</c:v>
                </c:pt>
                <c:pt idx="30">
                  <c:v>3.7791471005347102E-5</c:v>
                </c:pt>
                <c:pt idx="31">
                  <c:v>6.5674631584434595E-5</c:v>
                </c:pt>
                <c:pt idx="32">
                  <c:v>4.79895953763015E-5</c:v>
                </c:pt>
                <c:pt idx="33">
                  <c:v>5.9125244444040998E-5</c:v>
                </c:pt>
                <c:pt idx="34">
                  <c:v>3.3886838170546499E-5</c:v>
                </c:pt>
                <c:pt idx="35">
                  <c:v>4.4588586779938597E-5</c:v>
                </c:pt>
                <c:pt idx="36">
                  <c:v>3.4547703622469398E-5</c:v>
                </c:pt>
                <c:pt idx="37">
                  <c:v>6.2340980659659695E-5</c:v>
                </c:pt>
                <c:pt idx="38">
                  <c:v>4.6464285233328697E-5</c:v>
                </c:pt>
                <c:pt idx="39">
                  <c:v>3.1620783349618901E-5</c:v>
                </c:pt>
                <c:pt idx="40">
                  <c:v>4.7213598799496197E-5</c:v>
                </c:pt>
                <c:pt idx="41">
                  <c:v>4.6513959319863199E-5</c:v>
                </c:pt>
                <c:pt idx="42">
                  <c:v>6.27006325945691E-5</c:v>
                </c:pt>
                <c:pt idx="43">
                  <c:v>6.4822607922286496E-5</c:v>
                </c:pt>
                <c:pt idx="44">
                  <c:v>6.5283961199907094E-5</c:v>
                </c:pt>
                <c:pt idx="45">
                  <c:v>4.50816639970359E-5</c:v>
                </c:pt>
                <c:pt idx="46">
                  <c:v>4.5346514531617097E-5</c:v>
                </c:pt>
                <c:pt idx="47">
                  <c:v>6.4580782920392601E-5</c:v>
                </c:pt>
                <c:pt idx="48">
                  <c:v>3.9863259090283903E-5</c:v>
                </c:pt>
                <c:pt idx="49" formatCode="General">
                  <c:v>1.20004778426201E-3</c:v>
                </c:pt>
                <c:pt idx="50" formatCode="General">
                  <c:v>6.0995438867386101E-4</c:v>
                </c:pt>
                <c:pt idx="51" formatCode="General">
                  <c:v>5.0689977917435102E-4</c:v>
                </c:pt>
                <c:pt idx="52" formatCode="General">
                  <c:v>4.9086524283944695E-4</c:v>
                </c:pt>
                <c:pt idx="53" formatCode="General">
                  <c:v>3.7986650178110102E-4</c:v>
                </c:pt>
                <c:pt idx="54" formatCode="General">
                  <c:v>8.6367040971152705E-4</c:v>
                </c:pt>
                <c:pt idx="55" formatCode="General">
                  <c:v>4.0038026445731199E-4</c:v>
                </c:pt>
                <c:pt idx="56" formatCode="General">
                  <c:v>5.1109411461382399E-4</c:v>
                </c:pt>
                <c:pt idx="57" formatCode="General">
                  <c:v>4.8198531329774998E-4</c:v>
                </c:pt>
                <c:pt idx="58" formatCode="General">
                  <c:v>6.4260211921999904E-4</c:v>
                </c:pt>
                <c:pt idx="59" formatCode="General">
                  <c:v>4.1731320477302102E-4</c:v>
                </c:pt>
                <c:pt idx="60" formatCode="General">
                  <c:v>2.6765530651899199E-4</c:v>
                </c:pt>
                <c:pt idx="61" formatCode="General">
                  <c:v>2.2243220258247101E-4</c:v>
                </c:pt>
                <c:pt idx="62" formatCode="General">
                  <c:v>3.31296663969055E-4</c:v>
                </c:pt>
                <c:pt idx="63" formatCode="General">
                  <c:v>2.21987974840187E-4</c:v>
                </c:pt>
                <c:pt idx="64" formatCode="General">
                  <c:v>1.3595174200661301E-4</c:v>
                </c:pt>
                <c:pt idx="65" formatCode="General">
                  <c:v>1.01082862495676E-4</c:v>
                </c:pt>
                <c:pt idx="66" formatCode="General">
                  <c:v>1.60566052889445E-4</c:v>
                </c:pt>
                <c:pt idx="67" formatCode="General">
                  <c:v>1.3136677313710799E-4</c:v>
                </c:pt>
                <c:pt idx="68" formatCode="General">
                  <c:v>1.2747271516482401E-4</c:v>
                </c:pt>
                <c:pt idx="69" formatCode="General">
                  <c:v>1.11845657057191E-4</c:v>
                </c:pt>
                <c:pt idx="70">
                  <c:v>6.9540536283533994E-5</c:v>
                </c:pt>
                <c:pt idx="71">
                  <c:v>7.7110344746493694E-5</c:v>
                </c:pt>
                <c:pt idx="72">
                  <c:v>6.5299500611919295E-5</c:v>
                </c:pt>
                <c:pt idx="73">
                  <c:v>8.3715810414308693E-5</c:v>
                </c:pt>
                <c:pt idx="74" formatCode="General">
                  <c:v>1.0990044463750799E-4</c:v>
                </c:pt>
                <c:pt idx="75">
                  <c:v>9.0773489251248598E-5</c:v>
                </c:pt>
                <c:pt idx="76" formatCode="General">
                  <c:v>1.00146186900786E-4</c:v>
                </c:pt>
                <c:pt idx="77" formatCode="General">
                  <c:v>1.20098616676572E-4</c:v>
                </c:pt>
                <c:pt idx="78">
                  <c:v>9.0221829235409196E-5</c:v>
                </c:pt>
                <c:pt idx="79">
                  <c:v>5.71510035965648E-5</c:v>
                </c:pt>
                <c:pt idx="80" formatCode="General">
                  <c:v>1.19457047216528E-4</c:v>
                </c:pt>
                <c:pt idx="81">
                  <c:v>7.6177924555599099E-5</c:v>
                </c:pt>
                <c:pt idx="82">
                  <c:v>7.4520537710379096E-5</c:v>
                </c:pt>
                <c:pt idx="83">
                  <c:v>7.64137255587192E-5</c:v>
                </c:pt>
                <c:pt idx="84">
                  <c:v>7.4082381122367606E-5</c:v>
                </c:pt>
                <c:pt idx="85">
                  <c:v>6.3323900359701105E-5</c:v>
                </c:pt>
                <c:pt idx="86">
                  <c:v>6.4584510368181396E-5</c:v>
                </c:pt>
                <c:pt idx="87">
                  <c:v>4.8803867640106598E-5</c:v>
                </c:pt>
                <c:pt idx="88">
                  <c:v>5.5944256394600102E-5</c:v>
                </c:pt>
                <c:pt idx="89">
                  <c:v>5.0915257534425002E-5</c:v>
                </c:pt>
                <c:pt idx="90">
                  <c:v>3.9850325604141502E-5</c:v>
                </c:pt>
                <c:pt idx="91">
                  <c:v>6.7912219486865202E-5</c:v>
                </c:pt>
                <c:pt idx="92">
                  <c:v>6.9483667382841995E-5</c:v>
                </c:pt>
                <c:pt idx="93">
                  <c:v>5.2867639745751498E-5</c:v>
                </c:pt>
                <c:pt idx="94">
                  <c:v>5.0184143359891401E-5</c:v>
                </c:pt>
                <c:pt idx="95">
                  <c:v>6.4940550752034105E-5</c:v>
                </c:pt>
                <c:pt idx="96">
                  <c:v>5.48896067238667E-5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C5-426F-8852-D8F3940B4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447887"/>
        <c:axId val="877441647"/>
      </c:scatterChart>
      <c:valAx>
        <c:axId val="877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1647"/>
        <c:crosses val="autoZero"/>
        <c:crossBetween val="midCat"/>
      </c:valAx>
      <c:valAx>
        <c:axId val="87744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4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33</xdr:row>
      <xdr:rowOff>0</xdr:rowOff>
    </xdr:from>
    <xdr:to>
      <xdr:col>18</xdr:col>
      <xdr:colOff>209550</xdr:colOff>
      <xdr:row>46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7CA97-8AE6-44A9-B36B-6E841DFD2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46</xdr:row>
      <xdr:rowOff>57150</xdr:rowOff>
    </xdr:from>
    <xdr:to>
      <xdr:col>18</xdr:col>
      <xdr:colOff>219075</xdr:colOff>
      <xdr:row>59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A18A9-49A4-43AF-9F8E-7FB59C694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</xdr:colOff>
      <xdr:row>59</xdr:row>
      <xdr:rowOff>133350</xdr:rowOff>
    </xdr:from>
    <xdr:to>
      <xdr:col>18</xdr:col>
      <xdr:colOff>228600</xdr:colOff>
      <xdr:row>72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B5C713-E198-4D5A-98C5-8838E6913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2BC-2145-4BC2-9E63-F3002A8B6AEE}">
  <dimension ref="A1:CT131"/>
  <sheetViews>
    <sheetView tabSelected="1" topLeftCell="AG1" workbookViewId="0">
      <selection activeCell="AR19" sqref="AR19"/>
    </sheetView>
  </sheetViews>
  <sheetFormatPr defaultRowHeight="15" x14ac:dyDescent="0.25"/>
  <cols>
    <col min="1" max="1" width="19.7109375" customWidth="1"/>
    <col min="3" max="3" width="11.7109375" customWidth="1"/>
    <col min="5" max="5" width="13.7109375" customWidth="1"/>
    <col min="50" max="50" width="7.28515625" customWidth="1"/>
    <col min="51" max="51" width="15.42578125" customWidth="1"/>
  </cols>
  <sheetData>
    <row r="1" spans="1:98" x14ac:dyDescent="0.25">
      <c r="B1" s="1">
        <v>45166</v>
      </c>
      <c r="C1" s="1">
        <v>45166.010416666664</v>
      </c>
      <c r="D1" s="1">
        <v>45166.020833333336</v>
      </c>
      <c r="E1" s="1">
        <v>45166.03125</v>
      </c>
      <c r="F1" s="1">
        <v>45166.041666666664</v>
      </c>
      <c r="G1" s="1">
        <v>45166.052083333336</v>
      </c>
      <c r="H1" s="1">
        <v>45166.0625</v>
      </c>
      <c r="I1" s="1">
        <v>45166.072916666664</v>
      </c>
      <c r="J1" s="1">
        <v>45166.083333333336</v>
      </c>
      <c r="K1" s="1">
        <v>45166.09375</v>
      </c>
      <c r="L1" s="1">
        <v>45166.104166666664</v>
      </c>
      <c r="M1" s="1">
        <v>45166.114583333336</v>
      </c>
      <c r="N1" s="1">
        <v>45166.125</v>
      </c>
      <c r="O1" s="1">
        <v>45166.135416666664</v>
      </c>
      <c r="P1" s="1">
        <v>45166.145833333336</v>
      </c>
      <c r="Q1" s="1">
        <v>45166.15625</v>
      </c>
      <c r="R1" s="1">
        <v>45166.166666666664</v>
      </c>
      <c r="S1" s="1">
        <v>45166.177083333336</v>
      </c>
      <c r="T1" s="1">
        <v>45166.1875</v>
      </c>
      <c r="U1" s="1">
        <v>45166.197916666664</v>
      </c>
      <c r="V1" s="1">
        <v>45166.208333333336</v>
      </c>
      <c r="W1" s="1">
        <v>45166.21875</v>
      </c>
      <c r="X1" s="1">
        <v>45166.229166666664</v>
      </c>
      <c r="Y1" s="1">
        <v>45166.239583333336</v>
      </c>
      <c r="Z1" s="1">
        <v>45166.25</v>
      </c>
      <c r="AA1" s="1">
        <v>45166.260416666664</v>
      </c>
      <c r="AB1" s="1">
        <v>45166.270833333336</v>
      </c>
      <c r="AC1" s="1">
        <v>45166.28125</v>
      </c>
      <c r="AD1" s="1">
        <v>45166.291666666664</v>
      </c>
      <c r="AE1" s="1">
        <v>45166.302083333336</v>
      </c>
      <c r="AF1" s="1">
        <v>45166.3125</v>
      </c>
      <c r="AG1" s="1">
        <v>45166.322916666664</v>
      </c>
      <c r="AH1" s="1">
        <v>45166.333333333336</v>
      </c>
      <c r="AI1" s="1">
        <v>45166.34375</v>
      </c>
      <c r="AJ1" s="1">
        <v>45166.354166666664</v>
      </c>
      <c r="AK1" s="1">
        <v>45166.364583333336</v>
      </c>
      <c r="AL1" s="1">
        <v>45166.375</v>
      </c>
      <c r="AM1" s="1">
        <v>45166.385416666664</v>
      </c>
      <c r="AN1" s="1">
        <v>45166.395833333336</v>
      </c>
      <c r="AO1" s="1">
        <v>45166.40625</v>
      </c>
      <c r="AP1" s="1">
        <v>45166.416666666664</v>
      </c>
      <c r="AQ1" s="1">
        <v>45166.427083333336</v>
      </c>
      <c r="AR1" s="1">
        <v>45166.4375</v>
      </c>
      <c r="AS1" s="1">
        <v>45166.447916666664</v>
      </c>
      <c r="AT1" s="1">
        <v>45166.458333333336</v>
      </c>
      <c r="AU1" s="1">
        <v>45166.46875</v>
      </c>
      <c r="AV1" s="1">
        <v>45166.479166666664</v>
      </c>
      <c r="AW1" s="1">
        <v>45166.489583333336</v>
      </c>
      <c r="AX1" s="1">
        <v>45166.5</v>
      </c>
      <c r="AY1" s="1">
        <v>45166.510416666664</v>
      </c>
      <c r="AZ1" s="1">
        <v>45166.520833333336</v>
      </c>
      <c r="BA1" s="1">
        <v>45166.53125</v>
      </c>
      <c r="BB1" s="1">
        <v>45166.541666666664</v>
      </c>
      <c r="BC1" s="1">
        <v>45166.552083333336</v>
      </c>
      <c r="BD1" s="1">
        <v>45166.5625</v>
      </c>
      <c r="BE1" s="1">
        <v>45166.572916666664</v>
      </c>
      <c r="BF1" s="1">
        <v>45166.583333333336</v>
      </c>
      <c r="BG1" s="1">
        <v>45166.59375</v>
      </c>
      <c r="BH1" s="1">
        <v>45166.604166666664</v>
      </c>
      <c r="BI1" s="1">
        <v>45166.614583333336</v>
      </c>
      <c r="BJ1" s="1">
        <v>45166.625</v>
      </c>
      <c r="BK1" s="1">
        <v>45166.635416666664</v>
      </c>
      <c r="BL1" s="1">
        <v>45166.645833333336</v>
      </c>
      <c r="BM1" s="1">
        <v>45166.65625</v>
      </c>
      <c r="BN1" s="1">
        <v>45166.666666666664</v>
      </c>
      <c r="BO1" s="1">
        <v>45166.677083333336</v>
      </c>
      <c r="BP1" s="1">
        <v>45166.6875</v>
      </c>
      <c r="BQ1" s="1">
        <v>45166.697916666664</v>
      </c>
      <c r="BR1" s="1">
        <v>45166.708333333336</v>
      </c>
      <c r="BS1" s="1">
        <v>45166.71875</v>
      </c>
      <c r="BT1" s="1">
        <v>45166.729166666664</v>
      </c>
      <c r="BU1" s="1">
        <v>45166.739583333336</v>
      </c>
      <c r="BV1" s="1">
        <v>45166.75</v>
      </c>
      <c r="BW1" s="1">
        <v>45166.760416666664</v>
      </c>
      <c r="BX1" s="1">
        <v>45166.770833333336</v>
      </c>
      <c r="BY1" s="1">
        <v>45166.78125</v>
      </c>
      <c r="BZ1" s="1">
        <v>45166.791666666664</v>
      </c>
      <c r="CA1" s="1">
        <v>45166.802083333336</v>
      </c>
      <c r="CB1" s="1">
        <v>45166.8125</v>
      </c>
      <c r="CC1" s="1">
        <v>45166.822916666664</v>
      </c>
      <c r="CD1" s="1">
        <v>45166.833333333336</v>
      </c>
      <c r="CE1" s="1">
        <v>45166.84375</v>
      </c>
      <c r="CF1" s="1">
        <v>45166.854166666664</v>
      </c>
      <c r="CG1" s="1">
        <v>45166.864583333336</v>
      </c>
      <c r="CH1" s="1">
        <v>45166.875</v>
      </c>
      <c r="CI1" s="1">
        <v>45166.885416666664</v>
      </c>
      <c r="CJ1" s="1">
        <v>45166.895833333336</v>
      </c>
      <c r="CK1" s="1">
        <v>45166.90625</v>
      </c>
      <c r="CL1" s="1">
        <v>45166.916666666664</v>
      </c>
      <c r="CM1" s="1">
        <v>45166.927083333336</v>
      </c>
      <c r="CN1" s="1">
        <v>45166.9375</v>
      </c>
      <c r="CO1" s="1">
        <v>45166.947916666664</v>
      </c>
      <c r="CP1" s="1">
        <v>45166.958333333336</v>
      </c>
      <c r="CQ1" s="1">
        <v>45166.96875</v>
      </c>
      <c r="CR1" s="1">
        <v>45166.979166666664</v>
      </c>
      <c r="CS1" s="1">
        <v>45166.989583333336</v>
      </c>
      <c r="CT1" s="1">
        <v>45167</v>
      </c>
    </row>
    <row r="2" spans="1:98" x14ac:dyDescent="0.25">
      <c r="A2" t="s">
        <v>0</v>
      </c>
      <c r="B2" s="4">
        <v>5.0691721655091601E-5</v>
      </c>
      <c r="C2" s="4">
        <v>9.9686341089394895E-5</v>
      </c>
      <c r="D2" s="4">
        <v>6.8237659920054397E-5</v>
      </c>
      <c r="E2">
        <v>1.09203843631265E-4</v>
      </c>
      <c r="F2" s="4">
        <v>9.0036518269164296E-5</v>
      </c>
      <c r="G2" s="4">
        <v>9.8106794777546699E-5</v>
      </c>
      <c r="H2" s="4">
        <v>6.9139165871832494E-5</v>
      </c>
      <c r="I2" s="4">
        <v>8.48637266927575E-5</v>
      </c>
      <c r="J2" s="4">
        <v>8.7070484746424294E-5</v>
      </c>
      <c r="K2" s="4">
        <v>6.4040581612375994E-5</v>
      </c>
      <c r="L2" s="4">
        <v>5.9214404192200901E-5</v>
      </c>
      <c r="M2" s="4">
        <v>7.0010968011638894E-5</v>
      </c>
      <c r="N2" s="4">
        <v>4.7570484897430301E-5</v>
      </c>
      <c r="O2" s="4">
        <v>5.97317410910608E-5</v>
      </c>
      <c r="P2" s="4">
        <v>8.3287171949620494E-5</v>
      </c>
      <c r="Q2" s="4">
        <v>7.8319645853931595E-5</v>
      </c>
      <c r="R2" s="4">
        <v>4.8232823606863999E-5</v>
      </c>
      <c r="S2" s="4">
        <v>8.2750667650959101E-5</v>
      </c>
      <c r="T2" s="4">
        <v>6.3021949101477997E-5</v>
      </c>
      <c r="U2" s="4">
        <v>7.7859318493952905E-5</v>
      </c>
      <c r="V2" s="4">
        <v>6.6337651116805897E-5</v>
      </c>
      <c r="W2" s="4">
        <v>9.9908645245437098E-5</v>
      </c>
      <c r="X2">
        <v>1.0314020748427501E-4</v>
      </c>
      <c r="Y2" s="4">
        <v>7.8089709243968098E-5</v>
      </c>
      <c r="Z2" s="4">
        <v>6.8926071100552702E-5</v>
      </c>
      <c r="AA2" s="4">
        <v>4.70503573174607E-5</v>
      </c>
      <c r="AB2" s="4">
        <v>8.0691828374749794E-5</v>
      </c>
      <c r="AC2" s="4">
        <v>7.0934662461579701E-5</v>
      </c>
      <c r="AD2" s="4">
        <v>6.3194242990232405E-5</v>
      </c>
      <c r="AE2" s="4">
        <v>4.9860702577643999E-5</v>
      </c>
      <c r="AF2" s="4">
        <v>8.2558631995984102E-5</v>
      </c>
      <c r="AG2">
        <v>1.1782946928464E-4</v>
      </c>
      <c r="AH2" s="4">
        <v>7.6335054428668299E-5</v>
      </c>
      <c r="AI2">
        <v>1.04003627224063E-4</v>
      </c>
      <c r="AJ2" s="4">
        <v>6.0318516552764498E-5</v>
      </c>
      <c r="AK2" s="4">
        <v>7.4465850434088994E-5</v>
      </c>
      <c r="AL2" s="4">
        <v>5.5624887112459603E-5</v>
      </c>
      <c r="AM2" s="4">
        <v>9.2878768676953497E-5</v>
      </c>
      <c r="AN2" s="4">
        <v>8.0155462029345603E-5</v>
      </c>
      <c r="AO2" s="4">
        <v>4.6775577045438402E-5</v>
      </c>
      <c r="AP2" s="4">
        <v>7.7195678547877699E-5</v>
      </c>
      <c r="AQ2" s="4">
        <v>7.6208476401090099E-5</v>
      </c>
      <c r="AR2" s="4">
        <v>8.1031194499245896E-5</v>
      </c>
      <c r="AS2">
        <v>1.02753296976993E-4</v>
      </c>
      <c r="AT2">
        <v>1.0582961826797101E-4</v>
      </c>
      <c r="AU2" s="4">
        <v>6.1615479450457104E-5</v>
      </c>
      <c r="AV2" s="4">
        <v>6.0748241115802998E-5</v>
      </c>
      <c r="AW2" s="4">
        <v>9.8966948384614101E-5</v>
      </c>
      <c r="AX2" s="4">
        <v>7.0484377296628007E-5</v>
      </c>
      <c r="AY2">
        <v>1.9432607076610799E-3</v>
      </c>
      <c r="AZ2">
        <v>8.6461963499705002E-4</v>
      </c>
      <c r="BA2">
        <v>8.6391167244406005E-4</v>
      </c>
      <c r="BB2">
        <v>7.6967992405856003E-4</v>
      </c>
      <c r="BC2">
        <v>5.7266065515786699E-4</v>
      </c>
      <c r="BD2">
        <v>1.09976617539475E-3</v>
      </c>
      <c r="BE2">
        <v>6.2688763059818003E-4</v>
      </c>
      <c r="BF2">
        <v>6.7736136604672897E-4</v>
      </c>
      <c r="BG2">
        <v>7.1868844666659595E-4</v>
      </c>
      <c r="BH2">
        <v>8.66820174485512E-4</v>
      </c>
      <c r="BI2">
        <v>5.7027367492868796E-4</v>
      </c>
      <c r="BJ2">
        <v>3.9348604717543502E-4</v>
      </c>
      <c r="BK2">
        <v>3.34416123356494E-4</v>
      </c>
      <c r="BL2">
        <v>4.5749830302447902E-4</v>
      </c>
      <c r="BM2">
        <v>3.5015488556746998E-4</v>
      </c>
      <c r="BN2">
        <v>1.98798331313193E-4</v>
      </c>
      <c r="BO2">
        <v>1.83478949576782E-4</v>
      </c>
      <c r="BP2">
        <v>2.2529625637978499E-4</v>
      </c>
      <c r="BQ2">
        <v>1.9762282589284001E-4</v>
      </c>
      <c r="BR2">
        <v>1.87294254900857E-4</v>
      </c>
      <c r="BS2">
        <v>1.8352120469713901E-4</v>
      </c>
      <c r="BT2" s="4">
        <v>9.9201093177123204E-5</v>
      </c>
      <c r="BU2">
        <v>1.12456070915174E-4</v>
      </c>
      <c r="BV2" s="4">
        <v>9.5037421842474206E-5</v>
      </c>
      <c r="BW2">
        <v>1.2994406168143901E-4</v>
      </c>
      <c r="BX2">
        <v>1.7197606627985301E-4</v>
      </c>
      <c r="BY2">
        <v>1.18733685270813E-4</v>
      </c>
      <c r="BZ2">
        <v>1.4413094449504301E-4</v>
      </c>
      <c r="CA2">
        <v>1.86784011764744E-4</v>
      </c>
      <c r="CB2">
        <v>1.2831328194599901E-4</v>
      </c>
      <c r="CC2" s="4">
        <v>8.3894518802155702E-5</v>
      </c>
      <c r="CD2">
        <v>1.9139567448755101E-4</v>
      </c>
      <c r="CE2">
        <v>1.07471354713044E-4</v>
      </c>
      <c r="CF2">
        <v>1.18914444907028E-4</v>
      </c>
      <c r="CG2">
        <v>1.32996093406393E-4</v>
      </c>
      <c r="CH2">
        <v>1.1043057320819099E-4</v>
      </c>
      <c r="CI2">
        <v>1.0030931751979901E-4</v>
      </c>
      <c r="CJ2" s="4">
        <v>9.6731958808524105E-5</v>
      </c>
      <c r="CK2" s="4">
        <v>8.9477967642736701E-5</v>
      </c>
      <c r="CL2">
        <v>1.1401743403982E-4</v>
      </c>
      <c r="CM2" s="4">
        <v>8.7478133658183999E-5</v>
      </c>
      <c r="CN2" s="4">
        <v>7.44588929248996E-5</v>
      </c>
      <c r="CO2">
        <v>1.16849943346382E-4</v>
      </c>
      <c r="CP2">
        <v>1.10472356010085E-4</v>
      </c>
      <c r="CQ2" s="4">
        <v>7.8195666254724696E-5</v>
      </c>
      <c r="CR2">
        <v>1.062028507808E-4</v>
      </c>
      <c r="CS2">
        <v>1.11944997552033E-4</v>
      </c>
      <c r="CT2" s="4">
        <v>8.0335968494348706E-5</v>
      </c>
    </row>
    <row r="3" spans="1:98" x14ac:dyDescent="0.25">
      <c r="A3" t="s">
        <v>1</v>
      </c>
      <c r="B3" s="4">
        <v>3.0801303341743101E-5</v>
      </c>
      <c r="C3" s="4">
        <v>6.8378041080592095E-5</v>
      </c>
      <c r="D3" s="4">
        <v>4.6798846464567697E-5</v>
      </c>
      <c r="E3" s="4">
        <v>5.5567601601878101E-5</v>
      </c>
      <c r="F3" s="4">
        <v>5.4873987754864603E-5</v>
      </c>
      <c r="G3" s="4">
        <v>6.2963223216172597E-5</v>
      </c>
      <c r="H3" s="4">
        <v>4.61181387937958E-5</v>
      </c>
      <c r="I3" s="4">
        <v>5.8657333605605303E-5</v>
      </c>
      <c r="J3" s="4">
        <v>5.6631927306067003E-5</v>
      </c>
      <c r="K3" s="4">
        <v>4.0889229127116898E-5</v>
      </c>
      <c r="L3" s="4">
        <v>4.1365651327473097E-5</v>
      </c>
      <c r="M3" s="4">
        <v>4.1221420419322E-5</v>
      </c>
      <c r="N3" s="4">
        <v>3.4182628206501202E-5</v>
      </c>
      <c r="O3" s="4">
        <v>3.4373123039430997E-5</v>
      </c>
      <c r="P3" s="4">
        <v>5.3895535923586303E-5</v>
      </c>
      <c r="Q3" s="4">
        <v>4.7554248222713901E-5</v>
      </c>
      <c r="R3" s="4">
        <v>2.69561485481695E-5</v>
      </c>
      <c r="S3" s="4">
        <v>5.6765774633691003E-5</v>
      </c>
      <c r="T3" s="4">
        <v>4.0643025013500098E-5</v>
      </c>
      <c r="U3" s="4">
        <v>4.6695075969767098E-5</v>
      </c>
      <c r="V3" s="4">
        <v>4.68414095348317E-5</v>
      </c>
      <c r="W3" s="4">
        <v>6.1014607247193802E-5</v>
      </c>
      <c r="X3" s="4">
        <v>6.7463705999933497E-5</v>
      </c>
      <c r="Y3" s="4">
        <v>5.5178358433739801E-5</v>
      </c>
      <c r="Z3" s="4">
        <v>3.8312592014988202E-5</v>
      </c>
      <c r="AA3" s="4">
        <v>3.2473475950757903E-5</v>
      </c>
      <c r="AB3" s="4">
        <v>4.8603179147420601E-5</v>
      </c>
      <c r="AC3" s="4">
        <v>4.6614039287792303E-5</v>
      </c>
      <c r="AD3" s="4">
        <v>3.3744010983035703E-5</v>
      </c>
      <c r="AE3" s="4">
        <v>2.8760485219969299E-5</v>
      </c>
      <c r="AF3" s="4">
        <v>3.8997284638807498E-5</v>
      </c>
      <c r="AG3" s="4">
        <v>6.7972588958695906E-5</v>
      </c>
      <c r="AH3" s="4">
        <v>5.0085251784905702E-5</v>
      </c>
      <c r="AI3" s="4">
        <v>6.3814181274023105E-5</v>
      </c>
      <c r="AJ3" s="4">
        <v>3.6188895027418302E-5</v>
      </c>
      <c r="AK3" s="4">
        <v>4.5450598174595299E-5</v>
      </c>
      <c r="AL3" s="4">
        <v>3.5710489986512297E-5</v>
      </c>
      <c r="AM3" s="4">
        <v>6.1954577519696897E-5</v>
      </c>
      <c r="AN3" s="4">
        <v>4.7944292598763903E-5</v>
      </c>
      <c r="AO3" s="4">
        <v>3.2617780222498299E-5</v>
      </c>
      <c r="AP3" s="4">
        <v>4.7248158185876499E-5</v>
      </c>
      <c r="AQ3" s="4">
        <v>4.7906485316433598E-5</v>
      </c>
      <c r="AR3" s="4">
        <v>6.2012512117525797E-5</v>
      </c>
      <c r="AS3" s="4">
        <v>6.4873207413121902E-5</v>
      </c>
      <c r="AT3" s="4">
        <v>6.6999898619235894E-5</v>
      </c>
      <c r="AU3" s="4">
        <v>4.4886259386219403E-5</v>
      </c>
      <c r="AV3" s="4">
        <v>4.5335175310381797E-5</v>
      </c>
      <c r="AW3" s="4">
        <v>6.5246368962598895E-5</v>
      </c>
      <c r="AX3" s="4">
        <v>4.1540198297949803E-5</v>
      </c>
      <c r="AY3">
        <v>1.2316532423362E-3</v>
      </c>
      <c r="AZ3">
        <v>6.1662583103984999E-4</v>
      </c>
      <c r="BA3">
        <v>5.2763668770102097E-4</v>
      </c>
      <c r="BB3">
        <v>4.9260103791728396E-4</v>
      </c>
      <c r="BC3">
        <v>3.9071186236511402E-4</v>
      </c>
      <c r="BD3">
        <v>8.7106581635359602E-4</v>
      </c>
      <c r="BE3">
        <v>4.1350023792049903E-4</v>
      </c>
      <c r="BF3">
        <v>5.18960381787518E-4</v>
      </c>
      <c r="BG3">
        <v>4.9184958594405298E-4</v>
      </c>
      <c r="BH3">
        <v>6.5421861750815304E-4</v>
      </c>
      <c r="BI3">
        <v>4.22312683061251E-4</v>
      </c>
      <c r="BJ3">
        <v>2.7185283677414498E-4</v>
      </c>
      <c r="BK3">
        <v>2.2770152235035499E-4</v>
      </c>
      <c r="BL3">
        <v>3.3061521450324002E-4</v>
      </c>
      <c r="BM3">
        <v>2.23187063716479E-4</v>
      </c>
      <c r="BN3">
        <v>1.3896525437660001E-4</v>
      </c>
      <c r="BO3">
        <v>1.06357360582271E-4</v>
      </c>
      <c r="BP3">
        <v>1.60535377417131E-4</v>
      </c>
      <c r="BQ3">
        <v>1.3462750356277699E-4</v>
      </c>
      <c r="BR3">
        <v>1.3156389653597899E-4</v>
      </c>
      <c r="BS3">
        <v>1.1605587191745301E-4</v>
      </c>
      <c r="BT3" s="4">
        <v>6.9915170987474001E-5</v>
      </c>
      <c r="BU3" s="4">
        <v>7.9127432152995399E-5</v>
      </c>
      <c r="BV3" s="4">
        <v>6.6030122245106795E-5</v>
      </c>
      <c r="BW3" s="4">
        <v>8.6404567752780101E-5</v>
      </c>
      <c r="BX3">
        <v>1.10691897387962E-4</v>
      </c>
      <c r="BY3" s="4">
        <v>9.0058993780700903E-5</v>
      </c>
      <c r="BZ3">
        <v>1.0111498633297099E-4</v>
      </c>
      <c r="CA3">
        <v>1.2284705140484599E-4</v>
      </c>
      <c r="CB3" s="4">
        <v>9.3682649311220597E-5</v>
      </c>
      <c r="CC3" s="4">
        <v>5.8964336863109903E-5</v>
      </c>
      <c r="CD3">
        <v>1.22179801181694E-4</v>
      </c>
      <c r="CE3" s="4">
        <v>7.6726084790616596E-5</v>
      </c>
      <c r="CF3" s="4">
        <v>7.5889234010896304E-5</v>
      </c>
      <c r="CG3" s="4">
        <v>7.79145495481986E-5</v>
      </c>
      <c r="CH3" s="4">
        <v>7.4774886119539303E-5</v>
      </c>
      <c r="CI3" s="4">
        <v>6.3843238280310202E-5</v>
      </c>
      <c r="CJ3" s="4">
        <v>6.5927090119246302E-5</v>
      </c>
      <c r="CK3" s="4">
        <v>4.9782505237099498E-5</v>
      </c>
      <c r="CL3" s="4">
        <v>5.7066872683621099E-5</v>
      </c>
      <c r="CM3" s="4">
        <v>5.1140712438158803E-5</v>
      </c>
      <c r="CN3" s="4">
        <v>4.1780612409896798E-5</v>
      </c>
      <c r="CO3" s="4">
        <v>7.0052538781621707E-5</v>
      </c>
      <c r="CP3" s="4">
        <v>6.8861188749251096E-5</v>
      </c>
      <c r="CQ3" s="4">
        <v>5.44984427025299E-5</v>
      </c>
      <c r="CR3" s="4">
        <v>5.2894730753239101E-5</v>
      </c>
      <c r="CS3" s="4">
        <v>6.6422817962437294E-5</v>
      </c>
      <c r="CT3" s="4">
        <v>5.4691467068699603E-5</v>
      </c>
    </row>
    <row r="4" spans="1:98" x14ac:dyDescent="0.25">
      <c r="A4" t="s">
        <v>2</v>
      </c>
      <c r="B4" s="4">
        <v>2.9691201672209E-5</v>
      </c>
      <c r="C4" s="4">
        <v>6.6600844928197699E-5</v>
      </c>
      <c r="D4" s="4">
        <v>4.5735073504360898E-5</v>
      </c>
      <c r="E4" s="4">
        <v>5.27221250620427E-5</v>
      </c>
      <c r="F4" s="4">
        <v>5.3981878839378899E-5</v>
      </c>
      <c r="G4" s="4">
        <v>6.1952598362043594E-5</v>
      </c>
      <c r="H4" s="4">
        <v>4.6037281871986797E-5</v>
      </c>
      <c r="I4" s="4">
        <v>5.7106653476811602E-5</v>
      </c>
      <c r="J4" s="4">
        <v>5.6468989815876E-5</v>
      </c>
      <c r="K4" s="4">
        <v>4.0351530788695501E-5</v>
      </c>
      <c r="L4" s="4">
        <v>4.08269725079989E-5</v>
      </c>
      <c r="M4" s="4">
        <v>3.9780181914661498E-5</v>
      </c>
      <c r="N4" s="4">
        <v>3.3639431530192603E-5</v>
      </c>
      <c r="O4" s="4">
        <v>3.2495761883307501E-5</v>
      </c>
      <c r="P4" s="4">
        <v>5.2871490469502397E-5</v>
      </c>
      <c r="Q4" s="4">
        <v>4.7579356923905301E-5</v>
      </c>
      <c r="R4" s="4">
        <v>2.5612084543201299E-5</v>
      </c>
      <c r="S4" s="4">
        <v>5.5467302553569901E-5</v>
      </c>
      <c r="T4" s="4">
        <v>3.9273667724813302E-5</v>
      </c>
      <c r="U4" s="4">
        <v>4.6102718708586202E-5</v>
      </c>
      <c r="V4" s="4">
        <v>4.5716920932083699E-5</v>
      </c>
      <c r="W4" s="4">
        <v>5.9557808509828897E-5</v>
      </c>
      <c r="X4" s="4">
        <v>6.66208646053468E-5</v>
      </c>
      <c r="Y4" s="4">
        <v>5.49631313128121E-5</v>
      </c>
      <c r="Z4" s="4">
        <v>3.6288753967068001E-5</v>
      </c>
      <c r="AA4" s="4">
        <v>3.27287155012092E-5</v>
      </c>
      <c r="AB4" s="4">
        <v>4.8032591228931701E-5</v>
      </c>
      <c r="AC4" s="4">
        <v>4.4689124043011897E-5</v>
      </c>
      <c r="AD4" s="4">
        <v>3.31845568030185E-5</v>
      </c>
      <c r="AE4" s="4">
        <v>2.7794653203976099E-5</v>
      </c>
      <c r="AF4" s="4">
        <v>3.7791471005347102E-5</v>
      </c>
      <c r="AG4" s="4">
        <v>6.5674631584434595E-5</v>
      </c>
      <c r="AH4" s="4">
        <v>4.79895953763015E-5</v>
      </c>
      <c r="AI4" s="4">
        <v>5.9125244444040998E-5</v>
      </c>
      <c r="AJ4" s="4">
        <v>3.3886838170546499E-5</v>
      </c>
      <c r="AK4" s="4">
        <v>4.4588586779938597E-5</v>
      </c>
      <c r="AL4" s="4">
        <v>3.4547703622469398E-5</v>
      </c>
      <c r="AM4" s="4">
        <v>6.2340980659659695E-5</v>
      </c>
      <c r="AN4" s="4">
        <v>4.6464285233328697E-5</v>
      </c>
      <c r="AO4" s="4">
        <v>3.1620783349618901E-5</v>
      </c>
      <c r="AP4" s="4">
        <v>4.7213598799496197E-5</v>
      </c>
      <c r="AQ4" s="4">
        <v>4.6513959319863199E-5</v>
      </c>
      <c r="AR4" s="4">
        <v>6.27006325945691E-5</v>
      </c>
      <c r="AS4" s="4">
        <v>6.4822607922286496E-5</v>
      </c>
      <c r="AT4" s="4">
        <v>6.5283961199907094E-5</v>
      </c>
      <c r="AU4" s="4">
        <v>4.50816639970359E-5</v>
      </c>
      <c r="AV4" s="4">
        <v>4.5346514531617097E-5</v>
      </c>
      <c r="AW4" s="4">
        <v>6.4580782920392601E-5</v>
      </c>
      <c r="AX4" s="4">
        <v>3.9863259090283903E-5</v>
      </c>
      <c r="AY4">
        <v>1.20004778426201E-3</v>
      </c>
      <c r="AZ4">
        <v>6.0995438867386101E-4</v>
      </c>
      <c r="BA4">
        <v>5.0689977917435102E-4</v>
      </c>
      <c r="BB4">
        <v>4.9086524283944695E-4</v>
      </c>
      <c r="BC4">
        <v>3.7986650178110102E-4</v>
      </c>
      <c r="BD4">
        <v>8.6367040971152705E-4</v>
      </c>
      <c r="BE4">
        <v>4.0038026445731199E-4</v>
      </c>
      <c r="BF4">
        <v>5.1109411461382399E-4</v>
      </c>
      <c r="BG4">
        <v>4.8198531329774998E-4</v>
      </c>
      <c r="BH4">
        <v>6.4260211921999904E-4</v>
      </c>
      <c r="BI4">
        <v>4.1731320477302102E-4</v>
      </c>
      <c r="BJ4">
        <v>2.6765530651899199E-4</v>
      </c>
      <c r="BK4">
        <v>2.2243220258247101E-4</v>
      </c>
      <c r="BL4">
        <v>3.31296663969055E-4</v>
      </c>
      <c r="BM4">
        <v>2.21987974840187E-4</v>
      </c>
      <c r="BN4">
        <v>1.3595174200661301E-4</v>
      </c>
      <c r="BO4">
        <v>1.01082862495676E-4</v>
      </c>
      <c r="BP4">
        <v>1.60566052889445E-4</v>
      </c>
      <c r="BQ4">
        <v>1.3136677313710799E-4</v>
      </c>
      <c r="BR4">
        <v>1.2747271516482401E-4</v>
      </c>
      <c r="BS4">
        <v>1.11845657057191E-4</v>
      </c>
      <c r="BT4" s="4">
        <v>6.9540536283533994E-5</v>
      </c>
      <c r="BU4" s="4">
        <v>7.7110344746493694E-5</v>
      </c>
      <c r="BV4" s="4">
        <v>6.5299500611919295E-5</v>
      </c>
      <c r="BW4" s="4">
        <v>8.3715810414308693E-5</v>
      </c>
      <c r="BX4">
        <v>1.0990044463750799E-4</v>
      </c>
      <c r="BY4" s="4">
        <v>9.0773489251248598E-5</v>
      </c>
      <c r="BZ4">
        <v>1.00146186900786E-4</v>
      </c>
      <c r="CA4">
        <v>1.20098616676572E-4</v>
      </c>
      <c r="CB4" s="4">
        <v>9.0221829235409196E-5</v>
      </c>
      <c r="CC4" s="4">
        <v>5.71510035965648E-5</v>
      </c>
      <c r="CD4">
        <v>1.19457047216528E-4</v>
      </c>
      <c r="CE4" s="4">
        <v>7.6177924555599099E-5</v>
      </c>
      <c r="CF4" s="4">
        <v>7.4520537710379096E-5</v>
      </c>
      <c r="CG4" s="4">
        <v>7.64137255587192E-5</v>
      </c>
      <c r="CH4" s="4">
        <v>7.4082381122367606E-5</v>
      </c>
      <c r="CI4" s="4">
        <v>6.3323900359701105E-5</v>
      </c>
      <c r="CJ4" s="4">
        <v>6.4584510368181396E-5</v>
      </c>
      <c r="CK4" s="4">
        <v>4.8803867640106598E-5</v>
      </c>
      <c r="CL4" s="4">
        <v>5.5944256394600102E-5</v>
      </c>
      <c r="CM4" s="4">
        <v>5.0915257534425002E-5</v>
      </c>
      <c r="CN4" s="4">
        <v>3.9850325604141502E-5</v>
      </c>
      <c r="CO4" s="4">
        <v>6.7912219486865202E-5</v>
      </c>
      <c r="CP4" s="4">
        <v>6.9483667382841995E-5</v>
      </c>
      <c r="CQ4" s="4">
        <v>5.2867639745751498E-5</v>
      </c>
      <c r="CR4" s="4">
        <v>5.0184143359891401E-5</v>
      </c>
      <c r="CS4" s="4">
        <v>6.4940550752034105E-5</v>
      </c>
      <c r="CT4" s="4">
        <v>5.48896067238667E-5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</row>
    <row r="8" spans="1:9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7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</row>
    <row r="9" spans="1:9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258</v>
      </c>
      <c r="AZ9">
        <v>16</v>
      </c>
      <c r="BA9">
        <v>21</v>
      </c>
      <c r="BB9">
        <v>7</v>
      </c>
      <c r="BC9">
        <v>7</v>
      </c>
      <c r="BD9">
        <v>72</v>
      </c>
      <c r="BE9">
        <v>8</v>
      </c>
      <c r="BF9">
        <v>7</v>
      </c>
      <c r="BG9">
        <v>6</v>
      </c>
      <c r="BH9">
        <v>23</v>
      </c>
      <c r="BI9">
        <v>3</v>
      </c>
      <c r="BJ9">
        <v>0</v>
      </c>
      <c r="BK9">
        <v>0</v>
      </c>
      <c r="BL9">
        <v>3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</row>
    <row r="10" spans="1:98" x14ac:dyDescent="0.25">
      <c r="A10" t="s">
        <v>8</v>
      </c>
      <c r="B10">
        <v>0</v>
      </c>
      <c r="C10">
        <v>2</v>
      </c>
      <c r="D10">
        <v>0</v>
      </c>
      <c r="E10">
        <v>1</v>
      </c>
      <c r="F10">
        <v>0</v>
      </c>
      <c r="G10">
        <v>4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7</v>
      </c>
      <c r="X10">
        <v>3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0</v>
      </c>
      <c r="AP10">
        <v>1</v>
      </c>
      <c r="AQ10">
        <v>1</v>
      </c>
      <c r="AR10">
        <v>1</v>
      </c>
      <c r="AS10">
        <v>2</v>
      </c>
      <c r="AT10">
        <v>1</v>
      </c>
      <c r="AU10">
        <v>1</v>
      </c>
      <c r="AV10">
        <v>1</v>
      </c>
      <c r="AW10">
        <v>4</v>
      </c>
      <c r="AX10">
        <v>0</v>
      </c>
      <c r="AY10">
        <v>5124</v>
      </c>
      <c r="AZ10">
        <v>1171</v>
      </c>
      <c r="BA10">
        <v>712</v>
      </c>
      <c r="BB10">
        <v>579</v>
      </c>
      <c r="BC10">
        <v>348</v>
      </c>
      <c r="BD10">
        <v>2589</v>
      </c>
      <c r="BE10">
        <v>360</v>
      </c>
      <c r="BF10">
        <v>692</v>
      </c>
      <c r="BG10">
        <v>670</v>
      </c>
      <c r="BH10">
        <v>1394</v>
      </c>
      <c r="BI10">
        <v>393</v>
      </c>
      <c r="BJ10">
        <v>116</v>
      </c>
      <c r="BK10">
        <v>88</v>
      </c>
      <c r="BL10">
        <v>239</v>
      </c>
      <c r="BM10">
        <v>73</v>
      </c>
      <c r="BN10">
        <v>22</v>
      </c>
      <c r="BO10">
        <v>9</v>
      </c>
      <c r="BP10">
        <v>23</v>
      </c>
      <c r="BQ10">
        <v>15</v>
      </c>
      <c r="BR10">
        <v>10</v>
      </c>
      <c r="BS10">
        <v>8</v>
      </c>
      <c r="BT10">
        <v>0</v>
      </c>
      <c r="BU10">
        <v>0</v>
      </c>
      <c r="BV10">
        <v>1</v>
      </c>
      <c r="BW10">
        <v>4</v>
      </c>
      <c r="BX10">
        <v>15</v>
      </c>
      <c r="BY10">
        <v>6</v>
      </c>
      <c r="BZ10">
        <v>11</v>
      </c>
      <c r="CA10">
        <v>5</v>
      </c>
      <c r="CB10">
        <v>3</v>
      </c>
      <c r="CC10">
        <v>0</v>
      </c>
      <c r="CD10">
        <v>14</v>
      </c>
      <c r="CE10">
        <v>4</v>
      </c>
      <c r="CF10">
        <v>3</v>
      </c>
      <c r="CG10">
        <v>2</v>
      </c>
      <c r="CH10">
        <v>0</v>
      </c>
      <c r="CI10">
        <v>0</v>
      </c>
      <c r="CJ10">
        <v>2</v>
      </c>
      <c r="CK10">
        <v>1</v>
      </c>
      <c r="CL10">
        <v>2</v>
      </c>
      <c r="CM10">
        <v>1</v>
      </c>
      <c r="CN10">
        <v>1</v>
      </c>
      <c r="CO10">
        <v>1</v>
      </c>
      <c r="CP10">
        <v>2</v>
      </c>
      <c r="CQ10">
        <v>2</v>
      </c>
      <c r="CR10">
        <v>5</v>
      </c>
      <c r="CS10">
        <v>3</v>
      </c>
      <c r="CT10">
        <v>1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2.4826037838387702E-2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</row>
    <row r="18" spans="1:98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2.4826037838387702E-2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2.4826037838387702E-2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9.9304151353551001E-2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</row>
    <row r="21" spans="1:98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8.6306825938386997E-2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</row>
    <row r="22" spans="1:9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8.4763749706919703E-2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</row>
    <row r="23" spans="1:9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0.49747474116123802</v>
      </c>
      <c r="AZ23">
        <v>0.221342626559245</v>
      </c>
      <c r="BA23">
        <v>0.22116138814567901</v>
      </c>
      <c r="BB23">
        <v>0.19703806055899101</v>
      </c>
      <c r="BC23">
        <v>0.12525100639606701</v>
      </c>
      <c r="BD23">
        <v>0.281540140901058</v>
      </c>
      <c r="BE23">
        <v>0.160483233433134</v>
      </c>
      <c r="BF23">
        <v>0.157381108784579</v>
      </c>
      <c r="BG23">
        <v>0.18398424234664801</v>
      </c>
      <c r="BH23">
        <v>0.22190596466829099</v>
      </c>
      <c r="BI23">
        <v>0.12799995422077601</v>
      </c>
      <c r="BJ23">
        <v>0</v>
      </c>
      <c r="BK23">
        <v>0</v>
      </c>
      <c r="BL23">
        <v>0.117119565574266</v>
      </c>
      <c r="BM23">
        <v>6.3773851478042806E-2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0.32613165999900601</v>
      </c>
      <c r="AZ24">
        <v>0.187570783695408</v>
      </c>
      <c r="BA24">
        <v>0.164444681644699</v>
      </c>
      <c r="BB24">
        <v>0.14396574929495901</v>
      </c>
      <c r="BC24">
        <v>0.116029334359901</v>
      </c>
      <c r="BD24">
        <v>0.24342783266652501</v>
      </c>
      <c r="BE24">
        <v>0.135217335343673</v>
      </c>
      <c r="BF24">
        <v>0.145957156632913</v>
      </c>
      <c r="BG24">
        <v>0.161658688393605</v>
      </c>
      <c r="BH24">
        <v>0.19008519063368801</v>
      </c>
      <c r="BI24">
        <v>0.12141673675359201</v>
      </c>
      <c r="BJ24">
        <v>0</v>
      </c>
      <c r="BK24">
        <v>0</v>
      </c>
      <c r="BL24">
        <v>0.11516565628594801</v>
      </c>
      <c r="BM24">
        <v>6.3773851478042806E-2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0.31136620426868999</v>
      </c>
      <c r="AZ25">
        <v>0.18023689774987001</v>
      </c>
      <c r="BA25">
        <v>0.158960363919466</v>
      </c>
      <c r="BB25">
        <v>0.139774856334241</v>
      </c>
      <c r="BC25">
        <v>0.124653075621982</v>
      </c>
      <c r="BD25">
        <v>0.24508107179045699</v>
      </c>
      <c r="BE25">
        <v>0.13563830008448099</v>
      </c>
      <c r="BF25">
        <v>0.144929136097878</v>
      </c>
      <c r="BG25">
        <v>0.16139587690570301</v>
      </c>
      <c r="BH25">
        <v>0.19056618646224499</v>
      </c>
      <c r="BI25">
        <v>0.12141673675359201</v>
      </c>
      <c r="BJ25">
        <v>0</v>
      </c>
      <c r="BK25">
        <v>0</v>
      </c>
      <c r="BL25">
        <v>0.11516565628594801</v>
      </c>
      <c r="BM25">
        <v>6.3773851478042806E-2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</row>
    <row r="26" spans="1:98" x14ac:dyDescent="0.25">
      <c r="A26" t="s">
        <v>24</v>
      </c>
      <c r="B26">
        <v>0</v>
      </c>
      <c r="C26">
        <v>9.2347752858163601E-2</v>
      </c>
      <c r="D26">
        <v>0</v>
      </c>
      <c r="E26">
        <v>8.1224589202445505E-2</v>
      </c>
      <c r="F26">
        <v>0</v>
      </c>
      <c r="G26">
        <v>8.1500896647876797E-2</v>
      </c>
      <c r="H26">
        <v>6.6921052852411803E-2</v>
      </c>
      <c r="I26">
        <v>7.5337735582971493E-2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7.1791899715031096E-2</v>
      </c>
      <c r="Q26">
        <v>0</v>
      </c>
      <c r="R26">
        <v>0</v>
      </c>
      <c r="S26">
        <v>0</v>
      </c>
      <c r="T26">
        <v>0</v>
      </c>
      <c r="U26">
        <v>0</v>
      </c>
      <c r="V26">
        <v>6.1260409489448997E-2</v>
      </c>
      <c r="W26">
        <v>0.10230645273132701</v>
      </c>
      <c r="X26">
        <v>9.4793292166155896E-2</v>
      </c>
      <c r="Y26">
        <v>7.1184316807996598E-2</v>
      </c>
      <c r="Z26">
        <v>0</v>
      </c>
      <c r="AA26">
        <v>0</v>
      </c>
      <c r="AB26">
        <v>6.6380037752551496E-2</v>
      </c>
      <c r="AC26">
        <v>0</v>
      </c>
      <c r="AD26">
        <v>0</v>
      </c>
      <c r="AE26">
        <v>0</v>
      </c>
      <c r="AF26">
        <v>8.4540039163887706E-2</v>
      </c>
      <c r="AG26">
        <v>0.120657376547472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6.3184131838879401E-2</v>
      </c>
      <c r="AN26">
        <v>0</v>
      </c>
      <c r="AO26">
        <v>0</v>
      </c>
      <c r="AP26">
        <v>5.8940417023500197E-2</v>
      </c>
      <c r="AQ26">
        <v>5.8477183647512997E-2</v>
      </c>
      <c r="AR26">
        <v>6.5840324350955395E-2</v>
      </c>
      <c r="AS26">
        <v>8.1794923316808904E-2</v>
      </c>
      <c r="AT26">
        <v>6.9605648932675901E-2</v>
      </c>
      <c r="AU26">
        <v>5.9697749997166497E-2</v>
      </c>
      <c r="AV26">
        <v>5.65295862701218E-2</v>
      </c>
      <c r="AW26">
        <v>8.6804329318824799E-2</v>
      </c>
      <c r="AX26">
        <v>0</v>
      </c>
      <c r="AY26">
        <v>1.9898989646449501</v>
      </c>
      <c r="AZ26">
        <v>0.88537050623697999</v>
      </c>
      <c r="BA26">
        <v>0.88464555258271804</v>
      </c>
      <c r="BB26">
        <v>0.78815224223596603</v>
      </c>
      <c r="BC26">
        <v>0.58640451088165502</v>
      </c>
      <c r="BD26">
        <v>1.12616056360423</v>
      </c>
      <c r="BE26">
        <v>0.64193293373253701</v>
      </c>
      <c r="BF26">
        <v>0.69361803883185102</v>
      </c>
      <c r="BG26">
        <v>0.73593696938659403</v>
      </c>
      <c r="BH26">
        <v>0.88762385867316396</v>
      </c>
      <c r="BI26">
        <v>0.58396024312697703</v>
      </c>
      <c r="BJ26">
        <v>0.40292971230764502</v>
      </c>
      <c r="BK26">
        <v>0.34244211031704902</v>
      </c>
      <c r="BL26">
        <v>0.46847826229706702</v>
      </c>
      <c r="BM26">
        <v>0.35855860282108998</v>
      </c>
      <c r="BN26">
        <v>0.20356949126471</v>
      </c>
      <c r="BO26">
        <v>0.18788244436662399</v>
      </c>
      <c r="BP26">
        <v>0.23070336653289999</v>
      </c>
      <c r="BQ26">
        <v>0.202365773714268</v>
      </c>
      <c r="BR26">
        <v>0.19178931701847701</v>
      </c>
      <c r="BS26">
        <v>0.18792571360987101</v>
      </c>
      <c r="BT26">
        <v>0</v>
      </c>
      <c r="BU26">
        <v>0</v>
      </c>
      <c r="BV26">
        <v>9.2836490094057506E-2</v>
      </c>
      <c r="BW26">
        <v>0.13306271916179399</v>
      </c>
      <c r="BX26">
        <v>0.17610349187056901</v>
      </c>
      <c r="BY26">
        <v>0.120465122638445</v>
      </c>
      <c r="BZ26">
        <v>0.14759008716292399</v>
      </c>
      <c r="CA26">
        <v>0.19126682804709799</v>
      </c>
      <c r="CB26">
        <v>0.13139280071270301</v>
      </c>
      <c r="CC26">
        <v>0</v>
      </c>
      <c r="CD26">
        <v>0.19598917067525201</v>
      </c>
      <c r="CE26">
        <v>0.110050667226157</v>
      </c>
      <c r="CF26">
        <v>9.1425816787614397E-2</v>
      </c>
      <c r="CG26">
        <v>0.13618799964814701</v>
      </c>
      <c r="CH26">
        <v>0</v>
      </c>
      <c r="CI26">
        <v>0</v>
      </c>
      <c r="CJ26">
        <v>9.2110824018919193E-2</v>
      </c>
      <c r="CK26">
        <v>9.1625438866162298E-2</v>
      </c>
      <c r="CL26">
        <v>0.116753852456776</v>
      </c>
      <c r="CM26">
        <v>5.2076782596597697E-2</v>
      </c>
      <c r="CN26">
        <v>7.6245906355097204E-2</v>
      </c>
      <c r="CO26">
        <v>0.10436240729716501</v>
      </c>
      <c r="CP26">
        <v>0.113123692554327</v>
      </c>
      <c r="CQ26">
        <v>7.9935693036355601E-2</v>
      </c>
      <c r="CR26">
        <v>0.10875171919953899</v>
      </c>
      <c r="CS26">
        <v>0.114631677493282</v>
      </c>
      <c r="CT26">
        <v>6.9355934772179703E-2</v>
      </c>
    </row>
    <row r="27" spans="1:98" x14ac:dyDescent="0.25">
      <c r="A27" t="s">
        <v>25</v>
      </c>
      <c r="B27">
        <v>0</v>
      </c>
      <c r="C27">
        <v>8.8694091131477595E-2</v>
      </c>
      <c r="D27">
        <v>0</v>
      </c>
      <c r="E27">
        <v>8.1224589202445505E-2</v>
      </c>
      <c r="F27">
        <v>0</v>
      </c>
      <c r="G27">
        <v>7.3940400686603305E-2</v>
      </c>
      <c r="H27">
        <v>6.6921052852411803E-2</v>
      </c>
      <c r="I27">
        <v>7.5337735582971493E-2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7.1791899715031096E-2</v>
      </c>
      <c r="Q27">
        <v>0</v>
      </c>
      <c r="R27">
        <v>0</v>
      </c>
      <c r="S27">
        <v>0</v>
      </c>
      <c r="T27">
        <v>0</v>
      </c>
      <c r="U27">
        <v>0</v>
      </c>
      <c r="V27">
        <v>6.1260409489448997E-2</v>
      </c>
      <c r="W27">
        <v>7.6407885380016402E-2</v>
      </c>
      <c r="X27">
        <v>9.0676761830025696E-2</v>
      </c>
      <c r="Y27">
        <v>7.1184316807996598E-2</v>
      </c>
      <c r="Z27">
        <v>0</v>
      </c>
      <c r="AA27">
        <v>0</v>
      </c>
      <c r="AB27">
        <v>6.6380037752551496E-2</v>
      </c>
      <c r="AC27">
        <v>0</v>
      </c>
      <c r="AD27">
        <v>0</v>
      </c>
      <c r="AE27">
        <v>0</v>
      </c>
      <c r="AF27">
        <v>8.4540039163887706E-2</v>
      </c>
      <c r="AG27">
        <v>9.5583145515759096E-2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6.2292744665140398E-2</v>
      </c>
      <c r="AN27">
        <v>0</v>
      </c>
      <c r="AO27">
        <v>0</v>
      </c>
      <c r="AP27">
        <v>5.8940417023500197E-2</v>
      </c>
      <c r="AQ27">
        <v>5.8477183647512997E-2</v>
      </c>
      <c r="AR27">
        <v>6.5840324350955395E-2</v>
      </c>
      <c r="AS27">
        <v>6.5414784684085306E-2</v>
      </c>
      <c r="AT27">
        <v>6.9605648932675901E-2</v>
      </c>
      <c r="AU27">
        <v>5.9697749997166497E-2</v>
      </c>
      <c r="AV27">
        <v>5.65295862701218E-2</v>
      </c>
      <c r="AW27">
        <v>8.2209739050327996E-2</v>
      </c>
      <c r="AX27">
        <v>0</v>
      </c>
      <c r="AY27">
        <v>1.2612129201522599</v>
      </c>
      <c r="AZ27">
        <v>0.63142485098480705</v>
      </c>
      <c r="BA27">
        <v>0.54354322946173605</v>
      </c>
      <c r="BB27">
        <v>0.504423462827299</v>
      </c>
      <c r="BC27">
        <v>0.40475928763361602</v>
      </c>
      <c r="BD27">
        <v>0.89197139594608199</v>
      </c>
      <c r="BE27">
        <v>0.42992225888298202</v>
      </c>
      <c r="BF27">
        <v>0.53141543095041799</v>
      </c>
      <c r="BG27">
        <v>0.50365397600671002</v>
      </c>
      <c r="BH27">
        <v>0.66991986432834905</v>
      </c>
      <c r="BI27">
        <v>0.43459479998190198</v>
      </c>
      <c r="BJ27">
        <v>0.289798204947185</v>
      </c>
      <c r="BK27">
        <v>0.25649094226882202</v>
      </c>
      <c r="BL27">
        <v>0.35194168057411701</v>
      </c>
      <c r="BM27">
        <v>0.251232355326511</v>
      </c>
      <c r="BN27">
        <v>0.16631060951650201</v>
      </c>
      <c r="BO27">
        <v>0.141852764431566</v>
      </c>
      <c r="BP27">
        <v>0.18294199310221301</v>
      </c>
      <c r="BQ27">
        <v>0.155804154725972</v>
      </c>
      <c r="BR27">
        <v>0.150587438546709</v>
      </c>
      <c r="BS27">
        <v>0.15435726392100299</v>
      </c>
      <c r="BT27">
        <v>0</v>
      </c>
      <c r="BU27">
        <v>0</v>
      </c>
      <c r="BV27">
        <v>9.2836490094057506E-2</v>
      </c>
      <c r="BW27">
        <v>0.112696417832094</v>
      </c>
      <c r="BX27">
        <v>0.13721340552172401</v>
      </c>
      <c r="BY27">
        <v>0.10980765106818501</v>
      </c>
      <c r="BZ27">
        <v>0.127338762451666</v>
      </c>
      <c r="CA27">
        <v>0.162517036867353</v>
      </c>
      <c r="CB27">
        <v>0.117494814469688</v>
      </c>
      <c r="CC27">
        <v>0</v>
      </c>
      <c r="CD27">
        <v>0.15779947298256999</v>
      </c>
      <c r="CE27">
        <v>0.104899981510074</v>
      </c>
      <c r="CF27">
        <v>8.94987525235547E-2</v>
      </c>
      <c r="CG27">
        <v>0.119697947716068</v>
      </c>
      <c r="CH27">
        <v>0</v>
      </c>
      <c r="CI27">
        <v>0</v>
      </c>
      <c r="CJ27">
        <v>8.79689884868156E-2</v>
      </c>
      <c r="CK27">
        <v>9.1625438866162298E-2</v>
      </c>
      <c r="CL27">
        <v>0.116753852456776</v>
      </c>
      <c r="CM27">
        <v>5.2076782596597697E-2</v>
      </c>
      <c r="CN27">
        <v>7.6245906355097204E-2</v>
      </c>
      <c r="CO27">
        <v>0.10436240729716501</v>
      </c>
      <c r="CP27">
        <v>0.113123692554327</v>
      </c>
      <c r="CQ27">
        <v>7.9935693036355601E-2</v>
      </c>
      <c r="CR27">
        <v>7.8598044571570505E-2</v>
      </c>
      <c r="CS27">
        <v>0.10327724379080699</v>
      </c>
      <c r="CT27">
        <v>6.9355934772179703E-2</v>
      </c>
    </row>
    <row r="28" spans="1:98" x14ac:dyDescent="0.25">
      <c r="A28" t="s">
        <v>26</v>
      </c>
      <c r="B28">
        <v>0</v>
      </c>
      <c r="C28">
        <v>8.8694091131477595E-2</v>
      </c>
      <c r="D28">
        <v>0</v>
      </c>
      <c r="E28">
        <v>8.1224589202445505E-2</v>
      </c>
      <c r="F28">
        <v>0</v>
      </c>
      <c r="G28">
        <v>7.1425971352826995E-2</v>
      </c>
      <c r="H28">
        <v>6.6921052852411803E-2</v>
      </c>
      <c r="I28">
        <v>7.5337735582971493E-2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7.1791899715031096E-2</v>
      </c>
      <c r="Q28">
        <v>0</v>
      </c>
      <c r="R28">
        <v>0</v>
      </c>
      <c r="S28">
        <v>0</v>
      </c>
      <c r="T28">
        <v>0</v>
      </c>
      <c r="U28">
        <v>0</v>
      </c>
      <c r="V28">
        <v>6.1260409489448997E-2</v>
      </c>
      <c r="W28">
        <v>6.7689177582390903E-2</v>
      </c>
      <c r="X28">
        <v>9.0676761830025696E-2</v>
      </c>
      <c r="Y28">
        <v>7.1184316807996598E-2</v>
      </c>
      <c r="Z28">
        <v>0</v>
      </c>
      <c r="AA28">
        <v>0</v>
      </c>
      <c r="AB28">
        <v>6.6380037752551496E-2</v>
      </c>
      <c r="AC28">
        <v>0</v>
      </c>
      <c r="AD28">
        <v>0</v>
      </c>
      <c r="AE28">
        <v>0</v>
      </c>
      <c r="AF28">
        <v>8.4540039163887706E-2</v>
      </c>
      <c r="AG28">
        <v>9.3224371923824906E-2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6.2292744665140398E-2</v>
      </c>
      <c r="AN28">
        <v>0</v>
      </c>
      <c r="AO28">
        <v>0</v>
      </c>
      <c r="AP28">
        <v>5.8940417023500197E-2</v>
      </c>
      <c r="AQ28">
        <v>5.8477183647512997E-2</v>
      </c>
      <c r="AR28">
        <v>6.5840324350955395E-2</v>
      </c>
      <c r="AS28">
        <v>6.5414784684085306E-2</v>
      </c>
      <c r="AT28">
        <v>6.9605648932675901E-2</v>
      </c>
      <c r="AU28">
        <v>5.9697749997166497E-2</v>
      </c>
      <c r="AV28">
        <v>5.65295862701218E-2</v>
      </c>
      <c r="AW28">
        <v>8.2070879701662394E-2</v>
      </c>
      <c r="AX28">
        <v>0</v>
      </c>
      <c r="AY28">
        <v>1.2288489310843</v>
      </c>
      <c r="AZ28">
        <v>0.62459329400203301</v>
      </c>
      <c r="BA28">
        <v>0.51967244473753604</v>
      </c>
      <c r="BB28">
        <v>0.50264600866759401</v>
      </c>
      <c r="BC28">
        <v>0.392456332495694</v>
      </c>
      <c r="BD28">
        <v>0.88439849954460303</v>
      </c>
      <c r="BE28">
        <v>0.41656223058994801</v>
      </c>
      <c r="BF28">
        <v>0.52336037336455599</v>
      </c>
      <c r="BG28">
        <v>0.49355296081689598</v>
      </c>
      <c r="BH28">
        <v>0.65802457008127901</v>
      </c>
      <c r="BI28">
        <v>0.42801866869207</v>
      </c>
      <c r="BJ28">
        <v>0.28309561104597197</v>
      </c>
      <c r="BK28">
        <v>0.252986876170054</v>
      </c>
      <c r="BL28">
        <v>0.34813832736966999</v>
      </c>
      <c r="BM28">
        <v>0.24615127681929599</v>
      </c>
      <c r="BN28">
        <v>0.167438349745996</v>
      </c>
      <c r="BO28">
        <v>0.131871053153648</v>
      </c>
      <c r="BP28">
        <v>0.18250878531172199</v>
      </c>
      <c r="BQ28">
        <v>0.165083233883523</v>
      </c>
      <c r="BR28">
        <v>0.152400802226098</v>
      </c>
      <c r="BS28">
        <v>0.168095171114543</v>
      </c>
      <c r="BT28">
        <v>0</v>
      </c>
      <c r="BU28">
        <v>0</v>
      </c>
      <c r="BV28">
        <v>9.2836490094057506E-2</v>
      </c>
      <c r="BW28">
        <v>0.11685869265868599</v>
      </c>
      <c r="BX28">
        <v>0.13620910407997799</v>
      </c>
      <c r="BY28">
        <v>0.111182064892706</v>
      </c>
      <c r="BZ28">
        <v>0.119051192934891</v>
      </c>
      <c r="CA28">
        <v>0.15791565096871499</v>
      </c>
      <c r="CB28">
        <v>0.117494814469688</v>
      </c>
      <c r="CC28">
        <v>0</v>
      </c>
      <c r="CD28">
        <v>0.15272241848049301</v>
      </c>
      <c r="CE28">
        <v>0.104899981510074</v>
      </c>
      <c r="CF28">
        <v>8.94987525235547E-2</v>
      </c>
      <c r="CG28">
        <v>0.119697947716068</v>
      </c>
      <c r="CH28">
        <v>0</v>
      </c>
      <c r="CI28">
        <v>0</v>
      </c>
      <c r="CJ28">
        <v>8.79689884868156E-2</v>
      </c>
      <c r="CK28">
        <v>9.1625438866162298E-2</v>
      </c>
      <c r="CL28">
        <v>0.116753852456776</v>
      </c>
      <c r="CM28">
        <v>5.2076782596597697E-2</v>
      </c>
      <c r="CN28">
        <v>7.6245906355097204E-2</v>
      </c>
      <c r="CO28">
        <v>0.10436240729716501</v>
      </c>
      <c r="CP28">
        <v>0.113123692554327</v>
      </c>
      <c r="CQ28">
        <v>7.9935693036355601E-2</v>
      </c>
      <c r="CR28">
        <v>7.4266455920885294E-2</v>
      </c>
      <c r="CS28">
        <v>0.10327724379080699</v>
      </c>
      <c r="CT28">
        <v>6.9355934772179703E-2</v>
      </c>
    </row>
    <row r="29" spans="1:98" x14ac:dyDescent="0.25">
      <c r="A29" t="s">
        <v>32</v>
      </c>
      <c r="B29">
        <v>0.31440712500000001</v>
      </c>
      <c r="C29">
        <v>0.50323377899999999</v>
      </c>
      <c r="D29">
        <v>0.376777213</v>
      </c>
      <c r="E29">
        <v>0.42386643899999998</v>
      </c>
      <c r="F29">
        <v>0.42386643899999998</v>
      </c>
      <c r="G29">
        <v>0.44894941300000002</v>
      </c>
      <c r="H29">
        <v>0.376777213</v>
      </c>
      <c r="I29">
        <v>0.44894941300000002</v>
      </c>
      <c r="J29">
        <v>0.44894941300000002</v>
      </c>
      <c r="K29">
        <v>0.35506608000000001</v>
      </c>
      <c r="L29">
        <v>0.35506608000000001</v>
      </c>
      <c r="M29">
        <v>0.35506608000000001</v>
      </c>
      <c r="N29">
        <v>0.314737561</v>
      </c>
      <c r="O29">
        <v>0.314737561</v>
      </c>
      <c r="P29">
        <v>0.42386643899999998</v>
      </c>
      <c r="Q29">
        <v>0.377160934</v>
      </c>
      <c r="R29">
        <v>0.26113539299999999</v>
      </c>
      <c r="S29">
        <v>0.42386643899999998</v>
      </c>
      <c r="T29">
        <v>0.35506608000000001</v>
      </c>
      <c r="U29">
        <v>0.376777213</v>
      </c>
      <c r="V29">
        <v>0.376777213</v>
      </c>
      <c r="W29">
        <v>0.44894941300000002</v>
      </c>
      <c r="X29">
        <v>0.44894941300000002</v>
      </c>
      <c r="Y29">
        <v>0.42386643899999998</v>
      </c>
      <c r="Z29">
        <v>0.33405227900000001</v>
      </c>
      <c r="AA29">
        <v>0.31440712500000001</v>
      </c>
      <c r="AB29">
        <v>0.376777213</v>
      </c>
      <c r="AC29">
        <v>0.376777213</v>
      </c>
      <c r="AD29">
        <v>0.31440712500000001</v>
      </c>
      <c r="AE29">
        <v>0.27800180299999999</v>
      </c>
      <c r="AF29">
        <v>0.33439968599999997</v>
      </c>
      <c r="AG29">
        <v>0.44939223900000003</v>
      </c>
      <c r="AH29">
        <v>0.377160934</v>
      </c>
      <c r="AI29">
        <v>0.44939223900000003</v>
      </c>
      <c r="AJ29">
        <v>0.33439968599999997</v>
      </c>
      <c r="AK29">
        <v>0.377160934</v>
      </c>
      <c r="AL29">
        <v>0.33439968599999997</v>
      </c>
      <c r="AM29">
        <v>0.44939223900000003</v>
      </c>
      <c r="AN29">
        <v>0.377160934</v>
      </c>
      <c r="AO29">
        <v>0.314737561</v>
      </c>
      <c r="AP29">
        <v>0.377160934</v>
      </c>
      <c r="AQ29">
        <v>0.377160934</v>
      </c>
      <c r="AR29">
        <v>0.44939223900000003</v>
      </c>
      <c r="AS29">
        <v>0.44939223900000003</v>
      </c>
      <c r="AT29">
        <v>0.44939223900000003</v>
      </c>
      <c r="AU29">
        <v>0.377160934</v>
      </c>
      <c r="AV29">
        <v>0.377160934</v>
      </c>
      <c r="AW29">
        <v>0.44939223900000003</v>
      </c>
      <c r="AX29">
        <v>0.33439968599999997</v>
      </c>
      <c r="AY29">
        <v>2.247064306</v>
      </c>
      <c r="AZ29">
        <v>2.0619739560000001</v>
      </c>
      <c r="BA29">
        <v>1.8086265969999999</v>
      </c>
      <c r="BB29">
        <v>1.8086265969999999</v>
      </c>
      <c r="BC29">
        <v>1.5821856839999999</v>
      </c>
      <c r="BD29">
        <v>2.5487565000000001</v>
      </c>
      <c r="BE29">
        <v>1.729502407</v>
      </c>
      <c r="BF29">
        <v>1.9734137430000001</v>
      </c>
      <c r="BG29">
        <v>1.9734137430000001</v>
      </c>
      <c r="BH29">
        <v>2.1522282119999998</v>
      </c>
      <c r="BI29">
        <v>1.729502407</v>
      </c>
      <c r="BJ29">
        <v>1.317101139</v>
      </c>
      <c r="BK29">
        <v>1.200201638</v>
      </c>
      <c r="BL29">
        <v>1.511415151</v>
      </c>
      <c r="BM29">
        <v>1.200201638</v>
      </c>
      <c r="BN29">
        <v>0.89859415399999998</v>
      </c>
      <c r="BO29">
        <v>0.77321039300000005</v>
      </c>
      <c r="BP29">
        <v>1.0404225359999999</v>
      </c>
      <c r="BQ29">
        <v>0.89859415399999998</v>
      </c>
      <c r="BR29">
        <v>0.89859415399999998</v>
      </c>
      <c r="BS29">
        <v>0.81307424100000003</v>
      </c>
      <c r="BT29">
        <v>0.66228851600000005</v>
      </c>
      <c r="BU29">
        <v>0.69769667099999999</v>
      </c>
      <c r="BV29">
        <v>0.59425534599999996</v>
      </c>
      <c r="BW29">
        <v>0.69769667099999999</v>
      </c>
      <c r="BX29">
        <v>0.81307424100000003</v>
      </c>
      <c r="BY29">
        <v>0.69769667099999999</v>
      </c>
      <c r="BZ29">
        <v>0.69769667099999999</v>
      </c>
      <c r="CA29">
        <v>0.77321039300000005</v>
      </c>
      <c r="CB29">
        <v>0.66228851600000005</v>
      </c>
      <c r="CC29">
        <v>0.50323377899999999</v>
      </c>
      <c r="CD29">
        <v>0.77321039300000005</v>
      </c>
      <c r="CE29">
        <v>0.59425534599999996</v>
      </c>
      <c r="CF29">
        <v>0.59425534599999996</v>
      </c>
      <c r="CG29">
        <v>0.59425534599999996</v>
      </c>
      <c r="CH29">
        <v>0.59425534599999996</v>
      </c>
      <c r="CI29">
        <v>0.53251963199999997</v>
      </c>
      <c r="CJ29">
        <v>0.53251963199999997</v>
      </c>
      <c r="CK29">
        <v>0.44939223900000003</v>
      </c>
      <c r="CL29">
        <v>0.475692385</v>
      </c>
      <c r="CM29">
        <v>0.44894941300000002</v>
      </c>
      <c r="CN29">
        <v>0.399936554</v>
      </c>
      <c r="CO29">
        <v>0.562700329</v>
      </c>
      <c r="CP29">
        <v>0.562700329</v>
      </c>
      <c r="CQ29">
        <v>0.475692385</v>
      </c>
      <c r="CR29">
        <v>0.475692385</v>
      </c>
      <c r="CS29">
        <v>0.53201108200000002</v>
      </c>
      <c r="CT29">
        <v>0.475692385</v>
      </c>
    </row>
    <row r="30" spans="1:98" x14ac:dyDescent="0.25">
      <c r="A30" t="s">
        <v>33</v>
      </c>
      <c r="B30">
        <v>8.31415268254093E-3</v>
      </c>
      <c r="C30">
        <v>1.79218389911922E-2</v>
      </c>
      <c r="D30">
        <v>1.11725236012079E-2</v>
      </c>
      <c r="E30">
        <v>1.3541443892744399E-2</v>
      </c>
      <c r="F30">
        <v>1.3541443892744399E-2</v>
      </c>
      <c r="G30">
        <v>1.48742760453127E-2</v>
      </c>
      <c r="H30">
        <v>1.11725236012079E-2</v>
      </c>
      <c r="I30">
        <v>1.48742760453127E-2</v>
      </c>
      <c r="J30">
        <v>1.48742760453127E-2</v>
      </c>
      <c r="K30">
        <v>1.0140574463035901E-2</v>
      </c>
      <c r="L30">
        <v>1.0140574463035901E-2</v>
      </c>
      <c r="M30">
        <v>1.0140574463035901E-2</v>
      </c>
      <c r="N30">
        <v>8.3284257381582901E-3</v>
      </c>
      <c r="O30">
        <v>8.3284257381582901E-3</v>
      </c>
      <c r="P30">
        <v>1.3541443892744399E-2</v>
      </c>
      <c r="Q30">
        <v>1.1191109421489201E-2</v>
      </c>
      <c r="R30">
        <v>6.13992057159422E-3</v>
      </c>
      <c r="S30">
        <v>1.3541443892744399E-2</v>
      </c>
      <c r="T30">
        <v>1.0140574463035901E-2</v>
      </c>
      <c r="U30">
        <v>1.11725236012079E-2</v>
      </c>
      <c r="V30">
        <v>1.11725236012079E-2</v>
      </c>
      <c r="W30">
        <v>1.48742760453127E-2</v>
      </c>
      <c r="X30">
        <v>1.48742760453127E-2</v>
      </c>
      <c r="Y30">
        <v>1.3541443892744399E-2</v>
      </c>
      <c r="Z30">
        <v>9.1790827888757892E-3</v>
      </c>
      <c r="AA30">
        <v>8.31415268254093E-3</v>
      </c>
      <c r="AB30">
        <v>1.11725236012079E-2</v>
      </c>
      <c r="AC30">
        <v>1.11725236012079E-2</v>
      </c>
      <c r="AD30">
        <v>8.31415268254093E-3</v>
      </c>
      <c r="AE30">
        <v>6.8006126046857599E-3</v>
      </c>
      <c r="AF30">
        <v>9.1946756527296804E-3</v>
      </c>
      <c r="AG30">
        <v>1.48982404503143E-2</v>
      </c>
      <c r="AH30">
        <v>1.1191109421489201E-2</v>
      </c>
      <c r="AI30">
        <v>1.48982404503143E-2</v>
      </c>
      <c r="AJ30">
        <v>9.1946756527296804E-3</v>
      </c>
      <c r="AK30">
        <v>1.1191109421489201E-2</v>
      </c>
      <c r="AL30">
        <v>9.1946756527296804E-3</v>
      </c>
      <c r="AM30">
        <v>1.48982404503143E-2</v>
      </c>
      <c r="AN30">
        <v>1.1191109421489201E-2</v>
      </c>
      <c r="AO30">
        <v>8.3284257381582901E-3</v>
      </c>
      <c r="AP30">
        <v>1.1191109421489201E-2</v>
      </c>
      <c r="AQ30">
        <v>1.1191109421489201E-2</v>
      </c>
      <c r="AR30">
        <v>1.48982404503143E-2</v>
      </c>
      <c r="AS30">
        <v>1.48982404503143E-2</v>
      </c>
      <c r="AT30">
        <v>1.48982404503143E-2</v>
      </c>
      <c r="AU30">
        <v>1.1191109421489201E-2</v>
      </c>
      <c r="AV30">
        <v>1.1191109421489201E-2</v>
      </c>
      <c r="AW30">
        <v>1.48982404503143E-2</v>
      </c>
      <c r="AX30">
        <v>9.1946756527296804E-3</v>
      </c>
      <c r="AY30">
        <v>0.20630779686473599</v>
      </c>
      <c r="AZ30">
        <v>0.179289842988858</v>
      </c>
      <c r="BA30">
        <v>0.14473972053165499</v>
      </c>
      <c r="BB30">
        <v>0.14473972053165499</v>
      </c>
      <c r="BC30">
        <v>0.116340300325131</v>
      </c>
      <c r="BD30">
        <v>0.25342896285195698</v>
      </c>
      <c r="BE30">
        <v>0.13454394860773999</v>
      </c>
      <c r="BF30">
        <v>0.16688772864229401</v>
      </c>
      <c r="BG30">
        <v>0.16688772864229401</v>
      </c>
      <c r="BH30">
        <v>0.19228084726731401</v>
      </c>
      <c r="BI30">
        <v>0.13454394860773999</v>
      </c>
      <c r="BJ30">
        <v>8.6236030853999404E-2</v>
      </c>
      <c r="BK30">
        <v>7.4092951860092501E-2</v>
      </c>
      <c r="BL30">
        <v>0.107963871561848</v>
      </c>
      <c r="BM30">
        <v>7.4092951860092501E-2</v>
      </c>
      <c r="BN30">
        <v>4.6188799412558199E-2</v>
      </c>
      <c r="BO30">
        <v>3.6137988546449999E-2</v>
      </c>
      <c r="BP30">
        <v>5.8676539266062901E-2</v>
      </c>
      <c r="BQ30">
        <v>4.6188799412558199E-2</v>
      </c>
      <c r="BR30">
        <v>4.6188799412558199E-2</v>
      </c>
      <c r="BS30">
        <v>3.9229637674315899E-2</v>
      </c>
      <c r="BT30">
        <v>2.8064073065300201E-2</v>
      </c>
      <c r="BU30">
        <v>3.0555258593068499E-2</v>
      </c>
      <c r="BV30">
        <v>2.3511663649068398E-2</v>
      </c>
      <c r="BW30">
        <v>3.0555258593068499E-2</v>
      </c>
      <c r="BX30">
        <v>3.9229637674315899E-2</v>
      </c>
      <c r="BY30">
        <v>3.0555258593068499E-2</v>
      </c>
      <c r="BZ30">
        <v>3.0555258593068499E-2</v>
      </c>
      <c r="CA30">
        <v>3.6137988546449999E-2</v>
      </c>
      <c r="CB30">
        <v>2.8064073065300201E-2</v>
      </c>
      <c r="CC30">
        <v>1.79218389911922E-2</v>
      </c>
      <c r="CD30">
        <v>3.6137988546449999E-2</v>
      </c>
      <c r="CE30">
        <v>2.3511663649068398E-2</v>
      </c>
      <c r="CF30">
        <v>2.3511663649068398E-2</v>
      </c>
      <c r="CG30">
        <v>2.3511663649068398E-2</v>
      </c>
      <c r="CH30">
        <v>2.3511663649068398E-2</v>
      </c>
      <c r="CI30">
        <v>1.96560445883385E-2</v>
      </c>
      <c r="CJ30">
        <v>1.96560445883385E-2</v>
      </c>
      <c r="CK30">
        <v>1.48982404503143E-2</v>
      </c>
      <c r="CL30">
        <v>1.63481509892166E-2</v>
      </c>
      <c r="CM30">
        <v>1.48742760453127E-2</v>
      </c>
      <c r="CN30">
        <v>1.2315554121040901E-2</v>
      </c>
      <c r="CO30">
        <v>2.15075171997079E-2</v>
      </c>
      <c r="CP30">
        <v>2.15075171997079E-2</v>
      </c>
      <c r="CQ30">
        <v>1.63481509892166E-2</v>
      </c>
      <c r="CR30">
        <v>1.63481509892166E-2</v>
      </c>
      <c r="CS30">
        <v>1.9625402209926E-2</v>
      </c>
      <c r="CT30">
        <v>1.63481509892166E-2</v>
      </c>
    </row>
    <row r="31" spans="1:98" x14ac:dyDescent="0.25">
      <c r="A31" t="s">
        <v>34</v>
      </c>
      <c r="B31" s="1">
        <v>45166</v>
      </c>
      <c r="C31" s="1">
        <v>45166.010416666664</v>
      </c>
      <c r="D31" s="1">
        <v>45166.020833333336</v>
      </c>
      <c r="E31" s="1">
        <v>45166.03125</v>
      </c>
      <c r="F31" s="1">
        <v>45166.041666666664</v>
      </c>
      <c r="G31" s="1">
        <v>45166.052083333336</v>
      </c>
      <c r="H31" s="1">
        <v>45166.0625</v>
      </c>
      <c r="I31" s="1">
        <v>45166.072916666664</v>
      </c>
      <c r="J31" s="1">
        <v>45166.083333333336</v>
      </c>
      <c r="K31" s="1">
        <v>45166.09375</v>
      </c>
      <c r="L31" s="1">
        <v>45166.104166666664</v>
      </c>
      <c r="M31" s="1">
        <v>45166.114583333336</v>
      </c>
      <c r="N31" s="1">
        <v>45166.125</v>
      </c>
      <c r="O31" s="1">
        <v>45166.135416666664</v>
      </c>
      <c r="P31" s="1">
        <v>45166.145833333336</v>
      </c>
      <c r="Q31" s="1">
        <v>45166.15625</v>
      </c>
      <c r="R31" s="1">
        <v>45166.166666666664</v>
      </c>
      <c r="S31" s="1">
        <v>45166.177083333336</v>
      </c>
      <c r="T31" s="1">
        <v>45166.1875</v>
      </c>
      <c r="U31" s="1">
        <v>45166.197916666664</v>
      </c>
      <c r="V31" s="1">
        <v>45166.208333333336</v>
      </c>
      <c r="W31" s="1">
        <v>45166.21875</v>
      </c>
      <c r="X31" s="1">
        <v>45166.229166666664</v>
      </c>
      <c r="Y31" s="1">
        <v>45166.239583333336</v>
      </c>
      <c r="Z31" s="1">
        <v>45166.25</v>
      </c>
      <c r="AA31" s="1">
        <v>45166.260416666664</v>
      </c>
      <c r="AB31" s="1">
        <v>45166.270833333336</v>
      </c>
      <c r="AC31" s="1">
        <v>45166.28125</v>
      </c>
      <c r="AD31" s="1">
        <v>45166.291666666664</v>
      </c>
      <c r="AE31" s="1">
        <v>45166.302083333336</v>
      </c>
      <c r="AF31" s="1">
        <v>45166.3125</v>
      </c>
      <c r="AG31" s="1">
        <v>45166.322916666664</v>
      </c>
      <c r="AH31" s="1">
        <v>45166.333333333336</v>
      </c>
      <c r="AI31" s="1">
        <v>45166.34375</v>
      </c>
      <c r="AJ31" s="1">
        <v>45166.354166666664</v>
      </c>
      <c r="AK31" s="1">
        <v>45166.364583333336</v>
      </c>
      <c r="AL31" s="1">
        <v>45166.375</v>
      </c>
      <c r="AM31" s="1">
        <v>45166.385416666664</v>
      </c>
      <c r="AN31" s="1">
        <v>45166.395833333336</v>
      </c>
      <c r="AO31" s="1">
        <v>45166.40625</v>
      </c>
      <c r="AP31" s="1">
        <v>45166.416666666664</v>
      </c>
      <c r="AQ31" s="1">
        <v>45166.427083333336</v>
      </c>
      <c r="AR31" s="1">
        <v>45166.4375</v>
      </c>
      <c r="AS31" s="1">
        <v>45166.447916666664</v>
      </c>
      <c r="AT31" s="1">
        <v>45166.458333333336</v>
      </c>
      <c r="AU31" s="1">
        <v>45166.46875</v>
      </c>
      <c r="AV31" s="1">
        <v>45166.479166666664</v>
      </c>
      <c r="AW31" s="1">
        <v>45166.489583333336</v>
      </c>
      <c r="AX31" s="1">
        <v>45166.5</v>
      </c>
      <c r="AY31" s="1">
        <v>45166.510416666664</v>
      </c>
      <c r="AZ31" s="1">
        <v>45166.520833333336</v>
      </c>
      <c r="BA31" s="1">
        <v>45166.53125</v>
      </c>
      <c r="BB31" s="1">
        <v>45166.541666666664</v>
      </c>
      <c r="BC31" s="1">
        <v>45166.552083333336</v>
      </c>
      <c r="BD31" s="1">
        <v>45166.5625</v>
      </c>
      <c r="BE31" s="1">
        <v>45166.572916666664</v>
      </c>
      <c r="BF31" s="1">
        <v>45166.583333333336</v>
      </c>
      <c r="BG31" s="1">
        <v>45166.59375</v>
      </c>
      <c r="BH31" s="1">
        <v>45166.604166666664</v>
      </c>
      <c r="BI31" s="1">
        <v>45166.614583333336</v>
      </c>
      <c r="BJ31" s="1">
        <v>45166.625</v>
      </c>
      <c r="BK31" s="1">
        <v>45166.635416666664</v>
      </c>
      <c r="BL31" s="1">
        <v>45166.645833333336</v>
      </c>
      <c r="BM31" s="1">
        <v>45166.65625</v>
      </c>
      <c r="BN31" s="1">
        <v>45166.666666666664</v>
      </c>
      <c r="BO31" s="1">
        <v>45166.677083333336</v>
      </c>
      <c r="BP31" s="1">
        <v>45166.6875</v>
      </c>
      <c r="BQ31" s="1">
        <v>45166.697916666664</v>
      </c>
      <c r="BR31" s="1">
        <v>45166.708333333336</v>
      </c>
      <c r="BS31" s="1">
        <v>45166.71875</v>
      </c>
      <c r="BT31" s="1">
        <v>45166.729166666664</v>
      </c>
      <c r="BU31" s="1">
        <v>45166.739583333336</v>
      </c>
      <c r="BV31" s="1">
        <v>45166.75</v>
      </c>
      <c r="BW31" s="1">
        <v>45166.760416666664</v>
      </c>
      <c r="BX31" s="1">
        <v>45166.770833333336</v>
      </c>
      <c r="BY31" s="1">
        <v>45166.78125</v>
      </c>
      <c r="BZ31" s="1">
        <v>45166.791666666664</v>
      </c>
      <c r="CA31" s="1">
        <v>45166.802083333336</v>
      </c>
      <c r="CB31" s="1">
        <v>45166.8125</v>
      </c>
      <c r="CC31" s="1">
        <v>45166.822916666664</v>
      </c>
      <c r="CD31" s="1">
        <v>45166.833333333336</v>
      </c>
      <c r="CE31" s="1">
        <v>45166.84375</v>
      </c>
      <c r="CF31" s="1">
        <v>45166.854166666664</v>
      </c>
      <c r="CG31" s="1">
        <v>45166.864583333336</v>
      </c>
      <c r="CH31" s="1">
        <v>45166.875</v>
      </c>
      <c r="CI31" s="1">
        <v>45166.885416666664</v>
      </c>
      <c r="CJ31" s="1">
        <v>45166.895833333336</v>
      </c>
      <c r="CK31" s="1">
        <v>45166.90625</v>
      </c>
      <c r="CL31" s="1">
        <v>45166.916666666664</v>
      </c>
      <c r="CM31" s="1">
        <v>45166.927083333336</v>
      </c>
      <c r="CN31" s="1">
        <v>45166.9375</v>
      </c>
      <c r="CO31" s="1">
        <v>45166.947916666664</v>
      </c>
      <c r="CP31" s="1">
        <v>45166.958333333336</v>
      </c>
      <c r="CQ31" s="1">
        <v>45166.96875</v>
      </c>
      <c r="CR31" s="1">
        <v>45166.979166666664</v>
      </c>
      <c r="CS31" s="1">
        <v>45166.989583333336</v>
      </c>
      <c r="CT31" s="1">
        <v>45167</v>
      </c>
    </row>
    <row r="32" spans="1:98" x14ac:dyDescent="0.25">
      <c r="AY32" t="s">
        <v>45</v>
      </c>
    </row>
    <row r="34" spans="1:28" x14ac:dyDescent="0.25">
      <c r="A34" s="2"/>
      <c r="B34" s="2"/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2" t="str">
        <f>A2</f>
        <v>max_amp</v>
      </c>
      <c r="B35" s="2">
        <f>MAX(B2:CT2)</f>
        <v>1.9432607076610799E-3</v>
      </c>
      <c r="C35" s="3">
        <f>_xlfn.XLOOKUP(MAX(B2:CT2), B2:CT2, $B$1:$CT$1)</f>
        <v>45166.510416666664</v>
      </c>
      <c r="E35" s="1">
        <v>45166</v>
      </c>
      <c r="F35" s="4">
        <v>5.0691721655091601E-5</v>
      </c>
      <c r="G35" s="4">
        <v>3.0801303341743101E-5</v>
      </c>
      <c r="H35" s="4">
        <v>2.9691201672209E-5</v>
      </c>
      <c r="T35" t="s">
        <v>0</v>
      </c>
      <c r="U35" s="2">
        <v>5.6741231058604902E-2</v>
      </c>
    </row>
    <row r="36" spans="1:28" x14ac:dyDescent="0.25">
      <c r="A36" s="2" t="str">
        <f t="shared" ref="A36:A61" si="0">A3</f>
        <v>mean_amp</v>
      </c>
      <c r="B36" s="2">
        <f t="shared" ref="B36:B61" si="1">MAX(B3:CT3)</f>
        <v>1.2316532423362E-3</v>
      </c>
      <c r="C36" s="3">
        <f t="shared" ref="C36:C61" si="2">_xlfn.XLOOKUP(MAX(B3:CT3), B3:CT3, $B$1:$CT$1)</f>
        <v>45166.510416666664</v>
      </c>
      <c r="E36" s="1">
        <v>45166.010416666664</v>
      </c>
      <c r="F36" s="4">
        <v>9.9686341089394895E-5</v>
      </c>
      <c r="G36" s="4">
        <v>6.8378041080592095E-5</v>
      </c>
      <c r="H36" s="4">
        <v>6.6600844928197699E-5</v>
      </c>
      <c r="T36" t="s">
        <v>1</v>
      </c>
      <c r="U36" s="2">
        <v>3.5270738108725101E-2</v>
      </c>
    </row>
    <row r="37" spans="1:28" x14ac:dyDescent="0.25">
      <c r="A37" s="2" t="str">
        <f t="shared" si="0"/>
        <v>median_amp</v>
      </c>
      <c r="B37" s="2">
        <f t="shared" si="1"/>
        <v>1.20004778426201E-3</v>
      </c>
      <c r="C37" s="3">
        <f t="shared" si="2"/>
        <v>45166.510416666664</v>
      </c>
      <c r="E37" s="1">
        <v>45166.020833333336</v>
      </c>
      <c r="F37" s="4">
        <v>6.8237659920054397E-5</v>
      </c>
      <c r="G37" s="4">
        <v>4.6798846464567697E-5</v>
      </c>
      <c r="H37" s="4">
        <v>4.5735073504360898E-5</v>
      </c>
      <c r="T37" t="s">
        <v>2</v>
      </c>
      <c r="U37" s="2">
        <v>3.4439974703429702E-2</v>
      </c>
    </row>
    <row r="38" spans="1:28" x14ac:dyDescent="0.25">
      <c r="A38" s="2" t="str">
        <f t="shared" si="0"/>
        <v>impulses_ch6</v>
      </c>
      <c r="B38" s="2">
        <f t="shared" si="1"/>
        <v>0</v>
      </c>
      <c r="C38" s="3">
        <f t="shared" si="2"/>
        <v>45166</v>
      </c>
      <c r="E38" s="1">
        <v>45166.03125</v>
      </c>
      <c r="F38">
        <v>1.09203843631265E-4</v>
      </c>
      <c r="G38" s="4">
        <v>5.5567601601878101E-5</v>
      </c>
      <c r="H38" s="4">
        <v>5.27221250620427E-5</v>
      </c>
      <c r="T38" t="s">
        <v>3</v>
      </c>
      <c r="U38" s="2">
        <v>1</v>
      </c>
    </row>
    <row r="39" spans="1:28" x14ac:dyDescent="0.25">
      <c r="A39" s="2" t="str">
        <f t="shared" si="0"/>
        <v>impulses_ch5</v>
      </c>
      <c r="B39" s="2">
        <f t="shared" si="1"/>
        <v>0</v>
      </c>
      <c r="C39" s="3">
        <f t="shared" si="2"/>
        <v>45166</v>
      </c>
      <c r="E39" s="1">
        <v>45166.041666666664</v>
      </c>
      <c r="F39" s="4">
        <v>9.0036518269164296E-5</v>
      </c>
      <c r="G39" s="4">
        <v>5.4873987754864603E-5</v>
      </c>
      <c r="H39" s="4">
        <v>5.3981878839378899E-5</v>
      </c>
      <c r="T39" t="s">
        <v>4</v>
      </c>
      <c r="U39" s="2">
        <v>28</v>
      </c>
    </row>
    <row r="40" spans="1:28" x14ac:dyDescent="0.25">
      <c r="A40" s="2" t="str">
        <f t="shared" si="0"/>
        <v>impulses_ch4</v>
      </c>
      <c r="B40" s="2">
        <f t="shared" si="1"/>
        <v>1</v>
      </c>
      <c r="C40" s="3">
        <f t="shared" si="2"/>
        <v>45166.510416666664</v>
      </c>
      <c r="E40" s="1">
        <v>45166.052083333336</v>
      </c>
      <c r="F40" s="4">
        <v>9.8106794777546699E-5</v>
      </c>
      <c r="G40" s="4">
        <v>6.2963223216172597E-5</v>
      </c>
      <c r="H40" s="4">
        <v>6.1952598362043594E-5</v>
      </c>
      <c r="T40" t="s">
        <v>5</v>
      </c>
      <c r="U40" s="2">
        <v>646</v>
      </c>
    </row>
    <row r="41" spans="1:28" x14ac:dyDescent="0.25">
      <c r="A41" s="2" t="str">
        <f t="shared" si="0"/>
        <v>impulses_ch3</v>
      </c>
      <c r="B41" s="2">
        <f t="shared" si="1"/>
        <v>7</v>
      </c>
      <c r="C41" s="3">
        <f t="shared" si="2"/>
        <v>45166.510416666664</v>
      </c>
      <c r="E41" s="1">
        <v>45166.0625</v>
      </c>
      <c r="F41" s="4">
        <v>6.9139165871832494E-5</v>
      </c>
      <c r="G41" s="4">
        <v>4.61181387937958E-5</v>
      </c>
      <c r="H41" s="4">
        <v>4.6037281871986797E-5</v>
      </c>
      <c r="T41" t="s">
        <v>6</v>
      </c>
      <c r="U41" s="2">
        <v>7213</v>
      </c>
    </row>
    <row r="42" spans="1:28" x14ac:dyDescent="0.25">
      <c r="A42" s="2" t="str">
        <f t="shared" si="0"/>
        <v>impulses_ch2</v>
      </c>
      <c r="B42" s="2">
        <f t="shared" si="1"/>
        <v>258</v>
      </c>
      <c r="C42" s="3">
        <f t="shared" si="2"/>
        <v>45166.510416666664</v>
      </c>
      <c r="E42" s="1">
        <v>45166.072916666664</v>
      </c>
      <c r="F42" s="4">
        <v>8.48637266927575E-5</v>
      </c>
      <c r="G42" s="4">
        <v>5.8657333605605303E-5</v>
      </c>
      <c r="H42" s="4">
        <v>5.7106653476811602E-5</v>
      </c>
      <c r="T42" t="s">
        <v>7</v>
      </c>
      <c r="U42" s="2">
        <v>10382</v>
      </c>
    </row>
    <row r="43" spans="1:28" x14ac:dyDescent="0.25">
      <c r="A43" s="2" t="str">
        <f t="shared" si="0"/>
        <v>impulses_ch1</v>
      </c>
      <c r="B43" s="2">
        <f t="shared" si="1"/>
        <v>5124</v>
      </c>
      <c r="C43" s="3">
        <f t="shared" si="2"/>
        <v>45166.510416666664</v>
      </c>
      <c r="E43" s="1">
        <v>45166.083333333336</v>
      </c>
      <c r="F43" s="4">
        <v>8.7070484746424294E-5</v>
      </c>
      <c r="G43" s="4">
        <v>5.6631927306067003E-5</v>
      </c>
      <c r="H43" s="4">
        <v>5.6468989815876E-5</v>
      </c>
      <c r="T43" t="s">
        <v>8</v>
      </c>
      <c r="U43" s="2">
        <v>8381</v>
      </c>
    </row>
    <row r="44" spans="1:28" x14ac:dyDescent="0.25">
      <c r="A44" s="2" t="str">
        <f t="shared" si="0"/>
        <v>max_env_ch6</v>
      </c>
      <c r="B44" s="2">
        <f t="shared" si="1"/>
        <v>0</v>
      </c>
      <c r="C44" s="3">
        <f t="shared" si="2"/>
        <v>45166</v>
      </c>
      <c r="E44" s="1">
        <v>45166.09375</v>
      </c>
      <c r="F44" s="4">
        <v>6.4040581612375994E-5</v>
      </c>
      <c r="G44" s="4">
        <v>4.0889229127116898E-5</v>
      </c>
      <c r="H44" s="4">
        <v>4.0351530788695501E-5</v>
      </c>
    </row>
    <row r="45" spans="1:28" x14ac:dyDescent="0.25">
      <c r="A45" s="2" t="str">
        <f t="shared" si="0"/>
        <v>mean_env_ch6</v>
      </c>
      <c r="B45" s="2">
        <f t="shared" si="1"/>
        <v>0</v>
      </c>
      <c r="C45" s="3">
        <f t="shared" si="2"/>
        <v>45166</v>
      </c>
      <c r="E45" s="1">
        <v>45166.104166666664</v>
      </c>
      <c r="F45" s="4">
        <v>5.9214404192200901E-5</v>
      </c>
      <c r="G45" s="4">
        <v>4.1365651327473097E-5</v>
      </c>
      <c r="H45" s="4">
        <v>4.08269725079989E-5</v>
      </c>
    </row>
    <row r="46" spans="1:28" x14ac:dyDescent="0.25">
      <c r="A46" s="2" t="str">
        <f t="shared" si="0"/>
        <v>median_env_ch6</v>
      </c>
      <c r="B46" s="2">
        <f t="shared" si="1"/>
        <v>0</v>
      </c>
      <c r="C46" s="3">
        <f t="shared" si="2"/>
        <v>45166</v>
      </c>
      <c r="E46" s="1">
        <v>45166.114583333336</v>
      </c>
      <c r="F46" s="4">
        <v>7.0010968011638894E-5</v>
      </c>
      <c r="G46" s="4">
        <v>4.1221420419322E-5</v>
      </c>
      <c r="H46" s="4">
        <v>3.9780181914661498E-5</v>
      </c>
      <c r="U46" t="s">
        <v>35</v>
      </c>
    </row>
    <row r="47" spans="1:28" x14ac:dyDescent="0.25">
      <c r="A47" s="2" t="str">
        <f t="shared" si="0"/>
        <v>max_env_ch5</v>
      </c>
      <c r="B47" s="2">
        <f t="shared" si="1"/>
        <v>0</v>
      </c>
      <c r="C47" s="3">
        <f t="shared" si="2"/>
        <v>45166</v>
      </c>
      <c r="E47" s="1">
        <v>45166.125</v>
      </c>
      <c r="F47" s="4">
        <v>4.7570484897430301E-5</v>
      </c>
      <c r="G47" s="4">
        <v>3.4182628206501202E-5</v>
      </c>
      <c r="H47" s="4">
        <v>3.3639431530192603E-5</v>
      </c>
      <c r="U47" t="s">
        <v>36</v>
      </c>
      <c r="V47" t="s">
        <v>37</v>
      </c>
      <c r="W47" t="s">
        <v>38</v>
      </c>
      <c r="Z47" t="s">
        <v>36</v>
      </c>
      <c r="AA47" t="s">
        <v>37</v>
      </c>
      <c r="AB47" t="s">
        <v>38</v>
      </c>
    </row>
    <row r="48" spans="1:28" x14ac:dyDescent="0.25">
      <c r="A48" s="2" t="str">
        <f t="shared" si="0"/>
        <v>mean_env_ch5</v>
      </c>
      <c r="B48" s="2">
        <f t="shared" si="1"/>
        <v>0</v>
      </c>
      <c r="C48" s="3">
        <f t="shared" si="2"/>
        <v>45166</v>
      </c>
      <c r="E48" s="1">
        <v>45166.135416666664</v>
      </c>
      <c r="F48" s="4">
        <v>5.97317410910608E-5</v>
      </c>
      <c r="G48" s="4">
        <v>3.4373123039430997E-5</v>
      </c>
      <c r="H48" s="4">
        <v>3.2495761883307501E-5</v>
      </c>
      <c r="T48" t="s">
        <v>39</v>
      </c>
      <c r="U48" s="4">
        <f>B44</f>
        <v>0</v>
      </c>
      <c r="V48" s="4">
        <f>B45</f>
        <v>0</v>
      </c>
      <c r="W48" s="4">
        <f>B46</f>
        <v>0</v>
      </c>
      <c r="Y48" t="s">
        <v>39</v>
      </c>
      <c r="Z48">
        <v>4.4300089970899799E-2</v>
      </c>
      <c r="AA48">
        <v>4.4300089970899799E-2</v>
      </c>
      <c r="AB48">
        <v>4.4300089970899799E-2</v>
      </c>
    </row>
    <row r="49" spans="1:28" x14ac:dyDescent="0.25">
      <c r="A49" s="2" t="str">
        <f t="shared" si="0"/>
        <v>median_env_ch5</v>
      </c>
      <c r="B49" s="2">
        <f t="shared" si="1"/>
        <v>0</v>
      </c>
      <c r="C49" s="3">
        <f t="shared" si="2"/>
        <v>45166</v>
      </c>
      <c r="E49" s="1">
        <v>45166.145833333336</v>
      </c>
      <c r="F49" s="4">
        <v>8.3287171949620494E-5</v>
      </c>
      <c r="G49" s="4">
        <v>5.3895535923586303E-5</v>
      </c>
      <c r="H49" s="4">
        <v>5.2871490469502397E-5</v>
      </c>
      <c r="T49" t="s">
        <v>40</v>
      </c>
      <c r="U49" s="4">
        <f>B47</f>
        <v>0</v>
      </c>
      <c r="V49" s="4">
        <f>B48</f>
        <v>0</v>
      </c>
      <c r="W49" s="4">
        <f>B49</f>
        <v>0</v>
      </c>
      <c r="Y49" t="s">
        <v>40</v>
      </c>
      <c r="Z49">
        <v>0.22561108157867499</v>
      </c>
      <c r="AA49">
        <v>0.15225238482678499</v>
      </c>
      <c r="AB49">
        <v>0.14915841719692599</v>
      </c>
    </row>
    <row r="50" spans="1:28" x14ac:dyDescent="0.25">
      <c r="A50" s="2" t="str">
        <f t="shared" si="0"/>
        <v>max_env_ch4</v>
      </c>
      <c r="B50" s="2">
        <f t="shared" si="1"/>
        <v>2.4826037838387702E-2</v>
      </c>
      <c r="C50" s="3">
        <f t="shared" si="2"/>
        <v>45166.510416666664</v>
      </c>
      <c r="E50" s="1">
        <v>45166.15625</v>
      </c>
      <c r="F50" s="4">
        <v>7.8319645853931595E-5</v>
      </c>
      <c r="G50" s="4">
        <v>4.7554248222713901E-5</v>
      </c>
      <c r="H50" s="4">
        <v>4.7579356923905301E-5</v>
      </c>
      <c r="T50" t="s">
        <v>41</v>
      </c>
      <c r="U50" s="4">
        <f>B50</f>
        <v>2.4826037838387702E-2</v>
      </c>
      <c r="V50" s="4">
        <f>B51</f>
        <v>2.4826037838387702E-2</v>
      </c>
      <c r="W50" s="4">
        <f>B52</f>
        <v>2.4826037838387702E-2</v>
      </c>
      <c r="Y50" t="s">
        <v>41</v>
      </c>
      <c r="Z50">
        <v>0.90785969693767898</v>
      </c>
      <c r="AA50">
        <v>0.56433180973960195</v>
      </c>
      <c r="AB50">
        <v>0.551039595254876</v>
      </c>
    </row>
    <row r="51" spans="1:28" x14ac:dyDescent="0.25">
      <c r="A51" s="2" t="str">
        <f t="shared" si="0"/>
        <v>mean_env_ch4</v>
      </c>
      <c r="B51" s="2">
        <f t="shared" si="1"/>
        <v>2.4826037838387702E-2</v>
      </c>
      <c r="C51" s="3">
        <f t="shared" si="2"/>
        <v>45166.510416666664</v>
      </c>
      <c r="E51" s="1">
        <v>45166.166666666664</v>
      </c>
      <c r="F51" s="4">
        <v>4.8232823606863999E-5</v>
      </c>
      <c r="G51" s="4">
        <v>2.69561485481695E-5</v>
      </c>
      <c r="H51" s="4">
        <v>2.5612084543201299E-5</v>
      </c>
      <c r="T51" t="s">
        <v>42</v>
      </c>
      <c r="U51" s="4">
        <f>B53</f>
        <v>9.9304151353551001E-2</v>
      </c>
      <c r="V51" s="4">
        <f>B54</f>
        <v>8.6306825938386997E-2</v>
      </c>
      <c r="W51" s="4">
        <f>B55</f>
        <v>8.4763749706919703E-2</v>
      </c>
      <c r="Y51" t="s">
        <v>42</v>
      </c>
      <c r="Z51">
        <v>3.6314387877507102</v>
      </c>
      <c r="AA51">
        <v>2.25732723895841</v>
      </c>
      <c r="AB51">
        <v>2.2041583810195</v>
      </c>
    </row>
    <row r="52" spans="1:28" x14ac:dyDescent="0.25">
      <c r="A52" s="2" t="str">
        <f t="shared" si="0"/>
        <v>median_env_ch4</v>
      </c>
      <c r="B52" s="2">
        <f t="shared" si="1"/>
        <v>2.4826037838387702E-2</v>
      </c>
      <c r="C52" s="3">
        <f t="shared" si="2"/>
        <v>45166.510416666664</v>
      </c>
      <c r="E52" s="1">
        <v>45166.177083333336</v>
      </c>
      <c r="F52" s="4">
        <v>8.2750667650959101E-5</v>
      </c>
      <c r="G52" s="4">
        <v>5.6765774633691003E-5</v>
      </c>
      <c r="H52" s="4">
        <v>5.5467302553569901E-5</v>
      </c>
      <c r="T52" t="s">
        <v>43</v>
      </c>
      <c r="U52" s="4">
        <f>B56</f>
        <v>0.49747474116123802</v>
      </c>
      <c r="V52" s="4">
        <f>B57</f>
        <v>0.32613165999900601</v>
      </c>
      <c r="W52" s="4">
        <f>B58</f>
        <v>0.31136620426868999</v>
      </c>
      <c r="Y52" t="s">
        <v>43</v>
      </c>
      <c r="Z52">
        <v>14.5257551510028</v>
      </c>
      <c r="AA52">
        <v>9.0293089558336401</v>
      </c>
      <c r="AB52">
        <v>8.8166335240780196</v>
      </c>
    </row>
    <row r="53" spans="1:28" x14ac:dyDescent="0.25">
      <c r="A53" s="2" t="str">
        <f t="shared" si="0"/>
        <v>max_env_ch3</v>
      </c>
      <c r="B53" s="2">
        <f t="shared" si="1"/>
        <v>9.9304151353551001E-2</v>
      </c>
      <c r="C53" s="3">
        <f t="shared" si="2"/>
        <v>45166.510416666664</v>
      </c>
      <c r="E53" s="1">
        <v>45166.1875</v>
      </c>
      <c r="F53" s="4">
        <v>6.3021949101477997E-5</v>
      </c>
      <c r="G53" s="4">
        <v>4.0643025013500098E-5</v>
      </c>
      <c r="H53" s="4">
        <v>3.9273667724813302E-5</v>
      </c>
      <c r="T53" t="s">
        <v>44</v>
      </c>
      <c r="U53" s="4">
        <f>B59</f>
        <v>1.9898989646449501</v>
      </c>
      <c r="V53" s="4">
        <f>B60</f>
        <v>1.2612129201522599</v>
      </c>
      <c r="W53" s="4">
        <f>B61</f>
        <v>1.2288489310843</v>
      </c>
      <c r="Y53" t="s">
        <v>44</v>
      </c>
      <c r="Z53">
        <v>58.103020604011398</v>
      </c>
      <c r="AA53">
        <v>36.117235823334497</v>
      </c>
      <c r="AB53">
        <v>35.2665340963121</v>
      </c>
    </row>
    <row r="54" spans="1:28" x14ac:dyDescent="0.25">
      <c r="A54" s="2" t="str">
        <f t="shared" si="0"/>
        <v>mean_env_ch3</v>
      </c>
      <c r="B54" s="2">
        <f t="shared" si="1"/>
        <v>8.6306825938386997E-2</v>
      </c>
      <c r="C54" s="3">
        <f t="shared" si="2"/>
        <v>45166.510416666664</v>
      </c>
      <c r="E54" s="1">
        <v>45166.197916666664</v>
      </c>
      <c r="F54" s="4">
        <v>7.7859318493952905E-5</v>
      </c>
      <c r="G54" s="4">
        <v>4.6695075969767098E-5</v>
      </c>
      <c r="H54" s="4">
        <v>4.6102718708586202E-5</v>
      </c>
    </row>
    <row r="55" spans="1:28" x14ac:dyDescent="0.25">
      <c r="A55" s="2" t="str">
        <f t="shared" si="0"/>
        <v>median_env_ch3</v>
      </c>
      <c r="B55" s="2">
        <f t="shared" si="1"/>
        <v>8.4763749706919703E-2</v>
      </c>
      <c r="C55" s="3">
        <f t="shared" si="2"/>
        <v>45166.510416666664</v>
      </c>
      <c r="E55" s="1">
        <v>45166.208333333336</v>
      </c>
      <c r="F55" s="4">
        <v>6.6337651116805897E-5</v>
      </c>
      <c r="G55" s="4">
        <v>4.68414095348317E-5</v>
      </c>
      <c r="H55" s="4">
        <v>4.5716920932083699E-5</v>
      </c>
    </row>
    <row r="56" spans="1:28" x14ac:dyDescent="0.25">
      <c r="A56" s="2" t="str">
        <f t="shared" si="0"/>
        <v>max_env_ch2</v>
      </c>
      <c r="B56" s="2">
        <f t="shared" si="1"/>
        <v>0.49747474116123802</v>
      </c>
      <c r="C56" s="3">
        <f t="shared" si="2"/>
        <v>45166.510416666664</v>
      </c>
      <c r="E56" s="1">
        <v>45166.21875</v>
      </c>
      <c r="F56" s="4">
        <v>9.9908645245437098E-5</v>
      </c>
      <c r="G56" s="4">
        <v>6.1014607247193802E-5</v>
      </c>
      <c r="H56" s="4">
        <v>5.9557808509828897E-5</v>
      </c>
    </row>
    <row r="57" spans="1:28" x14ac:dyDescent="0.25">
      <c r="A57" s="2" t="str">
        <f t="shared" si="0"/>
        <v>mean_env_ch2</v>
      </c>
      <c r="B57" s="2">
        <f t="shared" si="1"/>
        <v>0.32613165999900601</v>
      </c>
      <c r="C57" s="3">
        <f t="shared" si="2"/>
        <v>45166.510416666664</v>
      </c>
      <c r="E57" s="1">
        <v>45166.229166666664</v>
      </c>
      <c r="F57">
        <v>1.0314020748427501E-4</v>
      </c>
      <c r="G57" s="4">
        <v>6.7463705999933497E-5</v>
      </c>
      <c r="H57" s="4">
        <v>6.66208646053468E-5</v>
      </c>
    </row>
    <row r="58" spans="1:28" x14ac:dyDescent="0.25">
      <c r="A58" s="2" t="str">
        <f t="shared" si="0"/>
        <v>median_env_ch2</v>
      </c>
      <c r="B58" s="2">
        <f t="shared" si="1"/>
        <v>0.31136620426868999</v>
      </c>
      <c r="C58" s="3">
        <f t="shared" si="2"/>
        <v>45166.510416666664</v>
      </c>
      <c r="E58" s="1">
        <v>45166.239583333336</v>
      </c>
      <c r="F58" s="4">
        <v>7.8089709243968098E-5</v>
      </c>
      <c r="G58" s="4">
        <v>5.5178358433739801E-5</v>
      </c>
      <c r="H58" s="4">
        <v>5.49631313128121E-5</v>
      </c>
    </row>
    <row r="59" spans="1:28" x14ac:dyDescent="0.25">
      <c r="A59" s="2" t="str">
        <f t="shared" si="0"/>
        <v>max_env_ch1</v>
      </c>
      <c r="B59" s="2">
        <f t="shared" si="1"/>
        <v>1.9898989646449501</v>
      </c>
      <c r="C59" s="3">
        <f t="shared" si="2"/>
        <v>45166.510416666664</v>
      </c>
      <c r="E59" s="1">
        <v>45166.25</v>
      </c>
      <c r="F59" s="4">
        <v>6.8926071100552702E-5</v>
      </c>
      <c r="G59" s="4">
        <v>3.8312592014988202E-5</v>
      </c>
      <c r="H59" s="4">
        <v>3.6288753967068001E-5</v>
      </c>
    </row>
    <row r="60" spans="1:28" x14ac:dyDescent="0.25">
      <c r="A60" s="2" t="str">
        <f t="shared" si="0"/>
        <v>mean_env_ch1</v>
      </c>
      <c r="B60" s="2">
        <f t="shared" si="1"/>
        <v>1.2612129201522599</v>
      </c>
      <c r="C60" s="3">
        <f t="shared" si="2"/>
        <v>45166.510416666664</v>
      </c>
      <c r="E60" s="1">
        <v>45166.260416666664</v>
      </c>
      <c r="F60" s="4">
        <v>4.70503573174607E-5</v>
      </c>
      <c r="G60" s="4">
        <v>3.2473475950757903E-5</v>
      </c>
      <c r="H60" s="4">
        <v>3.27287155012092E-5</v>
      </c>
    </row>
    <row r="61" spans="1:28" x14ac:dyDescent="0.25">
      <c r="A61" s="2" t="str">
        <f t="shared" si="0"/>
        <v>median_env_ch1</v>
      </c>
      <c r="B61" s="2">
        <f t="shared" si="1"/>
        <v>1.2288489310843</v>
      </c>
      <c r="C61" s="3">
        <f t="shared" si="2"/>
        <v>45166.510416666664</v>
      </c>
      <c r="E61" s="1">
        <v>45166.270833333336</v>
      </c>
      <c r="F61" s="4">
        <v>8.0691828374749794E-5</v>
      </c>
      <c r="G61" s="4">
        <v>4.8603179147420601E-5</v>
      </c>
      <c r="H61" s="4">
        <v>4.8032591228931701E-5</v>
      </c>
    </row>
    <row r="62" spans="1:28" x14ac:dyDescent="0.25">
      <c r="A62" t="s">
        <v>32</v>
      </c>
      <c r="B62" s="2">
        <f t="shared" ref="B62:B63" si="3">MAX(B29:CT29)</f>
        <v>2.5487565000000001</v>
      </c>
      <c r="C62" s="3">
        <f t="shared" ref="C62:C63" si="4">_xlfn.XLOOKUP(MAX(B29:CT29), B29:CT29, $B$1:$CT$1)</f>
        <v>45166.5625</v>
      </c>
      <c r="E62" s="1">
        <v>45166.28125</v>
      </c>
      <c r="F62" s="4">
        <v>7.0934662461579701E-5</v>
      </c>
      <c r="G62" s="4">
        <v>4.6614039287792303E-5</v>
      </c>
      <c r="H62" s="4">
        <v>4.4689124043011897E-5</v>
      </c>
    </row>
    <row r="63" spans="1:28" x14ac:dyDescent="0.25">
      <c r="A63" t="s">
        <v>33</v>
      </c>
      <c r="B63" s="2">
        <f t="shared" si="3"/>
        <v>0.25342896285195698</v>
      </c>
      <c r="C63" s="3">
        <f t="shared" si="4"/>
        <v>45166.5625</v>
      </c>
      <c r="E63" s="1">
        <v>45166.291666666664</v>
      </c>
      <c r="F63" s="4">
        <v>6.3194242990232405E-5</v>
      </c>
      <c r="G63" s="4">
        <v>3.3744010983035703E-5</v>
      </c>
      <c r="H63" s="4">
        <v>3.31845568030185E-5</v>
      </c>
    </row>
    <row r="64" spans="1:28" x14ac:dyDescent="0.25">
      <c r="A64" s="2"/>
      <c r="E64" s="1">
        <v>45166.302083333336</v>
      </c>
      <c r="F64" s="4">
        <v>4.9860702577643999E-5</v>
      </c>
      <c r="G64" s="4">
        <v>2.8760485219969299E-5</v>
      </c>
      <c r="H64" s="4">
        <v>2.7794653203976099E-5</v>
      </c>
    </row>
    <row r="65" spans="1:8" x14ac:dyDescent="0.25">
      <c r="A65" s="2"/>
      <c r="E65" s="1">
        <v>45166.3125</v>
      </c>
      <c r="F65" s="4">
        <v>8.2558631995984102E-5</v>
      </c>
      <c r="G65" s="4">
        <v>3.8997284638807498E-5</v>
      </c>
      <c r="H65" s="4">
        <v>3.7791471005347102E-5</v>
      </c>
    </row>
    <row r="66" spans="1:8" x14ac:dyDescent="0.25">
      <c r="A66" s="2"/>
      <c r="E66" s="1">
        <v>45166.322916666664</v>
      </c>
      <c r="F66">
        <v>1.1782946928464E-4</v>
      </c>
      <c r="G66" s="4">
        <v>6.7972588958695906E-5</v>
      </c>
      <c r="H66" s="4">
        <v>6.5674631584434595E-5</v>
      </c>
    </row>
    <row r="67" spans="1:8" x14ac:dyDescent="0.25">
      <c r="A67" s="2"/>
      <c r="E67" s="1">
        <v>45166.333333333336</v>
      </c>
      <c r="F67" s="4">
        <v>7.6335054428668299E-5</v>
      </c>
      <c r="G67" s="4">
        <v>5.0085251784905702E-5</v>
      </c>
      <c r="H67" s="4">
        <v>4.79895953763015E-5</v>
      </c>
    </row>
    <row r="68" spans="1:8" x14ac:dyDescent="0.25">
      <c r="A68" s="2"/>
      <c r="E68" s="1">
        <v>45166.34375</v>
      </c>
      <c r="F68">
        <v>1.04003627224063E-4</v>
      </c>
      <c r="G68" s="4">
        <v>6.3814181274023105E-5</v>
      </c>
      <c r="H68" s="4">
        <v>5.9125244444040998E-5</v>
      </c>
    </row>
    <row r="69" spans="1:8" x14ac:dyDescent="0.25">
      <c r="A69" s="2"/>
      <c r="E69" s="1">
        <v>45166.354166666664</v>
      </c>
      <c r="F69" s="4">
        <v>6.0318516552764498E-5</v>
      </c>
      <c r="G69" s="4">
        <v>3.6188895027418302E-5</v>
      </c>
      <c r="H69" s="4">
        <v>3.3886838170546499E-5</v>
      </c>
    </row>
    <row r="70" spans="1:8" x14ac:dyDescent="0.25">
      <c r="A70" s="2"/>
      <c r="E70" s="1">
        <v>45166.364583333336</v>
      </c>
      <c r="F70" s="4">
        <v>7.4465850434088994E-5</v>
      </c>
      <c r="G70" s="4">
        <v>4.5450598174595299E-5</v>
      </c>
      <c r="H70" s="4">
        <v>4.4588586779938597E-5</v>
      </c>
    </row>
    <row r="71" spans="1:8" x14ac:dyDescent="0.25">
      <c r="A71" s="2"/>
      <c r="E71" s="1">
        <v>45166.375</v>
      </c>
      <c r="F71" s="4">
        <v>5.5624887112459603E-5</v>
      </c>
      <c r="G71" s="4">
        <v>3.5710489986512297E-5</v>
      </c>
      <c r="H71" s="4">
        <v>3.4547703622469398E-5</v>
      </c>
    </row>
    <row r="72" spans="1:8" x14ac:dyDescent="0.25">
      <c r="A72" s="2"/>
      <c r="E72" s="1">
        <v>45166.385416666664</v>
      </c>
      <c r="F72" s="4">
        <v>9.2878768676953497E-5</v>
      </c>
      <c r="G72" s="4">
        <v>6.1954577519696897E-5</v>
      </c>
      <c r="H72" s="4">
        <v>6.2340980659659695E-5</v>
      </c>
    </row>
    <row r="73" spans="1:8" x14ac:dyDescent="0.25">
      <c r="A73" s="2"/>
      <c r="E73" s="1">
        <v>45166.395833333336</v>
      </c>
      <c r="F73" s="4">
        <v>8.0155462029345603E-5</v>
      </c>
      <c r="G73" s="4">
        <v>4.7944292598763903E-5</v>
      </c>
      <c r="H73" s="4">
        <v>4.6464285233328697E-5</v>
      </c>
    </row>
    <row r="74" spans="1:8" x14ac:dyDescent="0.25">
      <c r="A74" s="2"/>
      <c r="E74" s="1">
        <v>45166.40625</v>
      </c>
      <c r="F74" s="4">
        <v>4.6775577045438402E-5</v>
      </c>
      <c r="G74" s="4">
        <v>3.2617780222498299E-5</v>
      </c>
      <c r="H74" s="4">
        <v>3.1620783349618901E-5</v>
      </c>
    </row>
    <row r="75" spans="1:8" x14ac:dyDescent="0.25">
      <c r="E75" s="1">
        <v>45166.416666666664</v>
      </c>
      <c r="F75" s="4">
        <v>7.7195678547877699E-5</v>
      </c>
      <c r="G75" s="4">
        <v>4.7248158185876499E-5</v>
      </c>
      <c r="H75" s="4">
        <v>4.7213598799496197E-5</v>
      </c>
    </row>
    <row r="76" spans="1:8" x14ac:dyDescent="0.25">
      <c r="E76" s="1">
        <v>45166.427083333336</v>
      </c>
      <c r="F76" s="4">
        <v>7.6208476401090099E-5</v>
      </c>
      <c r="G76" s="4">
        <v>4.7906485316433598E-5</v>
      </c>
      <c r="H76" s="4">
        <v>4.6513959319863199E-5</v>
      </c>
    </row>
    <row r="77" spans="1:8" x14ac:dyDescent="0.25">
      <c r="E77" s="1">
        <v>45166.4375</v>
      </c>
      <c r="F77" s="4">
        <v>8.1031194499245896E-5</v>
      </c>
      <c r="G77" s="4">
        <v>6.2012512117525797E-5</v>
      </c>
      <c r="H77" s="4">
        <v>6.27006325945691E-5</v>
      </c>
    </row>
    <row r="78" spans="1:8" x14ac:dyDescent="0.25">
      <c r="E78" s="1">
        <v>45166.447916666664</v>
      </c>
      <c r="F78">
        <v>1.02753296976993E-4</v>
      </c>
      <c r="G78" s="4">
        <v>6.4873207413121902E-5</v>
      </c>
      <c r="H78" s="4">
        <v>6.4822607922286496E-5</v>
      </c>
    </row>
    <row r="79" spans="1:8" x14ac:dyDescent="0.25">
      <c r="E79" s="1">
        <v>45166.458333333336</v>
      </c>
      <c r="F79">
        <v>1.0582961826797101E-4</v>
      </c>
      <c r="G79" s="4">
        <v>6.6999898619235894E-5</v>
      </c>
      <c r="H79" s="4">
        <v>6.5283961199907094E-5</v>
      </c>
    </row>
    <row r="80" spans="1:8" x14ac:dyDescent="0.25">
      <c r="E80" s="1">
        <v>45166.46875</v>
      </c>
      <c r="F80" s="4">
        <v>6.1615479450457104E-5</v>
      </c>
      <c r="G80" s="4">
        <v>4.4886259386219403E-5</v>
      </c>
      <c r="H80" s="4">
        <v>4.50816639970359E-5</v>
      </c>
    </row>
    <row r="81" spans="5:8" x14ac:dyDescent="0.25">
      <c r="E81" s="1">
        <v>45166.479166666664</v>
      </c>
      <c r="F81" s="4">
        <v>6.0748241115802998E-5</v>
      </c>
      <c r="G81" s="4">
        <v>4.5335175310381797E-5</v>
      </c>
      <c r="H81" s="4">
        <v>4.5346514531617097E-5</v>
      </c>
    </row>
    <row r="82" spans="5:8" x14ac:dyDescent="0.25">
      <c r="E82" s="1">
        <v>45166.489583333336</v>
      </c>
      <c r="F82" s="4">
        <v>9.8966948384614101E-5</v>
      </c>
      <c r="G82" s="4">
        <v>6.5246368962598895E-5</v>
      </c>
      <c r="H82" s="4">
        <v>6.4580782920392601E-5</v>
      </c>
    </row>
    <row r="83" spans="5:8" x14ac:dyDescent="0.25">
      <c r="E83" s="1">
        <v>45166.5</v>
      </c>
      <c r="F83" s="4">
        <v>7.0484377296628007E-5</v>
      </c>
      <c r="G83" s="4">
        <v>4.1540198297949803E-5</v>
      </c>
      <c r="H83" s="4">
        <v>3.9863259090283903E-5</v>
      </c>
    </row>
    <row r="84" spans="5:8" x14ac:dyDescent="0.25">
      <c r="E84" s="1">
        <v>45166.510416666664</v>
      </c>
      <c r="F84">
        <v>1.9432607076610799E-3</v>
      </c>
      <c r="G84">
        <v>1.2316532423362E-3</v>
      </c>
      <c r="H84">
        <v>1.20004778426201E-3</v>
      </c>
    </row>
    <row r="85" spans="5:8" x14ac:dyDescent="0.25">
      <c r="E85" s="1">
        <v>45166.520833333336</v>
      </c>
      <c r="F85">
        <v>8.6461963499705002E-4</v>
      </c>
      <c r="G85">
        <v>6.1662583103984999E-4</v>
      </c>
      <c r="H85">
        <v>6.0995438867386101E-4</v>
      </c>
    </row>
    <row r="86" spans="5:8" x14ac:dyDescent="0.25">
      <c r="E86" s="1">
        <v>45166.53125</v>
      </c>
      <c r="F86">
        <v>8.6391167244406005E-4</v>
      </c>
      <c r="G86">
        <v>5.2763668770102097E-4</v>
      </c>
      <c r="H86">
        <v>5.0689977917435102E-4</v>
      </c>
    </row>
    <row r="87" spans="5:8" x14ac:dyDescent="0.25">
      <c r="E87" s="1">
        <v>45166.541666666664</v>
      </c>
      <c r="F87">
        <v>7.6967992405856003E-4</v>
      </c>
      <c r="G87">
        <v>4.9260103791728396E-4</v>
      </c>
      <c r="H87">
        <v>4.9086524283944695E-4</v>
      </c>
    </row>
    <row r="88" spans="5:8" x14ac:dyDescent="0.25">
      <c r="E88" s="1">
        <v>45166.552083333336</v>
      </c>
      <c r="F88">
        <v>5.7266065515786699E-4</v>
      </c>
      <c r="G88">
        <v>3.9071186236511402E-4</v>
      </c>
      <c r="H88">
        <v>3.7986650178110102E-4</v>
      </c>
    </row>
    <row r="89" spans="5:8" x14ac:dyDescent="0.25">
      <c r="E89" s="1">
        <v>45166.5625</v>
      </c>
      <c r="F89">
        <v>1.09976617539475E-3</v>
      </c>
      <c r="G89">
        <v>8.7106581635359602E-4</v>
      </c>
      <c r="H89">
        <v>8.6367040971152705E-4</v>
      </c>
    </row>
    <row r="90" spans="5:8" x14ac:dyDescent="0.25">
      <c r="E90" s="1">
        <v>45166.572916666664</v>
      </c>
      <c r="F90">
        <v>6.2688763059818003E-4</v>
      </c>
      <c r="G90">
        <v>4.1350023792049903E-4</v>
      </c>
      <c r="H90">
        <v>4.0038026445731199E-4</v>
      </c>
    </row>
    <row r="91" spans="5:8" x14ac:dyDescent="0.25">
      <c r="E91" s="1">
        <v>45166.583333333336</v>
      </c>
      <c r="F91">
        <v>6.7736136604672897E-4</v>
      </c>
      <c r="G91">
        <v>5.18960381787518E-4</v>
      </c>
      <c r="H91">
        <v>5.1109411461382399E-4</v>
      </c>
    </row>
    <row r="92" spans="5:8" x14ac:dyDescent="0.25">
      <c r="E92" s="1">
        <v>45166.59375</v>
      </c>
      <c r="F92">
        <v>7.1868844666659595E-4</v>
      </c>
      <c r="G92">
        <v>4.9184958594405298E-4</v>
      </c>
      <c r="H92">
        <v>4.8198531329774998E-4</v>
      </c>
    </row>
    <row r="93" spans="5:8" x14ac:dyDescent="0.25">
      <c r="E93" s="1">
        <v>45166.604166666664</v>
      </c>
      <c r="F93">
        <v>8.66820174485512E-4</v>
      </c>
      <c r="G93">
        <v>6.5421861750815304E-4</v>
      </c>
      <c r="H93">
        <v>6.4260211921999904E-4</v>
      </c>
    </row>
    <row r="94" spans="5:8" x14ac:dyDescent="0.25">
      <c r="E94" s="1">
        <v>45166.614583333336</v>
      </c>
      <c r="F94">
        <v>5.7027367492868796E-4</v>
      </c>
      <c r="G94">
        <v>4.22312683061251E-4</v>
      </c>
      <c r="H94">
        <v>4.1731320477302102E-4</v>
      </c>
    </row>
    <row r="95" spans="5:8" x14ac:dyDescent="0.25">
      <c r="E95" s="1">
        <v>45166.625</v>
      </c>
      <c r="F95">
        <v>3.9348604717543502E-4</v>
      </c>
      <c r="G95">
        <v>2.7185283677414498E-4</v>
      </c>
      <c r="H95">
        <v>2.6765530651899199E-4</v>
      </c>
    </row>
    <row r="96" spans="5:8" x14ac:dyDescent="0.25">
      <c r="E96" s="1">
        <v>45166.635416666664</v>
      </c>
      <c r="F96">
        <v>3.34416123356494E-4</v>
      </c>
      <c r="G96">
        <v>2.2770152235035499E-4</v>
      </c>
      <c r="H96">
        <v>2.2243220258247101E-4</v>
      </c>
    </row>
    <row r="97" spans="5:8" x14ac:dyDescent="0.25">
      <c r="E97" s="1">
        <v>45166.645833333336</v>
      </c>
      <c r="F97">
        <v>4.5749830302447902E-4</v>
      </c>
      <c r="G97">
        <v>3.3061521450324002E-4</v>
      </c>
      <c r="H97">
        <v>3.31296663969055E-4</v>
      </c>
    </row>
    <row r="98" spans="5:8" x14ac:dyDescent="0.25">
      <c r="E98" s="1">
        <v>45166.65625</v>
      </c>
      <c r="F98">
        <v>3.5015488556746998E-4</v>
      </c>
      <c r="G98">
        <v>2.23187063716479E-4</v>
      </c>
      <c r="H98">
        <v>2.21987974840187E-4</v>
      </c>
    </row>
    <row r="99" spans="5:8" x14ac:dyDescent="0.25">
      <c r="E99" s="1">
        <v>45166.666666666664</v>
      </c>
      <c r="F99">
        <v>1.98798331313193E-4</v>
      </c>
      <c r="G99">
        <v>1.3896525437660001E-4</v>
      </c>
      <c r="H99">
        <v>1.3595174200661301E-4</v>
      </c>
    </row>
    <row r="100" spans="5:8" x14ac:dyDescent="0.25">
      <c r="E100" s="1">
        <v>45166.677083333336</v>
      </c>
      <c r="F100">
        <v>1.83478949576782E-4</v>
      </c>
      <c r="G100">
        <v>1.06357360582271E-4</v>
      </c>
      <c r="H100">
        <v>1.01082862495676E-4</v>
      </c>
    </row>
    <row r="101" spans="5:8" x14ac:dyDescent="0.25">
      <c r="E101" s="1">
        <v>45166.6875</v>
      </c>
      <c r="F101">
        <v>2.2529625637978499E-4</v>
      </c>
      <c r="G101">
        <v>1.60535377417131E-4</v>
      </c>
      <c r="H101">
        <v>1.60566052889445E-4</v>
      </c>
    </row>
    <row r="102" spans="5:8" x14ac:dyDescent="0.25">
      <c r="E102" s="1">
        <v>45166.697916666664</v>
      </c>
      <c r="F102">
        <v>1.9762282589284001E-4</v>
      </c>
      <c r="G102">
        <v>1.3462750356277699E-4</v>
      </c>
      <c r="H102">
        <v>1.3136677313710799E-4</v>
      </c>
    </row>
    <row r="103" spans="5:8" x14ac:dyDescent="0.25">
      <c r="E103" s="1">
        <v>45166.708333333336</v>
      </c>
      <c r="F103">
        <v>1.87294254900857E-4</v>
      </c>
      <c r="G103">
        <v>1.3156389653597899E-4</v>
      </c>
      <c r="H103">
        <v>1.2747271516482401E-4</v>
      </c>
    </row>
    <row r="104" spans="5:8" x14ac:dyDescent="0.25">
      <c r="E104" s="1">
        <v>45166.71875</v>
      </c>
      <c r="F104">
        <v>1.8352120469713901E-4</v>
      </c>
      <c r="G104">
        <v>1.1605587191745301E-4</v>
      </c>
      <c r="H104">
        <v>1.11845657057191E-4</v>
      </c>
    </row>
    <row r="105" spans="5:8" x14ac:dyDescent="0.25">
      <c r="E105" s="1">
        <v>45166.729166666664</v>
      </c>
      <c r="F105" s="4">
        <v>9.9201093177123204E-5</v>
      </c>
      <c r="G105" s="4">
        <v>6.9915170987474001E-5</v>
      </c>
      <c r="H105" s="4">
        <v>6.9540536283533994E-5</v>
      </c>
    </row>
    <row r="106" spans="5:8" x14ac:dyDescent="0.25">
      <c r="E106" s="1">
        <v>45166.739583333336</v>
      </c>
      <c r="F106">
        <v>1.12456070915174E-4</v>
      </c>
      <c r="G106" s="4">
        <v>7.9127432152995399E-5</v>
      </c>
      <c r="H106" s="4">
        <v>7.7110344746493694E-5</v>
      </c>
    </row>
    <row r="107" spans="5:8" x14ac:dyDescent="0.25">
      <c r="E107" s="1">
        <v>45166.75</v>
      </c>
      <c r="F107" s="4">
        <v>9.5037421842474206E-5</v>
      </c>
      <c r="G107" s="4">
        <v>6.6030122245106795E-5</v>
      </c>
      <c r="H107" s="4">
        <v>6.5299500611919295E-5</v>
      </c>
    </row>
    <row r="108" spans="5:8" x14ac:dyDescent="0.25">
      <c r="E108" s="1">
        <v>45166.760416666664</v>
      </c>
      <c r="F108">
        <v>1.2994406168143901E-4</v>
      </c>
      <c r="G108" s="4">
        <v>8.6404567752780101E-5</v>
      </c>
      <c r="H108" s="4">
        <v>8.3715810414308693E-5</v>
      </c>
    </row>
    <row r="109" spans="5:8" x14ac:dyDescent="0.25">
      <c r="E109" s="1">
        <v>45166.770833333336</v>
      </c>
      <c r="F109">
        <v>1.7197606627985301E-4</v>
      </c>
      <c r="G109">
        <v>1.10691897387962E-4</v>
      </c>
      <c r="H109">
        <v>1.0990044463750799E-4</v>
      </c>
    </row>
    <row r="110" spans="5:8" x14ac:dyDescent="0.25">
      <c r="E110" s="1">
        <v>45166.78125</v>
      </c>
      <c r="F110">
        <v>1.18733685270813E-4</v>
      </c>
      <c r="G110" s="4">
        <v>9.0058993780700903E-5</v>
      </c>
      <c r="H110" s="4">
        <v>9.0773489251248598E-5</v>
      </c>
    </row>
    <row r="111" spans="5:8" x14ac:dyDescent="0.25">
      <c r="E111" s="1">
        <v>45166.791666666664</v>
      </c>
      <c r="F111">
        <v>1.4413094449504301E-4</v>
      </c>
      <c r="G111">
        <v>1.0111498633297099E-4</v>
      </c>
      <c r="H111">
        <v>1.00146186900786E-4</v>
      </c>
    </row>
    <row r="112" spans="5:8" x14ac:dyDescent="0.25">
      <c r="E112" s="1">
        <v>45166.802083333336</v>
      </c>
      <c r="F112">
        <v>1.86784011764744E-4</v>
      </c>
      <c r="G112">
        <v>1.2284705140484599E-4</v>
      </c>
      <c r="H112">
        <v>1.20098616676572E-4</v>
      </c>
    </row>
    <row r="113" spans="5:8" x14ac:dyDescent="0.25">
      <c r="E113" s="1">
        <v>45166.8125</v>
      </c>
      <c r="F113">
        <v>1.2831328194599901E-4</v>
      </c>
      <c r="G113" s="4">
        <v>9.3682649311220597E-5</v>
      </c>
      <c r="H113" s="4">
        <v>9.0221829235409196E-5</v>
      </c>
    </row>
    <row r="114" spans="5:8" x14ac:dyDescent="0.25">
      <c r="E114" s="1">
        <v>45166.822916666664</v>
      </c>
      <c r="F114" s="4">
        <v>8.3894518802155702E-5</v>
      </c>
      <c r="G114" s="4">
        <v>5.8964336863109903E-5</v>
      </c>
      <c r="H114" s="4">
        <v>5.71510035965648E-5</v>
      </c>
    </row>
    <row r="115" spans="5:8" x14ac:dyDescent="0.25">
      <c r="E115" s="1">
        <v>45166.833333333336</v>
      </c>
      <c r="F115">
        <v>1.9139567448755101E-4</v>
      </c>
      <c r="G115">
        <v>1.22179801181694E-4</v>
      </c>
      <c r="H115">
        <v>1.19457047216528E-4</v>
      </c>
    </row>
    <row r="116" spans="5:8" x14ac:dyDescent="0.25">
      <c r="E116" s="1">
        <v>45166.84375</v>
      </c>
      <c r="F116">
        <v>1.07471354713044E-4</v>
      </c>
      <c r="G116" s="4">
        <v>7.6726084790616596E-5</v>
      </c>
      <c r="H116" s="4">
        <v>7.6177924555599099E-5</v>
      </c>
    </row>
    <row r="117" spans="5:8" x14ac:dyDescent="0.25">
      <c r="E117" s="1">
        <v>45166.854166666664</v>
      </c>
      <c r="F117">
        <v>1.18914444907028E-4</v>
      </c>
      <c r="G117" s="4">
        <v>7.5889234010896304E-5</v>
      </c>
      <c r="H117" s="4">
        <v>7.4520537710379096E-5</v>
      </c>
    </row>
    <row r="118" spans="5:8" x14ac:dyDescent="0.25">
      <c r="E118" s="1">
        <v>45166.864583333336</v>
      </c>
      <c r="F118">
        <v>1.32996093406393E-4</v>
      </c>
      <c r="G118" s="4">
        <v>7.79145495481986E-5</v>
      </c>
      <c r="H118" s="4">
        <v>7.64137255587192E-5</v>
      </c>
    </row>
    <row r="119" spans="5:8" x14ac:dyDescent="0.25">
      <c r="E119" s="1">
        <v>45166.875</v>
      </c>
      <c r="F119">
        <v>1.1043057320819099E-4</v>
      </c>
      <c r="G119" s="4">
        <v>7.4774886119539303E-5</v>
      </c>
      <c r="H119" s="4">
        <v>7.4082381122367606E-5</v>
      </c>
    </row>
    <row r="120" spans="5:8" x14ac:dyDescent="0.25">
      <c r="E120" s="1">
        <v>45166.885416666664</v>
      </c>
      <c r="F120">
        <v>1.0030931751979901E-4</v>
      </c>
      <c r="G120" s="4">
        <v>6.3843238280310202E-5</v>
      </c>
      <c r="H120" s="4">
        <v>6.3323900359701105E-5</v>
      </c>
    </row>
    <row r="121" spans="5:8" x14ac:dyDescent="0.25">
      <c r="E121" s="1">
        <v>45166.895833333336</v>
      </c>
      <c r="F121" s="4">
        <v>9.6731958808524105E-5</v>
      </c>
      <c r="G121" s="4">
        <v>6.5927090119246302E-5</v>
      </c>
      <c r="H121" s="4">
        <v>6.4584510368181396E-5</v>
      </c>
    </row>
    <row r="122" spans="5:8" x14ac:dyDescent="0.25">
      <c r="E122" s="1">
        <v>45166.90625</v>
      </c>
      <c r="F122" s="4">
        <v>8.9477967642736701E-5</v>
      </c>
      <c r="G122" s="4">
        <v>4.9782505237099498E-5</v>
      </c>
      <c r="H122" s="4">
        <v>4.8803867640106598E-5</v>
      </c>
    </row>
    <row r="123" spans="5:8" x14ac:dyDescent="0.25">
      <c r="E123" s="1">
        <v>45166.916666666664</v>
      </c>
      <c r="F123">
        <v>1.1401743403982E-4</v>
      </c>
      <c r="G123" s="4">
        <v>5.7066872683621099E-5</v>
      </c>
      <c r="H123" s="4">
        <v>5.5944256394600102E-5</v>
      </c>
    </row>
    <row r="124" spans="5:8" x14ac:dyDescent="0.25">
      <c r="E124" s="1">
        <v>45166.927083333336</v>
      </c>
      <c r="F124" s="4">
        <v>8.7478133658183999E-5</v>
      </c>
      <c r="G124" s="4">
        <v>5.1140712438158803E-5</v>
      </c>
      <c r="H124" s="4">
        <v>5.0915257534425002E-5</v>
      </c>
    </row>
    <row r="125" spans="5:8" x14ac:dyDescent="0.25">
      <c r="E125" s="1">
        <v>45166.9375</v>
      </c>
      <c r="F125" s="4">
        <v>7.44588929248996E-5</v>
      </c>
      <c r="G125" s="4">
        <v>4.1780612409896798E-5</v>
      </c>
      <c r="H125" s="4">
        <v>3.9850325604141502E-5</v>
      </c>
    </row>
    <row r="126" spans="5:8" x14ac:dyDescent="0.25">
      <c r="E126" s="1">
        <v>45166.947916666664</v>
      </c>
      <c r="F126">
        <v>1.16849943346382E-4</v>
      </c>
      <c r="G126" s="4">
        <v>7.0052538781621707E-5</v>
      </c>
      <c r="H126" s="4">
        <v>6.7912219486865202E-5</v>
      </c>
    </row>
    <row r="127" spans="5:8" x14ac:dyDescent="0.25">
      <c r="E127" s="1">
        <v>45166.958333333336</v>
      </c>
      <c r="F127">
        <v>1.10472356010085E-4</v>
      </c>
      <c r="G127" s="4">
        <v>6.8861188749251096E-5</v>
      </c>
      <c r="H127" s="4">
        <v>6.9483667382841995E-5</v>
      </c>
    </row>
    <row r="128" spans="5:8" x14ac:dyDescent="0.25">
      <c r="E128" s="1">
        <v>45166.96875</v>
      </c>
      <c r="F128" s="4">
        <v>7.8195666254724696E-5</v>
      </c>
      <c r="G128" s="4">
        <v>5.44984427025299E-5</v>
      </c>
      <c r="H128" s="4">
        <v>5.2867639745751498E-5</v>
      </c>
    </row>
    <row r="129" spans="5:8" x14ac:dyDescent="0.25">
      <c r="E129" s="1">
        <v>45166.979166666664</v>
      </c>
      <c r="F129">
        <v>1.062028507808E-4</v>
      </c>
      <c r="G129" s="4">
        <v>5.2894730753239101E-5</v>
      </c>
      <c r="H129" s="4">
        <v>5.0184143359891401E-5</v>
      </c>
    </row>
    <row r="130" spans="5:8" x14ac:dyDescent="0.25">
      <c r="E130" s="1">
        <v>45166.989583333336</v>
      </c>
      <c r="F130">
        <v>1.11944997552033E-4</v>
      </c>
      <c r="G130" s="4">
        <v>6.6422817962437294E-5</v>
      </c>
      <c r="H130" s="4">
        <v>6.4940550752034105E-5</v>
      </c>
    </row>
    <row r="131" spans="5:8" x14ac:dyDescent="0.25">
      <c r="E131" s="1">
        <v>45167</v>
      </c>
      <c r="F131" s="4">
        <v>8.0335968494348706E-5</v>
      </c>
      <c r="G131" s="4">
        <v>5.4691467068699603E-5</v>
      </c>
      <c r="H131" s="4">
        <v>5.48896067238667E-5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storm6_results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2025-10-23T21:37:37Z</dcterms:created>
  <dcterms:modified xsi:type="dcterms:W3CDTF">2025-12-10T23:30:20Z</dcterms:modified>
</cp:coreProperties>
</file>