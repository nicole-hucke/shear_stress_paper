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3_amp_func_tau_total\calculations\"/>
    </mc:Choice>
  </mc:AlternateContent>
  <xr:revisionPtr revIDLastSave="0" documentId="13_ncr:1_{C2BAD8AA-BF06-4772-8399-4C9237B3B606}" xr6:coauthVersionLast="47" xr6:coauthVersionMax="47" xr10:uidLastSave="{00000000-0000-0000-0000-000000000000}"/>
  <bookViews>
    <workbookView xWindow="-120" yWindow="-120" windowWidth="29040" windowHeight="15720" xr2:uid="{ACBE6CE9-2E59-4EB0-85F4-02C616FF90B4}"/>
  </bookViews>
  <sheets>
    <sheet name="storm3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B62" i="1"/>
  <c r="C62" i="1"/>
  <c r="B63" i="1"/>
  <c r="C63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1" i="1"/>
  <c r="A52" i="1"/>
  <c r="A53" i="1"/>
  <c r="A54" i="1"/>
  <c r="A55" i="1"/>
  <c r="A56" i="1"/>
  <c r="A57" i="1"/>
  <c r="A58" i="1"/>
  <c r="A59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35" i="1"/>
</calcChain>
</file>

<file path=xl/sharedStrings.xml><?xml version="1.0" encoding="utf-8"?>
<sst xmlns="http://schemas.openxmlformats.org/spreadsheetml/2006/main" count="62" uniqueCount="48">
  <si>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</si>
  <si>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</si>
  <si>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</si>
  <si>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</si>
  <si>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</si>
  <si>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</si>
  <si>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</si>
  <si>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</si>
  <si>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</si>
  <si>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</si>
  <si>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</si>
  <si>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</si>
  <si>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</si>
  <si>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</si>
  <si>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</si>
  <si>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</si>
  <si>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</si>
  <si>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</si>
  <si>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</si>
  <si>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</si>
  <si>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</si>
  <si>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</si>
  <si>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</si>
  <si>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</si>
  <si>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</si>
  <si>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</si>
  <si>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</si>
  <si>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</si>
  <si>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</si>
  <si>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</si>
  <si>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</si>
  <si>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</si>
  <si>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</si>
  <si>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</si>
  <si>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</si>
  <si>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</si>
  <si>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</si>
  <si>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</si>
  <si>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</si>
  <si>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</si>
  <si>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</si>
  <si>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</si>
  <si>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</si>
  <si>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</si>
  <si>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</si>
  <si>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linear</t>
  </si>
  <si>
    <t>log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</si>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</sst>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storm3_results!$F$35:$F$131</c:f>
              <c:numCache>
                <c:formatCode>0.00E+00</c:formatCode>
                <c:ptCount val="97"/>
                <c:pt idx="0">
                  <c:v>6.2220073995991298E-5</c:v>
                </c:pt>
                <c:pt idx="1">
                  <c:v>6.6178714290296496E-5</c:v>
                </c:pt>
                <c:pt idx="2">
                  <c:v>6.2259887336969094E-5</c:v>
                </c:pt>
                <c:pt idx="3">
                  <c:v>4.4812866568108101E-5</c:v>
                </c:pt>
                <c:pt idx="4">
                  <c:v>5.6780174728224397E-5</c:v>
                </c:pt>
                <c:pt idx="5">
                  <c:v>4.8640600108223201E-5</c:v>
                </c:pt>
                <c:pt idx="6">
                  <c:v>6.0393440695148698E-5</c:v>
                </c:pt>
                <c:pt idx="7">
                  <c:v>6.0864281611377601E-5</c:v>
                </c:pt>
                <c:pt idx="8">
                  <c:v>6.0623769559061697E-5</c:v>
                </c:pt>
                <c:pt idx="9">
                  <c:v>5.7893533297190997E-5</c:v>
                </c:pt>
                <c:pt idx="10">
                  <c:v>5.1137025531139501E-5</c:v>
                </c:pt>
                <c:pt idx="11">
                  <c:v>5.4661395433813702E-5</c:v>
                </c:pt>
                <c:pt idx="12">
                  <c:v>4.78474909804447E-5</c:v>
                </c:pt>
                <c:pt idx="13">
                  <c:v>5.1633831414978E-5</c:v>
                </c:pt>
                <c:pt idx="14">
                  <c:v>6.2171288978311507E-5</c:v>
                </c:pt>
                <c:pt idx="15">
                  <c:v>4.50270173797452E-5</c:v>
                </c:pt>
                <c:pt idx="16">
                  <c:v>4.0637101347766799E-5</c:v>
                </c:pt>
                <c:pt idx="17">
                  <c:v>4.5263867659206198E-5</c:v>
                </c:pt>
                <c:pt idx="18">
                  <c:v>5.1682357083071802E-5</c:v>
                </c:pt>
                <c:pt idx="19">
                  <c:v>4.9629890347669901E-5</c:v>
                </c:pt>
                <c:pt idx="20">
                  <c:v>4.9807771026482602E-5</c:v>
                </c:pt>
                <c:pt idx="21">
                  <c:v>5.3730287594466297E-5</c:v>
                </c:pt>
                <c:pt idx="22">
                  <c:v>4.2660476496480302E-5</c:v>
                </c:pt>
                <c:pt idx="23">
                  <c:v>4.5717944379801102E-5</c:v>
                </c:pt>
                <c:pt idx="24">
                  <c:v>4.5738544441564899E-5</c:v>
                </c:pt>
                <c:pt idx="25">
                  <c:v>4.7247443971033097E-5</c:v>
                </c:pt>
                <c:pt idx="26">
                  <c:v>4.32424773742003E-5</c:v>
                </c:pt>
                <c:pt idx="27">
                  <c:v>3.9364616603735997E-5</c:v>
                </c:pt>
                <c:pt idx="28">
                  <c:v>5.02861820565687E-5</c:v>
                </c:pt>
                <c:pt idx="29">
                  <c:v>4.3711539093959403E-5</c:v>
                </c:pt>
                <c:pt idx="30">
                  <c:v>4.2291614579863297E-5</c:v>
                </c:pt>
                <c:pt idx="31">
                  <c:v>4.4560273663016598E-5</c:v>
                </c:pt>
                <c:pt idx="32">
                  <c:v>4.8693157274414998E-5</c:v>
                </c:pt>
                <c:pt idx="33">
                  <c:v>5.0958610815526402E-5</c:v>
                </c:pt>
                <c:pt idx="34">
                  <c:v>4.6183121610953697E-5</c:v>
                </c:pt>
                <c:pt idx="35">
                  <c:v>4.8545218207373703E-5</c:v>
                </c:pt>
                <c:pt idx="36">
                  <c:v>3.9353354510006299E-5</c:v>
                </c:pt>
                <c:pt idx="37">
                  <c:v>4.3712018423320802E-5</c:v>
                </c:pt>
                <c:pt idx="38">
                  <c:v>3.4233433605332401E-5</c:v>
                </c:pt>
                <c:pt idx="39">
                  <c:v>3.8549334988871E-5</c:v>
                </c:pt>
                <c:pt idx="40">
                  <c:v>3.6320712393498201E-5</c:v>
                </c:pt>
                <c:pt idx="41">
                  <c:v>3.6164272216330303E-5</c:v>
                </c:pt>
                <c:pt idx="42">
                  <c:v>4.6108985208100099E-5</c:v>
                </c:pt>
                <c:pt idx="43">
                  <c:v>4.1207806763278999E-5</c:v>
                </c:pt>
                <c:pt idx="44">
                  <c:v>4.0293568536430203E-5</c:v>
                </c:pt>
                <c:pt idx="45">
                  <c:v>3.7884010554959899E-5</c:v>
                </c:pt>
                <c:pt idx="46">
                  <c:v>4.3405291737131599E-5</c:v>
                </c:pt>
                <c:pt idx="47">
                  <c:v>4.4491495492774602E-5</c:v>
                </c:pt>
                <c:pt idx="48">
                  <c:v>3.4674239384573003E-5</c:v>
                </c:pt>
                <c:pt idx="49">
                  <c:v>3.7730200973100398E-5</c:v>
                </c:pt>
                <c:pt idx="50">
                  <c:v>4.3188638411430898E-5</c:v>
                </c:pt>
                <c:pt idx="51">
                  <c:v>4.7346782599544499E-5</c:v>
                </c:pt>
                <c:pt idx="52">
                  <c:v>8.2648648526256107E-5</c:v>
                </c:pt>
                <c:pt idx="53" formatCode="General">
                  <c:v>1.3351959566432301E-4</c:v>
                </c:pt>
                <c:pt idx="54" formatCode="General">
                  <c:v>1.3846760629352499E-4</c:v>
                </c:pt>
                <c:pt idx="55" formatCode="General">
                  <c:v>2.0755435258991599E-4</c:v>
                </c:pt>
                <c:pt idx="56" formatCode="General">
                  <c:v>5.73888755595516E-4</c:v>
                </c:pt>
                <c:pt idx="57" formatCode="General">
                  <c:v>1.6833878349398999E-3</c:v>
                </c:pt>
                <c:pt idx="58" formatCode="General">
                  <c:v>4.1484652833504096E-3</c:v>
                </c:pt>
                <c:pt idx="59" formatCode="General">
                  <c:v>8.0797184161333201E-3</c:v>
                </c:pt>
                <c:pt idx="60" formatCode="General">
                  <c:v>9.3021392923925104E-3</c:v>
                </c:pt>
                <c:pt idx="61" formatCode="General">
                  <c:v>7.8469285187051305E-3</c:v>
                </c:pt>
                <c:pt idx="62" formatCode="General">
                  <c:v>8.4352439667146704E-3</c:v>
                </c:pt>
                <c:pt idx="63" formatCode="General">
                  <c:v>7.4800790789909099E-3</c:v>
                </c:pt>
                <c:pt idx="64" formatCode="General">
                  <c:v>6.2497049846097904E-3</c:v>
                </c:pt>
                <c:pt idx="65" formatCode="General">
                  <c:v>4.9259150606982402E-3</c:v>
                </c:pt>
                <c:pt idx="66" formatCode="General">
                  <c:v>4.5572238723396597E-3</c:v>
                </c:pt>
                <c:pt idx="67" formatCode="General">
                  <c:v>3.3700282403264698E-3</c:v>
                </c:pt>
                <c:pt idx="68" formatCode="General">
                  <c:v>2.5401887037446E-3</c:v>
                </c:pt>
                <c:pt idx="69" formatCode="General">
                  <c:v>2.3385633704728001E-3</c:v>
                </c:pt>
                <c:pt idx="70" formatCode="General">
                  <c:v>2.22744505273163E-3</c:v>
                </c:pt>
                <c:pt idx="71" formatCode="General">
                  <c:v>1.9617145376486299E-3</c:v>
                </c:pt>
                <c:pt idx="72" formatCode="General">
                  <c:v>2.1853850925540701E-3</c:v>
                </c:pt>
                <c:pt idx="73" formatCode="General">
                  <c:v>1.5615744898367699E-3</c:v>
                </c:pt>
                <c:pt idx="74" formatCode="General">
                  <c:v>1.09940619460232E-3</c:v>
                </c:pt>
                <c:pt idx="75" formatCode="General">
                  <c:v>1.13743366280708E-3</c:v>
                </c:pt>
                <c:pt idx="76" formatCode="General">
                  <c:v>9.6726863266498504E-4</c:v>
                </c:pt>
                <c:pt idx="77" formatCode="General">
                  <c:v>1.00187980018906E-3</c:v>
                </c:pt>
                <c:pt idx="78" formatCode="General">
                  <c:v>1.3360413020140399E-3</c:v>
                </c:pt>
                <c:pt idx="79" formatCode="General">
                  <c:v>7.4622174125700601E-4</c:v>
                </c:pt>
                <c:pt idx="80" formatCode="General">
                  <c:v>5.9996253777437202E-4</c:v>
                </c:pt>
                <c:pt idx="81" formatCode="General">
                  <c:v>6.5138742536535103E-4</c:v>
                </c:pt>
                <c:pt idx="82" formatCode="General">
                  <c:v>5.0991736084694198E-4</c:v>
                </c:pt>
                <c:pt idx="83" formatCode="General">
                  <c:v>3.1542167111307302E-4</c:v>
                </c:pt>
                <c:pt idx="84" formatCode="General">
                  <c:v>5.15037510175398E-4</c:v>
                </c:pt>
                <c:pt idx="85" formatCode="General">
                  <c:v>5.8023833454423396E-4</c:v>
                </c:pt>
                <c:pt idx="86" formatCode="General">
                  <c:v>3.57713340939827E-4</c:v>
                </c:pt>
                <c:pt idx="87" formatCode="General">
                  <c:v>4.57158480375115E-4</c:v>
                </c:pt>
                <c:pt idx="88" formatCode="General">
                  <c:v>4.1931879957034598E-4</c:v>
                </c:pt>
                <c:pt idx="89" formatCode="General">
                  <c:v>3.1003197944039402E-4</c:v>
                </c:pt>
                <c:pt idx="90" formatCode="General">
                  <c:v>2.5447030332636399E-4</c:v>
                </c:pt>
                <c:pt idx="91" formatCode="General">
                  <c:v>2.8591448899382499E-4</c:v>
                </c:pt>
                <c:pt idx="92" formatCode="General">
                  <c:v>2.0231131544337901E-4</c:v>
                </c:pt>
                <c:pt idx="93" formatCode="General">
                  <c:v>2.15042994464816E-4</c:v>
                </c:pt>
                <c:pt idx="94" formatCode="General">
                  <c:v>1.8250178042105E-4</c:v>
                </c:pt>
                <c:pt idx="95" formatCode="General">
                  <c:v>2.2244680265942301E-4</c:v>
                </c:pt>
                <c:pt idx="96" formatCode="General">
                  <c:v>2.1275623824610799E-4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A-46A6-8B0B-5D860EB8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storm3_results!$G$35:$G$131</c:f>
              <c:numCache>
                <c:formatCode>0.00E+00</c:formatCode>
                <c:ptCount val="97"/>
                <c:pt idx="0">
                  <c:v>4.3390773253681202E-5</c:v>
                </c:pt>
                <c:pt idx="1">
                  <c:v>4.4864073795854901E-5</c:v>
                </c:pt>
                <c:pt idx="2">
                  <c:v>3.9316787360710797E-5</c:v>
                </c:pt>
                <c:pt idx="3">
                  <c:v>3.5117936254404899E-5</c:v>
                </c:pt>
                <c:pt idx="4">
                  <c:v>4.0254363635282697E-5</c:v>
                </c:pt>
                <c:pt idx="5">
                  <c:v>3.86414673423023E-5</c:v>
                </c:pt>
                <c:pt idx="6">
                  <c:v>3.9416558493862197E-5</c:v>
                </c:pt>
                <c:pt idx="7">
                  <c:v>4.3190939712577899E-5</c:v>
                </c:pt>
                <c:pt idx="8">
                  <c:v>4.5318512271556299E-5</c:v>
                </c:pt>
                <c:pt idx="9">
                  <c:v>4.0066264903710999E-5</c:v>
                </c:pt>
                <c:pt idx="10">
                  <c:v>3.7497369980662803E-5</c:v>
                </c:pt>
                <c:pt idx="11">
                  <c:v>3.7756379770466697E-5</c:v>
                </c:pt>
                <c:pt idx="12">
                  <c:v>3.6603859630888298E-5</c:v>
                </c:pt>
                <c:pt idx="13">
                  <c:v>4.0152974400629198E-5</c:v>
                </c:pt>
                <c:pt idx="14">
                  <c:v>4.0791202594603599E-5</c:v>
                </c:pt>
                <c:pt idx="15">
                  <c:v>3.5835970756291302E-5</c:v>
                </c:pt>
                <c:pt idx="16">
                  <c:v>3.2256170907894801E-5</c:v>
                </c:pt>
                <c:pt idx="17">
                  <c:v>3.4423836103599901E-5</c:v>
                </c:pt>
                <c:pt idx="18">
                  <c:v>3.81601637742318E-5</c:v>
                </c:pt>
                <c:pt idx="19">
                  <c:v>3.6878080717450798E-5</c:v>
                </c:pt>
                <c:pt idx="20">
                  <c:v>3.4913118241507198E-5</c:v>
                </c:pt>
                <c:pt idx="21">
                  <c:v>3.603482703039E-5</c:v>
                </c:pt>
                <c:pt idx="22">
                  <c:v>3.2155969328056901E-5</c:v>
                </c:pt>
                <c:pt idx="23">
                  <c:v>3.3175579626345401E-5</c:v>
                </c:pt>
                <c:pt idx="24">
                  <c:v>3.6497207032538797E-5</c:v>
                </c:pt>
                <c:pt idx="25">
                  <c:v>3.3367792057375499E-5</c:v>
                </c:pt>
                <c:pt idx="26">
                  <c:v>3.1181058333047003E-5</c:v>
                </c:pt>
                <c:pt idx="27">
                  <c:v>3.1518888182585502E-5</c:v>
                </c:pt>
                <c:pt idx="28">
                  <c:v>3.11534219580425E-5</c:v>
                </c:pt>
                <c:pt idx="29">
                  <c:v>2.9600849729506899E-5</c:v>
                </c:pt>
                <c:pt idx="30">
                  <c:v>3.1074100174455503E-5</c:v>
                </c:pt>
                <c:pt idx="31">
                  <c:v>3.2324401413697899E-5</c:v>
                </c:pt>
                <c:pt idx="32">
                  <c:v>3.40760792228753E-5</c:v>
                </c:pt>
                <c:pt idx="33">
                  <c:v>3.3076454084949302E-5</c:v>
                </c:pt>
                <c:pt idx="34">
                  <c:v>3.1798386196122001E-5</c:v>
                </c:pt>
                <c:pt idx="35">
                  <c:v>2.97437743456097E-5</c:v>
                </c:pt>
                <c:pt idx="36">
                  <c:v>2.70091480596573E-5</c:v>
                </c:pt>
                <c:pt idx="37">
                  <c:v>2.8309291135641998E-5</c:v>
                </c:pt>
                <c:pt idx="38">
                  <c:v>2.6116551569805998E-5</c:v>
                </c:pt>
                <c:pt idx="39">
                  <c:v>2.61237779429503E-5</c:v>
                </c:pt>
                <c:pt idx="40">
                  <c:v>2.6442215893342099E-5</c:v>
                </c:pt>
                <c:pt idx="41">
                  <c:v>2.8491000596350801E-5</c:v>
                </c:pt>
                <c:pt idx="42">
                  <c:v>2.96441355790747E-5</c:v>
                </c:pt>
                <c:pt idx="43">
                  <c:v>2.9915337381484401E-5</c:v>
                </c:pt>
                <c:pt idx="44">
                  <c:v>2.8846745874452701E-5</c:v>
                </c:pt>
                <c:pt idx="45">
                  <c:v>2.8345354773366101E-5</c:v>
                </c:pt>
                <c:pt idx="46">
                  <c:v>3.0549974679716699E-5</c:v>
                </c:pt>
                <c:pt idx="47">
                  <c:v>3.2324636249148003E-5</c:v>
                </c:pt>
                <c:pt idx="48">
                  <c:v>2.85341224981616E-5</c:v>
                </c:pt>
                <c:pt idx="49">
                  <c:v>2.5936397230706201E-5</c:v>
                </c:pt>
                <c:pt idx="50">
                  <c:v>2.9376780934249401E-5</c:v>
                </c:pt>
                <c:pt idx="51">
                  <c:v>3.4159027996720403E-5</c:v>
                </c:pt>
                <c:pt idx="52">
                  <c:v>5.3581471821967002E-5</c:v>
                </c:pt>
                <c:pt idx="53" formatCode="General">
                  <c:v>1.03050748078798E-4</c:v>
                </c:pt>
                <c:pt idx="54" formatCode="General">
                  <c:v>1.08588548962577E-4</c:v>
                </c:pt>
                <c:pt idx="55" formatCode="General">
                  <c:v>1.4450978317439401E-4</c:v>
                </c:pt>
                <c:pt idx="56" formatCode="General">
                  <c:v>3.93677646397528E-4</c:v>
                </c:pt>
                <c:pt idx="57" formatCode="General">
                  <c:v>1.34104885636936E-3</c:v>
                </c:pt>
                <c:pt idx="58" formatCode="General">
                  <c:v>3.17951968012865E-3</c:v>
                </c:pt>
                <c:pt idx="59" formatCode="General">
                  <c:v>5.2967743494178E-3</c:v>
                </c:pt>
                <c:pt idx="60" formatCode="General">
                  <c:v>6.7341365149251797E-3</c:v>
                </c:pt>
                <c:pt idx="61" formatCode="General">
                  <c:v>6.4122077941572899E-3</c:v>
                </c:pt>
                <c:pt idx="62" formatCode="General">
                  <c:v>6.2225450327969001E-3</c:v>
                </c:pt>
                <c:pt idx="63" formatCode="General">
                  <c:v>5.9676535137146904E-3</c:v>
                </c:pt>
                <c:pt idx="64" formatCode="General">
                  <c:v>4.6798413850515997E-3</c:v>
                </c:pt>
                <c:pt idx="65" formatCode="General">
                  <c:v>3.90434803672088E-3</c:v>
                </c:pt>
                <c:pt idx="66" formatCode="General">
                  <c:v>3.16801447556515E-3</c:v>
                </c:pt>
                <c:pt idx="67" formatCode="General">
                  <c:v>2.5765545839617401E-3</c:v>
                </c:pt>
                <c:pt idx="68" formatCode="General">
                  <c:v>1.9429818954530601E-3</c:v>
                </c:pt>
                <c:pt idx="69" formatCode="General">
                  <c:v>1.6818380285452E-3</c:v>
                </c:pt>
                <c:pt idx="70" formatCode="General">
                  <c:v>1.4717943544494999E-3</c:v>
                </c:pt>
                <c:pt idx="71" formatCode="General">
                  <c:v>1.3416551683044101E-3</c:v>
                </c:pt>
                <c:pt idx="72" formatCode="General">
                  <c:v>1.4430626910371101E-3</c:v>
                </c:pt>
                <c:pt idx="73" formatCode="General">
                  <c:v>1.2403680925810001E-3</c:v>
                </c:pt>
                <c:pt idx="74" formatCode="General">
                  <c:v>7.7161499823780405E-4</c:v>
                </c:pt>
                <c:pt idx="75" formatCode="General">
                  <c:v>8.1277834717550005E-4</c:v>
                </c:pt>
                <c:pt idx="76" formatCode="General">
                  <c:v>6.2367886008167397E-4</c:v>
                </c:pt>
                <c:pt idx="77" formatCode="General">
                  <c:v>6.5899515418500201E-4</c:v>
                </c:pt>
                <c:pt idx="78" formatCode="General">
                  <c:v>7.20152624164544E-4</c:v>
                </c:pt>
                <c:pt idx="79" formatCode="General">
                  <c:v>4.9603929369521397E-4</c:v>
                </c:pt>
                <c:pt idx="80" formatCode="General">
                  <c:v>4.0295528037529599E-4</c:v>
                </c:pt>
                <c:pt idx="81" formatCode="General">
                  <c:v>4.26286677431742E-4</c:v>
                </c:pt>
                <c:pt idx="82" formatCode="General">
                  <c:v>3.4645097613776198E-4</c:v>
                </c:pt>
                <c:pt idx="83" formatCode="General">
                  <c:v>2.2703370098513899E-4</c:v>
                </c:pt>
                <c:pt idx="84" formatCode="General">
                  <c:v>3.44675293829998E-4</c:v>
                </c:pt>
                <c:pt idx="85" formatCode="General">
                  <c:v>3.6050823518889001E-4</c:v>
                </c:pt>
                <c:pt idx="86" formatCode="General">
                  <c:v>2.55111183125121E-4</c:v>
                </c:pt>
                <c:pt idx="87" formatCode="General">
                  <c:v>2.80333370087925E-4</c:v>
                </c:pt>
                <c:pt idx="88" formatCode="General">
                  <c:v>2.7343608682566E-4</c:v>
                </c:pt>
                <c:pt idx="89" formatCode="General">
                  <c:v>2.2445087167960101E-4</c:v>
                </c:pt>
                <c:pt idx="90" formatCode="General">
                  <c:v>1.6754741097297501E-4</c:v>
                </c:pt>
                <c:pt idx="91" formatCode="General">
                  <c:v>1.4834945987482099E-4</c:v>
                </c:pt>
                <c:pt idx="92" formatCode="General">
                  <c:v>1.41708879220445E-4</c:v>
                </c:pt>
                <c:pt idx="93" formatCode="General">
                  <c:v>1.3635577373249301E-4</c:v>
                </c:pt>
                <c:pt idx="94" formatCode="General">
                  <c:v>1.3110981738493301E-4</c:v>
                </c:pt>
                <c:pt idx="95" formatCode="General">
                  <c:v>1.3819140711228899E-4</c:v>
                </c:pt>
                <c:pt idx="96" formatCode="General">
                  <c:v>1.4314391954512701E-4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7E-4086-9C29-E90BD6483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storm3_results!$H$35:$H$131</c:f>
              <c:numCache>
                <c:formatCode>0.00E+00</c:formatCode>
                <c:ptCount val="97"/>
                <c:pt idx="0">
                  <c:v>4.2954951444485903E-5</c:v>
                </c:pt>
                <c:pt idx="1">
                  <c:v>4.35119522231089E-5</c:v>
                </c:pt>
                <c:pt idx="2">
                  <c:v>3.7872897633925902E-5</c:v>
                </c:pt>
                <c:pt idx="3">
                  <c:v>3.5230804364166602E-5</c:v>
                </c:pt>
                <c:pt idx="4">
                  <c:v>3.8987807505225201E-5</c:v>
                </c:pt>
                <c:pt idx="5">
                  <c:v>3.85480635516473E-5</c:v>
                </c:pt>
                <c:pt idx="6">
                  <c:v>3.9128009792074502E-5</c:v>
                </c:pt>
                <c:pt idx="7">
                  <c:v>4.0993709793983997E-5</c:v>
                </c:pt>
                <c:pt idx="8">
                  <c:v>4.42027940595289E-5</c:v>
                </c:pt>
                <c:pt idx="9">
                  <c:v>3.9400787062800603E-5</c:v>
                </c:pt>
                <c:pt idx="10">
                  <c:v>3.6917196075659899E-5</c:v>
                </c:pt>
                <c:pt idx="11">
                  <c:v>3.7258083838060803E-5</c:v>
                </c:pt>
                <c:pt idx="12">
                  <c:v>3.6720148089166703E-5</c:v>
                </c:pt>
                <c:pt idx="13">
                  <c:v>3.9725302460147602E-5</c:v>
                </c:pt>
                <c:pt idx="14">
                  <c:v>4.0329042535240297E-5</c:v>
                </c:pt>
                <c:pt idx="15">
                  <c:v>3.55209148801119E-5</c:v>
                </c:pt>
                <c:pt idx="16">
                  <c:v>3.2135242253772201E-5</c:v>
                </c:pt>
                <c:pt idx="17">
                  <c:v>3.3583278539114503E-5</c:v>
                </c:pt>
                <c:pt idx="18">
                  <c:v>3.76559074616625E-5</c:v>
                </c:pt>
                <c:pt idx="19">
                  <c:v>3.6252798220628902E-5</c:v>
                </c:pt>
                <c:pt idx="20">
                  <c:v>3.4088097135017602E-5</c:v>
                </c:pt>
                <c:pt idx="21">
                  <c:v>3.5928042955002001E-5</c:v>
                </c:pt>
                <c:pt idx="22">
                  <c:v>3.1705865828248401E-5</c:v>
                </c:pt>
                <c:pt idx="23">
                  <c:v>3.3103390265011501E-5</c:v>
                </c:pt>
                <c:pt idx="24">
                  <c:v>3.5988760490523997E-5</c:v>
                </c:pt>
                <c:pt idx="25">
                  <c:v>3.2829072559303001E-5</c:v>
                </c:pt>
                <c:pt idx="26">
                  <c:v>3.06694120828013E-5</c:v>
                </c:pt>
                <c:pt idx="27">
                  <c:v>3.1347816384724698E-5</c:v>
                </c:pt>
                <c:pt idx="28">
                  <c:v>3.0460328901959998E-5</c:v>
                </c:pt>
                <c:pt idx="29">
                  <c:v>2.9575412376694401E-5</c:v>
                </c:pt>
                <c:pt idx="30">
                  <c:v>3.05097567798607E-5</c:v>
                </c:pt>
                <c:pt idx="31">
                  <c:v>3.20552653411968E-5</c:v>
                </c:pt>
                <c:pt idx="32">
                  <c:v>3.3782412518625402E-5</c:v>
                </c:pt>
                <c:pt idx="33">
                  <c:v>3.3004059758947903E-5</c:v>
                </c:pt>
                <c:pt idx="34">
                  <c:v>3.0518602053613603E-5</c:v>
                </c:pt>
                <c:pt idx="35">
                  <c:v>2.8539262531272999E-5</c:v>
                </c:pt>
                <c:pt idx="36">
                  <c:v>2.6795597790826301E-5</c:v>
                </c:pt>
                <c:pt idx="37">
                  <c:v>2.76675661740125E-5</c:v>
                </c:pt>
                <c:pt idx="38">
                  <c:v>2.5995599906577601E-5</c:v>
                </c:pt>
                <c:pt idx="39">
                  <c:v>2.5511758606239899E-5</c:v>
                </c:pt>
                <c:pt idx="40">
                  <c:v>2.6355060482649699E-5</c:v>
                </c:pt>
                <c:pt idx="41">
                  <c:v>2.8051021250466701E-5</c:v>
                </c:pt>
                <c:pt idx="42">
                  <c:v>2.9240502452857601E-5</c:v>
                </c:pt>
                <c:pt idx="43">
                  <c:v>2.9069424924514499E-5</c:v>
                </c:pt>
                <c:pt idx="44">
                  <c:v>2.80280597431268E-5</c:v>
                </c:pt>
                <c:pt idx="45">
                  <c:v>2.7903079709946899E-5</c:v>
                </c:pt>
                <c:pt idx="46">
                  <c:v>2.9956206591455198E-5</c:v>
                </c:pt>
                <c:pt idx="47">
                  <c:v>3.1973326744679599E-5</c:v>
                </c:pt>
                <c:pt idx="48">
                  <c:v>2.8289082169164301E-5</c:v>
                </c:pt>
                <c:pt idx="49">
                  <c:v>2.4998945635784901E-5</c:v>
                </c:pt>
                <c:pt idx="50">
                  <c:v>2.8669691152786502E-5</c:v>
                </c:pt>
                <c:pt idx="51">
                  <c:v>3.3657734694977199E-5</c:v>
                </c:pt>
                <c:pt idx="52">
                  <c:v>5.3718470176608601E-5</c:v>
                </c:pt>
                <c:pt idx="53" formatCode="General">
                  <c:v>1.0127717142915801E-4</c:v>
                </c:pt>
                <c:pt idx="54" formatCode="General">
                  <c:v>1.06570522797666E-4</c:v>
                </c:pt>
                <c:pt idx="55" formatCode="General">
                  <c:v>1.4007924237779E-4</c:v>
                </c:pt>
                <c:pt idx="56" formatCode="General">
                  <c:v>3.8679291559506201E-4</c:v>
                </c:pt>
                <c:pt idx="57" formatCode="General">
                  <c:v>1.33206981237495E-3</c:v>
                </c:pt>
                <c:pt idx="58" formatCode="General">
                  <c:v>3.2001126469845499E-3</c:v>
                </c:pt>
                <c:pt idx="59" formatCode="General">
                  <c:v>5.2505474390703603E-3</c:v>
                </c:pt>
                <c:pt idx="60" formatCode="General">
                  <c:v>6.6375810185178097E-3</c:v>
                </c:pt>
                <c:pt idx="61" formatCode="General">
                  <c:v>6.3256766291460596E-3</c:v>
                </c:pt>
                <c:pt idx="62" formatCode="General">
                  <c:v>6.1107840288281397E-3</c:v>
                </c:pt>
                <c:pt idx="63" formatCode="General">
                  <c:v>5.8256546427206601E-3</c:v>
                </c:pt>
                <c:pt idx="64" formatCode="General">
                  <c:v>4.7121918817883499E-3</c:v>
                </c:pt>
                <c:pt idx="65" formatCode="General">
                  <c:v>3.9018109528802E-3</c:v>
                </c:pt>
                <c:pt idx="66" formatCode="General">
                  <c:v>3.0722836198304199E-3</c:v>
                </c:pt>
                <c:pt idx="67" formatCode="General">
                  <c:v>2.5497137544549802E-3</c:v>
                </c:pt>
                <c:pt idx="68" formatCode="General">
                  <c:v>1.91701665183883E-3</c:v>
                </c:pt>
                <c:pt idx="69" formatCode="General">
                  <c:v>1.64299274306582E-3</c:v>
                </c:pt>
                <c:pt idx="70" formatCode="General">
                  <c:v>1.44223893080095E-3</c:v>
                </c:pt>
                <c:pt idx="71" formatCode="General">
                  <c:v>1.3424731078888301E-3</c:v>
                </c:pt>
                <c:pt idx="72" formatCode="General">
                  <c:v>1.4125139533651E-3</c:v>
                </c:pt>
                <c:pt idx="73" formatCode="General">
                  <c:v>1.23836948035909E-3</c:v>
                </c:pt>
                <c:pt idx="74" formatCode="General">
                  <c:v>7.6871512736497697E-4</c:v>
                </c:pt>
                <c:pt idx="75" formatCode="General">
                  <c:v>7.8871192257725102E-4</c:v>
                </c:pt>
                <c:pt idx="76" formatCode="General">
                  <c:v>6.1730130079995895E-4</c:v>
                </c:pt>
                <c:pt idx="77" formatCode="General">
                  <c:v>6.43995457611987E-4</c:v>
                </c:pt>
                <c:pt idx="78" formatCode="General">
                  <c:v>7.0412439530650897E-4</c:v>
                </c:pt>
                <c:pt idx="79" formatCode="General">
                  <c:v>4.82570506394654E-4</c:v>
                </c:pt>
                <c:pt idx="80" formatCode="General">
                  <c:v>4.0088531236814401E-4</c:v>
                </c:pt>
                <c:pt idx="81" formatCode="General">
                  <c:v>4.1838441616339102E-4</c:v>
                </c:pt>
                <c:pt idx="82" formatCode="General">
                  <c:v>3.45710373549922E-4</c:v>
                </c:pt>
                <c:pt idx="83" formatCode="General">
                  <c:v>2.2315170430604501E-4</c:v>
                </c:pt>
                <c:pt idx="84" formatCode="General">
                  <c:v>3.4982001621381901E-4</c:v>
                </c:pt>
                <c:pt idx="85" formatCode="General">
                  <c:v>3.6435024398046001E-4</c:v>
                </c:pt>
                <c:pt idx="86" formatCode="General">
                  <c:v>2.5464636633213902E-4</c:v>
                </c:pt>
                <c:pt idx="87" formatCode="General">
                  <c:v>2.66445249185948E-4</c:v>
                </c:pt>
                <c:pt idx="88" formatCode="General">
                  <c:v>2.6983518793627999E-4</c:v>
                </c:pt>
                <c:pt idx="89" formatCode="General">
                  <c:v>2.21107364468374E-4</c:v>
                </c:pt>
                <c:pt idx="90" formatCode="General">
                  <c:v>1.6882713771640599E-4</c:v>
                </c:pt>
                <c:pt idx="91" formatCode="General">
                  <c:v>1.4764060020599199E-4</c:v>
                </c:pt>
                <c:pt idx="92" formatCode="General">
                  <c:v>1.38436090859135E-4</c:v>
                </c:pt>
                <c:pt idx="93" formatCode="General">
                  <c:v>1.3517608792917301E-4</c:v>
                </c:pt>
                <c:pt idx="94" formatCode="General">
                  <c:v>1.27767891335146E-4</c:v>
                </c:pt>
                <c:pt idx="95" formatCode="General">
                  <c:v>1.3458829603896899E-4</c:v>
                </c:pt>
                <c:pt idx="96" formatCode="General">
                  <c:v>1.4208355318333501E-4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5-49B2-8A25-5B8FC904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33</xdr:row>
      <xdr:rowOff>38100</xdr:rowOff>
    </xdr:from>
    <xdr:to>
      <xdr:col>17</xdr:col>
      <xdr:colOff>247651</xdr:colOff>
      <xdr:row>44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770B3-D282-46AB-9D6D-6F60C9D10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104774</xdr:colOff>
      <xdr:row>46</xdr:row>
      <xdr:rowOff>19050</xdr:rowOff>
    </xdr:from>
    <xdr:to>
      <xdr:col>17</xdr:col>
      <xdr:colOff>200025</xdr:colOff>
      <xdr:row>57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3F434-1287-4807-9815-3482D12B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114299</xdr:colOff>
      <xdr:row>58</xdr:row>
      <xdr:rowOff>171450</xdr:rowOff>
    </xdr:from>
    <xdr:to>
      <xdr:col>17</xdr:col>
      <xdr:colOff>209550</xdr:colOff>
      <xdr:row>70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E8F069-F983-4F15-B59D-D8748AC4B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C5CC-EE4E-4D3E-ACAE-DFF5A57EB2DF}">
  <dimension ref="A1:CT131"/>
  <sheetViews>
    <sheetView tabSelected="1" topLeftCell="AQ1" workbookViewId="0">
      <selection activeCell="AV17" sqref="AV17"/>
    </sheetView>
  </sheetViews>
  <sheetFormatPr defaultRowHeight="15" x14ac:dyDescent="0.25"/>
  <cols>
    <col min="1" max="1" width="14.85546875" customWidth="1"/>
    <col min="2" max="2" width="15.140625" customWidth="1"/>
    <col min="3" max="3" width="13.85546875" customWidth="1"/>
    <col min="5" max="5" width="12.85546875" customWidth="1"/>
    <col min="54" max="54" width="13.7109375" customWidth="1"/>
    <col min="55" max="55" width="13.28515625" customWidth="1"/>
  </cols>
  <sheetData>
    <row r="1" spans="1:98" x14ac:dyDescent="0.25">
      <c r="B1" s="1">
        <v>44781.000694444447</v>
      </c>
      <c r="C1" s="1">
        <v>44781.011111111111</v>
      </c>
      <c r="D1" s="1">
        <v>44781.021527777775</v>
      </c>
      <c r="E1" s="1">
        <v>44781.031944444447</v>
      </c>
      <c r="F1" s="1">
        <v>44781.042361111111</v>
      </c>
      <c r="G1" s="1">
        <v>44781.052777777775</v>
      </c>
      <c r="H1" s="1">
        <v>44781.063194444447</v>
      </c>
      <c r="I1" s="1">
        <v>44781.073611111111</v>
      </c>
      <c r="J1" s="1">
        <v>44781.084027777775</v>
      </c>
      <c r="K1" s="1">
        <v>44781.094444444447</v>
      </c>
      <c r="L1" s="1">
        <v>44781.104861111111</v>
      </c>
      <c r="M1" s="1">
        <v>44781.115277777775</v>
      </c>
      <c r="N1" s="1">
        <v>44781.125694444447</v>
      </c>
      <c r="O1" s="1">
        <v>44781.136111111111</v>
      </c>
      <c r="P1" s="1">
        <v>44781.146527777775</v>
      </c>
      <c r="Q1" s="1">
        <v>44781.156944444447</v>
      </c>
      <c r="R1" s="1">
        <v>44781.167361111111</v>
      </c>
      <c r="S1" s="1">
        <v>44781.177777777775</v>
      </c>
      <c r="T1" s="1">
        <v>44781.188194444447</v>
      </c>
      <c r="U1" s="1">
        <v>44781.198611111111</v>
      </c>
      <c r="V1" s="1">
        <v>44781.209027777775</v>
      </c>
      <c r="W1" s="1">
        <v>44781.219444444447</v>
      </c>
      <c r="X1" s="1">
        <v>44781.229861111111</v>
      </c>
      <c r="Y1" s="1">
        <v>44781.240277777775</v>
      </c>
      <c r="Z1" s="1">
        <v>44781.250694444447</v>
      </c>
      <c r="AA1" s="1">
        <v>44781.261111111111</v>
      </c>
      <c r="AB1" s="1">
        <v>44781.271527777775</v>
      </c>
      <c r="AC1" s="1">
        <v>44781.281944444447</v>
      </c>
      <c r="AD1" s="1">
        <v>44781.292361111111</v>
      </c>
      <c r="AE1" s="1">
        <v>44781.302777777775</v>
      </c>
      <c r="AF1" s="1">
        <v>44781.313194444447</v>
      </c>
      <c r="AG1" s="1">
        <v>44781.323611111111</v>
      </c>
      <c r="AH1" s="1">
        <v>44781.334027777775</v>
      </c>
      <c r="AI1" s="1">
        <v>44781.344444444447</v>
      </c>
      <c r="AJ1" s="1">
        <v>44781.354861111111</v>
      </c>
      <c r="AK1" s="1">
        <v>44781.365277777775</v>
      </c>
      <c r="AL1" s="1">
        <v>44781.375694444447</v>
      </c>
      <c r="AM1" s="1">
        <v>44781.386111111111</v>
      </c>
      <c r="AN1" s="1">
        <v>44781.396527777775</v>
      </c>
      <c r="AO1" s="1">
        <v>44781.406944444447</v>
      </c>
      <c r="AP1" s="1">
        <v>44781.417361111111</v>
      </c>
      <c r="AQ1" s="1">
        <v>44781.427777777775</v>
      </c>
      <c r="AR1" s="1">
        <v>44781.438194444447</v>
      </c>
      <c r="AS1" s="1">
        <v>44781.448611111111</v>
      </c>
      <c r="AT1" s="1">
        <v>44781.459027777775</v>
      </c>
      <c r="AU1" s="1">
        <v>44781.469444444447</v>
      </c>
      <c r="AV1" s="1">
        <v>44781.479861111111</v>
      </c>
      <c r="AW1" s="1">
        <v>44781.490277777775</v>
      </c>
      <c r="AX1" s="1">
        <v>44781.500694444447</v>
      </c>
      <c r="AY1" s="1">
        <v>44781.511111111111</v>
      </c>
      <c r="AZ1" s="1">
        <v>44781.521527777775</v>
      </c>
      <c r="BA1" s="1">
        <v>44781.531944444447</v>
      </c>
      <c r="BB1" s="1">
        <v>44781.542361111111</v>
      </c>
      <c r="BC1" s="1">
        <v>44781.552777777775</v>
      </c>
      <c r="BD1" s="1">
        <v>44781.563194444447</v>
      </c>
      <c r="BE1" s="1">
        <v>44781.573611111111</v>
      </c>
      <c r="BF1" s="1">
        <v>44781.584027777775</v>
      </c>
      <c r="BG1" s="1">
        <v>44781.594444444447</v>
      </c>
      <c r="BH1" s="1">
        <v>44781.604861111111</v>
      </c>
      <c r="BI1" s="1">
        <v>44781.615277777775</v>
      </c>
      <c r="BJ1" s="1">
        <v>44781.625694444447</v>
      </c>
      <c r="BK1" s="1">
        <v>44781.636111111111</v>
      </c>
      <c r="BL1" s="1">
        <v>44781.646527777775</v>
      </c>
      <c r="BM1" s="1">
        <v>44781.656944444447</v>
      </c>
      <c r="BN1" s="1">
        <v>44781.667361111111</v>
      </c>
      <c r="BO1" s="1">
        <v>44781.677777777775</v>
      </c>
      <c r="BP1" s="1">
        <v>44781.688194444447</v>
      </c>
      <c r="BQ1" s="1">
        <v>44781.698611111111</v>
      </c>
      <c r="BR1" s="1">
        <v>44781.709027777775</v>
      </c>
      <c r="BS1" s="1">
        <v>44781.719444444447</v>
      </c>
      <c r="BT1" s="1">
        <v>44781.729861111111</v>
      </c>
      <c r="BU1" s="1">
        <v>44781.740277777775</v>
      </c>
      <c r="BV1" s="1">
        <v>44781.750694444447</v>
      </c>
      <c r="BW1" s="1">
        <v>44781.761111111111</v>
      </c>
      <c r="BX1" s="1">
        <v>44781.771527777775</v>
      </c>
      <c r="BY1" s="1">
        <v>44781.781944444447</v>
      </c>
      <c r="BZ1" s="1">
        <v>44781.792361111111</v>
      </c>
      <c r="CA1" s="1">
        <v>44781.802777777775</v>
      </c>
      <c r="CB1" s="1">
        <v>44781.813194444447</v>
      </c>
      <c r="CC1" s="1">
        <v>44781.823611111111</v>
      </c>
      <c r="CD1" s="1">
        <v>44781.834027777775</v>
      </c>
      <c r="CE1" s="1">
        <v>44781.844444444447</v>
      </c>
      <c r="CF1" s="1">
        <v>44781.854861111111</v>
      </c>
      <c r="CG1" s="1">
        <v>44781.865277777775</v>
      </c>
      <c r="CH1" s="1">
        <v>44781.875694444447</v>
      </c>
      <c r="CI1" s="1">
        <v>44781.886111111111</v>
      </c>
      <c r="CJ1" s="1">
        <v>44781.896527777775</v>
      </c>
      <c r="CK1" s="1">
        <v>44781.906944444447</v>
      </c>
      <c r="CL1" s="1">
        <v>44781.917361111111</v>
      </c>
      <c r="CM1" s="1">
        <v>44781.927777777775</v>
      </c>
      <c r="CN1" s="1">
        <v>44781.938194444447</v>
      </c>
      <c r="CO1" s="1">
        <v>44781.948611111111</v>
      </c>
      <c r="CP1" s="1">
        <v>44781.959027777775</v>
      </c>
      <c r="CQ1" s="1">
        <v>44781.969444444447</v>
      </c>
      <c r="CR1" s="1">
        <v>44781.979861111111</v>
      </c>
      <c r="CS1" s="1">
        <v>44781.990277777775</v>
      </c>
      <c r="CT1" s="1">
        <v>44782.000694444447</v>
      </c>
    </row>
    <row r="2" spans="1:98" x14ac:dyDescent="0.25">
      <c r="A2" t="s">
        <v>0</v>
      </c>
      <c r="B2" s="4">
        <v>6.2220073995991298E-5</v>
      </c>
      <c r="C2" s="4">
        <v>6.6178714290296496E-5</v>
      </c>
      <c r="D2" s="4">
        <v>6.2259887336969094E-5</v>
      </c>
      <c r="E2" s="4">
        <v>4.4812866568108101E-5</v>
      </c>
      <c r="F2" s="4">
        <v>5.6780174728224397E-5</v>
      </c>
      <c r="G2" s="4">
        <v>4.8640600108223201E-5</v>
      </c>
      <c r="H2" s="4">
        <v>6.0393440695148698E-5</v>
      </c>
      <c r="I2" s="4">
        <v>6.0864281611377601E-5</v>
      </c>
      <c r="J2" s="4">
        <v>6.0623769559061697E-5</v>
      </c>
      <c r="K2" s="4">
        <v>5.7893533297190997E-5</v>
      </c>
      <c r="L2" s="4">
        <v>5.1137025531139501E-5</v>
      </c>
      <c r="M2" s="4">
        <v>5.4661395433813702E-5</v>
      </c>
      <c r="N2" s="4">
        <v>4.78474909804447E-5</v>
      </c>
      <c r="O2" s="4">
        <v>5.1633831414978E-5</v>
      </c>
      <c r="P2" s="4">
        <v>6.2171288978311507E-5</v>
      </c>
      <c r="Q2" s="4">
        <v>4.50270173797452E-5</v>
      </c>
      <c r="R2" s="4">
        <v>4.0637101347766799E-5</v>
      </c>
      <c r="S2" s="4">
        <v>4.5263867659206198E-5</v>
      </c>
      <c r="T2" s="4">
        <v>5.1682357083071802E-5</v>
      </c>
      <c r="U2" s="4">
        <v>4.9629890347669901E-5</v>
      </c>
      <c r="V2" s="4">
        <v>4.9807771026482602E-5</v>
      </c>
      <c r="W2" s="4">
        <v>5.3730287594466297E-5</v>
      </c>
      <c r="X2" s="4">
        <v>4.2660476496480302E-5</v>
      </c>
      <c r="Y2" s="4">
        <v>4.5717944379801102E-5</v>
      </c>
      <c r="Z2" s="4">
        <v>4.5738544441564899E-5</v>
      </c>
      <c r="AA2" s="4">
        <v>4.7247443971033097E-5</v>
      </c>
      <c r="AB2" s="4">
        <v>4.32424773742003E-5</v>
      </c>
      <c r="AC2" s="4">
        <v>3.9364616603735997E-5</v>
      </c>
      <c r="AD2" s="4">
        <v>5.02861820565687E-5</v>
      </c>
      <c r="AE2" s="4">
        <v>4.3711539093959403E-5</v>
      </c>
      <c r="AF2" s="4">
        <v>4.2291614579863297E-5</v>
      </c>
      <c r="AG2" s="4">
        <v>4.4560273663016598E-5</v>
      </c>
      <c r="AH2" s="4">
        <v>4.8693157274414998E-5</v>
      </c>
      <c r="AI2" s="4">
        <v>5.0958610815526402E-5</v>
      </c>
      <c r="AJ2" s="4">
        <v>4.6183121610953697E-5</v>
      </c>
      <c r="AK2" s="4">
        <v>4.8545218207373703E-5</v>
      </c>
      <c r="AL2" s="4">
        <v>3.9353354510006299E-5</v>
      </c>
      <c r="AM2" s="4">
        <v>4.3712018423320802E-5</v>
      </c>
      <c r="AN2" s="4">
        <v>3.4233433605332401E-5</v>
      </c>
      <c r="AO2" s="4">
        <v>3.8549334988871E-5</v>
      </c>
      <c r="AP2" s="4">
        <v>3.6320712393498201E-5</v>
      </c>
      <c r="AQ2" s="4">
        <v>3.6164272216330303E-5</v>
      </c>
      <c r="AR2" s="4">
        <v>4.6108985208100099E-5</v>
      </c>
      <c r="AS2" s="4">
        <v>4.1207806763278999E-5</v>
      </c>
      <c r="AT2" s="4">
        <v>4.0293568536430203E-5</v>
      </c>
      <c r="AU2" s="4">
        <v>3.7884010554959899E-5</v>
      </c>
      <c r="AV2" s="4">
        <v>4.3405291737131599E-5</v>
      </c>
      <c r="AW2" s="4">
        <v>4.4491495492774602E-5</v>
      </c>
      <c r="AX2" s="4">
        <v>3.4674239384573003E-5</v>
      </c>
      <c r="AY2" s="4">
        <v>3.7730200973100398E-5</v>
      </c>
      <c r="AZ2" s="4">
        <v>4.3188638411430898E-5</v>
      </c>
      <c r="BA2" s="4">
        <v>4.7346782599544499E-5</v>
      </c>
      <c r="BB2" s="4">
        <v>8.2648648526256107E-5</v>
      </c>
      <c r="BC2">
        <v>1.3351959566432301E-4</v>
      </c>
      <c r="BD2">
        <v>1.3846760629352499E-4</v>
      </c>
      <c r="BE2">
        <v>2.0755435258991599E-4</v>
      </c>
      <c r="BF2">
        <v>5.73888755595516E-4</v>
      </c>
      <c r="BG2">
        <v>1.6833878349398999E-3</v>
      </c>
      <c r="BH2">
        <v>4.1484652833504096E-3</v>
      </c>
      <c r="BI2">
        <v>8.0797184161333201E-3</v>
      </c>
      <c r="BJ2">
        <v>9.3021392923925104E-3</v>
      </c>
      <c r="BK2">
        <v>7.8469285187051305E-3</v>
      </c>
      <c r="BL2">
        <v>8.4352439667146704E-3</v>
      </c>
      <c r="BM2">
        <v>7.4800790789909099E-3</v>
      </c>
      <c r="BN2">
        <v>6.2497049846097904E-3</v>
      </c>
      <c r="BO2">
        <v>4.9259150606982402E-3</v>
      </c>
      <c r="BP2">
        <v>4.5572238723396597E-3</v>
      </c>
      <c r="BQ2">
        <v>3.3700282403264698E-3</v>
      </c>
      <c r="BR2">
        <v>2.5401887037446E-3</v>
      </c>
      <c r="BS2">
        <v>2.3385633704728001E-3</v>
      </c>
      <c r="BT2">
        <v>2.22744505273163E-3</v>
      </c>
      <c r="BU2">
        <v>1.9617145376486299E-3</v>
      </c>
      <c r="BV2">
        <v>2.1853850925540701E-3</v>
      </c>
      <c r="BW2">
        <v>1.5615744898367699E-3</v>
      </c>
      <c r="BX2">
        <v>1.09940619460232E-3</v>
      </c>
      <c r="BY2">
        <v>1.13743366280708E-3</v>
      </c>
      <c r="BZ2">
        <v>9.6726863266498504E-4</v>
      </c>
      <c r="CA2">
        <v>1.00187980018906E-3</v>
      </c>
      <c r="CB2">
        <v>1.3360413020140399E-3</v>
      </c>
      <c r="CC2">
        <v>7.4622174125700601E-4</v>
      </c>
      <c r="CD2">
        <v>5.9996253777437202E-4</v>
      </c>
      <c r="CE2">
        <v>6.5138742536535103E-4</v>
      </c>
      <c r="CF2">
        <v>5.0991736084694198E-4</v>
      </c>
      <c r="CG2">
        <v>3.1542167111307302E-4</v>
      </c>
      <c r="CH2">
        <v>5.15037510175398E-4</v>
      </c>
      <c r="CI2">
        <v>5.8023833454423396E-4</v>
      </c>
      <c r="CJ2">
        <v>3.57713340939827E-4</v>
      </c>
      <c r="CK2">
        <v>4.57158480375115E-4</v>
      </c>
      <c r="CL2">
        <v>4.1931879957034598E-4</v>
      </c>
      <c r="CM2">
        <v>3.1003197944039402E-4</v>
      </c>
      <c r="CN2">
        <v>2.5447030332636399E-4</v>
      </c>
      <c r="CO2">
        <v>2.8591448899382499E-4</v>
      </c>
      <c r="CP2">
        <v>2.0231131544337901E-4</v>
      </c>
      <c r="CQ2">
        <v>2.15042994464816E-4</v>
      </c>
      <c r="CR2">
        <v>1.8250178042105E-4</v>
      </c>
      <c r="CS2">
        <v>2.2244680265942301E-4</v>
      </c>
      <c r="CT2">
        <v>2.1275623824610799E-4</v>
      </c>
    </row>
    <row r="3" spans="1:98" x14ac:dyDescent="0.25">
      <c r="A3" t="s">
        <v>1</v>
      </c>
      <c r="B3" s="4">
        <v>4.3390773253681202E-5</v>
      </c>
      <c r="C3" s="4">
        <v>4.4864073795854901E-5</v>
      </c>
      <c r="D3" s="4">
        <v>3.9316787360710797E-5</v>
      </c>
      <c r="E3" s="4">
        <v>3.5117936254404899E-5</v>
      </c>
      <c r="F3" s="4">
        <v>4.0254363635282697E-5</v>
      </c>
      <c r="G3" s="4">
        <v>3.86414673423023E-5</v>
      </c>
      <c r="H3" s="4">
        <v>3.9416558493862197E-5</v>
      </c>
      <c r="I3" s="4">
        <v>4.3190939712577899E-5</v>
      </c>
      <c r="J3" s="4">
        <v>4.5318512271556299E-5</v>
      </c>
      <c r="K3" s="4">
        <v>4.0066264903710999E-5</v>
      </c>
      <c r="L3" s="4">
        <v>3.7497369980662803E-5</v>
      </c>
      <c r="M3" s="4">
        <v>3.7756379770466697E-5</v>
      </c>
      <c r="N3" s="4">
        <v>3.6603859630888298E-5</v>
      </c>
      <c r="O3" s="4">
        <v>4.0152974400629198E-5</v>
      </c>
      <c r="P3" s="4">
        <v>4.0791202594603599E-5</v>
      </c>
      <c r="Q3" s="4">
        <v>3.5835970756291302E-5</v>
      </c>
      <c r="R3" s="4">
        <v>3.2256170907894801E-5</v>
      </c>
      <c r="S3" s="4">
        <v>3.4423836103599901E-5</v>
      </c>
      <c r="T3" s="4">
        <v>3.81601637742318E-5</v>
      </c>
      <c r="U3" s="4">
        <v>3.6878080717450798E-5</v>
      </c>
      <c r="V3" s="4">
        <v>3.4913118241507198E-5</v>
      </c>
      <c r="W3" s="4">
        <v>3.603482703039E-5</v>
      </c>
      <c r="X3" s="4">
        <v>3.2155969328056901E-5</v>
      </c>
      <c r="Y3" s="4">
        <v>3.3175579626345401E-5</v>
      </c>
      <c r="Z3" s="4">
        <v>3.6497207032538797E-5</v>
      </c>
      <c r="AA3" s="4">
        <v>3.3367792057375499E-5</v>
      </c>
      <c r="AB3" s="4">
        <v>3.1181058333047003E-5</v>
      </c>
      <c r="AC3" s="4">
        <v>3.1518888182585502E-5</v>
      </c>
      <c r="AD3" s="4">
        <v>3.11534219580425E-5</v>
      </c>
      <c r="AE3" s="4">
        <v>2.9600849729506899E-5</v>
      </c>
      <c r="AF3" s="4">
        <v>3.1074100174455503E-5</v>
      </c>
      <c r="AG3" s="4">
        <v>3.2324401413697899E-5</v>
      </c>
      <c r="AH3" s="4">
        <v>3.40760792228753E-5</v>
      </c>
      <c r="AI3" s="4">
        <v>3.3076454084949302E-5</v>
      </c>
      <c r="AJ3" s="4">
        <v>3.1798386196122001E-5</v>
      </c>
      <c r="AK3" s="4">
        <v>2.97437743456097E-5</v>
      </c>
      <c r="AL3" s="4">
        <v>2.70091480596573E-5</v>
      </c>
      <c r="AM3" s="4">
        <v>2.8309291135641998E-5</v>
      </c>
      <c r="AN3" s="4">
        <v>2.6116551569805998E-5</v>
      </c>
      <c r="AO3" s="4">
        <v>2.61237779429503E-5</v>
      </c>
      <c r="AP3" s="4">
        <v>2.6442215893342099E-5</v>
      </c>
      <c r="AQ3" s="4">
        <v>2.8491000596350801E-5</v>
      </c>
      <c r="AR3" s="4">
        <v>2.96441355790747E-5</v>
      </c>
      <c r="AS3" s="4">
        <v>2.9915337381484401E-5</v>
      </c>
      <c r="AT3" s="4">
        <v>2.8846745874452701E-5</v>
      </c>
      <c r="AU3" s="4">
        <v>2.8345354773366101E-5</v>
      </c>
      <c r="AV3" s="4">
        <v>3.0549974679716699E-5</v>
      </c>
      <c r="AW3" s="4">
        <v>3.2324636249148003E-5</v>
      </c>
      <c r="AX3" s="4">
        <v>2.85341224981616E-5</v>
      </c>
      <c r="AY3" s="4">
        <v>2.5936397230706201E-5</v>
      </c>
      <c r="AZ3" s="4">
        <v>2.9376780934249401E-5</v>
      </c>
      <c r="BA3" s="4">
        <v>3.4159027996720403E-5</v>
      </c>
      <c r="BB3" s="4">
        <v>5.3581471821967002E-5</v>
      </c>
      <c r="BC3">
        <v>1.03050748078798E-4</v>
      </c>
      <c r="BD3">
        <v>1.08588548962577E-4</v>
      </c>
      <c r="BE3">
        <v>1.4450978317439401E-4</v>
      </c>
      <c r="BF3">
        <v>3.93677646397528E-4</v>
      </c>
      <c r="BG3">
        <v>1.34104885636936E-3</v>
      </c>
      <c r="BH3">
        <v>3.17951968012865E-3</v>
      </c>
      <c r="BI3">
        <v>5.2967743494178E-3</v>
      </c>
      <c r="BJ3">
        <v>6.7341365149251797E-3</v>
      </c>
      <c r="BK3">
        <v>6.4122077941572899E-3</v>
      </c>
      <c r="BL3">
        <v>6.2225450327969001E-3</v>
      </c>
      <c r="BM3">
        <v>5.9676535137146904E-3</v>
      </c>
      <c r="BN3">
        <v>4.6798413850515997E-3</v>
      </c>
      <c r="BO3">
        <v>3.90434803672088E-3</v>
      </c>
      <c r="BP3">
        <v>3.16801447556515E-3</v>
      </c>
      <c r="BQ3">
        <v>2.5765545839617401E-3</v>
      </c>
      <c r="BR3">
        <v>1.9429818954530601E-3</v>
      </c>
      <c r="BS3">
        <v>1.6818380285452E-3</v>
      </c>
      <c r="BT3">
        <v>1.4717943544494999E-3</v>
      </c>
      <c r="BU3">
        <v>1.3416551683044101E-3</v>
      </c>
      <c r="BV3">
        <v>1.4430626910371101E-3</v>
      </c>
      <c r="BW3">
        <v>1.2403680925810001E-3</v>
      </c>
      <c r="BX3">
        <v>7.7161499823780405E-4</v>
      </c>
      <c r="BY3">
        <v>8.1277834717550005E-4</v>
      </c>
      <c r="BZ3">
        <v>6.2367886008167397E-4</v>
      </c>
      <c r="CA3">
        <v>6.5899515418500201E-4</v>
      </c>
      <c r="CB3">
        <v>7.20152624164544E-4</v>
      </c>
      <c r="CC3">
        <v>4.9603929369521397E-4</v>
      </c>
      <c r="CD3">
        <v>4.0295528037529599E-4</v>
      </c>
      <c r="CE3">
        <v>4.26286677431742E-4</v>
      </c>
      <c r="CF3">
        <v>3.4645097613776198E-4</v>
      </c>
      <c r="CG3">
        <v>2.2703370098513899E-4</v>
      </c>
      <c r="CH3">
        <v>3.44675293829998E-4</v>
      </c>
      <c r="CI3">
        <v>3.6050823518889001E-4</v>
      </c>
      <c r="CJ3">
        <v>2.55111183125121E-4</v>
      </c>
      <c r="CK3">
        <v>2.80333370087925E-4</v>
      </c>
      <c r="CL3">
        <v>2.7343608682566E-4</v>
      </c>
      <c r="CM3">
        <v>2.2445087167960101E-4</v>
      </c>
      <c r="CN3">
        <v>1.6754741097297501E-4</v>
      </c>
      <c r="CO3">
        <v>1.4834945987482099E-4</v>
      </c>
      <c r="CP3">
        <v>1.41708879220445E-4</v>
      </c>
      <c r="CQ3">
        <v>1.3635577373249301E-4</v>
      </c>
      <c r="CR3">
        <v>1.3110981738493301E-4</v>
      </c>
      <c r="CS3">
        <v>1.3819140711228899E-4</v>
      </c>
      <c r="CT3">
        <v>1.4314391954512701E-4</v>
      </c>
    </row>
    <row r="4" spans="1:98" x14ac:dyDescent="0.25">
      <c r="A4" t="s">
        <v>2</v>
      </c>
      <c r="B4" s="4">
        <v>4.2954951444485903E-5</v>
      </c>
      <c r="C4" s="4">
        <v>4.35119522231089E-5</v>
      </c>
      <c r="D4" s="4">
        <v>3.7872897633925902E-5</v>
      </c>
      <c r="E4" s="4">
        <v>3.5230804364166602E-5</v>
      </c>
      <c r="F4" s="4">
        <v>3.8987807505225201E-5</v>
      </c>
      <c r="G4" s="4">
        <v>3.85480635516473E-5</v>
      </c>
      <c r="H4" s="4">
        <v>3.9128009792074502E-5</v>
      </c>
      <c r="I4" s="4">
        <v>4.0993709793983997E-5</v>
      </c>
      <c r="J4" s="4">
        <v>4.42027940595289E-5</v>
      </c>
      <c r="K4" s="4">
        <v>3.9400787062800603E-5</v>
      </c>
      <c r="L4" s="4">
        <v>3.6917196075659899E-5</v>
      </c>
      <c r="M4" s="4">
        <v>3.7258083838060803E-5</v>
      </c>
      <c r="N4" s="4">
        <v>3.6720148089166703E-5</v>
      </c>
      <c r="O4" s="4">
        <v>3.9725302460147602E-5</v>
      </c>
      <c r="P4" s="4">
        <v>4.0329042535240297E-5</v>
      </c>
      <c r="Q4" s="4">
        <v>3.55209148801119E-5</v>
      </c>
      <c r="R4" s="4">
        <v>3.2135242253772201E-5</v>
      </c>
      <c r="S4" s="4">
        <v>3.3583278539114503E-5</v>
      </c>
      <c r="T4" s="4">
        <v>3.76559074616625E-5</v>
      </c>
      <c r="U4" s="4">
        <v>3.6252798220628902E-5</v>
      </c>
      <c r="V4" s="4">
        <v>3.4088097135017602E-5</v>
      </c>
      <c r="W4" s="4">
        <v>3.5928042955002001E-5</v>
      </c>
      <c r="X4" s="4">
        <v>3.1705865828248401E-5</v>
      </c>
      <c r="Y4" s="4">
        <v>3.3103390265011501E-5</v>
      </c>
      <c r="Z4" s="4">
        <v>3.5988760490523997E-5</v>
      </c>
      <c r="AA4" s="4">
        <v>3.2829072559303001E-5</v>
      </c>
      <c r="AB4" s="4">
        <v>3.06694120828013E-5</v>
      </c>
      <c r="AC4" s="4">
        <v>3.1347816384724698E-5</v>
      </c>
      <c r="AD4" s="4">
        <v>3.0460328901959998E-5</v>
      </c>
      <c r="AE4" s="4">
        <v>2.9575412376694401E-5</v>
      </c>
      <c r="AF4" s="4">
        <v>3.05097567798607E-5</v>
      </c>
      <c r="AG4" s="4">
        <v>3.20552653411968E-5</v>
      </c>
      <c r="AH4" s="4">
        <v>3.3782412518625402E-5</v>
      </c>
      <c r="AI4" s="4">
        <v>3.3004059758947903E-5</v>
      </c>
      <c r="AJ4" s="4">
        <v>3.0518602053613603E-5</v>
      </c>
      <c r="AK4" s="4">
        <v>2.8539262531272999E-5</v>
      </c>
      <c r="AL4" s="4">
        <v>2.6795597790826301E-5</v>
      </c>
      <c r="AM4" s="4">
        <v>2.76675661740125E-5</v>
      </c>
      <c r="AN4" s="4">
        <v>2.5995599906577601E-5</v>
      </c>
      <c r="AO4" s="4">
        <v>2.5511758606239899E-5</v>
      </c>
      <c r="AP4" s="4">
        <v>2.6355060482649699E-5</v>
      </c>
      <c r="AQ4" s="4">
        <v>2.8051021250466701E-5</v>
      </c>
      <c r="AR4" s="4">
        <v>2.9240502452857601E-5</v>
      </c>
      <c r="AS4" s="4">
        <v>2.9069424924514499E-5</v>
      </c>
      <c r="AT4" s="4">
        <v>2.80280597431268E-5</v>
      </c>
      <c r="AU4" s="4">
        <v>2.7903079709946899E-5</v>
      </c>
      <c r="AV4" s="4">
        <v>2.9956206591455198E-5</v>
      </c>
      <c r="AW4" s="4">
        <v>3.1973326744679599E-5</v>
      </c>
      <c r="AX4" s="4">
        <v>2.8289082169164301E-5</v>
      </c>
      <c r="AY4" s="4">
        <v>2.4998945635784901E-5</v>
      </c>
      <c r="AZ4" s="4">
        <v>2.8669691152786502E-5</v>
      </c>
      <c r="BA4" s="4">
        <v>3.3657734694977199E-5</v>
      </c>
      <c r="BB4" s="4">
        <v>5.3718470176608601E-5</v>
      </c>
      <c r="BC4">
        <v>1.0127717142915801E-4</v>
      </c>
      <c r="BD4">
        <v>1.06570522797666E-4</v>
      </c>
      <c r="BE4">
        <v>1.4007924237779E-4</v>
      </c>
      <c r="BF4">
        <v>3.8679291559506201E-4</v>
      </c>
      <c r="BG4">
        <v>1.33206981237495E-3</v>
      </c>
      <c r="BH4">
        <v>3.2001126469845499E-3</v>
      </c>
      <c r="BI4">
        <v>5.2505474390703603E-3</v>
      </c>
      <c r="BJ4">
        <v>6.6375810185178097E-3</v>
      </c>
      <c r="BK4">
        <v>6.3256766291460596E-3</v>
      </c>
      <c r="BL4">
        <v>6.1107840288281397E-3</v>
      </c>
      <c r="BM4">
        <v>5.8256546427206601E-3</v>
      </c>
      <c r="BN4">
        <v>4.7121918817883499E-3</v>
      </c>
      <c r="BO4">
        <v>3.9018109528802E-3</v>
      </c>
      <c r="BP4">
        <v>3.0722836198304199E-3</v>
      </c>
      <c r="BQ4">
        <v>2.5497137544549802E-3</v>
      </c>
      <c r="BR4">
        <v>1.91701665183883E-3</v>
      </c>
      <c r="BS4">
        <v>1.64299274306582E-3</v>
      </c>
      <c r="BT4">
        <v>1.44223893080095E-3</v>
      </c>
      <c r="BU4">
        <v>1.3424731078888301E-3</v>
      </c>
      <c r="BV4">
        <v>1.4125139533651E-3</v>
      </c>
      <c r="BW4">
        <v>1.23836948035909E-3</v>
      </c>
      <c r="BX4">
        <v>7.6871512736497697E-4</v>
      </c>
      <c r="BY4">
        <v>7.8871192257725102E-4</v>
      </c>
      <c r="BZ4">
        <v>6.1730130079995895E-4</v>
      </c>
      <c r="CA4">
        <v>6.43995457611987E-4</v>
      </c>
      <c r="CB4">
        <v>7.0412439530650897E-4</v>
      </c>
      <c r="CC4">
        <v>4.82570506394654E-4</v>
      </c>
      <c r="CD4">
        <v>4.0088531236814401E-4</v>
      </c>
      <c r="CE4">
        <v>4.1838441616339102E-4</v>
      </c>
      <c r="CF4">
        <v>3.45710373549922E-4</v>
      </c>
      <c r="CG4">
        <v>2.2315170430604501E-4</v>
      </c>
      <c r="CH4">
        <v>3.4982001621381901E-4</v>
      </c>
      <c r="CI4">
        <v>3.6435024398046001E-4</v>
      </c>
      <c r="CJ4">
        <v>2.5464636633213902E-4</v>
      </c>
      <c r="CK4">
        <v>2.66445249185948E-4</v>
      </c>
      <c r="CL4">
        <v>2.6983518793627999E-4</v>
      </c>
      <c r="CM4">
        <v>2.21107364468374E-4</v>
      </c>
      <c r="CN4">
        <v>1.6882713771640599E-4</v>
      </c>
      <c r="CO4">
        <v>1.4764060020599199E-4</v>
      </c>
      <c r="CP4">
        <v>1.38436090859135E-4</v>
      </c>
      <c r="CQ4">
        <v>1.3517608792917301E-4</v>
      </c>
      <c r="CR4">
        <v>1.27767891335146E-4</v>
      </c>
      <c r="CS4">
        <v>1.3458829603896899E-4</v>
      </c>
      <c r="CT4">
        <v>1.4208355318333501E-4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3</v>
      </c>
      <c r="BJ7">
        <v>2</v>
      </c>
      <c r="BK7">
        <v>15</v>
      </c>
      <c r="BL7">
        <v>6</v>
      </c>
      <c r="BM7">
        <v>8</v>
      </c>
      <c r="BN7">
        <v>4</v>
      </c>
      <c r="BO7">
        <v>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59</v>
      </c>
      <c r="BI8">
        <v>306</v>
      </c>
      <c r="BJ8">
        <v>671</v>
      </c>
      <c r="BK8">
        <v>633</v>
      </c>
      <c r="BL8">
        <v>667</v>
      </c>
      <c r="BM8">
        <v>517</v>
      </c>
      <c r="BN8">
        <v>245</v>
      </c>
      <c r="BO8">
        <v>180</v>
      </c>
      <c r="BP8">
        <v>111</v>
      </c>
      <c r="BQ8">
        <v>46</v>
      </c>
      <c r="BR8">
        <v>15</v>
      </c>
      <c r="BS8">
        <v>9</v>
      </c>
      <c r="BT8">
        <v>20</v>
      </c>
      <c r="BU8">
        <v>8</v>
      </c>
      <c r="BV8">
        <v>11</v>
      </c>
      <c r="BW8">
        <v>2</v>
      </c>
      <c r="BX8">
        <v>1</v>
      </c>
      <c r="BY8">
        <v>4</v>
      </c>
      <c r="BZ8">
        <v>1</v>
      </c>
      <c r="CA8">
        <v>1</v>
      </c>
      <c r="CB8">
        <v>7</v>
      </c>
      <c r="CC8">
        <v>2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24</v>
      </c>
      <c r="BG9">
        <v>297</v>
      </c>
      <c r="BH9">
        <v>4219</v>
      </c>
      <c r="BI9">
        <v>15118</v>
      </c>
      <c r="BJ9">
        <v>23102</v>
      </c>
      <c r="BK9">
        <v>19681</v>
      </c>
      <c r="BL9">
        <v>18487</v>
      </c>
      <c r="BM9">
        <v>17836</v>
      </c>
      <c r="BN9">
        <v>10863</v>
      </c>
      <c r="BO9">
        <v>7110</v>
      </c>
      <c r="BP9">
        <v>4212</v>
      </c>
      <c r="BQ9">
        <v>2183</v>
      </c>
      <c r="BR9">
        <v>1103</v>
      </c>
      <c r="BS9">
        <v>738</v>
      </c>
      <c r="BT9">
        <v>491</v>
      </c>
      <c r="BU9">
        <v>420</v>
      </c>
      <c r="BV9">
        <v>469</v>
      </c>
      <c r="BW9">
        <v>327</v>
      </c>
      <c r="BX9">
        <v>113</v>
      </c>
      <c r="BY9">
        <v>139</v>
      </c>
      <c r="BZ9">
        <v>88</v>
      </c>
      <c r="CA9">
        <v>134</v>
      </c>
      <c r="CB9">
        <v>143</v>
      </c>
      <c r="CC9">
        <v>60</v>
      </c>
      <c r="CD9">
        <v>41</v>
      </c>
      <c r="CE9">
        <v>52</v>
      </c>
      <c r="CF9">
        <v>34</v>
      </c>
      <c r="CG9">
        <v>8</v>
      </c>
      <c r="CH9">
        <v>26</v>
      </c>
      <c r="CI9">
        <v>36</v>
      </c>
      <c r="CJ9">
        <v>17</v>
      </c>
      <c r="CK9">
        <v>17</v>
      </c>
      <c r="CL9">
        <v>29</v>
      </c>
      <c r="CM9">
        <v>5</v>
      </c>
      <c r="CN9">
        <v>2</v>
      </c>
      <c r="CO9">
        <v>4</v>
      </c>
      <c r="CP9">
        <v>0</v>
      </c>
      <c r="CQ9">
        <v>2</v>
      </c>
      <c r="CR9">
        <v>3</v>
      </c>
      <c r="CS9">
        <v>2</v>
      </c>
      <c r="CT9">
        <v>1</v>
      </c>
    </row>
    <row r="10" spans="1:98" x14ac:dyDescent="0.25">
      <c r="A10" t="s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3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3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18</v>
      </c>
      <c r="BD10">
        <v>25</v>
      </c>
      <c r="BE10">
        <v>106</v>
      </c>
      <c r="BF10">
        <v>761</v>
      </c>
      <c r="BG10">
        <v>16071</v>
      </c>
      <c r="BH10">
        <v>42705</v>
      </c>
      <c r="BI10">
        <v>32265</v>
      </c>
      <c r="BJ10">
        <v>26893</v>
      </c>
      <c r="BK10">
        <v>29093</v>
      </c>
      <c r="BL10">
        <v>29498</v>
      </c>
      <c r="BM10">
        <v>30143</v>
      </c>
      <c r="BN10">
        <v>34578</v>
      </c>
      <c r="BO10">
        <v>37284</v>
      </c>
      <c r="BP10">
        <v>37784</v>
      </c>
      <c r="BQ10">
        <v>38985</v>
      </c>
      <c r="BR10">
        <v>28925</v>
      </c>
      <c r="BS10">
        <v>22109</v>
      </c>
      <c r="BT10">
        <v>18920</v>
      </c>
      <c r="BU10">
        <v>13501</v>
      </c>
      <c r="BV10">
        <v>16468</v>
      </c>
      <c r="BW10">
        <v>11800</v>
      </c>
      <c r="BX10">
        <v>3701</v>
      </c>
      <c r="BY10">
        <v>3636</v>
      </c>
      <c r="BZ10">
        <v>2249</v>
      </c>
      <c r="CA10">
        <v>2309</v>
      </c>
      <c r="CB10">
        <v>2859</v>
      </c>
      <c r="CC10">
        <v>1266</v>
      </c>
      <c r="CD10">
        <v>821</v>
      </c>
      <c r="CE10">
        <v>1044</v>
      </c>
      <c r="CF10">
        <v>698</v>
      </c>
      <c r="CG10">
        <v>283</v>
      </c>
      <c r="CH10">
        <v>678</v>
      </c>
      <c r="CI10">
        <v>753</v>
      </c>
      <c r="CJ10">
        <v>357</v>
      </c>
      <c r="CK10">
        <v>456</v>
      </c>
      <c r="CL10">
        <v>414</v>
      </c>
      <c r="CM10">
        <v>296</v>
      </c>
      <c r="CN10">
        <v>141</v>
      </c>
      <c r="CO10">
        <v>112</v>
      </c>
      <c r="CP10">
        <v>103</v>
      </c>
      <c r="CQ10">
        <v>100</v>
      </c>
      <c r="CR10">
        <v>79</v>
      </c>
      <c r="CS10">
        <v>91</v>
      </c>
      <c r="CT10">
        <v>117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0.12927549465813301</v>
      </c>
      <c r="BJ17">
        <v>0.113914278867162</v>
      </c>
      <c r="BK17">
        <v>0.125480515051653</v>
      </c>
      <c r="BL17">
        <v>0.13199211389783899</v>
      </c>
      <c r="BM17">
        <v>0.119681265263854</v>
      </c>
      <c r="BN17">
        <v>9.0283819895990394E-2</v>
      </c>
      <c r="BO17">
        <v>6.0962556809842902E-2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3.4966161480865197E-2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0.10460270562507699</v>
      </c>
      <c r="BJ18">
        <v>0.113914278867162</v>
      </c>
      <c r="BK18">
        <v>0.11571380000762101</v>
      </c>
      <c r="BL18">
        <v>0.11765818081729899</v>
      </c>
      <c r="BM18">
        <v>0.112729888345152</v>
      </c>
      <c r="BN18">
        <v>8.6859357557307795E-2</v>
      </c>
      <c r="BO18">
        <v>6.0962556809842902E-2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3.4966161480865197E-2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9.4393317519023107E-2</v>
      </c>
      <c r="BJ19">
        <v>0.113914278867162</v>
      </c>
      <c r="BK19">
        <v>0.119736504687315</v>
      </c>
      <c r="BL19">
        <v>0.11812646087208201</v>
      </c>
      <c r="BM19">
        <v>0.118678110668534</v>
      </c>
      <c r="BN19">
        <v>8.6859357557307795E-2</v>
      </c>
      <c r="BO19">
        <v>6.0962556809842902E-2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3.4966161480865197E-2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8.9050534000951795E-2</v>
      </c>
      <c r="BH20">
        <v>0.26550177813442599</v>
      </c>
      <c r="BI20">
        <v>0.51710197863253204</v>
      </c>
      <c r="BJ20">
        <v>0.59533691471312</v>
      </c>
      <c r="BK20">
        <v>0.50220342519712802</v>
      </c>
      <c r="BL20">
        <v>0.53985561386973802</v>
      </c>
      <c r="BM20">
        <v>0.47872506105541801</v>
      </c>
      <c r="BN20">
        <v>0.39998111901502598</v>
      </c>
      <c r="BO20">
        <v>0.31525856388468698</v>
      </c>
      <c r="BP20">
        <v>0.291662327829738</v>
      </c>
      <c r="BQ20">
        <v>0.21568180738089399</v>
      </c>
      <c r="BR20">
        <v>0.16257207703965401</v>
      </c>
      <c r="BS20">
        <v>0.12469681063035901</v>
      </c>
      <c r="BT20">
        <v>0.14255648337482399</v>
      </c>
      <c r="BU20">
        <v>0.105805225745642</v>
      </c>
      <c r="BV20">
        <v>0.13986464592346001</v>
      </c>
      <c r="BW20">
        <v>8.74115652291311E-2</v>
      </c>
      <c r="BX20">
        <v>7.0361996454548506E-2</v>
      </c>
      <c r="BY20">
        <v>7.2795754419653594E-2</v>
      </c>
      <c r="BZ20">
        <v>6.1905192490559001E-2</v>
      </c>
      <c r="CA20">
        <v>6.4120307212099895E-2</v>
      </c>
      <c r="CB20">
        <v>8.5506643328898804E-2</v>
      </c>
      <c r="CC20">
        <v>3.8583392111436403E-2</v>
      </c>
      <c r="CD20">
        <v>3.5562348664273997E-2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8.9050534000951795E-2</v>
      </c>
      <c r="BH21">
        <v>0.21472086859759801</v>
      </c>
      <c r="BI21">
        <v>0.344112436958246</v>
      </c>
      <c r="BJ21">
        <v>0.430984736955211</v>
      </c>
      <c r="BK21">
        <v>0.41230363979006102</v>
      </c>
      <c r="BL21">
        <v>0.39824288209900199</v>
      </c>
      <c r="BM21">
        <v>0.38192982487774002</v>
      </c>
      <c r="BN21">
        <v>0.30338347785477099</v>
      </c>
      <c r="BO21">
        <v>0.26062348820742998</v>
      </c>
      <c r="BP21">
        <v>0.212627006558266</v>
      </c>
      <c r="BQ21">
        <v>0.175654736545521</v>
      </c>
      <c r="BR21">
        <v>0.145090322214219</v>
      </c>
      <c r="BS21">
        <v>0.11351211752340699</v>
      </c>
      <c r="BT21">
        <v>0.114605802503464</v>
      </c>
      <c r="BU21">
        <v>9.6609171604406005E-2</v>
      </c>
      <c r="BV21">
        <v>0.10133204068712399</v>
      </c>
      <c r="BW21">
        <v>8.3822901820856693E-2</v>
      </c>
      <c r="BX21">
        <v>7.0361996454548506E-2</v>
      </c>
      <c r="BY21">
        <v>6.3835658018866898E-2</v>
      </c>
      <c r="BZ21">
        <v>6.1905192490559001E-2</v>
      </c>
      <c r="CA21">
        <v>6.4120307212099895E-2</v>
      </c>
      <c r="CB21">
        <v>6.5813445597296294E-2</v>
      </c>
      <c r="CC21">
        <v>3.8388602926552003E-2</v>
      </c>
      <c r="CD21">
        <v>3.5562348664273997E-2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8.9050534000951795E-2</v>
      </c>
      <c r="BH22">
        <v>0.21374615703322</v>
      </c>
      <c r="BI22">
        <v>0.338154092086839</v>
      </c>
      <c r="BJ22">
        <v>0.42480518518513999</v>
      </c>
      <c r="BK22">
        <v>0.40602893479617003</v>
      </c>
      <c r="BL22">
        <v>0.391090177845</v>
      </c>
      <c r="BM22">
        <v>0.37284189713412202</v>
      </c>
      <c r="BN22">
        <v>0.30345145534978002</v>
      </c>
      <c r="BO22">
        <v>0.25533657735920801</v>
      </c>
      <c r="BP22">
        <v>0.20478133157895501</v>
      </c>
      <c r="BQ22">
        <v>0.17416514149044299</v>
      </c>
      <c r="BR22">
        <v>0.145116533702279</v>
      </c>
      <c r="BS22">
        <v>0.120056226477947</v>
      </c>
      <c r="BT22">
        <v>0.109643974836337</v>
      </c>
      <c r="BU22">
        <v>0.101938622499988</v>
      </c>
      <c r="BV22">
        <v>9.1691421127015199E-2</v>
      </c>
      <c r="BW22">
        <v>8.3822901820856693E-2</v>
      </c>
      <c r="BX22">
        <v>7.0361996454548506E-2</v>
      </c>
      <c r="BY22">
        <v>6.24055783512803E-2</v>
      </c>
      <c r="BZ22">
        <v>6.1905192490559001E-2</v>
      </c>
      <c r="CA22">
        <v>6.4120307212099895E-2</v>
      </c>
      <c r="CB22">
        <v>6.0028685053550697E-2</v>
      </c>
      <c r="CC22">
        <v>3.8388602926552003E-2</v>
      </c>
      <c r="CD22">
        <v>3.5562348664273997E-2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0.14691552143245201</v>
      </c>
      <c r="BG23">
        <v>0.43094728574461599</v>
      </c>
      <c r="BH23">
        <v>1.0620071125377</v>
      </c>
      <c r="BI23">
        <v>2.06840791453013</v>
      </c>
      <c r="BJ23">
        <v>2.38134765885248</v>
      </c>
      <c r="BK23">
        <v>2.0088137007885098</v>
      </c>
      <c r="BL23">
        <v>2.1594224554789498</v>
      </c>
      <c r="BM23">
        <v>1.91490024422167</v>
      </c>
      <c r="BN23">
        <v>1.5999244760600999</v>
      </c>
      <c r="BO23">
        <v>1.2610342555387399</v>
      </c>
      <c r="BP23">
        <v>1.16664931131895</v>
      </c>
      <c r="BQ23">
        <v>0.86272722952357705</v>
      </c>
      <c r="BR23">
        <v>0.65028830815861804</v>
      </c>
      <c r="BS23">
        <v>0.59867222284103905</v>
      </c>
      <c r="BT23">
        <v>0.57022593349929795</v>
      </c>
      <c r="BU23">
        <v>0.50219892163805002</v>
      </c>
      <c r="BV23">
        <v>0.55945858369384305</v>
      </c>
      <c r="BW23">
        <v>0.39976306939821399</v>
      </c>
      <c r="BX23">
        <v>0.28144798581819402</v>
      </c>
      <c r="BY23">
        <v>0.29118301767861399</v>
      </c>
      <c r="BZ23">
        <v>0.247620769962236</v>
      </c>
      <c r="CA23">
        <v>0.25648122884839902</v>
      </c>
      <c r="CB23">
        <v>0.34202657331559499</v>
      </c>
      <c r="CC23">
        <v>0.19103276576179301</v>
      </c>
      <c r="CD23">
        <v>0.15359040967023899</v>
      </c>
      <c r="CE23">
        <v>0.166755180893529</v>
      </c>
      <c r="CF23">
        <v>0.13053884437681701</v>
      </c>
      <c r="CG23">
        <v>7.2042299294902495E-2</v>
      </c>
      <c r="CH23">
        <v>0.131849602604902</v>
      </c>
      <c r="CI23">
        <v>0.14854101364332301</v>
      </c>
      <c r="CJ23">
        <v>8.4463471300648796E-2</v>
      </c>
      <c r="CK23">
        <v>0.117032570976029</v>
      </c>
      <c r="CL23">
        <v>0.107345612690008</v>
      </c>
      <c r="CM23">
        <v>7.8677243013876894E-2</v>
      </c>
      <c r="CN23">
        <v>4.7964464765232702E-2</v>
      </c>
      <c r="CO23">
        <v>7.3194109182419295E-2</v>
      </c>
      <c r="CP23">
        <v>0</v>
      </c>
      <c r="CQ23">
        <v>5.5051006582992897E-2</v>
      </c>
      <c r="CR23">
        <v>4.5727308852498101E-2</v>
      </c>
      <c r="CS23">
        <v>5.6946381480812401E-2</v>
      </c>
      <c r="CT23">
        <v>5.4465596991003597E-2</v>
      </c>
    </row>
    <row r="24" spans="1:9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0.110945384518814</v>
      </c>
      <c r="BG24">
        <v>0.34689704904380098</v>
      </c>
      <c r="BH24">
        <v>0.81395703811293596</v>
      </c>
      <c r="BI24">
        <v>1.3559742334509499</v>
      </c>
      <c r="BJ24">
        <v>1.72393894782084</v>
      </c>
      <c r="BK24">
        <v>1.64152519530426</v>
      </c>
      <c r="BL24">
        <v>1.592971528396</v>
      </c>
      <c r="BM24">
        <v>1.5277192995109601</v>
      </c>
      <c r="BN24">
        <v>1.1980393945732</v>
      </c>
      <c r="BO24">
        <v>0.99951309740054595</v>
      </c>
      <c r="BP24">
        <v>0.81101170574467796</v>
      </c>
      <c r="BQ24">
        <v>0.65959797349420701</v>
      </c>
      <c r="BR24">
        <v>0.497403365235984</v>
      </c>
      <c r="BS24">
        <v>0.43221121353398001</v>
      </c>
      <c r="BT24">
        <v>0.38216221218387098</v>
      </c>
      <c r="BU24">
        <v>0.344876605607283</v>
      </c>
      <c r="BV24">
        <v>0.37227815296371802</v>
      </c>
      <c r="BW24">
        <v>0.32071917659820998</v>
      </c>
      <c r="BX24">
        <v>0.207242874925018</v>
      </c>
      <c r="BY24">
        <v>0.21959474533692899</v>
      </c>
      <c r="BZ24">
        <v>0.172703160446388</v>
      </c>
      <c r="CA24">
        <v>0.17835253858166999</v>
      </c>
      <c r="CB24">
        <v>0.19138248789350301</v>
      </c>
      <c r="CC24">
        <v>0.14196732996336101</v>
      </c>
      <c r="CD24">
        <v>0.11504193527864599</v>
      </c>
      <c r="CE24">
        <v>0.12076378522942</v>
      </c>
      <c r="CF24">
        <v>9.7777340185193198E-2</v>
      </c>
      <c r="CG24">
        <v>6.1325047356805898E-2</v>
      </c>
      <c r="CH24">
        <v>9.9630724703641899E-2</v>
      </c>
      <c r="CI24">
        <v>0.10338331227645101</v>
      </c>
      <c r="CJ24">
        <v>7.2464338806266307E-2</v>
      </c>
      <c r="CK24">
        <v>8.9755190315893504E-2</v>
      </c>
      <c r="CL24">
        <v>8.1213211107351704E-2</v>
      </c>
      <c r="CM24">
        <v>7.0506660820184794E-2</v>
      </c>
      <c r="CN24">
        <v>4.7964464765232702E-2</v>
      </c>
      <c r="CO24">
        <v>5.7458132074472999E-2</v>
      </c>
      <c r="CP24">
        <v>0</v>
      </c>
      <c r="CQ24">
        <v>4.8806675469650597E-2</v>
      </c>
      <c r="CR24">
        <v>4.4374859315254998E-2</v>
      </c>
      <c r="CS24">
        <v>4.8973484887414799E-2</v>
      </c>
      <c r="CT24">
        <v>5.4465596991003597E-2</v>
      </c>
    </row>
    <row r="25" spans="1:9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0.11062072990347201</v>
      </c>
      <c r="BG25">
        <v>0.34800552236321203</v>
      </c>
      <c r="BH25">
        <v>0.81922883762804599</v>
      </c>
      <c r="BI25">
        <v>1.34414014440201</v>
      </c>
      <c r="BJ25">
        <v>1.69922074074056</v>
      </c>
      <c r="BK25">
        <v>1.6193732170613899</v>
      </c>
      <c r="BL25">
        <v>1.56436071138</v>
      </c>
      <c r="BM25">
        <v>1.4913675885364901</v>
      </c>
      <c r="BN25">
        <v>1.20632112173781</v>
      </c>
      <c r="BO25">
        <v>0.99886360393733298</v>
      </c>
      <c r="BP25">
        <v>0.78650460667658695</v>
      </c>
      <c r="BQ25">
        <v>0.65272672114047503</v>
      </c>
      <c r="BR25">
        <v>0.49075626287074198</v>
      </c>
      <c r="BS25">
        <v>0.42219279726286602</v>
      </c>
      <c r="BT25">
        <v>0.37208734059517601</v>
      </c>
      <c r="BU25">
        <v>0.34575451318740102</v>
      </c>
      <c r="BV25">
        <v>0.36461554701064403</v>
      </c>
      <c r="BW25">
        <v>0.32162023872884299</v>
      </c>
      <c r="BX25">
        <v>0.20450575343529401</v>
      </c>
      <c r="BY25">
        <v>0.21094356500581499</v>
      </c>
      <c r="BZ25">
        <v>0.16668477638202001</v>
      </c>
      <c r="CA25">
        <v>0.17505686532664</v>
      </c>
      <c r="CB25">
        <v>0.189175460753679</v>
      </c>
      <c r="CC25">
        <v>0.139909621756581</v>
      </c>
      <c r="CD25">
        <v>0.112165559220631</v>
      </c>
      <c r="CE25">
        <v>0.120306758543714</v>
      </c>
      <c r="CF25">
        <v>9.5979032417642399E-2</v>
      </c>
      <c r="CG25">
        <v>6.0956213226831799E-2</v>
      </c>
      <c r="CH25">
        <v>9.5619043896874603E-2</v>
      </c>
      <c r="CI25">
        <v>9.7900797980582599E-2</v>
      </c>
      <c r="CJ25">
        <v>7.4257833126162395E-2</v>
      </c>
      <c r="CK25">
        <v>8.7525700006838097E-2</v>
      </c>
      <c r="CL25">
        <v>7.8388178796225699E-2</v>
      </c>
      <c r="CM25">
        <v>6.9537486596886605E-2</v>
      </c>
      <c r="CN25">
        <v>4.7964464765232702E-2</v>
      </c>
      <c r="CO25">
        <v>5.9530572111729997E-2</v>
      </c>
      <c r="CP25">
        <v>0</v>
      </c>
      <c r="CQ25">
        <v>4.8806675469650597E-2</v>
      </c>
      <c r="CR25">
        <v>4.3988993523988003E-2</v>
      </c>
      <c r="CS25">
        <v>4.8973484887414799E-2</v>
      </c>
      <c r="CT25">
        <v>5.4465596991003597E-2</v>
      </c>
    </row>
    <row r="26" spans="1:98" x14ac:dyDescent="0.25">
      <c r="A26" t="s">
        <v>24</v>
      </c>
      <c r="B26">
        <v>6.3713355771895103E-2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6.0834691719096598E-2</v>
      </c>
      <c r="K26">
        <v>0</v>
      </c>
      <c r="L26">
        <v>0</v>
      </c>
      <c r="M26">
        <v>5.3809617109616098E-2</v>
      </c>
      <c r="N26">
        <v>0</v>
      </c>
      <c r="O26">
        <v>4.6498315233071297E-2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4.6119134288463898E-2</v>
      </c>
      <c r="W26">
        <v>5.34397707922213E-2</v>
      </c>
      <c r="X26">
        <v>0</v>
      </c>
      <c r="Y26">
        <v>0</v>
      </c>
      <c r="Z26">
        <v>0</v>
      </c>
      <c r="AA26">
        <v>4.8381382626337899E-2</v>
      </c>
      <c r="AB26">
        <v>0</v>
      </c>
      <c r="AC26">
        <v>0</v>
      </c>
      <c r="AD26">
        <v>5.1493050425926397E-2</v>
      </c>
      <c r="AE26">
        <v>4.4760616032214498E-2</v>
      </c>
      <c r="AF26">
        <v>0</v>
      </c>
      <c r="AG26">
        <v>4.5629720230928997E-2</v>
      </c>
      <c r="AH26">
        <v>0</v>
      </c>
      <c r="AI26">
        <v>0</v>
      </c>
      <c r="AJ26">
        <v>0</v>
      </c>
      <c r="AK26">
        <v>4.5085852040171598E-2</v>
      </c>
      <c r="AL26">
        <v>0</v>
      </c>
      <c r="AM26">
        <v>4.2030858277268601E-2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4.55592913846012E-2</v>
      </c>
      <c r="AX26">
        <v>0</v>
      </c>
      <c r="AY26">
        <v>0</v>
      </c>
      <c r="AZ26">
        <v>3.5823540480949698E-2</v>
      </c>
      <c r="BA26">
        <v>0</v>
      </c>
      <c r="BB26">
        <v>5.8778684758984102E-2</v>
      </c>
      <c r="BC26">
        <v>0.134219593708372</v>
      </c>
      <c r="BD26">
        <v>0.13641112573280101</v>
      </c>
      <c r="BE26">
        <v>0.212535657052074</v>
      </c>
      <c r="BF26">
        <v>0.58766208572980805</v>
      </c>
      <c r="BG26">
        <v>1.72378914297846</v>
      </c>
      <c r="BH26">
        <v>4.2480284501508203</v>
      </c>
      <c r="BI26">
        <v>8.2736316581205198</v>
      </c>
      <c r="BJ26">
        <v>9.5253906354099307</v>
      </c>
      <c r="BK26">
        <v>8.0352548031540501</v>
      </c>
      <c r="BL26">
        <v>8.6376898219158207</v>
      </c>
      <c r="BM26">
        <v>7.6596009768866899</v>
      </c>
      <c r="BN26">
        <v>6.3996979042404201</v>
      </c>
      <c r="BO26">
        <v>5.0441370221549899</v>
      </c>
      <c r="BP26">
        <v>4.6665972452758098</v>
      </c>
      <c r="BQ26">
        <v>3.4509089180942998</v>
      </c>
      <c r="BR26">
        <v>2.60115323263447</v>
      </c>
      <c r="BS26">
        <v>2.39468889136415</v>
      </c>
      <c r="BT26">
        <v>2.28090373399719</v>
      </c>
      <c r="BU26">
        <v>2.0087956865522001</v>
      </c>
      <c r="BV26">
        <v>2.23783433477537</v>
      </c>
      <c r="BW26">
        <v>1.59905227759285</v>
      </c>
      <c r="BX26">
        <v>1.1257919432727701</v>
      </c>
      <c r="BY26">
        <v>1.16473207071445</v>
      </c>
      <c r="BZ26">
        <v>0.99048307984894401</v>
      </c>
      <c r="CA26">
        <v>1.0259249153935901</v>
      </c>
      <c r="CB26">
        <v>1.36810629326238</v>
      </c>
      <c r="CC26">
        <v>0.76413106304717404</v>
      </c>
      <c r="CD26">
        <v>0.61436163868095695</v>
      </c>
      <c r="CE26">
        <v>0.66702072357411901</v>
      </c>
      <c r="CF26">
        <v>0.52215537750726904</v>
      </c>
      <c r="CG26">
        <v>0.322991791219786</v>
      </c>
      <c r="CH26">
        <v>0.527398410419608</v>
      </c>
      <c r="CI26">
        <v>0.59416405457329502</v>
      </c>
      <c r="CJ26">
        <v>0.36629846112238301</v>
      </c>
      <c r="CK26">
        <v>0.46813028390411698</v>
      </c>
      <c r="CL26">
        <v>0.42938245076003401</v>
      </c>
      <c r="CM26">
        <v>0.31747274694696298</v>
      </c>
      <c r="CN26">
        <v>0.26057759060619701</v>
      </c>
      <c r="CO26">
        <v>0.29277643672967701</v>
      </c>
      <c r="CP26">
        <v>0.20716678701402</v>
      </c>
      <c r="CQ26">
        <v>0.220204026331971</v>
      </c>
      <c r="CR26">
        <v>0.18688182315115501</v>
      </c>
      <c r="CS26">
        <v>0.22778552592324899</v>
      </c>
      <c r="CT26">
        <v>0.217862387964014</v>
      </c>
    </row>
    <row r="27" spans="1:98" x14ac:dyDescent="0.25">
      <c r="A27" t="s">
        <v>25</v>
      </c>
      <c r="B27">
        <v>6.3713355771895103E-2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5.3013445354953601E-2</v>
      </c>
      <c r="K27">
        <v>0</v>
      </c>
      <c r="L27">
        <v>0</v>
      </c>
      <c r="M27">
        <v>4.7939169460704402E-2</v>
      </c>
      <c r="N27">
        <v>0</v>
      </c>
      <c r="O27">
        <v>4.6498315233071297E-2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4.6119134288463898E-2</v>
      </c>
      <c r="W27">
        <v>5.34397707922213E-2</v>
      </c>
      <c r="X27">
        <v>0</v>
      </c>
      <c r="Y27">
        <v>0</v>
      </c>
      <c r="Z27">
        <v>0</v>
      </c>
      <c r="AA27">
        <v>4.8381382626337899E-2</v>
      </c>
      <c r="AB27">
        <v>0</v>
      </c>
      <c r="AC27">
        <v>0</v>
      </c>
      <c r="AD27">
        <v>5.1493050425926397E-2</v>
      </c>
      <c r="AE27">
        <v>4.4760616032214498E-2</v>
      </c>
      <c r="AF27">
        <v>0</v>
      </c>
      <c r="AG27">
        <v>4.5629720230928997E-2</v>
      </c>
      <c r="AH27">
        <v>0</v>
      </c>
      <c r="AI27">
        <v>0</v>
      </c>
      <c r="AJ27">
        <v>0</v>
      </c>
      <c r="AK27">
        <v>3.8867044316564098E-2</v>
      </c>
      <c r="AL27">
        <v>0</v>
      </c>
      <c r="AM27">
        <v>4.2030858277268601E-2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4.55592913846012E-2</v>
      </c>
      <c r="AX27">
        <v>0</v>
      </c>
      <c r="AY27">
        <v>0</v>
      </c>
      <c r="AZ27">
        <v>3.5823540480949698E-2</v>
      </c>
      <c r="BA27">
        <v>0</v>
      </c>
      <c r="BB27">
        <v>5.8778684758984102E-2</v>
      </c>
      <c r="BC27">
        <v>0.112254688757399</v>
      </c>
      <c r="BD27">
        <v>0.113912883686351</v>
      </c>
      <c r="BE27">
        <v>0.15487120727956899</v>
      </c>
      <c r="BF27">
        <v>0.403125909911069</v>
      </c>
      <c r="BG27">
        <v>1.37323402892223</v>
      </c>
      <c r="BH27">
        <v>3.2558281524517398</v>
      </c>
      <c r="BI27">
        <v>5.4238969338038201</v>
      </c>
      <c r="BJ27">
        <v>6.8957557912833796</v>
      </c>
      <c r="BK27">
        <v>6.5661007812170702</v>
      </c>
      <c r="BL27">
        <v>6.3718861135840301</v>
      </c>
      <c r="BM27">
        <v>6.1108771980438501</v>
      </c>
      <c r="BN27">
        <v>4.7921575782928301</v>
      </c>
      <c r="BO27">
        <v>3.9980523896021798</v>
      </c>
      <c r="BP27">
        <v>3.2440468229787101</v>
      </c>
      <c r="BQ27">
        <v>2.6383918939768201</v>
      </c>
      <c r="BR27">
        <v>1.98961346094393</v>
      </c>
      <c r="BS27">
        <v>1.7222021412302899</v>
      </c>
      <c r="BT27">
        <v>1.5071174189562799</v>
      </c>
      <c r="BU27">
        <v>1.3738548923437199</v>
      </c>
      <c r="BV27">
        <v>1.4776961956220001</v>
      </c>
      <c r="BW27">
        <v>1.2701369268029401</v>
      </c>
      <c r="BX27">
        <v>0.79013375819551102</v>
      </c>
      <c r="BY27">
        <v>0.83228502750771205</v>
      </c>
      <c r="BZ27">
        <v>0.63864715272363404</v>
      </c>
      <c r="CA27">
        <v>0.67481103788544206</v>
      </c>
      <c r="CB27">
        <v>0.73743628714449305</v>
      </c>
      <c r="CC27">
        <v>0.50794423674389899</v>
      </c>
      <c r="CD27">
        <v>0.41262620710430398</v>
      </c>
      <c r="CE27">
        <v>0.43651755769010397</v>
      </c>
      <c r="CF27">
        <v>0.35476579956506799</v>
      </c>
      <c r="CG27">
        <v>0.23850769818404299</v>
      </c>
      <c r="CH27">
        <v>0.35294750088191801</v>
      </c>
      <c r="CI27">
        <v>0.37138813876271398</v>
      </c>
      <c r="CJ27">
        <v>0.26502947491871398</v>
      </c>
      <c r="CK27">
        <v>0.28706137097003498</v>
      </c>
      <c r="CL27">
        <v>0.28173125087279799</v>
      </c>
      <c r="CM27">
        <v>0.23733829578103099</v>
      </c>
      <c r="CN27">
        <v>0.179641409095676</v>
      </c>
      <c r="CO27">
        <v>0.15927570857614501</v>
      </c>
      <c r="CP27">
        <v>0.149328765414249</v>
      </c>
      <c r="CQ27">
        <v>0.14747763540130199</v>
      </c>
      <c r="CR27">
        <v>0.14302267184762599</v>
      </c>
      <c r="CS27">
        <v>0.15121395909566299</v>
      </c>
      <c r="CT27">
        <v>0.151848959105325</v>
      </c>
    </row>
    <row r="28" spans="1:98" x14ac:dyDescent="0.25">
      <c r="A28" t="s">
        <v>26</v>
      </c>
      <c r="B28">
        <v>6.3713355771895103E-2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5.3013445354953601E-2</v>
      </c>
      <c r="K28">
        <v>0</v>
      </c>
      <c r="L28">
        <v>0</v>
      </c>
      <c r="M28">
        <v>4.7960095721743999E-2</v>
      </c>
      <c r="N28">
        <v>0</v>
      </c>
      <c r="O28">
        <v>4.6498315233071297E-2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4.6119134288463898E-2</v>
      </c>
      <c r="W28">
        <v>5.34397707922213E-2</v>
      </c>
      <c r="X28">
        <v>0</v>
      </c>
      <c r="Y28">
        <v>0</v>
      </c>
      <c r="Z28">
        <v>0</v>
      </c>
      <c r="AA28">
        <v>4.8381382626337899E-2</v>
      </c>
      <c r="AB28">
        <v>0</v>
      </c>
      <c r="AC28">
        <v>0</v>
      </c>
      <c r="AD28">
        <v>5.1493050425926397E-2</v>
      </c>
      <c r="AE28">
        <v>4.4760616032214498E-2</v>
      </c>
      <c r="AF28">
        <v>0</v>
      </c>
      <c r="AG28">
        <v>4.5629720230928997E-2</v>
      </c>
      <c r="AH28">
        <v>0</v>
      </c>
      <c r="AI28">
        <v>0</v>
      </c>
      <c r="AJ28">
        <v>0</v>
      </c>
      <c r="AK28">
        <v>3.8252424795998302E-2</v>
      </c>
      <c r="AL28">
        <v>0</v>
      </c>
      <c r="AM28">
        <v>4.2030858277268601E-2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4.55592913846012E-2</v>
      </c>
      <c r="AX28">
        <v>0</v>
      </c>
      <c r="AY28">
        <v>0</v>
      </c>
      <c r="AZ28">
        <v>3.5823540480949698E-2</v>
      </c>
      <c r="BA28">
        <v>0</v>
      </c>
      <c r="BB28">
        <v>5.8778684758984102E-2</v>
      </c>
      <c r="BC28">
        <v>0.10960362690285801</v>
      </c>
      <c r="BD28">
        <v>0.114227541705317</v>
      </c>
      <c r="BE28">
        <v>0.151045797459193</v>
      </c>
      <c r="BF28">
        <v>0.396075945569343</v>
      </c>
      <c r="BG28">
        <v>1.36403948787195</v>
      </c>
      <c r="BH28">
        <v>3.27691535051218</v>
      </c>
      <c r="BI28">
        <v>5.3765605776080401</v>
      </c>
      <c r="BJ28">
        <v>6.7968829629622398</v>
      </c>
      <c r="BK28">
        <v>6.4774928682455704</v>
      </c>
      <c r="BL28">
        <v>6.2574428455200097</v>
      </c>
      <c r="BM28">
        <v>5.9654703541459604</v>
      </c>
      <c r="BN28">
        <v>4.8252844869512703</v>
      </c>
      <c r="BO28">
        <v>3.9954544157493301</v>
      </c>
      <c r="BP28">
        <v>3.14601842670635</v>
      </c>
      <c r="BQ28">
        <v>2.6109068845619001</v>
      </c>
      <c r="BR28">
        <v>1.9630250514829699</v>
      </c>
      <c r="BS28">
        <v>1.6824245688994</v>
      </c>
      <c r="BT28">
        <v>1.4768526651401701</v>
      </c>
      <c r="BU28">
        <v>1.37469246247816</v>
      </c>
      <c r="BV28">
        <v>1.4464142882458599</v>
      </c>
      <c r="BW28">
        <v>1.2680903478877099</v>
      </c>
      <c r="BX28">
        <v>0.78716429042173697</v>
      </c>
      <c r="BY28">
        <v>0.80764100871910505</v>
      </c>
      <c r="BZ28">
        <v>0.63211653201915796</v>
      </c>
      <c r="CA28">
        <v>0.65945134859467402</v>
      </c>
      <c r="CB28">
        <v>0.72102338079386497</v>
      </c>
      <c r="CC28">
        <v>0.49415219854812598</v>
      </c>
      <c r="CD28">
        <v>0.41050655986498003</v>
      </c>
      <c r="CE28">
        <v>0.42842564215131201</v>
      </c>
      <c r="CF28">
        <v>0.35400742251512102</v>
      </c>
      <c r="CG28">
        <v>0.23110102894929399</v>
      </c>
      <c r="CH28">
        <v>0.35821569660295099</v>
      </c>
      <c r="CI28">
        <v>0.37339727517308902</v>
      </c>
      <c r="CJ28">
        <v>0.263231163692069</v>
      </c>
      <c r="CK28">
        <v>0.27283993516641097</v>
      </c>
      <c r="CL28">
        <v>0.27689399335891901</v>
      </c>
      <c r="CM28">
        <v>0.233009381289144</v>
      </c>
      <c r="CN28">
        <v>0.18396612555880301</v>
      </c>
      <c r="CO28">
        <v>0.15765108358868901</v>
      </c>
      <c r="CP28">
        <v>0.14768963260839901</v>
      </c>
      <c r="CQ28">
        <v>0.145743435471166</v>
      </c>
      <c r="CR28">
        <v>0.14168418557104401</v>
      </c>
      <c r="CS28">
        <v>0.14699451855592399</v>
      </c>
      <c r="CT28">
        <v>0.149216492187769</v>
      </c>
    </row>
    <row r="29" spans="1:98" x14ac:dyDescent="0.25">
      <c r="A29" t="s">
        <v>32</v>
      </c>
      <c r="B29">
        <v>1.4441644075</v>
      </c>
      <c r="C29">
        <v>1.5123822984999999</v>
      </c>
      <c r="D29">
        <v>1.3533179835</v>
      </c>
      <c r="E29">
        <v>1.3056302835</v>
      </c>
      <c r="F29">
        <v>1.3930697775000001</v>
      </c>
      <c r="G29">
        <v>1.357638297</v>
      </c>
      <c r="H29">
        <v>1.362681324</v>
      </c>
      <c r="I29">
        <v>1.428025611</v>
      </c>
      <c r="J29">
        <v>1.4664620669999999</v>
      </c>
      <c r="K29">
        <v>1.3805518125</v>
      </c>
      <c r="L29">
        <v>1.321577692</v>
      </c>
      <c r="M29">
        <v>1.3305822285</v>
      </c>
      <c r="N29">
        <v>1.3305822285</v>
      </c>
      <c r="O29">
        <v>1.3962008465</v>
      </c>
      <c r="P29">
        <v>1.4174729134999999</v>
      </c>
      <c r="Q29">
        <v>1.3100260825000001</v>
      </c>
      <c r="R29">
        <v>1.2590209525</v>
      </c>
      <c r="S29">
        <v>1.3008491654999901</v>
      </c>
      <c r="T29">
        <v>1.3675681405</v>
      </c>
      <c r="U29">
        <v>1.3727610129999901</v>
      </c>
      <c r="V29">
        <v>1.3106306169999999</v>
      </c>
      <c r="W29">
        <v>1.3304172409999999</v>
      </c>
      <c r="X29">
        <v>1.2636095315</v>
      </c>
      <c r="Y29">
        <v>1.269803263</v>
      </c>
      <c r="Z29">
        <v>1.3586243874999999</v>
      </c>
      <c r="AA29">
        <v>1.3056302835</v>
      </c>
      <c r="AB29">
        <v>1.2676346135000001</v>
      </c>
      <c r="AC29">
        <v>1.2868847735</v>
      </c>
      <c r="AD29">
        <v>1.2461573855000001</v>
      </c>
      <c r="AE29">
        <v>1.2263406489999999</v>
      </c>
      <c r="AF29">
        <v>1.2605418435</v>
      </c>
      <c r="AG29">
        <v>1.2897381324999999</v>
      </c>
      <c r="AH29">
        <v>1.326867053</v>
      </c>
      <c r="AI29">
        <v>1.314942037</v>
      </c>
      <c r="AJ29">
        <v>1.3033880545000001</v>
      </c>
      <c r="AK29">
        <v>1.2281127095</v>
      </c>
      <c r="AL29">
        <v>1.1599344165000001</v>
      </c>
      <c r="AM29">
        <v>1.1715929684999999</v>
      </c>
      <c r="AN29">
        <v>1.142992303</v>
      </c>
      <c r="AO29">
        <v>1.1391712730000001</v>
      </c>
      <c r="AP29">
        <v>1.126503907</v>
      </c>
      <c r="AQ29">
        <v>1.1902769595</v>
      </c>
      <c r="AR29">
        <v>1.228492825</v>
      </c>
      <c r="AS29">
        <v>1.212618097</v>
      </c>
      <c r="AT29">
        <v>1.2029581084999901</v>
      </c>
      <c r="AU29">
        <v>1.1786703704999999</v>
      </c>
      <c r="AV29">
        <v>1.251653779</v>
      </c>
      <c r="AW29">
        <v>1.2937263295000001</v>
      </c>
      <c r="AX29">
        <v>1.1877777380000001</v>
      </c>
      <c r="AY29">
        <v>1.141804142</v>
      </c>
      <c r="AZ29">
        <v>1.2578480294999901</v>
      </c>
      <c r="BA29">
        <v>1.3324552590000001</v>
      </c>
      <c r="BB29">
        <v>1.5909838079999901</v>
      </c>
      <c r="BC29">
        <v>2.1687506614999998</v>
      </c>
      <c r="BD29">
        <v>2.3007473825</v>
      </c>
      <c r="BE29">
        <v>3.2652481369999999</v>
      </c>
      <c r="BF29">
        <v>7.0573823745000004</v>
      </c>
      <c r="BG29">
        <v>13.5126390895</v>
      </c>
      <c r="BH29">
        <v>21.08342828</v>
      </c>
      <c r="BI29">
        <v>28.119352749999901</v>
      </c>
      <c r="BJ29">
        <v>32.007500319999998</v>
      </c>
      <c r="BK29">
        <v>31.620971515000001</v>
      </c>
      <c r="BL29">
        <v>30.826982135000002</v>
      </c>
      <c r="BM29">
        <v>30.790400730000002</v>
      </c>
      <c r="BN29">
        <v>28.530895780000002</v>
      </c>
      <c r="BO29">
        <v>25.756546825000001</v>
      </c>
      <c r="BP29">
        <v>23.474647859999902</v>
      </c>
      <c r="BQ29">
        <v>20.642438585000001</v>
      </c>
      <c r="BR29">
        <v>18.24147606</v>
      </c>
      <c r="BS29">
        <v>17.286459975</v>
      </c>
      <c r="BT29">
        <v>16.382398909999999</v>
      </c>
      <c r="BU29">
        <v>14.39848273</v>
      </c>
      <c r="BV29">
        <v>15.218093735</v>
      </c>
      <c r="BW29">
        <v>13.768905965</v>
      </c>
      <c r="BX29">
        <v>10.713533245000001</v>
      </c>
      <c r="BY29">
        <v>10.73823973</v>
      </c>
      <c r="BZ29">
        <v>9.41508928649999</v>
      </c>
      <c r="CA29">
        <v>9.5693059164999994</v>
      </c>
      <c r="CB29">
        <v>10.085595189999999</v>
      </c>
      <c r="CC29">
        <v>8.104838397</v>
      </c>
      <c r="CD29">
        <v>7.0321962280000001</v>
      </c>
      <c r="CE29">
        <v>7.4050236140000001</v>
      </c>
      <c r="CF29">
        <v>6.3432970429999997</v>
      </c>
      <c r="CG29">
        <v>4.9490583829999997</v>
      </c>
      <c r="CH29">
        <v>6.3638281955</v>
      </c>
      <c r="CI29">
        <v>6.4040720625000001</v>
      </c>
      <c r="CJ29">
        <v>5.2612970189999997</v>
      </c>
      <c r="CK29">
        <v>5.4874552459999997</v>
      </c>
      <c r="CL29">
        <v>5.2076250220000002</v>
      </c>
      <c r="CM29">
        <v>4.6292118670000004</v>
      </c>
      <c r="CN29">
        <v>3.8438540350000001</v>
      </c>
      <c r="CO29">
        <v>3.4907628965000002</v>
      </c>
      <c r="CP29">
        <v>3.5250784804999999</v>
      </c>
      <c r="CQ29">
        <v>3.3236783504999998</v>
      </c>
      <c r="CR29">
        <v>3.2549971329999998</v>
      </c>
      <c r="CS29">
        <v>3.3297358964999999</v>
      </c>
      <c r="CT29">
        <v>3.3683360045000001</v>
      </c>
    </row>
    <row r="30" spans="1:98" x14ac:dyDescent="0.25">
      <c r="A30" t="s">
        <v>33</v>
      </c>
      <c r="B30">
        <v>0.100230684555386</v>
      </c>
      <c r="C30">
        <v>0.10807670424289</v>
      </c>
      <c r="D30">
        <v>9.0141651250712496E-2</v>
      </c>
      <c r="E30">
        <v>8.50130344674766E-2</v>
      </c>
      <c r="F30">
        <v>9.4505261790926706E-2</v>
      </c>
      <c r="G30">
        <v>9.0612020425293496E-2</v>
      </c>
      <c r="H30">
        <v>9.1162273636917507E-2</v>
      </c>
      <c r="I30">
        <v>9.84081569165772E-2</v>
      </c>
      <c r="J30">
        <v>0.102769994577428</v>
      </c>
      <c r="K30">
        <v>9.3122528677453797E-2</v>
      </c>
      <c r="L30">
        <v>8.6715145683433401E-2</v>
      </c>
      <c r="M30">
        <v>8.7681992826472294E-2</v>
      </c>
      <c r="N30">
        <v>8.7681992826472294E-2</v>
      </c>
      <c r="O30">
        <v>9.4852353344816703E-2</v>
      </c>
      <c r="P30">
        <v>9.7223478486883896E-2</v>
      </c>
      <c r="Q30">
        <v>8.5480904242198105E-2</v>
      </c>
      <c r="R30">
        <v>8.0113647653975995E-2</v>
      </c>
      <c r="S30">
        <v>8.4505283721946003E-2</v>
      </c>
      <c r="T30">
        <v>9.1696713479011302E-2</v>
      </c>
      <c r="U30">
        <v>9.2265950768354602E-2</v>
      </c>
      <c r="V30">
        <v>8.5545326101811495E-2</v>
      </c>
      <c r="W30">
        <v>8.7664240213608802E-2</v>
      </c>
      <c r="X30">
        <v>8.0590969949220798E-2</v>
      </c>
      <c r="Y30">
        <v>8.1237008107215306E-2</v>
      </c>
      <c r="Z30">
        <v>9.0719512859679496E-2</v>
      </c>
      <c r="AA30">
        <v>8.50130344674766E-2</v>
      </c>
      <c r="AB30">
        <v>8.1010579336547706E-2</v>
      </c>
      <c r="AC30">
        <v>8.3029037617038698E-2</v>
      </c>
      <c r="AD30">
        <v>7.8781395767389295E-2</v>
      </c>
      <c r="AE30">
        <v>7.6746007838413705E-2</v>
      </c>
      <c r="AF30">
        <v>8.0271735029231198E-2</v>
      </c>
      <c r="AG30">
        <v>8.3329860508705805E-2</v>
      </c>
      <c r="AH30">
        <v>8.7282578549809406E-2</v>
      </c>
      <c r="AI30">
        <v>8.6005315239384705E-2</v>
      </c>
      <c r="AJ30">
        <v>8.4774764819213394E-2</v>
      </c>
      <c r="AK30">
        <v>7.6927175764667094E-2</v>
      </c>
      <c r="AL30">
        <v>7.0077087694680198E-2</v>
      </c>
      <c r="AM30">
        <v>7.1230871060789E-2</v>
      </c>
      <c r="AN30">
        <v>6.8413467597882693E-2</v>
      </c>
      <c r="AO30">
        <v>6.8040407787546497E-2</v>
      </c>
      <c r="AP30">
        <v>6.6809315024631E-2</v>
      </c>
      <c r="AQ30">
        <v>7.3095114824234295E-2</v>
      </c>
      <c r="AR30">
        <v>7.6966058719797101E-2</v>
      </c>
      <c r="AS30">
        <v>7.5348686000959203E-2</v>
      </c>
      <c r="AT30">
        <v>7.4371019886529804E-2</v>
      </c>
      <c r="AU30">
        <v>7.1934840418549403E-2</v>
      </c>
      <c r="AV30">
        <v>7.9349585789107294E-2</v>
      </c>
      <c r="AW30">
        <v>8.3751032918585294E-2</v>
      </c>
      <c r="AX30">
        <v>7.2844667770917401E-2</v>
      </c>
      <c r="AY30">
        <v>6.8297378810532203E-2</v>
      </c>
      <c r="AZ30">
        <v>7.9991811951336506E-2</v>
      </c>
      <c r="BA30">
        <v>8.7883628103322106E-2</v>
      </c>
      <c r="BB30">
        <v>0.117398543397897</v>
      </c>
      <c r="BC30">
        <v>0.19469705639036899</v>
      </c>
      <c r="BD30">
        <v>0.21441663503330999</v>
      </c>
      <c r="BE30">
        <v>0.37978380096305397</v>
      </c>
      <c r="BF30">
        <v>1.33694303513386</v>
      </c>
      <c r="BG30">
        <v>3.8614314106591499</v>
      </c>
      <c r="BH30">
        <v>7.9841065753710296</v>
      </c>
      <c r="BI30">
        <v>12.7774289983643</v>
      </c>
      <c r="BJ30">
        <v>15.7865884035941</v>
      </c>
      <c r="BK30">
        <v>15.4764806195794</v>
      </c>
      <c r="BL30">
        <v>14.846980458930201</v>
      </c>
      <c r="BM30">
        <v>14.8182221095397</v>
      </c>
      <c r="BN30">
        <v>13.0842013313028</v>
      </c>
      <c r="BO30">
        <v>11.0713635433374</v>
      </c>
      <c r="BP30">
        <v>9.5151127168004894</v>
      </c>
      <c r="BQ30">
        <v>7.7132237227627396</v>
      </c>
      <c r="BR30">
        <v>6.3030031890660698</v>
      </c>
      <c r="BS30">
        <v>5.7731510809178399</v>
      </c>
      <c r="BT30">
        <v>5.2883440761699401</v>
      </c>
      <c r="BU30">
        <v>4.2832959012069898</v>
      </c>
      <c r="BV30">
        <v>4.6885521346251</v>
      </c>
      <c r="BW30">
        <v>3.9817278715163198</v>
      </c>
      <c r="BX30">
        <v>2.6432596755409001</v>
      </c>
      <c r="BY30">
        <v>2.65322047941117</v>
      </c>
      <c r="BZ30">
        <v>2.1405265667151898</v>
      </c>
      <c r="CA30">
        <v>2.19807424490345</v>
      </c>
      <c r="CB30">
        <v>2.3950077453655898</v>
      </c>
      <c r="CC30">
        <v>1.6759125558104999</v>
      </c>
      <c r="CD30">
        <v>1.32916088486367</v>
      </c>
      <c r="CE30">
        <v>1.44614695039852</v>
      </c>
      <c r="CF30">
        <v>1.12321509908064</v>
      </c>
      <c r="CG30">
        <v>0.74894272353219804</v>
      </c>
      <c r="CH30">
        <v>1.1291575447789399</v>
      </c>
      <c r="CI30">
        <v>1.14084077546616</v>
      </c>
      <c r="CJ30">
        <v>0.82762796204247102</v>
      </c>
      <c r="CK30">
        <v>0.88650579967304899</v>
      </c>
      <c r="CL30">
        <v>0.81388616085597498</v>
      </c>
      <c r="CM30">
        <v>0.67153579070180003</v>
      </c>
      <c r="CN30">
        <v>0.49571098181569601</v>
      </c>
      <c r="CO30">
        <v>0.42354282688741701</v>
      </c>
      <c r="CP30">
        <v>0.430362683869842</v>
      </c>
      <c r="CQ30">
        <v>0.390943804818212</v>
      </c>
      <c r="CR30">
        <v>0.37783882428229498</v>
      </c>
      <c r="CS30">
        <v>0.39210793622353002</v>
      </c>
      <c r="CT30">
        <v>0.39955751963575598</v>
      </c>
    </row>
    <row r="31" spans="1:98" x14ac:dyDescent="0.25">
      <c r="A31" t="s">
        <v>34</v>
      </c>
      <c r="B31" s="1">
        <v>44781.000694444447</v>
      </c>
      <c r="C31" s="1">
        <v>44781.011111111111</v>
      </c>
      <c r="D31" s="1">
        <v>44781.021527777775</v>
      </c>
      <c r="E31" s="1">
        <v>44781.031944444447</v>
      </c>
      <c r="F31" s="1">
        <v>44781.042361111111</v>
      </c>
      <c r="G31" s="1">
        <v>44781.052777777775</v>
      </c>
      <c r="H31" s="1">
        <v>44781.063194444447</v>
      </c>
      <c r="I31" s="1">
        <v>44781.073611111111</v>
      </c>
      <c r="J31" s="1">
        <v>44781.084027777775</v>
      </c>
      <c r="K31" s="1">
        <v>44781.094444444447</v>
      </c>
      <c r="L31" s="1">
        <v>44781.104861111111</v>
      </c>
      <c r="M31" s="1">
        <v>44781.115277777775</v>
      </c>
      <c r="N31" s="1">
        <v>44781.125694444447</v>
      </c>
      <c r="O31" s="1">
        <v>44781.136111111111</v>
      </c>
      <c r="P31" s="1">
        <v>44781.146527777775</v>
      </c>
      <c r="Q31" s="1">
        <v>44781.156944444447</v>
      </c>
      <c r="R31" s="1">
        <v>44781.167361111111</v>
      </c>
      <c r="S31" s="1">
        <v>44781.177777777775</v>
      </c>
      <c r="T31" s="1">
        <v>44781.188194444447</v>
      </c>
      <c r="U31" s="1">
        <v>44781.198611111111</v>
      </c>
      <c r="V31" s="1">
        <v>44781.209027777775</v>
      </c>
      <c r="W31" s="1">
        <v>44781.219444444447</v>
      </c>
      <c r="X31" s="1">
        <v>44781.229861111111</v>
      </c>
      <c r="Y31" s="1">
        <v>44781.240277777775</v>
      </c>
      <c r="Z31" s="1">
        <v>44781.250694444447</v>
      </c>
      <c r="AA31" s="1">
        <v>44781.261111111111</v>
      </c>
      <c r="AB31" s="1">
        <v>44781.271527777775</v>
      </c>
      <c r="AC31" s="1">
        <v>44781.281944444447</v>
      </c>
      <c r="AD31" s="1">
        <v>44781.292361111111</v>
      </c>
      <c r="AE31" s="1">
        <v>44781.302777777775</v>
      </c>
      <c r="AF31" s="1">
        <v>44781.313194444447</v>
      </c>
      <c r="AG31" s="1">
        <v>44781.323611111111</v>
      </c>
      <c r="AH31" s="1">
        <v>44781.334027777775</v>
      </c>
      <c r="AI31" s="1">
        <v>44781.344444444447</v>
      </c>
      <c r="AJ31" s="1">
        <v>44781.354861111111</v>
      </c>
      <c r="AK31" s="1">
        <v>44781.365277777775</v>
      </c>
      <c r="AL31" s="1">
        <v>44781.375694444447</v>
      </c>
      <c r="AM31" s="1">
        <v>44781.386111111111</v>
      </c>
      <c r="AN31" s="1">
        <v>44781.396527777775</v>
      </c>
      <c r="AO31" s="1">
        <v>44781.406944444447</v>
      </c>
      <c r="AP31" s="1">
        <v>44781.417361111111</v>
      </c>
      <c r="AQ31" s="1">
        <v>44781.427777777775</v>
      </c>
      <c r="AR31" s="1">
        <v>44781.438194444447</v>
      </c>
      <c r="AS31" s="1">
        <v>44781.448611111111</v>
      </c>
      <c r="AT31" s="1">
        <v>44781.459027777775</v>
      </c>
      <c r="AU31" s="1">
        <v>44781.469444444447</v>
      </c>
      <c r="AV31" s="1">
        <v>44781.479861111111</v>
      </c>
      <c r="AW31" s="1">
        <v>44781.490277777775</v>
      </c>
      <c r="AX31" s="1">
        <v>44781.500694444447</v>
      </c>
      <c r="AY31" s="1">
        <v>44781.511111111111</v>
      </c>
      <c r="AZ31" s="1">
        <v>44781.521527777775</v>
      </c>
      <c r="BA31" s="1">
        <v>44781.531944444447</v>
      </c>
      <c r="BB31" s="1">
        <v>44781.542361111111</v>
      </c>
      <c r="BC31" s="1">
        <v>44781.552777777775</v>
      </c>
      <c r="BD31" s="1">
        <v>44781.563194444447</v>
      </c>
      <c r="BE31" s="1">
        <v>44781.573611111111</v>
      </c>
      <c r="BF31" s="1">
        <v>44781.584027777775</v>
      </c>
      <c r="BG31" s="1">
        <v>44781.594444444447</v>
      </c>
      <c r="BH31" s="1">
        <v>44781.604861111111</v>
      </c>
      <c r="BI31" s="1">
        <v>44781.615277777775</v>
      </c>
      <c r="BJ31" s="1">
        <v>44781.625694444447</v>
      </c>
      <c r="BK31" s="1">
        <v>44781.636111111111</v>
      </c>
      <c r="BL31" s="1">
        <v>44781.646527777775</v>
      </c>
      <c r="BM31" s="1">
        <v>44781.656944444447</v>
      </c>
      <c r="BN31" s="1">
        <v>44781.667361111111</v>
      </c>
      <c r="BO31" s="1">
        <v>44781.677777777775</v>
      </c>
      <c r="BP31" s="1">
        <v>44781.688194444447</v>
      </c>
      <c r="BQ31" s="1">
        <v>44781.698611111111</v>
      </c>
      <c r="BR31" s="1">
        <v>44781.709027777775</v>
      </c>
      <c r="BS31" s="1">
        <v>44781.719444444447</v>
      </c>
      <c r="BT31" s="1">
        <v>44781.729861111111</v>
      </c>
      <c r="BU31" s="1">
        <v>44781.740277777775</v>
      </c>
      <c r="BV31" s="1">
        <v>44781.750694444447</v>
      </c>
      <c r="BW31" s="1">
        <v>44781.761111111111</v>
      </c>
      <c r="BX31" s="1">
        <v>44781.771527777775</v>
      </c>
      <c r="BY31" s="1">
        <v>44781.781944444447</v>
      </c>
      <c r="BZ31" s="1">
        <v>44781.792361111111</v>
      </c>
      <c r="CA31" s="1">
        <v>44781.802777777775</v>
      </c>
      <c r="CB31" s="1">
        <v>44781.813194444447</v>
      </c>
      <c r="CC31" s="1">
        <v>44781.823611111111</v>
      </c>
      <c r="CD31" s="1">
        <v>44781.834027777775</v>
      </c>
      <c r="CE31" s="1">
        <v>44781.844444444447</v>
      </c>
      <c r="CF31" s="1">
        <v>44781.854861111111</v>
      </c>
      <c r="CG31" s="1">
        <v>44781.865277777775</v>
      </c>
      <c r="CH31" s="1">
        <v>44781.875694444447</v>
      </c>
      <c r="CI31" s="1">
        <v>44781.886111111111</v>
      </c>
      <c r="CJ31" s="1">
        <v>44781.896527777775</v>
      </c>
      <c r="CK31" s="1">
        <v>44781.906944444447</v>
      </c>
      <c r="CL31" s="1">
        <v>44781.917361111111</v>
      </c>
      <c r="CM31" s="1">
        <v>44781.927777777775</v>
      </c>
      <c r="CN31" s="1">
        <v>44781.938194444447</v>
      </c>
      <c r="CO31" s="1">
        <v>44781.948611111111</v>
      </c>
      <c r="CP31" s="1">
        <v>44781.959027777775</v>
      </c>
      <c r="CQ31" s="1">
        <v>44781.969444444447</v>
      </c>
      <c r="CR31" s="1">
        <v>44781.979861111111</v>
      </c>
      <c r="CS31" s="1">
        <v>44781.990277777775</v>
      </c>
      <c r="CT31" s="1">
        <v>44782.000694444447</v>
      </c>
    </row>
    <row r="32" spans="1:98" x14ac:dyDescent="0.25">
      <c r="BJ32" t="s">
        <v>47</v>
      </c>
    </row>
    <row r="34" spans="1:27" x14ac:dyDescent="0.25">
      <c r="C34" s="2" t="s">
        <v>27</v>
      </c>
      <c r="E34" t="s">
        <v>28</v>
      </c>
      <c r="F34" t="s">
        <v>29</v>
      </c>
      <c r="G34" t="s">
        <v>30</v>
      </c>
      <c r="H34" t="s">
        <v>31</v>
      </c>
      <c r="U34" t="s">
        <v>45</v>
      </c>
      <c r="V34" t="s">
        <v>46</v>
      </c>
    </row>
    <row r="35" spans="1:27" x14ac:dyDescent="0.25">
      <c r="A35" t="str">
        <f t="shared" ref="A35:A60" si="0">A2</f>
        <v>max_amp</v>
      </c>
      <c r="B35" s="2">
        <f t="shared" ref="B35:B60" si="1">MAX(B2:CT2)</f>
        <v>9.3021392923925104E-3</v>
      </c>
      <c r="C35" s="3">
        <f>_xlfn.XLOOKUP(MAX(B2:CS2), B2:CS2, $B$1:$CS$1)</f>
        <v>44781.625694444447</v>
      </c>
      <c r="E35" s="1">
        <v>44781.000694444447</v>
      </c>
      <c r="F35" s="4">
        <v>6.2220073995991298E-5</v>
      </c>
      <c r="G35" s="4">
        <v>4.3390773253681202E-5</v>
      </c>
      <c r="H35" s="4">
        <v>4.2954951444485903E-5</v>
      </c>
      <c r="T35" t="s">
        <v>0</v>
      </c>
      <c r="U35">
        <v>0.14898440806176</v>
      </c>
      <c r="V35">
        <v>1.03130225848837E-2</v>
      </c>
    </row>
    <row r="36" spans="1:27" x14ac:dyDescent="0.25">
      <c r="A36" t="str">
        <f t="shared" si="0"/>
        <v>mean_amp</v>
      </c>
      <c r="B36" s="2">
        <f t="shared" si="1"/>
        <v>6.7341365149251797E-3</v>
      </c>
      <c r="C36" s="3">
        <f t="shared" ref="C35:C60" si="2">_xlfn.XLOOKUP(MAX(B3:CS3), B3:CS3, $B$1:$CS$1)</f>
        <v>44781.625694444447</v>
      </c>
      <c r="E36" s="1">
        <v>44781.011111111111</v>
      </c>
      <c r="F36" s="4">
        <v>6.6178714290296496E-5</v>
      </c>
      <c r="G36" s="4">
        <v>4.4864073795854901E-5</v>
      </c>
      <c r="H36" s="4">
        <v>4.35119522231089E-5</v>
      </c>
      <c r="T36" t="s">
        <v>1</v>
      </c>
      <c r="U36">
        <v>0.112317926034409</v>
      </c>
      <c r="V36">
        <v>7.7748894996124401E-3</v>
      </c>
    </row>
    <row r="37" spans="1:27" x14ac:dyDescent="0.25">
      <c r="A37" t="str">
        <f t="shared" si="0"/>
        <v>median_amp</v>
      </c>
      <c r="B37" s="2">
        <f t="shared" si="1"/>
        <v>6.6375810185178097E-3</v>
      </c>
      <c r="C37" s="3">
        <f t="shared" si="2"/>
        <v>44781.625694444447</v>
      </c>
      <c r="E37" s="1">
        <v>44781.021527777775</v>
      </c>
      <c r="F37" s="4">
        <v>6.2259887336969094E-5</v>
      </c>
      <c r="G37" s="4">
        <v>3.9316787360710797E-5</v>
      </c>
      <c r="H37" s="4">
        <v>3.7872897633925902E-5</v>
      </c>
      <c r="T37" t="s">
        <v>2</v>
      </c>
      <c r="U37">
        <v>0.11117301127726099</v>
      </c>
      <c r="V37">
        <v>7.6956360133416798E-3</v>
      </c>
    </row>
    <row r="38" spans="1:27" x14ac:dyDescent="0.25">
      <c r="A38" t="str">
        <f t="shared" si="0"/>
        <v>impulses_ch6</v>
      </c>
      <c r="B38" s="2">
        <f t="shared" si="1"/>
        <v>0</v>
      </c>
      <c r="C38" s="3">
        <f t="shared" si="2"/>
        <v>44781.000694444447</v>
      </c>
      <c r="E38" s="1">
        <v>44781.031944444447</v>
      </c>
      <c r="F38" s="4">
        <v>4.4812866568108101E-5</v>
      </c>
      <c r="G38" s="4">
        <v>3.5117936254404899E-5</v>
      </c>
      <c r="H38" s="4">
        <v>3.5230804364166602E-5</v>
      </c>
      <c r="T38" t="s">
        <v>3</v>
      </c>
      <c r="U38">
        <v>1</v>
      </c>
      <c r="V38">
        <v>0</v>
      </c>
    </row>
    <row r="39" spans="1:27" x14ac:dyDescent="0.25">
      <c r="A39" t="str">
        <f t="shared" si="0"/>
        <v>impulses_ch5</v>
      </c>
      <c r="B39" s="2">
        <f t="shared" si="1"/>
        <v>0</v>
      </c>
      <c r="C39" s="3">
        <f t="shared" si="2"/>
        <v>44781.000694444447</v>
      </c>
      <c r="E39" s="1">
        <v>44781.042361111111</v>
      </c>
      <c r="F39" s="4">
        <v>5.6780174728224397E-5</v>
      </c>
      <c r="G39" s="4">
        <v>4.0254363635282697E-5</v>
      </c>
      <c r="H39" s="4">
        <v>3.8987807505225201E-5</v>
      </c>
      <c r="T39" t="s">
        <v>4</v>
      </c>
      <c r="U39">
        <v>251</v>
      </c>
      <c r="V39">
        <v>0</v>
      </c>
    </row>
    <row r="40" spans="1:27" x14ac:dyDescent="0.25">
      <c r="A40" t="str">
        <f t="shared" si="0"/>
        <v>impulses_ch4</v>
      </c>
      <c r="B40" s="2">
        <f t="shared" si="1"/>
        <v>15</v>
      </c>
      <c r="C40" s="3">
        <f t="shared" si="2"/>
        <v>44781.636111111111</v>
      </c>
      <c r="E40" s="1">
        <v>44781.052777777775</v>
      </c>
      <c r="F40" s="4">
        <v>4.8640600108223201E-5</v>
      </c>
      <c r="G40" s="4">
        <v>3.86414673423023E-5</v>
      </c>
      <c r="H40" s="4">
        <v>3.85480635516473E-5</v>
      </c>
      <c r="T40" t="s">
        <v>5</v>
      </c>
      <c r="U40">
        <v>10425</v>
      </c>
      <c r="V40">
        <v>3</v>
      </c>
    </row>
    <row r="41" spans="1:27" x14ac:dyDescent="0.25">
      <c r="A41" t="str">
        <f t="shared" si="0"/>
        <v>impulses_ch3</v>
      </c>
      <c r="B41" s="2">
        <f t="shared" si="1"/>
        <v>671</v>
      </c>
      <c r="C41" s="3">
        <f t="shared" si="2"/>
        <v>44781.625694444447</v>
      </c>
      <c r="E41" s="1">
        <v>44781.063194444447</v>
      </c>
      <c r="F41" s="4">
        <v>6.0393440695148698E-5</v>
      </c>
      <c r="G41" s="4">
        <v>3.9416558493862197E-5</v>
      </c>
      <c r="H41" s="4">
        <v>3.9128009792074502E-5</v>
      </c>
      <c r="T41" t="s">
        <v>6</v>
      </c>
      <c r="U41">
        <v>14547</v>
      </c>
      <c r="V41">
        <v>336</v>
      </c>
    </row>
    <row r="42" spans="1:27" x14ac:dyDescent="0.25">
      <c r="A42" t="str">
        <f t="shared" si="0"/>
        <v>impulses_ch2</v>
      </c>
      <c r="B42" s="2">
        <f t="shared" si="1"/>
        <v>23102</v>
      </c>
      <c r="C42" s="3">
        <f t="shared" si="2"/>
        <v>44781.625694444447</v>
      </c>
      <c r="E42" s="1">
        <v>44781.073611111111</v>
      </c>
      <c r="F42" s="4">
        <v>6.0864281611377601E-5</v>
      </c>
      <c r="G42" s="4">
        <v>4.3190939712577899E-5</v>
      </c>
      <c r="H42" s="4">
        <v>4.0993709793983997E-5</v>
      </c>
      <c r="T42" t="s">
        <v>7</v>
      </c>
      <c r="U42">
        <v>15000</v>
      </c>
      <c r="V42">
        <v>11744</v>
      </c>
    </row>
    <row r="43" spans="1:27" x14ac:dyDescent="0.25">
      <c r="A43" t="str">
        <f t="shared" si="0"/>
        <v>impulses_ch1</v>
      </c>
      <c r="B43" s="2">
        <f t="shared" si="1"/>
        <v>42705</v>
      </c>
      <c r="C43" s="3">
        <f t="shared" si="2"/>
        <v>44781.604861111111</v>
      </c>
      <c r="E43" s="1">
        <v>44781.084027777775</v>
      </c>
      <c r="F43" s="4">
        <v>6.0623769559061697E-5</v>
      </c>
      <c r="G43" s="4">
        <v>4.5318512271556299E-5</v>
      </c>
      <c r="H43" s="4">
        <v>4.42027940595289E-5</v>
      </c>
      <c r="T43" t="s">
        <v>8</v>
      </c>
      <c r="U43">
        <v>13501</v>
      </c>
      <c r="V43">
        <v>15383</v>
      </c>
    </row>
    <row r="44" spans="1:27" x14ac:dyDescent="0.25">
      <c r="A44" t="str">
        <f t="shared" si="0"/>
        <v>max_env_ch6</v>
      </c>
      <c r="B44" s="2">
        <f t="shared" si="1"/>
        <v>0</v>
      </c>
      <c r="C44" s="3">
        <f t="shared" si="2"/>
        <v>44781.000694444447</v>
      </c>
      <c r="E44" s="1">
        <v>44781.094444444447</v>
      </c>
      <c r="F44" s="4">
        <v>5.7893533297190997E-5</v>
      </c>
      <c r="G44" s="4">
        <v>4.0066264903710999E-5</v>
      </c>
      <c r="H44" s="4">
        <v>3.9400787062800603E-5</v>
      </c>
    </row>
    <row r="45" spans="1:27" x14ac:dyDescent="0.25">
      <c r="A45" t="str">
        <f t="shared" si="0"/>
        <v>mean_env_ch6</v>
      </c>
      <c r="B45" s="2">
        <f t="shared" si="1"/>
        <v>0</v>
      </c>
      <c r="C45" s="3">
        <f t="shared" si="2"/>
        <v>44781.000694444447</v>
      </c>
      <c r="E45" s="1">
        <v>44781.104861111111</v>
      </c>
      <c r="F45" s="4">
        <v>5.1137025531139501E-5</v>
      </c>
      <c r="G45" s="4">
        <v>3.7497369980662803E-5</v>
      </c>
      <c r="H45" s="4">
        <v>3.6917196075659899E-5</v>
      </c>
    </row>
    <row r="46" spans="1:27" x14ac:dyDescent="0.25">
      <c r="A46" t="str">
        <f t="shared" si="0"/>
        <v>median_env_ch6</v>
      </c>
      <c r="B46" s="2">
        <f t="shared" si="1"/>
        <v>0</v>
      </c>
      <c r="C46" s="3">
        <f t="shared" si="2"/>
        <v>44781.000694444447</v>
      </c>
      <c r="E46" s="1">
        <v>44781.115277777775</v>
      </c>
      <c r="F46" s="4">
        <v>5.4661395433813702E-5</v>
      </c>
      <c r="G46" s="4">
        <v>3.7756379770466697E-5</v>
      </c>
      <c r="H46" s="4">
        <v>3.7258083838060803E-5</v>
      </c>
      <c r="U46" t="s">
        <v>35</v>
      </c>
    </row>
    <row r="47" spans="1:27" x14ac:dyDescent="0.25">
      <c r="A47" t="str">
        <f t="shared" si="0"/>
        <v>max_env_ch5</v>
      </c>
      <c r="B47" s="2">
        <f t="shared" si="1"/>
        <v>0</v>
      </c>
      <c r="C47" s="3">
        <f t="shared" si="2"/>
        <v>44781.000694444447</v>
      </c>
      <c r="E47" s="1">
        <v>44781.125694444447</v>
      </c>
      <c r="F47" s="4">
        <v>4.78474909804447E-5</v>
      </c>
      <c r="G47" s="4">
        <v>3.6603859630888298E-5</v>
      </c>
      <c r="H47" s="4">
        <v>3.6720148089166703E-5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t="str">
        <f t="shared" si="0"/>
        <v>mean_env_ch5</v>
      </c>
      <c r="B48" s="2">
        <f t="shared" si="1"/>
        <v>0</v>
      </c>
      <c r="C48" s="3">
        <f t="shared" si="2"/>
        <v>44781.000694444447</v>
      </c>
      <c r="E48" s="1">
        <v>44781.136111111111</v>
      </c>
      <c r="F48" s="4">
        <v>5.1633831414978E-5</v>
      </c>
      <c r="G48" s="4">
        <v>4.0152974400629198E-5</v>
      </c>
      <c r="H48" s="4">
        <v>3.9725302460147602E-5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 s="2">
        <v>0</v>
      </c>
      <c r="Z48" s="2">
        <v>0</v>
      </c>
      <c r="AA48" s="2">
        <v>0</v>
      </c>
    </row>
    <row r="49" spans="1:27" x14ac:dyDescent="0.25">
      <c r="A49" t="str">
        <f t="shared" si="0"/>
        <v>median_env_ch5</v>
      </c>
      <c r="B49" s="2">
        <f t="shared" si="1"/>
        <v>0</v>
      </c>
      <c r="C49" s="3">
        <f t="shared" si="2"/>
        <v>44781.000694444447</v>
      </c>
      <c r="E49" s="1">
        <v>44781.146527777775</v>
      </c>
      <c r="F49" s="4">
        <v>6.2171288978311507E-5</v>
      </c>
      <c r="G49" s="4">
        <v>4.0791202594603599E-5</v>
      </c>
      <c r="H49" s="4">
        <v>4.0329042535240297E-5</v>
      </c>
      <c r="T49" t="s">
        <v>40</v>
      </c>
      <c r="U49" s="4">
        <f>B47</f>
        <v>0</v>
      </c>
      <c r="V49" s="4">
        <f>B48</f>
        <v>0</v>
      </c>
      <c r="W49" s="4">
        <f>B49</f>
        <v>0</v>
      </c>
      <c r="Y49" s="2">
        <v>0</v>
      </c>
      <c r="Z49" s="2">
        <v>0</v>
      </c>
      <c r="AA49" s="2">
        <v>0</v>
      </c>
    </row>
    <row r="50" spans="1:27" x14ac:dyDescent="0.25">
      <c r="A50" t="str">
        <f t="shared" si="0"/>
        <v>max_env_ch4</v>
      </c>
      <c r="B50" s="2">
        <f t="shared" si="1"/>
        <v>0.13199211389783899</v>
      </c>
      <c r="C50" s="3">
        <f t="shared" si="2"/>
        <v>44781.646527777775</v>
      </c>
      <c r="E50" s="1">
        <v>44781.156944444447</v>
      </c>
      <c r="F50" s="4">
        <v>4.50270173797452E-5</v>
      </c>
      <c r="G50" s="4">
        <v>3.5835970756291302E-5</v>
      </c>
      <c r="H50" s="4">
        <v>3.55209148801119E-5</v>
      </c>
      <c r="T50" t="s">
        <v>41</v>
      </c>
      <c r="U50" s="4">
        <f>B50</f>
        <v>0.13199211389783899</v>
      </c>
      <c r="V50" s="4">
        <f>B51</f>
        <v>0.11765818081729899</v>
      </c>
      <c r="W50" s="4">
        <f>B52</f>
        <v>0.119736504687315</v>
      </c>
      <c r="Y50" s="2">
        <v>0.15462933529162801</v>
      </c>
      <c r="Z50" s="2">
        <v>0.15462933529162801</v>
      </c>
      <c r="AA50" s="2">
        <v>0.15462933529162801</v>
      </c>
    </row>
    <row r="51" spans="1:27" x14ac:dyDescent="0.25">
      <c r="A51" t="str">
        <f t="shared" si="0"/>
        <v>mean_env_ch4</v>
      </c>
      <c r="B51" s="2">
        <f t="shared" si="1"/>
        <v>0.11765818081729899</v>
      </c>
      <c r="C51" s="3">
        <f t="shared" si="2"/>
        <v>44781.646527777775</v>
      </c>
      <c r="E51" s="1">
        <v>44781.167361111111</v>
      </c>
      <c r="F51" s="4">
        <v>4.0637101347766799E-5</v>
      </c>
      <c r="G51" s="4">
        <v>3.2256170907894801E-5</v>
      </c>
      <c r="H51" s="4">
        <v>3.2135242253772201E-5</v>
      </c>
      <c r="T51" t="s">
        <v>42</v>
      </c>
      <c r="U51" s="4">
        <f>B53</f>
        <v>0.59533691471312</v>
      </c>
      <c r="V51" s="4">
        <f>B54</f>
        <v>0.430984736955211</v>
      </c>
      <c r="W51" s="4">
        <f>B55</f>
        <v>0.42480518518513999</v>
      </c>
      <c r="Y51" s="2">
        <v>0.66003344543256104</v>
      </c>
      <c r="Z51" s="2">
        <v>0.50349909973876406</v>
      </c>
      <c r="AA51" s="2">
        <v>0.49734210593101602</v>
      </c>
    </row>
    <row r="52" spans="1:27" x14ac:dyDescent="0.25">
      <c r="A52" t="str">
        <f t="shared" si="0"/>
        <v>median_env_ch4</v>
      </c>
      <c r="B52" s="2">
        <f t="shared" si="1"/>
        <v>0.119736504687315</v>
      </c>
      <c r="C52" s="3">
        <f t="shared" si="2"/>
        <v>44781.636111111111</v>
      </c>
      <c r="E52" s="1">
        <v>44781.177777777775</v>
      </c>
      <c r="F52" s="4">
        <v>4.5263867659206198E-5</v>
      </c>
      <c r="G52" s="4">
        <v>3.4423836103599901E-5</v>
      </c>
      <c r="H52" s="4">
        <v>3.3583278539114503E-5</v>
      </c>
      <c r="T52" t="s">
        <v>43</v>
      </c>
      <c r="U52" s="4">
        <f>B56</f>
        <v>2.38134765885248</v>
      </c>
      <c r="V52" s="4">
        <f>B57</f>
        <v>1.72393894782084</v>
      </c>
      <c r="W52" s="4">
        <f>B58</f>
        <v>1.69922074074056</v>
      </c>
      <c r="Y52" s="2">
        <v>2.6401337817302402</v>
      </c>
      <c r="Z52" s="2">
        <v>1.99037171190078</v>
      </c>
      <c r="AA52" s="2">
        <v>1.97008281941547</v>
      </c>
    </row>
    <row r="53" spans="1:27" x14ac:dyDescent="0.25">
      <c r="A53" t="str">
        <f t="shared" si="0"/>
        <v>max_env_ch3</v>
      </c>
      <c r="B53" s="2">
        <f t="shared" si="1"/>
        <v>0.59533691471312</v>
      </c>
      <c r="C53" s="3">
        <f t="shared" si="2"/>
        <v>44781.625694444447</v>
      </c>
      <c r="E53" s="1">
        <v>44781.188194444447</v>
      </c>
      <c r="F53" s="4">
        <v>5.1682357083071802E-5</v>
      </c>
      <c r="G53" s="4">
        <v>3.81601637742318E-5</v>
      </c>
      <c r="H53" s="4">
        <v>3.76559074616625E-5</v>
      </c>
      <c r="T53" t="s">
        <v>44</v>
      </c>
      <c r="U53" s="4">
        <f>B59</f>
        <v>9.5253906354099307</v>
      </c>
      <c r="V53" s="4">
        <f>B60</f>
        <v>6.8957557912833796</v>
      </c>
      <c r="W53" s="4">
        <f>B61</f>
        <v>6.7968829629622398</v>
      </c>
      <c r="Y53" s="2">
        <v>10.5605351269209</v>
      </c>
      <c r="Z53" s="2">
        <v>7.9614868476031404</v>
      </c>
      <c r="AA53" s="2">
        <v>7.8803312776618801</v>
      </c>
    </row>
    <row r="54" spans="1:27" x14ac:dyDescent="0.25">
      <c r="A54" t="str">
        <f t="shared" si="0"/>
        <v>mean_env_ch3</v>
      </c>
      <c r="B54" s="2">
        <f t="shared" si="1"/>
        <v>0.430984736955211</v>
      </c>
      <c r="C54" s="3">
        <f t="shared" si="2"/>
        <v>44781.625694444447</v>
      </c>
      <c r="E54" s="1">
        <v>44781.198611111111</v>
      </c>
      <c r="F54" s="4">
        <v>4.9629890347669901E-5</v>
      </c>
      <c r="G54" s="4">
        <v>3.6878080717450798E-5</v>
      </c>
      <c r="H54" s="4">
        <v>3.6252798220628902E-5</v>
      </c>
    </row>
    <row r="55" spans="1:27" x14ac:dyDescent="0.25">
      <c r="A55" t="str">
        <f t="shared" si="0"/>
        <v>median_env_ch3</v>
      </c>
      <c r="B55" s="2">
        <f t="shared" si="1"/>
        <v>0.42480518518513999</v>
      </c>
      <c r="C55" s="3">
        <f t="shared" si="2"/>
        <v>44781.625694444447</v>
      </c>
      <c r="E55" s="1">
        <v>44781.209027777775</v>
      </c>
      <c r="F55" s="4">
        <v>4.9807771026482602E-5</v>
      </c>
      <c r="G55" s="4">
        <v>3.4913118241507198E-5</v>
      </c>
      <c r="H55" s="4">
        <v>3.4088097135017602E-5</v>
      </c>
    </row>
    <row r="56" spans="1:27" x14ac:dyDescent="0.25">
      <c r="A56" t="str">
        <f t="shared" si="0"/>
        <v>max_env_ch2</v>
      </c>
      <c r="B56" s="2">
        <f t="shared" si="1"/>
        <v>2.38134765885248</v>
      </c>
      <c r="C56" s="3">
        <f t="shared" si="2"/>
        <v>44781.625694444447</v>
      </c>
      <c r="E56" s="1">
        <v>44781.219444444447</v>
      </c>
      <c r="F56" s="4">
        <v>5.3730287594466297E-5</v>
      </c>
      <c r="G56" s="4">
        <v>3.603482703039E-5</v>
      </c>
      <c r="H56" s="4">
        <v>3.5928042955002001E-5</v>
      </c>
    </row>
    <row r="57" spans="1:27" x14ac:dyDescent="0.25">
      <c r="A57" t="str">
        <f t="shared" si="0"/>
        <v>mean_env_ch2</v>
      </c>
      <c r="B57" s="2">
        <f t="shared" si="1"/>
        <v>1.72393894782084</v>
      </c>
      <c r="C57" s="3">
        <f t="shared" si="2"/>
        <v>44781.625694444447</v>
      </c>
      <c r="E57" s="1">
        <v>44781.229861111111</v>
      </c>
      <c r="F57" s="4">
        <v>4.2660476496480302E-5</v>
      </c>
      <c r="G57" s="4">
        <v>3.2155969328056901E-5</v>
      </c>
      <c r="H57" s="4">
        <v>3.1705865828248401E-5</v>
      </c>
    </row>
    <row r="58" spans="1:27" x14ac:dyDescent="0.25">
      <c r="A58" t="str">
        <f t="shared" si="0"/>
        <v>median_env_ch2</v>
      </c>
      <c r="B58" s="2">
        <f t="shared" si="1"/>
        <v>1.69922074074056</v>
      </c>
      <c r="C58" s="3">
        <f t="shared" si="2"/>
        <v>44781.625694444447</v>
      </c>
      <c r="E58" s="1">
        <v>44781.240277777775</v>
      </c>
      <c r="F58" s="4">
        <v>4.5717944379801102E-5</v>
      </c>
      <c r="G58" s="4">
        <v>3.3175579626345401E-5</v>
      </c>
      <c r="H58" s="4">
        <v>3.3103390265011501E-5</v>
      </c>
    </row>
    <row r="59" spans="1:27" x14ac:dyDescent="0.25">
      <c r="A59" t="str">
        <f t="shared" si="0"/>
        <v>max_env_ch1</v>
      </c>
      <c r="B59" s="2">
        <f t="shared" si="1"/>
        <v>9.5253906354099307</v>
      </c>
      <c r="C59" s="3">
        <f t="shared" si="2"/>
        <v>44781.625694444447</v>
      </c>
      <c r="E59" s="1">
        <v>44781.250694444447</v>
      </c>
      <c r="F59" s="4">
        <v>4.5738544441564899E-5</v>
      </c>
      <c r="G59" s="4">
        <v>3.6497207032538797E-5</v>
      </c>
      <c r="H59" s="4">
        <v>3.5988760490523997E-5</v>
      </c>
    </row>
    <row r="60" spans="1:27" x14ac:dyDescent="0.25">
      <c r="A60" t="str">
        <f t="shared" si="0"/>
        <v>mean_env_ch1</v>
      </c>
      <c r="B60" s="2">
        <f t="shared" si="1"/>
        <v>6.8957557912833796</v>
      </c>
      <c r="C60" s="3">
        <f t="shared" si="2"/>
        <v>44781.625694444447</v>
      </c>
      <c r="E60" s="1">
        <v>44781.261111111111</v>
      </c>
      <c r="F60" s="4">
        <v>4.7247443971033097E-5</v>
      </c>
      <c r="G60" s="4">
        <v>3.3367792057375499E-5</v>
      </c>
      <c r="H60" s="4">
        <v>3.2829072559303001E-5</v>
      </c>
    </row>
    <row r="61" spans="1:27" x14ac:dyDescent="0.25">
      <c r="A61" t="str">
        <f t="shared" ref="A61" si="3">A28</f>
        <v>median_env_ch1</v>
      </c>
      <c r="B61" s="2">
        <f t="shared" ref="B61" si="4">MAX(B28:CT28)</f>
        <v>6.7968829629622398</v>
      </c>
      <c r="C61" s="3">
        <f t="shared" ref="C61" si="5">_xlfn.XLOOKUP(MAX(B28:CS28), B28:CS28, $B$1:$CS$1)</f>
        <v>44781.625694444447</v>
      </c>
      <c r="E61" s="1">
        <v>44781.271527777775</v>
      </c>
      <c r="F61" s="4">
        <v>4.32424773742003E-5</v>
      </c>
      <c r="G61" s="4">
        <v>3.1181058333047003E-5</v>
      </c>
      <c r="H61" s="4">
        <v>3.06694120828013E-5</v>
      </c>
    </row>
    <row r="62" spans="1:27" x14ac:dyDescent="0.25">
      <c r="A62" t="s">
        <v>32</v>
      </c>
      <c r="B62" s="2">
        <f t="shared" ref="B62:B63" si="6">MAX(B29:CT29)</f>
        <v>32.007500319999998</v>
      </c>
      <c r="C62" s="3">
        <f t="shared" ref="C62:C63" si="7">_xlfn.XLOOKUP(MAX(B29:CS29), B29:CS29, $B$1:$CS$1)</f>
        <v>44781.625694444447</v>
      </c>
      <c r="E62" s="1">
        <v>44781.281944444447</v>
      </c>
      <c r="F62" s="4">
        <v>3.9364616603735997E-5</v>
      </c>
      <c r="G62" s="4">
        <v>3.1518888182585502E-5</v>
      </c>
      <c r="H62" s="4">
        <v>3.1347816384724698E-5</v>
      </c>
    </row>
    <row r="63" spans="1:27" x14ac:dyDescent="0.25">
      <c r="A63" t="s">
        <v>33</v>
      </c>
      <c r="B63" s="2">
        <f t="shared" si="6"/>
        <v>15.7865884035941</v>
      </c>
      <c r="C63" s="3">
        <f t="shared" si="7"/>
        <v>44781.625694444447</v>
      </c>
      <c r="E63" s="1">
        <v>44781.292361111111</v>
      </c>
      <c r="F63" s="4">
        <v>5.02861820565687E-5</v>
      </c>
      <c r="G63" s="4">
        <v>3.11534219580425E-5</v>
      </c>
      <c r="H63" s="4">
        <v>3.0460328901959998E-5</v>
      </c>
    </row>
    <row r="64" spans="1:27" x14ac:dyDescent="0.25">
      <c r="E64" s="1">
        <v>44781.302777777775</v>
      </c>
      <c r="F64" s="4">
        <v>4.3711539093959403E-5</v>
      </c>
      <c r="G64" s="4">
        <v>2.9600849729506899E-5</v>
      </c>
      <c r="H64" s="4">
        <v>2.9575412376694401E-5</v>
      </c>
    </row>
    <row r="65" spans="5:8" x14ac:dyDescent="0.25">
      <c r="E65" s="1">
        <v>44781.313194444447</v>
      </c>
      <c r="F65" s="4">
        <v>4.2291614579863297E-5</v>
      </c>
      <c r="G65" s="4">
        <v>3.1074100174455503E-5</v>
      </c>
      <c r="H65" s="4">
        <v>3.05097567798607E-5</v>
      </c>
    </row>
    <row r="66" spans="5:8" x14ac:dyDescent="0.25">
      <c r="E66" s="1">
        <v>44781.323611111111</v>
      </c>
      <c r="F66" s="4">
        <v>4.4560273663016598E-5</v>
      </c>
      <c r="G66" s="4">
        <v>3.2324401413697899E-5</v>
      </c>
      <c r="H66" s="4">
        <v>3.20552653411968E-5</v>
      </c>
    </row>
    <row r="67" spans="5:8" x14ac:dyDescent="0.25">
      <c r="E67" s="1">
        <v>44781.334027777775</v>
      </c>
      <c r="F67" s="4">
        <v>4.8693157274414998E-5</v>
      </c>
      <c r="G67" s="4">
        <v>3.40760792228753E-5</v>
      </c>
      <c r="H67" s="4">
        <v>3.3782412518625402E-5</v>
      </c>
    </row>
    <row r="68" spans="5:8" x14ac:dyDescent="0.25">
      <c r="E68" s="1">
        <v>44781.344444444447</v>
      </c>
      <c r="F68" s="4">
        <v>5.0958610815526402E-5</v>
      </c>
      <c r="G68" s="4">
        <v>3.3076454084949302E-5</v>
      </c>
      <c r="H68" s="4">
        <v>3.3004059758947903E-5</v>
      </c>
    </row>
    <row r="69" spans="5:8" x14ac:dyDescent="0.25">
      <c r="E69" s="1">
        <v>44781.354861111111</v>
      </c>
      <c r="F69" s="4">
        <v>4.6183121610953697E-5</v>
      </c>
      <c r="G69" s="4">
        <v>3.1798386196122001E-5</v>
      </c>
      <c r="H69" s="4">
        <v>3.0518602053613603E-5</v>
      </c>
    </row>
    <row r="70" spans="5:8" x14ac:dyDescent="0.25">
      <c r="E70" s="1">
        <v>44781.365277777775</v>
      </c>
      <c r="F70" s="4">
        <v>4.8545218207373703E-5</v>
      </c>
      <c r="G70" s="4">
        <v>2.97437743456097E-5</v>
      </c>
      <c r="H70" s="4">
        <v>2.8539262531272999E-5</v>
      </c>
    </row>
    <row r="71" spans="5:8" x14ac:dyDescent="0.25">
      <c r="E71" s="1">
        <v>44781.375694444447</v>
      </c>
      <c r="F71" s="4">
        <v>3.9353354510006299E-5</v>
      </c>
      <c r="G71" s="4">
        <v>2.70091480596573E-5</v>
      </c>
      <c r="H71" s="4">
        <v>2.6795597790826301E-5</v>
      </c>
    </row>
    <row r="72" spans="5:8" x14ac:dyDescent="0.25">
      <c r="E72" s="1">
        <v>44781.386111111111</v>
      </c>
      <c r="F72" s="4">
        <v>4.3712018423320802E-5</v>
      </c>
      <c r="G72" s="4">
        <v>2.8309291135641998E-5</v>
      </c>
      <c r="H72" s="4">
        <v>2.76675661740125E-5</v>
      </c>
    </row>
    <row r="73" spans="5:8" x14ac:dyDescent="0.25">
      <c r="E73" s="1">
        <v>44781.396527777775</v>
      </c>
      <c r="F73" s="4">
        <v>3.4233433605332401E-5</v>
      </c>
      <c r="G73" s="4">
        <v>2.6116551569805998E-5</v>
      </c>
      <c r="H73" s="4">
        <v>2.5995599906577601E-5</v>
      </c>
    </row>
    <row r="74" spans="5:8" x14ac:dyDescent="0.25">
      <c r="E74" s="1">
        <v>44781.406944444447</v>
      </c>
      <c r="F74" s="4">
        <v>3.8549334988871E-5</v>
      </c>
      <c r="G74" s="4">
        <v>2.61237779429503E-5</v>
      </c>
      <c r="H74" s="4">
        <v>2.5511758606239899E-5</v>
      </c>
    </row>
    <row r="75" spans="5:8" x14ac:dyDescent="0.25">
      <c r="E75" s="1">
        <v>44781.417361111111</v>
      </c>
      <c r="F75" s="4">
        <v>3.6320712393498201E-5</v>
      </c>
      <c r="G75" s="4">
        <v>2.6442215893342099E-5</v>
      </c>
      <c r="H75" s="4">
        <v>2.6355060482649699E-5</v>
      </c>
    </row>
    <row r="76" spans="5:8" x14ac:dyDescent="0.25">
      <c r="E76" s="1">
        <v>44781.427777777775</v>
      </c>
      <c r="F76" s="4">
        <v>3.6164272216330303E-5</v>
      </c>
      <c r="G76" s="4">
        <v>2.8491000596350801E-5</v>
      </c>
      <c r="H76" s="4">
        <v>2.8051021250466701E-5</v>
      </c>
    </row>
    <row r="77" spans="5:8" x14ac:dyDescent="0.25">
      <c r="E77" s="1">
        <v>44781.438194444447</v>
      </c>
      <c r="F77" s="4">
        <v>4.6108985208100099E-5</v>
      </c>
      <c r="G77" s="4">
        <v>2.96441355790747E-5</v>
      </c>
      <c r="H77" s="4">
        <v>2.9240502452857601E-5</v>
      </c>
    </row>
    <row r="78" spans="5:8" x14ac:dyDescent="0.25">
      <c r="E78" s="1">
        <v>44781.448611111111</v>
      </c>
      <c r="F78" s="4">
        <v>4.1207806763278999E-5</v>
      </c>
      <c r="G78" s="4">
        <v>2.9915337381484401E-5</v>
      </c>
      <c r="H78" s="4">
        <v>2.9069424924514499E-5</v>
      </c>
    </row>
    <row r="79" spans="5:8" x14ac:dyDescent="0.25">
      <c r="E79" s="1">
        <v>44781.459027777775</v>
      </c>
      <c r="F79" s="4">
        <v>4.0293568536430203E-5</v>
      </c>
      <c r="G79" s="4">
        <v>2.8846745874452701E-5</v>
      </c>
      <c r="H79" s="4">
        <v>2.80280597431268E-5</v>
      </c>
    </row>
    <row r="80" spans="5:8" x14ac:dyDescent="0.25">
      <c r="E80" s="1">
        <v>44781.469444444447</v>
      </c>
      <c r="F80" s="4">
        <v>3.7884010554959899E-5</v>
      </c>
      <c r="G80" s="4">
        <v>2.8345354773366101E-5</v>
      </c>
      <c r="H80" s="4">
        <v>2.7903079709946899E-5</v>
      </c>
    </row>
    <row r="81" spans="5:8" x14ac:dyDescent="0.25">
      <c r="E81" s="1">
        <v>44781.479861111111</v>
      </c>
      <c r="F81" s="4">
        <v>4.3405291737131599E-5</v>
      </c>
      <c r="G81" s="4">
        <v>3.0549974679716699E-5</v>
      </c>
      <c r="H81" s="4">
        <v>2.9956206591455198E-5</v>
      </c>
    </row>
    <row r="82" spans="5:8" x14ac:dyDescent="0.25">
      <c r="E82" s="1">
        <v>44781.490277777775</v>
      </c>
      <c r="F82" s="4">
        <v>4.4491495492774602E-5</v>
      </c>
      <c r="G82" s="4">
        <v>3.2324636249148003E-5</v>
      </c>
      <c r="H82" s="4">
        <v>3.1973326744679599E-5</v>
      </c>
    </row>
    <row r="83" spans="5:8" x14ac:dyDescent="0.25">
      <c r="E83" s="1">
        <v>44781.500694444447</v>
      </c>
      <c r="F83" s="4">
        <v>3.4674239384573003E-5</v>
      </c>
      <c r="G83" s="4">
        <v>2.85341224981616E-5</v>
      </c>
      <c r="H83" s="4">
        <v>2.8289082169164301E-5</v>
      </c>
    </row>
    <row r="84" spans="5:8" x14ac:dyDescent="0.25">
      <c r="E84" s="1">
        <v>44781.511111111111</v>
      </c>
      <c r="F84" s="4">
        <v>3.7730200973100398E-5</v>
      </c>
      <c r="G84" s="4">
        <v>2.5936397230706201E-5</v>
      </c>
      <c r="H84" s="4">
        <v>2.4998945635784901E-5</v>
      </c>
    </row>
    <row r="85" spans="5:8" x14ac:dyDescent="0.25">
      <c r="E85" s="1">
        <v>44781.521527777775</v>
      </c>
      <c r="F85" s="4">
        <v>4.3188638411430898E-5</v>
      </c>
      <c r="G85" s="4">
        <v>2.9376780934249401E-5</v>
      </c>
      <c r="H85" s="4">
        <v>2.8669691152786502E-5</v>
      </c>
    </row>
    <row r="86" spans="5:8" x14ac:dyDescent="0.25">
      <c r="E86" s="1">
        <v>44781.531944444447</v>
      </c>
      <c r="F86" s="4">
        <v>4.7346782599544499E-5</v>
      </c>
      <c r="G86" s="4">
        <v>3.4159027996720403E-5</v>
      </c>
      <c r="H86" s="4">
        <v>3.3657734694977199E-5</v>
      </c>
    </row>
    <row r="87" spans="5:8" x14ac:dyDescent="0.25">
      <c r="E87" s="1">
        <v>44781.542361111111</v>
      </c>
      <c r="F87" s="4">
        <v>8.2648648526256107E-5</v>
      </c>
      <c r="G87" s="4">
        <v>5.3581471821967002E-5</v>
      </c>
      <c r="H87" s="4">
        <v>5.3718470176608601E-5</v>
      </c>
    </row>
    <row r="88" spans="5:8" x14ac:dyDescent="0.25">
      <c r="E88" s="1">
        <v>44781.552777777775</v>
      </c>
      <c r="F88">
        <v>1.3351959566432301E-4</v>
      </c>
      <c r="G88">
        <v>1.03050748078798E-4</v>
      </c>
      <c r="H88">
        <v>1.0127717142915801E-4</v>
      </c>
    </row>
    <row r="89" spans="5:8" x14ac:dyDescent="0.25">
      <c r="E89" s="1">
        <v>44781.563194444447</v>
      </c>
      <c r="F89">
        <v>1.3846760629352499E-4</v>
      </c>
      <c r="G89">
        <v>1.08588548962577E-4</v>
      </c>
      <c r="H89">
        <v>1.06570522797666E-4</v>
      </c>
    </row>
    <row r="90" spans="5:8" x14ac:dyDescent="0.25">
      <c r="E90" s="1">
        <v>44781.573611111111</v>
      </c>
      <c r="F90">
        <v>2.0755435258991599E-4</v>
      </c>
      <c r="G90">
        <v>1.4450978317439401E-4</v>
      </c>
      <c r="H90">
        <v>1.4007924237779E-4</v>
      </c>
    </row>
    <row r="91" spans="5:8" x14ac:dyDescent="0.25">
      <c r="E91" s="1">
        <v>44781.584027777775</v>
      </c>
      <c r="F91">
        <v>5.73888755595516E-4</v>
      </c>
      <c r="G91">
        <v>3.93677646397528E-4</v>
      </c>
      <c r="H91">
        <v>3.8679291559506201E-4</v>
      </c>
    </row>
    <row r="92" spans="5:8" x14ac:dyDescent="0.25">
      <c r="E92" s="1">
        <v>44781.594444444447</v>
      </c>
      <c r="F92">
        <v>1.6833878349398999E-3</v>
      </c>
      <c r="G92">
        <v>1.34104885636936E-3</v>
      </c>
      <c r="H92">
        <v>1.33206981237495E-3</v>
      </c>
    </row>
    <row r="93" spans="5:8" x14ac:dyDescent="0.25">
      <c r="E93" s="1">
        <v>44781.604861111111</v>
      </c>
      <c r="F93">
        <v>4.1484652833504096E-3</v>
      </c>
      <c r="G93">
        <v>3.17951968012865E-3</v>
      </c>
      <c r="H93">
        <v>3.2001126469845499E-3</v>
      </c>
    </row>
    <row r="94" spans="5:8" x14ac:dyDescent="0.25">
      <c r="E94" s="1">
        <v>44781.615277777775</v>
      </c>
      <c r="F94">
        <v>8.0797184161333201E-3</v>
      </c>
      <c r="G94">
        <v>5.2967743494178E-3</v>
      </c>
      <c r="H94">
        <v>5.2505474390703603E-3</v>
      </c>
    </row>
    <row r="95" spans="5:8" x14ac:dyDescent="0.25">
      <c r="E95" s="1">
        <v>44781.625694444447</v>
      </c>
      <c r="F95">
        <v>9.3021392923925104E-3</v>
      </c>
      <c r="G95">
        <v>6.7341365149251797E-3</v>
      </c>
      <c r="H95">
        <v>6.6375810185178097E-3</v>
      </c>
    </row>
    <row r="96" spans="5:8" x14ac:dyDescent="0.25">
      <c r="E96" s="1">
        <v>44781.636111111111</v>
      </c>
      <c r="F96">
        <v>7.8469285187051305E-3</v>
      </c>
      <c r="G96">
        <v>6.4122077941572899E-3</v>
      </c>
      <c r="H96">
        <v>6.3256766291460596E-3</v>
      </c>
    </row>
    <row r="97" spans="5:8" x14ac:dyDescent="0.25">
      <c r="E97" s="1">
        <v>44781.646527777775</v>
      </c>
      <c r="F97">
        <v>8.4352439667146704E-3</v>
      </c>
      <c r="G97">
        <v>6.2225450327969001E-3</v>
      </c>
      <c r="H97">
        <v>6.1107840288281397E-3</v>
      </c>
    </row>
    <row r="98" spans="5:8" x14ac:dyDescent="0.25">
      <c r="E98" s="1">
        <v>44781.656944444447</v>
      </c>
      <c r="F98">
        <v>7.4800790789909099E-3</v>
      </c>
      <c r="G98">
        <v>5.9676535137146904E-3</v>
      </c>
      <c r="H98">
        <v>5.8256546427206601E-3</v>
      </c>
    </row>
    <row r="99" spans="5:8" x14ac:dyDescent="0.25">
      <c r="E99" s="1">
        <v>44781.667361111111</v>
      </c>
      <c r="F99">
        <v>6.2497049846097904E-3</v>
      </c>
      <c r="G99">
        <v>4.6798413850515997E-3</v>
      </c>
      <c r="H99">
        <v>4.7121918817883499E-3</v>
      </c>
    </row>
    <row r="100" spans="5:8" x14ac:dyDescent="0.25">
      <c r="E100" s="1">
        <v>44781.677777777775</v>
      </c>
      <c r="F100">
        <v>4.9259150606982402E-3</v>
      </c>
      <c r="G100">
        <v>3.90434803672088E-3</v>
      </c>
      <c r="H100">
        <v>3.9018109528802E-3</v>
      </c>
    </row>
    <row r="101" spans="5:8" x14ac:dyDescent="0.25">
      <c r="E101" s="1">
        <v>44781.688194444447</v>
      </c>
      <c r="F101">
        <v>4.5572238723396597E-3</v>
      </c>
      <c r="G101">
        <v>3.16801447556515E-3</v>
      </c>
      <c r="H101">
        <v>3.0722836198304199E-3</v>
      </c>
    </row>
    <row r="102" spans="5:8" x14ac:dyDescent="0.25">
      <c r="E102" s="1">
        <v>44781.698611111111</v>
      </c>
      <c r="F102">
        <v>3.3700282403264698E-3</v>
      </c>
      <c r="G102">
        <v>2.5765545839617401E-3</v>
      </c>
      <c r="H102">
        <v>2.5497137544549802E-3</v>
      </c>
    </row>
    <row r="103" spans="5:8" x14ac:dyDescent="0.25">
      <c r="E103" s="1">
        <v>44781.709027777775</v>
      </c>
      <c r="F103">
        <v>2.5401887037446E-3</v>
      </c>
      <c r="G103">
        <v>1.9429818954530601E-3</v>
      </c>
      <c r="H103">
        <v>1.91701665183883E-3</v>
      </c>
    </row>
    <row r="104" spans="5:8" x14ac:dyDescent="0.25">
      <c r="E104" s="1">
        <v>44781.719444444447</v>
      </c>
      <c r="F104">
        <v>2.3385633704728001E-3</v>
      </c>
      <c r="G104">
        <v>1.6818380285452E-3</v>
      </c>
      <c r="H104">
        <v>1.64299274306582E-3</v>
      </c>
    </row>
    <row r="105" spans="5:8" x14ac:dyDescent="0.25">
      <c r="E105" s="1">
        <v>44781.729861111111</v>
      </c>
      <c r="F105">
        <v>2.22744505273163E-3</v>
      </c>
      <c r="G105">
        <v>1.4717943544494999E-3</v>
      </c>
      <c r="H105">
        <v>1.44223893080095E-3</v>
      </c>
    </row>
    <row r="106" spans="5:8" x14ac:dyDescent="0.25">
      <c r="E106" s="1">
        <v>44781.740277777775</v>
      </c>
      <c r="F106">
        <v>1.9617145376486299E-3</v>
      </c>
      <c r="G106">
        <v>1.3416551683044101E-3</v>
      </c>
      <c r="H106">
        <v>1.3424731078888301E-3</v>
      </c>
    </row>
    <row r="107" spans="5:8" x14ac:dyDescent="0.25">
      <c r="E107" s="1">
        <v>44781.750694444447</v>
      </c>
      <c r="F107">
        <v>2.1853850925540701E-3</v>
      </c>
      <c r="G107">
        <v>1.4430626910371101E-3</v>
      </c>
      <c r="H107">
        <v>1.4125139533651E-3</v>
      </c>
    </row>
    <row r="108" spans="5:8" x14ac:dyDescent="0.25">
      <c r="E108" s="1">
        <v>44781.761111111111</v>
      </c>
      <c r="F108">
        <v>1.5615744898367699E-3</v>
      </c>
      <c r="G108">
        <v>1.2403680925810001E-3</v>
      </c>
      <c r="H108">
        <v>1.23836948035909E-3</v>
      </c>
    </row>
    <row r="109" spans="5:8" x14ac:dyDescent="0.25">
      <c r="E109" s="1">
        <v>44781.771527777775</v>
      </c>
      <c r="F109">
        <v>1.09940619460232E-3</v>
      </c>
      <c r="G109">
        <v>7.7161499823780405E-4</v>
      </c>
      <c r="H109">
        <v>7.6871512736497697E-4</v>
      </c>
    </row>
    <row r="110" spans="5:8" x14ac:dyDescent="0.25">
      <c r="E110" s="1">
        <v>44781.781944444447</v>
      </c>
      <c r="F110">
        <v>1.13743366280708E-3</v>
      </c>
      <c r="G110">
        <v>8.1277834717550005E-4</v>
      </c>
      <c r="H110">
        <v>7.8871192257725102E-4</v>
      </c>
    </row>
    <row r="111" spans="5:8" x14ac:dyDescent="0.25">
      <c r="E111" s="1">
        <v>44781.792361111111</v>
      </c>
      <c r="F111">
        <v>9.6726863266498504E-4</v>
      </c>
      <c r="G111">
        <v>6.2367886008167397E-4</v>
      </c>
      <c r="H111">
        <v>6.1730130079995895E-4</v>
      </c>
    </row>
    <row r="112" spans="5:8" x14ac:dyDescent="0.25">
      <c r="E112" s="1">
        <v>44781.802777777775</v>
      </c>
      <c r="F112">
        <v>1.00187980018906E-3</v>
      </c>
      <c r="G112">
        <v>6.5899515418500201E-4</v>
      </c>
      <c r="H112">
        <v>6.43995457611987E-4</v>
      </c>
    </row>
    <row r="113" spans="5:8" x14ac:dyDescent="0.25">
      <c r="E113" s="1">
        <v>44781.813194444447</v>
      </c>
      <c r="F113">
        <v>1.3360413020140399E-3</v>
      </c>
      <c r="G113">
        <v>7.20152624164544E-4</v>
      </c>
      <c r="H113">
        <v>7.0412439530650897E-4</v>
      </c>
    </row>
    <row r="114" spans="5:8" x14ac:dyDescent="0.25">
      <c r="E114" s="1">
        <v>44781.823611111111</v>
      </c>
      <c r="F114">
        <v>7.4622174125700601E-4</v>
      </c>
      <c r="G114">
        <v>4.9603929369521397E-4</v>
      </c>
      <c r="H114">
        <v>4.82570506394654E-4</v>
      </c>
    </row>
    <row r="115" spans="5:8" x14ac:dyDescent="0.25">
      <c r="E115" s="1">
        <v>44781.834027777775</v>
      </c>
      <c r="F115">
        <v>5.9996253777437202E-4</v>
      </c>
      <c r="G115">
        <v>4.0295528037529599E-4</v>
      </c>
      <c r="H115">
        <v>4.0088531236814401E-4</v>
      </c>
    </row>
    <row r="116" spans="5:8" x14ac:dyDescent="0.25">
      <c r="E116" s="1">
        <v>44781.844444444447</v>
      </c>
      <c r="F116">
        <v>6.5138742536535103E-4</v>
      </c>
      <c r="G116">
        <v>4.26286677431742E-4</v>
      </c>
      <c r="H116">
        <v>4.1838441616339102E-4</v>
      </c>
    </row>
    <row r="117" spans="5:8" x14ac:dyDescent="0.25">
      <c r="E117" s="1">
        <v>44781.854861111111</v>
      </c>
      <c r="F117">
        <v>5.0991736084694198E-4</v>
      </c>
      <c r="G117">
        <v>3.4645097613776198E-4</v>
      </c>
      <c r="H117">
        <v>3.45710373549922E-4</v>
      </c>
    </row>
    <row r="118" spans="5:8" x14ac:dyDescent="0.25">
      <c r="E118" s="1">
        <v>44781.865277777775</v>
      </c>
      <c r="F118">
        <v>3.1542167111307302E-4</v>
      </c>
      <c r="G118">
        <v>2.2703370098513899E-4</v>
      </c>
      <c r="H118">
        <v>2.2315170430604501E-4</v>
      </c>
    </row>
    <row r="119" spans="5:8" x14ac:dyDescent="0.25">
      <c r="E119" s="1">
        <v>44781.875694444447</v>
      </c>
      <c r="F119">
        <v>5.15037510175398E-4</v>
      </c>
      <c r="G119">
        <v>3.44675293829998E-4</v>
      </c>
      <c r="H119">
        <v>3.4982001621381901E-4</v>
      </c>
    </row>
    <row r="120" spans="5:8" x14ac:dyDescent="0.25">
      <c r="E120" s="1">
        <v>44781.886111111111</v>
      </c>
      <c r="F120">
        <v>5.8023833454423396E-4</v>
      </c>
      <c r="G120">
        <v>3.6050823518889001E-4</v>
      </c>
      <c r="H120">
        <v>3.6435024398046001E-4</v>
      </c>
    </row>
    <row r="121" spans="5:8" x14ac:dyDescent="0.25">
      <c r="E121" s="1">
        <v>44781.896527777775</v>
      </c>
      <c r="F121">
        <v>3.57713340939827E-4</v>
      </c>
      <c r="G121">
        <v>2.55111183125121E-4</v>
      </c>
      <c r="H121">
        <v>2.5464636633213902E-4</v>
      </c>
    </row>
    <row r="122" spans="5:8" x14ac:dyDescent="0.25">
      <c r="E122" s="1">
        <v>44781.906944444447</v>
      </c>
      <c r="F122">
        <v>4.57158480375115E-4</v>
      </c>
      <c r="G122">
        <v>2.80333370087925E-4</v>
      </c>
      <c r="H122">
        <v>2.66445249185948E-4</v>
      </c>
    </row>
    <row r="123" spans="5:8" x14ac:dyDescent="0.25">
      <c r="E123" s="1">
        <v>44781.917361111111</v>
      </c>
      <c r="F123">
        <v>4.1931879957034598E-4</v>
      </c>
      <c r="G123">
        <v>2.7343608682566E-4</v>
      </c>
      <c r="H123">
        <v>2.6983518793627999E-4</v>
      </c>
    </row>
    <row r="124" spans="5:8" x14ac:dyDescent="0.25">
      <c r="E124" s="1">
        <v>44781.927777777775</v>
      </c>
      <c r="F124">
        <v>3.1003197944039402E-4</v>
      </c>
      <c r="G124">
        <v>2.2445087167960101E-4</v>
      </c>
      <c r="H124">
        <v>2.21107364468374E-4</v>
      </c>
    </row>
    <row r="125" spans="5:8" x14ac:dyDescent="0.25">
      <c r="E125" s="1">
        <v>44781.938194444447</v>
      </c>
      <c r="F125">
        <v>2.5447030332636399E-4</v>
      </c>
      <c r="G125">
        <v>1.6754741097297501E-4</v>
      </c>
      <c r="H125">
        <v>1.6882713771640599E-4</v>
      </c>
    </row>
    <row r="126" spans="5:8" x14ac:dyDescent="0.25">
      <c r="E126" s="1">
        <v>44781.948611111111</v>
      </c>
      <c r="F126">
        <v>2.8591448899382499E-4</v>
      </c>
      <c r="G126">
        <v>1.4834945987482099E-4</v>
      </c>
      <c r="H126">
        <v>1.4764060020599199E-4</v>
      </c>
    </row>
    <row r="127" spans="5:8" x14ac:dyDescent="0.25">
      <c r="E127" s="1">
        <v>44781.959027777775</v>
      </c>
      <c r="F127">
        <v>2.0231131544337901E-4</v>
      </c>
      <c r="G127">
        <v>1.41708879220445E-4</v>
      </c>
      <c r="H127">
        <v>1.38436090859135E-4</v>
      </c>
    </row>
    <row r="128" spans="5:8" x14ac:dyDescent="0.25">
      <c r="E128" s="1">
        <v>44781.969444444447</v>
      </c>
      <c r="F128">
        <v>2.15042994464816E-4</v>
      </c>
      <c r="G128">
        <v>1.3635577373249301E-4</v>
      </c>
      <c r="H128">
        <v>1.3517608792917301E-4</v>
      </c>
    </row>
    <row r="129" spans="5:8" x14ac:dyDescent="0.25">
      <c r="E129" s="1">
        <v>44781.979861111111</v>
      </c>
      <c r="F129">
        <v>1.8250178042105E-4</v>
      </c>
      <c r="G129">
        <v>1.3110981738493301E-4</v>
      </c>
      <c r="H129">
        <v>1.27767891335146E-4</v>
      </c>
    </row>
    <row r="130" spans="5:8" x14ac:dyDescent="0.25">
      <c r="E130" s="1">
        <v>44781.990277777775</v>
      </c>
      <c r="F130">
        <v>2.2244680265942301E-4</v>
      </c>
      <c r="G130">
        <v>1.3819140711228899E-4</v>
      </c>
      <c r="H130">
        <v>1.3458829603896899E-4</v>
      </c>
    </row>
    <row r="131" spans="5:8" x14ac:dyDescent="0.25">
      <c r="E131" s="1">
        <v>44782.000694444447</v>
      </c>
      <c r="F131">
        <v>2.1275623824610799E-4</v>
      </c>
      <c r="G131">
        <v>1.4314391954512701E-4</v>
      </c>
      <c r="H131">
        <v>1.4208355318333501E-4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2025-10-23T18:00:53Z</dcterms:created>
  <dcterms:modified xsi:type="dcterms:W3CDTF">2025-12-10T23:22:48Z</dcterms:modified>
</cp:coreProperties>
</file>