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3_amp_func_tau_total\calculations\"/>
    </mc:Choice>
  </mc:AlternateContent>
  <xr:revisionPtr revIDLastSave="0" documentId="13_ncr:1_{A4CBE0B0-AEFF-4694-82D4-D69CABADA677}" xr6:coauthVersionLast="47" xr6:coauthVersionMax="47" xr10:uidLastSave="{00000000-0000-0000-0000-000000000000}"/>
  <bookViews>
    <workbookView xWindow="-120" yWindow="-120" windowWidth="29040" windowHeight="15720" xr2:uid="{867F3169-A9A3-4AE6-89E2-304587BC45FE}"/>
  </bookViews>
  <sheets>
    <sheet name="storm2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B41" i="1" l="1"/>
  <c r="B42" i="1"/>
  <c r="B40" i="1"/>
  <c r="B34" i="1"/>
  <c r="C61" i="1"/>
  <c r="C62" i="1"/>
  <c r="C60" i="1"/>
  <c r="C34" i="1"/>
  <c r="B61" i="1"/>
  <c r="B62" i="1"/>
  <c r="C35" i="1" l="1"/>
  <c r="C36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B35" i="1"/>
  <c r="B36" i="1"/>
  <c r="B37" i="1"/>
  <c r="B38" i="1"/>
  <c r="B39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34" i="1"/>
</calcChain>
</file>

<file path=xl/sharedStrings.xml><?xml version="1.0" encoding="utf-8"?>
<sst xmlns="http://schemas.openxmlformats.org/spreadsheetml/2006/main" count="60" uniqueCount="46">
  <si>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</si>
  <si>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</si>
  <si>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</si>
  <si>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</si>
  <si>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</si>
  <si>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</si>
  <si>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</si>
  <si>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</si>
  <si>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</si>
  <si>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</si>
  <si>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</si>
  <si>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</si>
  <si>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</si>
  <si>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</si>
  <si>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</si>
  <si>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</si>
  <si>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</si>
  <si>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</si>
  <si>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</si>
  <si>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</si>
  <si>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</si>
  <si>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</si>
  <si>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</si>
  <si>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</si>
  <si>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</si>
  <si>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</si>
  <si>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</si>
  <si>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</si>
  <si>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</si>
  <si>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</si>
  <si>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</si>
  <si>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</si>
  <si>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</si>
  <si>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</si>
  <si>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</si>
  <si>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max</t>
  </si>
  <si>
    <t>mean</t>
  </si>
  <si>
    <t>impulses</t>
  </si>
  <si>
    <t>med</t>
  </si>
  <si>
    <t>ch6</t>
  </si>
  <si>
    <t>ch5</t>
  </si>
  <si>
    <t>ch4</t>
  </si>
  <si>
    <t>ch3</t>
  </si>
  <si>
    <t>ch2</t>
  </si>
  <si>
    <t>ch1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</si>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</sst>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164" fontId="0" fillId="33" borderId="0" xfId="0" applyNumberFormat="1" applyFill="1"/>
    <xf numFmtId="0" fontId="0" fillId="33" borderId="0" xfId="0" applyFill="1" applyAlignment="1">
      <alignment horizontal="center"/>
    </xf>
    <xf numFmtId="22" fontId="0" fillId="0" borderId="0" xfId="0" applyNumberFormat="1" applyAlignment="1">
      <alignment horizontal="center"/>
    </xf>
    <xf numFmtId="16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storm2_results!$F$34:$F$125</c:f>
              <c:numCache>
                <c:formatCode>0.00E+00</c:formatCode>
                <c:ptCount val="92"/>
                <c:pt idx="0">
                  <c:v>1.4759553889287601E-5</c:v>
                </c:pt>
                <c:pt idx="1">
                  <c:v>1.8543446814676999E-5</c:v>
                </c:pt>
                <c:pt idx="2">
                  <c:v>1.6884980574401601E-5</c:v>
                </c:pt>
                <c:pt idx="3">
                  <c:v>1.5706647745415101E-5</c:v>
                </c:pt>
                <c:pt idx="4">
                  <c:v>1.3028536708957599E-5</c:v>
                </c:pt>
                <c:pt idx="5">
                  <c:v>1.20542255196659E-5</c:v>
                </c:pt>
                <c:pt idx="6">
                  <c:v>1.54578391725111E-5</c:v>
                </c:pt>
                <c:pt idx="7">
                  <c:v>1.61253218261922E-5</c:v>
                </c:pt>
                <c:pt idx="8">
                  <c:v>1.57427849241336E-5</c:v>
                </c:pt>
                <c:pt idx="9">
                  <c:v>1.4629990650928901E-5</c:v>
                </c:pt>
                <c:pt idx="10">
                  <c:v>1.6465458569877701E-5</c:v>
                </c:pt>
                <c:pt idx="11">
                  <c:v>1.4635788270814601E-5</c:v>
                </c:pt>
                <c:pt idx="12">
                  <c:v>1.65602700996057E-5</c:v>
                </c:pt>
                <c:pt idx="13">
                  <c:v>1.46944910904199E-5</c:v>
                </c:pt>
                <c:pt idx="14">
                  <c:v>1.34725060950737E-5</c:v>
                </c:pt>
                <c:pt idx="15">
                  <c:v>1.3308281530339501E-5</c:v>
                </c:pt>
                <c:pt idx="16">
                  <c:v>1.3924575083529201E-5</c:v>
                </c:pt>
                <c:pt idx="17">
                  <c:v>1.5470085884041801E-5</c:v>
                </c:pt>
                <c:pt idx="18">
                  <c:v>1.3152428489949399E-5</c:v>
                </c:pt>
                <c:pt idx="19">
                  <c:v>1.4225552440334599E-5</c:v>
                </c:pt>
                <c:pt idx="20">
                  <c:v>1.4058706539343401E-5</c:v>
                </c:pt>
                <c:pt idx="21">
                  <c:v>1.49329218229015E-5</c:v>
                </c:pt>
                <c:pt idx="22">
                  <c:v>1.5333439652152399E-5</c:v>
                </c:pt>
                <c:pt idx="23">
                  <c:v>1.5077483022684401E-5</c:v>
                </c:pt>
                <c:pt idx="24">
                  <c:v>1.41375292608921E-5</c:v>
                </c:pt>
                <c:pt idx="25">
                  <c:v>1.23493446125265E-5</c:v>
                </c:pt>
                <c:pt idx="26">
                  <c:v>1.17413395217377E-5</c:v>
                </c:pt>
                <c:pt idx="27">
                  <c:v>1.1119913491277301E-5</c:v>
                </c:pt>
                <c:pt idx="28">
                  <c:v>1.19839702181177E-5</c:v>
                </c:pt>
                <c:pt idx="29">
                  <c:v>1.36806894670033E-5</c:v>
                </c:pt>
                <c:pt idx="30">
                  <c:v>1.01266985094044E-5</c:v>
                </c:pt>
                <c:pt idx="31">
                  <c:v>1.1169548926338501E-5</c:v>
                </c:pt>
                <c:pt idx="32">
                  <c:v>1.5022134420171701E-5</c:v>
                </c:pt>
                <c:pt idx="33">
                  <c:v>1.37558984353218E-5</c:v>
                </c:pt>
                <c:pt idx="34">
                  <c:v>1.2789247520358201E-5</c:v>
                </c:pt>
                <c:pt idx="35">
                  <c:v>1.16315736079813E-5</c:v>
                </c:pt>
                <c:pt idx="36">
                  <c:v>1.30294489529861E-5</c:v>
                </c:pt>
                <c:pt idx="37">
                  <c:v>1.42544321473603E-5</c:v>
                </c:pt>
                <c:pt idx="38">
                  <c:v>1.20457217441485E-5</c:v>
                </c:pt>
                <c:pt idx="39">
                  <c:v>1.08672337256857E-5</c:v>
                </c:pt>
                <c:pt idx="40">
                  <c:v>1.6363793825727299E-5</c:v>
                </c:pt>
                <c:pt idx="41">
                  <c:v>1.21213885533693E-5</c:v>
                </c:pt>
                <c:pt idx="42">
                  <c:v>1.2382664533838501E-5</c:v>
                </c:pt>
                <c:pt idx="43">
                  <c:v>1.2978649259847699E-5</c:v>
                </c:pt>
                <c:pt idx="44">
                  <c:v>1.0414686192416701E-5</c:v>
                </c:pt>
                <c:pt idx="45">
                  <c:v>1.27619903113144E-5</c:v>
                </c:pt>
                <c:pt idx="46">
                  <c:v>1.26425505635157E-5</c:v>
                </c:pt>
                <c:pt idx="47">
                  <c:v>1.3082660344475801E-5</c:v>
                </c:pt>
                <c:pt idx="48">
                  <c:v>1.6099704874987899E-5</c:v>
                </c:pt>
                <c:pt idx="49">
                  <c:v>1.3823847909844601E-5</c:v>
                </c:pt>
                <c:pt idx="50">
                  <c:v>1.4052772131421501E-5</c:v>
                </c:pt>
                <c:pt idx="51">
                  <c:v>1.4152071954498699E-5</c:v>
                </c:pt>
                <c:pt idx="52">
                  <c:v>1.48352688932354E-5</c:v>
                </c:pt>
                <c:pt idx="53">
                  <c:v>1.0992770504328599E-5</c:v>
                </c:pt>
                <c:pt idx="54">
                  <c:v>8.9894911076002195E-6</c:v>
                </c:pt>
                <c:pt idx="55">
                  <c:v>1.24564475141737E-5</c:v>
                </c:pt>
                <c:pt idx="56">
                  <c:v>1.26680311973322E-5</c:v>
                </c:pt>
                <c:pt idx="57">
                  <c:v>1.5007649867853099E-5</c:v>
                </c:pt>
                <c:pt idx="58">
                  <c:v>2.12544225349124E-5</c:v>
                </c:pt>
                <c:pt idx="59">
                  <c:v>9.1416501481402499E-5</c:v>
                </c:pt>
                <c:pt idx="60" formatCode="General">
                  <c:v>8.1790313970628494E-3</c:v>
                </c:pt>
                <c:pt idx="61" formatCode="General">
                  <c:v>6.3709324358111096E-3</c:v>
                </c:pt>
                <c:pt idx="62" formatCode="General">
                  <c:v>4.1825291329897199E-3</c:v>
                </c:pt>
                <c:pt idx="63" formatCode="General">
                  <c:v>2.63981295153558E-3</c:v>
                </c:pt>
                <c:pt idx="64" formatCode="General">
                  <c:v>2.8762276332550299E-3</c:v>
                </c:pt>
                <c:pt idx="65" formatCode="General">
                  <c:v>4.0965650462532702E-3</c:v>
                </c:pt>
                <c:pt idx="66" formatCode="General">
                  <c:v>3.6377254782178001E-3</c:v>
                </c:pt>
                <c:pt idx="67" formatCode="General">
                  <c:v>3.0072447923545501E-3</c:v>
                </c:pt>
                <c:pt idx="68" formatCode="General">
                  <c:v>2.70611548308114E-3</c:v>
                </c:pt>
                <c:pt idx="69" formatCode="General">
                  <c:v>2.42197250814729E-3</c:v>
                </c:pt>
                <c:pt idx="70" formatCode="General">
                  <c:v>2.0130873398815398E-3</c:v>
                </c:pt>
                <c:pt idx="71" formatCode="General">
                  <c:v>1.40013294518416E-3</c:v>
                </c:pt>
                <c:pt idx="72" formatCode="General">
                  <c:v>9.7080993134762998E-4</c:v>
                </c:pt>
                <c:pt idx="73" formatCode="General">
                  <c:v>8.8566971363886605E-4</c:v>
                </c:pt>
                <c:pt idx="74" formatCode="General">
                  <c:v>7.7741241818898995E-4</c:v>
                </c:pt>
                <c:pt idx="75" formatCode="General">
                  <c:v>4.41882697895666E-4</c:v>
                </c:pt>
                <c:pt idx="76" formatCode="General">
                  <c:v>4.81158140139387E-4</c:v>
                </c:pt>
                <c:pt idx="77" formatCode="General">
                  <c:v>3.1260028611941902E-4</c:v>
                </c:pt>
                <c:pt idx="78" formatCode="General">
                  <c:v>2.33027252396751E-4</c:v>
                </c:pt>
                <c:pt idx="79" formatCode="General">
                  <c:v>2.39847676265981E-4</c:v>
                </c:pt>
                <c:pt idx="80" formatCode="General">
                  <c:v>2.7783496517046799E-4</c:v>
                </c:pt>
                <c:pt idx="81" formatCode="General">
                  <c:v>2.6368639884468998E-4</c:v>
                </c:pt>
                <c:pt idx="82" formatCode="General">
                  <c:v>2.18988871055401E-4</c:v>
                </c:pt>
                <c:pt idx="83" formatCode="General">
                  <c:v>1.78860839036799E-4</c:v>
                </c:pt>
                <c:pt idx="84" formatCode="General">
                  <c:v>1.7645450577303E-4</c:v>
                </c:pt>
                <c:pt idx="85" formatCode="General">
                  <c:v>1.88552416271117E-4</c:v>
                </c:pt>
                <c:pt idx="86" formatCode="General">
                  <c:v>1.93942538738783E-4</c:v>
                </c:pt>
                <c:pt idx="87" formatCode="General">
                  <c:v>2.0132892628069301E-4</c:v>
                </c:pt>
                <c:pt idx="88" formatCode="General">
                  <c:v>1.6519768775525299E-4</c:v>
                </c:pt>
                <c:pt idx="89" formatCode="General">
                  <c:v>1.4058221178564299E-4</c:v>
                </c:pt>
                <c:pt idx="90" formatCode="General">
                  <c:v>1.78584462603248E-4</c:v>
                </c:pt>
                <c:pt idx="91" formatCode="General">
                  <c:v>1.4756105754110501E-4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A-42D0-9EB5-E2CE5756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storm2_results!$G$34:$G$125</c:f>
              <c:numCache>
                <c:formatCode>0.00E+00</c:formatCode>
                <c:ptCount val="92"/>
                <c:pt idx="0">
                  <c:v>1.0629227310376299E-5</c:v>
                </c:pt>
                <c:pt idx="1">
                  <c:v>1.24325792145142E-5</c:v>
                </c:pt>
                <c:pt idx="2">
                  <c:v>1.19487285009386E-5</c:v>
                </c:pt>
                <c:pt idx="3">
                  <c:v>1.11795251698689E-5</c:v>
                </c:pt>
                <c:pt idx="4">
                  <c:v>9.0165689956400296E-6</c:v>
                </c:pt>
                <c:pt idx="5">
                  <c:v>8.8628450343828502E-6</c:v>
                </c:pt>
                <c:pt idx="6">
                  <c:v>1.0752909747164799E-5</c:v>
                </c:pt>
                <c:pt idx="7">
                  <c:v>1.07065203212858E-5</c:v>
                </c:pt>
                <c:pt idx="8">
                  <c:v>1.06240985257254E-5</c:v>
                </c:pt>
                <c:pt idx="9">
                  <c:v>9.9242530322977599E-6</c:v>
                </c:pt>
                <c:pt idx="10">
                  <c:v>1.05896251401876E-5</c:v>
                </c:pt>
                <c:pt idx="11">
                  <c:v>1.1498359314009701E-5</c:v>
                </c:pt>
                <c:pt idx="12">
                  <c:v>1.0772845940727699E-5</c:v>
                </c:pt>
                <c:pt idx="13">
                  <c:v>1.07040019274636E-5</c:v>
                </c:pt>
                <c:pt idx="14">
                  <c:v>8.8951187208146398E-6</c:v>
                </c:pt>
                <c:pt idx="15">
                  <c:v>9.3871941506206802E-6</c:v>
                </c:pt>
                <c:pt idx="16">
                  <c:v>1.0273870847885199E-5</c:v>
                </c:pt>
                <c:pt idx="17">
                  <c:v>1.0215160266370001E-5</c:v>
                </c:pt>
                <c:pt idx="18">
                  <c:v>9.9217560628822404E-6</c:v>
                </c:pt>
                <c:pt idx="19">
                  <c:v>9.0411859903102997E-6</c:v>
                </c:pt>
                <c:pt idx="20">
                  <c:v>9.3980353040886494E-6</c:v>
                </c:pt>
                <c:pt idx="21">
                  <c:v>1.00381923151376E-5</c:v>
                </c:pt>
                <c:pt idx="22">
                  <c:v>1.1140819172237299E-5</c:v>
                </c:pt>
                <c:pt idx="23">
                  <c:v>1.00663074705092E-5</c:v>
                </c:pt>
                <c:pt idx="24">
                  <c:v>9.6082913351889497E-6</c:v>
                </c:pt>
                <c:pt idx="25">
                  <c:v>8.6399153603187401E-6</c:v>
                </c:pt>
                <c:pt idx="26">
                  <c:v>8.2116885300712196E-6</c:v>
                </c:pt>
                <c:pt idx="27">
                  <c:v>7.9608873076265097E-6</c:v>
                </c:pt>
                <c:pt idx="28">
                  <c:v>8.4161198368040496E-6</c:v>
                </c:pt>
                <c:pt idx="29">
                  <c:v>8.4402325888643405E-6</c:v>
                </c:pt>
                <c:pt idx="30">
                  <c:v>7.5262187471994097E-6</c:v>
                </c:pt>
                <c:pt idx="31">
                  <c:v>7.8688228727540701E-6</c:v>
                </c:pt>
                <c:pt idx="32">
                  <c:v>9.5079112635485105E-6</c:v>
                </c:pt>
                <c:pt idx="33">
                  <c:v>9.6660849196263797E-6</c:v>
                </c:pt>
                <c:pt idx="34">
                  <c:v>8.5148070811717105E-6</c:v>
                </c:pt>
                <c:pt idx="35">
                  <c:v>8.6187270662951595E-6</c:v>
                </c:pt>
                <c:pt idx="36">
                  <c:v>1.01580347124094E-5</c:v>
                </c:pt>
                <c:pt idx="37">
                  <c:v>9.8442141409203205E-6</c:v>
                </c:pt>
                <c:pt idx="38">
                  <c:v>7.9930743723733208E-6</c:v>
                </c:pt>
                <c:pt idx="39">
                  <c:v>7.8831499754545294E-6</c:v>
                </c:pt>
                <c:pt idx="40">
                  <c:v>1.03939471168878E-5</c:v>
                </c:pt>
                <c:pt idx="41">
                  <c:v>9.06439893008681E-6</c:v>
                </c:pt>
                <c:pt idx="42">
                  <c:v>8.3726997261942098E-6</c:v>
                </c:pt>
                <c:pt idx="43">
                  <c:v>8.8943805413057606E-6</c:v>
                </c:pt>
                <c:pt idx="44">
                  <c:v>7.6424987296868303E-6</c:v>
                </c:pt>
                <c:pt idx="45">
                  <c:v>7.6967323488496193E-6</c:v>
                </c:pt>
                <c:pt idx="46">
                  <c:v>8.86137207339925E-6</c:v>
                </c:pt>
                <c:pt idx="47">
                  <c:v>8.8883710474639403E-6</c:v>
                </c:pt>
                <c:pt idx="48">
                  <c:v>9.2777569117021094E-6</c:v>
                </c:pt>
                <c:pt idx="49">
                  <c:v>9.7499290666129908E-6</c:v>
                </c:pt>
                <c:pt idx="50">
                  <c:v>9.6761098311216197E-6</c:v>
                </c:pt>
                <c:pt idx="51">
                  <c:v>8.8275804362632796E-6</c:v>
                </c:pt>
                <c:pt idx="52">
                  <c:v>8.6341431079376407E-6</c:v>
                </c:pt>
                <c:pt idx="53">
                  <c:v>8.0392831264084895E-6</c:v>
                </c:pt>
                <c:pt idx="54">
                  <c:v>6.7740459534270003E-6</c:v>
                </c:pt>
                <c:pt idx="55">
                  <c:v>6.8298078823049503E-6</c:v>
                </c:pt>
                <c:pt idx="56">
                  <c:v>7.5041772677429299E-6</c:v>
                </c:pt>
                <c:pt idx="57">
                  <c:v>8.6917241328768392E-6</c:v>
                </c:pt>
                <c:pt idx="58">
                  <c:v>9.9154064328066799E-6</c:v>
                </c:pt>
                <c:pt idx="59">
                  <c:v>5.29819484017626E-5</c:v>
                </c:pt>
                <c:pt idx="60" formatCode="General">
                  <c:v>5.4176649343818696E-3</c:v>
                </c:pt>
                <c:pt idx="61" formatCode="General">
                  <c:v>4.8681717065452504E-3</c:v>
                </c:pt>
                <c:pt idx="62" formatCode="General">
                  <c:v>3.1260036350767798E-3</c:v>
                </c:pt>
                <c:pt idx="63" formatCode="General">
                  <c:v>1.8050528056160801E-3</c:v>
                </c:pt>
                <c:pt idx="64" formatCode="General">
                  <c:v>2.26213184152087E-3</c:v>
                </c:pt>
                <c:pt idx="65" formatCode="General">
                  <c:v>3.1232488672659799E-3</c:v>
                </c:pt>
                <c:pt idx="66" formatCode="General">
                  <c:v>2.6558853821111502E-3</c:v>
                </c:pt>
                <c:pt idx="67" formatCode="General">
                  <c:v>2.2628563454306699E-3</c:v>
                </c:pt>
                <c:pt idx="68" formatCode="General">
                  <c:v>2.0147420685179699E-3</c:v>
                </c:pt>
                <c:pt idx="69" formatCode="General">
                  <c:v>1.8218889219912601E-3</c:v>
                </c:pt>
                <c:pt idx="70" formatCode="General">
                  <c:v>1.49146875422239E-3</c:v>
                </c:pt>
                <c:pt idx="71" formatCode="General">
                  <c:v>1.0343274855961701E-3</c:v>
                </c:pt>
                <c:pt idx="72" formatCode="General">
                  <c:v>7.1376447712531797E-4</c:v>
                </c:pt>
                <c:pt idx="73" formatCode="General">
                  <c:v>6.2429064634126599E-4</c:v>
                </c:pt>
                <c:pt idx="74" formatCode="General">
                  <c:v>4.8155807385192901E-4</c:v>
                </c:pt>
                <c:pt idx="75" formatCode="General">
                  <c:v>3.0772779297089299E-4</c:v>
                </c:pt>
                <c:pt idx="76" formatCode="General">
                  <c:v>2.7933929187782598E-4</c:v>
                </c:pt>
                <c:pt idx="77" formatCode="General">
                  <c:v>2.1498107879093999E-4</c:v>
                </c:pt>
                <c:pt idx="78" formatCode="General">
                  <c:v>1.5546702319608701E-4</c:v>
                </c:pt>
                <c:pt idx="79" formatCode="General">
                  <c:v>1.64391231365666E-4</c:v>
                </c:pt>
                <c:pt idx="80" formatCode="General">
                  <c:v>1.8223831457349999E-4</c:v>
                </c:pt>
                <c:pt idx="81" formatCode="General">
                  <c:v>1.70099941105282E-4</c:v>
                </c:pt>
                <c:pt idx="82" formatCode="General">
                  <c:v>1.4741282639247599E-4</c:v>
                </c:pt>
                <c:pt idx="83" formatCode="General">
                  <c:v>1.3941417254232399E-4</c:v>
                </c:pt>
                <c:pt idx="84" formatCode="General">
                  <c:v>1.3492554478874701E-4</c:v>
                </c:pt>
                <c:pt idx="85" formatCode="General">
                  <c:v>1.3661017756540499E-4</c:v>
                </c:pt>
                <c:pt idx="86" formatCode="General">
                  <c:v>1.3958036300293101E-4</c:v>
                </c:pt>
                <c:pt idx="87" formatCode="General">
                  <c:v>1.5035102745702299E-4</c:v>
                </c:pt>
                <c:pt idx="88" formatCode="General">
                  <c:v>1.2407626282054799E-4</c:v>
                </c:pt>
                <c:pt idx="89" formatCode="General">
                  <c:v>1.0459443334621701E-4</c:v>
                </c:pt>
                <c:pt idx="90" formatCode="General">
                  <c:v>1.19112682356408E-4</c:v>
                </c:pt>
                <c:pt idx="91" formatCode="General">
                  <c:v>1.12034552964442E-4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45-43AE-B919-95E63F4C4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storm2_results!$H$34:$H$125</c:f>
              <c:numCache>
                <c:formatCode>0.00E+00</c:formatCode>
                <c:ptCount val="92"/>
                <c:pt idx="0">
                  <c:v>1.04549384711816E-5</c:v>
                </c:pt>
                <c:pt idx="1">
                  <c:v>1.2176312160274201E-5</c:v>
                </c:pt>
                <c:pt idx="2">
                  <c:v>1.16027725907294E-5</c:v>
                </c:pt>
                <c:pt idx="3">
                  <c:v>1.09664281599647E-5</c:v>
                </c:pt>
                <c:pt idx="4">
                  <c:v>8.6482468321952598E-6</c:v>
                </c:pt>
                <c:pt idx="5">
                  <c:v>8.5549778090148194E-6</c:v>
                </c:pt>
                <c:pt idx="6">
                  <c:v>1.02639278622505E-5</c:v>
                </c:pt>
                <c:pt idx="7">
                  <c:v>1.03972506745938E-5</c:v>
                </c:pt>
                <c:pt idx="8">
                  <c:v>1.02113273020597E-5</c:v>
                </c:pt>
                <c:pt idx="9">
                  <c:v>9.7597933020790898E-6</c:v>
                </c:pt>
                <c:pt idx="10">
                  <c:v>1.02021371084007E-5</c:v>
                </c:pt>
                <c:pt idx="11">
                  <c:v>1.1385787841551101E-5</c:v>
                </c:pt>
                <c:pt idx="12">
                  <c:v>1.05547947180914E-5</c:v>
                </c:pt>
                <c:pt idx="13">
                  <c:v>1.03082454236786E-5</c:v>
                </c:pt>
                <c:pt idx="14">
                  <c:v>8.80810468863882E-6</c:v>
                </c:pt>
                <c:pt idx="15">
                  <c:v>9.0884139945656306E-6</c:v>
                </c:pt>
                <c:pt idx="16">
                  <c:v>1.0091502807533099E-5</c:v>
                </c:pt>
                <c:pt idx="17">
                  <c:v>9.9585751426562706E-6</c:v>
                </c:pt>
                <c:pt idx="18">
                  <c:v>9.8593319287840107E-6</c:v>
                </c:pt>
                <c:pt idx="19">
                  <c:v>8.9364238711841903E-6</c:v>
                </c:pt>
                <c:pt idx="20">
                  <c:v>9.0469285713965894E-6</c:v>
                </c:pt>
                <c:pt idx="21">
                  <c:v>1.00543510270092E-5</c:v>
                </c:pt>
                <c:pt idx="22">
                  <c:v>1.07977511500847E-5</c:v>
                </c:pt>
                <c:pt idx="23">
                  <c:v>9.8066345905494599E-6</c:v>
                </c:pt>
                <c:pt idx="24">
                  <c:v>9.5116093776248504E-6</c:v>
                </c:pt>
                <c:pt idx="25">
                  <c:v>8.4743871237773405E-6</c:v>
                </c:pt>
                <c:pt idx="26">
                  <c:v>8.0831783948032296E-6</c:v>
                </c:pt>
                <c:pt idx="27">
                  <c:v>7.8294145600276203E-6</c:v>
                </c:pt>
                <c:pt idx="28">
                  <c:v>8.1486375005181007E-6</c:v>
                </c:pt>
                <c:pt idx="29">
                  <c:v>8.2362419361214701E-6</c:v>
                </c:pt>
                <c:pt idx="30">
                  <c:v>7.4529793273322501E-6</c:v>
                </c:pt>
                <c:pt idx="31">
                  <c:v>7.7289261556803893E-6</c:v>
                </c:pt>
                <c:pt idx="32">
                  <c:v>9.3919676896863102E-6</c:v>
                </c:pt>
                <c:pt idx="33">
                  <c:v>9.4360024470408702E-6</c:v>
                </c:pt>
                <c:pt idx="34">
                  <c:v>8.1805565486556395E-6</c:v>
                </c:pt>
                <c:pt idx="35">
                  <c:v>8.5175954145671801E-6</c:v>
                </c:pt>
                <c:pt idx="36">
                  <c:v>9.6992286008704397E-6</c:v>
                </c:pt>
                <c:pt idx="37">
                  <c:v>9.6240348922509196E-6</c:v>
                </c:pt>
                <c:pt idx="38">
                  <c:v>7.5621995808269701E-6</c:v>
                </c:pt>
                <c:pt idx="39">
                  <c:v>7.6670273239502004E-6</c:v>
                </c:pt>
                <c:pt idx="40">
                  <c:v>9.98300937093378E-6</c:v>
                </c:pt>
                <c:pt idx="41">
                  <c:v>8.9672791913449907E-6</c:v>
                </c:pt>
                <c:pt idx="42">
                  <c:v>8.2103683318887703E-6</c:v>
                </c:pt>
                <c:pt idx="43">
                  <c:v>8.6733134477966605E-6</c:v>
                </c:pt>
                <c:pt idx="44">
                  <c:v>7.29090926016637E-6</c:v>
                </c:pt>
                <c:pt idx="45">
                  <c:v>7.3999024990286398E-6</c:v>
                </c:pt>
                <c:pt idx="46">
                  <c:v>8.5960052782560295E-6</c:v>
                </c:pt>
                <c:pt idx="47">
                  <c:v>8.5718642215211893E-6</c:v>
                </c:pt>
                <c:pt idx="48">
                  <c:v>9.1820621758035999E-6</c:v>
                </c:pt>
                <c:pt idx="49">
                  <c:v>9.4469964042850194E-6</c:v>
                </c:pt>
                <c:pt idx="50">
                  <c:v>9.5051759253572606E-6</c:v>
                </c:pt>
                <c:pt idx="51">
                  <c:v>8.4997825143798903E-6</c:v>
                </c:pt>
                <c:pt idx="52">
                  <c:v>8.2893891998873704E-6</c:v>
                </c:pt>
                <c:pt idx="53">
                  <c:v>7.83178425379143E-6</c:v>
                </c:pt>
                <c:pt idx="54">
                  <c:v>6.71201855473888E-6</c:v>
                </c:pt>
                <c:pt idx="55">
                  <c:v>6.8521546075469203E-6</c:v>
                </c:pt>
                <c:pt idx="56">
                  <c:v>7.21536509778995E-6</c:v>
                </c:pt>
                <c:pt idx="57">
                  <c:v>8.3887301393140502E-6</c:v>
                </c:pt>
                <c:pt idx="58">
                  <c:v>9.6314134655536307E-6</c:v>
                </c:pt>
                <c:pt idx="59">
                  <c:v>5.18908322982937E-5</c:v>
                </c:pt>
                <c:pt idx="60" formatCode="General">
                  <c:v>5.5430990408714903E-3</c:v>
                </c:pt>
                <c:pt idx="61" formatCode="General">
                  <c:v>4.8008288600103199E-3</c:v>
                </c:pt>
                <c:pt idx="62" formatCode="General">
                  <c:v>3.08564559902598E-3</c:v>
                </c:pt>
                <c:pt idx="63" formatCode="General">
                  <c:v>1.7740291279897201E-3</c:v>
                </c:pt>
                <c:pt idx="64" formatCode="General">
                  <c:v>2.2421007624514001E-3</c:v>
                </c:pt>
                <c:pt idx="65" formatCode="General">
                  <c:v>3.0649921017711999E-3</c:v>
                </c:pt>
                <c:pt idx="66" formatCode="General">
                  <c:v>2.6804672416933899E-3</c:v>
                </c:pt>
                <c:pt idx="67" formatCode="General">
                  <c:v>2.2333269953076799E-3</c:v>
                </c:pt>
                <c:pt idx="68" formatCode="General">
                  <c:v>2.0114610519195702E-3</c:v>
                </c:pt>
                <c:pt idx="69" formatCode="General">
                  <c:v>1.8018175359176499E-3</c:v>
                </c:pt>
                <c:pt idx="70" formatCode="General">
                  <c:v>1.4784603073557899E-3</c:v>
                </c:pt>
                <c:pt idx="71" formatCode="General">
                  <c:v>1.0308878798852301E-3</c:v>
                </c:pt>
                <c:pt idx="72" formatCode="General">
                  <c:v>7.0304518888745799E-4</c:v>
                </c:pt>
                <c:pt idx="73" formatCode="General">
                  <c:v>6.1197214537741596E-4</c:v>
                </c:pt>
                <c:pt idx="74" formatCode="General">
                  <c:v>4.5744006298689802E-4</c:v>
                </c:pt>
                <c:pt idx="75" formatCode="General">
                  <c:v>3.0016886122831199E-4</c:v>
                </c:pt>
                <c:pt idx="76" formatCode="General">
                  <c:v>2.75937604708222E-4</c:v>
                </c:pt>
                <c:pt idx="77" formatCode="General">
                  <c:v>2.1118541055105199E-4</c:v>
                </c:pt>
                <c:pt idx="78" formatCode="General">
                  <c:v>1.51675648028692E-4</c:v>
                </c:pt>
                <c:pt idx="79" formatCode="General">
                  <c:v>1.5841382635334601E-4</c:v>
                </c:pt>
                <c:pt idx="80" formatCode="General">
                  <c:v>1.8148966080685E-4</c:v>
                </c:pt>
                <c:pt idx="81" formatCode="General">
                  <c:v>1.6526576228261301E-4</c:v>
                </c:pt>
                <c:pt idx="82" formatCode="General">
                  <c:v>1.47656186511731E-4</c:v>
                </c:pt>
                <c:pt idx="83" formatCode="General">
                  <c:v>1.41302839795947E-4</c:v>
                </c:pt>
                <c:pt idx="84" formatCode="General">
                  <c:v>1.3432725610425101E-4</c:v>
                </c:pt>
                <c:pt idx="85" formatCode="General">
                  <c:v>1.34150061140554E-4</c:v>
                </c:pt>
                <c:pt idx="86" formatCode="General">
                  <c:v>1.35026941934794E-4</c:v>
                </c:pt>
                <c:pt idx="87" formatCode="General">
                  <c:v>1.4936173018855701E-4</c:v>
                </c:pt>
                <c:pt idx="88" formatCode="General">
                  <c:v>1.2322624541535301E-4</c:v>
                </c:pt>
                <c:pt idx="89" formatCode="General">
                  <c:v>1.0391325156244901E-4</c:v>
                </c:pt>
                <c:pt idx="90" formatCode="General">
                  <c:v>1.15229679462723E-4</c:v>
                </c:pt>
                <c:pt idx="91" formatCode="General">
                  <c:v>1.10797426718519E-4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25-45C8-8030-10BE2A3FA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323851</xdr:colOff>
      <xdr:row>32</xdr:row>
      <xdr:rowOff>66675</xdr:rowOff>
    </xdr:from>
    <xdr:to>
      <xdr:col>18</xdr:col>
      <xdr:colOff>66675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66E3D-9853-4B49-A6A6-21A8CEA7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314324</xdr:colOff>
      <xdr:row>45</xdr:row>
      <xdr:rowOff>9525</xdr:rowOff>
    </xdr:from>
    <xdr:to>
      <xdr:col>18</xdr:col>
      <xdr:colOff>95249</xdr:colOff>
      <xdr:row>57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D7861-AC34-4E1C-8D9D-5EE6F3181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314324</xdr:colOff>
      <xdr:row>57</xdr:row>
      <xdr:rowOff>57150</xdr:rowOff>
    </xdr:from>
    <xdr:to>
      <xdr:col>18</xdr:col>
      <xdr:colOff>114299</xdr:colOff>
      <xdr:row>69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844741-6BD0-4705-BBD7-69B1D1E3B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4130-64D5-42FE-8592-ED0ECA68F7E8}">
  <dimension ref="A1:CS129"/>
  <sheetViews>
    <sheetView tabSelected="1" topLeftCell="A19" zoomScale="85" zoomScaleNormal="85" workbookViewId="0">
      <selection activeCell="M25" sqref="M25"/>
    </sheetView>
  </sheetViews>
  <sheetFormatPr defaultRowHeight="15" x14ac:dyDescent="0.25"/>
  <cols>
    <col min="1" max="1" width="15.28515625" customWidth="1"/>
    <col min="2" max="2" width="12.42578125" bestFit="1" customWidth="1"/>
    <col min="3" max="3" width="11.28515625" bestFit="1" customWidth="1"/>
    <col min="5" max="5" width="15.42578125" customWidth="1"/>
    <col min="20" max="20" width="12.7109375" customWidth="1"/>
    <col min="61" max="61" width="13.140625" customWidth="1"/>
    <col min="62" max="62" width="14" customWidth="1"/>
  </cols>
  <sheetData>
    <row r="1" spans="1:97" x14ac:dyDescent="0.25">
      <c r="B1" s="1">
        <v>44776.000694444447</v>
      </c>
      <c r="C1" s="1">
        <v>44776.011111111111</v>
      </c>
      <c r="D1" s="1">
        <v>44776.021527777775</v>
      </c>
      <c r="E1" s="1">
        <v>44776.031944444447</v>
      </c>
      <c r="F1" s="1">
        <v>44776.042361111111</v>
      </c>
      <c r="G1" s="1">
        <v>44776.052777777775</v>
      </c>
      <c r="H1" s="1">
        <v>44776.063194444447</v>
      </c>
      <c r="I1" s="1">
        <v>44776.073611111111</v>
      </c>
      <c r="J1" s="1">
        <v>44776.084027777775</v>
      </c>
      <c r="K1" s="1">
        <v>44776.094444444447</v>
      </c>
      <c r="L1" s="1">
        <v>44776.104861111111</v>
      </c>
      <c r="M1" s="1">
        <v>44776.115277777775</v>
      </c>
      <c r="N1" s="1">
        <v>44776.125694444447</v>
      </c>
      <c r="O1" s="1">
        <v>44776.136111111111</v>
      </c>
      <c r="P1" s="1">
        <v>44776.146527777775</v>
      </c>
      <c r="Q1" s="1">
        <v>44776.156944444447</v>
      </c>
      <c r="R1" s="1">
        <v>44776.167361111111</v>
      </c>
      <c r="S1" s="1">
        <v>44776.177777777775</v>
      </c>
      <c r="T1" s="1">
        <v>44776.188194444447</v>
      </c>
      <c r="U1" s="1">
        <v>44776.198611111111</v>
      </c>
      <c r="V1" s="1">
        <v>44776.209027777775</v>
      </c>
      <c r="W1" s="1">
        <v>44776.219444444447</v>
      </c>
      <c r="X1" s="1">
        <v>44776.229861111111</v>
      </c>
      <c r="Y1" s="1">
        <v>44776.240277777775</v>
      </c>
      <c r="Z1" s="1">
        <v>44776.250694444447</v>
      </c>
      <c r="AA1" s="1">
        <v>44776.261111111111</v>
      </c>
      <c r="AB1" s="1">
        <v>44776.271527777775</v>
      </c>
      <c r="AC1" s="1">
        <v>44776.281944444447</v>
      </c>
      <c r="AD1" s="1">
        <v>44776.292361111111</v>
      </c>
      <c r="AE1" s="1">
        <v>44776.302777777775</v>
      </c>
      <c r="AF1" s="1">
        <v>44776.313194444447</v>
      </c>
      <c r="AG1" s="1">
        <v>44776.323611111111</v>
      </c>
      <c r="AH1" s="1">
        <v>44776.334027777775</v>
      </c>
      <c r="AI1" s="1">
        <v>44776.344444444447</v>
      </c>
      <c r="AJ1" s="1">
        <v>44776.354861111111</v>
      </c>
      <c r="AK1" s="1">
        <v>44776.365277777775</v>
      </c>
      <c r="AL1" s="1">
        <v>44776.375694444447</v>
      </c>
      <c r="AM1" s="1">
        <v>44776.386111111111</v>
      </c>
      <c r="AN1" s="1">
        <v>44776.396527777775</v>
      </c>
      <c r="AO1" s="1">
        <v>44776.406944444447</v>
      </c>
      <c r="AP1" s="1">
        <v>44776.417361111111</v>
      </c>
      <c r="AQ1" s="1">
        <v>44776.427777777775</v>
      </c>
      <c r="AR1" s="1">
        <v>44776.438194444447</v>
      </c>
      <c r="AS1" s="1">
        <v>44776.448611111111</v>
      </c>
      <c r="AT1" s="1">
        <v>44776.459027777775</v>
      </c>
      <c r="AU1" s="1">
        <v>44776.469444444447</v>
      </c>
      <c r="AV1" s="1">
        <v>44776.479861111111</v>
      </c>
      <c r="AW1" s="1">
        <v>44776.490277777775</v>
      </c>
      <c r="AX1" s="1">
        <v>44776.500694444447</v>
      </c>
      <c r="AY1" s="1">
        <v>44776.511111111111</v>
      </c>
      <c r="AZ1" s="1">
        <v>44776.521527777775</v>
      </c>
      <c r="BA1" s="1">
        <v>44776.531944444447</v>
      </c>
      <c r="BB1" s="1">
        <v>44776.542361111111</v>
      </c>
      <c r="BC1" s="1">
        <v>44776.552777777775</v>
      </c>
      <c r="BD1" s="1">
        <v>44776.563194444447</v>
      </c>
      <c r="BE1" s="1">
        <v>44776.573611111111</v>
      </c>
      <c r="BF1" s="1">
        <v>44776.584027777775</v>
      </c>
      <c r="BG1" s="1">
        <v>44776.594444444447</v>
      </c>
      <c r="BH1" s="1">
        <v>44776.604861111111</v>
      </c>
      <c r="BI1" s="1">
        <v>44776.615277777775</v>
      </c>
      <c r="BJ1" s="1">
        <v>44776.625694444447</v>
      </c>
      <c r="BK1" s="1">
        <v>44776.636111111111</v>
      </c>
      <c r="BL1" s="1">
        <v>44776.646527777775</v>
      </c>
      <c r="BM1" s="1">
        <v>44776.656944444447</v>
      </c>
      <c r="BN1" s="1">
        <v>44776.667361111111</v>
      </c>
      <c r="BO1" s="1">
        <v>44776.677777777775</v>
      </c>
      <c r="BP1" s="1">
        <v>44776.688194444447</v>
      </c>
      <c r="BQ1" s="1">
        <v>44776.698611111111</v>
      </c>
      <c r="BR1" s="1">
        <v>44776.709027777775</v>
      </c>
      <c r="BS1" s="1">
        <v>44776.719444444447</v>
      </c>
      <c r="BT1" s="1">
        <v>44776.729861111111</v>
      </c>
      <c r="BU1" s="1">
        <v>44776.740277777775</v>
      </c>
      <c r="BV1" s="1">
        <v>44776.750694444447</v>
      </c>
      <c r="BW1" s="1">
        <v>44776.761111111111</v>
      </c>
      <c r="BX1" s="1">
        <v>44776.771527777775</v>
      </c>
      <c r="BY1" s="1">
        <v>44776.781944444447</v>
      </c>
      <c r="BZ1" s="1">
        <v>44776.792361111111</v>
      </c>
      <c r="CA1" s="1">
        <v>44776.802777777775</v>
      </c>
      <c r="CB1" s="1">
        <v>44776.813194444447</v>
      </c>
      <c r="CC1" s="1">
        <v>44776.823611111111</v>
      </c>
      <c r="CD1" s="1">
        <v>44776.834027777775</v>
      </c>
      <c r="CE1" s="1">
        <v>44776.844444444447</v>
      </c>
      <c r="CF1" s="1">
        <v>44776.854861111111</v>
      </c>
      <c r="CG1" s="1">
        <v>44776.865277777775</v>
      </c>
      <c r="CH1" s="1">
        <v>44776.875694444447</v>
      </c>
      <c r="CI1" s="1">
        <v>44776.917361111111</v>
      </c>
      <c r="CJ1" s="1">
        <v>44776.948611111111</v>
      </c>
      <c r="CK1" s="1">
        <v>44776.959027777775</v>
      </c>
      <c r="CL1" s="1">
        <v>44776.969444444447</v>
      </c>
      <c r="CM1" s="1">
        <v>44776.979861111111</v>
      </c>
      <c r="CN1" s="1">
        <v>44776.990277777775</v>
      </c>
      <c r="CO1" s="1">
        <v>44777.000694444447</v>
      </c>
      <c r="CP1" s="1"/>
      <c r="CQ1" s="1"/>
      <c r="CR1" s="1"/>
      <c r="CS1" s="1"/>
    </row>
    <row r="2" spans="1:97" x14ac:dyDescent="0.25">
      <c r="A2" t="s">
        <v>0</v>
      </c>
      <c r="B2" s="2">
        <v>1.4759553889287601E-5</v>
      </c>
      <c r="C2" s="2">
        <v>1.8543446814676999E-5</v>
      </c>
      <c r="D2" s="2">
        <v>1.6884980574401601E-5</v>
      </c>
      <c r="E2" s="2">
        <v>1.5706647745415101E-5</v>
      </c>
      <c r="F2" s="2">
        <v>1.3028536708957599E-5</v>
      </c>
      <c r="G2" s="2">
        <v>1.20542255196659E-5</v>
      </c>
      <c r="H2" s="2">
        <v>1.54578391725111E-5</v>
      </c>
      <c r="I2" s="2">
        <v>1.61253218261922E-5</v>
      </c>
      <c r="J2" s="2">
        <v>1.57427849241336E-5</v>
      </c>
      <c r="K2" s="2">
        <v>1.4629990650928901E-5</v>
      </c>
      <c r="L2" s="2">
        <v>1.6465458569877701E-5</v>
      </c>
      <c r="M2" s="2">
        <v>1.4635788270814601E-5</v>
      </c>
      <c r="N2" s="2">
        <v>1.65602700996057E-5</v>
      </c>
      <c r="O2" s="2">
        <v>1.46944910904199E-5</v>
      </c>
      <c r="P2" s="2">
        <v>1.34725060950737E-5</v>
      </c>
      <c r="Q2" s="2">
        <v>1.3308281530339501E-5</v>
      </c>
      <c r="R2" s="2">
        <v>1.3924575083529201E-5</v>
      </c>
      <c r="S2" s="2">
        <v>1.5470085884041801E-5</v>
      </c>
      <c r="T2" s="2">
        <v>1.3152428489949399E-5</v>
      </c>
      <c r="U2" s="2">
        <v>1.4225552440334599E-5</v>
      </c>
      <c r="V2" s="2">
        <v>1.4058706539343401E-5</v>
      </c>
      <c r="W2" s="2">
        <v>1.49329218229015E-5</v>
      </c>
      <c r="X2" s="2">
        <v>1.5333439652152399E-5</v>
      </c>
      <c r="Y2" s="2">
        <v>1.5077483022684401E-5</v>
      </c>
      <c r="Z2" s="2">
        <v>1.41375292608921E-5</v>
      </c>
      <c r="AA2" s="2">
        <v>1.23493446125265E-5</v>
      </c>
      <c r="AB2" s="2">
        <v>1.17413395217377E-5</v>
      </c>
      <c r="AC2" s="2">
        <v>1.1119913491277301E-5</v>
      </c>
      <c r="AD2" s="2">
        <v>1.19839702181177E-5</v>
      </c>
      <c r="AE2" s="2">
        <v>1.36806894670033E-5</v>
      </c>
      <c r="AF2" s="2">
        <v>1.01266985094044E-5</v>
      </c>
      <c r="AG2" s="2">
        <v>1.1169548926338501E-5</v>
      </c>
      <c r="AH2" s="2">
        <v>1.5022134420171701E-5</v>
      </c>
      <c r="AI2" s="2">
        <v>1.37558984353218E-5</v>
      </c>
      <c r="AJ2" s="2">
        <v>1.2789247520358201E-5</v>
      </c>
      <c r="AK2" s="2">
        <v>1.16315736079813E-5</v>
      </c>
      <c r="AL2" s="2">
        <v>1.30294489529861E-5</v>
      </c>
      <c r="AM2" s="2">
        <v>1.42544321473603E-5</v>
      </c>
      <c r="AN2" s="2">
        <v>1.20457217441485E-5</v>
      </c>
      <c r="AO2" s="2">
        <v>1.08672337256857E-5</v>
      </c>
      <c r="AP2" s="2">
        <v>1.6363793825727299E-5</v>
      </c>
      <c r="AQ2" s="2">
        <v>1.21213885533693E-5</v>
      </c>
      <c r="AR2" s="2">
        <v>1.2382664533838501E-5</v>
      </c>
      <c r="AS2" s="2">
        <v>1.2978649259847699E-5</v>
      </c>
      <c r="AT2" s="2">
        <v>1.0414686192416701E-5</v>
      </c>
      <c r="AU2" s="2">
        <v>1.27619903113144E-5</v>
      </c>
      <c r="AV2" s="2">
        <v>1.26425505635157E-5</v>
      </c>
      <c r="AW2" s="2">
        <v>1.3082660344475801E-5</v>
      </c>
      <c r="AX2" s="2">
        <v>1.6099704874987899E-5</v>
      </c>
      <c r="AY2" s="2">
        <v>1.3823847909844601E-5</v>
      </c>
      <c r="AZ2" s="2">
        <v>1.4052772131421501E-5</v>
      </c>
      <c r="BA2" s="2">
        <v>1.4152071954498699E-5</v>
      </c>
      <c r="BB2" s="2">
        <v>1.48352688932354E-5</v>
      </c>
      <c r="BC2" s="2">
        <v>1.0992770504328599E-5</v>
      </c>
      <c r="BD2" s="2">
        <v>8.9894911076002195E-6</v>
      </c>
      <c r="BE2" s="2">
        <v>1.24564475141737E-5</v>
      </c>
      <c r="BF2" s="2">
        <v>1.26680311973322E-5</v>
      </c>
      <c r="BG2" s="2">
        <v>1.5007649867853099E-5</v>
      </c>
      <c r="BH2" s="2">
        <v>2.12544225349124E-5</v>
      </c>
      <c r="BI2" s="2">
        <v>9.1416501481402499E-5</v>
      </c>
      <c r="BJ2">
        <v>8.1790313970628494E-3</v>
      </c>
      <c r="BK2">
        <v>6.3709324358111096E-3</v>
      </c>
      <c r="BL2">
        <v>4.1825291329897199E-3</v>
      </c>
      <c r="BM2">
        <v>2.63981295153558E-3</v>
      </c>
      <c r="BN2">
        <v>2.8762276332550299E-3</v>
      </c>
      <c r="BO2">
        <v>4.0965650462532702E-3</v>
      </c>
      <c r="BP2">
        <v>3.6377254782178001E-3</v>
      </c>
      <c r="BQ2">
        <v>3.0072447923545501E-3</v>
      </c>
      <c r="BR2">
        <v>2.70611548308114E-3</v>
      </c>
      <c r="BS2">
        <v>2.42197250814729E-3</v>
      </c>
      <c r="BT2">
        <v>2.0130873398815398E-3</v>
      </c>
      <c r="BU2">
        <v>1.40013294518416E-3</v>
      </c>
      <c r="BV2">
        <v>9.7080993134762998E-4</v>
      </c>
      <c r="BW2">
        <v>8.8566971363886605E-4</v>
      </c>
      <c r="BX2">
        <v>7.7741241818898995E-4</v>
      </c>
      <c r="BY2">
        <v>4.41882697895666E-4</v>
      </c>
      <c r="BZ2">
        <v>4.81158140139387E-4</v>
      </c>
      <c r="CA2">
        <v>3.1260028611941902E-4</v>
      </c>
      <c r="CB2">
        <v>2.33027252396751E-4</v>
      </c>
      <c r="CC2">
        <v>2.39847676265981E-4</v>
      </c>
      <c r="CD2">
        <v>2.7783496517046799E-4</v>
      </c>
      <c r="CE2">
        <v>2.6368639884468998E-4</v>
      </c>
      <c r="CF2">
        <v>2.18988871055401E-4</v>
      </c>
      <c r="CG2">
        <v>1.78860839036799E-4</v>
      </c>
      <c r="CH2">
        <v>1.7645450577303E-4</v>
      </c>
      <c r="CI2">
        <v>1.88552416271117E-4</v>
      </c>
      <c r="CJ2">
        <v>1.93942538738783E-4</v>
      </c>
      <c r="CK2">
        <v>2.0132892628069301E-4</v>
      </c>
      <c r="CL2">
        <v>1.6519768775525299E-4</v>
      </c>
      <c r="CM2">
        <v>1.4058221178564299E-4</v>
      </c>
      <c r="CN2">
        <v>1.78584462603248E-4</v>
      </c>
      <c r="CO2">
        <v>1.4756105754110501E-4</v>
      </c>
    </row>
    <row r="3" spans="1:97" x14ac:dyDescent="0.25">
      <c r="A3" t="s">
        <v>1</v>
      </c>
      <c r="B3" s="2">
        <v>1.0629227310376299E-5</v>
      </c>
      <c r="C3" s="2">
        <v>1.24325792145142E-5</v>
      </c>
      <c r="D3" s="2">
        <v>1.19487285009386E-5</v>
      </c>
      <c r="E3" s="2">
        <v>1.11795251698689E-5</v>
      </c>
      <c r="F3" s="2">
        <v>9.0165689956400296E-6</v>
      </c>
      <c r="G3" s="2">
        <v>8.8628450343828502E-6</v>
      </c>
      <c r="H3" s="2">
        <v>1.0752909747164799E-5</v>
      </c>
      <c r="I3" s="2">
        <v>1.07065203212858E-5</v>
      </c>
      <c r="J3" s="2">
        <v>1.06240985257254E-5</v>
      </c>
      <c r="K3" s="2">
        <v>9.9242530322977599E-6</v>
      </c>
      <c r="L3" s="2">
        <v>1.05896251401876E-5</v>
      </c>
      <c r="M3" s="2">
        <v>1.1498359314009701E-5</v>
      </c>
      <c r="N3" s="2">
        <v>1.0772845940727699E-5</v>
      </c>
      <c r="O3" s="2">
        <v>1.07040019274636E-5</v>
      </c>
      <c r="P3" s="2">
        <v>8.8951187208146398E-6</v>
      </c>
      <c r="Q3" s="2">
        <v>9.3871941506206802E-6</v>
      </c>
      <c r="R3" s="2">
        <v>1.0273870847885199E-5</v>
      </c>
      <c r="S3" s="2">
        <v>1.0215160266370001E-5</v>
      </c>
      <c r="T3" s="2">
        <v>9.9217560628822404E-6</v>
      </c>
      <c r="U3" s="2">
        <v>9.0411859903102997E-6</v>
      </c>
      <c r="V3" s="2">
        <v>9.3980353040886494E-6</v>
      </c>
      <c r="W3" s="2">
        <v>1.00381923151376E-5</v>
      </c>
      <c r="X3" s="2">
        <v>1.1140819172237299E-5</v>
      </c>
      <c r="Y3" s="2">
        <v>1.00663074705092E-5</v>
      </c>
      <c r="Z3" s="2">
        <v>9.6082913351889497E-6</v>
      </c>
      <c r="AA3" s="2">
        <v>8.6399153603187401E-6</v>
      </c>
      <c r="AB3" s="2">
        <v>8.2116885300712196E-6</v>
      </c>
      <c r="AC3" s="2">
        <v>7.9608873076265097E-6</v>
      </c>
      <c r="AD3" s="2">
        <v>8.4161198368040496E-6</v>
      </c>
      <c r="AE3" s="2">
        <v>8.4402325888643405E-6</v>
      </c>
      <c r="AF3" s="2">
        <v>7.5262187471994097E-6</v>
      </c>
      <c r="AG3" s="2">
        <v>7.8688228727540701E-6</v>
      </c>
      <c r="AH3" s="2">
        <v>9.5079112635485105E-6</v>
      </c>
      <c r="AI3" s="2">
        <v>9.6660849196263797E-6</v>
      </c>
      <c r="AJ3" s="2">
        <v>8.5148070811717105E-6</v>
      </c>
      <c r="AK3" s="2">
        <v>8.6187270662951595E-6</v>
      </c>
      <c r="AL3" s="2">
        <v>1.01580347124094E-5</v>
      </c>
      <c r="AM3" s="2">
        <v>9.8442141409203205E-6</v>
      </c>
      <c r="AN3" s="2">
        <v>7.9930743723733208E-6</v>
      </c>
      <c r="AO3" s="2">
        <v>7.8831499754545294E-6</v>
      </c>
      <c r="AP3" s="2">
        <v>1.03939471168878E-5</v>
      </c>
      <c r="AQ3" s="2">
        <v>9.06439893008681E-6</v>
      </c>
      <c r="AR3" s="2">
        <v>8.3726997261942098E-6</v>
      </c>
      <c r="AS3" s="2">
        <v>8.8943805413057606E-6</v>
      </c>
      <c r="AT3" s="2">
        <v>7.6424987296868303E-6</v>
      </c>
      <c r="AU3" s="2">
        <v>7.6967323488496193E-6</v>
      </c>
      <c r="AV3" s="2">
        <v>8.86137207339925E-6</v>
      </c>
      <c r="AW3" s="2">
        <v>8.8883710474639403E-6</v>
      </c>
      <c r="AX3" s="2">
        <v>9.2777569117021094E-6</v>
      </c>
      <c r="AY3" s="2">
        <v>9.7499290666129908E-6</v>
      </c>
      <c r="AZ3" s="2">
        <v>9.6761098311216197E-6</v>
      </c>
      <c r="BA3" s="2">
        <v>8.8275804362632796E-6</v>
      </c>
      <c r="BB3" s="2">
        <v>8.6341431079376407E-6</v>
      </c>
      <c r="BC3" s="2">
        <v>8.0392831264084895E-6</v>
      </c>
      <c r="BD3" s="2">
        <v>6.7740459534270003E-6</v>
      </c>
      <c r="BE3" s="2">
        <v>6.8298078823049503E-6</v>
      </c>
      <c r="BF3" s="2">
        <v>7.5041772677429299E-6</v>
      </c>
      <c r="BG3" s="2">
        <v>8.6917241328768392E-6</v>
      </c>
      <c r="BH3" s="2">
        <v>9.9154064328066799E-6</v>
      </c>
      <c r="BI3" s="2">
        <v>5.29819484017626E-5</v>
      </c>
      <c r="BJ3">
        <v>5.4176649343818696E-3</v>
      </c>
      <c r="BK3">
        <v>4.8681717065452504E-3</v>
      </c>
      <c r="BL3">
        <v>3.1260036350767798E-3</v>
      </c>
      <c r="BM3">
        <v>1.8050528056160801E-3</v>
      </c>
      <c r="BN3">
        <v>2.26213184152087E-3</v>
      </c>
      <c r="BO3">
        <v>3.1232488672659799E-3</v>
      </c>
      <c r="BP3">
        <v>2.6558853821111502E-3</v>
      </c>
      <c r="BQ3">
        <v>2.2628563454306699E-3</v>
      </c>
      <c r="BR3">
        <v>2.0147420685179699E-3</v>
      </c>
      <c r="BS3">
        <v>1.8218889219912601E-3</v>
      </c>
      <c r="BT3">
        <v>1.49146875422239E-3</v>
      </c>
      <c r="BU3">
        <v>1.0343274855961701E-3</v>
      </c>
      <c r="BV3">
        <v>7.1376447712531797E-4</v>
      </c>
      <c r="BW3">
        <v>6.2429064634126599E-4</v>
      </c>
      <c r="BX3">
        <v>4.8155807385192901E-4</v>
      </c>
      <c r="BY3">
        <v>3.0772779297089299E-4</v>
      </c>
      <c r="BZ3">
        <v>2.7933929187782598E-4</v>
      </c>
      <c r="CA3">
        <v>2.1498107879093999E-4</v>
      </c>
      <c r="CB3">
        <v>1.5546702319608701E-4</v>
      </c>
      <c r="CC3">
        <v>1.64391231365666E-4</v>
      </c>
      <c r="CD3">
        <v>1.8223831457349999E-4</v>
      </c>
      <c r="CE3">
        <v>1.70099941105282E-4</v>
      </c>
      <c r="CF3">
        <v>1.4741282639247599E-4</v>
      </c>
      <c r="CG3">
        <v>1.3941417254232399E-4</v>
      </c>
      <c r="CH3">
        <v>1.3492554478874701E-4</v>
      </c>
      <c r="CI3">
        <v>1.3661017756540499E-4</v>
      </c>
      <c r="CJ3">
        <v>1.3958036300293101E-4</v>
      </c>
      <c r="CK3">
        <v>1.5035102745702299E-4</v>
      </c>
      <c r="CL3">
        <v>1.2407626282054799E-4</v>
      </c>
      <c r="CM3">
        <v>1.0459443334621701E-4</v>
      </c>
      <c r="CN3">
        <v>1.19112682356408E-4</v>
      </c>
      <c r="CO3">
        <v>1.12034552964442E-4</v>
      </c>
    </row>
    <row r="4" spans="1:97" x14ac:dyDescent="0.25">
      <c r="A4" t="s">
        <v>2</v>
      </c>
      <c r="B4" s="2">
        <v>1.04549384711816E-5</v>
      </c>
      <c r="C4" s="2">
        <v>1.2176312160274201E-5</v>
      </c>
      <c r="D4" s="2">
        <v>1.16027725907294E-5</v>
      </c>
      <c r="E4" s="2">
        <v>1.09664281599647E-5</v>
      </c>
      <c r="F4" s="2">
        <v>8.6482468321952598E-6</v>
      </c>
      <c r="G4" s="2">
        <v>8.5549778090148194E-6</v>
      </c>
      <c r="H4" s="2">
        <v>1.02639278622505E-5</v>
      </c>
      <c r="I4" s="2">
        <v>1.03972506745938E-5</v>
      </c>
      <c r="J4" s="2">
        <v>1.02113273020597E-5</v>
      </c>
      <c r="K4" s="2">
        <v>9.7597933020790898E-6</v>
      </c>
      <c r="L4" s="2">
        <v>1.02021371084007E-5</v>
      </c>
      <c r="M4" s="2">
        <v>1.1385787841551101E-5</v>
      </c>
      <c r="N4" s="2">
        <v>1.05547947180914E-5</v>
      </c>
      <c r="O4" s="2">
        <v>1.03082454236786E-5</v>
      </c>
      <c r="P4" s="2">
        <v>8.80810468863882E-6</v>
      </c>
      <c r="Q4" s="2">
        <v>9.0884139945656306E-6</v>
      </c>
      <c r="R4" s="2">
        <v>1.0091502807533099E-5</v>
      </c>
      <c r="S4" s="2">
        <v>9.9585751426562706E-6</v>
      </c>
      <c r="T4" s="2">
        <v>9.8593319287840107E-6</v>
      </c>
      <c r="U4" s="2">
        <v>8.9364238711841903E-6</v>
      </c>
      <c r="V4" s="2">
        <v>9.0469285713965894E-6</v>
      </c>
      <c r="W4" s="2">
        <v>1.00543510270092E-5</v>
      </c>
      <c r="X4" s="2">
        <v>1.07977511500847E-5</v>
      </c>
      <c r="Y4" s="2">
        <v>9.8066345905494599E-6</v>
      </c>
      <c r="Z4" s="2">
        <v>9.5116093776248504E-6</v>
      </c>
      <c r="AA4" s="2">
        <v>8.4743871237773405E-6</v>
      </c>
      <c r="AB4" s="2">
        <v>8.0831783948032296E-6</v>
      </c>
      <c r="AC4" s="2">
        <v>7.8294145600276203E-6</v>
      </c>
      <c r="AD4" s="2">
        <v>8.1486375005181007E-6</v>
      </c>
      <c r="AE4" s="2">
        <v>8.2362419361214701E-6</v>
      </c>
      <c r="AF4" s="2">
        <v>7.4529793273322501E-6</v>
      </c>
      <c r="AG4" s="2">
        <v>7.7289261556803893E-6</v>
      </c>
      <c r="AH4" s="2">
        <v>9.3919676896863102E-6</v>
      </c>
      <c r="AI4" s="2">
        <v>9.4360024470408702E-6</v>
      </c>
      <c r="AJ4" s="2">
        <v>8.1805565486556395E-6</v>
      </c>
      <c r="AK4" s="2">
        <v>8.5175954145671801E-6</v>
      </c>
      <c r="AL4" s="2">
        <v>9.6992286008704397E-6</v>
      </c>
      <c r="AM4" s="2">
        <v>9.6240348922509196E-6</v>
      </c>
      <c r="AN4" s="2">
        <v>7.5621995808269701E-6</v>
      </c>
      <c r="AO4" s="2">
        <v>7.6670273239502004E-6</v>
      </c>
      <c r="AP4" s="2">
        <v>9.98300937093378E-6</v>
      </c>
      <c r="AQ4" s="2">
        <v>8.9672791913449907E-6</v>
      </c>
      <c r="AR4" s="2">
        <v>8.2103683318887703E-6</v>
      </c>
      <c r="AS4" s="2">
        <v>8.6733134477966605E-6</v>
      </c>
      <c r="AT4" s="2">
        <v>7.29090926016637E-6</v>
      </c>
      <c r="AU4" s="2">
        <v>7.3999024990286398E-6</v>
      </c>
      <c r="AV4" s="2">
        <v>8.5960052782560295E-6</v>
      </c>
      <c r="AW4" s="2">
        <v>8.5718642215211893E-6</v>
      </c>
      <c r="AX4" s="2">
        <v>9.1820621758035999E-6</v>
      </c>
      <c r="AY4" s="2">
        <v>9.4469964042850194E-6</v>
      </c>
      <c r="AZ4" s="2">
        <v>9.5051759253572606E-6</v>
      </c>
      <c r="BA4" s="2">
        <v>8.4997825143798903E-6</v>
      </c>
      <c r="BB4" s="2">
        <v>8.2893891998873704E-6</v>
      </c>
      <c r="BC4" s="2">
        <v>7.83178425379143E-6</v>
      </c>
      <c r="BD4" s="2">
        <v>6.71201855473888E-6</v>
      </c>
      <c r="BE4" s="2">
        <v>6.8521546075469203E-6</v>
      </c>
      <c r="BF4" s="2">
        <v>7.21536509778995E-6</v>
      </c>
      <c r="BG4" s="2">
        <v>8.3887301393140502E-6</v>
      </c>
      <c r="BH4" s="2">
        <v>9.6314134655536307E-6</v>
      </c>
      <c r="BI4" s="2">
        <v>5.18908322982937E-5</v>
      </c>
      <c r="BJ4">
        <v>5.5430990408714903E-3</v>
      </c>
      <c r="BK4">
        <v>4.8008288600103199E-3</v>
      </c>
      <c r="BL4">
        <v>3.08564559902598E-3</v>
      </c>
      <c r="BM4">
        <v>1.7740291279897201E-3</v>
      </c>
      <c r="BN4">
        <v>2.2421007624514001E-3</v>
      </c>
      <c r="BO4">
        <v>3.0649921017711999E-3</v>
      </c>
      <c r="BP4">
        <v>2.6804672416933899E-3</v>
      </c>
      <c r="BQ4">
        <v>2.2333269953076799E-3</v>
      </c>
      <c r="BR4">
        <v>2.0114610519195702E-3</v>
      </c>
      <c r="BS4">
        <v>1.8018175359176499E-3</v>
      </c>
      <c r="BT4">
        <v>1.4784603073557899E-3</v>
      </c>
      <c r="BU4">
        <v>1.0308878798852301E-3</v>
      </c>
      <c r="BV4">
        <v>7.0304518888745799E-4</v>
      </c>
      <c r="BW4">
        <v>6.1197214537741596E-4</v>
      </c>
      <c r="BX4">
        <v>4.5744006298689802E-4</v>
      </c>
      <c r="BY4">
        <v>3.0016886122831199E-4</v>
      </c>
      <c r="BZ4">
        <v>2.75937604708222E-4</v>
      </c>
      <c r="CA4">
        <v>2.1118541055105199E-4</v>
      </c>
      <c r="CB4">
        <v>1.51675648028692E-4</v>
      </c>
      <c r="CC4">
        <v>1.5841382635334601E-4</v>
      </c>
      <c r="CD4">
        <v>1.8148966080685E-4</v>
      </c>
      <c r="CE4">
        <v>1.6526576228261301E-4</v>
      </c>
      <c r="CF4">
        <v>1.47656186511731E-4</v>
      </c>
      <c r="CG4">
        <v>1.41302839795947E-4</v>
      </c>
      <c r="CH4">
        <v>1.3432725610425101E-4</v>
      </c>
      <c r="CI4">
        <v>1.34150061140554E-4</v>
      </c>
      <c r="CJ4">
        <v>1.35026941934794E-4</v>
      </c>
      <c r="CK4">
        <v>1.4936173018855701E-4</v>
      </c>
      <c r="CL4">
        <v>1.2322624541535301E-4</v>
      </c>
      <c r="CM4">
        <v>1.0391325156244901E-4</v>
      </c>
      <c r="CN4">
        <v>1.15229679462723E-4</v>
      </c>
      <c r="CO4">
        <v>1.10797426718519E-4</v>
      </c>
    </row>
    <row r="5" spans="1:97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7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7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59</v>
      </c>
      <c r="BK7">
        <v>2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7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949</v>
      </c>
      <c r="BK8">
        <v>252</v>
      </c>
      <c r="BL8">
        <v>89</v>
      </c>
      <c r="BM8">
        <v>24</v>
      </c>
      <c r="BN8">
        <v>10</v>
      </c>
      <c r="BO8">
        <v>67</v>
      </c>
      <c r="BP8">
        <v>44</v>
      </c>
      <c r="BQ8">
        <v>26</v>
      </c>
      <c r="BR8">
        <v>23</v>
      </c>
      <c r="BS8">
        <v>13</v>
      </c>
      <c r="BT8">
        <v>3</v>
      </c>
      <c r="BU8">
        <v>2</v>
      </c>
      <c r="BV8">
        <v>1</v>
      </c>
      <c r="BW8">
        <v>3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</row>
    <row r="9" spans="1:97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</v>
      </c>
      <c r="BJ9">
        <v>10223</v>
      </c>
      <c r="BK9">
        <v>12357</v>
      </c>
      <c r="BL9">
        <v>4429</v>
      </c>
      <c r="BM9">
        <v>929</v>
      </c>
      <c r="BN9">
        <v>1907</v>
      </c>
      <c r="BO9">
        <v>4224</v>
      </c>
      <c r="BP9">
        <v>2846</v>
      </c>
      <c r="BQ9">
        <v>1732</v>
      </c>
      <c r="BR9">
        <v>1316</v>
      </c>
      <c r="BS9">
        <v>959</v>
      </c>
      <c r="BT9">
        <v>619</v>
      </c>
      <c r="BU9">
        <v>196</v>
      </c>
      <c r="BV9">
        <v>58</v>
      </c>
      <c r="BW9">
        <v>50</v>
      </c>
      <c r="BX9">
        <v>33</v>
      </c>
      <c r="BY9">
        <v>5</v>
      </c>
      <c r="BZ9">
        <v>15</v>
      </c>
      <c r="CA9">
        <v>3</v>
      </c>
      <c r="CB9">
        <v>0</v>
      </c>
      <c r="CC9">
        <v>2</v>
      </c>
      <c r="CD9">
        <v>3</v>
      </c>
      <c r="CE9">
        <v>2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</row>
    <row r="10" spans="1:97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20</v>
      </c>
      <c r="BJ10">
        <v>29648</v>
      </c>
      <c r="BK10">
        <v>32634</v>
      </c>
      <c r="BL10">
        <v>36103</v>
      </c>
      <c r="BM10">
        <v>22768</v>
      </c>
      <c r="BN10">
        <v>29681</v>
      </c>
      <c r="BO10">
        <v>35173</v>
      </c>
      <c r="BP10">
        <v>33443</v>
      </c>
      <c r="BQ10">
        <v>30490</v>
      </c>
      <c r="BR10">
        <v>25782</v>
      </c>
      <c r="BS10">
        <v>22883</v>
      </c>
      <c r="BT10">
        <v>16982</v>
      </c>
      <c r="BU10">
        <v>7932</v>
      </c>
      <c r="BV10">
        <v>3284</v>
      </c>
      <c r="BW10">
        <v>2332</v>
      </c>
      <c r="BX10">
        <v>1165</v>
      </c>
      <c r="BY10">
        <v>401</v>
      </c>
      <c r="BZ10">
        <v>355</v>
      </c>
      <c r="CA10">
        <v>191</v>
      </c>
      <c r="CB10">
        <v>84</v>
      </c>
      <c r="CC10">
        <v>118</v>
      </c>
      <c r="CD10">
        <v>146</v>
      </c>
      <c r="CE10">
        <v>118</v>
      </c>
      <c r="CF10">
        <v>61</v>
      </c>
      <c r="CG10">
        <v>58</v>
      </c>
      <c r="CH10">
        <v>42</v>
      </c>
      <c r="CI10">
        <v>33</v>
      </c>
      <c r="CJ10">
        <v>49</v>
      </c>
      <c r="CK10">
        <v>64</v>
      </c>
      <c r="CL10">
        <v>23</v>
      </c>
      <c r="CM10">
        <v>9</v>
      </c>
      <c r="CN10">
        <v>23</v>
      </c>
      <c r="CO10">
        <v>13</v>
      </c>
    </row>
    <row r="11" spans="1:97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7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7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7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2.9523161113893501E-2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7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2.5204113549865102E-2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7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2.5204113549865102E-2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7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0.12728331036171001</v>
      </c>
      <c r="BK17">
        <v>8.9482538565758302E-2</v>
      </c>
      <c r="BL17">
        <v>0</v>
      </c>
      <c r="BM17">
        <v>0</v>
      </c>
      <c r="BN17">
        <v>0</v>
      </c>
      <c r="BO17">
        <v>0</v>
      </c>
      <c r="BP17">
        <v>4.0898314896230498E-2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7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9.4938102620995196E-2</v>
      </c>
      <c r="BK18">
        <v>8.9478668444202797E-2</v>
      </c>
      <c r="BL18">
        <v>0</v>
      </c>
      <c r="BM18">
        <v>0</v>
      </c>
      <c r="BN18">
        <v>0</v>
      </c>
      <c r="BO18">
        <v>0</v>
      </c>
      <c r="BP18">
        <v>4.0898314896230498E-2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</row>
    <row r="19" spans="1:97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9.3257614277382203E-2</v>
      </c>
      <c r="BK19">
        <v>8.9478668444202797E-2</v>
      </c>
      <c r="BL19">
        <v>0</v>
      </c>
      <c r="BM19">
        <v>0</v>
      </c>
      <c r="BN19">
        <v>0</v>
      </c>
      <c r="BO19">
        <v>0</v>
      </c>
      <c r="BP19">
        <v>4.0898314896230498E-2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</row>
    <row r="20" spans="1:97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0.52345800941202203</v>
      </c>
      <c r="BK20">
        <v>0.40773967589191101</v>
      </c>
      <c r="BL20">
        <v>0.26768186451134202</v>
      </c>
      <c r="BM20">
        <v>0.16894802889827701</v>
      </c>
      <c r="BN20">
        <v>0.17763110041925201</v>
      </c>
      <c r="BO20">
        <v>0.26218016296020902</v>
      </c>
      <c r="BP20">
        <v>0.23281443060593901</v>
      </c>
      <c r="BQ20">
        <v>0.19246366671069101</v>
      </c>
      <c r="BR20">
        <v>0.157293611349237</v>
      </c>
      <c r="BS20">
        <v>0.14330127254348399</v>
      </c>
      <c r="BT20">
        <v>0.104841387921332</v>
      </c>
      <c r="BU20">
        <v>8.2528596289520598E-2</v>
      </c>
      <c r="BV20">
        <v>5.9552466803107197E-2</v>
      </c>
      <c r="BW20">
        <v>5.3191998491440497E-2</v>
      </c>
      <c r="BX20">
        <v>3.4351575374478999E-2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</row>
    <row r="21" spans="1:97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0.35012056592485002</v>
      </c>
      <c r="BK21">
        <v>0.314679666736841</v>
      </c>
      <c r="BL21">
        <v>0.213804773543327</v>
      </c>
      <c r="BM21">
        <v>0.12944136763891401</v>
      </c>
      <c r="BN21">
        <v>0.15143688768990199</v>
      </c>
      <c r="BO21">
        <v>0.21056533775856101</v>
      </c>
      <c r="BP21">
        <v>0.17888651706643599</v>
      </c>
      <c r="BQ21">
        <v>0.16070387055218399</v>
      </c>
      <c r="BR21">
        <v>0.137078197033074</v>
      </c>
      <c r="BS21">
        <v>0.125932189883736</v>
      </c>
      <c r="BT21">
        <v>9.8382791868327907E-2</v>
      </c>
      <c r="BU21">
        <v>7.5828503808122505E-2</v>
      </c>
      <c r="BV21">
        <v>5.9552466803107197E-2</v>
      </c>
      <c r="BW21">
        <v>5.0371958198582499E-2</v>
      </c>
      <c r="BX21">
        <v>3.4351575374478999E-2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</row>
    <row r="22" spans="1:9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0.35675009900567101</v>
      </c>
      <c r="BK22">
        <v>0.312320771527418</v>
      </c>
      <c r="BL22">
        <v>0.215118096522639</v>
      </c>
      <c r="BM22">
        <v>0.13329527210942399</v>
      </c>
      <c r="BN22">
        <v>0.148596220563813</v>
      </c>
      <c r="BO22">
        <v>0.20364551948517901</v>
      </c>
      <c r="BP22">
        <v>0.17806528991915799</v>
      </c>
      <c r="BQ22">
        <v>0.161594953943967</v>
      </c>
      <c r="BR22">
        <v>0.137949422800245</v>
      </c>
      <c r="BS22">
        <v>0.12720486684333299</v>
      </c>
      <c r="BT22">
        <v>0.101845183175389</v>
      </c>
      <c r="BU22">
        <v>7.5828503808122505E-2</v>
      </c>
      <c r="BV22">
        <v>5.9552466803107197E-2</v>
      </c>
      <c r="BW22">
        <v>5.0371958198582499E-2</v>
      </c>
      <c r="BX22">
        <v>3.4351575374478999E-2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</row>
    <row r="23" spans="1:9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2.3402624379239002E-2</v>
      </c>
      <c r="BJ23">
        <v>2.0938320376480801</v>
      </c>
      <c r="BK23">
        <v>1.6309587035676401</v>
      </c>
      <c r="BL23">
        <v>1.0707274580453601</v>
      </c>
      <c r="BM23">
        <v>0.67579211559311003</v>
      </c>
      <c r="BN23">
        <v>0.73631427411328798</v>
      </c>
      <c r="BO23">
        <v>1.0487206518408301</v>
      </c>
      <c r="BP23">
        <v>0.93125772242375704</v>
      </c>
      <c r="BQ23">
        <v>0.76985466684276505</v>
      </c>
      <c r="BR23">
        <v>0.69276556366877196</v>
      </c>
      <c r="BS23">
        <v>0.62002496208570601</v>
      </c>
      <c r="BT23">
        <v>0.51535035900967496</v>
      </c>
      <c r="BU23">
        <v>0.35843403396714602</v>
      </c>
      <c r="BV23">
        <v>0.248527342424993</v>
      </c>
      <c r="BW23">
        <v>0.22673144669154899</v>
      </c>
      <c r="BX23">
        <v>0.19901757905638101</v>
      </c>
      <c r="BY23">
        <v>0.11312197066129</v>
      </c>
      <c r="BZ23">
        <v>0.123176483875683</v>
      </c>
      <c r="CA23">
        <v>6.8716390149566597E-2</v>
      </c>
      <c r="CB23">
        <v>0</v>
      </c>
      <c r="CC23">
        <v>5.66610028421509E-2</v>
      </c>
      <c r="CD23">
        <v>5.7434542724656201E-2</v>
      </c>
      <c r="CE23">
        <v>6.7503718104240801E-2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5.04906285199258E-2</v>
      </c>
      <c r="CL23">
        <v>0</v>
      </c>
      <c r="CM23">
        <v>0</v>
      </c>
      <c r="CN23">
        <v>0</v>
      </c>
      <c r="CO23">
        <v>0</v>
      </c>
    </row>
    <row r="24" spans="1:9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2.3402624379239002E-2</v>
      </c>
      <c r="BJ24">
        <v>1.38692222320175</v>
      </c>
      <c r="BK24">
        <v>1.2462519568755801</v>
      </c>
      <c r="BL24">
        <v>0.80025693057965597</v>
      </c>
      <c r="BM24">
        <v>0.46371951452506299</v>
      </c>
      <c r="BN24">
        <v>0.57910575142934395</v>
      </c>
      <c r="BO24">
        <v>0.79955171002009096</v>
      </c>
      <c r="BP24">
        <v>0.67990665782045501</v>
      </c>
      <c r="BQ24">
        <v>0.57929122443025105</v>
      </c>
      <c r="BR24">
        <v>0.51577396954060095</v>
      </c>
      <c r="BS24">
        <v>0.467463399403305</v>
      </c>
      <c r="BT24">
        <v>0.38437559183846498</v>
      </c>
      <c r="BU24">
        <v>0.26858178912334302</v>
      </c>
      <c r="BV24">
        <v>0.20246304832954901</v>
      </c>
      <c r="BW24">
        <v>0.17591104978844899</v>
      </c>
      <c r="BX24">
        <v>0.134680403381916</v>
      </c>
      <c r="BY24">
        <v>9.4349629534551394E-2</v>
      </c>
      <c r="BZ24">
        <v>8.41823386321114E-2</v>
      </c>
      <c r="CA24">
        <v>6.2139884409309197E-2</v>
      </c>
      <c r="CB24">
        <v>0</v>
      </c>
      <c r="CC24">
        <v>5.3063101993062398E-2</v>
      </c>
      <c r="CD24">
        <v>5.2366483236275102E-2</v>
      </c>
      <c r="CE24">
        <v>5.3631187360952903E-2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5.04906285199258E-2</v>
      </c>
      <c r="CL24">
        <v>0</v>
      </c>
      <c r="CM24">
        <v>0</v>
      </c>
      <c r="CN24">
        <v>0</v>
      </c>
      <c r="CO24">
        <v>0</v>
      </c>
    </row>
    <row r="25" spans="1:9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2.3402624379239002E-2</v>
      </c>
      <c r="BJ25">
        <v>1.4190333544631</v>
      </c>
      <c r="BK25">
        <v>1.2290121881626399</v>
      </c>
      <c r="BL25">
        <v>0.78992527335065099</v>
      </c>
      <c r="BM25">
        <v>0.45430247084292202</v>
      </c>
      <c r="BN25">
        <v>0.57397779518755998</v>
      </c>
      <c r="BO25">
        <v>0.78463797805342805</v>
      </c>
      <c r="BP25">
        <v>0.68619961387351003</v>
      </c>
      <c r="BQ25">
        <v>0.57173171079876695</v>
      </c>
      <c r="BR25">
        <v>0.51493402929141097</v>
      </c>
      <c r="BS25">
        <v>0.46189845063155499</v>
      </c>
      <c r="BT25">
        <v>0.37995001194067801</v>
      </c>
      <c r="BU25">
        <v>0.26714978597617201</v>
      </c>
      <c r="BV25">
        <v>0.19968914686234801</v>
      </c>
      <c r="BW25">
        <v>0.17083399796430901</v>
      </c>
      <c r="BX25">
        <v>0.13280940682283901</v>
      </c>
      <c r="BY25">
        <v>9.35425272764943E-2</v>
      </c>
      <c r="BZ25">
        <v>7.9659412118355297E-2</v>
      </c>
      <c r="CA25">
        <v>6.2822250226810206E-2</v>
      </c>
      <c r="CB25">
        <v>0</v>
      </c>
      <c r="CC25">
        <v>5.3063101993062398E-2</v>
      </c>
      <c r="CD25">
        <v>5.2366483236275102E-2</v>
      </c>
      <c r="CE25">
        <v>5.3631187360952903E-2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5.04906285199258E-2</v>
      </c>
      <c r="CL25">
        <v>0</v>
      </c>
      <c r="CM25">
        <v>0</v>
      </c>
      <c r="CN25">
        <v>0</v>
      </c>
      <c r="CO25">
        <v>0</v>
      </c>
    </row>
    <row r="26" spans="1:9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2.1764528675750301E-2</v>
      </c>
      <c r="BI26">
        <v>9.3610497516956104E-2</v>
      </c>
      <c r="BJ26">
        <v>8.3753281505923507</v>
      </c>
      <c r="BK26">
        <v>6.5238348142705798</v>
      </c>
      <c r="BL26">
        <v>4.2829098321814696</v>
      </c>
      <c r="BM26">
        <v>2.7031684623724401</v>
      </c>
      <c r="BN26">
        <v>2.9452570964531501</v>
      </c>
      <c r="BO26">
        <v>4.1948826073633496</v>
      </c>
      <c r="BP26">
        <v>3.7250308896950299</v>
      </c>
      <c r="BQ26">
        <v>3.0794186673710602</v>
      </c>
      <c r="BR26">
        <v>2.77106225467509</v>
      </c>
      <c r="BS26">
        <v>2.48009984834282</v>
      </c>
      <c r="BT26">
        <v>2.0614014360386999</v>
      </c>
      <c r="BU26">
        <v>1.4337361358685801</v>
      </c>
      <c r="BV26">
        <v>0.99410936969997299</v>
      </c>
      <c r="BW26">
        <v>0.90692578676619895</v>
      </c>
      <c r="BX26">
        <v>0.79607031622552604</v>
      </c>
      <c r="BY26">
        <v>0.45248788264516199</v>
      </c>
      <c r="BZ26">
        <v>0.49270593550273201</v>
      </c>
      <c r="CA26">
        <v>0.32010269298628502</v>
      </c>
      <c r="CB26">
        <v>0.238619906454273</v>
      </c>
      <c r="CC26">
        <v>0.24560402049636401</v>
      </c>
      <c r="CD26">
        <v>0.28450300433455999</v>
      </c>
      <c r="CE26">
        <v>0.27001487241696298</v>
      </c>
      <c r="CF26">
        <v>0.22424460396073101</v>
      </c>
      <c r="CG26">
        <v>0.18315349917368201</v>
      </c>
      <c r="CH26">
        <v>0.180689413911583</v>
      </c>
      <c r="CI26">
        <v>0.19307767426162301</v>
      </c>
      <c r="CJ26">
        <v>0.19859715966851399</v>
      </c>
      <c r="CK26">
        <v>0.20616082051143</v>
      </c>
      <c r="CL26">
        <v>0.169162432261379</v>
      </c>
      <c r="CM26">
        <v>0.14395618486849901</v>
      </c>
      <c r="CN26">
        <v>0.179966056064571</v>
      </c>
      <c r="CO26">
        <v>0.151102522922091</v>
      </c>
    </row>
    <row r="27" spans="1:97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2.1764528675750301E-2</v>
      </c>
      <c r="BI27">
        <v>6.4756387412993194E-2</v>
      </c>
      <c r="BJ27">
        <v>5.54768889280703</v>
      </c>
      <c r="BK27">
        <v>4.9850078275023399</v>
      </c>
      <c r="BL27">
        <v>3.2010277223186199</v>
      </c>
      <c r="BM27">
        <v>1.84837407295087</v>
      </c>
      <c r="BN27">
        <v>2.31642300571737</v>
      </c>
      <c r="BO27">
        <v>3.1982068400803598</v>
      </c>
      <c r="BP27">
        <v>2.71962663128182</v>
      </c>
      <c r="BQ27">
        <v>2.3171648977210002</v>
      </c>
      <c r="BR27">
        <v>2.0630958781623998</v>
      </c>
      <c r="BS27">
        <v>1.8656142561190501</v>
      </c>
      <c r="BT27">
        <v>1.52726400432373</v>
      </c>
      <c r="BU27">
        <v>1.0591513452504799</v>
      </c>
      <c r="BV27">
        <v>0.73089482457632604</v>
      </c>
      <c r="BW27">
        <v>0.63927362185345704</v>
      </c>
      <c r="BX27">
        <v>0.49311546762437602</v>
      </c>
      <c r="BY27">
        <v>0.31673975565114199</v>
      </c>
      <c r="BZ27">
        <v>0.28831491232867301</v>
      </c>
      <c r="CA27">
        <v>0.22383654690128099</v>
      </c>
      <c r="CB27">
        <v>0.168936934302299</v>
      </c>
      <c r="CC27">
        <v>0.175501914871867</v>
      </c>
      <c r="CD27">
        <v>0.19066400160873001</v>
      </c>
      <c r="CE27">
        <v>0.182940264161678</v>
      </c>
      <c r="CF27">
        <v>0.15700072385344399</v>
      </c>
      <c r="CG27">
        <v>0.153290880283313</v>
      </c>
      <c r="CH27">
        <v>0.14673119527175901</v>
      </c>
      <c r="CI27">
        <v>0.14790670210623599</v>
      </c>
      <c r="CJ27">
        <v>0.15786456418228401</v>
      </c>
      <c r="CK27">
        <v>0.16706644149073799</v>
      </c>
      <c r="CL27">
        <v>0.139761114180492</v>
      </c>
      <c r="CM27">
        <v>0.127772489008983</v>
      </c>
      <c r="CN27">
        <v>0.133326028364364</v>
      </c>
      <c r="CO27">
        <v>0.127339717607796</v>
      </c>
    </row>
    <row r="28" spans="1:9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2.1764528675750301E-2</v>
      </c>
      <c r="BI28">
        <v>6.2935540515948601E-2</v>
      </c>
      <c r="BJ28">
        <v>5.6761334178523999</v>
      </c>
      <c r="BK28">
        <v>4.9160487526505703</v>
      </c>
      <c r="BL28">
        <v>3.1597010934026</v>
      </c>
      <c r="BM28">
        <v>1.81660582706148</v>
      </c>
      <c r="BN28">
        <v>2.2959111807502399</v>
      </c>
      <c r="BO28">
        <v>3.13855191221371</v>
      </c>
      <c r="BP28">
        <v>2.7447984554940401</v>
      </c>
      <c r="BQ28">
        <v>2.2869268431950598</v>
      </c>
      <c r="BR28">
        <v>2.0597361171656399</v>
      </c>
      <c r="BS28">
        <v>1.84506115677967</v>
      </c>
      <c r="BT28">
        <v>1.51394335473233</v>
      </c>
      <c r="BU28">
        <v>1.05562918900247</v>
      </c>
      <c r="BV28">
        <v>0.71991827342075698</v>
      </c>
      <c r="BW28">
        <v>0.62665947686647405</v>
      </c>
      <c r="BX28">
        <v>0.46841862449858301</v>
      </c>
      <c r="BY28">
        <v>0.30876597169570602</v>
      </c>
      <c r="BZ28">
        <v>0.28682454974835397</v>
      </c>
      <c r="CA28">
        <v>0.21952405140620301</v>
      </c>
      <c r="CB28">
        <v>0.16309589404076999</v>
      </c>
      <c r="CC28">
        <v>0.172562573701973</v>
      </c>
      <c r="CD28">
        <v>0.18960067972967601</v>
      </c>
      <c r="CE28">
        <v>0.179603488257531</v>
      </c>
      <c r="CF28">
        <v>0.155570241000619</v>
      </c>
      <c r="CG28">
        <v>0.15560663553660001</v>
      </c>
      <c r="CH28">
        <v>0.149974520757539</v>
      </c>
      <c r="CI28">
        <v>0.15084778238395</v>
      </c>
      <c r="CJ28">
        <v>0.15942450299698099</v>
      </c>
      <c r="CK28">
        <v>0.164464658995568</v>
      </c>
      <c r="CL28">
        <v>0.13111862273810401</v>
      </c>
      <c r="CM28">
        <v>0.13274962025967599</v>
      </c>
      <c r="CN28">
        <v>0.12687049973425299</v>
      </c>
      <c r="CO28">
        <v>0.13031506322783001</v>
      </c>
    </row>
    <row r="29" spans="1:97" x14ac:dyDescent="0.25">
      <c r="A29" t="s">
        <v>32</v>
      </c>
      <c r="B29">
        <v>0.76957219099999996</v>
      </c>
      <c r="C29">
        <v>0.771817164</v>
      </c>
      <c r="D29">
        <v>0.78552173950000004</v>
      </c>
      <c r="E29">
        <v>0.77333739349999997</v>
      </c>
      <c r="F29">
        <v>0.69855224699999996</v>
      </c>
      <c r="G29">
        <v>0.71226070049999901</v>
      </c>
      <c r="H29">
        <v>0.773592222</v>
      </c>
      <c r="I29">
        <v>0.76798645399999999</v>
      </c>
      <c r="J29">
        <v>0.7563906655</v>
      </c>
      <c r="K29">
        <v>0.72541048299999999</v>
      </c>
      <c r="L29">
        <v>0.74867457049999997</v>
      </c>
      <c r="M29">
        <v>0.77382161049999998</v>
      </c>
      <c r="N29">
        <v>0.75131557849999997</v>
      </c>
      <c r="O29">
        <v>0.75904434850000002</v>
      </c>
      <c r="P29">
        <v>0.67891565050000002</v>
      </c>
      <c r="Q29">
        <v>0.70024108200000001</v>
      </c>
      <c r="R29">
        <v>0.740701163</v>
      </c>
      <c r="S29">
        <v>0.74046465699999997</v>
      </c>
      <c r="T29">
        <v>0.74873955049999996</v>
      </c>
      <c r="U29">
        <v>0.73845619600000001</v>
      </c>
      <c r="V29">
        <v>0.726575334499999</v>
      </c>
      <c r="W29">
        <v>0.78202204350000004</v>
      </c>
      <c r="X29">
        <v>0.83594533650000002</v>
      </c>
      <c r="Y29">
        <v>0.78025976949999998</v>
      </c>
      <c r="Z29">
        <v>0.75657462549999999</v>
      </c>
      <c r="AA29">
        <v>0.70298291499999999</v>
      </c>
      <c r="AB29">
        <v>0.68254177999999999</v>
      </c>
      <c r="AC29">
        <v>0.684465781</v>
      </c>
      <c r="AD29">
        <v>0.69437548549999994</v>
      </c>
      <c r="AE29">
        <v>0.7037178785</v>
      </c>
      <c r="AF29">
        <v>0.672222341</v>
      </c>
      <c r="AG29">
        <v>0.67980481400000004</v>
      </c>
      <c r="AH29">
        <v>0.74230587949999904</v>
      </c>
      <c r="AI29">
        <v>0.76352864149999999</v>
      </c>
      <c r="AJ29">
        <v>0.72191215399999997</v>
      </c>
      <c r="AK29">
        <v>0.72191215399999997</v>
      </c>
      <c r="AL29">
        <v>0.77710206100000001</v>
      </c>
      <c r="AM29">
        <v>0.73831050949999999</v>
      </c>
      <c r="AN29">
        <v>0.65388842250000001</v>
      </c>
      <c r="AO29">
        <v>0.66321230600000003</v>
      </c>
      <c r="AP29">
        <v>0.73972780449999997</v>
      </c>
      <c r="AQ29">
        <v>0.72333429699999996</v>
      </c>
      <c r="AR29">
        <v>0.71002781749999999</v>
      </c>
      <c r="AS29">
        <v>0.72868923050000001</v>
      </c>
      <c r="AT29">
        <v>0.66863318549999995</v>
      </c>
      <c r="AU29">
        <v>0.65794700399999995</v>
      </c>
      <c r="AV29">
        <v>0.69552619199999999</v>
      </c>
      <c r="AW29">
        <v>0.73331566249999902</v>
      </c>
      <c r="AX29">
        <v>0.74682702999999995</v>
      </c>
      <c r="AY29">
        <v>0.76967573</v>
      </c>
      <c r="AZ29">
        <v>0.7477791265</v>
      </c>
      <c r="BA29">
        <v>0.71824162000000003</v>
      </c>
      <c r="BB29">
        <v>0.72944691949999996</v>
      </c>
      <c r="BC29">
        <v>0.68032893350000001</v>
      </c>
      <c r="BD29">
        <v>0.62184915699999999</v>
      </c>
      <c r="BE29">
        <v>0.63156217000000003</v>
      </c>
      <c r="BF29">
        <v>0.66496995749999999</v>
      </c>
      <c r="BG29">
        <v>0.67182250649999997</v>
      </c>
      <c r="BH29">
        <v>0.69815132099999999</v>
      </c>
      <c r="BI29">
        <v>1.3141996124999999</v>
      </c>
      <c r="BJ29">
        <v>12.6789259225</v>
      </c>
      <c r="BK29">
        <v>22.620213794999898</v>
      </c>
      <c r="BL29">
        <v>19.508647905</v>
      </c>
      <c r="BM29">
        <v>15.20489341</v>
      </c>
      <c r="BN29">
        <v>17.173613769999999</v>
      </c>
      <c r="BO29">
        <v>19.879890565</v>
      </c>
      <c r="BP29">
        <v>18.271869219999999</v>
      </c>
      <c r="BQ29">
        <v>17.106053899999999</v>
      </c>
      <c r="BR29">
        <v>15.6821315249999</v>
      </c>
      <c r="BS29">
        <v>15.17592808</v>
      </c>
      <c r="BT29">
        <v>14.28611474</v>
      </c>
      <c r="BU29">
        <v>11.657254006500001</v>
      </c>
      <c r="BV29">
        <v>9.6026396404999996</v>
      </c>
      <c r="BW29">
        <v>9.2022879035000003</v>
      </c>
      <c r="BX29">
        <v>7.7941709709999998</v>
      </c>
      <c r="BY29">
        <v>5.7733400259999996</v>
      </c>
      <c r="BZ29">
        <v>5.1560535449999998</v>
      </c>
      <c r="CA29">
        <v>4.4556949205</v>
      </c>
      <c r="CB29">
        <v>3.5644504299999999</v>
      </c>
      <c r="CC29">
        <v>3.44414985149999</v>
      </c>
      <c r="CD29">
        <v>3.4561308749999999</v>
      </c>
      <c r="CE29">
        <v>3.188326338</v>
      </c>
      <c r="CF29">
        <v>2.8661624744999998</v>
      </c>
      <c r="CG29">
        <v>2.6512377974999999</v>
      </c>
      <c r="CH29">
        <v>2.6445850609999999</v>
      </c>
      <c r="CI29">
        <v>2.3885584199999998</v>
      </c>
      <c r="CJ29">
        <v>2.4828400044999999</v>
      </c>
      <c r="CK29">
        <v>2.5050373965000001</v>
      </c>
      <c r="CL29">
        <v>2.248553292</v>
      </c>
      <c r="CM29">
        <v>2.1564305309999998</v>
      </c>
      <c r="CN29">
        <v>2.2236830264999998</v>
      </c>
      <c r="CO29">
        <v>2.2059633774999998</v>
      </c>
    </row>
    <row r="30" spans="1:97" x14ac:dyDescent="0.25">
      <c r="A30" t="s">
        <v>33</v>
      </c>
      <c r="B30">
        <v>3.5860742621723E-2</v>
      </c>
      <c r="C30">
        <v>3.6031721006687598E-2</v>
      </c>
      <c r="D30">
        <v>3.70822885138168E-2</v>
      </c>
      <c r="E30">
        <v>3.6147681449864001E-2</v>
      </c>
      <c r="F30">
        <v>3.0616466280197801E-2</v>
      </c>
      <c r="G30">
        <v>3.1603623840928199E-2</v>
      </c>
      <c r="H30">
        <v>3.6167133451851498E-2</v>
      </c>
      <c r="I30">
        <v>3.5740162057316997E-2</v>
      </c>
      <c r="J30">
        <v>3.4863203843414799E-2</v>
      </c>
      <c r="K30">
        <v>3.2561921213491003E-2</v>
      </c>
      <c r="L30">
        <v>3.4284345518989102E-2</v>
      </c>
      <c r="M30">
        <v>3.61846469932494E-2</v>
      </c>
      <c r="N30">
        <v>3.4482049953938797E-2</v>
      </c>
      <c r="O30">
        <v>3.5063149260017398E-2</v>
      </c>
      <c r="P30">
        <v>2.9223669143336899E-2</v>
      </c>
      <c r="Q30">
        <v>3.07374243962448E-2</v>
      </c>
      <c r="R30">
        <v>3.3690137816155E-2</v>
      </c>
      <c r="S30">
        <v>3.3672574050783999E-2</v>
      </c>
      <c r="T30">
        <v>3.4289204598494598E-2</v>
      </c>
      <c r="U30">
        <v>3.3523561820745701E-2</v>
      </c>
      <c r="V30">
        <v>3.26473446292916E-2</v>
      </c>
      <c r="W30">
        <v>3.6812896220749097E-2</v>
      </c>
      <c r="X30">
        <v>4.10475224088157E-2</v>
      </c>
      <c r="Y30">
        <v>3.6677531928643703E-2</v>
      </c>
      <c r="Z30">
        <v>3.4877050264882498E-2</v>
      </c>
      <c r="AA30">
        <v>3.0934193999297699E-2</v>
      </c>
      <c r="AB30">
        <v>2.9478971461762399E-2</v>
      </c>
      <c r="AC30">
        <v>2.9614782499458599E-2</v>
      </c>
      <c r="AD30">
        <v>3.0318111966361E-2</v>
      </c>
      <c r="AE30">
        <v>3.0987021861663501E-2</v>
      </c>
      <c r="AF30">
        <v>2.8754682220963199E-2</v>
      </c>
      <c r="AG30">
        <v>2.9286192180228099E-2</v>
      </c>
      <c r="AH30">
        <v>3.3809403425801E-2</v>
      </c>
      <c r="AI30">
        <v>3.5402030808303897E-2</v>
      </c>
      <c r="AJ30">
        <v>3.2305895986820099E-2</v>
      </c>
      <c r="AK30">
        <v>3.2305895986820099E-2</v>
      </c>
      <c r="AL30">
        <v>3.6435464870331502E-2</v>
      </c>
      <c r="AM30">
        <v>3.35127629784054E-2</v>
      </c>
      <c r="AN30">
        <v>2.7485180682136099E-2</v>
      </c>
      <c r="AO30">
        <v>2.8128021209514398E-2</v>
      </c>
      <c r="AP30">
        <v>3.36178755613828E-2</v>
      </c>
      <c r="AQ30">
        <v>3.24098810312713E-2</v>
      </c>
      <c r="AR30">
        <v>3.1442004906925301E-2</v>
      </c>
      <c r="AS30">
        <v>3.2802586882965598E-2</v>
      </c>
      <c r="AT30">
        <v>2.8504410023156401E-2</v>
      </c>
      <c r="AU30">
        <v>2.77642938645139E-2</v>
      </c>
      <c r="AV30">
        <v>3.0400196166896098E-2</v>
      </c>
      <c r="AW30">
        <v>3.3143342105840801E-2</v>
      </c>
      <c r="AX30">
        <v>3.4146301703777603E-2</v>
      </c>
      <c r="AY30">
        <v>3.5868621274444901E-2</v>
      </c>
      <c r="AZ30">
        <v>3.4217413123095002E-2</v>
      </c>
      <c r="BA30">
        <v>3.2038110825382903E-2</v>
      </c>
      <c r="BB30">
        <v>3.2858300220390699E-2</v>
      </c>
      <c r="BC30">
        <v>2.9323070787786801E-2</v>
      </c>
      <c r="BD30">
        <v>2.53204259635437E-2</v>
      </c>
      <c r="BE30">
        <v>2.5969414167864802E-2</v>
      </c>
      <c r="BF30">
        <v>2.82498480320971E-2</v>
      </c>
      <c r="BG30">
        <v>2.8726759757811401E-2</v>
      </c>
      <c r="BH30">
        <v>3.0587778226235301E-2</v>
      </c>
      <c r="BI30">
        <v>8.5926037189388099E-2</v>
      </c>
      <c r="BJ30">
        <v>3.48005450285395</v>
      </c>
      <c r="BK30">
        <v>8.9561293983965804</v>
      </c>
      <c r="BL30">
        <v>7.0335509269064902</v>
      </c>
      <c r="BM30">
        <v>4.6819131223995099</v>
      </c>
      <c r="BN30">
        <v>5.7117388892188403</v>
      </c>
      <c r="BO30">
        <v>7.25342112341513</v>
      </c>
      <c r="BP30">
        <v>6.3201606046890904</v>
      </c>
      <c r="BQ30">
        <v>5.6750939673410796</v>
      </c>
      <c r="BR30">
        <v>4.9242451304819204</v>
      </c>
      <c r="BS30">
        <v>4.6673579923078199</v>
      </c>
      <c r="BT30">
        <v>4.2288470590868403</v>
      </c>
      <c r="BU30">
        <v>3.0339451282385999</v>
      </c>
      <c r="BV30">
        <v>2.2105907652131598</v>
      </c>
      <c r="BW30">
        <v>2.0620926215265101</v>
      </c>
      <c r="BX30">
        <v>1.5722941738723499</v>
      </c>
      <c r="BY30">
        <v>0.96315694501513305</v>
      </c>
      <c r="BZ30">
        <v>0.800766327558882</v>
      </c>
      <c r="CA30">
        <v>0.63092352819127495</v>
      </c>
      <c r="CB30">
        <v>0.43823935174318501</v>
      </c>
      <c r="CC30">
        <v>0.41434676345202098</v>
      </c>
      <c r="CD30">
        <v>0.41670296824863801</v>
      </c>
      <c r="CE30">
        <v>0.36528373211931497</v>
      </c>
      <c r="CF30">
        <v>0.30696522250990699</v>
      </c>
      <c r="CG30">
        <v>0.27027883818596998</v>
      </c>
      <c r="CH30">
        <v>0.26917227002426802</v>
      </c>
      <c r="CI30">
        <v>0.22794010714914101</v>
      </c>
      <c r="CJ30">
        <v>0.242814421757483</v>
      </c>
      <c r="CK30">
        <v>0.246369203196181</v>
      </c>
      <c r="CL30">
        <v>0.20653107253120001</v>
      </c>
      <c r="CM30">
        <v>0.192894276557632</v>
      </c>
      <c r="CN30">
        <v>0.202814031062028</v>
      </c>
      <c r="CO30">
        <v>0.20018168963751501</v>
      </c>
    </row>
    <row r="31" spans="1:97" x14ac:dyDescent="0.25">
      <c r="A31" t="s">
        <v>34</v>
      </c>
      <c r="B31" s="1">
        <v>44776.000694444447</v>
      </c>
      <c r="C31" s="1">
        <v>44776.011111111111</v>
      </c>
      <c r="D31" s="1">
        <v>44776.021527777775</v>
      </c>
      <c r="E31" s="1">
        <v>44776.031944444447</v>
      </c>
      <c r="F31" s="1">
        <v>44776.042361111111</v>
      </c>
      <c r="G31" s="1">
        <v>44776.052777777775</v>
      </c>
      <c r="H31" s="1">
        <v>44776.063194444447</v>
      </c>
      <c r="I31" s="1">
        <v>44776.073611111111</v>
      </c>
      <c r="J31" s="1">
        <v>44776.084027777775</v>
      </c>
      <c r="K31" s="1">
        <v>44776.094444444447</v>
      </c>
      <c r="L31" s="1">
        <v>44776.104861111111</v>
      </c>
      <c r="M31" s="1">
        <v>44776.115277777775</v>
      </c>
      <c r="N31" s="1">
        <v>44776.125694444447</v>
      </c>
      <c r="O31" s="1">
        <v>44776.136111111111</v>
      </c>
      <c r="P31" s="1">
        <v>44776.146527777775</v>
      </c>
      <c r="Q31" s="1">
        <v>44776.156944444447</v>
      </c>
      <c r="R31" s="1">
        <v>44776.167361111111</v>
      </c>
      <c r="S31" s="1">
        <v>44776.177777777775</v>
      </c>
      <c r="T31" s="1">
        <v>44776.188194444447</v>
      </c>
      <c r="U31" s="1">
        <v>44776.198611111111</v>
      </c>
      <c r="V31" s="1">
        <v>44776.209027777775</v>
      </c>
      <c r="W31" s="1">
        <v>44776.219444444447</v>
      </c>
      <c r="X31" s="1">
        <v>44776.229861111111</v>
      </c>
      <c r="Y31" s="1">
        <v>44776.240277777775</v>
      </c>
      <c r="Z31" s="1">
        <v>44776.250694444447</v>
      </c>
      <c r="AA31" s="1">
        <v>44776.261111111111</v>
      </c>
      <c r="AB31" s="1">
        <v>44776.271527777775</v>
      </c>
      <c r="AC31" s="1">
        <v>44776.281944444447</v>
      </c>
      <c r="AD31" s="1">
        <v>44776.292361111111</v>
      </c>
      <c r="AE31" s="1">
        <v>44776.302777777775</v>
      </c>
      <c r="AF31" s="1">
        <v>44776.313194444447</v>
      </c>
      <c r="AG31" s="1">
        <v>44776.323611111111</v>
      </c>
      <c r="AH31" s="1">
        <v>44776.334027777775</v>
      </c>
      <c r="AI31" s="1">
        <v>44776.344444444447</v>
      </c>
      <c r="AJ31" s="1">
        <v>44776.354861111111</v>
      </c>
      <c r="AK31" s="1">
        <v>44776.365277777775</v>
      </c>
      <c r="AL31" s="1">
        <v>44776.375694444447</v>
      </c>
      <c r="AM31" s="1">
        <v>44776.386111111111</v>
      </c>
      <c r="AN31" s="1">
        <v>44776.396527777775</v>
      </c>
      <c r="AO31" s="1">
        <v>44776.406944444447</v>
      </c>
      <c r="AP31" s="1">
        <v>44776.417361111111</v>
      </c>
      <c r="AQ31" s="1">
        <v>44776.427777777775</v>
      </c>
      <c r="AR31" s="1">
        <v>44776.438194444447</v>
      </c>
      <c r="AS31" s="1">
        <v>44776.448611111111</v>
      </c>
      <c r="AT31" s="1">
        <v>44776.459027777775</v>
      </c>
      <c r="AU31" s="1">
        <v>44776.469444444447</v>
      </c>
      <c r="AV31" s="1">
        <v>44776.479861111111</v>
      </c>
      <c r="AW31" s="1">
        <v>44776.490277777775</v>
      </c>
      <c r="AX31" s="1">
        <v>44776.500694444447</v>
      </c>
      <c r="AY31" s="1">
        <v>44776.511111111111</v>
      </c>
      <c r="AZ31" s="1">
        <v>44776.521527777775</v>
      </c>
      <c r="BA31" s="1">
        <v>44776.531944444447</v>
      </c>
      <c r="BB31" s="1">
        <v>44776.542361111111</v>
      </c>
      <c r="BC31" s="1">
        <v>44776.552777777775</v>
      </c>
      <c r="BD31" s="1">
        <v>44776.563194444447</v>
      </c>
      <c r="BE31" s="1">
        <v>44776.573611111111</v>
      </c>
      <c r="BF31" s="1">
        <v>44776.584027777775</v>
      </c>
      <c r="BG31" s="1">
        <v>44776.594444444447</v>
      </c>
      <c r="BH31" s="1">
        <v>44776.604861111111</v>
      </c>
      <c r="BI31" s="1">
        <v>44776.615277777775</v>
      </c>
      <c r="BJ31" s="1">
        <v>44776.625694444447</v>
      </c>
      <c r="BK31" s="1">
        <v>44776.636111111111</v>
      </c>
      <c r="BL31" s="1">
        <v>44776.646527777775</v>
      </c>
      <c r="BM31" s="1">
        <v>44776.656944444447</v>
      </c>
      <c r="BN31" s="1">
        <v>44776.667361111111</v>
      </c>
      <c r="BO31" s="1">
        <v>44776.677777777775</v>
      </c>
      <c r="BP31" s="1">
        <v>44776.688194444447</v>
      </c>
      <c r="BQ31" s="1">
        <v>44776.698611111111</v>
      </c>
      <c r="BR31" s="1">
        <v>44776.709027777775</v>
      </c>
      <c r="BS31" s="1">
        <v>44776.719444444447</v>
      </c>
      <c r="BT31" s="1">
        <v>44776.729861111111</v>
      </c>
      <c r="BU31" s="1">
        <v>44776.740277777775</v>
      </c>
      <c r="BV31" s="1">
        <v>44776.750694444447</v>
      </c>
      <c r="BW31" s="1">
        <v>44776.761111111111</v>
      </c>
      <c r="BX31" s="1">
        <v>44776.771527777775</v>
      </c>
      <c r="BY31" s="1">
        <v>44776.781944444447</v>
      </c>
      <c r="BZ31" s="1">
        <v>44776.792361111111</v>
      </c>
      <c r="CA31" s="1">
        <v>44776.802777777775</v>
      </c>
      <c r="CB31" s="1">
        <v>44776.813194444447</v>
      </c>
      <c r="CC31" s="1">
        <v>44776.823611111111</v>
      </c>
      <c r="CD31" s="1">
        <v>44776.834027777775</v>
      </c>
      <c r="CE31" s="1">
        <v>44776.844444444447</v>
      </c>
      <c r="CF31" s="1">
        <v>44776.854861111111</v>
      </c>
      <c r="CG31" s="1">
        <v>44776.865277777775</v>
      </c>
      <c r="CH31" s="1">
        <v>44776.875694444447</v>
      </c>
      <c r="CI31" s="1">
        <v>44776.917361111111</v>
      </c>
      <c r="CJ31" s="1">
        <v>44776.948611111111</v>
      </c>
      <c r="CK31" s="1">
        <v>44776.959027777775</v>
      </c>
      <c r="CL31" s="1">
        <v>44776.969444444447</v>
      </c>
      <c r="CM31" s="1">
        <v>44776.979861111111</v>
      </c>
      <c r="CN31" s="1">
        <v>44776.990277777775</v>
      </c>
      <c r="CO31" s="1">
        <v>44777.000694444447</v>
      </c>
      <c r="CP31" s="1"/>
      <c r="CQ31" s="1"/>
      <c r="CR31" s="1"/>
      <c r="CS31" s="1"/>
    </row>
    <row r="32" spans="1:97" x14ac:dyDescent="0.25">
      <c r="BJ32" t="s">
        <v>45</v>
      </c>
    </row>
    <row r="33" spans="1:27" x14ac:dyDescent="0.25">
      <c r="C33" s="4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7" x14ac:dyDescent="0.25">
      <c r="A34" s="5" t="str">
        <f>A2</f>
        <v>max_amp</v>
      </c>
      <c r="B34" s="9">
        <f>MAX(B2:CS2)</f>
        <v>8.1790313970628494E-3</v>
      </c>
      <c r="C34" s="6">
        <f>_xlfn.XLOOKUP(MAX(B2:CS2), B2:CS2, $B$1:$CS$1)</f>
        <v>44776.625694444447</v>
      </c>
      <c r="E34" s="1">
        <v>44776.000694444447</v>
      </c>
      <c r="F34" s="2">
        <v>1.4759553889287601E-5</v>
      </c>
      <c r="G34" s="2">
        <v>1.0629227310376299E-5</v>
      </c>
      <c r="H34" s="2">
        <v>1.04549384711816E-5</v>
      </c>
      <c r="V34">
        <v>1</v>
      </c>
      <c r="W34">
        <v>2</v>
      </c>
      <c r="X34">
        <v>3</v>
      </c>
    </row>
    <row r="35" spans="1:27" x14ac:dyDescent="0.25">
      <c r="A35" s="5" t="str">
        <f t="shared" ref="A35:A60" si="0">A3</f>
        <v>mean_amp</v>
      </c>
      <c r="B35" s="9">
        <f t="shared" ref="B35:B60" si="1">MAX(B3:CS3)</f>
        <v>5.4176649343818696E-3</v>
      </c>
      <c r="C35" s="6">
        <f t="shared" ref="C35:C59" si="2">_xlfn.XLOOKUP(MAX(B3:CS3), B3:CS3, $B$1:$CS$1)</f>
        <v>44776.625694444447</v>
      </c>
      <c r="E35" s="1">
        <v>44776.011111111111</v>
      </c>
      <c r="F35" s="2">
        <v>1.8543446814676999E-5</v>
      </c>
      <c r="G35" s="2">
        <v>1.24325792145142E-5</v>
      </c>
      <c r="H35" s="2">
        <v>1.2176312160274201E-5</v>
      </c>
      <c r="T35" t="s">
        <v>0</v>
      </c>
      <c r="U35">
        <v>2.7100659833378001E-2</v>
      </c>
      <c r="V35">
        <v>2.69809798557826E-2</v>
      </c>
      <c r="X35">
        <v>8.1790313970628494E-3</v>
      </c>
    </row>
    <row r="36" spans="1:27" x14ac:dyDescent="0.25">
      <c r="A36" s="5" t="str">
        <f t="shared" si="0"/>
        <v>median_amp</v>
      </c>
      <c r="B36" s="9">
        <f t="shared" si="1"/>
        <v>5.5430990408714903E-3</v>
      </c>
      <c r="C36" s="6">
        <f t="shared" si="2"/>
        <v>44776.625694444447</v>
      </c>
      <c r="E36" s="1">
        <v>44776.021527777775</v>
      </c>
      <c r="F36" s="2">
        <v>1.6884980574401601E-5</v>
      </c>
      <c r="G36" s="2">
        <v>1.19487285009386E-5</v>
      </c>
      <c r="H36" s="2">
        <v>1.16027725907294E-5</v>
      </c>
      <c r="T36" t="s">
        <v>1</v>
      </c>
      <c r="U36">
        <v>1.73415591077304E-2</v>
      </c>
      <c r="V36">
        <v>1.7871787179046798E-2</v>
      </c>
      <c r="X36">
        <v>5.4176649343818696E-3</v>
      </c>
    </row>
    <row r="37" spans="1:27" x14ac:dyDescent="0.25">
      <c r="A37" t="str">
        <f t="shared" si="0"/>
        <v>impulses_ch6</v>
      </c>
      <c r="B37">
        <f t="shared" si="1"/>
        <v>0</v>
      </c>
      <c r="C37" s="3">
        <f>_xlfn.XLOOKUP(MAX(B5:CS5), B5:CS5, $B$1:$CS$1)</f>
        <v>44776.000694444447</v>
      </c>
      <c r="E37" s="1">
        <v>44776.031944444447</v>
      </c>
      <c r="F37" s="2">
        <v>1.5706647745415101E-5</v>
      </c>
      <c r="G37" s="2">
        <v>1.11795251698689E-5</v>
      </c>
      <c r="H37" s="2">
        <v>1.09664281599647E-5</v>
      </c>
      <c r="T37" t="s">
        <v>2</v>
      </c>
      <c r="U37">
        <v>1.75334302078048E-2</v>
      </c>
      <c r="V37">
        <v>1.82855690728208E-2</v>
      </c>
      <c r="X37">
        <v>5.5430990408714903E-3</v>
      </c>
    </row>
    <row r="38" spans="1:27" x14ac:dyDescent="0.25">
      <c r="A38" t="str">
        <f t="shared" si="0"/>
        <v>impulses_ch5</v>
      </c>
      <c r="B38">
        <f t="shared" si="1"/>
        <v>2</v>
      </c>
      <c r="C38" s="3">
        <f t="shared" si="2"/>
        <v>44776.625694444447</v>
      </c>
      <c r="E38" s="1">
        <v>44776.042361111111</v>
      </c>
      <c r="F38" s="2">
        <v>1.3028536708957599E-5</v>
      </c>
      <c r="G38" s="2">
        <v>9.0165689956400296E-6</v>
      </c>
      <c r="H38" s="2">
        <v>8.6482468321952598E-6</v>
      </c>
      <c r="T38" t="s">
        <v>3</v>
      </c>
      <c r="U38">
        <v>0</v>
      </c>
      <c r="V38">
        <v>1</v>
      </c>
      <c r="X38">
        <v>0</v>
      </c>
    </row>
    <row r="39" spans="1:27" x14ac:dyDescent="0.25">
      <c r="A39" t="str">
        <f t="shared" si="0"/>
        <v>impulses_ch4</v>
      </c>
      <c r="B39">
        <f t="shared" si="1"/>
        <v>59</v>
      </c>
      <c r="C39" s="3">
        <f t="shared" si="2"/>
        <v>44776.625694444447</v>
      </c>
      <c r="E39" s="1">
        <v>44776.052777777775</v>
      </c>
      <c r="F39" s="2">
        <v>1.20542255196659E-5</v>
      </c>
      <c r="G39" s="2">
        <v>8.8628450343828502E-6</v>
      </c>
      <c r="H39" s="2">
        <v>8.5549778090148194E-6</v>
      </c>
      <c r="T39" t="s">
        <v>4</v>
      </c>
      <c r="U39">
        <v>11</v>
      </c>
      <c r="V39">
        <v>42</v>
      </c>
      <c r="X39">
        <v>2</v>
      </c>
    </row>
    <row r="40" spans="1:27" x14ac:dyDescent="0.25">
      <c r="A40" s="5" t="str">
        <f t="shared" si="0"/>
        <v>impulses_ch3</v>
      </c>
      <c r="B40" s="5">
        <f>MAX(B8:CO8)</f>
        <v>949</v>
      </c>
      <c r="C40" s="6">
        <f t="shared" si="2"/>
        <v>44776.625694444447</v>
      </c>
      <c r="E40" s="1">
        <v>44776.063194444447</v>
      </c>
      <c r="F40" s="2">
        <v>1.54578391725111E-5</v>
      </c>
      <c r="G40" s="2">
        <v>1.0752909747164799E-5</v>
      </c>
      <c r="H40" s="2">
        <v>1.02639278622505E-5</v>
      </c>
      <c r="T40" t="s">
        <v>5</v>
      </c>
      <c r="U40">
        <v>199</v>
      </c>
      <c r="V40">
        <v>644</v>
      </c>
      <c r="X40">
        <v>59</v>
      </c>
    </row>
    <row r="41" spans="1:27" x14ac:dyDescent="0.25">
      <c r="A41" s="5" t="str">
        <f t="shared" si="0"/>
        <v>impulses_ch2</v>
      </c>
      <c r="B41" s="5">
        <f t="shared" ref="B41:B42" si="3">MAX(B9:CO9)</f>
        <v>12357</v>
      </c>
      <c r="C41" s="6">
        <f t="shared" si="2"/>
        <v>44776.636111111111</v>
      </c>
      <c r="E41" s="1">
        <v>44776.073611111111</v>
      </c>
      <c r="F41" s="2">
        <v>1.61253218261922E-5</v>
      </c>
      <c r="G41" s="2">
        <v>1.07065203212858E-5</v>
      </c>
      <c r="H41" s="2">
        <v>1.03972506745938E-5</v>
      </c>
      <c r="T41" t="s">
        <v>6</v>
      </c>
      <c r="U41">
        <v>2627</v>
      </c>
      <c r="V41">
        <v>7815</v>
      </c>
      <c r="X41">
        <v>949</v>
      </c>
    </row>
    <row r="42" spans="1:27" x14ac:dyDescent="0.25">
      <c r="A42" s="5" t="str">
        <f t="shared" si="0"/>
        <v>impulses_ch1</v>
      </c>
      <c r="B42" s="5">
        <f t="shared" si="3"/>
        <v>36103</v>
      </c>
      <c r="C42" s="6">
        <f t="shared" si="2"/>
        <v>44776.646527777775</v>
      </c>
      <c r="E42" s="1">
        <v>44776.084027777775</v>
      </c>
      <c r="F42" s="2">
        <v>1.57427849241336E-5</v>
      </c>
      <c r="G42" s="2">
        <v>1.06240985257254E-5</v>
      </c>
      <c r="H42" s="2">
        <v>1.02113273020597E-5</v>
      </c>
      <c r="T42" t="s">
        <v>7</v>
      </c>
      <c r="U42">
        <v>11852</v>
      </c>
      <c r="V42">
        <v>28605</v>
      </c>
      <c r="X42">
        <v>12357</v>
      </c>
    </row>
    <row r="43" spans="1:27" x14ac:dyDescent="0.25">
      <c r="A43" t="str">
        <f t="shared" si="0"/>
        <v>max_env_ch6</v>
      </c>
      <c r="B43">
        <f t="shared" si="1"/>
        <v>0</v>
      </c>
      <c r="C43" s="3">
        <f t="shared" si="2"/>
        <v>44776.000694444447</v>
      </c>
      <c r="E43" s="1">
        <v>44776.094444444447</v>
      </c>
      <c r="F43" s="2">
        <v>1.4629990650928901E-5</v>
      </c>
      <c r="G43" s="2">
        <v>9.9242530322977599E-6</v>
      </c>
      <c r="H43" s="2">
        <v>9.7597933020790898E-6</v>
      </c>
      <c r="T43" t="s">
        <v>8</v>
      </c>
      <c r="U43">
        <v>15119</v>
      </c>
      <c r="V43">
        <v>45929</v>
      </c>
      <c r="X43">
        <v>36103</v>
      </c>
    </row>
    <row r="44" spans="1:27" x14ac:dyDescent="0.25">
      <c r="A44" t="str">
        <f t="shared" si="0"/>
        <v>mean_env_ch6</v>
      </c>
      <c r="B44">
        <f t="shared" si="1"/>
        <v>0</v>
      </c>
      <c r="C44" s="3">
        <f t="shared" si="2"/>
        <v>44776.000694444447</v>
      </c>
      <c r="E44" s="1">
        <v>44776.104861111111</v>
      </c>
      <c r="F44" s="2">
        <v>1.6465458569877701E-5</v>
      </c>
      <c r="G44" s="2">
        <v>1.05896251401876E-5</v>
      </c>
      <c r="H44" s="2">
        <v>1.02021371084007E-5</v>
      </c>
    </row>
    <row r="45" spans="1:27" x14ac:dyDescent="0.25">
      <c r="A45" t="str">
        <f t="shared" si="0"/>
        <v>median_env_ch6</v>
      </c>
      <c r="B45">
        <f t="shared" si="1"/>
        <v>0</v>
      </c>
      <c r="C45" s="3">
        <f t="shared" si="2"/>
        <v>44776.000694444447</v>
      </c>
      <c r="E45" s="1">
        <v>44776.115277777775</v>
      </c>
      <c r="F45" s="2">
        <v>1.4635788270814601E-5</v>
      </c>
      <c r="G45" s="2">
        <v>1.1498359314009701E-5</v>
      </c>
      <c r="H45" s="2">
        <v>1.1385787841551101E-5</v>
      </c>
      <c r="U45" t="s">
        <v>37</v>
      </c>
    </row>
    <row r="46" spans="1:27" x14ac:dyDescent="0.25">
      <c r="A46" t="str">
        <f t="shared" si="0"/>
        <v>max_env_ch5</v>
      </c>
      <c r="B46">
        <f t="shared" si="1"/>
        <v>2.9523161113893501E-2</v>
      </c>
      <c r="C46" s="3">
        <f t="shared" si="2"/>
        <v>44776.625694444447</v>
      </c>
      <c r="E46" s="1">
        <v>44776.125694444447</v>
      </c>
      <c r="F46" s="2">
        <v>1.65602700996057E-5</v>
      </c>
      <c r="G46" s="2">
        <v>1.0772845940727699E-5</v>
      </c>
      <c r="H46" s="2">
        <v>1.05547947180914E-5</v>
      </c>
      <c r="U46" t="s">
        <v>35</v>
      </c>
      <c r="V46" t="s">
        <v>36</v>
      </c>
      <c r="W46" t="s">
        <v>38</v>
      </c>
      <c r="Y46" t="s">
        <v>35</v>
      </c>
      <c r="Z46" t="s">
        <v>36</v>
      </c>
      <c r="AA46" t="s">
        <v>38</v>
      </c>
    </row>
    <row r="47" spans="1:27" x14ac:dyDescent="0.25">
      <c r="A47" t="str">
        <f t="shared" si="0"/>
        <v>mean_env_ch5</v>
      </c>
      <c r="B47">
        <f t="shared" si="1"/>
        <v>2.5204113549865102E-2</v>
      </c>
      <c r="C47" s="3">
        <f t="shared" si="2"/>
        <v>44776.625694444447</v>
      </c>
      <c r="E47" s="1">
        <v>44776.136111111111</v>
      </c>
      <c r="F47" s="2">
        <v>1.46944910904199E-5</v>
      </c>
      <c r="G47" s="2">
        <v>1.07040019274636E-5</v>
      </c>
      <c r="H47" s="2">
        <v>1.03082454236786E-5</v>
      </c>
      <c r="T47" t="s">
        <v>39</v>
      </c>
      <c r="U47" s="2">
        <f>B43</f>
        <v>0</v>
      </c>
      <c r="V47" s="2">
        <f>B44</f>
        <v>0</v>
      </c>
      <c r="W47" s="2">
        <f>B45</f>
        <v>0</v>
      </c>
      <c r="Y47">
        <v>0</v>
      </c>
      <c r="Z47">
        <v>0</v>
      </c>
      <c r="AA47">
        <v>0</v>
      </c>
    </row>
    <row r="48" spans="1:27" x14ac:dyDescent="0.25">
      <c r="A48" t="str">
        <f t="shared" si="0"/>
        <v>median_env_ch5</v>
      </c>
      <c r="B48">
        <f t="shared" si="1"/>
        <v>2.5204113549865102E-2</v>
      </c>
      <c r="C48" s="3">
        <f t="shared" si="2"/>
        <v>44776.625694444447</v>
      </c>
      <c r="E48" s="1">
        <v>44776.146527777775</v>
      </c>
      <c r="F48" s="2">
        <v>1.34725060950737E-5</v>
      </c>
      <c r="G48" s="2">
        <v>8.8951187208146398E-6</v>
      </c>
      <c r="H48" s="2">
        <v>8.80810468863882E-6</v>
      </c>
      <c r="T48" t="s">
        <v>40</v>
      </c>
      <c r="U48" s="2">
        <f>B46</f>
        <v>2.9523161113893501E-2</v>
      </c>
      <c r="V48" s="2">
        <f>B47</f>
        <v>2.5204113549865102E-2</v>
      </c>
      <c r="W48" s="2">
        <f>B48</f>
        <v>2.5204113549865102E-2</v>
      </c>
      <c r="Y48">
        <v>0.108402639333512</v>
      </c>
      <c r="Z48">
        <v>8.5195492688122099E-2</v>
      </c>
      <c r="AA48">
        <v>8.1549751061042799E-2</v>
      </c>
    </row>
    <row r="49" spans="1:27" x14ac:dyDescent="0.25">
      <c r="A49" t="str">
        <f t="shared" si="0"/>
        <v>max_env_ch4</v>
      </c>
      <c r="B49">
        <f t="shared" si="1"/>
        <v>0.12728331036171001</v>
      </c>
      <c r="C49" s="3">
        <f t="shared" si="2"/>
        <v>44776.625694444447</v>
      </c>
      <c r="E49" s="1">
        <v>44776.156944444447</v>
      </c>
      <c r="F49" s="2">
        <v>1.3308281530339501E-5</v>
      </c>
      <c r="G49" s="2">
        <v>9.3871941506206802E-6</v>
      </c>
      <c r="H49" s="2">
        <v>9.0884139945656306E-6</v>
      </c>
      <c r="T49" t="s">
        <v>41</v>
      </c>
      <c r="U49" s="2">
        <f>B49</f>
        <v>0.12728331036171001</v>
      </c>
      <c r="V49" s="2">
        <f>B50</f>
        <v>9.4938102620995196E-2</v>
      </c>
      <c r="W49" s="2">
        <f>B51</f>
        <v>9.3257614277382203E-2</v>
      </c>
      <c r="Y49">
        <v>0.43361055733404802</v>
      </c>
      <c r="Z49">
        <v>0.283546008743847</v>
      </c>
      <c r="AA49">
        <v>0.28905210154241401</v>
      </c>
    </row>
    <row r="50" spans="1:27" x14ac:dyDescent="0.25">
      <c r="A50" t="str">
        <f t="shared" si="0"/>
        <v>mean_env_ch4</v>
      </c>
      <c r="B50">
        <f t="shared" si="1"/>
        <v>9.4938102620995196E-2</v>
      </c>
      <c r="C50" s="3">
        <f t="shared" si="2"/>
        <v>44776.625694444447</v>
      </c>
      <c r="E50" s="1">
        <v>44776.167361111111</v>
      </c>
      <c r="F50" s="2">
        <v>1.3924575083529201E-5</v>
      </c>
      <c r="G50" s="2">
        <v>1.0273870847885199E-5</v>
      </c>
      <c r="H50" s="2">
        <v>1.0091502807533099E-5</v>
      </c>
      <c r="T50" t="s">
        <v>42</v>
      </c>
      <c r="U50" s="2">
        <f>B52</f>
        <v>0.52345800941202203</v>
      </c>
      <c r="V50" s="2">
        <f>B53</f>
        <v>0.35012056592485002</v>
      </c>
      <c r="W50" s="2">
        <f>B54</f>
        <v>0.35675009900567101</v>
      </c>
      <c r="Y50">
        <v>2.3259290609915499</v>
      </c>
      <c r="Z50">
        <v>2.2279108515780699</v>
      </c>
      <c r="AA50">
        <v>2.22823696464304</v>
      </c>
    </row>
    <row r="51" spans="1:27" x14ac:dyDescent="0.25">
      <c r="A51" t="str">
        <f t="shared" si="0"/>
        <v>median_env_ch4</v>
      </c>
      <c r="B51">
        <f t="shared" si="1"/>
        <v>9.3257614277382203E-2</v>
      </c>
      <c r="C51" s="3">
        <f t="shared" si="2"/>
        <v>44776.625694444447</v>
      </c>
      <c r="E51" s="1">
        <v>44776.177777777775</v>
      </c>
      <c r="F51" s="2">
        <v>1.5470085884041801E-5</v>
      </c>
      <c r="G51" s="2">
        <v>1.0215160266370001E-5</v>
      </c>
      <c r="H51" s="2">
        <v>9.9585751426562706E-6</v>
      </c>
      <c r="T51" t="s">
        <v>43</v>
      </c>
      <c r="U51" s="2">
        <f>B55</f>
        <v>2.0938320376480801</v>
      </c>
      <c r="V51" s="2">
        <f>B56</f>
        <v>1.38692222320175</v>
      </c>
      <c r="W51" s="2">
        <f>B57</f>
        <v>1.4190333544631</v>
      </c>
      <c r="Y51">
        <v>9.3037162439662104</v>
      </c>
      <c r="Z51">
        <v>8.9116434063122991</v>
      </c>
      <c r="AA51">
        <v>8.9129478585721706</v>
      </c>
    </row>
    <row r="52" spans="1:27" x14ac:dyDescent="0.25">
      <c r="A52" s="5" t="str">
        <f t="shared" si="0"/>
        <v>max_env_ch3</v>
      </c>
      <c r="B52" s="5">
        <f t="shared" si="1"/>
        <v>0.52345800941202203</v>
      </c>
      <c r="C52" s="6">
        <f t="shared" si="2"/>
        <v>44776.625694444447</v>
      </c>
      <c r="E52" s="1">
        <v>44776.188194444447</v>
      </c>
      <c r="F52" s="2">
        <v>1.3152428489949399E-5</v>
      </c>
      <c r="G52" s="2">
        <v>9.9217560628822404E-6</v>
      </c>
      <c r="H52" s="2">
        <v>9.8593319287840107E-6</v>
      </c>
      <c r="T52" t="s">
        <v>44</v>
      </c>
      <c r="U52" s="2">
        <f>B58</f>
        <v>8.3753281505923507</v>
      </c>
      <c r="V52" s="2">
        <f>B59</f>
        <v>5.54768889280703</v>
      </c>
      <c r="W52" s="2">
        <f>B60</f>
        <v>5.6761334178523999</v>
      </c>
      <c r="Y52">
        <v>37.214864975864799</v>
      </c>
      <c r="Z52">
        <v>35.646573625249196</v>
      </c>
      <c r="AA52">
        <v>35.651791434288697</v>
      </c>
    </row>
    <row r="53" spans="1:27" x14ac:dyDescent="0.25">
      <c r="A53" s="5" t="str">
        <f t="shared" si="0"/>
        <v>mean_env_ch3</v>
      </c>
      <c r="B53" s="5">
        <f t="shared" si="1"/>
        <v>0.35012056592485002</v>
      </c>
      <c r="C53" s="6">
        <f t="shared" si="2"/>
        <v>44776.625694444447</v>
      </c>
      <c r="E53" s="1">
        <v>44776.198611111111</v>
      </c>
      <c r="F53" s="2">
        <v>1.4225552440334599E-5</v>
      </c>
      <c r="G53" s="2">
        <v>9.0411859903102997E-6</v>
      </c>
      <c r="H53" s="2">
        <v>8.9364238711841903E-6</v>
      </c>
    </row>
    <row r="54" spans="1:27" x14ac:dyDescent="0.25">
      <c r="A54" s="5" t="str">
        <f t="shared" si="0"/>
        <v>median_env_ch3</v>
      </c>
      <c r="B54" s="5">
        <f t="shared" si="1"/>
        <v>0.35675009900567101</v>
      </c>
      <c r="C54" s="6">
        <f t="shared" si="2"/>
        <v>44776.625694444447</v>
      </c>
      <c r="E54" s="1">
        <v>44776.209027777775</v>
      </c>
      <c r="F54" s="2">
        <v>1.4058706539343401E-5</v>
      </c>
      <c r="G54" s="2">
        <v>9.3980353040886494E-6</v>
      </c>
      <c r="H54" s="2">
        <v>9.0469285713965894E-6</v>
      </c>
    </row>
    <row r="55" spans="1:27" x14ac:dyDescent="0.25">
      <c r="A55" s="5" t="str">
        <f t="shared" si="0"/>
        <v>max_env_ch2</v>
      </c>
      <c r="B55" s="5">
        <f t="shared" si="1"/>
        <v>2.0938320376480801</v>
      </c>
      <c r="C55" s="6">
        <f t="shared" si="2"/>
        <v>44776.625694444447</v>
      </c>
      <c r="E55" s="1">
        <v>44776.219444444447</v>
      </c>
      <c r="F55" s="2">
        <v>1.49329218229015E-5</v>
      </c>
      <c r="G55" s="2">
        <v>1.00381923151376E-5</v>
      </c>
      <c r="H55" s="2">
        <v>1.00543510270092E-5</v>
      </c>
    </row>
    <row r="56" spans="1:27" x14ac:dyDescent="0.25">
      <c r="A56" s="5" t="str">
        <f t="shared" si="0"/>
        <v>mean_env_ch2</v>
      </c>
      <c r="B56" s="5">
        <f t="shared" si="1"/>
        <v>1.38692222320175</v>
      </c>
      <c r="C56" s="6">
        <f t="shared" si="2"/>
        <v>44776.625694444447</v>
      </c>
      <c r="E56" s="1">
        <v>44776.229861111111</v>
      </c>
      <c r="F56" s="2">
        <v>1.5333439652152399E-5</v>
      </c>
      <c r="G56" s="2">
        <v>1.1140819172237299E-5</v>
      </c>
      <c r="H56" s="2">
        <v>1.07977511500847E-5</v>
      </c>
    </row>
    <row r="57" spans="1:27" x14ac:dyDescent="0.25">
      <c r="A57" s="5" t="str">
        <f t="shared" si="0"/>
        <v>median_env_ch2</v>
      </c>
      <c r="B57" s="5">
        <f t="shared" si="1"/>
        <v>1.4190333544631</v>
      </c>
      <c r="C57" s="6">
        <f t="shared" si="2"/>
        <v>44776.625694444447</v>
      </c>
      <c r="E57" s="1">
        <v>44776.240277777775</v>
      </c>
      <c r="F57" s="2">
        <v>1.5077483022684401E-5</v>
      </c>
      <c r="G57" s="2">
        <v>1.00663074705092E-5</v>
      </c>
      <c r="H57" s="2">
        <v>9.8066345905494599E-6</v>
      </c>
    </row>
    <row r="58" spans="1:27" x14ac:dyDescent="0.25">
      <c r="A58" s="5" t="str">
        <f t="shared" si="0"/>
        <v>max_env_ch1</v>
      </c>
      <c r="B58" s="5">
        <f t="shared" si="1"/>
        <v>8.3753281505923507</v>
      </c>
      <c r="C58" s="6">
        <f t="shared" si="2"/>
        <v>44776.625694444447</v>
      </c>
      <c r="E58" s="1">
        <v>44776.250694444447</v>
      </c>
      <c r="F58" s="2">
        <v>1.41375292608921E-5</v>
      </c>
      <c r="G58" s="2">
        <v>9.6082913351889497E-6</v>
      </c>
      <c r="H58" s="2">
        <v>9.5116093776248504E-6</v>
      </c>
    </row>
    <row r="59" spans="1:27" x14ac:dyDescent="0.25">
      <c r="A59" s="5" t="str">
        <f t="shared" si="0"/>
        <v>mean_env_ch1</v>
      </c>
      <c r="B59" s="5">
        <f t="shared" si="1"/>
        <v>5.54768889280703</v>
      </c>
      <c r="C59" s="6">
        <f t="shared" si="2"/>
        <v>44776.625694444447</v>
      </c>
      <c r="E59" s="1">
        <v>44776.261111111111</v>
      </c>
      <c r="F59" s="2">
        <v>1.23493446125265E-5</v>
      </c>
      <c r="G59" s="2">
        <v>8.6399153603187401E-6</v>
      </c>
      <c r="H59" s="2">
        <v>8.4743871237773405E-6</v>
      </c>
    </row>
    <row r="60" spans="1:27" x14ac:dyDescent="0.25">
      <c r="A60" s="5" t="str">
        <f t="shared" si="0"/>
        <v>median_env_ch1</v>
      </c>
      <c r="B60" s="5">
        <f t="shared" si="1"/>
        <v>5.6761334178523999</v>
      </c>
      <c r="C60" s="6">
        <f>_xlfn.XLOOKUP(MAX(B28:CS28), B28:CS28, $B$1:$CS$1)</f>
        <v>44776.625694444447</v>
      </c>
      <c r="E60" s="1">
        <v>44776.271527777775</v>
      </c>
      <c r="F60" s="2">
        <v>1.17413395217377E-5</v>
      </c>
      <c r="G60" s="2">
        <v>8.2116885300712196E-6</v>
      </c>
      <c r="H60" s="2">
        <v>8.0831783948032296E-6</v>
      </c>
    </row>
    <row r="61" spans="1:27" x14ac:dyDescent="0.25">
      <c r="A61" t="s">
        <v>32</v>
      </c>
      <c r="B61" s="7">
        <f>MAX(B29:CS29)</f>
        <v>22.620213794999898</v>
      </c>
      <c r="C61" s="6">
        <f t="shared" ref="C61:C62" si="4">_xlfn.XLOOKUP(MAX(B29:CS29), B29:CS29, $B$1:$CS$1)</f>
        <v>44776.636111111111</v>
      </c>
      <c r="E61" s="1">
        <v>44776.281944444447</v>
      </c>
      <c r="F61" s="2">
        <v>1.1119913491277301E-5</v>
      </c>
      <c r="G61" s="2">
        <v>7.9608873076265097E-6</v>
      </c>
      <c r="H61" s="2">
        <v>7.8294145600276203E-6</v>
      </c>
    </row>
    <row r="62" spans="1:27" x14ac:dyDescent="0.25">
      <c r="A62" t="s">
        <v>33</v>
      </c>
      <c r="B62" s="7">
        <f>MAX(B30:CS30)</f>
        <v>8.9561293983965804</v>
      </c>
      <c r="C62" s="6">
        <f t="shared" si="4"/>
        <v>44776.636111111111</v>
      </c>
      <c r="E62" s="1">
        <v>44776.292361111111</v>
      </c>
      <c r="F62" s="2">
        <v>1.19839702181177E-5</v>
      </c>
      <c r="G62" s="2">
        <v>8.4161198368040496E-6</v>
      </c>
      <c r="H62" s="2">
        <v>8.1486375005181007E-6</v>
      </c>
    </row>
    <row r="63" spans="1:27" x14ac:dyDescent="0.25">
      <c r="B63" s="8"/>
      <c r="C63" s="3"/>
      <c r="E63" s="1">
        <v>44776.302777777775</v>
      </c>
      <c r="F63" s="2">
        <v>1.36806894670033E-5</v>
      </c>
      <c r="G63" s="2">
        <v>8.4402325888643405E-6</v>
      </c>
      <c r="H63" s="2">
        <v>8.2362419361214701E-6</v>
      </c>
    </row>
    <row r="64" spans="1:27" x14ac:dyDescent="0.25">
      <c r="E64" s="1">
        <v>44776.313194444447</v>
      </c>
      <c r="F64" s="2">
        <v>1.01266985094044E-5</v>
      </c>
      <c r="G64" s="2">
        <v>7.5262187471994097E-6</v>
      </c>
      <c r="H64" s="2">
        <v>7.4529793273322501E-6</v>
      </c>
    </row>
    <row r="65" spans="5:8" x14ac:dyDescent="0.25">
      <c r="E65" s="1">
        <v>44776.323611111111</v>
      </c>
      <c r="F65" s="2">
        <v>1.1169548926338501E-5</v>
      </c>
      <c r="G65" s="2">
        <v>7.8688228727540701E-6</v>
      </c>
      <c r="H65" s="2">
        <v>7.7289261556803893E-6</v>
      </c>
    </row>
    <row r="66" spans="5:8" x14ac:dyDescent="0.25">
      <c r="E66" s="1">
        <v>44776.334027777775</v>
      </c>
      <c r="F66" s="2">
        <v>1.5022134420171701E-5</v>
      </c>
      <c r="G66" s="2">
        <v>9.5079112635485105E-6</v>
      </c>
      <c r="H66" s="2">
        <v>9.3919676896863102E-6</v>
      </c>
    </row>
    <row r="67" spans="5:8" x14ac:dyDescent="0.25">
      <c r="E67" s="1">
        <v>44776.344444444447</v>
      </c>
      <c r="F67" s="2">
        <v>1.37558984353218E-5</v>
      </c>
      <c r="G67" s="2">
        <v>9.6660849196263797E-6</v>
      </c>
      <c r="H67" s="2">
        <v>9.4360024470408702E-6</v>
      </c>
    </row>
    <row r="68" spans="5:8" x14ac:dyDescent="0.25">
      <c r="E68" s="1">
        <v>44776.354861111111</v>
      </c>
      <c r="F68" s="2">
        <v>1.2789247520358201E-5</v>
      </c>
      <c r="G68" s="2">
        <v>8.5148070811717105E-6</v>
      </c>
      <c r="H68" s="2">
        <v>8.1805565486556395E-6</v>
      </c>
    </row>
    <row r="69" spans="5:8" x14ac:dyDescent="0.25">
      <c r="E69" s="1">
        <v>44776.365277777775</v>
      </c>
      <c r="F69" s="2">
        <v>1.16315736079813E-5</v>
      </c>
      <c r="G69" s="2">
        <v>8.6187270662951595E-6</v>
      </c>
      <c r="H69" s="2">
        <v>8.5175954145671801E-6</v>
      </c>
    </row>
    <row r="70" spans="5:8" x14ac:dyDescent="0.25">
      <c r="E70" s="1">
        <v>44776.375694444447</v>
      </c>
      <c r="F70" s="2">
        <v>1.30294489529861E-5</v>
      </c>
      <c r="G70" s="2">
        <v>1.01580347124094E-5</v>
      </c>
      <c r="H70" s="2">
        <v>9.6992286008704397E-6</v>
      </c>
    </row>
    <row r="71" spans="5:8" x14ac:dyDescent="0.25">
      <c r="E71" s="1">
        <v>44776.386111111111</v>
      </c>
      <c r="F71" s="2">
        <v>1.42544321473603E-5</v>
      </c>
      <c r="G71" s="2">
        <v>9.8442141409203205E-6</v>
      </c>
      <c r="H71" s="2">
        <v>9.6240348922509196E-6</v>
      </c>
    </row>
    <row r="72" spans="5:8" x14ac:dyDescent="0.25">
      <c r="E72" s="1">
        <v>44776.396527777775</v>
      </c>
      <c r="F72" s="2">
        <v>1.20457217441485E-5</v>
      </c>
      <c r="G72" s="2">
        <v>7.9930743723733208E-6</v>
      </c>
      <c r="H72" s="2">
        <v>7.5621995808269701E-6</v>
      </c>
    </row>
    <row r="73" spans="5:8" x14ac:dyDescent="0.25">
      <c r="E73" s="1">
        <v>44776.406944444447</v>
      </c>
      <c r="F73" s="2">
        <v>1.08672337256857E-5</v>
      </c>
      <c r="G73" s="2">
        <v>7.8831499754545294E-6</v>
      </c>
      <c r="H73" s="2">
        <v>7.6670273239502004E-6</v>
      </c>
    </row>
    <row r="74" spans="5:8" x14ac:dyDescent="0.25">
      <c r="E74" s="1">
        <v>44776.417361111111</v>
      </c>
      <c r="F74" s="2">
        <v>1.6363793825727299E-5</v>
      </c>
      <c r="G74" s="2">
        <v>1.03939471168878E-5</v>
      </c>
      <c r="H74" s="2">
        <v>9.98300937093378E-6</v>
      </c>
    </row>
    <row r="75" spans="5:8" x14ac:dyDescent="0.25">
      <c r="E75" s="1">
        <v>44776.427777777775</v>
      </c>
      <c r="F75" s="2">
        <v>1.21213885533693E-5</v>
      </c>
      <c r="G75" s="2">
        <v>9.06439893008681E-6</v>
      </c>
      <c r="H75" s="2">
        <v>8.9672791913449907E-6</v>
      </c>
    </row>
    <row r="76" spans="5:8" x14ac:dyDescent="0.25">
      <c r="E76" s="1">
        <v>44776.438194444447</v>
      </c>
      <c r="F76" s="2">
        <v>1.2382664533838501E-5</v>
      </c>
      <c r="G76" s="2">
        <v>8.3726997261942098E-6</v>
      </c>
      <c r="H76" s="2">
        <v>8.2103683318887703E-6</v>
      </c>
    </row>
    <row r="77" spans="5:8" x14ac:dyDescent="0.25">
      <c r="E77" s="1">
        <v>44776.448611111111</v>
      </c>
      <c r="F77" s="2">
        <v>1.2978649259847699E-5</v>
      </c>
      <c r="G77" s="2">
        <v>8.8943805413057606E-6</v>
      </c>
      <c r="H77" s="2">
        <v>8.6733134477966605E-6</v>
      </c>
    </row>
    <row r="78" spans="5:8" x14ac:dyDescent="0.25">
      <c r="E78" s="1">
        <v>44776.459027777775</v>
      </c>
      <c r="F78" s="2">
        <v>1.0414686192416701E-5</v>
      </c>
      <c r="G78" s="2">
        <v>7.6424987296868303E-6</v>
      </c>
      <c r="H78" s="2">
        <v>7.29090926016637E-6</v>
      </c>
    </row>
    <row r="79" spans="5:8" x14ac:dyDescent="0.25">
      <c r="E79" s="1">
        <v>44776.469444444447</v>
      </c>
      <c r="F79" s="2">
        <v>1.27619903113144E-5</v>
      </c>
      <c r="G79" s="2">
        <v>7.6967323488496193E-6</v>
      </c>
      <c r="H79" s="2">
        <v>7.3999024990286398E-6</v>
      </c>
    </row>
    <row r="80" spans="5:8" x14ac:dyDescent="0.25">
      <c r="E80" s="1">
        <v>44776.479861111111</v>
      </c>
      <c r="F80" s="2">
        <v>1.26425505635157E-5</v>
      </c>
      <c r="G80" s="2">
        <v>8.86137207339925E-6</v>
      </c>
      <c r="H80" s="2">
        <v>8.5960052782560295E-6</v>
      </c>
    </row>
    <row r="81" spans="5:8" x14ac:dyDescent="0.25">
      <c r="E81" s="1">
        <v>44776.490277777775</v>
      </c>
      <c r="F81" s="2">
        <v>1.3082660344475801E-5</v>
      </c>
      <c r="G81" s="2">
        <v>8.8883710474639403E-6</v>
      </c>
      <c r="H81" s="2">
        <v>8.5718642215211893E-6</v>
      </c>
    </row>
    <row r="82" spans="5:8" x14ac:dyDescent="0.25">
      <c r="E82" s="1">
        <v>44776.500694444447</v>
      </c>
      <c r="F82" s="2">
        <v>1.6099704874987899E-5</v>
      </c>
      <c r="G82" s="2">
        <v>9.2777569117021094E-6</v>
      </c>
      <c r="H82" s="2">
        <v>9.1820621758035999E-6</v>
      </c>
    </row>
    <row r="83" spans="5:8" x14ac:dyDescent="0.25">
      <c r="E83" s="1">
        <v>44776.511111111111</v>
      </c>
      <c r="F83" s="2">
        <v>1.3823847909844601E-5</v>
      </c>
      <c r="G83" s="2">
        <v>9.7499290666129908E-6</v>
      </c>
      <c r="H83" s="2">
        <v>9.4469964042850194E-6</v>
      </c>
    </row>
    <row r="84" spans="5:8" x14ac:dyDescent="0.25">
      <c r="E84" s="1">
        <v>44776.521527777775</v>
      </c>
      <c r="F84" s="2">
        <v>1.4052772131421501E-5</v>
      </c>
      <c r="G84" s="2">
        <v>9.6761098311216197E-6</v>
      </c>
      <c r="H84" s="2">
        <v>9.5051759253572606E-6</v>
      </c>
    </row>
    <row r="85" spans="5:8" x14ac:dyDescent="0.25">
      <c r="E85" s="1">
        <v>44776.531944444447</v>
      </c>
      <c r="F85" s="2">
        <v>1.4152071954498699E-5</v>
      </c>
      <c r="G85" s="2">
        <v>8.8275804362632796E-6</v>
      </c>
      <c r="H85" s="2">
        <v>8.4997825143798903E-6</v>
      </c>
    </row>
    <row r="86" spans="5:8" x14ac:dyDescent="0.25">
      <c r="E86" s="1">
        <v>44776.542361111111</v>
      </c>
      <c r="F86" s="2">
        <v>1.48352688932354E-5</v>
      </c>
      <c r="G86" s="2">
        <v>8.6341431079376407E-6</v>
      </c>
      <c r="H86" s="2">
        <v>8.2893891998873704E-6</v>
      </c>
    </row>
    <row r="87" spans="5:8" x14ac:dyDescent="0.25">
      <c r="E87" s="1">
        <v>44776.552777777775</v>
      </c>
      <c r="F87" s="2">
        <v>1.0992770504328599E-5</v>
      </c>
      <c r="G87" s="2">
        <v>8.0392831264084895E-6</v>
      </c>
      <c r="H87" s="2">
        <v>7.83178425379143E-6</v>
      </c>
    </row>
    <row r="88" spans="5:8" x14ac:dyDescent="0.25">
      <c r="E88" s="1">
        <v>44776.563194444447</v>
      </c>
      <c r="F88" s="2">
        <v>8.9894911076002195E-6</v>
      </c>
      <c r="G88" s="2">
        <v>6.7740459534270003E-6</v>
      </c>
      <c r="H88" s="2">
        <v>6.71201855473888E-6</v>
      </c>
    </row>
    <row r="89" spans="5:8" x14ac:dyDescent="0.25">
      <c r="E89" s="1">
        <v>44776.573611111111</v>
      </c>
      <c r="F89" s="2">
        <v>1.24564475141737E-5</v>
      </c>
      <c r="G89" s="2">
        <v>6.8298078823049503E-6</v>
      </c>
      <c r="H89" s="2">
        <v>6.8521546075469203E-6</v>
      </c>
    </row>
    <row r="90" spans="5:8" x14ac:dyDescent="0.25">
      <c r="E90" s="1">
        <v>44776.584027777775</v>
      </c>
      <c r="F90" s="2">
        <v>1.26680311973322E-5</v>
      </c>
      <c r="G90" s="2">
        <v>7.5041772677429299E-6</v>
      </c>
      <c r="H90" s="2">
        <v>7.21536509778995E-6</v>
      </c>
    </row>
    <row r="91" spans="5:8" x14ac:dyDescent="0.25">
      <c r="E91" s="1">
        <v>44776.594444444447</v>
      </c>
      <c r="F91" s="2">
        <v>1.5007649867853099E-5</v>
      </c>
      <c r="G91" s="2">
        <v>8.6917241328768392E-6</v>
      </c>
      <c r="H91" s="2">
        <v>8.3887301393140502E-6</v>
      </c>
    </row>
    <row r="92" spans="5:8" x14ac:dyDescent="0.25">
      <c r="E92" s="1">
        <v>44776.604861111111</v>
      </c>
      <c r="F92" s="2">
        <v>2.12544225349124E-5</v>
      </c>
      <c r="G92" s="2">
        <v>9.9154064328066799E-6</v>
      </c>
      <c r="H92" s="2">
        <v>9.6314134655536307E-6</v>
      </c>
    </row>
    <row r="93" spans="5:8" x14ac:dyDescent="0.25">
      <c r="E93" s="1">
        <v>44776.615277777775</v>
      </c>
      <c r="F93" s="2">
        <v>9.1416501481402499E-5</v>
      </c>
      <c r="G93" s="2">
        <v>5.29819484017626E-5</v>
      </c>
      <c r="H93" s="2">
        <v>5.18908322982937E-5</v>
      </c>
    </row>
    <row r="94" spans="5:8" x14ac:dyDescent="0.25">
      <c r="E94" s="1">
        <v>44776.625694444447</v>
      </c>
      <c r="F94">
        <v>8.1790313970628494E-3</v>
      </c>
      <c r="G94">
        <v>5.4176649343818696E-3</v>
      </c>
      <c r="H94">
        <v>5.5430990408714903E-3</v>
      </c>
    </row>
    <row r="95" spans="5:8" x14ac:dyDescent="0.25">
      <c r="E95" s="1">
        <v>44776.636111111111</v>
      </c>
      <c r="F95">
        <v>6.3709324358111096E-3</v>
      </c>
      <c r="G95">
        <v>4.8681717065452504E-3</v>
      </c>
      <c r="H95">
        <v>4.8008288600103199E-3</v>
      </c>
    </row>
    <row r="96" spans="5:8" x14ac:dyDescent="0.25">
      <c r="E96" s="1">
        <v>44776.646527777775</v>
      </c>
      <c r="F96">
        <v>4.1825291329897199E-3</v>
      </c>
      <c r="G96">
        <v>3.1260036350767798E-3</v>
      </c>
      <c r="H96">
        <v>3.08564559902598E-3</v>
      </c>
    </row>
    <row r="97" spans="5:8" x14ac:dyDescent="0.25">
      <c r="E97" s="1">
        <v>44776.656944444447</v>
      </c>
      <c r="F97">
        <v>2.63981295153558E-3</v>
      </c>
      <c r="G97">
        <v>1.8050528056160801E-3</v>
      </c>
      <c r="H97">
        <v>1.7740291279897201E-3</v>
      </c>
    </row>
    <row r="98" spans="5:8" x14ac:dyDescent="0.25">
      <c r="E98" s="1">
        <v>44776.667361111111</v>
      </c>
      <c r="F98">
        <v>2.8762276332550299E-3</v>
      </c>
      <c r="G98">
        <v>2.26213184152087E-3</v>
      </c>
      <c r="H98">
        <v>2.2421007624514001E-3</v>
      </c>
    </row>
    <row r="99" spans="5:8" x14ac:dyDescent="0.25">
      <c r="E99" s="1">
        <v>44776.677777777775</v>
      </c>
      <c r="F99">
        <v>4.0965650462532702E-3</v>
      </c>
      <c r="G99">
        <v>3.1232488672659799E-3</v>
      </c>
      <c r="H99">
        <v>3.0649921017711999E-3</v>
      </c>
    </row>
    <row r="100" spans="5:8" x14ac:dyDescent="0.25">
      <c r="E100" s="1">
        <v>44776.688194444447</v>
      </c>
      <c r="F100">
        <v>3.6377254782178001E-3</v>
      </c>
      <c r="G100">
        <v>2.6558853821111502E-3</v>
      </c>
      <c r="H100">
        <v>2.6804672416933899E-3</v>
      </c>
    </row>
    <row r="101" spans="5:8" x14ac:dyDescent="0.25">
      <c r="E101" s="1">
        <v>44776.698611111111</v>
      </c>
      <c r="F101">
        <v>3.0072447923545501E-3</v>
      </c>
      <c r="G101">
        <v>2.2628563454306699E-3</v>
      </c>
      <c r="H101">
        <v>2.2333269953076799E-3</v>
      </c>
    </row>
    <row r="102" spans="5:8" x14ac:dyDescent="0.25">
      <c r="E102" s="1">
        <v>44776.709027777775</v>
      </c>
      <c r="F102">
        <v>2.70611548308114E-3</v>
      </c>
      <c r="G102">
        <v>2.0147420685179699E-3</v>
      </c>
      <c r="H102">
        <v>2.0114610519195702E-3</v>
      </c>
    </row>
    <row r="103" spans="5:8" x14ac:dyDescent="0.25">
      <c r="E103" s="1">
        <v>44776.719444444447</v>
      </c>
      <c r="F103">
        <v>2.42197250814729E-3</v>
      </c>
      <c r="G103">
        <v>1.8218889219912601E-3</v>
      </c>
      <c r="H103">
        <v>1.8018175359176499E-3</v>
      </c>
    </row>
    <row r="104" spans="5:8" x14ac:dyDescent="0.25">
      <c r="E104" s="1">
        <v>44776.729861111111</v>
      </c>
      <c r="F104">
        <v>2.0130873398815398E-3</v>
      </c>
      <c r="G104">
        <v>1.49146875422239E-3</v>
      </c>
      <c r="H104">
        <v>1.4784603073557899E-3</v>
      </c>
    </row>
    <row r="105" spans="5:8" x14ac:dyDescent="0.25">
      <c r="E105" s="1">
        <v>44776.740277777775</v>
      </c>
      <c r="F105">
        <v>1.40013294518416E-3</v>
      </c>
      <c r="G105">
        <v>1.0343274855961701E-3</v>
      </c>
      <c r="H105">
        <v>1.0308878798852301E-3</v>
      </c>
    </row>
    <row r="106" spans="5:8" x14ac:dyDescent="0.25">
      <c r="E106" s="1">
        <v>44776.750694444447</v>
      </c>
      <c r="F106">
        <v>9.7080993134762998E-4</v>
      </c>
      <c r="G106">
        <v>7.1376447712531797E-4</v>
      </c>
      <c r="H106">
        <v>7.0304518888745799E-4</v>
      </c>
    </row>
    <row r="107" spans="5:8" x14ac:dyDescent="0.25">
      <c r="E107" s="1">
        <v>44776.761111111111</v>
      </c>
      <c r="F107">
        <v>8.8566971363886605E-4</v>
      </c>
      <c r="G107">
        <v>6.2429064634126599E-4</v>
      </c>
      <c r="H107">
        <v>6.1197214537741596E-4</v>
      </c>
    </row>
    <row r="108" spans="5:8" x14ac:dyDescent="0.25">
      <c r="E108" s="1">
        <v>44776.771527777775</v>
      </c>
      <c r="F108">
        <v>7.7741241818898995E-4</v>
      </c>
      <c r="G108">
        <v>4.8155807385192901E-4</v>
      </c>
      <c r="H108">
        <v>4.5744006298689802E-4</v>
      </c>
    </row>
    <row r="109" spans="5:8" x14ac:dyDescent="0.25">
      <c r="E109" s="1">
        <v>44776.781944444447</v>
      </c>
      <c r="F109">
        <v>4.41882697895666E-4</v>
      </c>
      <c r="G109">
        <v>3.0772779297089299E-4</v>
      </c>
      <c r="H109">
        <v>3.0016886122831199E-4</v>
      </c>
    </row>
    <row r="110" spans="5:8" x14ac:dyDescent="0.25">
      <c r="E110" s="1">
        <v>44776.792361111111</v>
      </c>
      <c r="F110">
        <v>4.81158140139387E-4</v>
      </c>
      <c r="G110">
        <v>2.7933929187782598E-4</v>
      </c>
      <c r="H110">
        <v>2.75937604708222E-4</v>
      </c>
    </row>
    <row r="111" spans="5:8" x14ac:dyDescent="0.25">
      <c r="E111" s="1">
        <v>44776.802777777775</v>
      </c>
      <c r="F111">
        <v>3.1260028611941902E-4</v>
      </c>
      <c r="G111">
        <v>2.1498107879093999E-4</v>
      </c>
      <c r="H111">
        <v>2.1118541055105199E-4</v>
      </c>
    </row>
    <row r="112" spans="5:8" x14ac:dyDescent="0.25">
      <c r="E112" s="1">
        <v>44776.813194444447</v>
      </c>
      <c r="F112">
        <v>2.33027252396751E-4</v>
      </c>
      <c r="G112">
        <v>1.5546702319608701E-4</v>
      </c>
      <c r="H112">
        <v>1.51675648028692E-4</v>
      </c>
    </row>
    <row r="113" spans="5:8" x14ac:dyDescent="0.25">
      <c r="E113" s="1">
        <v>44776.823611111111</v>
      </c>
      <c r="F113">
        <v>2.39847676265981E-4</v>
      </c>
      <c r="G113">
        <v>1.64391231365666E-4</v>
      </c>
      <c r="H113">
        <v>1.5841382635334601E-4</v>
      </c>
    </row>
    <row r="114" spans="5:8" x14ac:dyDescent="0.25">
      <c r="E114" s="1">
        <v>44776.834027777775</v>
      </c>
      <c r="F114">
        <v>2.7783496517046799E-4</v>
      </c>
      <c r="G114">
        <v>1.8223831457349999E-4</v>
      </c>
      <c r="H114">
        <v>1.8148966080685E-4</v>
      </c>
    </row>
    <row r="115" spans="5:8" x14ac:dyDescent="0.25">
      <c r="E115" s="1">
        <v>44776.844444444447</v>
      </c>
      <c r="F115">
        <v>2.6368639884468998E-4</v>
      </c>
      <c r="G115">
        <v>1.70099941105282E-4</v>
      </c>
      <c r="H115">
        <v>1.6526576228261301E-4</v>
      </c>
    </row>
    <row r="116" spans="5:8" x14ac:dyDescent="0.25">
      <c r="E116" s="1">
        <v>44776.854861111111</v>
      </c>
      <c r="F116">
        <v>2.18988871055401E-4</v>
      </c>
      <c r="G116">
        <v>1.4741282639247599E-4</v>
      </c>
      <c r="H116">
        <v>1.47656186511731E-4</v>
      </c>
    </row>
    <row r="117" spans="5:8" x14ac:dyDescent="0.25">
      <c r="E117" s="1">
        <v>44776.865277777775</v>
      </c>
      <c r="F117">
        <v>1.78860839036799E-4</v>
      </c>
      <c r="G117">
        <v>1.3941417254232399E-4</v>
      </c>
      <c r="H117">
        <v>1.41302839795947E-4</v>
      </c>
    </row>
    <row r="118" spans="5:8" x14ac:dyDescent="0.25">
      <c r="E118" s="1">
        <v>44776.875694444447</v>
      </c>
      <c r="F118">
        <v>1.7645450577303E-4</v>
      </c>
      <c r="G118">
        <v>1.3492554478874701E-4</v>
      </c>
      <c r="H118">
        <v>1.3432725610425101E-4</v>
      </c>
    </row>
    <row r="119" spans="5:8" x14ac:dyDescent="0.25">
      <c r="E119" s="1">
        <v>44776.917361111111</v>
      </c>
      <c r="F119">
        <v>1.88552416271117E-4</v>
      </c>
      <c r="G119">
        <v>1.3661017756540499E-4</v>
      </c>
      <c r="H119">
        <v>1.34150061140554E-4</v>
      </c>
    </row>
    <row r="120" spans="5:8" x14ac:dyDescent="0.25">
      <c r="E120" s="1">
        <v>44776.948611111111</v>
      </c>
      <c r="F120">
        <v>1.93942538738783E-4</v>
      </c>
      <c r="G120">
        <v>1.3958036300293101E-4</v>
      </c>
      <c r="H120">
        <v>1.35026941934794E-4</v>
      </c>
    </row>
    <row r="121" spans="5:8" x14ac:dyDescent="0.25">
      <c r="E121" s="1">
        <v>44776.959027777775</v>
      </c>
      <c r="F121">
        <v>2.0132892628069301E-4</v>
      </c>
      <c r="G121">
        <v>1.5035102745702299E-4</v>
      </c>
      <c r="H121">
        <v>1.4936173018855701E-4</v>
      </c>
    </row>
    <row r="122" spans="5:8" x14ac:dyDescent="0.25">
      <c r="E122" s="1">
        <v>44776.969444444447</v>
      </c>
      <c r="F122">
        <v>1.6519768775525299E-4</v>
      </c>
      <c r="G122">
        <v>1.2407626282054799E-4</v>
      </c>
      <c r="H122">
        <v>1.2322624541535301E-4</v>
      </c>
    </row>
    <row r="123" spans="5:8" x14ac:dyDescent="0.25">
      <c r="E123" s="1">
        <v>44776.979861111111</v>
      </c>
      <c r="F123">
        <v>1.4058221178564299E-4</v>
      </c>
      <c r="G123">
        <v>1.0459443334621701E-4</v>
      </c>
      <c r="H123">
        <v>1.0391325156244901E-4</v>
      </c>
    </row>
    <row r="124" spans="5:8" x14ac:dyDescent="0.25">
      <c r="E124" s="1">
        <v>44776.990277777775</v>
      </c>
      <c r="F124">
        <v>1.78584462603248E-4</v>
      </c>
      <c r="G124">
        <v>1.19112682356408E-4</v>
      </c>
      <c r="H124">
        <v>1.15229679462723E-4</v>
      </c>
    </row>
    <row r="125" spans="5:8" x14ac:dyDescent="0.25">
      <c r="E125" s="1">
        <v>44777.000694444447</v>
      </c>
      <c r="F125">
        <v>1.4756105754110501E-4</v>
      </c>
      <c r="G125">
        <v>1.12034552964442E-4</v>
      </c>
      <c r="H125">
        <v>1.10797426718519E-4</v>
      </c>
    </row>
    <row r="126" spans="5:8" x14ac:dyDescent="0.25">
      <c r="E126" s="1"/>
    </row>
    <row r="127" spans="5:8" x14ac:dyDescent="0.25">
      <c r="E127" s="1"/>
    </row>
    <row r="128" spans="5:8" x14ac:dyDescent="0.25">
      <c r="E128" s="1"/>
    </row>
    <row r="129" spans="5:5" x14ac:dyDescent="0.25">
      <c r="E1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2025-10-23T17:38:48Z</dcterms:created>
  <dcterms:modified xsi:type="dcterms:W3CDTF">2025-12-10T23:09:23Z</dcterms:modified>
</cp:coreProperties>
</file>