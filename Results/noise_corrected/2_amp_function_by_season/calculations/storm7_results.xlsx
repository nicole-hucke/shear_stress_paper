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Results\noise_corrected\2_amp_function_by_season\calculations\"/>
    </mc:Choice>
  </mc:AlternateContent>
  <xr:revisionPtr revIDLastSave="0" documentId="13_ncr:1_{85451FA3-74E4-4CF5-9859-C45627F98623}" xr6:coauthVersionLast="47" xr6:coauthVersionMax="47" xr10:uidLastSave="{00000000-0000-0000-0000-000000000000}"/>
  <bookViews>
    <workbookView xWindow="-120" yWindow="-120" windowWidth="29040" windowHeight="15720" xr2:uid="{B7416B8A-9362-444F-89FB-DD7D5E3DE839}"/>
  </bookViews>
  <sheets>
    <sheet name="storm7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2" i="1" l="1"/>
  <c r="C62" i="1"/>
  <c r="B61" i="1"/>
  <c r="C61" i="1"/>
  <c r="B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B35" i="1"/>
  <c r="B36" i="1"/>
  <c r="B37" i="1"/>
  <c r="B38" i="1"/>
  <c r="B39" i="1"/>
  <c r="B40" i="1"/>
  <c r="B41" i="1"/>
  <c r="B42" i="1"/>
  <c r="B43" i="1"/>
  <c r="U47" i="1" s="1"/>
  <c r="B44" i="1"/>
  <c r="V47" i="1" s="1"/>
  <c r="B45" i="1"/>
  <c r="W47" i="1" s="1"/>
  <c r="B46" i="1"/>
  <c r="U48" i="1" s="1"/>
  <c r="B47" i="1"/>
  <c r="V48" i="1" s="1"/>
  <c r="B48" i="1"/>
  <c r="W48" i="1" s="1"/>
  <c r="B49" i="1"/>
  <c r="U49" i="1" s="1"/>
  <c r="B50" i="1"/>
  <c r="V49" i="1" s="1"/>
  <c r="B51" i="1"/>
  <c r="W49" i="1" s="1"/>
  <c r="B52" i="1"/>
  <c r="U50" i="1" s="1"/>
  <c r="B53" i="1"/>
  <c r="V50" i="1" s="1"/>
  <c r="B54" i="1"/>
  <c r="W50" i="1" s="1"/>
  <c r="B55" i="1"/>
  <c r="U51" i="1" s="1"/>
  <c r="B56" i="1"/>
  <c r="V51" i="1" s="1"/>
  <c r="B57" i="1"/>
  <c r="W51" i="1" s="1"/>
  <c r="B58" i="1"/>
  <c r="U52" i="1" s="1"/>
  <c r="B59" i="1"/>
  <c r="V52" i="1" s="1"/>
  <c r="B60" i="1"/>
  <c r="W52" i="1" s="1"/>
  <c r="A60" i="1"/>
  <c r="A57" i="1"/>
  <c r="A58" i="1"/>
  <c r="A59" i="1"/>
  <c r="A48" i="1"/>
  <c r="A49" i="1"/>
  <c r="A50" i="1"/>
  <c r="A51" i="1"/>
  <c r="A52" i="1"/>
  <c r="A53" i="1"/>
  <c r="A54" i="1"/>
  <c r="A55" i="1"/>
  <c r="A56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C34" i="1"/>
  <c r="A34" i="1"/>
</calcChain>
</file>

<file path=xl/sharedStrings.xml><?xml version="1.0" encoding="utf-8"?>
<sst xmlns="http://schemas.openxmlformats.org/spreadsheetml/2006/main" count="67" uniqueCount="46">
  <si>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</si>
  <si>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</si>
  <si>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</si>
  <si>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</si>
  <si>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</si>
  <si>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</si>
  <si>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</si>
  <si>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</si>
  <si>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</si>
  <si>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</si>
  <si>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</si>
  <si>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</si>
  <si>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</si>
  <si>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</si>
  <si>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</si>
  <si>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</si>
  <si>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</si>
  <si>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</si>
  <si>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</si>
  <si>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</si>
  <si>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</si>
  <si>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</si>
  <si>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</si>
  <si>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</si>
  <si>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</si>
  <si>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</si>
  <si>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</si>
  <si>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</si>
  <si>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</si>
  <si>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</si>
  <si>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</si>
  <si>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</si>
  <si>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</si>
  <si>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</si>
  <si>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</si>
  <si>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</si>
  <si>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</si>
  <si>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</si>
  <si>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</si>
  <si>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</si>
  <si>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</si>
  <si>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</si>
  <si>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</si>
  <si>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</si>
  <si>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</si>
  <si>
    <t>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</si>
</sst>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storm7_results!$F$34:$F$130</c:f>
              <c:numCache>
                <c:formatCode>0.00E+00</c:formatCode>
                <c:ptCount val="97"/>
                <c:pt idx="0">
                  <c:v>7.6846154751774708E-6</c:v>
                </c:pt>
                <c:pt idx="1">
                  <c:v>1.23569813489982E-5</c:v>
                </c:pt>
                <c:pt idx="2">
                  <c:v>8.9101789072794392E-6</c:v>
                </c:pt>
                <c:pt idx="3">
                  <c:v>1.7664537347037901E-5</c:v>
                </c:pt>
                <c:pt idx="4">
                  <c:v>9.5503962099119404E-6</c:v>
                </c:pt>
                <c:pt idx="5">
                  <c:v>1.4539414992594201E-5</c:v>
                </c:pt>
                <c:pt idx="6">
                  <c:v>1.50523129554495E-5</c:v>
                </c:pt>
                <c:pt idx="7">
                  <c:v>1.1788670466620001E-5</c:v>
                </c:pt>
                <c:pt idx="8">
                  <c:v>1.6019090740073099E-5</c:v>
                </c:pt>
                <c:pt idx="9">
                  <c:v>1.2600525405127599E-5</c:v>
                </c:pt>
                <c:pt idx="10">
                  <c:v>1.3698679039703E-5</c:v>
                </c:pt>
                <c:pt idx="11">
                  <c:v>1.4064515497491E-5</c:v>
                </c:pt>
                <c:pt idx="12">
                  <c:v>1.91161086426678E-5</c:v>
                </c:pt>
                <c:pt idx="13">
                  <c:v>1.1804116551777601E-5</c:v>
                </c:pt>
                <c:pt idx="14">
                  <c:v>1.82412763628133E-5</c:v>
                </c:pt>
                <c:pt idx="15">
                  <c:v>1.31554753505079E-5</c:v>
                </c:pt>
                <c:pt idx="16">
                  <c:v>1.450108122641E-5</c:v>
                </c:pt>
                <c:pt idx="17">
                  <c:v>1.4056964134082499E-5</c:v>
                </c:pt>
                <c:pt idx="18">
                  <c:v>1.5036091459018799E-5</c:v>
                </c:pt>
                <c:pt idx="19">
                  <c:v>1.35939793439744E-5</c:v>
                </c:pt>
                <c:pt idx="20">
                  <c:v>2.4208891597445399E-5</c:v>
                </c:pt>
                <c:pt idx="21">
                  <c:v>1.07820572472535E-5</c:v>
                </c:pt>
                <c:pt idx="22">
                  <c:v>2.8055407620584E-5</c:v>
                </c:pt>
                <c:pt idx="23">
                  <c:v>1.09763904627456E-5</c:v>
                </c:pt>
                <c:pt idx="24">
                  <c:v>1.60919151353905E-5</c:v>
                </c:pt>
                <c:pt idx="25">
                  <c:v>1.32775821077525E-5</c:v>
                </c:pt>
                <c:pt idx="26">
                  <c:v>9.1759777345658492E-6</c:v>
                </c:pt>
                <c:pt idx="27">
                  <c:v>1.3783665718403301E-5</c:v>
                </c:pt>
                <c:pt idx="28">
                  <c:v>8.9793777083391299E-6</c:v>
                </c:pt>
                <c:pt idx="29">
                  <c:v>1.00174329380324E-5</c:v>
                </c:pt>
                <c:pt idx="30">
                  <c:v>1.25705005758329E-5</c:v>
                </c:pt>
                <c:pt idx="31">
                  <c:v>1.15169690215133E-5</c:v>
                </c:pt>
                <c:pt idx="32">
                  <c:v>9.4823854699570792E-6</c:v>
                </c:pt>
                <c:pt idx="33">
                  <c:v>1.2238246086895201E-5</c:v>
                </c:pt>
                <c:pt idx="34">
                  <c:v>2.2765797903957298E-5</c:v>
                </c:pt>
                <c:pt idx="35">
                  <c:v>9.2615381650705498E-6</c:v>
                </c:pt>
                <c:pt idx="36">
                  <c:v>6.8188231415523703E-6</c:v>
                </c:pt>
                <c:pt idx="37">
                  <c:v>1.0732498091594E-5</c:v>
                </c:pt>
                <c:pt idx="38">
                  <c:v>4.4258093627847802E-6</c:v>
                </c:pt>
                <c:pt idx="39">
                  <c:v>8.2890787455474902E-6</c:v>
                </c:pt>
                <c:pt idx="40">
                  <c:v>8.7587386148910899E-6</c:v>
                </c:pt>
                <c:pt idx="41">
                  <c:v>4.9026989448435703E-6</c:v>
                </c:pt>
                <c:pt idx="42">
                  <c:v>7.40313872164134E-6</c:v>
                </c:pt>
                <c:pt idx="43">
                  <c:v>1.00378651681918E-5</c:v>
                </c:pt>
                <c:pt idx="44">
                  <c:v>7.3290418716751399E-6</c:v>
                </c:pt>
                <c:pt idx="45">
                  <c:v>9.7539571664340196E-6</c:v>
                </c:pt>
                <c:pt idx="46">
                  <c:v>9.9442565768875201E-6</c:v>
                </c:pt>
                <c:pt idx="47">
                  <c:v>8.9330405163299497E-6</c:v>
                </c:pt>
                <c:pt idx="48">
                  <c:v>9.5056455349283696E-6</c:v>
                </c:pt>
                <c:pt idx="49">
                  <c:v>1.30956484402392E-5</c:v>
                </c:pt>
                <c:pt idx="50">
                  <c:v>9.1184614012821798E-6</c:v>
                </c:pt>
                <c:pt idx="51">
                  <c:v>9.7896966743383499E-6</c:v>
                </c:pt>
                <c:pt idx="52">
                  <c:v>1.1518420312011801E-5</c:v>
                </c:pt>
                <c:pt idx="53">
                  <c:v>1.1416437131006401E-5</c:v>
                </c:pt>
                <c:pt idx="54">
                  <c:v>1.2263673363637501E-5</c:v>
                </c:pt>
                <c:pt idx="55">
                  <c:v>9.8173924335980004E-6</c:v>
                </c:pt>
                <c:pt idx="56">
                  <c:v>1.65799049262947E-5</c:v>
                </c:pt>
                <c:pt idx="57">
                  <c:v>5.2304229996997202E-5</c:v>
                </c:pt>
                <c:pt idx="58">
                  <c:v>6.4495275467479405E-5</c:v>
                </c:pt>
                <c:pt idx="59" formatCode="General">
                  <c:v>3.6540230353056599E-4</c:v>
                </c:pt>
                <c:pt idx="60" formatCode="General">
                  <c:v>8.0276531345949305E-4</c:v>
                </c:pt>
                <c:pt idx="61" formatCode="General">
                  <c:v>5.1789189155470596E-4</c:v>
                </c:pt>
                <c:pt idx="62" formatCode="General">
                  <c:v>2.1889811807178101E-4</c:v>
                </c:pt>
                <c:pt idx="63" formatCode="General">
                  <c:v>8.1067237321690196E-4</c:v>
                </c:pt>
                <c:pt idx="64" formatCode="General">
                  <c:v>1.0446220776071801E-3</c:v>
                </c:pt>
                <c:pt idx="65" formatCode="General">
                  <c:v>2.0290821558515801E-3</c:v>
                </c:pt>
                <c:pt idx="66" formatCode="General">
                  <c:v>2.33691935802162E-3</c:v>
                </c:pt>
                <c:pt idx="67" formatCode="General">
                  <c:v>1.5566319726546399E-3</c:v>
                </c:pt>
                <c:pt idx="68" formatCode="General">
                  <c:v>3.28798396557436E-3</c:v>
                </c:pt>
                <c:pt idx="69" formatCode="General">
                  <c:v>1.94087140645335E-3</c:v>
                </c:pt>
                <c:pt idx="70" formatCode="General">
                  <c:v>1.89817553142744E-3</c:v>
                </c:pt>
                <c:pt idx="71" formatCode="General">
                  <c:v>4.9314143969812797E-3</c:v>
                </c:pt>
                <c:pt idx="72" formatCode="General">
                  <c:v>1.6768651053045799E-2</c:v>
                </c:pt>
                <c:pt idx="73" formatCode="General">
                  <c:v>1.7569335230275601E-3</c:v>
                </c:pt>
                <c:pt idx="74" formatCode="General">
                  <c:v>1.1888781370344001E-3</c:v>
                </c:pt>
                <c:pt idx="75" formatCode="General">
                  <c:v>1.2322635174925301E-3</c:v>
                </c:pt>
                <c:pt idx="76" formatCode="General">
                  <c:v>1.0032346820111799E-3</c:v>
                </c:pt>
                <c:pt idx="77" formatCode="General">
                  <c:v>9.3254082246669299E-4</c:v>
                </c:pt>
                <c:pt idx="78" formatCode="General">
                  <c:v>8.7633096143231997E-4</c:v>
                </c:pt>
                <c:pt idx="79" formatCode="General">
                  <c:v>7.86853431273352E-4</c:v>
                </c:pt>
                <c:pt idx="80" formatCode="General">
                  <c:v>8.4709691732628403E-4</c:v>
                </c:pt>
                <c:pt idx="81" formatCode="General">
                  <c:v>7.0205332682334097E-4</c:v>
                </c:pt>
                <c:pt idx="82" formatCode="General">
                  <c:v>5.5263558775019205E-4</c:v>
                </c:pt>
                <c:pt idx="83" formatCode="General">
                  <c:v>6.6390340166193004E-4</c:v>
                </c:pt>
                <c:pt idx="84" formatCode="General">
                  <c:v>5.3466856776746799E-4</c:v>
                </c:pt>
                <c:pt idx="85" formatCode="General">
                  <c:v>6.8323719594387403E-4</c:v>
                </c:pt>
                <c:pt idx="86" formatCode="General">
                  <c:v>6.4288241910266599E-4</c:v>
                </c:pt>
                <c:pt idx="87" formatCode="General">
                  <c:v>4.6917913254726701E-4</c:v>
                </c:pt>
                <c:pt idx="88" formatCode="General">
                  <c:v>5.1338862624363197E-4</c:v>
                </c:pt>
                <c:pt idx="89" formatCode="General">
                  <c:v>5.5214615177000303E-4</c:v>
                </c:pt>
                <c:pt idx="90" formatCode="General">
                  <c:v>7.4437504744957099E-4</c:v>
                </c:pt>
                <c:pt idx="91" formatCode="General">
                  <c:v>1.25113051999328E-3</c:v>
                </c:pt>
                <c:pt idx="92" formatCode="General">
                  <c:v>6.22301730447416E-4</c:v>
                </c:pt>
                <c:pt idx="93" formatCode="General">
                  <c:v>7.0816960113157499E-4</c:v>
                </c:pt>
                <c:pt idx="94" formatCode="General">
                  <c:v>6.4161166268024005E-4</c:v>
                </c:pt>
                <c:pt idx="95" formatCode="General">
                  <c:v>3.0241015053129102E-4</c:v>
                </c:pt>
                <c:pt idx="96" formatCode="General">
                  <c:v>2.9791941867850799E-4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62-4E69-B28F-3ED6AC4D2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 Over Time</a:t>
            </a:r>
          </a:p>
        </c:rich>
      </c:tx>
      <c:layout>
        <c:manualLayout>
          <c:xMode val="edge"/>
          <c:yMode val="edge"/>
          <c:x val="0.38794824590588139"/>
          <c:y val="3.3057851239669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storm7_results!$G$34:$G$130</c:f>
              <c:numCache>
                <c:formatCode>0.00E+00</c:formatCode>
                <c:ptCount val="97"/>
                <c:pt idx="0">
                  <c:v>5.4463226833065396E-6</c:v>
                </c:pt>
                <c:pt idx="1">
                  <c:v>6.3962456266654401E-6</c:v>
                </c:pt>
                <c:pt idx="2">
                  <c:v>5.8912330090925403E-6</c:v>
                </c:pt>
                <c:pt idx="3">
                  <c:v>1.0574410159561401E-5</c:v>
                </c:pt>
                <c:pt idx="4">
                  <c:v>5.0019794371970601E-6</c:v>
                </c:pt>
                <c:pt idx="5">
                  <c:v>8.2564988794357005E-6</c:v>
                </c:pt>
                <c:pt idx="6">
                  <c:v>8.9015754907171094E-6</c:v>
                </c:pt>
                <c:pt idx="7">
                  <c:v>7.7679702964343202E-6</c:v>
                </c:pt>
                <c:pt idx="8">
                  <c:v>8.1510721102886202E-6</c:v>
                </c:pt>
                <c:pt idx="9">
                  <c:v>7.9496863235752302E-6</c:v>
                </c:pt>
                <c:pt idx="10">
                  <c:v>8.9282000945889505E-6</c:v>
                </c:pt>
                <c:pt idx="11">
                  <c:v>8.0376543486337502E-6</c:v>
                </c:pt>
                <c:pt idx="12">
                  <c:v>8.3384018417962701E-6</c:v>
                </c:pt>
                <c:pt idx="13">
                  <c:v>6.2745754865947097E-6</c:v>
                </c:pt>
                <c:pt idx="14">
                  <c:v>1.15166118583011E-5</c:v>
                </c:pt>
                <c:pt idx="15">
                  <c:v>6.4958661530622496E-6</c:v>
                </c:pt>
                <c:pt idx="16">
                  <c:v>9.1483328635934605E-6</c:v>
                </c:pt>
                <c:pt idx="17">
                  <c:v>8.8395101550603802E-6</c:v>
                </c:pt>
                <c:pt idx="18">
                  <c:v>1.0871764028120099E-5</c:v>
                </c:pt>
                <c:pt idx="19">
                  <c:v>7.8340159711191601E-6</c:v>
                </c:pt>
                <c:pt idx="20">
                  <c:v>1.10404993972219E-5</c:v>
                </c:pt>
                <c:pt idx="21">
                  <c:v>6.3580754485742299E-6</c:v>
                </c:pt>
                <c:pt idx="22">
                  <c:v>1.38670337049178E-5</c:v>
                </c:pt>
                <c:pt idx="23">
                  <c:v>5.9978417636642199E-6</c:v>
                </c:pt>
                <c:pt idx="24">
                  <c:v>1.1219056716150501E-5</c:v>
                </c:pt>
                <c:pt idx="25">
                  <c:v>6.2576992581698901E-6</c:v>
                </c:pt>
                <c:pt idx="26">
                  <c:v>6.4023810886987699E-6</c:v>
                </c:pt>
                <c:pt idx="27">
                  <c:v>6.44655807104177E-6</c:v>
                </c:pt>
                <c:pt idx="28">
                  <c:v>6.3713582560234203E-6</c:v>
                </c:pt>
                <c:pt idx="29">
                  <c:v>6.3238519119792398E-6</c:v>
                </c:pt>
                <c:pt idx="30">
                  <c:v>8.8756218524923297E-6</c:v>
                </c:pt>
                <c:pt idx="31">
                  <c:v>6.4814177031635204E-6</c:v>
                </c:pt>
                <c:pt idx="32">
                  <c:v>4.8881048353669699E-6</c:v>
                </c:pt>
                <c:pt idx="33">
                  <c:v>7.3301837541167303E-6</c:v>
                </c:pt>
                <c:pt idx="34">
                  <c:v>1.28740911365979E-5</c:v>
                </c:pt>
                <c:pt idx="35">
                  <c:v>5.2021271269089096E-6</c:v>
                </c:pt>
                <c:pt idx="36">
                  <c:v>4.9441030603929702E-6</c:v>
                </c:pt>
                <c:pt idx="37">
                  <c:v>6.2023552578275198E-6</c:v>
                </c:pt>
                <c:pt idx="38">
                  <c:v>2.33155492634078E-6</c:v>
                </c:pt>
                <c:pt idx="39">
                  <c:v>4.1058007068472696E-6</c:v>
                </c:pt>
                <c:pt idx="40">
                  <c:v>3.9647365212198797E-6</c:v>
                </c:pt>
                <c:pt idx="41">
                  <c:v>3.1984558637415998E-6</c:v>
                </c:pt>
                <c:pt idx="42">
                  <c:v>4.5856760765889302E-6</c:v>
                </c:pt>
                <c:pt idx="43">
                  <c:v>5.9199023934632198E-6</c:v>
                </c:pt>
                <c:pt idx="44">
                  <c:v>4.0308219623372397E-6</c:v>
                </c:pt>
                <c:pt idx="45">
                  <c:v>5.9261595400831002E-6</c:v>
                </c:pt>
                <c:pt idx="46">
                  <c:v>6.1147882824297497E-6</c:v>
                </c:pt>
                <c:pt idx="47">
                  <c:v>5.59291702577474E-6</c:v>
                </c:pt>
                <c:pt idx="48">
                  <c:v>5.9367786189819998E-6</c:v>
                </c:pt>
                <c:pt idx="49">
                  <c:v>5.9878684039209498E-6</c:v>
                </c:pt>
                <c:pt idx="50">
                  <c:v>5.6195750505529502E-6</c:v>
                </c:pt>
                <c:pt idx="51">
                  <c:v>5.8869060565930902E-6</c:v>
                </c:pt>
                <c:pt idx="52">
                  <c:v>7.0249192301762599E-6</c:v>
                </c:pt>
                <c:pt idx="53">
                  <c:v>6.4019389066142098E-6</c:v>
                </c:pt>
                <c:pt idx="54">
                  <c:v>7.0532266589274803E-6</c:v>
                </c:pt>
                <c:pt idx="55">
                  <c:v>5.4642972892478801E-6</c:v>
                </c:pt>
                <c:pt idx="56">
                  <c:v>9.8901208888879793E-6</c:v>
                </c:pt>
                <c:pt idx="57">
                  <c:v>3.0768875256721098E-5</c:v>
                </c:pt>
                <c:pt idx="58">
                  <c:v>4.3278629803499901E-5</c:v>
                </c:pt>
                <c:pt idx="59" formatCode="General">
                  <c:v>1.63914192416245E-4</c:v>
                </c:pt>
                <c:pt idx="60" formatCode="General">
                  <c:v>4.6149437131627998E-4</c:v>
                </c:pt>
                <c:pt idx="61" formatCode="General">
                  <c:v>3.2234523348378502E-4</c:v>
                </c:pt>
                <c:pt idx="62" formatCode="General">
                  <c:v>1.2999111042305599E-4</c:v>
                </c:pt>
                <c:pt idx="63" formatCode="General">
                  <c:v>4.7877346906159999E-4</c:v>
                </c:pt>
                <c:pt idx="64" formatCode="General">
                  <c:v>6.1394129125497501E-4</c:v>
                </c:pt>
                <c:pt idx="65" formatCode="General">
                  <c:v>1.56238369688693E-3</c:v>
                </c:pt>
                <c:pt idx="66" formatCode="General">
                  <c:v>1.4656751810689099E-3</c:v>
                </c:pt>
                <c:pt idx="67" formatCode="General">
                  <c:v>1.10068722555524E-3</c:v>
                </c:pt>
                <c:pt idx="68" formatCode="General">
                  <c:v>2.00966832955314E-3</c:v>
                </c:pt>
                <c:pt idx="69" formatCode="General">
                  <c:v>1.43157790113244E-3</c:v>
                </c:pt>
                <c:pt idx="70" formatCode="General">
                  <c:v>1.3041552398201899E-3</c:v>
                </c:pt>
                <c:pt idx="71" formatCode="General">
                  <c:v>2.9608690727512699E-3</c:v>
                </c:pt>
                <c:pt idx="72" formatCode="General">
                  <c:v>8.9192262729874093E-3</c:v>
                </c:pt>
                <c:pt idx="73" formatCode="General">
                  <c:v>1.23386490837562E-3</c:v>
                </c:pt>
                <c:pt idx="74" formatCode="General">
                  <c:v>8.2007934278383997E-4</c:v>
                </c:pt>
                <c:pt idx="75" formatCode="General">
                  <c:v>8.7524435565788797E-4</c:v>
                </c:pt>
                <c:pt idx="76" formatCode="General">
                  <c:v>7.2763471693763199E-4</c:v>
                </c:pt>
                <c:pt idx="77" formatCode="General">
                  <c:v>6.5057009865111804E-4</c:v>
                </c:pt>
                <c:pt idx="78" formatCode="General">
                  <c:v>5.6934326626283604E-4</c:v>
                </c:pt>
                <c:pt idx="79" formatCode="General">
                  <c:v>4.28841432631615E-4</c:v>
                </c:pt>
                <c:pt idx="80" formatCode="General">
                  <c:v>5.8333555640122895E-4</c:v>
                </c:pt>
                <c:pt idx="81" formatCode="General">
                  <c:v>4.88620901698168E-4</c:v>
                </c:pt>
                <c:pt idx="82" formatCode="General">
                  <c:v>3.4250355000383802E-4</c:v>
                </c:pt>
                <c:pt idx="83" formatCode="General">
                  <c:v>3.7828642830546599E-4</c:v>
                </c:pt>
                <c:pt idx="84" formatCode="General">
                  <c:v>3.8517698563496399E-4</c:v>
                </c:pt>
                <c:pt idx="85" formatCode="General">
                  <c:v>3.9774931827794998E-4</c:v>
                </c:pt>
                <c:pt idx="86" formatCode="General">
                  <c:v>4.0089267182726003E-4</c:v>
                </c:pt>
                <c:pt idx="87" formatCode="General">
                  <c:v>3.18935831108261E-4</c:v>
                </c:pt>
                <c:pt idx="88" formatCode="General">
                  <c:v>3.3893093996620902E-4</c:v>
                </c:pt>
                <c:pt idx="89" formatCode="General">
                  <c:v>3.4348402846739399E-4</c:v>
                </c:pt>
                <c:pt idx="90" formatCode="General">
                  <c:v>3.7205497622716201E-4</c:v>
                </c:pt>
                <c:pt idx="91" formatCode="General">
                  <c:v>7.5566034676375097E-4</c:v>
                </c:pt>
                <c:pt idx="92" formatCode="General">
                  <c:v>3.4483125864743797E-4</c:v>
                </c:pt>
                <c:pt idx="93" formatCode="General">
                  <c:v>4.48174297182419E-4</c:v>
                </c:pt>
                <c:pt idx="94" formatCode="General">
                  <c:v>3.48032763580346E-4</c:v>
                </c:pt>
                <c:pt idx="95" formatCode="General">
                  <c:v>1.8817727783910601E-4</c:v>
                </c:pt>
                <c:pt idx="96" formatCode="General">
                  <c:v>1.8855224366019199E-4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D9-4B79-A482-EF7CB4EAC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 Over Time</a:t>
            </a:r>
          </a:p>
        </c:rich>
      </c:tx>
      <c:layout>
        <c:manualLayout>
          <c:xMode val="edge"/>
          <c:yMode val="edge"/>
          <c:x val="0.38794824590588139"/>
          <c:y val="3.3057851239669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storm7_results!$H$34:$H$130</c:f>
              <c:numCache>
                <c:formatCode>0.00E+00</c:formatCode>
                <c:ptCount val="97"/>
                <c:pt idx="0">
                  <c:v>5.2684564044847098E-6</c:v>
                </c:pt>
                <c:pt idx="1">
                  <c:v>6.1704217437826E-6</c:v>
                </c:pt>
                <c:pt idx="2">
                  <c:v>5.6786322525203101E-6</c:v>
                </c:pt>
                <c:pt idx="3">
                  <c:v>1.00384744503919E-5</c:v>
                </c:pt>
                <c:pt idx="4">
                  <c:v>4.8975450559714898E-6</c:v>
                </c:pt>
                <c:pt idx="5">
                  <c:v>8.2394587388280404E-6</c:v>
                </c:pt>
                <c:pt idx="6">
                  <c:v>8.6004726137494401E-6</c:v>
                </c:pt>
                <c:pt idx="7">
                  <c:v>7.7248405732639793E-6</c:v>
                </c:pt>
                <c:pt idx="8">
                  <c:v>8.0703846332316105E-6</c:v>
                </c:pt>
                <c:pt idx="9">
                  <c:v>7.6813813686357694E-6</c:v>
                </c:pt>
                <c:pt idx="10">
                  <c:v>8.9539903530129598E-6</c:v>
                </c:pt>
                <c:pt idx="11">
                  <c:v>7.5882363909284901E-6</c:v>
                </c:pt>
                <c:pt idx="12">
                  <c:v>7.8700192432809605E-6</c:v>
                </c:pt>
                <c:pt idx="13">
                  <c:v>6.0305709159549703E-6</c:v>
                </c:pt>
                <c:pt idx="14">
                  <c:v>1.14596092087438E-5</c:v>
                </c:pt>
                <c:pt idx="15">
                  <c:v>6.1128450398423401E-6</c:v>
                </c:pt>
                <c:pt idx="16">
                  <c:v>8.5990131491936194E-6</c:v>
                </c:pt>
                <c:pt idx="17">
                  <c:v>8.4458574236672207E-6</c:v>
                </c:pt>
                <c:pt idx="18">
                  <c:v>1.0582848130131201E-5</c:v>
                </c:pt>
                <c:pt idx="19">
                  <c:v>7.6374441170459699E-6</c:v>
                </c:pt>
                <c:pt idx="20">
                  <c:v>1.0429660727113001E-5</c:v>
                </c:pt>
                <c:pt idx="21">
                  <c:v>6.0773391725690804E-6</c:v>
                </c:pt>
                <c:pt idx="22">
                  <c:v>1.3354481410754799E-5</c:v>
                </c:pt>
                <c:pt idx="23">
                  <c:v>5.7232302576372403E-6</c:v>
                </c:pt>
                <c:pt idx="24">
                  <c:v>1.10716582401152E-5</c:v>
                </c:pt>
                <c:pt idx="25">
                  <c:v>5.6559452098555104E-6</c:v>
                </c:pt>
                <c:pt idx="26">
                  <c:v>6.3705859146340897E-6</c:v>
                </c:pt>
                <c:pt idx="27">
                  <c:v>6.2595203270517102E-6</c:v>
                </c:pt>
                <c:pt idx="28">
                  <c:v>6.25126961625223E-6</c:v>
                </c:pt>
                <c:pt idx="29">
                  <c:v>6.0913058717389103E-6</c:v>
                </c:pt>
                <c:pt idx="30">
                  <c:v>8.8562471530071306E-6</c:v>
                </c:pt>
                <c:pt idx="31">
                  <c:v>6.17597916478332E-6</c:v>
                </c:pt>
                <c:pt idx="32">
                  <c:v>4.7187011737729601E-6</c:v>
                </c:pt>
                <c:pt idx="33">
                  <c:v>7.2947715034440702E-6</c:v>
                </c:pt>
                <c:pt idx="34">
                  <c:v>1.233576626798E-5</c:v>
                </c:pt>
                <c:pt idx="35">
                  <c:v>4.8957804763342203E-6</c:v>
                </c:pt>
                <c:pt idx="36">
                  <c:v>4.8647432479941804E-6</c:v>
                </c:pt>
                <c:pt idx="37">
                  <c:v>6.0426159041832103E-6</c:v>
                </c:pt>
                <c:pt idx="38">
                  <c:v>2.1935538118962599E-6</c:v>
                </c:pt>
                <c:pt idx="39">
                  <c:v>3.9539442216153599E-6</c:v>
                </c:pt>
                <c:pt idx="40">
                  <c:v>3.65490103524317E-6</c:v>
                </c:pt>
                <c:pt idx="41">
                  <c:v>3.1942204651829098E-6</c:v>
                </c:pt>
                <c:pt idx="42">
                  <c:v>4.4534449609643496E-6</c:v>
                </c:pt>
                <c:pt idx="43">
                  <c:v>5.6743872307979202E-6</c:v>
                </c:pt>
                <c:pt idx="44">
                  <c:v>3.7703731296268702E-6</c:v>
                </c:pt>
                <c:pt idx="45">
                  <c:v>5.6597291718525398E-6</c:v>
                </c:pt>
                <c:pt idx="46">
                  <c:v>5.96616047911026E-6</c:v>
                </c:pt>
                <c:pt idx="47">
                  <c:v>5.5184740036462502E-6</c:v>
                </c:pt>
                <c:pt idx="48">
                  <c:v>5.9014438553191403E-6</c:v>
                </c:pt>
                <c:pt idx="49">
                  <c:v>5.5735589079857096E-6</c:v>
                </c:pt>
                <c:pt idx="50">
                  <c:v>5.4906824797886303E-6</c:v>
                </c:pt>
                <c:pt idx="51">
                  <c:v>5.6380868690467198E-6</c:v>
                </c:pt>
                <c:pt idx="52">
                  <c:v>6.89419075469129E-6</c:v>
                </c:pt>
                <c:pt idx="53">
                  <c:v>6.1982478437318604E-6</c:v>
                </c:pt>
                <c:pt idx="54">
                  <c:v>6.7897388548465697E-6</c:v>
                </c:pt>
                <c:pt idx="55">
                  <c:v>5.3341116879979997E-6</c:v>
                </c:pt>
                <c:pt idx="56">
                  <c:v>9.8183136513199499E-6</c:v>
                </c:pt>
                <c:pt idx="57">
                  <c:v>3.0397234850183599E-5</c:v>
                </c:pt>
                <c:pt idx="58">
                  <c:v>4.1349889459794202E-5</c:v>
                </c:pt>
                <c:pt idx="59" formatCode="General">
                  <c:v>1.45573592314035E-4</c:v>
                </c:pt>
                <c:pt idx="60" formatCode="General">
                  <c:v>4.4534260556318699E-4</c:v>
                </c:pt>
                <c:pt idx="61" formatCode="General">
                  <c:v>3.2121988255789799E-4</c:v>
                </c:pt>
                <c:pt idx="62" formatCode="General">
                  <c:v>1.25246459702998E-4</c:v>
                </c:pt>
                <c:pt idx="63" formatCode="General">
                  <c:v>4.6595833407173603E-4</c:v>
                </c:pt>
                <c:pt idx="64" formatCode="General">
                  <c:v>5.9758893555664303E-4</c:v>
                </c:pt>
                <c:pt idx="65" formatCode="General">
                  <c:v>1.5413431119773501E-3</c:v>
                </c:pt>
                <c:pt idx="66" formatCode="General">
                  <c:v>1.4397700802664299E-3</c:v>
                </c:pt>
                <c:pt idx="67" formatCode="General">
                  <c:v>1.07873844761726E-3</c:v>
                </c:pt>
                <c:pt idx="68" formatCode="General">
                  <c:v>1.9761689973518399E-3</c:v>
                </c:pt>
                <c:pt idx="69" formatCode="General">
                  <c:v>1.4084697022671701E-3</c:v>
                </c:pt>
                <c:pt idx="70" formatCode="General">
                  <c:v>1.2870134659083701E-3</c:v>
                </c:pt>
                <c:pt idx="71" formatCode="General">
                  <c:v>2.8443858902263402E-3</c:v>
                </c:pt>
                <c:pt idx="72" formatCode="General">
                  <c:v>8.2089751540785003E-3</c:v>
                </c:pt>
                <c:pt idx="73" formatCode="General">
                  <c:v>1.2115581100540899E-3</c:v>
                </c:pt>
                <c:pt idx="74" formatCode="General">
                  <c:v>7.8265446764918395E-4</c:v>
                </c:pt>
                <c:pt idx="75" formatCode="General">
                  <c:v>8.6766037343363603E-4</c:v>
                </c:pt>
                <c:pt idx="76" formatCode="General">
                  <c:v>7.2687020094314202E-4</c:v>
                </c:pt>
                <c:pt idx="77" formatCode="General">
                  <c:v>6.3870356497849304E-4</c:v>
                </c:pt>
                <c:pt idx="78" formatCode="General">
                  <c:v>5.6196259475024498E-4</c:v>
                </c:pt>
                <c:pt idx="79" formatCode="General">
                  <c:v>4.1071099756034E-4</c:v>
                </c:pt>
                <c:pt idx="80" formatCode="General">
                  <c:v>5.7980618373676895E-4</c:v>
                </c:pt>
                <c:pt idx="81" formatCode="General">
                  <c:v>4.7795738430128003E-4</c:v>
                </c:pt>
                <c:pt idx="82" formatCode="General">
                  <c:v>3.2828989410194098E-4</c:v>
                </c:pt>
                <c:pt idx="83" formatCode="General">
                  <c:v>3.7142843028075502E-4</c:v>
                </c:pt>
                <c:pt idx="84" formatCode="General">
                  <c:v>3.81897121723281E-4</c:v>
                </c:pt>
                <c:pt idx="85" formatCode="General">
                  <c:v>3.7929630697255398E-4</c:v>
                </c:pt>
                <c:pt idx="86" formatCode="General">
                  <c:v>3.9725381288904099E-4</c:v>
                </c:pt>
                <c:pt idx="87" formatCode="General">
                  <c:v>3.1306892657396502E-4</c:v>
                </c:pt>
                <c:pt idx="88" formatCode="General">
                  <c:v>3.2956154470850402E-4</c:v>
                </c:pt>
                <c:pt idx="89" formatCode="General">
                  <c:v>3.3852778994308098E-4</c:v>
                </c:pt>
                <c:pt idx="90" formatCode="General">
                  <c:v>3.6966633819673401E-4</c:v>
                </c:pt>
                <c:pt idx="91" formatCode="General">
                  <c:v>7.4362801312632802E-4</c:v>
                </c:pt>
                <c:pt idx="92" formatCode="General">
                  <c:v>3.3571091761174399E-4</c:v>
                </c:pt>
                <c:pt idx="93" formatCode="General">
                  <c:v>4.2891569594207403E-4</c:v>
                </c:pt>
                <c:pt idx="94" formatCode="General">
                  <c:v>3.3273704492084699E-4</c:v>
                </c:pt>
                <c:pt idx="95" formatCode="General">
                  <c:v>1.8022024939127299E-4</c:v>
                </c:pt>
                <c:pt idx="96" formatCode="General">
                  <c:v>1.8386465282320901E-4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B4-434F-A32F-2326F2757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118110</xdr:colOff>
      <xdr:row>32</xdr:row>
      <xdr:rowOff>28575</xdr:rowOff>
    </xdr:from>
    <xdr:to>
      <xdr:col>18</xdr:col>
      <xdr:colOff>434340</xdr:colOff>
      <xdr:row>44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619A36-FBAF-4BDB-93B5-C8C1ACA52D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44</xdr:row>
      <xdr:rowOff>104775</xdr:rowOff>
    </xdr:from>
    <xdr:to>
      <xdr:col>18</xdr:col>
      <xdr:colOff>472440</xdr:colOff>
      <xdr:row>56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664D49-848E-4D1F-BA45-0E1B175772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114300</xdr:colOff>
      <xdr:row>57</xdr:row>
      <xdr:rowOff>47625</xdr:rowOff>
    </xdr:from>
    <xdr:to>
      <xdr:col>19</xdr:col>
      <xdr:colOff>171450</xdr:colOff>
      <xdr:row>69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9CE33C-5351-430E-8072-751B6FC6B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B3EE7-9F25-49D2-9950-CA5E6E11E08F}">
  <dimension ref="A1:CT130"/>
  <sheetViews>
    <sheetView tabSelected="1" topLeftCell="A34" workbookViewId="0">
      <selection activeCell="G57" sqref="G57"/>
    </sheetView>
  </sheetViews>
  <sheetFormatPr defaultRowHeight="15" x14ac:dyDescent="0.25"/>
  <cols>
    <col min="1" max="1" width="15.85546875" customWidth="1"/>
    <col min="2" max="2" width="14.140625" customWidth="1"/>
    <col min="3" max="3" width="13.42578125" customWidth="1"/>
    <col min="21" max="21" width="11.7109375" customWidth="1"/>
    <col min="74" max="74" width="17.140625" customWidth="1"/>
    <col min="92" max="92" width="16.7109375" customWidth="1"/>
  </cols>
  <sheetData>
    <row r="1" spans="1:98" x14ac:dyDescent="0.25">
      <c r="B1" s="1">
        <v>45183</v>
      </c>
      <c r="C1" s="1">
        <v>45183.010416666664</v>
      </c>
      <c r="D1" s="1">
        <v>45183.020833333336</v>
      </c>
      <c r="E1" s="1">
        <v>45183.03125</v>
      </c>
      <c r="F1" s="1">
        <v>45183.041666666664</v>
      </c>
      <c r="G1" s="1">
        <v>45183.052083333336</v>
      </c>
      <c r="H1" s="1">
        <v>45183.0625</v>
      </c>
      <c r="I1" s="1">
        <v>45183.072916666664</v>
      </c>
      <c r="J1" s="1">
        <v>45183.083333333336</v>
      </c>
      <c r="K1" s="1">
        <v>45183.09375</v>
      </c>
      <c r="L1" s="1">
        <v>45183.104166666664</v>
      </c>
      <c r="M1" s="1">
        <v>45183.114583333336</v>
      </c>
      <c r="N1" s="1">
        <v>45183.125</v>
      </c>
      <c r="O1" s="1">
        <v>45183.135416666664</v>
      </c>
      <c r="P1" s="1">
        <v>45183.145833333336</v>
      </c>
      <c r="Q1" s="1">
        <v>45183.15625</v>
      </c>
      <c r="R1" s="1">
        <v>45183.166666666664</v>
      </c>
      <c r="S1" s="1">
        <v>45183.177083333336</v>
      </c>
      <c r="T1" s="1">
        <v>45183.1875</v>
      </c>
      <c r="U1" s="1">
        <v>45183.197916666664</v>
      </c>
      <c r="V1" s="1">
        <v>45183.208333333336</v>
      </c>
      <c r="W1" s="1">
        <v>45183.21875</v>
      </c>
      <c r="X1" s="1">
        <v>45183.229166666664</v>
      </c>
      <c r="Y1" s="1">
        <v>45183.239583333336</v>
      </c>
      <c r="Z1" s="1">
        <v>45183.25</v>
      </c>
      <c r="AA1" s="1">
        <v>45183.260416666664</v>
      </c>
      <c r="AB1" s="1">
        <v>45183.270833333336</v>
      </c>
      <c r="AC1" s="1">
        <v>45183.28125</v>
      </c>
      <c r="AD1" s="1">
        <v>45183.291666666664</v>
      </c>
      <c r="AE1" s="1">
        <v>45183.302083333336</v>
      </c>
      <c r="AF1" s="1">
        <v>45183.3125</v>
      </c>
      <c r="AG1" s="1">
        <v>45183.322916666664</v>
      </c>
      <c r="AH1" s="1">
        <v>45183.333333333336</v>
      </c>
      <c r="AI1" s="1">
        <v>45183.34375</v>
      </c>
      <c r="AJ1" s="1">
        <v>45183.354166666664</v>
      </c>
      <c r="AK1" s="1">
        <v>45183.364583333336</v>
      </c>
      <c r="AL1" s="1">
        <v>45183.375</v>
      </c>
      <c r="AM1" s="1">
        <v>45183.385416666664</v>
      </c>
      <c r="AN1" s="1">
        <v>45183.395833333336</v>
      </c>
      <c r="AO1" s="1">
        <v>45183.40625</v>
      </c>
      <c r="AP1" s="1">
        <v>45183.416666666664</v>
      </c>
      <c r="AQ1" s="1">
        <v>45183.427083333336</v>
      </c>
      <c r="AR1" s="1">
        <v>45183.4375</v>
      </c>
      <c r="AS1" s="1">
        <v>45183.447916666664</v>
      </c>
      <c r="AT1" s="1">
        <v>45183.458333333336</v>
      </c>
      <c r="AU1" s="1">
        <v>45183.46875</v>
      </c>
      <c r="AV1" s="1">
        <v>45183.479166666664</v>
      </c>
      <c r="AW1" s="1">
        <v>45183.489583333336</v>
      </c>
      <c r="AX1" s="1">
        <v>45183.5</v>
      </c>
      <c r="AY1" s="1">
        <v>45183.510416666664</v>
      </c>
      <c r="AZ1" s="1">
        <v>45183.520833333336</v>
      </c>
      <c r="BA1" s="1">
        <v>45183.53125</v>
      </c>
      <c r="BB1" s="1">
        <v>45183.541666666664</v>
      </c>
      <c r="BC1" s="1">
        <v>45183.552083333336</v>
      </c>
      <c r="BD1" s="1">
        <v>45183.5625</v>
      </c>
      <c r="BE1" s="1">
        <v>45183.572916666664</v>
      </c>
      <c r="BF1" s="1">
        <v>45183.583333333336</v>
      </c>
      <c r="BG1" s="1">
        <v>45183.59375</v>
      </c>
      <c r="BH1" s="1">
        <v>45183.604166666664</v>
      </c>
      <c r="BI1" s="1">
        <v>45183.614583333336</v>
      </c>
      <c r="BJ1" s="1">
        <v>45183.625</v>
      </c>
      <c r="BK1" s="1">
        <v>45183.635416666664</v>
      </c>
      <c r="BL1" s="1">
        <v>45183.645833333336</v>
      </c>
      <c r="BM1" s="1">
        <v>45183.65625</v>
      </c>
      <c r="BN1" s="1">
        <v>45183.666666666664</v>
      </c>
      <c r="BO1" s="1">
        <v>45183.677083333336</v>
      </c>
      <c r="BP1" s="1">
        <v>45183.6875</v>
      </c>
      <c r="BQ1" s="1">
        <v>45183.697916666664</v>
      </c>
      <c r="BR1" s="1">
        <v>45183.708333333336</v>
      </c>
      <c r="BS1" s="1">
        <v>45183.71875</v>
      </c>
      <c r="BT1" s="1">
        <v>45183.729166666664</v>
      </c>
      <c r="BU1" s="1">
        <v>45183.739583333336</v>
      </c>
      <c r="BV1" s="1">
        <v>45183.75</v>
      </c>
      <c r="BW1" s="1">
        <v>45183.760416666664</v>
      </c>
      <c r="BX1" s="1">
        <v>45183.770833333336</v>
      </c>
      <c r="BY1" s="1">
        <v>45183.78125</v>
      </c>
      <c r="BZ1" s="1">
        <v>45183.791666666664</v>
      </c>
      <c r="CA1" s="1">
        <v>45183.802083333336</v>
      </c>
      <c r="CB1" s="1">
        <v>45183.8125</v>
      </c>
      <c r="CC1" s="1">
        <v>45183.822916666664</v>
      </c>
      <c r="CD1" s="1">
        <v>45183.833333333336</v>
      </c>
      <c r="CE1" s="1">
        <v>45183.84375</v>
      </c>
      <c r="CF1" s="1">
        <v>45183.854166666664</v>
      </c>
      <c r="CG1" s="1">
        <v>45183.864583333336</v>
      </c>
      <c r="CH1" s="1">
        <v>45183.875</v>
      </c>
      <c r="CI1" s="1">
        <v>45183.885416666664</v>
      </c>
      <c r="CJ1" s="1">
        <v>45183.895833333336</v>
      </c>
      <c r="CK1" s="1">
        <v>45183.90625</v>
      </c>
      <c r="CL1" s="1">
        <v>45183.916666666664</v>
      </c>
      <c r="CM1" s="1">
        <v>45183.927083333336</v>
      </c>
      <c r="CN1" s="1">
        <v>45183.9375</v>
      </c>
      <c r="CO1" s="1">
        <v>45183.947916666664</v>
      </c>
      <c r="CP1" s="1">
        <v>45183.958333333336</v>
      </c>
      <c r="CQ1" s="1">
        <v>45183.96875</v>
      </c>
      <c r="CR1" s="1">
        <v>45183.979166666664</v>
      </c>
      <c r="CS1" s="1">
        <v>45183.989583333336</v>
      </c>
      <c r="CT1" s="1">
        <v>45184</v>
      </c>
    </row>
    <row r="2" spans="1:98" x14ac:dyDescent="0.25">
      <c r="A2" t="s">
        <v>0</v>
      </c>
      <c r="B2" s="4">
        <v>7.6846154751774708E-6</v>
      </c>
      <c r="C2" s="4">
        <v>1.23569813489982E-5</v>
      </c>
      <c r="D2" s="4">
        <v>8.9101789072794392E-6</v>
      </c>
      <c r="E2" s="4">
        <v>1.7664537347037901E-5</v>
      </c>
      <c r="F2" s="4">
        <v>9.5503962099119404E-6</v>
      </c>
      <c r="G2" s="4">
        <v>1.4539414992594201E-5</v>
      </c>
      <c r="H2" s="4">
        <v>1.50523129554495E-5</v>
      </c>
      <c r="I2" s="4">
        <v>1.1788670466620001E-5</v>
      </c>
      <c r="J2" s="4">
        <v>1.6019090740073099E-5</v>
      </c>
      <c r="K2" s="4">
        <v>1.2600525405127599E-5</v>
      </c>
      <c r="L2" s="4">
        <v>1.3698679039703E-5</v>
      </c>
      <c r="M2" s="4">
        <v>1.4064515497491E-5</v>
      </c>
      <c r="N2" s="4">
        <v>1.91161086426678E-5</v>
      </c>
      <c r="O2" s="4">
        <v>1.1804116551777601E-5</v>
      </c>
      <c r="P2" s="4">
        <v>1.82412763628133E-5</v>
      </c>
      <c r="Q2" s="4">
        <v>1.31554753505079E-5</v>
      </c>
      <c r="R2" s="4">
        <v>1.450108122641E-5</v>
      </c>
      <c r="S2" s="4">
        <v>1.4056964134082499E-5</v>
      </c>
      <c r="T2" s="4">
        <v>1.5036091459018799E-5</v>
      </c>
      <c r="U2" s="4">
        <v>1.35939793439744E-5</v>
      </c>
      <c r="V2" s="4">
        <v>2.4208891597445399E-5</v>
      </c>
      <c r="W2" s="4">
        <v>1.07820572472535E-5</v>
      </c>
      <c r="X2" s="4">
        <v>2.8055407620584E-5</v>
      </c>
      <c r="Y2" s="4">
        <v>1.09763904627456E-5</v>
      </c>
      <c r="Z2" s="4">
        <v>1.60919151353905E-5</v>
      </c>
      <c r="AA2" s="4">
        <v>1.32775821077525E-5</v>
      </c>
      <c r="AB2" s="4">
        <v>9.1759777345658492E-6</v>
      </c>
      <c r="AC2" s="4">
        <v>1.3783665718403301E-5</v>
      </c>
      <c r="AD2" s="4">
        <v>8.9793777083391299E-6</v>
      </c>
      <c r="AE2" s="4">
        <v>1.00174329380324E-5</v>
      </c>
      <c r="AF2" s="4">
        <v>1.25705005758329E-5</v>
      </c>
      <c r="AG2" s="4">
        <v>1.15169690215133E-5</v>
      </c>
      <c r="AH2" s="4">
        <v>9.4823854699570792E-6</v>
      </c>
      <c r="AI2" s="4">
        <v>1.2238246086895201E-5</v>
      </c>
      <c r="AJ2" s="4">
        <v>2.2765797903957298E-5</v>
      </c>
      <c r="AK2" s="4">
        <v>9.2615381650705498E-6</v>
      </c>
      <c r="AL2" s="4">
        <v>6.8188231415523703E-6</v>
      </c>
      <c r="AM2" s="4">
        <v>1.0732498091594E-5</v>
      </c>
      <c r="AN2" s="4">
        <v>4.4258093627847802E-6</v>
      </c>
      <c r="AO2" s="4">
        <v>8.2890787455474902E-6</v>
      </c>
      <c r="AP2" s="4">
        <v>8.7587386148910899E-6</v>
      </c>
      <c r="AQ2" s="4">
        <v>4.9026989448435703E-6</v>
      </c>
      <c r="AR2" s="4">
        <v>7.40313872164134E-6</v>
      </c>
      <c r="AS2" s="4">
        <v>1.00378651681918E-5</v>
      </c>
      <c r="AT2" s="4">
        <v>7.3290418716751399E-6</v>
      </c>
      <c r="AU2" s="4">
        <v>9.7539571664340196E-6</v>
      </c>
      <c r="AV2" s="4">
        <v>9.9442565768875201E-6</v>
      </c>
      <c r="AW2" s="4">
        <v>8.9330405163299497E-6</v>
      </c>
      <c r="AX2" s="4">
        <v>9.5056455349283696E-6</v>
      </c>
      <c r="AY2" s="4">
        <v>1.30956484402392E-5</v>
      </c>
      <c r="AZ2" s="4">
        <v>9.1184614012821798E-6</v>
      </c>
      <c r="BA2" s="4">
        <v>9.7896966743383499E-6</v>
      </c>
      <c r="BB2" s="4">
        <v>1.1518420312011801E-5</v>
      </c>
      <c r="BC2" s="4">
        <v>1.1416437131006401E-5</v>
      </c>
      <c r="BD2" s="4">
        <v>1.2263673363637501E-5</v>
      </c>
      <c r="BE2" s="4">
        <v>9.8173924335980004E-6</v>
      </c>
      <c r="BF2" s="4">
        <v>1.65799049262947E-5</v>
      </c>
      <c r="BG2" s="4">
        <v>5.2304229996997202E-5</v>
      </c>
      <c r="BH2" s="4">
        <v>6.4495275467479405E-5</v>
      </c>
      <c r="BI2">
        <v>3.6540230353056599E-4</v>
      </c>
      <c r="BJ2">
        <v>8.0276531345949305E-4</v>
      </c>
      <c r="BK2">
        <v>5.1789189155470596E-4</v>
      </c>
      <c r="BL2">
        <v>2.1889811807178101E-4</v>
      </c>
      <c r="BM2">
        <v>8.1067237321690196E-4</v>
      </c>
      <c r="BN2">
        <v>1.0446220776071801E-3</v>
      </c>
      <c r="BO2">
        <v>2.0290821558515801E-3</v>
      </c>
      <c r="BP2">
        <v>2.33691935802162E-3</v>
      </c>
      <c r="BQ2">
        <v>1.5566319726546399E-3</v>
      </c>
      <c r="BR2">
        <v>3.28798396557436E-3</v>
      </c>
      <c r="BS2">
        <v>1.94087140645335E-3</v>
      </c>
      <c r="BT2">
        <v>1.89817553142744E-3</v>
      </c>
      <c r="BU2">
        <v>4.9314143969812797E-3</v>
      </c>
      <c r="BV2">
        <v>1.6768651053045799E-2</v>
      </c>
      <c r="BW2">
        <v>1.7569335230275601E-3</v>
      </c>
      <c r="BX2">
        <v>1.1888781370344001E-3</v>
      </c>
      <c r="BY2">
        <v>1.2322635174925301E-3</v>
      </c>
      <c r="BZ2">
        <v>1.0032346820111799E-3</v>
      </c>
      <c r="CA2">
        <v>9.3254082246669299E-4</v>
      </c>
      <c r="CB2">
        <v>8.7633096143231997E-4</v>
      </c>
      <c r="CC2">
        <v>7.86853431273352E-4</v>
      </c>
      <c r="CD2">
        <v>8.4709691732628403E-4</v>
      </c>
      <c r="CE2">
        <v>7.0205332682334097E-4</v>
      </c>
      <c r="CF2">
        <v>5.5263558775019205E-4</v>
      </c>
      <c r="CG2">
        <v>6.6390340166193004E-4</v>
      </c>
      <c r="CH2">
        <v>5.3466856776746799E-4</v>
      </c>
      <c r="CI2">
        <v>6.8323719594387403E-4</v>
      </c>
      <c r="CJ2">
        <v>6.4288241910266599E-4</v>
      </c>
      <c r="CK2">
        <v>4.6917913254726701E-4</v>
      </c>
      <c r="CL2">
        <v>5.1338862624363197E-4</v>
      </c>
      <c r="CM2">
        <v>5.5214615177000303E-4</v>
      </c>
      <c r="CN2">
        <v>7.4437504744957099E-4</v>
      </c>
      <c r="CO2">
        <v>1.25113051999328E-3</v>
      </c>
      <c r="CP2">
        <v>6.22301730447416E-4</v>
      </c>
      <c r="CQ2">
        <v>7.0816960113157499E-4</v>
      </c>
      <c r="CR2">
        <v>6.4161166268024005E-4</v>
      </c>
      <c r="CS2">
        <v>3.0241015053129102E-4</v>
      </c>
      <c r="CT2">
        <v>2.9791941867850799E-4</v>
      </c>
    </row>
    <row r="3" spans="1:98" x14ac:dyDescent="0.25">
      <c r="A3" t="s">
        <v>1</v>
      </c>
      <c r="B3" s="4">
        <v>5.4463226833065396E-6</v>
      </c>
      <c r="C3" s="4">
        <v>6.3962456266654401E-6</v>
      </c>
      <c r="D3" s="4">
        <v>5.8912330090925403E-6</v>
      </c>
      <c r="E3" s="4">
        <v>1.0574410159561401E-5</v>
      </c>
      <c r="F3" s="4">
        <v>5.0019794371970601E-6</v>
      </c>
      <c r="G3" s="4">
        <v>8.2564988794357005E-6</v>
      </c>
      <c r="H3" s="4">
        <v>8.9015754907171094E-6</v>
      </c>
      <c r="I3" s="4">
        <v>7.7679702964343202E-6</v>
      </c>
      <c r="J3" s="4">
        <v>8.1510721102886202E-6</v>
      </c>
      <c r="K3" s="4">
        <v>7.9496863235752302E-6</v>
      </c>
      <c r="L3" s="4">
        <v>8.9282000945889505E-6</v>
      </c>
      <c r="M3" s="4">
        <v>8.0376543486337502E-6</v>
      </c>
      <c r="N3" s="4">
        <v>8.3384018417962701E-6</v>
      </c>
      <c r="O3" s="4">
        <v>6.2745754865947097E-6</v>
      </c>
      <c r="P3" s="4">
        <v>1.15166118583011E-5</v>
      </c>
      <c r="Q3" s="4">
        <v>6.4958661530622496E-6</v>
      </c>
      <c r="R3" s="4">
        <v>9.1483328635934605E-6</v>
      </c>
      <c r="S3" s="4">
        <v>8.8395101550603802E-6</v>
      </c>
      <c r="T3" s="4">
        <v>1.0871764028120099E-5</v>
      </c>
      <c r="U3" s="4">
        <v>7.8340159711191601E-6</v>
      </c>
      <c r="V3" s="4">
        <v>1.10404993972219E-5</v>
      </c>
      <c r="W3" s="4">
        <v>6.3580754485742299E-6</v>
      </c>
      <c r="X3" s="4">
        <v>1.38670337049178E-5</v>
      </c>
      <c r="Y3" s="4">
        <v>5.9978417636642199E-6</v>
      </c>
      <c r="Z3" s="4">
        <v>1.1219056716150501E-5</v>
      </c>
      <c r="AA3" s="4">
        <v>6.2576992581698901E-6</v>
      </c>
      <c r="AB3" s="4">
        <v>6.4023810886987699E-6</v>
      </c>
      <c r="AC3" s="4">
        <v>6.44655807104177E-6</v>
      </c>
      <c r="AD3" s="4">
        <v>6.3713582560234203E-6</v>
      </c>
      <c r="AE3" s="4">
        <v>6.3238519119792398E-6</v>
      </c>
      <c r="AF3" s="4">
        <v>8.8756218524923297E-6</v>
      </c>
      <c r="AG3" s="4">
        <v>6.4814177031635204E-6</v>
      </c>
      <c r="AH3" s="4">
        <v>4.8881048353669699E-6</v>
      </c>
      <c r="AI3" s="4">
        <v>7.3301837541167303E-6</v>
      </c>
      <c r="AJ3" s="4">
        <v>1.28740911365979E-5</v>
      </c>
      <c r="AK3" s="4">
        <v>5.2021271269089096E-6</v>
      </c>
      <c r="AL3" s="4">
        <v>4.9441030603929702E-6</v>
      </c>
      <c r="AM3" s="4">
        <v>6.2023552578275198E-6</v>
      </c>
      <c r="AN3" s="4">
        <v>2.33155492634078E-6</v>
      </c>
      <c r="AO3" s="4">
        <v>4.1058007068472696E-6</v>
      </c>
      <c r="AP3" s="4">
        <v>3.9647365212198797E-6</v>
      </c>
      <c r="AQ3" s="4">
        <v>3.1984558637415998E-6</v>
      </c>
      <c r="AR3" s="4">
        <v>4.5856760765889302E-6</v>
      </c>
      <c r="AS3" s="4">
        <v>5.9199023934632198E-6</v>
      </c>
      <c r="AT3" s="4">
        <v>4.0308219623372397E-6</v>
      </c>
      <c r="AU3" s="4">
        <v>5.9261595400831002E-6</v>
      </c>
      <c r="AV3" s="4">
        <v>6.1147882824297497E-6</v>
      </c>
      <c r="AW3" s="4">
        <v>5.59291702577474E-6</v>
      </c>
      <c r="AX3" s="4">
        <v>5.9367786189819998E-6</v>
      </c>
      <c r="AY3" s="4">
        <v>5.9878684039209498E-6</v>
      </c>
      <c r="AZ3" s="4">
        <v>5.6195750505529502E-6</v>
      </c>
      <c r="BA3" s="4">
        <v>5.8869060565930902E-6</v>
      </c>
      <c r="BB3" s="4">
        <v>7.0249192301762599E-6</v>
      </c>
      <c r="BC3" s="4">
        <v>6.4019389066142098E-6</v>
      </c>
      <c r="BD3" s="4">
        <v>7.0532266589274803E-6</v>
      </c>
      <c r="BE3" s="4">
        <v>5.4642972892478801E-6</v>
      </c>
      <c r="BF3" s="4">
        <v>9.8901208888879793E-6</v>
      </c>
      <c r="BG3" s="4">
        <v>3.0768875256721098E-5</v>
      </c>
      <c r="BH3" s="4">
        <v>4.3278629803499901E-5</v>
      </c>
      <c r="BI3">
        <v>1.63914192416245E-4</v>
      </c>
      <c r="BJ3">
        <v>4.6149437131627998E-4</v>
      </c>
      <c r="BK3">
        <v>3.2234523348378502E-4</v>
      </c>
      <c r="BL3">
        <v>1.2999111042305599E-4</v>
      </c>
      <c r="BM3">
        <v>4.7877346906159999E-4</v>
      </c>
      <c r="BN3">
        <v>6.1394129125497501E-4</v>
      </c>
      <c r="BO3">
        <v>1.56238369688693E-3</v>
      </c>
      <c r="BP3">
        <v>1.4656751810689099E-3</v>
      </c>
      <c r="BQ3">
        <v>1.10068722555524E-3</v>
      </c>
      <c r="BR3">
        <v>2.00966832955314E-3</v>
      </c>
      <c r="BS3">
        <v>1.43157790113244E-3</v>
      </c>
      <c r="BT3">
        <v>1.3041552398201899E-3</v>
      </c>
      <c r="BU3">
        <v>2.9608690727512699E-3</v>
      </c>
      <c r="BV3">
        <v>8.9192262729874093E-3</v>
      </c>
      <c r="BW3">
        <v>1.23386490837562E-3</v>
      </c>
      <c r="BX3">
        <v>8.2007934278383997E-4</v>
      </c>
      <c r="BY3">
        <v>8.7524435565788797E-4</v>
      </c>
      <c r="BZ3">
        <v>7.2763471693763199E-4</v>
      </c>
      <c r="CA3">
        <v>6.5057009865111804E-4</v>
      </c>
      <c r="CB3">
        <v>5.6934326626283604E-4</v>
      </c>
      <c r="CC3">
        <v>4.28841432631615E-4</v>
      </c>
      <c r="CD3">
        <v>5.8333555640122895E-4</v>
      </c>
      <c r="CE3">
        <v>4.88620901698168E-4</v>
      </c>
      <c r="CF3">
        <v>3.4250355000383802E-4</v>
      </c>
      <c r="CG3">
        <v>3.7828642830546599E-4</v>
      </c>
      <c r="CH3">
        <v>3.8517698563496399E-4</v>
      </c>
      <c r="CI3">
        <v>3.9774931827794998E-4</v>
      </c>
      <c r="CJ3">
        <v>4.0089267182726003E-4</v>
      </c>
      <c r="CK3">
        <v>3.18935831108261E-4</v>
      </c>
      <c r="CL3">
        <v>3.3893093996620902E-4</v>
      </c>
      <c r="CM3">
        <v>3.4348402846739399E-4</v>
      </c>
      <c r="CN3">
        <v>3.7205497622716201E-4</v>
      </c>
      <c r="CO3">
        <v>7.5566034676375097E-4</v>
      </c>
      <c r="CP3">
        <v>3.4483125864743797E-4</v>
      </c>
      <c r="CQ3">
        <v>4.48174297182419E-4</v>
      </c>
      <c r="CR3">
        <v>3.48032763580346E-4</v>
      </c>
      <c r="CS3">
        <v>1.8817727783910601E-4</v>
      </c>
      <c r="CT3">
        <v>1.8855224366019199E-4</v>
      </c>
    </row>
    <row r="4" spans="1:98" x14ac:dyDescent="0.25">
      <c r="A4" t="s">
        <v>2</v>
      </c>
      <c r="B4" s="4">
        <v>5.2684564044847098E-6</v>
      </c>
      <c r="C4" s="4">
        <v>6.1704217437826E-6</v>
      </c>
      <c r="D4" s="4">
        <v>5.6786322525203101E-6</v>
      </c>
      <c r="E4" s="4">
        <v>1.00384744503919E-5</v>
      </c>
      <c r="F4" s="4">
        <v>4.8975450559714898E-6</v>
      </c>
      <c r="G4" s="4">
        <v>8.2394587388280404E-6</v>
      </c>
      <c r="H4" s="4">
        <v>8.6004726137494401E-6</v>
      </c>
      <c r="I4" s="4">
        <v>7.7248405732639793E-6</v>
      </c>
      <c r="J4" s="4">
        <v>8.0703846332316105E-6</v>
      </c>
      <c r="K4" s="4">
        <v>7.6813813686357694E-6</v>
      </c>
      <c r="L4" s="4">
        <v>8.9539903530129598E-6</v>
      </c>
      <c r="M4" s="4">
        <v>7.5882363909284901E-6</v>
      </c>
      <c r="N4" s="4">
        <v>7.8700192432809605E-6</v>
      </c>
      <c r="O4" s="4">
        <v>6.0305709159549703E-6</v>
      </c>
      <c r="P4" s="4">
        <v>1.14596092087438E-5</v>
      </c>
      <c r="Q4" s="4">
        <v>6.1128450398423401E-6</v>
      </c>
      <c r="R4" s="4">
        <v>8.5990131491936194E-6</v>
      </c>
      <c r="S4" s="4">
        <v>8.4458574236672207E-6</v>
      </c>
      <c r="T4" s="4">
        <v>1.0582848130131201E-5</v>
      </c>
      <c r="U4" s="4">
        <v>7.6374441170459699E-6</v>
      </c>
      <c r="V4" s="4">
        <v>1.0429660727113001E-5</v>
      </c>
      <c r="W4" s="4">
        <v>6.0773391725690804E-6</v>
      </c>
      <c r="X4" s="4">
        <v>1.3354481410754799E-5</v>
      </c>
      <c r="Y4" s="4">
        <v>5.7232302576372403E-6</v>
      </c>
      <c r="Z4" s="4">
        <v>1.10716582401152E-5</v>
      </c>
      <c r="AA4" s="4">
        <v>5.6559452098555104E-6</v>
      </c>
      <c r="AB4" s="4">
        <v>6.3705859146340897E-6</v>
      </c>
      <c r="AC4" s="4">
        <v>6.2595203270517102E-6</v>
      </c>
      <c r="AD4" s="4">
        <v>6.25126961625223E-6</v>
      </c>
      <c r="AE4" s="4">
        <v>6.0913058717389103E-6</v>
      </c>
      <c r="AF4" s="4">
        <v>8.8562471530071306E-6</v>
      </c>
      <c r="AG4" s="4">
        <v>6.17597916478332E-6</v>
      </c>
      <c r="AH4" s="4">
        <v>4.7187011737729601E-6</v>
      </c>
      <c r="AI4" s="4">
        <v>7.2947715034440702E-6</v>
      </c>
      <c r="AJ4" s="4">
        <v>1.233576626798E-5</v>
      </c>
      <c r="AK4" s="4">
        <v>4.8957804763342203E-6</v>
      </c>
      <c r="AL4" s="4">
        <v>4.8647432479941804E-6</v>
      </c>
      <c r="AM4" s="4">
        <v>6.0426159041832103E-6</v>
      </c>
      <c r="AN4" s="4">
        <v>2.1935538118962599E-6</v>
      </c>
      <c r="AO4" s="4">
        <v>3.9539442216153599E-6</v>
      </c>
      <c r="AP4" s="4">
        <v>3.65490103524317E-6</v>
      </c>
      <c r="AQ4" s="4">
        <v>3.1942204651829098E-6</v>
      </c>
      <c r="AR4" s="4">
        <v>4.4534449609643496E-6</v>
      </c>
      <c r="AS4" s="4">
        <v>5.6743872307979202E-6</v>
      </c>
      <c r="AT4" s="4">
        <v>3.7703731296268702E-6</v>
      </c>
      <c r="AU4" s="4">
        <v>5.6597291718525398E-6</v>
      </c>
      <c r="AV4" s="4">
        <v>5.96616047911026E-6</v>
      </c>
      <c r="AW4" s="4">
        <v>5.5184740036462502E-6</v>
      </c>
      <c r="AX4" s="4">
        <v>5.9014438553191403E-6</v>
      </c>
      <c r="AY4" s="4">
        <v>5.5735589079857096E-6</v>
      </c>
      <c r="AZ4" s="4">
        <v>5.4906824797886303E-6</v>
      </c>
      <c r="BA4" s="4">
        <v>5.6380868690467198E-6</v>
      </c>
      <c r="BB4" s="4">
        <v>6.89419075469129E-6</v>
      </c>
      <c r="BC4" s="4">
        <v>6.1982478437318604E-6</v>
      </c>
      <c r="BD4" s="4">
        <v>6.7897388548465697E-6</v>
      </c>
      <c r="BE4" s="4">
        <v>5.3341116879979997E-6</v>
      </c>
      <c r="BF4" s="4">
        <v>9.8183136513199499E-6</v>
      </c>
      <c r="BG4" s="4">
        <v>3.0397234850183599E-5</v>
      </c>
      <c r="BH4" s="4">
        <v>4.1349889459794202E-5</v>
      </c>
      <c r="BI4">
        <v>1.45573592314035E-4</v>
      </c>
      <c r="BJ4">
        <v>4.4534260556318699E-4</v>
      </c>
      <c r="BK4">
        <v>3.2121988255789799E-4</v>
      </c>
      <c r="BL4">
        <v>1.25246459702998E-4</v>
      </c>
      <c r="BM4">
        <v>4.6595833407173603E-4</v>
      </c>
      <c r="BN4">
        <v>5.9758893555664303E-4</v>
      </c>
      <c r="BO4">
        <v>1.5413431119773501E-3</v>
      </c>
      <c r="BP4">
        <v>1.4397700802664299E-3</v>
      </c>
      <c r="BQ4">
        <v>1.07873844761726E-3</v>
      </c>
      <c r="BR4">
        <v>1.9761689973518399E-3</v>
      </c>
      <c r="BS4">
        <v>1.4084697022671701E-3</v>
      </c>
      <c r="BT4">
        <v>1.2870134659083701E-3</v>
      </c>
      <c r="BU4">
        <v>2.8443858902263402E-3</v>
      </c>
      <c r="BV4">
        <v>8.2089751540785003E-3</v>
      </c>
      <c r="BW4">
        <v>1.2115581100540899E-3</v>
      </c>
      <c r="BX4">
        <v>7.8265446764918395E-4</v>
      </c>
      <c r="BY4">
        <v>8.6766037343363603E-4</v>
      </c>
      <c r="BZ4">
        <v>7.2687020094314202E-4</v>
      </c>
      <c r="CA4">
        <v>6.3870356497849304E-4</v>
      </c>
      <c r="CB4">
        <v>5.6196259475024498E-4</v>
      </c>
      <c r="CC4">
        <v>4.1071099756034E-4</v>
      </c>
      <c r="CD4">
        <v>5.7980618373676895E-4</v>
      </c>
      <c r="CE4">
        <v>4.7795738430128003E-4</v>
      </c>
      <c r="CF4">
        <v>3.2828989410194098E-4</v>
      </c>
      <c r="CG4">
        <v>3.7142843028075502E-4</v>
      </c>
      <c r="CH4">
        <v>3.81897121723281E-4</v>
      </c>
      <c r="CI4">
        <v>3.7929630697255398E-4</v>
      </c>
      <c r="CJ4">
        <v>3.9725381288904099E-4</v>
      </c>
      <c r="CK4">
        <v>3.1306892657396502E-4</v>
      </c>
      <c r="CL4">
        <v>3.2956154470850402E-4</v>
      </c>
      <c r="CM4">
        <v>3.3852778994308098E-4</v>
      </c>
      <c r="CN4">
        <v>3.6966633819673401E-4</v>
      </c>
      <c r="CO4">
        <v>7.4362801312632802E-4</v>
      </c>
      <c r="CP4">
        <v>3.3571091761174399E-4</v>
      </c>
      <c r="CQ4">
        <v>4.2891569594207403E-4</v>
      </c>
      <c r="CR4">
        <v>3.3273704492084699E-4</v>
      </c>
      <c r="CS4">
        <v>1.8022024939127299E-4</v>
      </c>
      <c r="CT4">
        <v>1.8386465282320901E-4</v>
      </c>
    </row>
    <row r="5" spans="1:98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</row>
    <row r="6" spans="1:98" x14ac:dyDescent="0.25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</row>
    <row r="7" spans="1:98" x14ac:dyDescent="0.25">
      <c r="A7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35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</row>
    <row r="8" spans="1:98" x14ac:dyDescent="0.25">
      <c r="A8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8</v>
      </c>
      <c r="BP8">
        <v>15</v>
      </c>
      <c r="BQ8">
        <v>1</v>
      </c>
      <c r="BR8">
        <v>24</v>
      </c>
      <c r="BS8">
        <v>8</v>
      </c>
      <c r="BT8">
        <v>4</v>
      </c>
      <c r="BU8">
        <v>103</v>
      </c>
      <c r="BV8">
        <v>887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2</v>
      </c>
      <c r="CP8">
        <v>0</v>
      </c>
      <c r="CQ8">
        <v>0</v>
      </c>
      <c r="CR8">
        <v>0</v>
      </c>
      <c r="CS8">
        <v>0</v>
      </c>
      <c r="CT8">
        <v>0</v>
      </c>
    </row>
    <row r="9" spans="1:98" x14ac:dyDescent="0.25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3</v>
      </c>
      <c r="BJ9">
        <v>24</v>
      </c>
      <c r="BK9">
        <v>10</v>
      </c>
      <c r="BL9">
        <v>1</v>
      </c>
      <c r="BM9">
        <v>30</v>
      </c>
      <c r="BN9">
        <v>46</v>
      </c>
      <c r="BO9">
        <v>468</v>
      </c>
      <c r="BP9">
        <v>408</v>
      </c>
      <c r="BQ9">
        <v>187</v>
      </c>
      <c r="BR9">
        <v>743</v>
      </c>
      <c r="BS9">
        <v>343</v>
      </c>
      <c r="BT9">
        <v>273</v>
      </c>
      <c r="BU9">
        <v>1582</v>
      </c>
      <c r="BV9">
        <v>10799</v>
      </c>
      <c r="BW9">
        <v>229</v>
      </c>
      <c r="BX9">
        <v>71</v>
      </c>
      <c r="BY9">
        <v>84</v>
      </c>
      <c r="BZ9">
        <v>29</v>
      </c>
      <c r="CA9">
        <v>27</v>
      </c>
      <c r="CB9">
        <v>26</v>
      </c>
      <c r="CC9">
        <v>9</v>
      </c>
      <c r="CD9">
        <v>21</v>
      </c>
      <c r="CE9">
        <v>20</v>
      </c>
      <c r="CF9">
        <v>5</v>
      </c>
      <c r="CG9">
        <v>16</v>
      </c>
      <c r="CH9">
        <v>16</v>
      </c>
      <c r="CI9">
        <v>18</v>
      </c>
      <c r="CJ9">
        <v>10</v>
      </c>
      <c r="CK9">
        <v>7</v>
      </c>
      <c r="CL9">
        <v>3</v>
      </c>
      <c r="CM9">
        <v>7</v>
      </c>
      <c r="CN9">
        <v>8</v>
      </c>
      <c r="CO9">
        <v>114</v>
      </c>
      <c r="CP9">
        <v>8</v>
      </c>
      <c r="CQ9">
        <v>21</v>
      </c>
      <c r="CR9">
        <v>7</v>
      </c>
      <c r="CS9">
        <v>0</v>
      </c>
      <c r="CT9">
        <v>0</v>
      </c>
    </row>
    <row r="10" spans="1:98" x14ac:dyDescent="0.25">
      <c r="A10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1</v>
      </c>
      <c r="BH10">
        <v>3</v>
      </c>
      <c r="BI10">
        <v>101</v>
      </c>
      <c r="BJ10">
        <v>781</v>
      </c>
      <c r="BK10">
        <v>341</v>
      </c>
      <c r="BL10">
        <v>49</v>
      </c>
      <c r="BM10">
        <v>864</v>
      </c>
      <c r="BN10">
        <v>1206</v>
      </c>
      <c r="BO10">
        <v>6737</v>
      </c>
      <c r="BP10">
        <v>6167</v>
      </c>
      <c r="BQ10">
        <v>3754</v>
      </c>
      <c r="BR10">
        <v>9774</v>
      </c>
      <c r="BS10">
        <v>6373</v>
      </c>
      <c r="BT10">
        <v>5242</v>
      </c>
      <c r="BU10">
        <v>12691</v>
      </c>
      <c r="BV10">
        <v>11286</v>
      </c>
      <c r="BW10">
        <v>4828</v>
      </c>
      <c r="BX10">
        <v>2089</v>
      </c>
      <c r="BY10">
        <v>2485</v>
      </c>
      <c r="BZ10">
        <v>1832</v>
      </c>
      <c r="CA10">
        <v>1489</v>
      </c>
      <c r="CB10">
        <v>1010</v>
      </c>
      <c r="CC10">
        <v>539</v>
      </c>
      <c r="CD10">
        <v>1144</v>
      </c>
      <c r="CE10">
        <v>765</v>
      </c>
      <c r="CF10">
        <v>372</v>
      </c>
      <c r="CG10">
        <v>472</v>
      </c>
      <c r="CH10">
        <v>533</v>
      </c>
      <c r="CI10">
        <v>609</v>
      </c>
      <c r="CJ10">
        <v>659</v>
      </c>
      <c r="CK10">
        <v>392</v>
      </c>
      <c r="CL10">
        <v>405</v>
      </c>
      <c r="CM10">
        <v>413</v>
      </c>
      <c r="CN10">
        <v>563</v>
      </c>
      <c r="CO10">
        <v>2049</v>
      </c>
      <c r="CP10">
        <v>452</v>
      </c>
      <c r="CQ10">
        <v>914</v>
      </c>
      <c r="CR10">
        <v>475</v>
      </c>
      <c r="CS10">
        <v>111</v>
      </c>
      <c r="CT10">
        <v>117</v>
      </c>
    </row>
    <row r="11" spans="1:98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</row>
    <row r="12" spans="1:98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</row>
    <row r="13" spans="1:98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</row>
    <row r="14" spans="1:98" x14ac:dyDescent="0.25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</row>
    <row r="15" spans="1:98" x14ac:dyDescent="0.2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</row>
    <row r="16" spans="1:98" x14ac:dyDescent="0.2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</row>
    <row r="17" spans="1:98" x14ac:dyDescent="0.25">
      <c r="A17" t="s">
        <v>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0.26829841684873301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</row>
    <row r="18" spans="1:98" x14ac:dyDescent="0.25">
      <c r="A18" t="s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0.163374700553788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</row>
    <row r="19" spans="1:98" x14ac:dyDescent="0.25">
      <c r="A19" t="s">
        <v>17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0.16057672123633601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</row>
    <row r="20" spans="1:98" x14ac:dyDescent="0.25">
      <c r="A20" t="s">
        <v>18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0.12986125797450099</v>
      </c>
      <c r="BP20">
        <v>0.14956283891338301</v>
      </c>
      <c r="BQ20">
        <v>9.7452481422522802E-2</v>
      </c>
      <c r="BR20">
        <v>0.21043097379675901</v>
      </c>
      <c r="BS20">
        <v>0.115956278544792</v>
      </c>
      <c r="BT20">
        <v>0.12148323401135599</v>
      </c>
      <c r="BU20">
        <v>0.31561052140680201</v>
      </c>
      <c r="BV20">
        <v>1.0731936673949301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8.0072353279570199E-2</v>
      </c>
      <c r="CP20">
        <v>0</v>
      </c>
      <c r="CQ20">
        <v>0</v>
      </c>
      <c r="CR20">
        <v>0</v>
      </c>
      <c r="CS20">
        <v>0</v>
      </c>
      <c r="CT20">
        <v>0</v>
      </c>
    </row>
    <row r="21" spans="1:98" x14ac:dyDescent="0.25">
      <c r="A21" t="s">
        <v>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0.114070996798993</v>
      </c>
      <c r="BP21">
        <v>0.116904065708492</v>
      </c>
      <c r="BQ21">
        <v>9.7452481422522802E-2</v>
      </c>
      <c r="BR21">
        <v>0.15318785979352101</v>
      </c>
      <c r="BS21">
        <v>0.104710581520393</v>
      </c>
      <c r="BT21">
        <v>9.9302980860655796E-2</v>
      </c>
      <c r="BU21">
        <v>0.20744747000160199</v>
      </c>
      <c r="BV21">
        <v>0.57083048147119397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8.0072353279570199E-2</v>
      </c>
      <c r="CP21">
        <v>0</v>
      </c>
      <c r="CQ21">
        <v>0</v>
      </c>
      <c r="CR21">
        <v>0</v>
      </c>
      <c r="CS21">
        <v>0</v>
      </c>
      <c r="CT21">
        <v>0</v>
      </c>
    </row>
    <row r="22" spans="1:98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0.115602469598364</v>
      </c>
      <c r="BP22">
        <v>0.10873164184022099</v>
      </c>
      <c r="BQ22">
        <v>9.7452481422522802E-2</v>
      </c>
      <c r="BR22">
        <v>0.13959283766736</v>
      </c>
      <c r="BS22">
        <v>0.10752246866790199</v>
      </c>
      <c r="BT22">
        <v>9.7613752988728306E-2</v>
      </c>
      <c r="BU22">
        <v>0.20280468950884201</v>
      </c>
      <c r="BV22">
        <v>0.52537440986102402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8.0072353279570199E-2</v>
      </c>
      <c r="CP22">
        <v>0</v>
      </c>
      <c r="CQ22">
        <v>0</v>
      </c>
      <c r="CR22">
        <v>0</v>
      </c>
      <c r="CS22">
        <v>0</v>
      </c>
      <c r="CT22">
        <v>0</v>
      </c>
    </row>
    <row r="23" spans="1:9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8.1010087893794797E-2</v>
      </c>
      <c r="BJ23">
        <v>0.20550792024563</v>
      </c>
      <c r="BK23">
        <v>0.12736718780922701</v>
      </c>
      <c r="BL23">
        <v>5.6037918226376E-2</v>
      </c>
      <c r="BM23">
        <v>0.20753212754352601</v>
      </c>
      <c r="BN23">
        <v>0.26742325186743798</v>
      </c>
      <c r="BO23">
        <v>0.51944503189800595</v>
      </c>
      <c r="BP23">
        <v>0.59825135565353504</v>
      </c>
      <c r="BQ23">
        <v>0.39849778499958899</v>
      </c>
      <c r="BR23">
        <v>0.84172389518703705</v>
      </c>
      <c r="BS23">
        <v>0.49686308005205698</v>
      </c>
      <c r="BT23">
        <v>0.48593293604542398</v>
      </c>
      <c r="BU23">
        <v>1.2624420856272001</v>
      </c>
      <c r="BV23">
        <v>4.2927746695797202</v>
      </c>
      <c r="BW23">
        <v>0.44977498189505599</v>
      </c>
      <c r="BX23">
        <v>0.30435280308080798</v>
      </c>
      <c r="BY23">
        <v>0.31545946047808798</v>
      </c>
      <c r="BZ23">
        <v>0.25682807859486301</v>
      </c>
      <c r="CA23">
        <v>0.23873045055147299</v>
      </c>
      <c r="CB23">
        <v>0.22434072612667399</v>
      </c>
      <c r="CC23">
        <v>0.201434478405978</v>
      </c>
      <c r="CD23">
        <v>0.21685681083552799</v>
      </c>
      <c r="CE23">
        <v>0.17208917384433201</v>
      </c>
      <c r="CF23">
        <v>0.141474710464049</v>
      </c>
      <c r="CG23">
        <v>0.16995927082545401</v>
      </c>
      <c r="CH23">
        <v>0.136875153348471</v>
      </c>
      <c r="CI23">
        <v>0.174908722161631</v>
      </c>
      <c r="CJ23">
        <v>0.15867402827848601</v>
      </c>
      <c r="CK23">
        <v>0.12010985793209999</v>
      </c>
      <c r="CL23">
        <v>0.13142748831836901</v>
      </c>
      <c r="CM23">
        <v>0.14134941485312</v>
      </c>
      <c r="CN23">
        <v>0.19056001214709001</v>
      </c>
      <c r="CO23">
        <v>0.32028941311828102</v>
      </c>
      <c r="CP23">
        <v>0.14083415228563201</v>
      </c>
      <c r="CQ23">
        <v>0.17067495378357</v>
      </c>
      <c r="CR23">
        <v>0.16425258564614101</v>
      </c>
      <c r="CS23">
        <v>0</v>
      </c>
      <c r="CT23">
        <v>0</v>
      </c>
    </row>
    <row r="24" spans="1:98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7.8741307894094004E-2</v>
      </c>
      <c r="BJ24">
        <v>0.143803385237321</v>
      </c>
      <c r="BK24">
        <v>0.10472675165733999</v>
      </c>
      <c r="BL24">
        <v>5.6037918226376E-2</v>
      </c>
      <c r="BM24">
        <v>0.14399942024398499</v>
      </c>
      <c r="BN24">
        <v>0.18147031526556801</v>
      </c>
      <c r="BO24">
        <v>0.400920981891284</v>
      </c>
      <c r="BP24">
        <v>0.38147614873651697</v>
      </c>
      <c r="BQ24">
        <v>0.29447396244785801</v>
      </c>
      <c r="BR24">
        <v>0.51447509236560496</v>
      </c>
      <c r="BS24">
        <v>0.36942830421617301</v>
      </c>
      <c r="BT24">
        <v>0.33873995966687798</v>
      </c>
      <c r="BU24">
        <v>0.75798248262432599</v>
      </c>
      <c r="BV24">
        <v>2.2833219258847701</v>
      </c>
      <c r="BW24">
        <v>0.31849462349725699</v>
      </c>
      <c r="BX24">
        <v>0.230253763291631</v>
      </c>
      <c r="BY24">
        <v>0.24069589366218599</v>
      </c>
      <c r="BZ24">
        <v>0.20678302032139101</v>
      </c>
      <c r="CA24">
        <v>0.18747957496355999</v>
      </c>
      <c r="CB24">
        <v>0.17440494602517001</v>
      </c>
      <c r="CC24">
        <v>0.14696187131344399</v>
      </c>
      <c r="CD24">
        <v>0.17573977557697801</v>
      </c>
      <c r="CE24">
        <v>0.14431061700143299</v>
      </c>
      <c r="CF24">
        <v>0.12664662827607101</v>
      </c>
      <c r="CG24">
        <v>0.121321367434632</v>
      </c>
      <c r="CH24">
        <v>0.120036270355595</v>
      </c>
      <c r="CI24">
        <v>0.12735921382733001</v>
      </c>
      <c r="CJ24">
        <v>0.11983224900007899</v>
      </c>
      <c r="CK24">
        <v>0.109749843819292</v>
      </c>
      <c r="CL24">
        <v>0.113987676584879</v>
      </c>
      <c r="CM24">
        <v>0.10925911966566</v>
      </c>
      <c r="CN24">
        <v>0.131032842776587</v>
      </c>
      <c r="CO24">
        <v>0.21510793160173999</v>
      </c>
      <c r="CP24">
        <v>0.115797982802454</v>
      </c>
      <c r="CQ24">
        <v>0.13312530870489001</v>
      </c>
      <c r="CR24">
        <v>0.13528761225639499</v>
      </c>
      <c r="CS24">
        <v>0</v>
      </c>
      <c r="CT24">
        <v>0</v>
      </c>
    </row>
    <row r="25" spans="1:9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7.8741307894094004E-2</v>
      </c>
      <c r="BJ25">
        <v>0.14041487652701101</v>
      </c>
      <c r="BK25">
        <v>0.104122719620619</v>
      </c>
      <c r="BL25">
        <v>5.6037918226376E-2</v>
      </c>
      <c r="BM25">
        <v>0.14739248433414501</v>
      </c>
      <c r="BN25">
        <v>0.16949527730285599</v>
      </c>
      <c r="BO25">
        <v>0.39584657393094702</v>
      </c>
      <c r="BP25">
        <v>0.37010897886613198</v>
      </c>
      <c r="BQ25">
        <v>0.28486646659743198</v>
      </c>
      <c r="BR25">
        <v>0.50589926332207302</v>
      </c>
      <c r="BS25">
        <v>0.36369479015988798</v>
      </c>
      <c r="BT25">
        <v>0.33002300117739802</v>
      </c>
      <c r="BU25">
        <v>0.72816278789794397</v>
      </c>
      <c r="BV25">
        <v>2.1014976394440898</v>
      </c>
      <c r="BW25">
        <v>0.31229716248071898</v>
      </c>
      <c r="BX25">
        <v>0.22888809577821401</v>
      </c>
      <c r="BY25">
        <v>0.24572421275612599</v>
      </c>
      <c r="BZ25">
        <v>0.21195245061737999</v>
      </c>
      <c r="CA25">
        <v>0.188213012553025</v>
      </c>
      <c r="CB25">
        <v>0.16309309693035001</v>
      </c>
      <c r="CC25">
        <v>0.14122045174409401</v>
      </c>
      <c r="CD25">
        <v>0.17344418574724799</v>
      </c>
      <c r="CE25">
        <v>0.14271110330210299</v>
      </c>
      <c r="CF25">
        <v>0.12664662827607101</v>
      </c>
      <c r="CG25">
        <v>0.11849465962351501</v>
      </c>
      <c r="CH25">
        <v>0.124883785654772</v>
      </c>
      <c r="CI25">
        <v>0.125658693653112</v>
      </c>
      <c r="CJ25">
        <v>0.123337856920101</v>
      </c>
      <c r="CK25">
        <v>0.115454183707805</v>
      </c>
      <c r="CL25">
        <v>0.11489498248187199</v>
      </c>
      <c r="CM25">
        <v>0.10077659182703499</v>
      </c>
      <c r="CN25">
        <v>0.114268848457051</v>
      </c>
      <c r="CO25">
        <v>0.21259042957767199</v>
      </c>
      <c r="CP25">
        <v>0.11062431026061501</v>
      </c>
      <c r="CQ25">
        <v>0.13415023400443599</v>
      </c>
      <c r="CR25">
        <v>0.15113801694460399</v>
      </c>
      <c r="CS25">
        <v>0</v>
      </c>
      <c r="CT25">
        <v>0</v>
      </c>
    </row>
    <row r="26" spans="1:98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4.3787109976882399E-2</v>
      </c>
      <c r="BH26">
        <v>6.6043162078698897E-2</v>
      </c>
      <c r="BI26">
        <v>0.37417195881529902</v>
      </c>
      <c r="BJ26">
        <v>0.822031680982521</v>
      </c>
      <c r="BK26">
        <v>0.53032129695201802</v>
      </c>
      <c r="BL26">
        <v>0.224151672905504</v>
      </c>
      <c r="BM26">
        <v>0.83012851017410705</v>
      </c>
      <c r="BN26">
        <v>1.0696930074697499</v>
      </c>
      <c r="BO26">
        <v>2.0777801275920198</v>
      </c>
      <c r="BP26">
        <v>2.3930054226141402</v>
      </c>
      <c r="BQ26">
        <v>1.59399113999835</v>
      </c>
      <c r="BR26">
        <v>3.3668955807481402</v>
      </c>
      <c r="BS26">
        <v>1.9874523202082299</v>
      </c>
      <c r="BT26">
        <v>1.9437317441816899</v>
      </c>
      <c r="BU26">
        <v>5.0497683425088304</v>
      </c>
      <c r="BV26">
        <v>17.171098678318899</v>
      </c>
      <c r="BW26">
        <v>1.79909992758022</v>
      </c>
      <c r="BX26">
        <v>1.2174112123232299</v>
      </c>
      <c r="BY26">
        <v>1.2618378419123499</v>
      </c>
      <c r="BZ26">
        <v>1.02731231437945</v>
      </c>
      <c r="CA26">
        <v>0.95492180220589296</v>
      </c>
      <c r="CB26">
        <v>0.89736290450669598</v>
      </c>
      <c r="CC26">
        <v>0.80573791362391201</v>
      </c>
      <c r="CD26">
        <v>0.86742724334211496</v>
      </c>
      <c r="CE26">
        <v>0.71890260666710104</v>
      </c>
      <c r="CF26">
        <v>0.56589884185619699</v>
      </c>
      <c r="CG26">
        <v>0.67983708330181603</v>
      </c>
      <c r="CH26">
        <v>0.547500613393887</v>
      </c>
      <c r="CI26">
        <v>0.69963488864652701</v>
      </c>
      <c r="CJ26">
        <v>0.65831159716112997</v>
      </c>
      <c r="CK26">
        <v>0.48043943172840098</v>
      </c>
      <c r="CL26">
        <v>0.52570995327347902</v>
      </c>
      <c r="CM26">
        <v>0.56539765941248299</v>
      </c>
      <c r="CN26">
        <v>0.76224004858836003</v>
      </c>
      <c r="CO26">
        <v>1.2811576524731201</v>
      </c>
      <c r="CP26">
        <v>0.63723697197815399</v>
      </c>
      <c r="CQ26">
        <v>0.72516567155873302</v>
      </c>
      <c r="CR26">
        <v>0.65701034258456603</v>
      </c>
      <c r="CS26">
        <v>0.309667994144042</v>
      </c>
      <c r="CT26">
        <v>0.30506948472679202</v>
      </c>
    </row>
    <row r="27" spans="1:98" x14ac:dyDescent="0.25">
      <c r="A27" t="s">
        <v>25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4.3787109976882399E-2</v>
      </c>
      <c r="BH27">
        <v>6.2901485739307497E-2</v>
      </c>
      <c r="BI27">
        <v>0.19714476109809501</v>
      </c>
      <c r="BJ27">
        <v>0.47257023622787098</v>
      </c>
      <c r="BK27">
        <v>0.34067738194609898</v>
      </c>
      <c r="BL27">
        <v>0.147467454522488</v>
      </c>
      <c r="BM27">
        <v>0.49339102628517201</v>
      </c>
      <c r="BN27">
        <v>0.62867588224509496</v>
      </c>
      <c r="BO27">
        <v>1.5998809056122201</v>
      </c>
      <c r="BP27">
        <v>1.50085138541456</v>
      </c>
      <c r="BQ27">
        <v>1.12710371896857</v>
      </c>
      <c r="BR27">
        <v>2.0579003694624198</v>
      </c>
      <c r="BS27">
        <v>1.4659357707596199</v>
      </c>
      <c r="BT27">
        <v>1.3354549655758701</v>
      </c>
      <c r="BU27">
        <v>3.0319299304973</v>
      </c>
      <c r="BV27">
        <v>9.1332877035391107</v>
      </c>
      <c r="BW27">
        <v>1.26347766617664</v>
      </c>
      <c r="BX27">
        <v>0.83976124701065202</v>
      </c>
      <c r="BY27">
        <v>0.89625022019367695</v>
      </c>
      <c r="BZ27">
        <v>0.74509795014413505</v>
      </c>
      <c r="CA27">
        <v>0.66618378101874398</v>
      </c>
      <c r="CB27">
        <v>0.58300750465314399</v>
      </c>
      <c r="CC27">
        <v>0.44242598604586297</v>
      </c>
      <c r="CD27">
        <v>0.597335609754858</v>
      </c>
      <c r="CE27">
        <v>0.50034780333892404</v>
      </c>
      <c r="CF27">
        <v>0.35445645905304801</v>
      </c>
      <c r="CG27">
        <v>0.392945878500919</v>
      </c>
      <c r="CH27">
        <v>0.399805794090205</v>
      </c>
      <c r="CI27">
        <v>0.407295301916621</v>
      </c>
      <c r="CJ27">
        <v>0.41669245482365602</v>
      </c>
      <c r="CK27">
        <v>0.33406168973855099</v>
      </c>
      <c r="CL27">
        <v>0.34864918957053997</v>
      </c>
      <c r="CM27">
        <v>0.351727645150612</v>
      </c>
      <c r="CN27">
        <v>0.38098429565661401</v>
      </c>
      <c r="CO27">
        <v>0.773796195086081</v>
      </c>
      <c r="CP27">
        <v>0.36115874547704002</v>
      </c>
      <c r="CQ27">
        <v>0.458930480314797</v>
      </c>
      <c r="CR27">
        <v>0.36031466400199202</v>
      </c>
      <c r="CS27">
        <v>0.20956694586357899</v>
      </c>
      <c r="CT27">
        <v>0.20582811451496499</v>
      </c>
    </row>
    <row r="28" spans="1:98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4.3787109976882399E-2</v>
      </c>
      <c r="BH28">
        <v>6.1519540894758001E-2</v>
      </c>
      <c r="BI28">
        <v>0.17894800235550701</v>
      </c>
      <c r="BJ28">
        <v>0.45603082809670298</v>
      </c>
      <c r="BK28">
        <v>0.33362381717161299</v>
      </c>
      <c r="BL28">
        <v>0.14342423619567801</v>
      </c>
      <c r="BM28">
        <v>0.48446130747024002</v>
      </c>
      <c r="BN28">
        <v>0.61193107001000202</v>
      </c>
      <c r="BO28">
        <v>1.57833534666481</v>
      </c>
      <c r="BP28">
        <v>1.47432456219282</v>
      </c>
      <c r="BQ28">
        <v>1.10462817036008</v>
      </c>
      <c r="BR28">
        <v>2.0235970532882899</v>
      </c>
      <c r="BS28">
        <v>1.4422729751215799</v>
      </c>
      <c r="BT28">
        <v>1.3179017890901701</v>
      </c>
      <c r="BU28">
        <v>2.9126511515917701</v>
      </c>
      <c r="BV28">
        <v>8.4059905577763896</v>
      </c>
      <c r="BW28">
        <v>1.2406355046953901</v>
      </c>
      <c r="BX28">
        <v>0.80143817487276403</v>
      </c>
      <c r="BY28">
        <v>0.88848422239604297</v>
      </c>
      <c r="BZ28">
        <v>0.74431508576577698</v>
      </c>
      <c r="CA28">
        <v>0.65403245053797698</v>
      </c>
      <c r="CB28">
        <v>0.57544969702425097</v>
      </c>
      <c r="CC28">
        <v>0.424042510006502</v>
      </c>
      <c r="CD28">
        <v>0.59372153214645096</v>
      </c>
      <c r="CE28">
        <v>0.48942836152451102</v>
      </c>
      <c r="CF28">
        <v>0.33820348301144498</v>
      </c>
      <c r="CG28">
        <v>0.38215405173690098</v>
      </c>
      <c r="CH28">
        <v>0.40291265027867101</v>
      </c>
      <c r="CI28">
        <v>0.388399418339896</v>
      </c>
      <c r="CJ28">
        <v>0.40764345842000099</v>
      </c>
      <c r="CK28">
        <v>0.32895638232933899</v>
      </c>
      <c r="CL28">
        <v>0.34193058593688003</v>
      </c>
      <c r="CM28">
        <v>0.34665245690171498</v>
      </c>
      <c r="CN28">
        <v>0.37853833031345602</v>
      </c>
      <c r="CO28">
        <v>0.76147508544136</v>
      </c>
      <c r="CP28">
        <v>0.35015372025748098</v>
      </c>
      <c r="CQ28">
        <v>0.43920967264468402</v>
      </c>
      <c r="CR28">
        <v>0.35004532843814901</v>
      </c>
      <c r="CS28">
        <v>0.20398120626902899</v>
      </c>
      <c r="CT28">
        <v>0.20802652930254301</v>
      </c>
    </row>
    <row r="29" spans="1:98" x14ac:dyDescent="0.25">
      <c r="A29" t="s">
        <v>32</v>
      </c>
      <c r="B29">
        <v>0.44939223900000003</v>
      </c>
      <c r="C29">
        <v>0.44939223900000003</v>
      </c>
      <c r="D29">
        <v>0.44894941300000002</v>
      </c>
      <c r="E29">
        <v>0.59425534599999996</v>
      </c>
      <c r="F29">
        <v>0.399936554</v>
      </c>
      <c r="G29">
        <v>0.50323377899999999</v>
      </c>
      <c r="H29">
        <v>0.53251963199999997</v>
      </c>
      <c r="I29">
        <v>0.50323377899999999</v>
      </c>
      <c r="J29">
        <v>0.50323377899999999</v>
      </c>
      <c r="K29">
        <v>0.50323377899999999</v>
      </c>
      <c r="L29">
        <v>0.53201108200000002</v>
      </c>
      <c r="M29">
        <v>0.50323377899999999</v>
      </c>
      <c r="N29">
        <v>0.50323377899999999</v>
      </c>
      <c r="O29">
        <v>0.44894941300000002</v>
      </c>
      <c r="P29">
        <v>0.59425534599999996</v>
      </c>
      <c r="Q29">
        <v>0.44894941300000002</v>
      </c>
      <c r="R29">
        <v>0.53201108200000002</v>
      </c>
      <c r="S29">
        <v>0.53201108200000002</v>
      </c>
      <c r="T29">
        <v>0.59425534599999996</v>
      </c>
      <c r="U29">
        <v>0.50323377899999999</v>
      </c>
      <c r="V29">
        <v>0.59425534599999996</v>
      </c>
      <c r="W29">
        <v>0.44894941300000002</v>
      </c>
      <c r="X29">
        <v>0.66228851600000005</v>
      </c>
      <c r="Y29">
        <v>0.44894941300000002</v>
      </c>
      <c r="Z29">
        <v>0.59425534599999996</v>
      </c>
      <c r="AA29">
        <v>0.44894941300000002</v>
      </c>
      <c r="AB29">
        <v>0.44939223900000003</v>
      </c>
      <c r="AC29">
        <v>0.44939223900000003</v>
      </c>
      <c r="AD29">
        <v>0.44939223900000003</v>
      </c>
      <c r="AE29">
        <v>0.44894941300000002</v>
      </c>
      <c r="AF29">
        <v>0.53201108200000002</v>
      </c>
      <c r="AG29">
        <v>0.44894941300000002</v>
      </c>
      <c r="AH29">
        <v>0.39953381599999999</v>
      </c>
      <c r="AI29">
        <v>0.47522856800000002</v>
      </c>
      <c r="AJ29">
        <v>0.62723254799999995</v>
      </c>
      <c r="AK29">
        <v>0.39953381599999999</v>
      </c>
      <c r="AL29">
        <v>0.39953381599999999</v>
      </c>
      <c r="AM29">
        <v>0.44894941300000002</v>
      </c>
      <c r="AN29">
        <v>0.29572637699999998</v>
      </c>
      <c r="AO29">
        <v>0.376777213</v>
      </c>
      <c r="AP29">
        <v>0.376777213</v>
      </c>
      <c r="AQ29">
        <v>0.33439968599999997</v>
      </c>
      <c r="AR29">
        <v>0.399936554</v>
      </c>
      <c r="AS29">
        <v>0.44894941300000002</v>
      </c>
      <c r="AT29">
        <v>0.376777213</v>
      </c>
      <c r="AU29">
        <v>0.44894941300000002</v>
      </c>
      <c r="AV29">
        <v>0.44894941300000002</v>
      </c>
      <c r="AW29">
        <v>0.44894941300000002</v>
      </c>
      <c r="AX29">
        <v>0.44894941300000002</v>
      </c>
      <c r="AY29">
        <v>0.44894941300000002</v>
      </c>
      <c r="AZ29">
        <v>0.376777213</v>
      </c>
      <c r="BA29">
        <v>0.44894941300000002</v>
      </c>
      <c r="BB29">
        <v>0.47522856800000002</v>
      </c>
      <c r="BC29">
        <v>0.47522856800000002</v>
      </c>
      <c r="BD29">
        <v>0.47522856800000002</v>
      </c>
      <c r="BE29">
        <v>0.44894941300000002</v>
      </c>
      <c r="BF29">
        <v>0.44894941300000002</v>
      </c>
      <c r="BG29">
        <v>0.53201108200000002</v>
      </c>
      <c r="BH29">
        <v>0.81307424100000003</v>
      </c>
      <c r="BI29">
        <v>1.200201638</v>
      </c>
      <c r="BJ29">
        <v>1.9748874890000001</v>
      </c>
      <c r="BK29">
        <v>1.5125919880000001</v>
      </c>
      <c r="BL29">
        <v>1.0404225359999999</v>
      </c>
      <c r="BM29">
        <v>1.8086265969999999</v>
      </c>
      <c r="BN29">
        <v>1.9734137430000001</v>
      </c>
      <c r="BO29">
        <v>2.8809824239999999</v>
      </c>
      <c r="BP29">
        <v>2.8809824239999999</v>
      </c>
      <c r="BQ29">
        <v>2.5469425430000001</v>
      </c>
      <c r="BR29">
        <v>3.3680623299999999</v>
      </c>
      <c r="BS29">
        <v>2.8809824239999999</v>
      </c>
      <c r="BT29">
        <v>2.7664001109999998</v>
      </c>
      <c r="BU29">
        <v>3.8698277910000001</v>
      </c>
      <c r="BV29">
        <v>6.6940258559999997</v>
      </c>
      <c r="BW29">
        <v>2.6558198119999998</v>
      </c>
      <c r="BX29">
        <v>2.247064306</v>
      </c>
      <c r="BY29">
        <v>2.3436582540000002</v>
      </c>
      <c r="BZ29">
        <v>2.247064306</v>
      </c>
      <c r="CA29">
        <v>2.247064306</v>
      </c>
      <c r="CB29">
        <v>2.0619739560000001</v>
      </c>
      <c r="CC29">
        <v>1.8086265969999999</v>
      </c>
      <c r="CD29">
        <v>2.0619739560000001</v>
      </c>
      <c r="CE29">
        <v>1.88950475</v>
      </c>
      <c r="CF29">
        <v>1.5821856839999999</v>
      </c>
      <c r="CG29">
        <v>1.5821856839999999</v>
      </c>
      <c r="CH29">
        <v>1.5821856839999999</v>
      </c>
      <c r="CI29">
        <v>1.5821856839999999</v>
      </c>
      <c r="CJ29">
        <v>1.5821856839999999</v>
      </c>
      <c r="CK29">
        <v>1.3790541089999999</v>
      </c>
      <c r="CL29">
        <v>1.4444654269999999</v>
      </c>
      <c r="CM29">
        <v>1.3790541089999999</v>
      </c>
      <c r="CN29">
        <v>1.4444654269999999</v>
      </c>
      <c r="CO29">
        <v>2.060445487</v>
      </c>
      <c r="CP29">
        <v>1.3790541089999999</v>
      </c>
      <c r="CQ29">
        <v>1.5809633519999999</v>
      </c>
      <c r="CR29">
        <v>1.4444654269999999</v>
      </c>
      <c r="CS29">
        <v>1.091323134</v>
      </c>
      <c r="CT29">
        <v>1.091323134</v>
      </c>
    </row>
    <row r="30" spans="1:98" x14ac:dyDescent="0.25">
      <c r="A30" t="s">
        <v>33</v>
      </c>
      <c r="B30">
        <v>3.4732271191609001E-3</v>
      </c>
      <c r="C30">
        <v>3.4732271191609001E-3</v>
      </c>
      <c r="D30">
        <v>3.4658053051485099E-3</v>
      </c>
      <c r="E30">
        <v>6.3684398738599298E-3</v>
      </c>
      <c r="F30">
        <v>2.6969103840659E-3</v>
      </c>
      <c r="G30">
        <v>4.4398296332680198E-3</v>
      </c>
      <c r="H30">
        <v>5.0196017427424702E-3</v>
      </c>
      <c r="I30">
        <v>4.4398296332680198E-3</v>
      </c>
      <c r="J30">
        <v>4.4398296332680198E-3</v>
      </c>
      <c r="K30">
        <v>4.4398296332680198E-3</v>
      </c>
      <c r="L30">
        <v>5.0092062671747099E-3</v>
      </c>
      <c r="M30">
        <v>4.4398296332680198E-3</v>
      </c>
      <c r="N30">
        <v>4.4398296332680198E-3</v>
      </c>
      <c r="O30">
        <v>3.4658053051485099E-3</v>
      </c>
      <c r="P30">
        <v>6.3684398738599298E-3</v>
      </c>
      <c r="Q30">
        <v>3.4658053051485099E-3</v>
      </c>
      <c r="R30">
        <v>5.0092062671747099E-3</v>
      </c>
      <c r="S30">
        <v>5.0092062671747099E-3</v>
      </c>
      <c r="T30">
        <v>6.3684398738599298E-3</v>
      </c>
      <c r="U30">
        <v>4.4398296332680198E-3</v>
      </c>
      <c r="V30">
        <v>6.3684398738599298E-3</v>
      </c>
      <c r="W30">
        <v>3.4658053051485099E-3</v>
      </c>
      <c r="X30">
        <v>8.0570209681228907E-3</v>
      </c>
      <c r="Y30">
        <v>3.4658053051485099E-3</v>
      </c>
      <c r="Z30">
        <v>6.3684398738599298E-3</v>
      </c>
      <c r="AA30">
        <v>3.4658053051485099E-3</v>
      </c>
      <c r="AB30">
        <v>3.4732271191609001E-3</v>
      </c>
      <c r="AC30">
        <v>3.4732271191609001E-3</v>
      </c>
      <c r="AD30">
        <v>3.4732271191609001E-3</v>
      </c>
      <c r="AE30">
        <v>3.4658053051485099E-3</v>
      </c>
      <c r="AF30">
        <v>5.0092062671747099E-3</v>
      </c>
      <c r="AG30">
        <v>3.4658053051485099E-3</v>
      </c>
      <c r="AH30">
        <v>2.6910211085780602E-3</v>
      </c>
      <c r="AI30">
        <v>3.9211129946115303E-3</v>
      </c>
      <c r="AJ30">
        <v>7.1602267043551502E-3</v>
      </c>
      <c r="AK30">
        <v>2.6910211085780602E-3</v>
      </c>
      <c r="AL30">
        <v>2.6910211085780602E-3</v>
      </c>
      <c r="AM30">
        <v>3.4658053051485099E-3</v>
      </c>
      <c r="AN30">
        <v>1.40088822271567E-3</v>
      </c>
      <c r="AO30">
        <v>2.3694887709665401E-3</v>
      </c>
      <c r="AP30">
        <v>2.3694887709665401E-3</v>
      </c>
      <c r="AQ30">
        <v>1.8290193129110301E-3</v>
      </c>
      <c r="AR30">
        <v>2.6969103840659E-3</v>
      </c>
      <c r="AS30">
        <v>3.4658053051485099E-3</v>
      </c>
      <c r="AT30">
        <v>2.3694887709665401E-3</v>
      </c>
      <c r="AU30">
        <v>3.4658053051485099E-3</v>
      </c>
      <c r="AV30">
        <v>3.4658053051485099E-3</v>
      </c>
      <c r="AW30">
        <v>3.4658053051485099E-3</v>
      </c>
      <c r="AX30">
        <v>3.4658053051485099E-3</v>
      </c>
      <c r="AY30">
        <v>3.4658053051485099E-3</v>
      </c>
      <c r="AZ30">
        <v>2.3694887709665401E-3</v>
      </c>
      <c r="BA30">
        <v>3.4658053051485099E-3</v>
      </c>
      <c r="BB30">
        <v>3.9211129946115303E-3</v>
      </c>
      <c r="BC30">
        <v>3.9211129946115303E-3</v>
      </c>
      <c r="BD30">
        <v>3.9211129946115303E-3</v>
      </c>
      <c r="BE30">
        <v>3.4658053051485099E-3</v>
      </c>
      <c r="BF30">
        <v>3.4658053051485099E-3</v>
      </c>
      <c r="BG30">
        <v>5.0092062671747099E-3</v>
      </c>
      <c r="BH30">
        <v>1.25738055354073E-2</v>
      </c>
      <c r="BI30">
        <v>2.92706267784997E-2</v>
      </c>
      <c r="BJ30">
        <v>8.6245021687637299E-2</v>
      </c>
      <c r="BK30">
        <v>4.83533511463487E-2</v>
      </c>
      <c r="BL30">
        <v>2.14688085463672E-2</v>
      </c>
      <c r="BM30">
        <v>7.1262638466387501E-2</v>
      </c>
      <c r="BN30">
        <v>8.6105434862889699E-2</v>
      </c>
      <c r="BO30">
        <v>0.195693967903004</v>
      </c>
      <c r="BP30">
        <v>0.195693967903004</v>
      </c>
      <c r="BQ30">
        <v>0.149777498483088</v>
      </c>
      <c r="BR30">
        <v>0.27464747498456699</v>
      </c>
      <c r="BS30">
        <v>0.195693967903004</v>
      </c>
      <c r="BT30">
        <v>0.17919809097509301</v>
      </c>
      <c r="BU30">
        <v>0.37122699068329601</v>
      </c>
      <c r="BV30">
        <v>1.21910949911642</v>
      </c>
      <c r="BW30">
        <v>0.164018321135072</v>
      </c>
      <c r="BX30">
        <v>0.114130452867147</v>
      </c>
      <c r="BY30">
        <v>0.12504399610346301</v>
      </c>
      <c r="BZ30">
        <v>0.114130452867147</v>
      </c>
      <c r="CA30">
        <v>0.114130452867147</v>
      </c>
      <c r="CB30">
        <v>9.4710441371718995E-2</v>
      </c>
      <c r="CC30">
        <v>7.1262638466387501E-2</v>
      </c>
      <c r="CD30">
        <v>9.4710441371718995E-2</v>
      </c>
      <c r="CE30">
        <v>7.8358495809462997E-2</v>
      </c>
      <c r="CF30">
        <v>5.3310780692690699E-2</v>
      </c>
      <c r="CG30">
        <v>5.3310780692690699E-2</v>
      </c>
      <c r="CH30">
        <v>5.3310780692690699E-2</v>
      </c>
      <c r="CI30">
        <v>5.3310780692690699E-2</v>
      </c>
      <c r="CJ30">
        <v>5.3310780692690699E-2</v>
      </c>
      <c r="CK30">
        <v>3.9566692271102898E-2</v>
      </c>
      <c r="CL30">
        <v>4.3752089986397E-2</v>
      </c>
      <c r="CM30">
        <v>3.9566692271102898E-2</v>
      </c>
      <c r="CN30">
        <v>4.3752089986397E-2</v>
      </c>
      <c r="CO30">
        <v>9.4558175456747204E-2</v>
      </c>
      <c r="CP30">
        <v>3.9566692271102898E-2</v>
      </c>
      <c r="CQ30">
        <v>5.3221456274137699E-2</v>
      </c>
      <c r="CR30">
        <v>4.3752089986397E-2</v>
      </c>
      <c r="CS30">
        <v>2.3813181933462099E-2</v>
      </c>
      <c r="CT30">
        <v>2.3813181933462099E-2</v>
      </c>
    </row>
    <row r="31" spans="1:98" x14ac:dyDescent="0.25">
      <c r="A31" t="s">
        <v>34</v>
      </c>
      <c r="B31" s="1">
        <v>45183</v>
      </c>
      <c r="C31" s="1">
        <v>45183.010416666664</v>
      </c>
      <c r="D31" s="1">
        <v>45183.020833333336</v>
      </c>
      <c r="E31" s="1">
        <v>45183.03125</v>
      </c>
      <c r="F31" s="1">
        <v>45183.041666666664</v>
      </c>
      <c r="G31" s="1">
        <v>45183.052083333336</v>
      </c>
      <c r="H31" s="1">
        <v>45183.0625</v>
      </c>
      <c r="I31" s="1">
        <v>45183.072916666664</v>
      </c>
      <c r="J31" s="1">
        <v>45183.083333333336</v>
      </c>
      <c r="K31" s="1">
        <v>45183.09375</v>
      </c>
      <c r="L31" s="1">
        <v>45183.104166666664</v>
      </c>
      <c r="M31" s="1">
        <v>45183.114583333336</v>
      </c>
      <c r="N31" s="1">
        <v>45183.125</v>
      </c>
      <c r="O31" s="1">
        <v>45183.135416666664</v>
      </c>
      <c r="P31" s="1">
        <v>45183.145833333336</v>
      </c>
      <c r="Q31" s="1">
        <v>45183.15625</v>
      </c>
      <c r="R31" s="1">
        <v>45183.166666666664</v>
      </c>
      <c r="S31" s="1">
        <v>45183.177083333336</v>
      </c>
      <c r="T31" s="1">
        <v>45183.1875</v>
      </c>
      <c r="U31" s="1">
        <v>45183.197916666664</v>
      </c>
      <c r="V31" s="1">
        <v>45183.208333333336</v>
      </c>
      <c r="W31" s="1">
        <v>45183.21875</v>
      </c>
      <c r="X31" s="1">
        <v>45183.229166666664</v>
      </c>
      <c r="Y31" s="1">
        <v>45183.239583333336</v>
      </c>
      <c r="Z31" s="1">
        <v>45183.25</v>
      </c>
      <c r="AA31" s="1">
        <v>45183.260416666664</v>
      </c>
      <c r="AB31" s="1">
        <v>45183.270833333336</v>
      </c>
      <c r="AC31" s="1">
        <v>45183.28125</v>
      </c>
      <c r="AD31" s="1">
        <v>45183.291666666664</v>
      </c>
      <c r="AE31" s="1">
        <v>45183.302083333336</v>
      </c>
      <c r="AF31" s="1">
        <v>45183.3125</v>
      </c>
      <c r="AG31" s="1">
        <v>45183.322916666664</v>
      </c>
      <c r="AH31" s="1">
        <v>45183.333333333336</v>
      </c>
      <c r="AI31" s="1">
        <v>45183.34375</v>
      </c>
      <c r="AJ31" s="1">
        <v>45183.354166666664</v>
      </c>
      <c r="AK31" s="1">
        <v>45183.364583333336</v>
      </c>
      <c r="AL31" s="1">
        <v>45183.375</v>
      </c>
      <c r="AM31" s="1">
        <v>45183.385416666664</v>
      </c>
      <c r="AN31" s="1">
        <v>45183.395833333336</v>
      </c>
      <c r="AO31" s="1">
        <v>45183.40625</v>
      </c>
      <c r="AP31" s="1">
        <v>45183.416666666664</v>
      </c>
      <c r="AQ31" s="1">
        <v>45183.427083333336</v>
      </c>
      <c r="AR31" s="1">
        <v>45183.4375</v>
      </c>
      <c r="AS31" s="1">
        <v>45183.447916666664</v>
      </c>
      <c r="AT31" s="1">
        <v>45183.458333333336</v>
      </c>
      <c r="AU31" s="1">
        <v>45183.46875</v>
      </c>
      <c r="AV31" s="1">
        <v>45183.479166666664</v>
      </c>
      <c r="AW31" s="1">
        <v>45183.489583333336</v>
      </c>
      <c r="AX31" s="1">
        <v>45183.5</v>
      </c>
      <c r="AY31" s="1">
        <v>45183.510416666664</v>
      </c>
      <c r="AZ31" s="1">
        <v>45183.520833333336</v>
      </c>
      <c r="BA31" s="1">
        <v>45183.53125</v>
      </c>
      <c r="BB31" s="1">
        <v>45183.541666666664</v>
      </c>
      <c r="BC31" s="1">
        <v>45183.552083333336</v>
      </c>
      <c r="BD31" s="1">
        <v>45183.5625</v>
      </c>
      <c r="BE31" s="1">
        <v>45183.572916666664</v>
      </c>
      <c r="BF31" s="1">
        <v>45183.583333333336</v>
      </c>
      <c r="BG31" s="1">
        <v>45183.59375</v>
      </c>
      <c r="BH31" s="1">
        <v>45183.604166666664</v>
      </c>
      <c r="BI31" s="1">
        <v>45183.614583333336</v>
      </c>
      <c r="BJ31" s="1">
        <v>45183.625</v>
      </c>
      <c r="BK31" s="1">
        <v>45183.635416666664</v>
      </c>
      <c r="BL31" s="1">
        <v>45183.645833333336</v>
      </c>
      <c r="BM31" s="1">
        <v>45183.65625</v>
      </c>
      <c r="BN31" s="1">
        <v>45183.666666666664</v>
      </c>
      <c r="BO31" s="1">
        <v>45183.677083333336</v>
      </c>
      <c r="BP31" s="1">
        <v>45183.6875</v>
      </c>
      <c r="BQ31" s="1">
        <v>45183.697916666664</v>
      </c>
      <c r="BR31" s="1">
        <v>45183.708333333336</v>
      </c>
      <c r="BS31" s="1">
        <v>45183.71875</v>
      </c>
      <c r="BT31" s="1">
        <v>45183.729166666664</v>
      </c>
      <c r="BU31" s="1">
        <v>45183.739583333336</v>
      </c>
      <c r="BV31" s="1">
        <v>45183.75</v>
      </c>
      <c r="BW31" s="1">
        <v>45183.760416666664</v>
      </c>
      <c r="BX31" s="1">
        <v>45183.770833333336</v>
      </c>
      <c r="BY31" s="1">
        <v>45183.78125</v>
      </c>
      <c r="BZ31" s="1">
        <v>45183.791666666664</v>
      </c>
      <c r="CA31" s="1">
        <v>45183.802083333336</v>
      </c>
      <c r="CB31" s="1">
        <v>45183.8125</v>
      </c>
      <c r="CC31" s="1">
        <v>45183.822916666664</v>
      </c>
      <c r="CD31" s="1">
        <v>45183.833333333336</v>
      </c>
      <c r="CE31" s="1">
        <v>45183.84375</v>
      </c>
      <c r="CF31" s="1">
        <v>45183.854166666664</v>
      </c>
      <c r="CG31" s="1">
        <v>45183.864583333336</v>
      </c>
      <c r="CH31" s="1">
        <v>45183.875</v>
      </c>
      <c r="CI31" s="1">
        <v>45183.885416666664</v>
      </c>
      <c r="CJ31" s="1">
        <v>45183.895833333336</v>
      </c>
      <c r="CK31" s="1">
        <v>45183.90625</v>
      </c>
      <c r="CL31" s="1">
        <v>45183.916666666664</v>
      </c>
      <c r="CM31" s="1">
        <v>45183.927083333336</v>
      </c>
      <c r="CN31" s="1">
        <v>45183.9375</v>
      </c>
      <c r="CO31" s="1">
        <v>45183.947916666664</v>
      </c>
      <c r="CP31" s="1">
        <v>45183.958333333336</v>
      </c>
      <c r="CQ31" s="1">
        <v>45183.96875</v>
      </c>
      <c r="CR31" s="1">
        <v>45183.979166666664</v>
      </c>
      <c r="CS31" s="1">
        <v>45183.989583333336</v>
      </c>
      <c r="CT31" s="1">
        <v>45184</v>
      </c>
    </row>
    <row r="32" spans="1:98" x14ac:dyDescent="0.25">
      <c r="BV32" t="s">
        <v>45</v>
      </c>
    </row>
    <row r="33" spans="1:28" x14ac:dyDescent="0.25">
      <c r="A33" s="2"/>
      <c r="B33" s="2"/>
      <c r="C33" s="2" t="s">
        <v>27</v>
      </c>
      <c r="E33" t="s">
        <v>28</v>
      </c>
      <c r="F33" t="s">
        <v>29</v>
      </c>
      <c r="G33" t="s">
        <v>30</v>
      </c>
      <c r="H33" t="s">
        <v>31</v>
      </c>
    </row>
    <row r="34" spans="1:28" x14ac:dyDescent="0.25">
      <c r="A34" s="2" t="str">
        <f>A2</f>
        <v>max_amp</v>
      </c>
      <c r="B34" s="2">
        <f>MAX(B2:CU2)</f>
        <v>1.6768651053045799E-2</v>
      </c>
      <c r="C34" s="3">
        <f>_xlfn.XLOOKUP(MAX(B2:CU2), B2:CU2, $B$1:$CU$1)</f>
        <v>45183.75</v>
      </c>
      <c r="E34" s="1">
        <v>45183</v>
      </c>
      <c r="F34" s="4">
        <v>7.6846154751774708E-6</v>
      </c>
      <c r="G34" s="4">
        <v>5.4463226833065396E-6</v>
      </c>
      <c r="H34" s="4">
        <v>5.2684564044847098E-6</v>
      </c>
      <c r="U34" t="s">
        <v>0</v>
      </c>
      <c r="V34" s="2">
        <v>0.12148791730821901</v>
      </c>
    </row>
    <row r="35" spans="1:28" x14ac:dyDescent="0.25">
      <c r="A35" s="2" t="str">
        <f t="shared" ref="A35:A59" si="0">A3</f>
        <v>mean_amp</v>
      </c>
      <c r="B35" s="2">
        <f t="shared" ref="B35:B60" si="1">MAX(B3:CU3)</f>
        <v>8.9192262729874093E-3</v>
      </c>
      <c r="C35" s="3">
        <f t="shared" ref="C35:C60" si="2">_xlfn.XLOOKUP(MAX(B3:CU3), B3:CU3, $B$1:$CU$1)</f>
        <v>45183.75</v>
      </c>
      <c r="E35" s="1">
        <v>45183.010416666664</v>
      </c>
      <c r="F35" s="4">
        <v>1.23569813489982E-5</v>
      </c>
      <c r="G35" s="4">
        <v>6.3962456266654401E-6</v>
      </c>
      <c r="H35" s="4">
        <v>6.1704217437826E-6</v>
      </c>
      <c r="U35" t="s">
        <v>1</v>
      </c>
      <c r="V35" s="2">
        <v>6.33040571897725E-2</v>
      </c>
    </row>
    <row r="36" spans="1:28" x14ac:dyDescent="0.25">
      <c r="A36" s="2" t="str">
        <f t="shared" si="0"/>
        <v>median_amp</v>
      </c>
      <c r="B36" s="2">
        <f t="shared" si="1"/>
        <v>8.2089751540785003E-3</v>
      </c>
      <c r="C36" s="3">
        <f t="shared" si="2"/>
        <v>45183.75</v>
      </c>
      <c r="E36" s="1">
        <v>45183.020833333336</v>
      </c>
      <c r="F36" s="4">
        <v>8.9101789072794392E-6</v>
      </c>
      <c r="G36" s="4">
        <v>5.8912330090925403E-6</v>
      </c>
      <c r="H36" s="4">
        <v>5.6786322525203101E-6</v>
      </c>
      <c r="U36" t="s">
        <v>2</v>
      </c>
      <c r="V36" s="2">
        <v>5.8734947455230002E-2</v>
      </c>
    </row>
    <row r="37" spans="1:28" x14ac:dyDescent="0.25">
      <c r="A37" s="2" t="str">
        <f t="shared" si="0"/>
        <v>impulses_ch6</v>
      </c>
      <c r="B37" s="2">
        <f t="shared" si="1"/>
        <v>0</v>
      </c>
      <c r="C37" s="3">
        <f t="shared" si="2"/>
        <v>45183</v>
      </c>
      <c r="E37" s="1">
        <v>45183.03125</v>
      </c>
      <c r="F37" s="4">
        <v>1.7664537347037901E-5</v>
      </c>
      <c r="G37" s="4">
        <v>1.0574410159561401E-5</v>
      </c>
      <c r="H37" s="4">
        <v>1.00384744503919E-5</v>
      </c>
      <c r="U37" t="s">
        <v>3</v>
      </c>
      <c r="V37" s="2">
        <v>2</v>
      </c>
    </row>
    <row r="38" spans="1:28" x14ac:dyDescent="0.25">
      <c r="A38" s="2" t="str">
        <f t="shared" si="0"/>
        <v>impulses_ch5</v>
      </c>
      <c r="B38" s="2">
        <f t="shared" si="1"/>
        <v>0</v>
      </c>
      <c r="C38" s="3">
        <f t="shared" si="2"/>
        <v>45183</v>
      </c>
      <c r="E38" s="1">
        <v>45183.041666666664</v>
      </c>
      <c r="F38" s="4">
        <v>9.5503962099119404E-6</v>
      </c>
      <c r="G38" s="4">
        <v>5.0019794371970601E-6</v>
      </c>
      <c r="H38" s="4">
        <v>4.8975450559714898E-6</v>
      </c>
      <c r="U38" t="s">
        <v>4</v>
      </c>
      <c r="V38" s="2">
        <v>126</v>
      </c>
    </row>
    <row r="39" spans="1:28" x14ac:dyDescent="0.25">
      <c r="A39" s="2" t="str">
        <f t="shared" si="0"/>
        <v>impulses_ch4</v>
      </c>
      <c r="B39" s="2">
        <f t="shared" si="1"/>
        <v>35</v>
      </c>
      <c r="C39" s="3">
        <f t="shared" si="2"/>
        <v>45183.75</v>
      </c>
      <c r="E39" s="1">
        <v>45183.052083333336</v>
      </c>
      <c r="F39" s="4">
        <v>1.4539414992594201E-5</v>
      </c>
      <c r="G39" s="4">
        <v>8.2564988794357005E-6</v>
      </c>
      <c r="H39" s="4">
        <v>8.2394587388280404E-6</v>
      </c>
      <c r="U39" t="s">
        <v>5</v>
      </c>
      <c r="V39" s="2">
        <v>2055</v>
      </c>
    </row>
    <row r="40" spans="1:28" x14ac:dyDescent="0.25">
      <c r="A40" s="2" t="str">
        <f t="shared" si="0"/>
        <v>impulses_ch3</v>
      </c>
      <c r="B40" s="2">
        <f t="shared" si="1"/>
        <v>887</v>
      </c>
      <c r="C40" s="3">
        <f t="shared" si="2"/>
        <v>45183.75</v>
      </c>
      <c r="E40" s="1">
        <v>45183.0625</v>
      </c>
      <c r="F40" s="4">
        <v>1.50523129554495E-5</v>
      </c>
      <c r="G40" s="4">
        <v>8.9015754907171094E-6</v>
      </c>
      <c r="H40" s="4">
        <v>8.6004726137494401E-6</v>
      </c>
      <c r="U40" t="s">
        <v>6</v>
      </c>
      <c r="V40" s="2">
        <v>9680</v>
      </c>
    </row>
    <row r="41" spans="1:28" x14ac:dyDescent="0.25">
      <c r="A41" s="2" t="str">
        <f t="shared" si="0"/>
        <v>impulses_ch2</v>
      </c>
      <c r="B41" s="2">
        <f t="shared" si="1"/>
        <v>10799</v>
      </c>
      <c r="C41" s="3">
        <f t="shared" si="2"/>
        <v>45183.75</v>
      </c>
      <c r="E41" s="1">
        <v>45183.072916666664</v>
      </c>
      <c r="F41" s="4">
        <v>1.1788670466620001E-5</v>
      </c>
      <c r="G41" s="4">
        <v>7.7679702964343202E-6</v>
      </c>
      <c r="H41" s="4">
        <v>7.7248405732639793E-6</v>
      </c>
      <c r="U41" t="s">
        <v>7</v>
      </c>
      <c r="V41" s="2">
        <v>9147</v>
      </c>
    </row>
    <row r="42" spans="1:28" x14ac:dyDescent="0.25">
      <c r="A42" s="2" t="str">
        <f t="shared" si="0"/>
        <v>impulses_ch1</v>
      </c>
      <c r="B42" s="2">
        <f t="shared" si="1"/>
        <v>12691</v>
      </c>
      <c r="C42" s="3">
        <f t="shared" si="2"/>
        <v>45183.739583333336</v>
      </c>
      <c r="E42" s="1">
        <v>45183.083333333336</v>
      </c>
      <c r="F42" s="4">
        <v>1.6019090740073099E-5</v>
      </c>
      <c r="G42" s="4">
        <v>8.1510721102886202E-6</v>
      </c>
      <c r="H42" s="4">
        <v>8.0703846332316105E-6</v>
      </c>
      <c r="U42" t="s">
        <v>8</v>
      </c>
      <c r="V42" s="2">
        <v>9270</v>
      </c>
    </row>
    <row r="43" spans="1:28" x14ac:dyDescent="0.25">
      <c r="A43" s="2" t="str">
        <f t="shared" si="0"/>
        <v>max_env_ch6</v>
      </c>
      <c r="B43" s="2">
        <f t="shared" si="1"/>
        <v>0</v>
      </c>
      <c r="C43" s="3">
        <f t="shared" si="2"/>
        <v>45183</v>
      </c>
      <c r="E43" s="1">
        <v>45183.09375</v>
      </c>
      <c r="F43" s="4">
        <v>1.2600525405127599E-5</v>
      </c>
      <c r="G43" s="4">
        <v>7.9496863235752302E-6</v>
      </c>
      <c r="H43" s="4">
        <v>7.6813813686357694E-6</v>
      </c>
    </row>
    <row r="44" spans="1:28" x14ac:dyDescent="0.25">
      <c r="A44" s="2" t="str">
        <f t="shared" si="0"/>
        <v>mean_env_ch6</v>
      </c>
      <c r="B44" s="2">
        <f t="shared" si="1"/>
        <v>0</v>
      </c>
      <c r="C44" s="3">
        <f t="shared" si="2"/>
        <v>45183</v>
      </c>
      <c r="E44" s="1">
        <v>45183.104166666664</v>
      </c>
      <c r="F44" s="4">
        <v>1.3698679039703E-5</v>
      </c>
      <c r="G44" s="4">
        <v>8.9282000945889505E-6</v>
      </c>
      <c r="H44" s="4">
        <v>8.9539903530129598E-6</v>
      </c>
    </row>
    <row r="45" spans="1:28" x14ac:dyDescent="0.25">
      <c r="A45" s="2" t="str">
        <f t="shared" si="0"/>
        <v>median_env_ch6</v>
      </c>
      <c r="B45" s="2">
        <f t="shared" si="1"/>
        <v>0</v>
      </c>
      <c r="C45" s="3">
        <f t="shared" si="2"/>
        <v>45183</v>
      </c>
      <c r="E45" s="1">
        <v>45183.114583333336</v>
      </c>
      <c r="F45" s="4">
        <v>1.4064515497491E-5</v>
      </c>
      <c r="G45" s="4">
        <v>8.0376543486337502E-6</v>
      </c>
      <c r="H45" s="4">
        <v>7.5882363909284901E-6</v>
      </c>
      <c r="U45" t="s">
        <v>35</v>
      </c>
      <c r="Z45" t="s">
        <v>35</v>
      </c>
    </row>
    <row r="46" spans="1:28" x14ac:dyDescent="0.25">
      <c r="A46" s="2" t="str">
        <f t="shared" si="0"/>
        <v>max_env_ch5</v>
      </c>
      <c r="B46" s="2">
        <f t="shared" si="1"/>
        <v>0</v>
      </c>
      <c r="C46" s="3">
        <f t="shared" si="2"/>
        <v>45183</v>
      </c>
      <c r="E46" s="1">
        <v>45183.125</v>
      </c>
      <c r="F46" s="4">
        <v>1.91161086426678E-5</v>
      </c>
      <c r="G46" s="4">
        <v>8.3384018417962701E-6</v>
      </c>
      <c r="H46" s="4">
        <v>7.8700192432809605E-6</v>
      </c>
      <c r="U46" t="s">
        <v>36</v>
      </c>
      <c r="V46" t="s">
        <v>37</v>
      </c>
      <c r="W46" t="s">
        <v>38</v>
      </c>
      <c r="Z46" t="s">
        <v>36</v>
      </c>
      <c r="AA46" t="s">
        <v>37</v>
      </c>
      <c r="AB46" t="s">
        <v>38</v>
      </c>
    </row>
    <row r="47" spans="1:28" x14ac:dyDescent="0.25">
      <c r="A47" s="2" t="str">
        <f t="shared" si="0"/>
        <v>mean_env_ch5</v>
      </c>
      <c r="B47" s="2">
        <f t="shared" si="1"/>
        <v>0</v>
      </c>
      <c r="C47" s="3">
        <f t="shared" si="2"/>
        <v>45183</v>
      </c>
      <c r="E47" s="1">
        <v>45183.135416666664</v>
      </c>
      <c r="F47" s="4">
        <v>1.1804116551777601E-5</v>
      </c>
      <c r="G47" s="4">
        <v>6.2745754865947097E-6</v>
      </c>
      <c r="H47" s="4">
        <v>6.0305709159549703E-6</v>
      </c>
      <c r="T47" t="s">
        <v>39</v>
      </c>
      <c r="U47" s="4">
        <f>B43</f>
        <v>0</v>
      </c>
      <c r="V47" s="4">
        <f>B44</f>
        <v>0</v>
      </c>
      <c r="W47" s="4">
        <f>B45</f>
        <v>0</v>
      </c>
      <c r="Y47" t="s">
        <v>39</v>
      </c>
      <c r="Z47">
        <v>7.8997664635741496E-2</v>
      </c>
      <c r="AA47">
        <v>7.8997664635741496E-2</v>
      </c>
      <c r="AB47">
        <v>7.8997664635741496E-2</v>
      </c>
    </row>
    <row r="48" spans="1:28" x14ac:dyDescent="0.25">
      <c r="A48" s="2" t="str">
        <f>A16</f>
        <v>median_env_ch5</v>
      </c>
      <c r="B48" s="2">
        <f t="shared" si="1"/>
        <v>0</v>
      </c>
      <c r="C48" s="3">
        <f t="shared" si="2"/>
        <v>45183</v>
      </c>
      <c r="E48" s="1">
        <v>45183.145833333336</v>
      </c>
      <c r="F48" s="4">
        <v>1.82412763628133E-5</v>
      </c>
      <c r="G48" s="4">
        <v>1.15166118583011E-5</v>
      </c>
      <c r="H48" s="4">
        <v>1.14596092087438E-5</v>
      </c>
      <c r="T48" t="s">
        <v>40</v>
      </c>
      <c r="U48" s="4">
        <f>B46</f>
        <v>0</v>
      </c>
      <c r="V48" s="4">
        <f>B47</f>
        <v>0</v>
      </c>
      <c r="W48" s="4">
        <f>B48</f>
        <v>0</v>
      </c>
      <c r="Y48" t="s">
        <v>40</v>
      </c>
      <c r="Z48">
        <v>0.48595166923287902</v>
      </c>
      <c r="AA48">
        <v>0.26878015500851199</v>
      </c>
      <c r="AB48">
        <v>0.25332701569766197</v>
      </c>
    </row>
    <row r="49" spans="1:28" x14ac:dyDescent="0.25">
      <c r="A49" s="2" t="str">
        <f t="shared" si="0"/>
        <v>max_env_ch4</v>
      </c>
      <c r="B49" s="2">
        <f t="shared" si="1"/>
        <v>0.26829841684873301</v>
      </c>
      <c r="C49" s="3">
        <f t="shared" si="2"/>
        <v>45183.75</v>
      </c>
      <c r="E49" s="1">
        <v>45183.15625</v>
      </c>
      <c r="F49" s="4">
        <v>1.31554753505079E-5</v>
      </c>
      <c r="G49" s="4">
        <v>6.4958661530622496E-6</v>
      </c>
      <c r="H49" s="4">
        <v>6.1128450398423401E-6</v>
      </c>
      <c r="T49" t="s">
        <v>41</v>
      </c>
      <c r="U49" s="4">
        <f>B49</f>
        <v>0.26829841684873301</v>
      </c>
      <c r="V49" s="4">
        <f>B50</f>
        <v>0.163374700553788</v>
      </c>
      <c r="W49" s="4">
        <f>B51</f>
        <v>0.16057672123633601</v>
      </c>
      <c r="Y49" t="s">
        <v>41</v>
      </c>
      <c r="Z49">
        <v>1.9438066769315101</v>
      </c>
      <c r="AA49">
        <v>1.01286491503636</v>
      </c>
      <c r="AB49">
        <v>0.93975915928368003</v>
      </c>
    </row>
    <row r="50" spans="1:28" x14ac:dyDescent="0.25">
      <c r="A50" s="2" t="str">
        <f t="shared" si="0"/>
        <v>mean_env_ch4</v>
      </c>
      <c r="B50" s="2">
        <f t="shared" si="1"/>
        <v>0.163374700553788</v>
      </c>
      <c r="C50" s="3">
        <f t="shared" si="2"/>
        <v>45183.75</v>
      </c>
      <c r="E50" s="1">
        <v>45183.166666666664</v>
      </c>
      <c r="F50" s="4">
        <v>1.450108122641E-5</v>
      </c>
      <c r="G50" s="4">
        <v>9.1483328635934605E-6</v>
      </c>
      <c r="H50" s="4">
        <v>8.5990131491936194E-6</v>
      </c>
      <c r="T50" t="s">
        <v>42</v>
      </c>
      <c r="U50" s="4">
        <f>B52</f>
        <v>1.0731936673949301</v>
      </c>
      <c r="V50" s="4">
        <f>B53</f>
        <v>0.57083048147119397</v>
      </c>
      <c r="W50" s="4">
        <f>B54</f>
        <v>0.52537440986102402</v>
      </c>
      <c r="Y50" t="s">
        <v>42</v>
      </c>
      <c r="Z50">
        <v>7.7752267077260697</v>
      </c>
      <c r="AA50">
        <v>4.05145966014544</v>
      </c>
      <c r="AB50">
        <v>3.7590366371347201</v>
      </c>
    </row>
    <row r="51" spans="1:28" x14ac:dyDescent="0.25">
      <c r="A51" s="2" t="str">
        <f t="shared" si="0"/>
        <v>median_env_ch4</v>
      </c>
      <c r="B51" s="2">
        <f t="shared" si="1"/>
        <v>0.16057672123633601</v>
      </c>
      <c r="C51" s="3">
        <f t="shared" si="2"/>
        <v>45183.75</v>
      </c>
      <c r="E51" s="1">
        <v>45183.177083333336</v>
      </c>
      <c r="F51" s="4">
        <v>1.4056964134082499E-5</v>
      </c>
      <c r="G51" s="4">
        <v>8.8395101550603802E-6</v>
      </c>
      <c r="H51" s="4">
        <v>8.4458574236672207E-6</v>
      </c>
      <c r="T51" t="s">
        <v>43</v>
      </c>
      <c r="U51" s="4">
        <f>B55</f>
        <v>4.2927746695797202</v>
      </c>
      <c r="V51" s="4">
        <f>B56</f>
        <v>2.2833219258847701</v>
      </c>
      <c r="W51" s="4">
        <f>B57</f>
        <v>2.1014976394440898</v>
      </c>
      <c r="Y51" t="s">
        <v>43</v>
      </c>
      <c r="Z51">
        <v>31.100906830904201</v>
      </c>
      <c r="AA51">
        <v>16.2058386405817</v>
      </c>
      <c r="AB51">
        <v>15.036146548538801</v>
      </c>
    </row>
    <row r="52" spans="1:28" x14ac:dyDescent="0.25">
      <c r="A52" s="2" t="str">
        <f t="shared" si="0"/>
        <v>max_env_ch3</v>
      </c>
      <c r="B52" s="2">
        <f t="shared" si="1"/>
        <v>1.0731936673949301</v>
      </c>
      <c r="C52" s="3">
        <f t="shared" si="2"/>
        <v>45183.75</v>
      </c>
      <c r="E52" s="1">
        <v>45183.1875</v>
      </c>
      <c r="F52" s="4">
        <v>1.5036091459018799E-5</v>
      </c>
      <c r="G52" s="4">
        <v>1.0871764028120099E-5</v>
      </c>
      <c r="H52" s="4">
        <v>1.0582848130131201E-5</v>
      </c>
      <c r="T52" t="s">
        <v>44</v>
      </c>
      <c r="U52" s="4">
        <f>B58</f>
        <v>17.171098678318899</v>
      </c>
      <c r="V52" s="4">
        <f>B59</f>
        <v>9.1332877035391107</v>
      </c>
      <c r="W52" s="4">
        <f>B60</f>
        <v>8.4059905577763896</v>
      </c>
      <c r="Y52" t="s">
        <v>44</v>
      </c>
      <c r="Z52">
        <v>124.403627323617</v>
      </c>
      <c r="AA52">
        <v>64.823354562326998</v>
      </c>
      <c r="AB52">
        <v>60.144586194155501</v>
      </c>
    </row>
    <row r="53" spans="1:28" x14ac:dyDescent="0.25">
      <c r="A53" s="2" t="str">
        <f t="shared" si="0"/>
        <v>mean_env_ch3</v>
      </c>
      <c r="B53" s="2">
        <f t="shared" si="1"/>
        <v>0.57083048147119397</v>
      </c>
      <c r="C53" s="3">
        <f t="shared" si="2"/>
        <v>45183.75</v>
      </c>
      <c r="E53" s="1">
        <v>45183.197916666664</v>
      </c>
      <c r="F53" s="4">
        <v>1.35939793439744E-5</v>
      </c>
      <c r="G53" s="4">
        <v>7.8340159711191601E-6</v>
      </c>
      <c r="H53" s="4">
        <v>7.6374441170459699E-6</v>
      </c>
    </row>
    <row r="54" spans="1:28" x14ac:dyDescent="0.25">
      <c r="A54" s="2" t="str">
        <f t="shared" si="0"/>
        <v>median_env_ch3</v>
      </c>
      <c r="B54" s="2">
        <f t="shared" si="1"/>
        <v>0.52537440986102402</v>
      </c>
      <c r="C54" s="3">
        <f t="shared" si="2"/>
        <v>45183.75</v>
      </c>
      <c r="E54" s="1">
        <v>45183.208333333336</v>
      </c>
      <c r="F54" s="4">
        <v>2.4208891597445399E-5</v>
      </c>
      <c r="G54" s="4">
        <v>1.10404993972219E-5</v>
      </c>
      <c r="H54" s="4">
        <v>1.0429660727113001E-5</v>
      </c>
    </row>
    <row r="55" spans="1:28" x14ac:dyDescent="0.25">
      <c r="A55" s="2" t="str">
        <f t="shared" si="0"/>
        <v>max_env_ch2</v>
      </c>
      <c r="B55" s="2">
        <f t="shared" si="1"/>
        <v>4.2927746695797202</v>
      </c>
      <c r="C55" s="3">
        <f t="shared" si="2"/>
        <v>45183.75</v>
      </c>
      <c r="E55" s="1">
        <v>45183.21875</v>
      </c>
      <c r="F55" s="4">
        <v>1.07820572472535E-5</v>
      </c>
      <c r="G55" s="4">
        <v>6.3580754485742299E-6</v>
      </c>
      <c r="H55" s="4">
        <v>6.0773391725690804E-6</v>
      </c>
    </row>
    <row r="56" spans="1:28" x14ac:dyDescent="0.25">
      <c r="A56" s="2" t="str">
        <f t="shared" si="0"/>
        <v>mean_env_ch2</v>
      </c>
      <c r="B56" s="2">
        <f t="shared" si="1"/>
        <v>2.2833219258847701</v>
      </c>
      <c r="C56" s="3">
        <f t="shared" si="2"/>
        <v>45183.75</v>
      </c>
      <c r="E56" s="1">
        <v>45183.229166666664</v>
      </c>
      <c r="F56" s="4">
        <v>2.8055407620584E-5</v>
      </c>
      <c r="G56" s="4">
        <v>1.38670337049178E-5</v>
      </c>
      <c r="H56" s="4">
        <v>1.3354481410754799E-5</v>
      </c>
    </row>
    <row r="57" spans="1:28" x14ac:dyDescent="0.25">
      <c r="A57" s="2" t="str">
        <f>A25</f>
        <v>median_env_ch2</v>
      </c>
      <c r="B57" s="2">
        <f t="shared" si="1"/>
        <v>2.1014976394440898</v>
      </c>
      <c r="C57" s="3">
        <f t="shared" si="2"/>
        <v>45183.75</v>
      </c>
      <c r="E57" s="1">
        <v>45183.239583333336</v>
      </c>
      <c r="F57" s="4">
        <v>1.09763904627456E-5</v>
      </c>
      <c r="G57" s="4">
        <v>5.9978417636642199E-6</v>
      </c>
      <c r="H57" s="4">
        <v>5.7232302576372403E-6</v>
      </c>
    </row>
    <row r="58" spans="1:28" x14ac:dyDescent="0.25">
      <c r="A58" s="2" t="str">
        <f t="shared" si="0"/>
        <v>max_env_ch1</v>
      </c>
      <c r="B58" s="2">
        <f t="shared" si="1"/>
        <v>17.171098678318899</v>
      </c>
      <c r="C58" s="3">
        <f t="shared" si="2"/>
        <v>45183.75</v>
      </c>
      <c r="E58" s="1">
        <v>45183.25</v>
      </c>
      <c r="F58" s="4">
        <v>1.60919151353905E-5</v>
      </c>
      <c r="G58" s="4">
        <v>1.1219056716150501E-5</v>
      </c>
      <c r="H58" s="4">
        <v>1.10716582401152E-5</v>
      </c>
    </row>
    <row r="59" spans="1:28" x14ac:dyDescent="0.25">
      <c r="A59" s="2" t="str">
        <f t="shared" si="0"/>
        <v>mean_env_ch1</v>
      </c>
      <c r="B59" s="2">
        <f t="shared" si="1"/>
        <v>9.1332877035391107</v>
      </c>
      <c r="C59" s="3">
        <f t="shared" si="2"/>
        <v>45183.75</v>
      </c>
      <c r="E59" s="1">
        <v>45183.260416666664</v>
      </c>
      <c r="F59" s="4">
        <v>1.32775821077525E-5</v>
      </c>
      <c r="G59" s="4">
        <v>6.2576992581698901E-6</v>
      </c>
      <c r="H59" s="4">
        <v>5.6559452098555104E-6</v>
      </c>
    </row>
    <row r="60" spans="1:28" x14ac:dyDescent="0.25">
      <c r="A60" s="2" t="str">
        <f>A28</f>
        <v>median_env_ch1</v>
      </c>
      <c r="B60" s="2">
        <f t="shared" si="1"/>
        <v>8.4059905577763896</v>
      </c>
      <c r="C60" s="3">
        <f t="shared" si="2"/>
        <v>45183.75</v>
      </c>
      <c r="E60" s="1">
        <v>45183.270833333336</v>
      </c>
      <c r="F60" s="4">
        <v>9.1759777345658492E-6</v>
      </c>
      <c r="G60" s="4">
        <v>6.4023810886987699E-6</v>
      </c>
      <c r="H60" s="4">
        <v>6.3705859146340897E-6</v>
      </c>
    </row>
    <row r="61" spans="1:28" x14ac:dyDescent="0.25">
      <c r="A61" t="s">
        <v>32</v>
      </c>
      <c r="B61" s="2">
        <f t="shared" ref="B61:B62" si="3">MAX(B29:CU29)</f>
        <v>6.6940258559999997</v>
      </c>
      <c r="C61" s="3">
        <f t="shared" ref="C61:C62" si="4">_xlfn.XLOOKUP(MAX(B29:CU29), B29:CU29, $B$1:$CU$1)</f>
        <v>45183.75</v>
      </c>
      <c r="E61" s="1">
        <v>45183.28125</v>
      </c>
      <c r="F61" s="4">
        <v>1.3783665718403301E-5</v>
      </c>
      <c r="G61" s="4">
        <v>6.44655807104177E-6</v>
      </c>
      <c r="H61" s="4">
        <v>6.2595203270517102E-6</v>
      </c>
    </row>
    <row r="62" spans="1:28" x14ac:dyDescent="0.25">
      <c r="A62" t="s">
        <v>33</v>
      </c>
      <c r="B62" s="2">
        <f t="shared" si="3"/>
        <v>1.21910949911642</v>
      </c>
      <c r="C62" s="3">
        <f t="shared" si="4"/>
        <v>45183.75</v>
      </c>
      <c r="E62" s="1">
        <v>45183.291666666664</v>
      </c>
      <c r="F62" s="4">
        <v>8.9793777083391299E-6</v>
      </c>
      <c r="G62" s="4">
        <v>6.3713582560234203E-6</v>
      </c>
      <c r="H62" s="4">
        <v>6.25126961625223E-6</v>
      </c>
    </row>
    <row r="63" spans="1:28" x14ac:dyDescent="0.25">
      <c r="E63" s="1">
        <v>45183.302083333336</v>
      </c>
      <c r="F63" s="4">
        <v>1.00174329380324E-5</v>
      </c>
      <c r="G63" s="4">
        <v>6.3238519119792398E-6</v>
      </c>
      <c r="H63" s="4">
        <v>6.0913058717389103E-6</v>
      </c>
    </row>
    <row r="64" spans="1:28" x14ac:dyDescent="0.25">
      <c r="E64" s="1">
        <v>45183.3125</v>
      </c>
      <c r="F64" s="4">
        <v>1.25705005758329E-5</v>
      </c>
      <c r="G64" s="4">
        <v>8.8756218524923297E-6</v>
      </c>
      <c r="H64" s="4">
        <v>8.8562471530071306E-6</v>
      </c>
    </row>
    <row r="65" spans="5:8" x14ac:dyDescent="0.25">
      <c r="E65" s="1">
        <v>45183.322916666664</v>
      </c>
      <c r="F65" s="4">
        <v>1.15169690215133E-5</v>
      </c>
      <c r="G65" s="4">
        <v>6.4814177031635204E-6</v>
      </c>
      <c r="H65" s="4">
        <v>6.17597916478332E-6</v>
      </c>
    </row>
    <row r="66" spans="5:8" x14ac:dyDescent="0.25">
      <c r="E66" s="1">
        <v>45183.333333333336</v>
      </c>
      <c r="F66" s="4">
        <v>9.4823854699570792E-6</v>
      </c>
      <c r="G66" s="4">
        <v>4.8881048353669699E-6</v>
      </c>
      <c r="H66" s="4">
        <v>4.7187011737729601E-6</v>
      </c>
    </row>
    <row r="67" spans="5:8" x14ac:dyDescent="0.25">
      <c r="E67" s="1">
        <v>45183.34375</v>
      </c>
      <c r="F67" s="4">
        <v>1.2238246086895201E-5</v>
      </c>
      <c r="G67" s="4">
        <v>7.3301837541167303E-6</v>
      </c>
      <c r="H67" s="4">
        <v>7.2947715034440702E-6</v>
      </c>
    </row>
    <row r="68" spans="5:8" x14ac:dyDescent="0.25">
      <c r="E68" s="1">
        <v>45183.354166666664</v>
      </c>
      <c r="F68" s="4">
        <v>2.2765797903957298E-5</v>
      </c>
      <c r="G68" s="4">
        <v>1.28740911365979E-5</v>
      </c>
      <c r="H68" s="4">
        <v>1.233576626798E-5</v>
      </c>
    </row>
    <row r="69" spans="5:8" x14ac:dyDescent="0.25">
      <c r="E69" s="1">
        <v>45183.364583333336</v>
      </c>
      <c r="F69" s="4">
        <v>9.2615381650705498E-6</v>
      </c>
      <c r="G69" s="4">
        <v>5.2021271269089096E-6</v>
      </c>
      <c r="H69" s="4">
        <v>4.8957804763342203E-6</v>
      </c>
    </row>
    <row r="70" spans="5:8" x14ac:dyDescent="0.25">
      <c r="E70" s="1">
        <v>45183.375</v>
      </c>
      <c r="F70" s="4">
        <v>6.8188231415523703E-6</v>
      </c>
      <c r="G70" s="4">
        <v>4.9441030603929702E-6</v>
      </c>
      <c r="H70" s="4">
        <v>4.8647432479941804E-6</v>
      </c>
    </row>
    <row r="71" spans="5:8" x14ac:dyDescent="0.25">
      <c r="E71" s="1">
        <v>45183.385416666664</v>
      </c>
      <c r="F71" s="4">
        <v>1.0732498091594E-5</v>
      </c>
      <c r="G71" s="4">
        <v>6.2023552578275198E-6</v>
      </c>
      <c r="H71" s="4">
        <v>6.0426159041832103E-6</v>
      </c>
    </row>
    <row r="72" spans="5:8" x14ac:dyDescent="0.25">
      <c r="E72" s="1">
        <v>45183.395833333336</v>
      </c>
      <c r="F72" s="4">
        <v>4.4258093627847802E-6</v>
      </c>
      <c r="G72" s="4">
        <v>2.33155492634078E-6</v>
      </c>
      <c r="H72" s="4">
        <v>2.1935538118962599E-6</v>
      </c>
    </row>
    <row r="73" spans="5:8" x14ac:dyDescent="0.25">
      <c r="E73" s="1">
        <v>45183.40625</v>
      </c>
      <c r="F73" s="4">
        <v>8.2890787455474902E-6</v>
      </c>
      <c r="G73" s="4">
        <v>4.1058007068472696E-6</v>
      </c>
      <c r="H73" s="4">
        <v>3.9539442216153599E-6</v>
      </c>
    </row>
    <row r="74" spans="5:8" x14ac:dyDescent="0.25">
      <c r="E74" s="1">
        <v>45183.416666666664</v>
      </c>
      <c r="F74" s="4">
        <v>8.7587386148910899E-6</v>
      </c>
      <c r="G74" s="4">
        <v>3.9647365212198797E-6</v>
      </c>
      <c r="H74" s="4">
        <v>3.65490103524317E-6</v>
      </c>
    </row>
    <row r="75" spans="5:8" x14ac:dyDescent="0.25">
      <c r="E75" s="1">
        <v>45183.427083333336</v>
      </c>
      <c r="F75" s="4">
        <v>4.9026989448435703E-6</v>
      </c>
      <c r="G75" s="4">
        <v>3.1984558637415998E-6</v>
      </c>
      <c r="H75" s="4">
        <v>3.1942204651829098E-6</v>
      </c>
    </row>
    <row r="76" spans="5:8" x14ac:dyDescent="0.25">
      <c r="E76" s="1">
        <v>45183.4375</v>
      </c>
      <c r="F76" s="4">
        <v>7.40313872164134E-6</v>
      </c>
      <c r="G76" s="4">
        <v>4.5856760765889302E-6</v>
      </c>
      <c r="H76" s="4">
        <v>4.4534449609643496E-6</v>
      </c>
    </row>
    <row r="77" spans="5:8" x14ac:dyDescent="0.25">
      <c r="E77" s="1">
        <v>45183.447916666664</v>
      </c>
      <c r="F77" s="4">
        <v>1.00378651681918E-5</v>
      </c>
      <c r="G77" s="4">
        <v>5.9199023934632198E-6</v>
      </c>
      <c r="H77" s="4">
        <v>5.6743872307979202E-6</v>
      </c>
    </row>
    <row r="78" spans="5:8" x14ac:dyDescent="0.25">
      <c r="E78" s="1">
        <v>45183.458333333336</v>
      </c>
      <c r="F78" s="4">
        <v>7.3290418716751399E-6</v>
      </c>
      <c r="G78" s="4">
        <v>4.0308219623372397E-6</v>
      </c>
      <c r="H78" s="4">
        <v>3.7703731296268702E-6</v>
      </c>
    </row>
    <row r="79" spans="5:8" x14ac:dyDescent="0.25">
      <c r="E79" s="1">
        <v>45183.46875</v>
      </c>
      <c r="F79" s="4">
        <v>9.7539571664340196E-6</v>
      </c>
      <c r="G79" s="4">
        <v>5.9261595400831002E-6</v>
      </c>
      <c r="H79" s="4">
        <v>5.6597291718525398E-6</v>
      </c>
    </row>
    <row r="80" spans="5:8" x14ac:dyDescent="0.25">
      <c r="E80" s="1">
        <v>45183.479166666664</v>
      </c>
      <c r="F80" s="4">
        <v>9.9442565768875201E-6</v>
      </c>
      <c r="G80" s="4">
        <v>6.1147882824297497E-6</v>
      </c>
      <c r="H80" s="4">
        <v>5.96616047911026E-6</v>
      </c>
    </row>
    <row r="81" spans="5:8" x14ac:dyDescent="0.25">
      <c r="E81" s="1">
        <v>45183.489583333336</v>
      </c>
      <c r="F81" s="4">
        <v>8.9330405163299497E-6</v>
      </c>
      <c r="G81" s="4">
        <v>5.59291702577474E-6</v>
      </c>
      <c r="H81" s="4">
        <v>5.5184740036462502E-6</v>
      </c>
    </row>
    <row r="82" spans="5:8" x14ac:dyDescent="0.25">
      <c r="E82" s="1">
        <v>45183.5</v>
      </c>
      <c r="F82" s="4">
        <v>9.5056455349283696E-6</v>
      </c>
      <c r="G82" s="4">
        <v>5.9367786189819998E-6</v>
      </c>
      <c r="H82" s="4">
        <v>5.9014438553191403E-6</v>
      </c>
    </row>
    <row r="83" spans="5:8" x14ac:dyDescent="0.25">
      <c r="E83" s="1">
        <v>45183.510416666664</v>
      </c>
      <c r="F83" s="4">
        <v>1.30956484402392E-5</v>
      </c>
      <c r="G83" s="4">
        <v>5.9878684039209498E-6</v>
      </c>
      <c r="H83" s="4">
        <v>5.5735589079857096E-6</v>
      </c>
    </row>
    <row r="84" spans="5:8" x14ac:dyDescent="0.25">
      <c r="E84" s="1">
        <v>45183.520833333336</v>
      </c>
      <c r="F84" s="4">
        <v>9.1184614012821798E-6</v>
      </c>
      <c r="G84" s="4">
        <v>5.6195750505529502E-6</v>
      </c>
      <c r="H84" s="4">
        <v>5.4906824797886303E-6</v>
      </c>
    </row>
    <row r="85" spans="5:8" x14ac:dyDescent="0.25">
      <c r="E85" s="1">
        <v>45183.53125</v>
      </c>
      <c r="F85" s="4">
        <v>9.7896966743383499E-6</v>
      </c>
      <c r="G85" s="4">
        <v>5.8869060565930902E-6</v>
      </c>
      <c r="H85" s="4">
        <v>5.6380868690467198E-6</v>
      </c>
    </row>
    <row r="86" spans="5:8" x14ac:dyDescent="0.25">
      <c r="E86" s="1">
        <v>45183.541666666664</v>
      </c>
      <c r="F86" s="4">
        <v>1.1518420312011801E-5</v>
      </c>
      <c r="G86" s="4">
        <v>7.0249192301762599E-6</v>
      </c>
      <c r="H86" s="4">
        <v>6.89419075469129E-6</v>
      </c>
    </row>
    <row r="87" spans="5:8" x14ac:dyDescent="0.25">
      <c r="E87" s="1">
        <v>45183.552083333336</v>
      </c>
      <c r="F87" s="4">
        <v>1.1416437131006401E-5</v>
      </c>
      <c r="G87" s="4">
        <v>6.4019389066142098E-6</v>
      </c>
      <c r="H87" s="4">
        <v>6.1982478437318604E-6</v>
      </c>
    </row>
    <row r="88" spans="5:8" x14ac:dyDescent="0.25">
      <c r="E88" s="1">
        <v>45183.5625</v>
      </c>
      <c r="F88" s="4">
        <v>1.2263673363637501E-5</v>
      </c>
      <c r="G88" s="4">
        <v>7.0532266589274803E-6</v>
      </c>
      <c r="H88" s="4">
        <v>6.7897388548465697E-6</v>
      </c>
    </row>
    <row r="89" spans="5:8" x14ac:dyDescent="0.25">
      <c r="E89" s="1">
        <v>45183.572916666664</v>
      </c>
      <c r="F89" s="4">
        <v>9.8173924335980004E-6</v>
      </c>
      <c r="G89" s="4">
        <v>5.4642972892478801E-6</v>
      </c>
      <c r="H89" s="4">
        <v>5.3341116879979997E-6</v>
      </c>
    </row>
    <row r="90" spans="5:8" x14ac:dyDescent="0.25">
      <c r="E90" s="1">
        <v>45183.583333333336</v>
      </c>
      <c r="F90" s="4">
        <v>1.65799049262947E-5</v>
      </c>
      <c r="G90" s="4">
        <v>9.8901208888879793E-6</v>
      </c>
      <c r="H90" s="4">
        <v>9.8183136513199499E-6</v>
      </c>
    </row>
    <row r="91" spans="5:8" x14ac:dyDescent="0.25">
      <c r="E91" s="1">
        <v>45183.59375</v>
      </c>
      <c r="F91" s="4">
        <v>5.2304229996997202E-5</v>
      </c>
      <c r="G91" s="4">
        <v>3.0768875256721098E-5</v>
      </c>
      <c r="H91" s="4">
        <v>3.0397234850183599E-5</v>
      </c>
    </row>
    <row r="92" spans="5:8" x14ac:dyDescent="0.25">
      <c r="E92" s="1">
        <v>45183.604166666664</v>
      </c>
      <c r="F92" s="4">
        <v>6.4495275467479405E-5</v>
      </c>
      <c r="G92" s="4">
        <v>4.3278629803499901E-5</v>
      </c>
      <c r="H92" s="4">
        <v>4.1349889459794202E-5</v>
      </c>
    </row>
    <row r="93" spans="5:8" x14ac:dyDescent="0.25">
      <c r="E93" s="1">
        <v>45183.614583333336</v>
      </c>
      <c r="F93">
        <v>3.6540230353056599E-4</v>
      </c>
      <c r="G93">
        <v>1.63914192416245E-4</v>
      </c>
      <c r="H93">
        <v>1.45573592314035E-4</v>
      </c>
    </row>
    <row r="94" spans="5:8" x14ac:dyDescent="0.25">
      <c r="E94" s="1">
        <v>45183.625</v>
      </c>
      <c r="F94">
        <v>8.0276531345949305E-4</v>
      </c>
      <c r="G94">
        <v>4.6149437131627998E-4</v>
      </c>
      <c r="H94">
        <v>4.4534260556318699E-4</v>
      </c>
    </row>
    <row r="95" spans="5:8" x14ac:dyDescent="0.25">
      <c r="E95" s="1">
        <v>45183.635416666664</v>
      </c>
      <c r="F95">
        <v>5.1789189155470596E-4</v>
      </c>
      <c r="G95">
        <v>3.2234523348378502E-4</v>
      </c>
      <c r="H95">
        <v>3.2121988255789799E-4</v>
      </c>
    </row>
    <row r="96" spans="5:8" x14ac:dyDescent="0.25">
      <c r="E96" s="1">
        <v>45183.645833333336</v>
      </c>
      <c r="F96">
        <v>2.1889811807178101E-4</v>
      </c>
      <c r="G96">
        <v>1.2999111042305599E-4</v>
      </c>
      <c r="H96">
        <v>1.25246459702998E-4</v>
      </c>
    </row>
    <row r="97" spans="5:8" x14ac:dyDescent="0.25">
      <c r="E97" s="1">
        <v>45183.65625</v>
      </c>
      <c r="F97">
        <v>8.1067237321690196E-4</v>
      </c>
      <c r="G97">
        <v>4.7877346906159999E-4</v>
      </c>
      <c r="H97">
        <v>4.6595833407173603E-4</v>
      </c>
    </row>
    <row r="98" spans="5:8" x14ac:dyDescent="0.25">
      <c r="E98" s="1">
        <v>45183.666666666664</v>
      </c>
      <c r="F98">
        <v>1.0446220776071801E-3</v>
      </c>
      <c r="G98">
        <v>6.1394129125497501E-4</v>
      </c>
      <c r="H98">
        <v>5.9758893555664303E-4</v>
      </c>
    </row>
    <row r="99" spans="5:8" x14ac:dyDescent="0.25">
      <c r="E99" s="1">
        <v>45183.677083333336</v>
      </c>
      <c r="F99">
        <v>2.0290821558515801E-3</v>
      </c>
      <c r="G99">
        <v>1.56238369688693E-3</v>
      </c>
      <c r="H99">
        <v>1.5413431119773501E-3</v>
      </c>
    </row>
    <row r="100" spans="5:8" x14ac:dyDescent="0.25">
      <c r="E100" s="1">
        <v>45183.6875</v>
      </c>
      <c r="F100">
        <v>2.33691935802162E-3</v>
      </c>
      <c r="G100">
        <v>1.4656751810689099E-3</v>
      </c>
      <c r="H100">
        <v>1.4397700802664299E-3</v>
      </c>
    </row>
    <row r="101" spans="5:8" x14ac:dyDescent="0.25">
      <c r="E101" s="1">
        <v>45183.697916666664</v>
      </c>
      <c r="F101">
        <v>1.5566319726546399E-3</v>
      </c>
      <c r="G101">
        <v>1.10068722555524E-3</v>
      </c>
      <c r="H101">
        <v>1.07873844761726E-3</v>
      </c>
    </row>
    <row r="102" spans="5:8" x14ac:dyDescent="0.25">
      <c r="E102" s="1">
        <v>45183.708333333336</v>
      </c>
      <c r="F102">
        <v>3.28798396557436E-3</v>
      </c>
      <c r="G102">
        <v>2.00966832955314E-3</v>
      </c>
      <c r="H102">
        <v>1.9761689973518399E-3</v>
      </c>
    </row>
    <row r="103" spans="5:8" x14ac:dyDescent="0.25">
      <c r="E103" s="1">
        <v>45183.71875</v>
      </c>
      <c r="F103">
        <v>1.94087140645335E-3</v>
      </c>
      <c r="G103">
        <v>1.43157790113244E-3</v>
      </c>
      <c r="H103">
        <v>1.4084697022671701E-3</v>
      </c>
    </row>
    <row r="104" spans="5:8" x14ac:dyDescent="0.25">
      <c r="E104" s="1">
        <v>45183.729166666664</v>
      </c>
      <c r="F104">
        <v>1.89817553142744E-3</v>
      </c>
      <c r="G104">
        <v>1.3041552398201899E-3</v>
      </c>
      <c r="H104">
        <v>1.2870134659083701E-3</v>
      </c>
    </row>
    <row r="105" spans="5:8" x14ac:dyDescent="0.25">
      <c r="E105" s="1">
        <v>45183.739583333336</v>
      </c>
      <c r="F105">
        <v>4.9314143969812797E-3</v>
      </c>
      <c r="G105">
        <v>2.9608690727512699E-3</v>
      </c>
      <c r="H105">
        <v>2.8443858902263402E-3</v>
      </c>
    </row>
    <row r="106" spans="5:8" x14ac:dyDescent="0.25">
      <c r="E106" s="1">
        <v>45183.75</v>
      </c>
      <c r="F106">
        <v>1.6768651053045799E-2</v>
      </c>
      <c r="G106">
        <v>8.9192262729874093E-3</v>
      </c>
      <c r="H106">
        <v>8.2089751540785003E-3</v>
      </c>
    </row>
    <row r="107" spans="5:8" x14ac:dyDescent="0.25">
      <c r="E107" s="1">
        <v>45183.760416666664</v>
      </c>
      <c r="F107">
        <v>1.7569335230275601E-3</v>
      </c>
      <c r="G107">
        <v>1.23386490837562E-3</v>
      </c>
      <c r="H107">
        <v>1.2115581100540899E-3</v>
      </c>
    </row>
    <row r="108" spans="5:8" x14ac:dyDescent="0.25">
      <c r="E108" s="1">
        <v>45183.770833333336</v>
      </c>
      <c r="F108">
        <v>1.1888781370344001E-3</v>
      </c>
      <c r="G108">
        <v>8.2007934278383997E-4</v>
      </c>
      <c r="H108">
        <v>7.8265446764918395E-4</v>
      </c>
    </row>
    <row r="109" spans="5:8" x14ac:dyDescent="0.25">
      <c r="E109" s="1">
        <v>45183.78125</v>
      </c>
      <c r="F109">
        <v>1.2322635174925301E-3</v>
      </c>
      <c r="G109">
        <v>8.7524435565788797E-4</v>
      </c>
      <c r="H109">
        <v>8.6766037343363603E-4</v>
      </c>
    </row>
    <row r="110" spans="5:8" x14ac:dyDescent="0.25">
      <c r="E110" s="1">
        <v>45183.791666666664</v>
      </c>
      <c r="F110">
        <v>1.0032346820111799E-3</v>
      </c>
      <c r="G110">
        <v>7.2763471693763199E-4</v>
      </c>
      <c r="H110">
        <v>7.2687020094314202E-4</v>
      </c>
    </row>
    <row r="111" spans="5:8" x14ac:dyDescent="0.25">
      <c r="E111" s="1">
        <v>45183.802083333336</v>
      </c>
      <c r="F111">
        <v>9.3254082246669299E-4</v>
      </c>
      <c r="G111">
        <v>6.5057009865111804E-4</v>
      </c>
      <c r="H111">
        <v>6.3870356497849304E-4</v>
      </c>
    </row>
    <row r="112" spans="5:8" x14ac:dyDescent="0.25">
      <c r="E112" s="1">
        <v>45183.8125</v>
      </c>
      <c r="F112">
        <v>8.7633096143231997E-4</v>
      </c>
      <c r="G112">
        <v>5.6934326626283604E-4</v>
      </c>
      <c r="H112">
        <v>5.6196259475024498E-4</v>
      </c>
    </row>
    <row r="113" spans="5:8" x14ac:dyDescent="0.25">
      <c r="E113" s="1">
        <v>45183.822916666664</v>
      </c>
      <c r="F113">
        <v>7.86853431273352E-4</v>
      </c>
      <c r="G113">
        <v>4.28841432631615E-4</v>
      </c>
      <c r="H113">
        <v>4.1071099756034E-4</v>
      </c>
    </row>
    <row r="114" spans="5:8" x14ac:dyDescent="0.25">
      <c r="E114" s="1">
        <v>45183.833333333336</v>
      </c>
      <c r="F114">
        <v>8.4709691732628403E-4</v>
      </c>
      <c r="G114">
        <v>5.8333555640122895E-4</v>
      </c>
      <c r="H114">
        <v>5.7980618373676895E-4</v>
      </c>
    </row>
    <row r="115" spans="5:8" x14ac:dyDescent="0.25">
      <c r="E115" s="1">
        <v>45183.84375</v>
      </c>
      <c r="F115">
        <v>7.0205332682334097E-4</v>
      </c>
      <c r="G115">
        <v>4.88620901698168E-4</v>
      </c>
      <c r="H115">
        <v>4.7795738430128003E-4</v>
      </c>
    </row>
    <row r="116" spans="5:8" x14ac:dyDescent="0.25">
      <c r="E116" s="1">
        <v>45183.854166666664</v>
      </c>
      <c r="F116">
        <v>5.5263558775019205E-4</v>
      </c>
      <c r="G116">
        <v>3.4250355000383802E-4</v>
      </c>
      <c r="H116">
        <v>3.2828989410194098E-4</v>
      </c>
    </row>
    <row r="117" spans="5:8" x14ac:dyDescent="0.25">
      <c r="E117" s="1">
        <v>45183.864583333336</v>
      </c>
      <c r="F117">
        <v>6.6390340166193004E-4</v>
      </c>
      <c r="G117">
        <v>3.7828642830546599E-4</v>
      </c>
      <c r="H117">
        <v>3.7142843028075502E-4</v>
      </c>
    </row>
    <row r="118" spans="5:8" x14ac:dyDescent="0.25">
      <c r="E118" s="1">
        <v>45183.875</v>
      </c>
      <c r="F118">
        <v>5.3466856776746799E-4</v>
      </c>
      <c r="G118">
        <v>3.8517698563496399E-4</v>
      </c>
      <c r="H118">
        <v>3.81897121723281E-4</v>
      </c>
    </row>
    <row r="119" spans="5:8" x14ac:dyDescent="0.25">
      <c r="E119" s="1">
        <v>45183.885416666664</v>
      </c>
      <c r="F119">
        <v>6.8323719594387403E-4</v>
      </c>
      <c r="G119">
        <v>3.9774931827794998E-4</v>
      </c>
      <c r="H119">
        <v>3.7929630697255398E-4</v>
      </c>
    </row>
    <row r="120" spans="5:8" x14ac:dyDescent="0.25">
      <c r="E120" s="1">
        <v>45183.895833333336</v>
      </c>
      <c r="F120">
        <v>6.4288241910266599E-4</v>
      </c>
      <c r="G120">
        <v>4.0089267182726003E-4</v>
      </c>
      <c r="H120">
        <v>3.9725381288904099E-4</v>
      </c>
    </row>
    <row r="121" spans="5:8" x14ac:dyDescent="0.25">
      <c r="E121" s="1">
        <v>45183.90625</v>
      </c>
      <c r="F121">
        <v>4.6917913254726701E-4</v>
      </c>
      <c r="G121">
        <v>3.18935831108261E-4</v>
      </c>
      <c r="H121">
        <v>3.1306892657396502E-4</v>
      </c>
    </row>
    <row r="122" spans="5:8" x14ac:dyDescent="0.25">
      <c r="E122" s="1">
        <v>45183.916666666664</v>
      </c>
      <c r="F122">
        <v>5.1338862624363197E-4</v>
      </c>
      <c r="G122">
        <v>3.3893093996620902E-4</v>
      </c>
      <c r="H122">
        <v>3.2956154470850402E-4</v>
      </c>
    </row>
    <row r="123" spans="5:8" x14ac:dyDescent="0.25">
      <c r="E123" s="1">
        <v>45183.927083333336</v>
      </c>
      <c r="F123">
        <v>5.5214615177000303E-4</v>
      </c>
      <c r="G123">
        <v>3.4348402846739399E-4</v>
      </c>
      <c r="H123">
        <v>3.3852778994308098E-4</v>
      </c>
    </row>
    <row r="124" spans="5:8" x14ac:dyDescent="0.25">
      <c r="E124" s="1">
        <v>45183.9375</v>
      </c>
      <c r="F124">
        <v>7.4437504744957099E-4</v>
      </c>
      <c r="G124">
        <v>3.7205497622716201E-4</v>
      </c>
      <c r="H124">
        <v>3.6966633819673401E-4</v>
      </c>
    </row>
    <row r="125" spans="5:8" x14ac:dyDescent="0.25">
      <c r="E125" s="1">
        <v>45183.947916666664</v>
      </c>
      <c r="F125">
        <v>1.25113051999328E-3</v>
      </c>
      <c r="G125">
        <v>7.5566034676375097E-4</v>
      </c>
      <c r="H125">
        <v>7.4362801312632802E-4</v>
      </c>
    </row>
    <row r="126" spans="5:8" x14ac:dyDescent="0.25">
      <c r="E126" s="1">
        <v>45183.958333333336</v>
      </c>
      <c r="F126">
        <v>6.22301730447416E-4</v>
      </c>
      <c r="G126">
        <v>3.4483125864743797E-4</v>
      </c>
      <c r="H126">
        <v>3.3571091761174399E-4</v>
      </c>
    </row>
    <row r="127" spans="5:8" x14ac:dyDescent="0.25">
      <c r="E127" s="1">
        <v>45183.96875</v>
      </c>
      <c r="F127">
        <v>7.0816960113157499E-4</v>
      </c>
      <c r="G127">
        <v>4.48174297182419E-4</v>
      </c>
      <c r="H127">
        <v>4.2891569594207403E-4</v>
      </c>
    </row>
    <row r="128" spans="5:8" x14ac:dyDescent="0.25">
      <c r="E128" s="1">
        <v>45183.979166666664</v>
      </c>
      <c r="F128">
        <v>6.4161166268024005E-4</v>
      </c>
      <c r="G128">
        <v>3.48032763580346E-4</v>
      </c>
      <c r="H128">
        <v>3.3273704492084699E-4</v>
      </c>
    </row>
    <row r="129" spans="5:8" x14ac:dyDescent="0.25">
      <c r="E129" s="1">
        <v>45183.989583333336</v>
      </c>
      <c r="F129">
        <v>3.0241015053129102E-4</v>
      </c>
      <c r="G129">
        <v>1.8817727783910601E-4</v>
      </c>
      <c r="H129">
        <v>1.8022024939127299E-4</v>
      </c>
    </row>
    <row r="130" spans="5:8" x14ac:dyDescent="0.25">
      <c r="E130" s="1">
        <v>45184</v>
      </c>
      <c r="F130">
        <v>2.9791941867850799E-4</v>
      </c>
      <c r="G130">
        <v>1.8855224366019199E-4</v>
      </c>
      <c r="H130">
        <v>1.8386465282320901E-4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storm7_results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2025-10-23T22:24:38Z</dcterms:created>
  <dcterms:modified xsi:type="dcterms:W3CDTF">2025-12-11T01:03:24Z</dcterms:modified>
</cp:coreProperties>
</file>