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Results\noise_corrected\2_amp_function_by_season\calculations\"/>
    </mc:Choice>
  </mc:AlternateContent>
  <xr:revisionPtr revIDLastSave="0" documentId="13_ncr:1_{E56FA581-F8F9-4ACF-81A2-C0CC1DE1E702}" xr6:coauthVersionLast="47" xr6:coauthVersionMax="47" xr10:uidLastSave="{00000000-0000-0000-0000-000000000000}"/>
  <bookViews>
    <workbookView xWindow="-120" yWindow="-120" windowWidth="29040" windowHeight="15720" xr2:uid="{F13D17A6-16AC-4BA4-A06E-27B077BB68FB}"/>
  </bookViews>
  <sheets>
    <sheet name="storm4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5" i="1" l="1"/>
  <c r="D35" i="1"/>
  <c r="C62" i="1"/>
  <c r="C63" i="1"/>
  <c r="B62" i="1"/>
  <c r="B63" i="1"/>
  <c r="B35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B36" i="1"/>
  <c r="B37" i="1"/>
  <c r="B38" i="1"/>
  <c r="B39" i="1"/>
  <c r="B40" i="1"/>
  <c r="B41" i="1"/>
  <c r="B42" i="1"/>
  <c r="B43" i="1"/>
  <c r="B44" i="1"/>
  <c r="U48" i="1" s="1"/>
  <c r="B45" i="1"/>
  <c r="V48" i="1" s="1"/>
  <c r="B46" i="1"/>
  <c r="W48" i="1" s="1"/>
  <c r="B47" i="1"/>
  <c r="U49" i="1" s="1"/>
  <c r="B48" i="1"/>
  <c r="V49" i="1" s="1"/>
  <c r="B49" i="1"/>
  <c r="W49" i="1" s="1"/>
  <c r="B50" i="1"/>
  <c r="U50" i="1" s="1"/>
  <c r="B51" i="1"/>
  <c r="V50" i="1" s="1"/>
  <c r="B52" i="1"/>
  <c r="W50" i="1" s="1"/>
  <c r="B53" i="1"/>
  <c r="U51" i="1" s="1"/>
  <c r="B54" i="1"/>
  <c r="V51" i="1" s="1"/>
  <c r="B55" i="1"/>
  <c r="W51" i="1" s="1"/>
  <c r="B56" i="1"/>
  <c r="U52" i="1" s="1"/>
  <c r="B57" i="1"/>
  <c r="V52" i="1" s="1"/>
  <c r="B58" i="1"/>
  <c r="W52" i="1" s="1"/>
  <c r="B59" i="1"/>
  <c r="U53" i="1" s="1"/>
  <c r="B60" i="1"/>
  <c r="V53" i="1" s="1"/>
  <c r="B61" i="1"/>
  <c r="W53" i="1" s="1"/>
  <c r="A60" i="1"/>
  <c r="A61" i="1"/>
  <c r="A57" i="1"/>
  <c r="A58" i="1"/>
  <c r="A59" i="1"/>
  <c r="A48" i="1"/>
  <c r="A49" i="1"/>
  <c r="A50" i="1"/>
  <c r="A51" i="1"/>
  <c r="A52" i="1"/>
  <c r="A53" i="1"/>
  <c r="A54" i="1"/>
  <c r="A55" i="1"/>
  <c r="A56" i="1"/>
  <c r="A36" i="1"/>
  <c r="A37" i="1"/>
  <c r="A38" i="1"/>
  <c r="A39" i="1"/>
  <c r="A40" i="1"/>
  <c r="A41" i="1"/>
  <c r="A42" i="1"/>
  <c r="A43" i="1"/>
  <c r="A44" i="1"/>
  <c r="A45" i="1"/>
  <c r="A46" i="1"/>
  <c r="A47" i="1"/>
  <c r="A35" i="1"/>
</calcChain>
</file>

<file path=xl/sharedStrings.xml><?xml version="1.0" encoding="utf-8"?>
<sst xmlns="http://schemas.openxmlformats.org/spreadsheetml/2006/main" count="64" uniqueCount="48">
  <si>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</si>
  <si>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</si>
  <si>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</si>
  <si>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</si>
  <si>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</si>
  <si>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</si>
  <si>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</si>
  <si>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</si>
  <si>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</si>
  <si>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</si>
  <si>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</si>
  <si>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</si>
  <si>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</si>
  <si>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</si>
  <si>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</si>
  <si>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</si>
  <si>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</si>
  <si>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</si>
  <si>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</si>
  <si>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</si>
  <si>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</si>
  <si>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</si>
  <si>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</si>
  <si>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</si>
  <si>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</si>
  <si>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</si>
  <si>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</si>
  <si>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</si>
  <si>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</si>
  <si>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</si>
  <si>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</si>
  <si>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</si>
  <si>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</si>
  <si>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</si>
  <si>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</si>
  <si>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</si>
  <si>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</si>
  <si>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</si>
  <si>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</si>
  <si>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</si>
  <si>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</si>
  <si>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</si>
  <si>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</si>
  <si>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</si>
  <si>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</si>
  <si>
    <t>impact</t>
  </si>
  <si>
    <t>max tau</t>
  </si>
  <si>
    <t xml:space="preserve">max tau is the same as max amp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</si>
</sst>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/>
    <xf numFmtId="22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</a:t>
            </a:r>
            <a:r>
              <a:rPr lang="en-US" baseline="0"/>
              <a:t>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storm4_results!$I$34</c:f>
              <c:strCache>
                <c:ptCount val="1"/>
                <c:pt idx="0">
                  <c:v>tau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storm4_results!$E$35:$E$132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storm4_results!$I$35:$I$132</c:f>
              <c:numCache>
                <c:formatCode>General</c:formatCode>
                <c:ptCount val="98"/>
                <c:pt idx="0">
                  <c:v>0.85462156099999997</c:v>
                </c:pt>
                <c:pt idx="1">
                  <c:v>0.99067576999999996</c:v>
                </c:pt>
                <c:pt idx="2">
                  <c:v>1.1441742989999999</c:v>
                </c:pt>
                <c:pt idx="3">
                  <c:v>0.73432993800000002</c:v>
                </c:pt>
                <c:pt idx="4">
                  <c:v>1.317101139</c:v>
                </c:pt>
                <c:pt idx="5">
                  <c:v>1.1441742989999999</c:v>
                </c:pt>
                <c:pt idx="6">
                  <c:v>1.257509953</c:v>
                </c:pt>
                <c:pt idx="7">
                  <c:v>0.85462156099999997</c:v>
                </c:pt>
                <c:pt idx="8">
                  <c:v>1.257509953</c:v>
                </c:pt>
                <c:pt idx="9">
                  <c:v>0.85462156099999997</c:v>
                </c:pt>
                <c:pt idx="10">
                  <c:v>0.99067576999999996</c:v>
                </c:pt>
                <c:pt idx="11">
                  <c:v>0.99067576999999996</c:v>
                </c:pt>
                <c:pt idx="12">
                  <c:v>0.99067576999999996</c:v>
                </c:pt>
                <c:pt idx="13">
                  <c:v>1.1441742989999999</c:v>
                </c:pt>
                <c:pt idx="14">
                  <c:v>0.99067576999999996</c:v>
                </c:pt>
                <c:pt idx="15">
                  <c:v>0.66228851600000005</c:v>
                </c:pt>
                <c:pt idx="16">
                  <c:v>0.99067576999999996</c:v>
                </c:pt>
                <c:pt idx="17">
                  <c:v>1.4444654269999999</c:v>
                </c:pt>
                <c:pt idx="18">
                  <c:v>0.99067576999999996</c:v>
                </c:pt>
                <c:pt idx="19">
                  <c:v>0.85462156099999997</c:v>
                </c:pt>
                <c:pt idx="20">
                  <c:v>0.99067576999999996</c:v>
                </c:pt>
                <c:pt idx="21">
                  <c:v>0.99067576999999996</c:v>
                </c:pt>
                <c:pt idx="22">
                  <c:v>0.89783227600000004</c:v>
                </c:pt>
                <c:pt idx="23">
                  <c:v>0.99067576999999996</c:v>
                </c:pt>
                <c:pt idx="24">
                  <c:v>1.1441742989999999</c:v>
                </c:pt>
                <c:pt idx="25">
                  <c:v>0.89783227600000004</c:v>
                </c:pt>
                <c:pt idx="26">
                  <c:v>1.1441742989999999</c:v>
                </c:pt>
                <c:pt idx="27">
                  <c:v>0.73432993800000002</c:v>
                </c:pt>
                <c:pt idx="28">
                  <c:v>0.85462156099999997</c:v>
                </c:pt>
                <c:pt idx="29">
                  <c:v>1.145105356</c:v>
                </c:pt>
                <c:pt idx="30">
                  <c:v>1.257509953</c:v>
                </c:pt>
                <c:pt idx="31">
                  <c:v>1.145105356</c:v>
                </c:pt>
                <c:pt idx="32">
                  <c:v>1.318149035</c:v>
                </c:pt>
                <c:pt idx="33">
                  <c:v>1.318149035</c:v>
                </c:pt>
                <c:pt idx="34">
                  <c:v>1.145105356</c:v>
                </c:pt>
                <c:pt idx="35">
                  <c:v>1.145105356</c:v>
                </c:pt>
                <c:pt idx="36">
                  <c:v>0.99150227300000005</c:v>
                </c:pt>
                <c:pt idx="37">
                  <c:v>0.99150227300000005</c:v>
                </c:pt>
                <c:pt idx="38">
                  <c:v>0.99150227300000005</c:v>
                </c:pt>
                <c:pt idx="39">
                  <c:v>1.145105356</c:v>
                </c:pt>
                <c:pt idx="40">
                  <c:v>0.89859415399999998</c:v>
                </c:pt>
                <c:pt idx="41">
                  <c:v>0.89859415399999998</c:v>
                </c:pt>
                <c:pt idx="42">
                  <c:v>0.85535298199999998</c:v>
                </c:pt>
                <c:pt idx="43">
                  <c:v>0.66228851600000005</c:v>
                </c:pt>
                <c:pt idx="44">
                  <c:v>0.475692385</c:v>
                </c:pt>
                <c:pt idx="45">
                  <c:v>0.77321039300000005</c:v>
                </c:pt>
                <c:pt idx="46">
                  <c:v>0.56216848100000005</c:v>
                </c:pt>
                <c:pt idx="47">
                  <c:v>0.73432993800000002</c:v>
                </c:pt>
                <c:pt idx="48">
                  <c:v>0.85462156099999997</c:v>
                </c:pt>
                <c:pt idx="49">
                  <c:v>0.772537527</c:v>
                </c:pt>
                <c:pt idx="50">
                  <c:v>0.85462156099999997</c:v>
                </c:pt>
                <c:pt idx="51">
                  <c:v>0.89783227600000004</c:v>
                </c:pt>
                <c:pt idx="52">
                  <c:v>0.56216848100000005</c:v>
                </c:pt>
                <c:pt idx="53">
                  <c:v>0.77321039300000005</c:v>
                </c:pt>
                <c:pt idx="54">
                  <c:v>0.89859415399999998</c:v>
                </c:pt>
                <c:pt idx="55">
                  <c:v>1.5125919880000001</c:v>
                </c:pt>
                <c:pt idx="56">
                  <c:v>1.654461261</c:v>
                </c:pt>
                <c:pt idx="57">
                  <c:v>1.5125919880000001</c:v>
                </c:pt>
                <c:pt idx="58">
                  <c:v>1.88950475</c:v>
                </c:pt>
                <c:pt idx="59">
                  <c:v>4.4021109559999996</c:v>
                </c:pt>
                <c:pt idx="60">
                  <c:v>14.6021538</c:v>
                </c:pt>
                <c:pt idx="61">
                  <c:v>13.238676509999999</c:v>
                </c:pt>
                <c:pt idx="62">
                  <c:v>14.6021538</c:v>
                </c:pt>
                <c:pt idx="63">
                  <c:v>20.131538750000001</c:v>
                </c:pt>
                <c:pt idx="64">
                  <c:v>10.529934320000001</c:v>
                </c:pt>
                <c:pt idx="65">
                  <c:v>5.509495866</c:v>
                </c:pt>
                <c:pt idx="66">
                  <c:v>9.2095990650000008</c:v>
                </c:pt>
                <c:pt idx="67">
                  <c:v>6.5397134279999998</c:v>
                </c:pt>
                <c:pt idx="68">
                  <c:v>3.8698277910000001</c:v>
                </c:pt>
                <c:pt idx="69">
                  <c:v>5.509495866</c:v>
                </c:pt>
                <c:pt idx="70">
                  <c:v>2.6539428329999999</c:v>
                </c:pt>
                <c:pt idx="71">
                  <c:v>2.8809824239999999</c:v>
                </c:pt>
                <c:pt idx="72">
                  <c:v>2.6558198119999998</c:v>
                </c:pt>
                <c:pt idx="73">
                  <c:v>2.6558198119999998</c:v>
                </c:pt>
                <c:pt idx="74">
                  <c:v>2.0619739560000001</c:v>
                </c:pt>
                <c:pt idx="75">
                  <c:v>2.3436582540000002</c:v>
                </c:pt>
                <c:pt idx="76">
                  <c:v>2.0619739560000001</c:v>
                </c:pt>
                <c:pt idx="77">
                  <c:v>1.8086265969999999</c:v>
                </c:pt>
                <c:pt idx="78">
                  <c:v>2.3436582540000002</c:v>
                </c:pt>
                <c:pt idx="79">
                  <c:v>1.654461261</c:v>
                </c:pt>
                <c:pt idx="80">
                  <c:v>1.8086265969999999</c:v>
                </c:pt>
                <c:pt idx="81">
                  <c:v>1.8086265969999999</c:v>
                </c:pt>
                <c:pt idx="82">
                  <c:v>2.1522282119999998</c:v>
                </c:pt>
                <c:pt idx="83">
                  <c:v>1.88950475</c:v>
                </c:pt>
                <c:pt idx="84">
                  <c:v>2.1522282119999998</c:v>
                </c:pt>
                <c:pt idx="85">
                  <c:v>2.3419653060000001</c:v>
                </c:pt>
                <c:pt idx="86">
                  <c:v>1.654461261</c:v>
                </c:pt>
                <c:pt idx="87">
                  <c:v>1.5125919880000001</c:v>
                </c:pt>
                <c:pt idx="88">
                  <c:v>1.654461261</c:v>
                </c:pt>
                <c:pt idx="89">
                  <c:v>2.1522282119999998</c:v>
                </c:pt>
                <c:pt idx="90">
                  <c:v>1.511415151</c:v>
                </c:pt>
                <c:pt idx="91">
                  <c:v>1.729502407</c:v>
                </c:pt>
                <c:pt idx="92">
                  <c:v>1.511415151</c:v>
                </c:pt>
                <c:pt idx="93">
                  <c:v>1.654461261</c:v>
                </c:pt>
                <c:pt idx="94">
                  <c:v>1.4444654269999999</c:v>
                </c:pt>
                <c:pt idx="95">
                  <c:v>1.654461261</c:v>
                </c:pt>
                <c:pt idx="96">
                  <c:v>1.729502407</c:v>
                </c:pt>
                <c:pt idx="97">
                  <c:v>1.511415151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29-4834-8143-5DBCEC188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570255"/>
        <c:axId val="889568335"/>
      </c:scatterChar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storm4_results!$E$35:$E$132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storm4_results!$F$35:$F$132</c:f>
              <c:numCache>
                <c:formatCode>General</c:formatCode>
                <c:ptCount val="98"/>
                <c:pt idx="0">
                  <c:v>9.1130189108737597E-4</c:v>
                </c:pt>
                <c:pt idx="1">
                  <c:v>1.2047348532207599E-3</c:v>
                </c:pt>
                <c:pt idx="2">
                  <c:v>1.7256039469829699E-3</c:v>
                </c:pt>
                <c:pt idx="3">
                  <c:v>7.9902808633366702E-4</c:v>
                </c:pt>
                <c:pt idx="4">
                  <c:v>1.9201173516061299E-3</c:v>
                </c:pt>
                <c:pt idx="5">
                  <c:v>1.93181785623592E-3</c:v>
                </c:pt>
                <c:pt idx="6">
                  <c:v>1.93191571674608E-3</c:v>
                </c:pt>
                <c:pt idx="7">
                  <c:v>1.0954692241265699E-3</c:v>
                </c:pt>
                <c:pt idx="8">
                  <c:v>1.6123172032523499E-3</c:v>
                </c:pt>
                <c:pt idx="9">
                  <c:v>9.896462033740889E-4</c:v>
                </c:pt>
                <c:pt idx="10">
                  <c:v>1.1762756350660599E-3</c:v>
                </c:pt>
                <c:pt idx="11">
                  <c:v>1.3135611917772399E-3</c:v>
                </c:pt>
                <c:pt idx="12">
                  <c:v>1.0207100646506301E-3</c:v>
                </c:pt>
                <c:pt idx="13">
                  <c:v>1.3405833266764799E-3</c:v>
                </c:pt>
                <c:pt idx="14">
                  <c:v>1.30453107001555E-3</c:v>
                </c:pt>
                <c:pt idx="15">
                  <c:v>6.5257976431033597E-4</c:v>
                </c:pt>
                <c:pt idx="16">
                  <c:v>1.40290725640098E-3</c:v>
                </c:pt>
                <c:pt idx="17">
                  <c:v>2.35910121062629E-3</c:v>
                </c:pt>
                <c:pt idx="18">
                  <c:v>1.2717701371988801E-3</c:v>
                </c:pt>
                <c:pt idx="19">
                  <c:v>9.5594780607628999E-4</c:v>
                </c:pt>
                <c:pt idx="20">
                  <c:v>1.20271284933507E-3</c:v>
                </c:pt>
                <c:pt idx="21">
                  <c:v>1.37462582530119E-3</c:v>
                </c:pt>
                <c:pt idx="22">
                  <c:v>9.4735341604875497E-4</c:v>
                </c:pt>
                <c:pt idx="23">
                  <c:v>1.32968309125159E-3</c:v>
                </c:pt>
                <c:pt idx="24">
                  <c:v>1.92327950803187E-3</c:v>
                </c:pt>
                <c:pt idx="25">
                  <c:v>1.1959293936408099E-3</c:v>
                </c:pt>
                <c:pt idx="26">
                  <c:v>1.4731731110504301E-3</c:v>
                </c:pt>
                <c:pt idx="27">
                  <c:v>7.75408849707236E-4</c:v>
                </c:pt>
                <c:pt idx="28">
                  <c:v>1.08568896240617E-3</c:v>
                </c:pt>
                <c:pt idx="29">
                  <c:v>1.9411264240409101E-3</c:v>
                </c:pt>
                <c:pt idx="30">
                  <c:v>2.0985435270935598E-3</c:v>
                </c:pt>
                <c:pt idx="31">
                  <c:v>1.94560247495775E-3</c:v>
                </c:pt>
                <c:pt idx="32">
                  <c:v>1.91548274715099E-3</c:v>
                </c:pt>
                <c:pt idx="33">
                  <c:v>1.97834489690616E-3</c:v>
                </c:pt>
                <c:pt idx="34">
                  <c:v>1.5672179266860899E-3</c:v>
                </c:pt>
                <c:pt idx="35">
                  <c:v>1.76865702143497E-3</c:v>
                </c:pt>
                <c:pt idx="36">
                  <c:v>1.3121418652923299E-3</c:v>
                </c:pt>
                <c:pt idx="37">
                  <c:v>1.7816484942801301E-3</c:v>
                </c:pt>
                <c:pt idx="38">
                  <c:v>1.3825549358464199E-3</c:v>
                </c:pt>
                <c:pt idx="39">
                  <c:v>1.5804769021184801E-3</c:v>
                </c:pt>
                <c:pt idx="40">
                  <c:v>1.18846435909165E-3</c:v>
                </c:pt>
                <c:pt idx="41">
                  <c:v>1.73902493873915E-3</c:v>
                </c:pt>
                <c:pt idx="42">
                  <c:v>1.2084462981188601E-3</c:v>
                </c:pt>
                <c:pt idx="43">
                  <c:v>8.1497286158024602E-4</c:v>
                </c:pt>
                <c:pt idx="44">
                  <c:v>4.8854431262698196E-4</c:v>
                </c:pt>
                <c:pt idx="45">
                  <c:v>9.8771308201055794E-4</c:v>
                </c:pt>
                <c:pt idx="46">
                  <c:v>6.6390001727201502E-4</c:v>
                </c:pt>
                <c:pt idx="47">
                  <c:v>1.10852493379059E-3</c:v>
                </c:pt>
                <c:pt idx="48">
                  <c:v>1.45845374326872E-3</c:v>
                </c:pt>
                <c:pt idx="49">
                  <c:v>9.1172746310915105E-4</c:v>
                </c:pt>
                <c:pt idx="50">
                  <c:v>1.0240643478095801E-3</c:v>
                </c:pt>
                <c:pt idx="51">
                  <c:v>1.23295109222797E-3</c:v>
                </c:pt>
                <c:pt idx="52">
                  <c:v>7.0461506916290795E-4</c:v>
                </c:pt>
                <c:pt idx="53">
                  <c:v>1.21280419788865E-3</c:v>
                </c:pt>
                <c:pt idx="54">
                  <c:v>1.40700327103278E-3</c:v>
                </c:pt>
                <c:pt idx="55">
                  <c:v>2.52333080683144E-3</c:v>
                </c:pt>
                <c:pt idx="56">
                  <c:v>3.1802471296746302E-3</c:v>
                </c:pt>
                <c:pt idx="57">
                  <c:v>2.2453429187701901E-3</c:v>
                </c:pt>
                <c:pt idx="58">
                  <c:v>3.5989039749391499E-3</c:v>
                </c:pt>
                <c:pt idx="59">
                  <c:v>9.3975086142654395E-3</c:v>
                </c:pt>
                <c:pt idx="60">
                  <c:v>5.1126953480213899E-2</c:v>
                </c:pt>
                <c:pt idx="61">
                  <c:v>5.1155251671276401E-2</c:v>
                </c:pt>
                <c:pt idx="62">
                  <c:v>6.9969355843641404E-2</c:v>
                </c:pt>
                <c:pt idx="63">
                  <c:v>0.127994748730582</c:v>
                </c:pt>
                <c:pt idx="64">
                  <c:v>5.15296213292461E-2</c:v>
                </c:pt>
                <c:pt idx="65">
                  <c:v>1.74814382125595E-2</c:v>
                </c:pt>
                <c:pt idx="66">
                  <c:v>4.0526082764358401E-2</c:v>
                </c:pt>
                <c:pt idx="67">
                  <c:v>2.7833474634514899E-2</c:v>
                </c:pt>
                <c:pt idx="68">
                  <c:v>1.3441263753001099E-2</c:v>
                </c:pt>
                <c:pt idx="69">
                  <c:v>2.04912797109153E-2</c:v>
                </c:pt>
                <c:pt idx="70">
                  <c:v>7.2952093961137898E-3</c:v>
                </c:pt>
                <c:pt idx="71">
                  <c:v>8.0904676929714394E-3</c:v>
                </c:pt>
                <c:pt idx="72">
                  <c:v>6.1034368231289602E-3</c:v>
                </c:pt>
                <c:pt idx="73">
                  <c:v>6.5689633562032801E-3</c:v>
                </c:pt>
                <c:pt idx="74">
                  <c:v>4.43015016060794E-3</c:v>
                </c:pt>
                <c:pt idx="75">
                  <c:v>5.4566557732256904E-3</c:v>
                </c:pt>
                <c:pt idx="76">
                  <c:v>4.1346954071466904E-3</c:v>
                </c:pt>
                <c:pt idx="77">
                  <c:v>3.5512816224259002E-3</c:v>
                </c:pt>
                <c:pt idx="78">
                  <c:v>4.4387661618113397E-3</c:v>
                </c:pt>
                <c:pt idx="79">
                  <c:v>2.59318995528657E-3</c:v>
                </c:pt>
                <c:pt idx="80">
                  <c:v>3.2010039168246401E-3</c:v>
                </c:pt>
                <c:pt idx="81">
                  <c:v>3.5143689780461102E-3</c:v>
                </c:pt>
                <c:pt idx="82">
                  <c:v>5.54491524795839E-3</c:v>
                </c:pt>
                <c:pt idx="83">
                  <c:v>5.2081885547395701E-3</c:v>
                </c:pt>
                <c:pt idx="84">
                  <c:v>4.3408846459082303E-3</c:v>
                </c:pt>
                <c:pt idx="85">
                  <c:v>4.7268226914240199E-3</c:v>
                </c:pt>
                <c:pt idx="86">
                  <c:v>2.8385898787050699E-3</c:v>
                </c:pt>
                <c:pt idx="87">
                  <c:v>2.95059526448026E-3</c:v>
                </c:pt>
                <c:pt idx="88">
                  <c:v>2.3323606199762499E-3</c:v>
                </c:pt>
                <c:pt idx="89">
                  <c:v>3.6387509770538298E-3</c:v>
                </c:pt>
                <c:pt idx="90">
                  <c:v>2.0941843985169601E-3</c:v>
                </c:pt>
                <c:pt idx="91">
                  <c:v>2.7895183931472699E-3</c:v>
                </c:pt>
                <c:pt idx="92">
                  <c:v>1.92595792301302E-3</c:v>
                </c:pt>
                <c:pt idx="93">
                  <c:v>2.3061736106669301E-3</c:v>
                </c:pt>
                <c:pt idx="94">
                  <c:v>1.8193268975525399E-3</c:v>
                </c:pt>
                <c:pt idx="95">
                  <c:v>2.0653488394915399E-3</c:v>
                </c:pt>
                <c:pt idx="96">
                  <c:v>2.4114093877089702E-3</c:v>
                </c:pt>
                <c:pt idx="97">
                  <c:v>1.8880443640639101E-3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42-460D-A573-0AB05F1C6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8973904"/>
        <c:axId val="1768973424"/>
      </c:scatterChart>
      <c:valAx>
        <c:axId val="88957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68335"/>
        <c:crosses val="autoZero"/>
        <c:crossBetween val="midCat"/>
      </c:valAx>
      <c:valAx>
        <c:axId val="8895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70255"/>
        <c:crosses val="autoZero"/>
        <c:crossBetween val="midCat"/>
      </c:valAx>
      <c:valAx>
        <c:axId val="17689734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973904"/>
        <c:crosses val="max"/>
        <c:crossBetween val="midCat"/>
      </c:valAx>
      <c:valAx>
        <c:axId val="1768973904"/>
        <c:scaling>
          <c:orientation val="minMax"/>
        </c:scaling>
        <c:delete val="0"/>
        <c:axPos val="t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97342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</a:t>
            </a:r>
            <a:r>
              <a:rPr lang="en-US" baseline="0"/>
              <a:t>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storm4_results!$E$35:$E$132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storm4_results!$G$35:$G$132</c:f>
              <c:numCache>
                <c:formatCode>General</c:formatCode>
                <c:ptCount val="98"/>
                <c:pt idx="0">
                  <c:v>7.3600304960806304E-4</c:v>
                </c:pt>
                <c:pt idx="1">
                  <c:v>9.5103418014815401E-4</c:v>
                </c:pt>
                <c:pt idx="2">
                  <c:v>1.13359005470558E-3</c:v>
                </c:pt>
                <c:pt idx="3">
                  <c:v>6.2945954069989303E-4</c:v>
                </c:pt>
                <c:pt idx="4">
                  <c:v>1.35930464394967E-3</c:v>
                </c:pt>
                <c:pt idx="5">
                  <c:v>1.1653322840575299E-3</c:v>
                </c:pt>
                <c:pt idx="6">
                  <c:v>1.31518978969431E-3</c:v>
                </c:pt>
                <c:pt idx="7">
                  <c:v>7.7167569866091904E-4</c:v>
                </c:pt>
                <c:pt idx="8">
                  <c:v>1.2655256869825301E-3</c:v>
                </c:pt>
                <c:pt idx="9">
                  <c:v>7.5450517690160495E-4</c:v>
                </c:pt>
                <c:pt idx="10">
                  <c:v>8.8561835215654504E-4</c:v>
                </c:pt>
                <c:pt idx="11">
                  <c:v>9.3624558264671998E-4</c:v>
                </c:pt>
                <c:pt idx="12">
                  <c:v>8.6844254366725399E-4</c:v>
                </c:pt>
                <c:pt idx="13">
                  <c:v>1.08461849910597E-3</c:v>
                </c:pt>
                <c:pt idx="14">
                  <c:v>8.9406911317299999E-4</c:v>
                </c:pt>
                <c:pt idx="15">
                  <c:v>5.1394753314708795E-4</c:v>
                </c:pt>
                <c:pt idx="16">
                  <c:v>9.0690535927315805E-4</c:v>
                </c:pt>
                <c:pt idx="17">
                  <c:v>1.4792991196745601E-3</c:v>
                </c:pt>
                <c:pt idx="18">
                  <c:v>8.9525582545015297E-4</c:v>
                </c:pt>
                <c:pt idx="19">
                  <c:v>7.4386903168509701E-4</c:v>
                </c:pt>
                <c:pt idx="20">
                  <c:v>9.3661335934518597E-4</c:v>
                </c:pt>
                <c:pt idx="21">
                  <c:v>9.5643879170264701E-4</c:v>
                </c:pt>
                <c:pt idx="22">
                  <c:v>7.3986003786724499E-4</c:v>
                </c:pt>
                <c:pt idx="23">
                  <c:v>8.5794539264763602E-4</c:v>
                </c:pt>
                <c:pt idx="24">
                  <c:v>1.0691063624109899E-3</c:v>
                </c:pt>
                <c:pt idx="25">
                  <c:v>7.5430355599237801E-4</c:v>
                </c:pt>
                <c:pt idx="26">
                  <c:v>1.01679379811555E-3</c:v>
                </c:pt>
                <c:pt idx="27">
                  <c:v>5.7243221217719801E-4</c:v>
                </c:pt>
                <c:pt idx="28">
                  <c:v>7.7757113933421204E-4</c:v>
                </c:pt>
                <c:pt idx="29">
                  <c:v>1.24837606034108E-3</c:v>
                </c:pt>
                <c:pt idx="30">
                  <c:v>1.4272009948328201E-3</c:v>
                </c:pt>
                <c:pt idx="31">
                  <c:v>1.24424880991395E-3</c:v>
                </c:pt>
                <c:pt idx="32">
                  <c:v>1.4768009246076399E-3</c:v>
                </c:pt>
                <c:pt idx="33">
                  <c:v>1.45840536901007E-3</c:v>
                </c:pt>
                <c:pt idx="34">
                  <c:v>1.26019276667647E-3</c:v>
                </c:pt>
                <c:pt idx="35">
                  <c:v>1.19101529574699E-3</c:v>
                </c:pt>
                <c:pt idx="36">
                  <c:v>9.6959961848032297E-4</c:v>
                </c:pt>
                <c:pt idx="37">
                  <c:v>9.9705433461979502E-4</c:v>
                </c:pt>
                <c:pt idx="38">
                  <c:v>1.0306427639405499E-3</c:v>
                </c:pt>
                <c:pt idx="39">
                  <c:v>1.2310888914084401E-3</c:v>
                </c:pt>
                <c:pt idx="40">
                  <c:v>8.6679345931124304E-4</c:v>
                </c:pt>
                <c:pt idx="41">
                  <c:v>9.5788196047449697E-4</c:v>
                </c:pt>
                <c:pt idx="42">
                  <c:v>8.4956282009276995E-4</c:v>
                </c:pt>
                <c:pt idx="43">
                  <c:v>6.2417207323309297E-4</c:v>
                </c:pt>
                <c:pt idx="44">
                  <c:v>3.8587361653485302E-4</c:v>
                </c:pt>
                <c:pt idx="45">
                  <c:v>7.3342923278205097E-4</c:v>
                </c:pt>
                <c:pt idx="46">
                  <c:v>5.2582057884493897E-4</c:v>
                </c:pt>
                <c:pt idx="47">
                  <c:v>6.9692375839744598E-4</c:v>
                </c:pt>
                <c:pt idx="48">
                  <c:v>8.7281789365759705E-4</c:v>
                </c:pt>
                <c:pt idx="49">
                  <c:v>7.2078452876079397E-4</c:v>
                </c:pt>
                <c:pt idx="50">
                  <c:v>8.0678601968785398E-4</c:v>
                </c:pt>
                <c:pt idx="51">
                  <c:v>9.7384368486262501E-4</c:v>
                </c:pt>
                <c:pt idx="52">
                  <c:v>4.6590195669720899E-4</c:v>
                </c:pt>
                <c:pt idx="53">
                  <c:v>7.4906684564929901E-4</c:v>
                </c:pt>
                <c:pt idx="54">
                  <c:v>1.04756547825112E-3</c:v>
                </c:pt>
                <c:pt idx="55">
                  <c:v>1.8400688632692101E-3</c:v>
                </c:pt>
                <c:pt idx="56">
                  <c:v>2.1188024902651799E-3</c:v>
                </c:pt>
                <c:pt idx="57">
                  <c:v>1.7280486861398E-3</c:v>
                </c:pt>
                <c:pt idx="58">
                  <c:v>2.4146559227991599E-3</c:v>
                </c:pt>
                <c:pt idx="59">
                  <c:v>6.95410813505509E-3</c:v>
                </c:pt>
                <c:pt idx="60">
                  <c:v>4.0105363284467697E-2</c:v>
                </c:pt>
                <c:pt idx="61">
                  <c:v>3.9169184180446702E-2</c:v>
                </c:pt>
                <c:pt idx="62">
                  <c:v>5.0759992733236801E-2</c:v>
                </c:pt>
                <c:pt idx="63">
                  <c:v>9.2368097408640507E-2</c:v>
                </c:pt>
                <c:pt idx="64">
                  <c:v>3.5889401291530003E-2</c:v>
                </c:pt>
                <c:pt idx="65">
                  <c:v>1.43763377701847E-2</c:v>
                </c:pt>
                <c:pt idx="66">
                  <c:v>3.2111024436873699E-2</c:v>
                </c:pt>
                <c:pt idx="67">
                  <c:v>2.0941392469977602E-2</c:v>
                </c:pt>
                <c:pt idx="68">
                  <c:v>1.03893781978826E-2</c:v>
                </c:pt>
                <c:pt idx="69">
                  <c:v>1.35103874559596E-2</c:v>
                </c:pt>
                <c:pt idx="70">
                  <c:v>5.1275524015476897E-3</c:v>
                </c:pt>
                <c:pt idx="71">
                  <c:v>5.6305920261630503E-3</c:v>
                </c:pt>
                <c:pt idx="72">
                  <c:v>4.71357130615021E-3</c:v>
                </c:pt>
                <c:pt idx="73">
                  <c:v>4.6062635039487102E-3</c:v>
                </c:pt>
                <c:pt idx="74">
                  <c:v>3.20925693881118E-3</c:v>
                </c:pt>
                <c:pt idx="75">
                  <c:v>3.54636639394204E-3</c:v>
                </c:pt>
                <c:pt idx="76">
                  <c:v>2.8904820099250098E-3</c:v>
                </c:pt>
                <c:pt idx="77">
                  <c:v>2.3943578764659798E-3</c:v>
                </c:pt>
                <c:pt idx="78">
                  <c:v>3.0924059806745701E-3</c:v>
                </c:pt>
                <c:pt idx="79">
                  <c:v>1.9897767452280398E-3</c:v>
                </c:pt>
                <c:pt idx="80">
                  <c:v>2.1723663361438101E-3</c:v>
                </c:pt>
                <c:pt idx="81">
                  <c:v>2.4892254651809401E-3</c:v>
                </c:pt>
                <c:pt idx="82">
                  <c:v>3.27186110807446E-3</c:v>
                </c:pt>
                <c:pt idx="83">
                  <c:v>2.6183476969616599E-3</c:v>
                </c:pt>
                <c:pt idx="84">
                  <c:v>2.8693829582188699E-3</c:v>
                </c:pt>
                <c:pt idx="85">
                  <c:v>3.20718452461961E-3</c:v>
                </c:pt>
                <c:pt idx="86">
                  <c:v>2.0404136610442801E-3</c:v>
                </c:pt>
                <c:pt idx="87">
                  <c:v>1.5939454947586501E-3</c:v>
                </c:pt>
                <c:pt idx="88">
                  <c:v>1.7610329036060999E-3</c:v>
                </c:pt>
                <c:pt idx="89">
                  <c:v>2.4582297365594902E-3</c:v>
                </c:pt>
                <c:pt idx="90">
                  <c:v>1.5074111923254301E-3</c:v>
                </c:pt>
                <c:pt idx="91">
                  <c:v>1.80593571210082E-3</c:v>
                </c:pt>
                <c:pt idx="92">
                  <c:v>1.4691407099493899E-3</c:v>
                </c:pt>
                <c:pt idx="93">
                  <c:v>1.68221909178839E-3</c:v>
                </c:pt>
                <c:pt idx="94">
                  <c:v>1.40393647695969E-3</c:v>
                </c:pt>
                <c:pt idx="95">
                  <c:v>1.65080933783888E-3</c:v>
                </c:pt>
                <c:pt idx="96">
                  <c:v>1.6910333190252201E-3</c:v>
                </c:pt>
                <c:pt idx="97">
                  <c:v>1.4645055796891899E-3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22-467C-B6F9-CF042C5E6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570255"/>
        <c:axId val="889568335"/>
      </c:scatterChart>
      <c:valAx>
        <c:axId val="88957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68335"/>
        <c:crosses val="autoZero"/>
        <c:crossBetween val="midCat"/>
      </c:valAx>
      <c:valAx>
        <c:axId val="8895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7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</a:t>
            </a:r>
            <a:r>
              <a:rPr lang="en-US" baseline="0"/>
              <a:t>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storm4_results!$E$35:$E$132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storm4_results!$H$35:$H$132</c:f>
              <c:numCache>
                <c:formatCode>General</c:formatCode>
                <c:ptCount val="98"/>
                <c:pt idx="0">
                  <c:v>7.4034195166818896E-4</c:v>
                </c:pt>
                <c:pt idx="1">
                  <c:v>9.4417587263526202E-4</c:v>
                </c:pt>
                <c:pt idx="2">
                  <c:v>1.1067883131690001E-3</c:v>
                </c:pt>
                <c:pt idx="3">
                  <c:v>6.3435039077077695E-4</c:v>
                </c:pt>
                <c:pt idx="4">
                  <c:v>1.32871411860024E-3</c:v>
                </c:pt>
                <c:pt idx="5">
                  <c:v>1.1375894373982999E-3</c:v>
                </c:pt>
                <c:pt idx="6">
                  <c:v>1.2859229835108399E-3</c:v>
                </c:pt>
                <c:pt idx="7">
                  <c:v>7.6152596323916604E-4</c:v>
                </c:pt>
                <c:pt idx="8">
                  <c:v>1.2505134828399E-3</c:v>
                </c:pt>
                <c:pt idx="9">
                  <c:v>7.2832419173791897E-4</c:v>
                </c:pt>
                <c:pt idx="10">
                  <c:v>8.6832871628036502E-4</c:v>
                </c:pt>
                <c:pt idx="11">
                  <c:v>9.15146963385361E-4</c:v>
                </c:pt>
                <c:pt idx="12">
                  <c:v>8.6756230740630701E-4</c:v>
                </c:pt>
                <c:pt idx="13">
                  <c:v>1.0812505887969599E-3</c:v>
                </c:pt>
                <c:pt idx="14">
                  <c:v>8.7341436875033299E-4</c:v>
                </c:pt>
                <c:pt idx="15">
                  <c:v>5.0753363927812101E-4</c:v>
                </c:pt>
                <c:pt idx="16">
                  <c:v>8.9255475986658702E-4</c:v>
                </c:pt>
                <c:pt idx="17">
                  <c:v>1.4265926087648399E-3</c:v>
                </c:pt>
                <c:pt idx="18">
                  <c:v>8.7124041749740298E-4</c:v>
                </c:pt>
                <c:pt idx="19">
                  <c:v>7.1580759573603705E-4</c:v>
                </c:pt>
                <c:pt idx="20">
                  <c:v>9.15510942707781E-4</c:v>
                </c:pt>
                <c:pt idx="21">
                  <c:v>9.2394751714199497E-4</c:v>
                </c:pt>
                <c:pt idx="22">
                  <c:v>7.43802842983628E-4</c:v>
                </c:pt>
                <c:pt idx="23">
                  <c:v>8.4639180093770195E-4</c:v>
                </c:pt>
                <c:pt idx="24">
                  <c:v>1.02527351584794E-3</c:v>
                </c:pt>
                <c:pt idx="25">
                  <c:v>7.2383561914939097E-4</c:v>
                </c:pt>
                <c:pt idx="26">
                  <c:v>1.0091721734027E-3</c:v>
                </c:pt>
                <c:pt idx="27">
                  <c:v>5.6658678582129096E-4</c:v>
                </c:pt>
                <c:pt idx="28">
                  <c:v>7.7944703856180496E-4</c:v>
                </c:pt>
                <c:pt idx="29">
                  <c:v>1.2303038956003199E-3</c:v>
                </c:pt>
                <c:pt idx="30">
                  <c:v>1.3781620867280499E-3</c:v>
                </c:pt>
                <c:pt idx="31">
                  <c:v>1.2310093514103001E-3</c:v>
                </c:pt>
                <c:pt idx="32">
                  <c:v>1.47249859604939E-3</c:v>
                </c:pt>
                <c:pt idx="33">
                  <c:v>1.4373991114176501E-3</c:v>
                </c:pt>
                <c:pt idx="34">
                  <c:v>1.24710875656342E-3</c:v>
                </c:pt>
                <c:pt idx="35">
                  <c:v>1.1870840492382399E-3</c:v>
                </c:pt>
                <c:pt idx="36">
                  <c:v>9.3436518492299797E-4</c:v>
                </c:pt>
                <c:pt idx="37">
                  <c:v>9.7474264347093605E-4</c:v>
                </c:pt>
                <c:pt idx="38">
                  <c:v>1.0015523412518199E-3</c:v>
                </c:pt>
                <c:pt idx="39">
                  <c:v>1.22363224947696E-3</c:v>
                </c:pt>
                <c:pt idx="40">
                  <c:v>8.5737485244644399E-4</c:v>
                </c:pt>
                <c:pt idx="41">
                  <c:v>9.4886354420108197E-4</c:v>
                </c:pt>
                <c:pt idx="42">
                  <c:v>8.4336004582262795E-4</c:v>
                </c:pt>
                <c:pt idx="43">
                  <c:v>6.2382656642736201E-4</c:v>
                </c:pt>
                <c:pt idx="44">
                  <c:v>3.8730149804006399E-4</c:v>
                </c:pt>
                <c:pt idx="45">
                  <c:v>7.2445710766011104E-4</c:v>
                </c:pt>
                <c:pt idx="46">
                  <c:v>5.3910548160139397E-4</c:v>
                </c:pt>
                <c:pt idx="47">
                  <c:v>6.8056165779707895E-4</c:v>
                </c:pt>
                <c:pt idx="48">
                  <c:v>8.5619043222041099E-4</c:v>
                </c:pt>
                <c:pt idx="49">
                  <c:v>7.2125866686671204E-4</c:v>
                </c:pt>
                <c:pt idx="50">
                  <c:v>8.1014835352685103E-4</c:v>
                </c:pt>
                <c:pt idx="51">
                  <c:v>9.6633238014964102E-4</c:v>
                </c:pt>
                <c:pt idx="52">
                  <c:v>4.5905551179695902E-4</c:v>
                </c:pt>
                <c:pt idx="53">
                  <c:v>7.3925040365815204E-4</c:v>
                </c:pt>
                <c:pt idx="54">
                  <c:v>1.0261608296745701E-3</c:v>
                </c:pt>
                <c:pt idx="55">
                  <c:v>1.80600431371648E-3</c:v>
                </c:pt>
                <c:pt idx="56">
                  <c:v>2.0562799288755401E-3</c:v>
                </c:pt>
                <c:pt idx="57">
                  <c:v>1.7081150427811899E-3</c:v>
                </c:pt>
                <c:pt idx="58">
                  <c:v>2.36938779553775E-3</c:v>
                </c:pt>
                <c:pt idx="59">
                  <c:v>6.9272401002238998E-3</c:v>
                </c:pt>
                <c:pt idx="60">
                  <c:v>3.9933863516098698E-2</c:v>
                </c:pt>
                <c:pt idx="61">
                  <c:v>3.8923043068295797E-2</c:v>
                </c:pt>
                <c:pt idx="62">
                  <c:v>5.1297619492298399E-2</c:v>
                </c:pt>
                <c:pt idx="63">
                  <c:v>9.2086383830759302E-2</c:v>
                </c:pt>
                <c:pt idx="64">
                  <c:v>3.4855209704532097E-2</c:v>
                </c:pt>
                <c:pt idx="65">
                  <c:v>1.4097374270261099E-2</c:v>
                </c:pt>
                <c:pt idx="66">
                  <c:v>3.1604006390931E-2</c:v>
                </c:pt>
                <c:pt idx="67">
                  <c:v>2.0742395900787199E-2</c:v>
                </c:pt>
                <c:pt idx="68">
                  <c:v>1.01453005811815E-2</c:v>
                </c:pt>
                <c:pt idx="69">
                  <c:v>1.3503113260868799E-2</c:v>
                </c:pt>
                <c:pt idx="70">
                  <c:v>5.0161158941296304E-3</c:v>
                </c:pt>
                <c:pt idx="71">
                  <c:v>5.5266752230142902E-3</c:v>
                </c:pt>
                <c:pt idx="72">
                  <c:v>4.6289590150238097E-3</c:v>
                </c:pt>
                <c:pt idx="73">
                  <c:v>4.5646452464279197E-3</c:v>
                </c:pt>
                <c:pt idx="74">
                  <c:v>3.20613745815672E-3</c:v>
                </c:pt>
                <c:pt idx="75">
                  <c:v>3.4315786560634499E-3</c:v>
                </c:pt>
                <c:pt idx="76">
                  <c:v>2.8074577450384101E-3</c:v>
                </c:pt>
                <c:pt idx="77">
                  <c:v>2.3625879132603599E-3</c:v>
                </c:pt>
                <c:pt idx="78">
                  <c:v>3.06150069128231E-3</c:v>
                </c:pt>
                <c:pt idx="79">
                  <c:v>2.0014050426361701E-3</c:v>
                </c:pt>
                <c:pt idx="80">
                  <c:v>2.0713683532335701E-3</c:v>
                </c:pt>
                <c:pt idx="81">
                  <c:v>2.4663088692795702E-3</c:v>
                </c:pt>
                <c:pt idx="82">
                  <c:v>3.3553468359623999E-3</c:v>
                </c:pt>
                <c:pt idx="83">
                  <c:v>2.5138727052337901E-3</c:v>
                </c:pt>
                <c:pt idx="84">
                  <c:v>2.7649870659638299E-3</c:v>
                </c:pt>
                <c:pt idx="85">
                  <c:v>3.0734599885614698E-3</c:v>
                </c:pt>
                <c:pt idx="86">
                  <c:v>2.0365194938422502E-3</c:v>
                </c:pt>
                <c:pt idx="87">
                  <c:v>1.5543820403303701E-3</c:v>
                </c:pt>
                <c:pt idx="88">
                  <c:v>1.7185776703082199E-3</c:v>
                </c:pt>
                <c:pt idx="89">
                  <c:v>2.40768864277046E-3</c:v>
                </c:pt>
                <c:pt idx="90">
                  <c:v>1.4654375899724899E-3</c:v>
                </c:pt>
                <c:pt idx="91">
                  <c:v>1.7947132984829099E-3</c:v>
                </c:pt>
                <c:pt idx="92">
                  <c:v>1.4422991890267001E-3</c:v>
                </c:pt>
                <c:pt idx="93">
                  <c:v>1.67371248498868E-3</c:v>
                </c:pt>
                <c:pt idx="94">
                  <c:v>1.3855852439384399E-3</c:v>
                </c:pt>
                <c:pt idx="95">
                  <c:v>1.6617124783933901E-3</c:v>
                </c:pt>
                <c:pt idx="96">
                  <c:v>1.6612039902175601E-3</c:v>
                </c:pt>
                <c:pt idx="97">
                  <c:v>1.46512976664465E-3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00-4040-B2D7-414A61056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570255"/>
        <c:axId val="889568335"/>
      </c:scatterChart>
      <c:valAx>
        <c:axId val="88957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68335"/>
        <c:crosses val="autoZero"/>
        <c:crossBetween val="midCat"/>
      </c:valAx>
      <c:valAx>
        <c:axId val="8895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7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33</xdr:row>
      <xdr:rowOff>28575</xdr:rowOff>
    </xdr:from>
    <xdr:to>
      <xdr:col>18</xdr:col>
      <xdr:colOff>295275</xdr:colOff>
      <xdr:row>45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55A627-B9B7-4473-B5D1-CC4AECFA15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285750</xdr:colOff>
      <xdr:row>45</xdr:row>
      <xdr:rowOff>76200</xdr:rowOff>
    </xdr:from>
    <xdr:to>
      <xdr:col>18</xdr:col>
      <xdr:colOff>295275</xdr:colOff>
      <xdr:row>57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25A16D-1CDF-4241-AA9A-A4270DF657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247650</xdr:colOff>
      <xdr:row>57</xdr:row>
      <xdr:rowOff>114300</xdr:rowOff>
    </xdr:from>
    <xdr:to>
      <xdr:col>18</xdr:col>
      <xdr:colOff>257175</xdr:colOff>
      <xdr:row>69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2B130B5-7122-4FE4-B0DF-20226DC66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5CE4-1A66-4FD9-8B46-3E92D83C8056}">
  <dimension ref="A1:CU132"/>
  <sheetViews>
    <sheetView tabSelected="1" topLeftCell="BB1" workbookViewId="0">
      <selection activeCell="BM31" sqref="BM31"/>
    </sheetView>
  </sheetViews>
  <sheetFormatPr defaultRowHeight="15" x14ac:dyDescent="0.25"/>
  <cols>
    <col min="1" max="1" width="15.28515625" customWidth="1"/>
    <col min="2" max="2" width="16.42578125" customWidth="1"/>
    <col min="3" max="3" width="15" customWidth="1"/>
    <col min="5" max="5" width="15.140625" customWidth="1"/>
    <col min="56" max="56" width="10.85546875" customWidth="1"/>
    <col min="65" max="65" width="15.140625" customWidth="1"/>
    <col min="66" max="66" width="14.5703125" customWidth="1"/>
  </cols>
  <sheetData>
    <row r="1" spans="1:99" x14ac:dyDescent="0.25">
      <c r="B1" s="1">
        <v>45136</v>
      </c>
      <c r="C1" s="1">
        <v>45136.010416666664</v>
      </c>
      <c r="D1" s="1">
        <v>45136.020833333336</v>
      </c>
      <c r="E1" s="1">
        <v>45136.03125</v>
      </c>
      <c r="F1" s="1">
        <v>45136.041666666664</v>
      </c>
      <c r="G1" s="1">
        <v>45136.052083333336</v>
      </c>
      <c r="H1" s="1">
        <v>45136.0625</v>
      </c>
      <c r="I1" s="1">
        <v>45136.072916666664</v>
      </c>
      <c r="J1" s="1">
        <v>45136.083333333336</v>
      </c>
      <c r="K1" s="1">
        <v>45136.09375</v>
      </c>
      <c r="L1" s="1">
        <v>45136.104166666664</v>
      </c>
      <c r="M1" s="1">
        <v>45136.114583333336</v>
      </c>
      <c r="N1" s="1">
        <v>45136.125</v>
      </c>
      <c r="O1" s="1">
        <v>45136.135416666664</v>
      </c>
      <c r="P1" s="1">
        <v>45136.145833333336</v>
      </c>
      <c r="Q1" s="1">
        <v>45136.15625</v>
      </c>
      <c r="R1" s="1">
        <v>45136.166666666664</v>
      </c>
      <c r="S1" s="1">
        <v>45136.177083333336</v>
      </c>
      <c r="T1" s="1">
        <v>45136.1875</v>
      </c>
      <c r="U1" s="1">
        <v>45136.197916666664</v>
      </c>
      <c r="V1" s="1">
        <v>45136.208333333336</v>
      </c>
      <c r="W1" s="1">
        <v>45136.21875</v>
      </c>
      <c r="X1" s="1">
        <v>45136.229166666664</v>
      </c>
      <c r="Y1" s="1">
        <v>45136.239583333336</v>
      </c>
      <c r="Z1" s="1">
        <v>45136.25</v>
      </c>
      <c r="AA1" s="1">
        <v>45136.260416666664</v>
      </c>
      <c r="AB1" s="1">
        <v>45136.270833333336</v>
      </c>
      <c r="AC1" s="1">
        <v>45136.28125</v>
      </c>
      <c r="AD1" s="1">
        <v>45136.291666666664</v>
      </c>
      <c r="AE1" s="1">
        <v>45136.302083333336</v>
      </c>
      <c r="AF1" s="1">
        <v>45136.3125</v>
      </c>
      <c r="AG1" s="1">
        <v>45136.322916666664</v>
      </c>
      <c r="AH1" s="1">
        <v>45136.333333333336</v>
      </c>
      <c r="AI1" s="1">
        <v>45136.34375</v>
      </c>
      <c r="AJ1" s="1">
        <v>45136.354166666664</v>
      </c>
      <c r="AK1" s="1">
        <v>45136.364583333336</v>
      </c>
      <c r="AL1" s="1">
        <v>45136.375</v>
      </c>
      <c r="AM1" s="1">
        <v>45136.385416666664</v>
      </c>
      <c r="AN1" s="1">
        <v>45136.395833333336</v>
      </c>
      <c r="AO1" s="1">
        <v>45136.40625</v>
      </c>
      <c r="AP1" s="1">
        <v>45136.416666666664</v>
      </c>
      <c r="AQ1" s="1">
        <v>45136.427083333336</v>
      </c>
      <c r="AR1" s="1">
        <v>45136.4375</v>
      </c>
      <c r="AS1" s="1">
        <v>45136.447916666664</v>
      </c>
      <c r="AT1" s="1">
        <v>45136.458333333336</v>
      </c>
      <c r="AU1" s="1">
        <v>45136.46875</v>
      </c>
      <c r="AV1" s="1">
        <v>45136.479166666664</v>
      </c>
      <c r="AW1" s="1">
        <v>45136.489583333336</v>
      </c>
      <c r="AX1" s="1">
        <v>45136.5</v>
      </c>
      <c r="AY1" s="1">
        <v>45136.510416666664</v>
      </c>
      <c r="AZ1" s="1">
        <v>45136.520833333336</v>
      </c>
      <c r="BA1" s="1">
        <v>45136.53125</v>
      </c>
      <c r="BB1" s="1">
        <v>45136.541666666664</v>
      </c>
      <c r="BC1" s="1">
        <v>45136.552083333336</v>
      </c>
      <c r="BD1" s="1">
        <v>45136.5625</v>
      </c>
      <c r="BE1" s="1">
        <v>45136.572916666664</v>
      </c>
      <c r="BF1" s="1">
        <v>45136.583333333336</v>
      </c>
      <c r="BG1" s="1">
        <v>45136.59375</v>
      </c>
      <c r="BH1" s="1">
        <v>45136.604166666664</v>
      </c>
      <c r="BI1" s="1">
        <v>45136.614583333336</v>
      </c>
      <c r="BJ1" s="1">
        <v>45136.625</v>
      </c>
      <c r="BK1" s="1">
        <v>45136.635416666664</v>
      </c>
      <c r="BL1" s="1">
        <v>45136.645833333336</v>
      </c>
      <c r="BM1" s="5">
        <v>45136.65625</v>
      </c>
      <c r="BN1" s="1">
        <v>45136.666666666664</v>
      </c>
      <c r="BO1" s="1">
        <v>45136.677083333336</v>
      </c>
      <c r="BP1" s="1">
        <v>45136.6875</v>
      </c>
      <c r="BQ1" s="1">
        <v>45136.688888888886</v>
      </c>
      <c r="BR1" s="1">
        <v>45136.697916666664</v>
      </c>
      <c r="BS1" s="1">
        <v>45136.708333333336</v>
      </c>
      <c r="BT1" s="1">
        <v>45136.71875</v>
      </c>
      <c r="BU1" s="1">
        <v>45136.729166666664</v>
      </c>
      <c r="BV1" s="1">
        <v>45136.739583333336</v>
      </c>
      <c r="BW1" s="1">
        <v>45136.75</v>
      </c>
      <c r="BX1" s="1">
        <v>45136.760416666664</v>
      </c>
      <c r="BY1" s="1">
        <v>45136.770833333336</v>
      </c>
      <c r="BZ1" s="1">
        <v>45136.78125</v>
      </c>
      <c r="CA1" s="1">
        <v>45136.791666666664</v>
      </c>
      <c r="CB1" s="1">
        <v>45136.802083333336</v>
      </c>
      <c r="CC1" s="1">
        <v>45136.8125</v>
      </c>
      <c r="CD1" s="1">
        <v>45136.822916666664</v>
      </c>
      <c r="CE1" s="1">
        <v>45136.833333333336</v>
      </c>
      <c r="CF1" s="1">
        <v>45136.84375</v>
      </c>
      <c r="CG1" s="1">
        <v>45136.854166666664</v>
      </c>
      <c r="CH1" s="1">
        <v>45136.864583333336</v>
      </c>
      <c r="CI1" s="1">
        <v>45136.875</v>
      </c>
      <c r="CJ1" s="1">
        <v>45136.885416666664</v>
      </c>
      <c r="CK1" s="1">
        <v>45136.895833333336</v>
      </c>
      <c r="CL1" s="1">
        <v>45136.90625</v>
      </c>
      <c r="CM1" s="1">
        <v>45136.916666666664</v>
      </c>
      <c r="CN1" s="1">
        <v>45136.927083333336</v>
      </c>
      <c r="CO1" s="1">
        <v>45136.9375</v>
      </c>
      <c r="CP1" s="1">
        <v>45136.947916666664</v>
      </c>
      <c r="CQ1" s="1">
        <v>45136.958333333336</v>
      </c>
      <c r="CR1" s="1">
        <v>45136.96875</v>
      </c>
      <c r="CS1" s="1">
        <v>45136.979166666664</v>
      </c>
      <c r="CT1" s="1">
        <v>45136.989583333336</v>
      </c>
      <c r="CU1" s="1">
        <v>45137</v>
      </c>
    </row>
    <row r="2" spans="1:99" x14ac:dyDescent="0.25">
      <c r="A2" t="s">
        <v>0</v>
      </c>
      <c r="B2">
        <v>9.1130189108737597E-4</v>
      </c>
      <c r="C2">
        <v>1.2047348532207599E-3</v>
      </c>
      <c r="D2">
        <v>1.7256039469829699E-3</v>
      </c>
      <c r="E2">
        <v>7.9902808633366702E-4</v>
      </c>
      <c r="F2">
        <v>1.9201173516061299E-3</v>
      </c>
      <c r="G2">
        <v>1.93181785623592E-3</v>
      </c>
      <c r="H2">
        <v>1.93191571674608E-3</v>
      </c>
      <c r="I2">
        <v>1.0954692241265699E-3</v>
      </c>
      <c r="J2">
        <v>1.6123172032523499E-3</v>
      </c>
      <c r="K2">
        <v>9.896462033740889E-4</v>
      </c>
      <c r="L2">
        <v>1.1762756350660599E-3</v>
      </c>
      <c r="M2">
        <v>1.3135611917772399E-3</v>
      </c>
      <c r="N2">
        <v>1.0207100646506301E-3</v>
      </c>
      <c r="O2">
        <v>1.3405833266764799E-3</v>
      </c>
      <c r="P2">
        <v>1.30453107001555E-3</v>
      </c>
      <c r="Q2">
        <v>6.5257976431033597E-4</v>
      </c>
      <c r="R2">
        <v>1.40290725640098E-3</v>
      </c>
      <c r="S2">
        <v>2.35910121062629E-3</v>
      </c>
      <c r="T2">
        <v>1.2717701371988801E-3</v>
      </c>
      <c r="U2">
        <v>9.5594780607628999E-4</v>
      </c>
      <c r="V2">
        <v>1.20271284933507E-3</v>
      </c>
      <c r="W2">
        <v>1.37462582530119E-3</v>
      </c>
      <c r="X2">
        <v>9.4735341604875497E-4</v>
      </c>
      <c r="Y2">
        <v>1.32968309125159E-3</v>
      </c>
      <c r="Z2">
        <v>1.92327950803187E-3</v>
      </c>
      <c r="AA2">
        <v>1.1959293936408099E-3</v>
      </c>
      <c r="AB2">
        <v>1.4731731110504301E-3</v>
      </c>
      <c r="AC2">
        <v>7.75408849707236E-4</v>
      </c>
      <c r="AD2">
        <v>1.08568896240617E-3</v>
      </c>
      <c r="AE2">
        <v>1.9411264240409101E-3</v>
      </c>
      <c r="AF2">
        <v>2.0985435270935598E-3</v>
      </c>
      <c r="AG2">
        <v>1.94560247495775E-3</v>
      </c>
      <c r="AH2">
        <v>1.91548274715099E-3</v>
      </c>
      <c r="AI2">
        <v>1.97834489690616E-3</v>
      </c>
      <c r="AJ2">
        <v>1.5672179266860899E-3</v>
      </c>
      <c r="AK2">
        <v>1.76865702143497E-3</v>
      </c>
      <c r="AL2">
        <v>1.3121418652923299E-3</v>
      </c>
      <c r="AM2">
        <v>1.7816484942801301E-3</v>
      </c>
      <c r="AN2">
        <v>1.3825549358464199E-3</v>
      </c>
      <c r="AO2">
        <v>1.5804769021184801E-3</v>
      </c>
      <c r="AP2">
        <v>1.18846435909165E-3</v>
      </c>
      <c r="AQ2">
        <v>1.73902493873915E-3</v>
      </c>
      <c r="AR2">
        <v>1.2084462981188601E-3</v>
      </c>
      <c r="AS2">
        <v>8.1497286158024602E-4</v>
      </c>
      <c r="AT2">
        <v>4.8854431262698196E-4</v>
      </c>
      <c r="AU2">
        <v>9.8771308201055794E-4</v>
      </c>
      <c r="AV2">
        <v>6.6390001727201502E-4</v>
      </c>
      <c r="AW2">
        <v>1.10852493379059E-3</v>
      </c>
      <c r="AX2">
        <v>1.45845374326872E-3</v>
      </c>
      <c r="AY2">
        <v>9.1172746310915105E-4</v>
      </c>
      <c r="AZ2">
        <v>1.0240643478095801E-3</v>
      </c>
      <c r="BA2">
        <v>1.23295109222797E-3</v>
      </c>
      <c r="BB2">
        <v>7.0461506916290795E-4</v>
      </c>
      <c r="BC2">
        <v>1.21280419788865E-3</v>
      </c>
      <c r="BD2">
        <v>1.40700327103278E-3</v>
      </c>
      <c r="BE2">
        <v>2.52333080683144E-3</v>
      </c>
      <c r="BF2">
        <v>3.1802471296746302E-3</v>
      </c>
      <c r="BG2">
        <v>2.2453429187701901E-3</v>
      </c>
      <c r="BH2">
        <v>3.5989039749391499E-3</v>
      </c>
      <c r="BI2">
        <v>9.3975086142654395E-3</v>
      </c>
      <c r="BJ2">
        <v>5.1126953480213899E-2</v>
      </c>
      <c r="BK2">
        <v>5.1155251671276401E-2</v>
      </c>
      <c r="BL2">
        <v>6.9969355843641404E-2</v>
      </c>
      <c r="BM2" s="6">
        <v>0.127994748730582</v>
      </c>
      <c r="BN2">
        <v>5.15296213292461E-2</v>
      </c>
      <c r="BO2">
        <v>1.74814382125595E-2</v>
      </c>
      <c r="BP2">
        <v>4.0526082764358401E-2</v>
      </c>
      <c r="BQ2">
        <v>2.7833474634514899E-2</v>
      </c>
      <c r="BR2">
        <v>1.3441263753001099E-2</v>
      </c>
      <c r="BS2">
        <v>2.04912797109153E-2</v>
      </c>
      <c r="BT2">
        <v>7.2952093961137898E-3</v>
      </c>
      <c r="BU2">
        <v>8.0904676929714394E-3</v>
      </c>
      <c r="BV2">
        <v>6.1034368231289602E-3</v>
      </c>
      <c r="BW2">
        <v>6.5689633562032801E-3</v>
      </c>
      <c r="BX2">
        <v>4.43015016060794E-3</v>
      </c>
      <c r="BY2">
        <v>5.4566557732256904E-3</v>
      </c>
      <c r="BZ2">
        <v>4.1346954071466904E-3</v>
      </c>
      <c r="CA2">
        <v>3.5512816224259002E-3</v>
      </c>
      <c r="CB2">
        <v>4.4387661618113397E-3</v>
      </c>
      <c r="CC2">
        <v>2.59318995528657E-3</v>
      </c>
      <c r="CD2">
        <v>3.2010039168246401E-3</v>
      </c>
      <c r="CE2">
        <v>3.5143689780461102E-3</v>
      </c>
      <c r="CF2">
        <v>5.54491524795839E-3</v>
      </c>
      <c r="CG2">
        <v>5.2081885547395701E-3</v>
      </c>
      <c r="CH2">
        <v>4.3408846459082303E-3</v>
      </c>
      <c r="CI2">
        <v>4.7268226914240199E-3</v>
      </c>
      <c r="CJ2">
        <v>2.8385898787050699E-3</v>
      </c>
      <c r="CK2">
        <v>2.95059526448026E-3</v>
      </c>
      <c r="CL2">
        <v>2.3323606199762499E-3</v>
      </c>
      <c r="CM2">
        <v>3.6387509770538298E-3</v>
      </c>
      <c r="CN2">
        <v>2.0941843985169601E-3</v>
      </c>
      <c r="CO2">
        <v>2.7895183931472699E-3</v>
      </c>
      <c r="CP2">
        <v>1.92595792301302E-3</v>
      </c>
      <c r="CQ2">
        <v>2.3061736106669301E-3</v>
      </c>
      <c r="CR2">
        <v>1.8193268975525399E-3</v>
      </c>
      <c r="CS2">
        <v>2.0653488394915399E-3</v>
      </c>
      <c r="CT2">
        <v>2.4114093877089702E-3</v>
      </c>
      <c r="CU2">
        <v>1.8880443640639101E-3</v>
      </c>
    </row>
    <row r="3" spans="1:99" x14ac:dyDescent="0.25">
      <c r="A3" t="s">
        <v>1</v>
      </c>
      <c r="B3">
        <v>7.3600304960806304E-4</v>
      </c>
      <c r="C3">
        <v>9.5103418014815401E-4</v>
      </c>
      <c r="D3">
        <v>1.13359005470558E-3</v>
      </c>
      <c r="E3">
        <v>6.2945954069989303E-4</v>
      </c>
      <c r="F3">
        <v>1.35930464394967E-3</v>
      </c>
      <c r="G3">
        <v>1.1653322840575299E-3</v>
      </c>
      <c r="H3">
        <v>1.31518978969431E-3</v>
      </c>
      <c r="I3">
        <v>7.7167569866091904E-4</v>
      </c>
      <c r="J3">
        <v>1.2655256869825301E-3</v>
      </c>
      <c r="K3">
        <v>7.5450517690160495E-4</v>
      </c>
      <c r="L3">
        <v>8.8561835215654504E-4</v>
      </c>
      <c r="M3">
        <v>9.3624558264671998E-4</v>
      </c>
      <c r="N3">
        <v>8.6844254366725399E-4</v>
      </c>
      <c r="O3">
        <v>1.08461849910597E-3</v>
      </c>
      <c r="P3">
        <v>8.9406911317299999E-4</v>
      </c>
      <c r="Q3">
        <v>5.1394753314708795E-4</v>
      </c>
      <c r="R3">
        <v>9.0690535927315805E-4</v>
      </c>
      <c r="S3">
        <v>1.4792991196745601E-3</v>
      </c>
      <c r="T3">
        <v>8.9525582545015297E-4</v>
      </c>
      <c r="U3">
        <v>7.4386903168509701E-4</v>
      </c>
      <c r="V3">
        <v>9.3661335934518597E-4</v>
      </c>
      <c r="W3">
        <v>9.5643879170264701E-4</v>
      </c>
      <c r="X3">
        <v>7.3986003786724499E-4</v>
      </c>
      <c r="Y3">
        <v>8.5794539264763602E-4</v>
      </c>
      <c r="Z3">
        <v>1.0691063624109899E-3</v>
      </c>
      <c r="AA3">
        <v>7.5430355599237801E-4</v>
      </c>
      <c r="AB3">
        <v>1.01679379811555E-3</v>
      </c>
      <c r="AC3">
        <v>5.7243221217719801E-4</v>
      </c>
      <c r="AD3">
        <v>7.7757113933421204E-4</v>
      </c>
      <c r="AE3">
        <v>1.24837606034108E-3</v>
      </c>
      <c r="AF3">
        <v>1.4272009948328201E-3</v>
      </c>
      <c r="AG3">
        <v>1.24424880991395E-3</v>
      </c>
      <c r="AH3">
        <v>1.4768009246076399E-3</v>
      </c>
      <c r="AI3">
        <v>1.45840536901007E-3</v>
      </c>
      <c r="AJ3">
        <v>1.26019276667647E-3</v>
      </c>
      <c r="AK3">
        <v>1.19101529574699E-3</v>
      </c>
      <c r="AL3">
        <v>9.6959961848032297E-4</v>
      </c>
      <c r="AM3">
        <v>9.9705433461979502E-4</v>
      </c>
      <c r="AN3">
        <v>1.0306427639405499E-3</v>
      </c>
      <c r="AO3">
        <v>1.2310888914084401E-3</v>
      </c>
      <c r="AP3">
        <v>8.6679345931124304E-4</v>
      </c>
      <c r="AQ3">
        <v>9.5788196047449697E-4</v>
      </c>
      <c r="AR3">
        <v>8.4956282009276995E-4</v>
      </c>
      <c r="AS3">
        <v>6.2417207323309297E-4</v>
      </c>
      <c r="AT3">
        <v>3.8587361653485302E-4</v>
      </c>
      <c r="AU3">
        <v>7.3342923278205097E-4</v>
      </c>
      <c r="AV3">
        <v>5.2582057884493897E-4</v>
      </c>
      <c r="AW3">
        <v>6.9692375839744598E-4</v>
      </c>
      <c r="AX3">
        <v>8.7281789365759705E-4</v>
      </c>
      <c r="AY3">
        <v>7.2078452876079397E-4</v>
      </c>
      <c r="AZ3">
        <v>8.0678601968785398E-4</v>
      </c>
      <c r="BA3">
        <v>9.7384368486262501E-4</v>
      </c>
      <c r="BB3">
        <v>4.6590195669720899E-4</v>
      </c>
      <c r="BC3">
        <v>7.4906684564929901E-4</v>
      </c>
      <c r="BD3">
        <v>1.04756547825112E-3</v>
      </c>
      <c r="BE3">
        <v>1.8400688632692101E-3</v>
      </c>
      <c r="BF3">
        <v>2.1188024902651799E-3</v>
      </c>
      <c r="BG3">
        <v>1.7280486861398E-3</v>
      </c>
      <c r="BH3">
        <v>2.4146559227991599E-3</v>
      </c>
      <c r="BI3">
        <v>6.95410813505509E-3</v>
      </c>
      <c r="BJ3">
        <v>4.0105363284467697E-2</v>
      </c>
      <c r="BK3">
        <v>3.9169184180446702E-2</v>
      </c>
      <c r="BL3">
        <v>5.0759992733236801E-2</v>
      </c>
      <c r="BM3" s="6">
        <v>9.2368097408640507E-2</v>
      </c>
      <c r="BN3">
        <v>3.5889401291530003E-2</v>
      </c>
      <c r="BO3">
        <v>1.43763377701847E-2</v>
      </c>
      <c r="BP3">
        <v>3.2111024436873699E-2</v>
      </c>
      <c r="BQ3">
        <v>2.0941392469977602E-2</v>
      </c>
      <c r="BR3">
        <v>1.03893781978826E-2</v>
      </c>
      <c r="BS3">
        <v>1.35103874559596E-2</v>
      </c>
      <c r="BT3">
        <v>5.1275524015476897E-3</v>
      </c>
      <c r="BU3">
        <v>5.6305920261630503E-3</v>
      </c>
      <c r="BV3">
        <v>4.71357130615021E-3</v>
      </c>
      <c r="BW3">
        <v>4.6062635039487102E-3</v>
      </c>
      <c r="BX3">
        <v>3.20925693881118E-3</v>
      </c>
      <c r="BY3">
        <v>3.54636639394204E-3</v>
      </c>
      <c r="BZ3">
        <v>2.8904820099250098E-3</v>
      </c>
      <c r="CA3">
        <v>2.3943578764659798E-3</v>
      </c>
      <c r="CB3">
        <v>3.0924059806745701E-3</v>
      </c>
      <c r="CC3">
        <v>1.9897767452280398E-3</v>
      </c>
      <c r="CD3">
        <v>2.1723663361438101E-3</v>
      </c>
      <c r="CE3">
        <v>2.4892254651809401E-3</v>
      </c>
      <c r="CF3">
        <v>3.27186110807446E-3</v>
      </c>
      <c r="CG3">
        <v>2.6183476969616599E-3</v>
      </c>
      <c r="CH3">
        <v>2.8693829582188699E-3</v>
      </c>
      <c r="CI3">
        <v>3.20718452461961E-3</v>
      </c>
      <c r="CJ3">
        <v>2.0404136610442801E-3</v>
      </c>
      <c r="CK3">
        <v>1.5939454947586501E-3</v>
      </c>
      <c r="CL3">
        <v>1.7610329036060999E-3</v>
      </c>
      <c r="CM3">
        <v>2.4582297365594902E-3</v>
      </c>
      <c r="CN3">
        <v>1.5074111923254301E-3</v>
      </c>
      <c r="CO3">
        <v>1.80593571210082E-3</v>
      </c>
      <c r="CP3">
        <v>1.4691407099493899E-3</v>
      </c>
      <c r="CQ3">
        <v>1.68221909178839E-3</v>
      </c>
      <c r="CR3">
        <v>1.40393647695969E-3</v>
      </c>
      <c r="CS3">
        <v>1.65080933783888E-3</v>
      </c>
      <c r="CT3">
        <v>1.6910333190252201E-3</v>
      </c>
      <c r="CU3">
        <v>1.4645055796891899E-3</v>
      </c>
    </row>
    <row r="4" spans="1:99" x14ac:dyDescent="0.25">
      <c r="A4" t="s">
        <v>2</v>
      </c>
      <c r="B4">
        <v>7.4034195166818896E-4</v>
      </c>
      <c r="C4">
        <v>9.4417587263526202E-4</v>
      </c>
      <c r="D4">
        <v>1.1067883131690001E-3</v>
      </c>
      <c r="E4">
        <v>6.3435039077077695E-4</v>
      </c>
      <c r="F4">
        <v>1.32871411860024E-3</v>
      </c>
      <c r="G4">
        <v>1.1375894373982999E-3</v>
      </c>
      <c r="H4">
        <v>1.2859229835108399E-3</v>
      </c>
      <c r="I4">
        <v>7.6152596323916604E-4</v>
      </c>
      <c r="J4">
        <v>1.2505134828399E-3</v>
      </c>
      <c r="K4">
        <v>7.2832419173791897E-4</v>
      </c>
      <c r="L4">
        <v>8.6832871628036502E-4</v>
      </c>
      <c r="M4">
        <v>9.15146963385361E-4</v>
      </c>
      <c r="N4">
        <v>8.6756230740630701E-4</v>
      </c>
      <c r="O4">
        <v>1.0812505887969599E-3</v>
      </c>
      <c r="P4">
        <v>8.7341436875033299E-4</v>
      </c>
      <c r="Q4">
        <v>5.0753363927812101E-4</v>
      </c>
      <c r="R4">
        <v>8.9255475986658702E-4</v>
      </c>
      <c r="S4">
        <v>1.4265926087648399E-3</v>
      </c>
      <c r="T4">
        <v>8.7124041749740298E-4</v>
      </c>
      <c r="U4">
        <v>7.1580759573603705E-4</v>
      </c>
      <c r="V4">
        <v>9.15510942707781E-4</v>
      </c>
      <c r="W4">
        <v>9.2394751714199497E-4</v>
      </c>
      <c r="X4">
        <v>7.43802842983628E-4</v>
      </c>
      <c r="Y4">
        <v>8.4639180093770195E-4</v>
      </c>
      <c r="Z4">
        <v>1.02527351584794E-3</v>
      </c>
      <c r="AA4">
        <v>7.2383561914939097E-4</v>
      </c>
      <c r="AB4">
        <v>1.0091721734027E-3</v>
      </c>
      <c r="AC4">
        <v>5.6658678582129096E-4</v>
      </c>
      <c r="AD4">
        <v>7.7944703856180496E-4</v>
      </c>
      <c r="AE4">
        <v>1.2303038956003199E-3</v>
      </c>
      <c r="AF4">
        <v>1.3781620867280499E-3</v>
      </c>
      <c r="AG4">
        <v>1.2310093514103001E-3</v>
      </c>
      <c r="AH4">
        <v>1.47249859604939E-3</v>
      </c>
      <c r="AI4">
        <v>1.4373991114176501E-3</v>
      </c>
      <c r="AJ4">
        <v>1.24710875656342E-3</v>
      </c>
      <c r="AK4">
        <v>1.1870840492382399E-3</v>
      </c>
      <c r="AL4">
        <v>9.3436518492299797E-4</v>
      </c>
      <c r="AM4">
        <v>9.7474264347093605E-4</v>
      </c>
      <c r="AN4">
        <v>1.0015523412518199E-3</v>
      </c>
      <c r="AO4">
        <v>1.22363224947696E-3</v>
      </c>
      <c r="AP4">
        <v>8.5737485244644399E-4</v>
      </c>
      <c r="AQ4">
        <v>9.4886354420108197E-4</v>
      </c>
      <c r="AR4">
        <v>8.4336004582262795E-4</v>
      </c>
      <c r="AS4">
        <v>6.2382656642736201E-4</v>
      </c>
      <c r="AT4">
        <v>3.8730149804006399E-4</v>
      </c>
      <c r="AU4">
        <v>7.2445710766011104E-4</v>
      </c>
      <c r="AV4">
        <v>5.3910548160139397E-4</v>
      </c>
      <c r="AW4">
        <v>6.8056165779707895E-4</v>
      </c>
      <c r="AX4">
        <v>8.5619043222041099E-4</v>
      </c>
      <c r="AY4">
        <v>7.2125866686671204E-4</v>
      </c>
      <c r="AZ4">
        <v>8.1014835352685103E-4</v>
      </c>
      <c r="BA4">
        <v>9.6633238014964102E-4</v>
      </c>
      <c r="BB4">
        <v>4.5905551179695902E-4</v>
      </c>
      <c r="BC4">
        <v>7.3925040365815204E-4</v>
      </c>
      <c r="BD4">
        <v>1.0261608296745701E-3</v>
      </c>
      <c r="BE4">
        <v>1.80600431371648E-3</v>
      </c>
      <c r="BF4">
        <v>2.0562799288755401E-3</v>
      </c>
      <c r="BG4">
        <v>1.7081150427811899E-3</v>
      </c>
      <c r="BH4">
        <v>2.36938779553775E-3</v>
      </c>
      <c r="BI4">
        <v>6.9272401002238998E-3</v>
      </c>
      <c r="BJ4">
        <v>3.9933863516098698E-2</v>
      </c>
      <c r="BK4">
        <v>3.8923043068295797E-2</v>
      </c>
      <c r="BL4">
        <v>5.1297619492298399E-2</v>
      </c>
      <c r="BM4" s="6">
        <v>9.2086383830759302E-2</v>
      </c>
      <c r="BN4">
        <v>3.4855209704532097E-2</v>
      </c>
      <c r="BO4">
        <v>1.4097374270261099E-2</v>
      </c>
      <c r="BP4">
        <v>3.1604006390931E-2</v>
      </c>
      <c r="BQ4">
        <v>2.0742395900787199E-2</v>
      </c>
      <c r="BR4">
        <v>1.01453005811815E-2</v>
      </c>
      <c r="BS4">
        <v>1.3503113260868799E-2</v>
      </c>
      <c r="BT4">
        <v>5.0161158941296304E-3</v>
      </c>
      <c r="BU4">
        <v>5.5266752230142902E-3</v>
      </c>
      <c r="BV4">
        <v>4.6289590150238097E-3</v>
      </c>
      <c r="BW4">
        <v>4.5646452464279197E-3</v>
      </c>
      <c r="BX4">
        <v>3.20613745815672E-3</v>
      </c>
      <c r="BY4">
        <v>3.4315786560634499E-3</v>
      </c>
      <c r="BZ4">
        <v>2.8074577450384101E-3</v>
      </c>
      <c r="CA4">
        <v>2.3625879132603599E-3</v>
      </c>
      <c r="CB4">
        <v>3.06150069128231E-3</v>
      </c>
      <c r="CC4">
        <v>2.0014050426361701E-3</v>
      </c>
      <c r="CD4">
        <v>2.0713683532335701E-3</v>
      </c>
      <c r="CE4">
        <v>2.4663088692795702E-3</v>
      </c>
      <c r="CF4">
        <v>3.3553468359623999E-3</v>
      </c>
      <c r="CG4">
        <v>2.5138727052337901E-3</v>
      </c>
      <c r="CH4">
        <v>2.7649870659638299E-3</v>
      </c>
      <c r="CI4">
        <v>3.0734599885614698E-3</v>
      </c>
      <c r="CJ4">
        <v>2.0365194938422502E-3</v>
      </c>
      <c r="CK4">
        <v>1.5543820403303701E-3</v>
      </c>
      <c r="CL4">
        <v>1.7185776703082199E-3</v>
      </c>
      <c r="CM4">
        <v>2.40768864277046E-3</v>
      </c>
      <c r="CN4">
        <v>1.4654375899724899E-3</v>
      </c>
      <c r="CO4">
        <v>1.7947132984829099E-3</v>
      </c>
      <c r="CP4">
        <v>1.4422991890267001E-3</v>
      </c>
      <c r="CQ4">
        <v>1.67371248498868E-3</v>
      </c>
      <c r="CR4">
        <v>1.3855852439384399E-3</v>
      </c>
      <c r="CS4">
        <v>1.6617124783933901E-3</v>
      </c>
      <c r="CT4">
        <v>1.6612039902175601E-3</v>
      </c>
      <c r="CU4">
        <v>1.46512976664465E-3</v>
      </c>
    </row>
    <row r="5" spans="1:99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 s="6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</row>
    <row r="6" spans="1:99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10</v>
      </c>
      <c r="BK6">
        <v>1</v>
      </c>
      <c r="BL6">
        <v>11</v>
      </c>
      <c r="BM6" s="6">
        <v>127</v>
      </c>
      <c r="BN6">
        <v>5</v>
      </c>
      <c r="BO6">
        <v>0</v>
      </c>
      <c r="BP6">
        <v>3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1:99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839</v>
      </c>
      <c r="BK7">
        <v>631</v>
      </c>
      <c r="BL7">
        <v>1773</v>
      </c>
      <c r="BM7" s="6">
        <v>7447</v>
      </c>
      <c r="BN7">
        <v>490</v>
      </c>
      <c r="BO7">
        <v>22</v>
      </c>
      <c r="BP7">
        <v>389</v>
      </c>
      <c r="BQ7">
        <v>95</v>
      </c>
      <c r="BR7">
        <v>3</v>
      </c>
      <c r="BS7">
        <v>27</v>
      </c>
      <c r="BT7">
        <v>0</v>
      </c>
      <c r="BU7">
        <v>1</v>
      </c>
      <c r="BV7">
        <v>2</v>
      </c>
      <c r="BW7">
        <v>3</v>
      </c>
      <c r="BX7">
        <v>0</v>
      </c>
      <c r="BY7">
        <v>1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3</v>
      </c>
      <c r="AH8">
        <v>0</v>
      </c>
      <c r="AI8">
        <v>0</v>
      </c>
      <c r="AJ8">
        <v>2</v>
      </c>
      <c r="AK8">
        <v>0</v>
      </c>
      <c r="AL8">
        <v>0</v>
      </c>
      <c r="AM8">
        <v>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6</v>
      </c>
      <c r="BE8">
        <v>0</v>
      </c>
      <c r="BF8">
        <v>13</v>
      </c>
      <c r="BG8">
        <v>2</v>
      </c>
      <c r="BH8">
        <v>12</v>
      </c>
      <c r="BI8">
        <v>275</v>
      </c>
      <c r="BJ8">
        <v>18346</v>
      </c>
      <c r="BK8">
        <v>16511</v>
      </c>
      <c r="BL8">
        <v>19642</v>
      </c>
      <c r="BM8" s="6">
        <v>14635</v>
      </c>
      <c r="BN8">
        <v>13536</v>
      </c>
      <c r="BO8">
        <v>2249</v>
      </c>
      <c r="BP8">
        <v>10269</v>
      </c>
      <c r="BQ8">
        <v>4775</v>
      </c>
      <c r="BR8">
        <v>899</v>
      </c>
      <c r="BS8">
        <v>1886</v>
      </c>
      <c r="BT8">
        <v>141</v>
      </c>
      <c r="BU8">
        <v>155</v>
      </c>
      <c r="BV8">
        <v>101</v>
      </c>
      <c r="BW8">
        <v>94</v>
      </c>
      <c r="BX8">
        <v>42</v>
      </c>
      <c r="BY8">
        <v>48</v>
      </c>
      <c r="BZ8">
        <v>20</v>
      </c>
      <c r="CA8">
        <v>18</v>
      </c>
      <c r="CB8">
        <v>31</v>
      </c>
      <c r="CC8">
        <v>5</v>
      </c>
      <c r="CD8">
        <v>6</v>
      </c>
      <c r="CE8">
        <v>11</v>
      </c>
      <c r="CF8">
        <v>69</v>
      </c>
      <c r="CG8">
        <v>27</v>
      </c>
      <c r="CH8">
        <v>22</v>
      </c>
      <c r="CI8">
        <v>52</v>
      </c>
      <c r="CJ8">
        <v>5</v>
      </c>
      <c r="CK8">
        <v>2</v>
      </c>
      <c r="CL8">
        <v>1</v>
      </c>
      <c r="CM8">
        <v>7</v>
      </c>
      <c r="CN8">
        <v>2</v>
      </c>
      <c r="CO8">
        <v>1</v>
      </c>
      <c r="CP8">
        <v>2</v>
      </c>
      <c r="CQ8">
        <v>2</v>
      </c>
      <c r="CR8">
        <v>0</v>
      </c>
      <c r="CS8">
        <v>1</v>
      </c>
      <c r="CT8">
        <v>1</v>
      </c>
      <c r="CU8">
        <v>0</v>
      </c>
    </row>
    <row r="9" spans="1:99" x14ac:dyDescent="0.25">
      <c r="A9" t="s">
        <v>7</v>
      </c>
      <c r="B9">
        <v>11</v>
      </c>
      <c r="C9">
        <v>38</v>
      </c>
      <c r="D9">
        <v>58</v>
      </c>
      <c r="E9">
        <v>8</v>
      </c>
      <c r="F9">
        <v>130</v>
      </c>
      <c r="G9">
        <v>95</v>
      </c>
      <c r="H9">
        <v>110</v>
      </c>
      <c r="I9">
        <v>22</v>
      </c>
      <c r="J9">
        <v>108</v>
      </c>
      <c r="K9">
        <v>21</v>
      </c>
      <c r="L9">
        <v>18</v>
      </c>
      <c r="M9">
        <v>59</v>
      </c>
      <c r="N9">
        <v>30</v>
      </c>
      <c r="O9">
        <v>46</v>
      </c>
      <c r="P9">
        <v>35</v>
      </c>
      <c r="Q9">
        <v>7</v>
      </c>
      <c r="R9">
        <v>34</v>
      </c>
      <c r="S9">
        <v>190</v>
      </c>
      <c r="T9">
        <v>39</v>
      </c>
      <c r="U9">
        <v>17</v>
      </c>
      <c r="V9">
        <v>40</v>
      </c>
      <c r="W9">
        <v>51</v>
      </c>
      <c r="X9">
        <v>10</v>
      </c>
      <c r="Y9">
        <v>29</v>
      </c>
      <c r="Z9">
        <v>77</v>
      </c>
      <c r="AA9">
        <v>18</v>
      </c>
      <c r="AB9">
        <v>95</v>
      </c>
      <c r="AC9">
        <v>7</v>
      </c>
      <c r="AD9">
        <v>23</v>
      </c>
      <c r="AE9">
        <v>93</v>
      </c>
      <c r="AF9">
        <v>152</v>
      </c>
      <c r="AG9">
        <v>100</v>
      </c>
      <c r="AH9">
        <v>137</v>
      </c>
      <c r="AI9">
        <v>187</v>
      </c>
      <c r="AJ9">
        <v>85</v>
      </c>
      <c r="AK9">
        <v>100</v>
      </c>
      <c r="AL9">
        <v>36</v>
      </c>
      <c r="AM9">
        <v>28</v>
      </c>
      <c r="AN9">
        <v>66</v>
      </c>
      <c r="AO9">
        <v>66</v>
      </c>
      <c r="AP9">
        <v>15</v>
      </c>
      <c r="AQ9">
        <v>39</v>
      </c>
      <c r="AR9">
        <v>23</v>
      </c>
      <c r="AS9">
        <v>2</v>
      </c>
      <c r="AT9">
        <v>1</v>
      </c>
      <c r="AU9">
        <v>7</v>
      </c>
      <c r="AV9">
        <v>13</v>
      </c>
      <c r="AW9">
        <v>13</v>
      </c>
      <c r="AX9">
        <v>36</v>
      </c>
      <c r="AY9">
        <v>11</v>
      </c>
      <c r="AZ9">
        <v>14</v>
      </c>
      <c r="BA9">
        <v>42</v>
      </c>
      <c r="BB9">
        <v>1</v>
      </c>
      <c r="BC9">
        <v>17</v>
      </c>
      <c r="BD9">
        <v>104</v>
      </c>
      <c r="BE9">
        <v>363</v>
      </c>
      <c r="BF9">
        <v>551</v>
      </c>
      <c r="BG9">
        <v>286</v>
      </c>
      <c r="BH9">
        <v>896</v>
      </c>
      <c r="BI9">
        <v>13653</v>
      </c>
      <c r="BJ9">
        <v>10434</v>
      </c>
      <c r="BK9">
        <v>9906</v>
      </c>
      <c r="BL9">
        <v>8645</v>
      </c>
      <c r="BM9" s="6">
        <v>4564</v>
      </c>
      <c r="BN9">
        <v>10846</v>
      </c>
      <c r="BO9">
        <v>16807</v>
      </c>
      <c r="BP9">
        <v>11390</v>
      </c>
      <c r="BQ9">
        <v>14430</v>
      </c>
      <c r="BR9">
        <v>13066</v>
      </c>
      <c r="BS9">
        <v>16814</v>
      </c>
      <c r="BT9">
        <v>4730</v>
      </c>
      <c r="BU9">
        <v>5556</v>
      </c>
      <c r="BV9">
        <v>3989</v>
      </c>
      <c r="BW9">
        <v>3780</v>
      </c>
      <c r="BX9">
        <v>1638</v>
      </c>
      <c r="BY9">
        <v>1974</v>
      </c>
      <c r="BZ9">
        <v>1321</v>
      </c>
      <c r="CA9">
        <v>704</v>
      </c>
      <c r="CB9">
        <v>1756</v>
      </c>
      <c r="CC9">
        <v>449</v>
      </c>
      <c r="CD9">
        <v>636</v>
      </c>
      <c r="CE9">
        <v>1204</v>
      </c>
      <c r="CF9">
        <v>2125</v>
      </c>
      <c r="CG9">
        <v>1291</v>
      </c>
      <c r="CH9">
        <v>1438</v>
      </c>
      <c r="CI9">
        <v>2060</v>
      </c>
      <c r="CJ9">
        <v>606</v>
      </c>
      <c r="CK9">
        <v>275</v>
      </c>
      <c r="CL9">
        <v>368</v>
      </c>
      <c r="CM9">
        <v>1039</v>
      </c>
      <c r="CN9">
        <v>227</v>
      </c>
      <c r="CO9">
        <v>434</v>
      </c>
      <c r="CP9">
        <v>205</v>
      </c>
      <c r="CQ9">
        <v>337</v>
      </c>
      <c r="CR9">
        <v>157</v>
      </c>
      <c r="CS9">
        <v>346</v>
      </c>
      <c r="CT9">
        <v>336</v>
      </c>
      <c r="CU9">
        <v>220</v>
      </c>
    </row>
    <row r="10" spans="1:99" x14ac:dyDescent="0.25">
      <c r="A10" t="s">
        <v>8</v>
      </c>
      <c r="B10">
        <v>1914</v>
      </c>
      <c r="C10">
        <v>3746</v>
      </c>
      <c r="D10">
        <v>5785</v>
      </c>
      <c r="E10">
        <v>1139</v>
      </c>
      <c r="F10">
        <v>9418</v>
      </c>
      <c r="G10">
        <v>5798</v>
      </c>
      <c r="H10">
        <v>8698</v>
      </c>
      <c r="I10">
        <v>2103</v>
      </c>
      <c r="J10">
        <v>8253</v>
      </c>
      <c r="K10">
        <v>1988</v>
      </c>
      <c r="L10">
        <v>3387</v>
      </c>
      <c r="M10">
        <v>3357</v>
      </c>
      <c r="N10">
        <v>2812</v>
      </c>
      <c r="O10">
        <v>5522</v>
      </c>
      <c r="P10">
        <v>3299</v>
      </c>
      <c r="Q10">
        <v>536</v>
      </c>
      <c r="R10">
        <v>3442</v>
      </c>
      <c r="S10">
        <v>10931</v>
      </c>
      <c r="T10">
        <v>3351</v>
      </c>
      <c r="U10">
        <v>1929</v>
      </c>
      <c r="V10">
        <v>3526</v>
      </c>
      <c r="W10">
        <v>4310</v>
      </c>
      <c r="X10">
        <v>2136</v>
      </c>
      <c r="Y10">
        <v>2871</v>
      </c>
      <c r="Z10">
        <v>5771</v>
      </c>
      <c r="AA10">
        <v>1865</v>
      </c>
      <c r="AB10">
        <v>4072</v>
      </c>
      <c r="AC10">
        <v>881</v>
      </c>
      <c r="AD10">
        <v>1835</v>
      </c>
      <c r="AE10">
        <v>6435</v>
      </c>
      <c r="AF10">
        <v>8281</v>
      </c>
      <c r="AG10">
        <v>6133</v>
      </c>
      <c r="AH10">
        <v>8829</v>
      </c>
      <c r="AI10">
        <v>10584</v>
      </c>
      <c r="AJ10">
        <v>8388</v>
      </c>
      <c r="AK10">
        <v>7016</v>
      </c>
      <c r="AL10">
        <v>4711</v>
      </c>
      <c r="AM10">
        <v>4937</v>
      </c>
      <c r="AN10">
        <v>4749</v>
      </c>
      <c r="AO10">
        <v>6929</v>
      </c>
      <c r="AP10">
        <v>3203</v>
      </c>
      <c r="AQ10">
        <v>3886</v>
      </c>
      <c r="AR10">
        <v>3120</v>
      </c>
      <c r="AS10">
        <v>1232</v>
      </c>
      <c r="AT10">
        <v>195</v>
      </c>
      <c r="AU10">
        <v>1858</v>
      </c>
      <c r="AV10">
        <v>766</v>
      </c>
      <c r="AW10">
        <v>1554</v>
      </c>
      <c r="AX10">
        <v>2871</v>
      </c>
      <c r="AY10">
        <v>1725</v>
      </c>
      <c r="AZ10">
        <v>2452</v>
      </c>
      <c r="BA10">
        <v>5458</v>
      </c>
      <c r="BB10">
        <v>452</v>
      </c>
      <c r="BC10">
        <v>2020</v>
      </c>
      <c r="BD10">
        <v>4472</v>
      </c>
      <c r="BE10">
        <v>14528</v>
      </c>
      <c r="BF10">
        <v>17645</v>
      </c>
      <c r="BG10">
        <v>12881</v>
      </c>
      <c r="BH10">
        <v>18365</v>
      </c>
      <c r="BI10">
        <v>15902</v>
      </c>
      <c r="BJ10">
        <v>2684</v>
      </c>
      <c r="BK10">
        <v>2602</v>
      </c>
      <c r="BL10">
        <v>2125</v>
      </c>
      <c r="BM10" s="6">
        <v>1000</v>
      </c>
      <c r="BN10">
        <v>2944</v>
      </c>
      <c r="BO10">
        <v>7327</v>
      </c>
      <c r="BP10">
        <v>3169</v>
      </c>
      <c r="BQ10">
        <v>5140</v>
      </c>
      <c r="BR10">
        <v>9569</v>
      </c>
      <c r="BS10">
        <v>9187</v>
      </c>
      <c r="BT10">
        <v>17731</v>
      </c>
      <c r="BU10">
        <v>16797</v>
      </c>
      <c r="BV10">
        <v>18543</v>
      </c>
      <c r="BW10">
        <v>18820</v>
      </c>
      <c r="BX10">
        <v>18162</v>
      </c>
      <c r="BY10">
        <v>19432</v>
      </c>
      <c r="BZ10">
        <v>17955</v>
      </c>
      <c r="CA10">
        <v>15253</v>
      </c>
      <c r="CB10">
        <v>20326</v>
      </c>
      <c r="CC10">
        <v>12833</v>
      </c>
      <c r="CD10">
        <v>14493</v>
      </c>
      <c r="CE10">
        <v>14289</v>
      </c>
      <c r="CF10">
        <v>18219</v>
      </c>
      <c r="CG10">
        <v>15582</v>
      </c>
      <c r="CH10">
        <v>18287</v>
      </c>
      <c r="CI10">
        <v>20335</v>
      </c>
      <c r="CJ10">
        <v>12868</v>
      </c>
      <c r="CK10">
        <v>9349</v>
      </c>
      <c r="CL10">
        <v>11547</v>
      </c>
      <c r="CM10">
        <v>18379</v>
      </c>
      <c r="CN10">
        <v>9153</v>
      </c>
      <c r="CO10">
        <v>12938</v>
      </c>
      <c r="CP10">
        <v>9735</v>
      </c>
      <c r="CQ10">
        <v>11773</v>
      </c>
      <c r="CR10">
        <v>8480</v>
      </c>
      <c r="CS10">
        <v>11698</v>
      </c>
      <c r="CT10">
        <v>12774</v>
      </c>
      <c r="CU10">
        <v>9184</v>
      </c>
    </row>
    <row r="11" spans="1:99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 s="6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</row>
    <row r="12" spans="1:99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 s="6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</row>
    <row r="13" spans="1:99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 s="6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</row>
    <row r="14" spans="1:99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0.19078881409722101</v>
      </c>
      <c r="BK14">
        <v>0.17859436622484101</v>
      </c>
      <c r="BL14">
        <v>0.279877423374565</v>
      </c>
      <c r="BM14" s="6">
        <v>0.51197899492233101</v>
      </c>
      <c r="BN14">
        <v>0.20611848531698401</v>
      </c>
      <c r="BO14">
        <v>0</v>
      </c>
      <c r="BP14">
        <v>0.146793540924301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</row>
    <row r="15" spans="1:99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0.16959445400949999</v>
      </c>
      <c r="BK15">
        <v>0.17859436622484101</v>
      </c>
      <c r="BL15">
        <v>0.22675165230379901</v>
      </c>
      <c r="BM15" s="6">
        <v>0.38036472821513001</v>
      </c>
      <c r="BN15">
        <v>0.17387272756306199</v>
      </c>
      <c r="BO15">
        <v>0</v>
      </c>
      <c r="BP15">
        <v>0.144120266265687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</row>
    <row r="16" spans="1:99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0.17721750167814401</v>
      </c>
      <c r="BK16">
        <v>0.17859436622484101</v>
      </c>
      <c r="BL16">
        <v>0.228279908147</v>
      </c>
      <c r="BM16" s="6">
        <v>0.37668938978246103</v>
      </c>
      <c r="BN16">
        <v>0.16984612960485301</v>
      </c>
      <c r="BO16">
        <v>0</v>
      </c>
      <c r="BP16">
        <v>0.144443470443476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</row>
    <row r="17" spans="1:99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0.81803125568342205</v>
      </c>
      <c r="BK17">
        <v>0.81848402674042298</v>
      </c>
      <c r="BL17">
        <v>1.11950969349826</v>
      </c>
      <c r="BM17" s="6">
        <v>2.04791597968932</v>
      </c>
      <c r="BN17">
        <v>0.82447394126793805</v>
      </c>
      <c r="BO17">
        <v>0.279703011400952</v>
      </c>
      <c r="BP17">
        <v>0.64841732422973497</v>
      </c>
      <c r="BQ17">
        <v>0.445335594152239</v>
      </c>
      <c r="BR17">
        <v>0.19711218566977401</v>
      </c>
      <c r="BS17">
        <v>0.266785639348252</v>
      </c>
      <c r="BT17">
        <v>0</v>
      </c>
      <c r="BU17">
        <v>0.121786755997646</v>
      </c>
      <c r="BV17">
        <v>8.6210425231473403E-2</v>
      </c>
      <c r="BW17">
        <v>9.8716386663379604E-2</v>
      </c>
      <c r="BX17">
        <v>0</v>
      </c>
      <c r="BY17">
        <v>8.7306492371611102E-2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</row>
    <row r="18" spans="1:99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0.64168581255148305</v>
      </c>
      <c r="BK18">
        <v>0.62670694688714801</v>
      </c>
      <c r="BL18">
        <v>0.81215988373178805</v>
      </c>
      <c r="BM18" s="6">
        <v>1.4778895585382399</v>
      </c>
      <c r="BN18">
        <v>0.57643232316998705</v>
      </c>
      <c r="BO18">
        <v>0.24241333586239699</v>
      </c>
      <c r="BP18">
        <v>0.51377639098997896</v>
      </c>
      <c r="BQ18">
        <v>0.34626881155330103</v>
      </c>
      <c r="BR18">
        <v>0.18985880853676401</v>
      </c>
      <c r="BS18">
        <v>0.23265336945349999</v>
      </c>
      <c r="BT18">
        <v>0</v>
      </c>
      <c r="BU18">
        <v>0.121786755997646</v>
      </c>
      <c r="BV18">
        <v>8.6210425231473403E-2</v>
      </c>
      <c r="BW18">
        <v>9.7200836897828602E-2</v>
      </c>
      <c r="BX18">
        <v>0</v>
      </c>
      <c r="BY18">
        <v>8.7306492371611102E-2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</row>
    <row r="19" spans="1:99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0.63894181625757895</v>
      </c>
      <c r="BK19">
        <v>0.62276868909273198</v>
      </c>
      <c r="BL19">
        <v>0.82076191187677505</v>
      </c>
      <c r="BM19" s="6">
        <v>1.47338214129214</v>
      </c>
      <c r="BN19">
        <v>0.55958483621937005</v>
      </c>
      <c r="BO19">
        <v>0.24194188089610399</v>
      </c>
      <c r="BP19">
        <v>0.505664102254896</v>
      </c>
      <c r="BQ19">
        <v>0.33903548952243301</v>
      </c>
      <c r="BR19">
        <v>0.187004053992847</v>
      </c>
      <c r="BS19">
        <v>0.23690655655603099</v>
      </c>
      <c r="BT19">
        <v>0</v>
      </c>
      <c r="BU19">
        <v>0.121786755997646</v>
      </c>
      <c r="BV19">
        <v>8.6210425231473403E-2</v>
      </c>
      <c r="BW19">
        <v>9.7200836897828602E-2</v>
      </c>
      <c r="BX19">
        <v>0</v>
      </c>
      <c r="BY19">
        <v>8.7306492371611102E-2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0.123642605871749</v>
      </c>
      <c r="I20">
        <v>0</v>
      </c>
      <c r="J20">
        <v>0.101965044587669</v>
      </c>
      <c r="K20">
        <v>0</v>
      </c>
      <c r="L20">
        <v>0</v>
      </c>
      <c r="M20">
        <v>7.6627182625353896E-2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7.6192740000870604E-2</v>
      </c>
      <c r="U20">
        <v>0</v>
      </c>
      <c r="V20">
        <v>0</v>
      </c>
      <c r="W20">
        <v>0</v>
      </c>
      <c r="X20">
        <v>0</v>
      </c>
      <c r="Y20">
        <v>0</v>
      </c>
      <c r="Z20">
        <v>0.123089888514039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0.124518558397296</v>
      </c>
      <c r="AH20">
        <v>0</v>
      </c>
      <c r="AI20">
        <v>0</v>
      </c>
      <c r="AJ20">
        <v>9.4261387036044697E-2</v>
      </c>
      <c r="AK20">
        <v>0</v>
      </c>
      <c r="AL20">
        <v>0</v>
      </c>
      <c r="AM20">
        <v>0.11402550363392799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9.0048209346098196E-2</v>
      </c>
      <c r="BE20">
        <v>0</v>
      </c>
      <c r="BF20">
        <v>0.203535816299176</v>
      </c>
      <c r="BG20">
        <v>0.143701946801292</v>
      </c>
      <c r="BH20">
        <v>0.23032985439610601</v>
      </c>
      <c r="BI20">
        <v>0.60144055131298801</v>
      </c>
      <c r="BJ20">
        <v>3.27212502273369</v>
      </c>
      <c r="BK20">
        <v>3.2739361069616901</v>
      </c>
      <c r="BL20">
        <v>4.4780387739930498</v>
      </c>
      <c r="BM20" s="6">
        <v>8.1916639187572997</v>
      </c>
      <c r="BN20">
        <v>3.29789576507175</v>
      </c>
      <c r="BO20">
        <v>1.11881204560381</v>
      </c>
      <c r="BP20">
        <v>2.5936692969189399</v>
      </c>
      <c r="BQ20">
        <v>1.78134237660895</v>
      </c>
      <c r="BR20">
        <v>0.86024088019207301</v>
      </c>
      <c r="BS20">
        <v>1.3114419014985801</v>
      </c>
      <c r="BT20">
        <v>0.46689340135128199</v>
      </c>
      <c r="BU20">
        <v>0.51778993235017201</v>
      </c>
      <c r="BV20">
        <v>0.39061995668025301</v>
      </c>
      <c r="BW20">
        <v>0.42041365479700998</v>
      </c>
      <c r="BX20">
        <v>0.283529610278908</v>
      </c>
      <c r="BY20">
        <v>0.34922596948644402</v>
      </c>
      <c r="BZ20">
        <v>0.240147001670659</v>
      </c>
      <c r="CA20">
        <v>0.21017116105945099</v>
      </c>
      <c r="CB20">
        <v>0.28408103435592502</v>
      </c>
      <c r="CC20">
        <v>0.16593036276106901</v>
      </c>
      <c r="CD20">
        <v>0.188495260266696</v>
      </c>
      <c r="CE20">
        <v>0.20012977384282399</v>
      </c>
      <c r="CF20">
        <v>0.35487457586933702</v>
      </c>
      <c r="CG20">
        <v>0.33332406750333199</v>
      </c>
      <c r="CH20">
        <v>0.228512910629764</v>
      </c>
      <c r="CI20">
        <v>0.302516652251137</v>
      </c>
      <c r="CJ20">
        <v>0.181669752237124</v>
      </c>
      <c r="CK20">
        <v>0.188838096926737</v>
      </c>
      <c r="CL20">
        <v>0.14927107967848</v>
      </c>
      <c r="CM20">
        <v>0.232880062531445</v>
      </c>
      <c r="CN20">
        <v>0.12026739583238701</v>
      </c>
      <c r="CO20">
        <v>0.178529177161425</v>
      </c>
      <c r="CP20">
        <v>0.121753276362133</v>
      </c>
      <c r="CQ20">
        <v>0.12776443410840099</v>
      </c>
      <c r="CR20">
        <v>0</v>
      </c>
      <c r="CS20">
        <v>0.132182325727458</v>
      </c>
      <c r="CT20">
        <v>0.12524468393433</v>
      </c>
      <c r="CU20">
        <v>0</v>
      </c>
    </row>
    <row r="21" spans="1:99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0.123642605871749</v>
      </c>
      <c r="I21">
        <v>0</v>
      </c>
      <c r="J21">
        <v>0.101965044587669</v>
      </c>
      <c r="K21">
        <v>0</v>
      </c>
      <c r="L21">
        <v>0</v>
      </c>
      <c r="M21">
        <v>7.6627182625353896E-2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7.6192740000870604E-2</v>
      </c>
      <c r="U21">
        <v>0</v>
      </c>
      <c r="V21">
        <v>0</v>
      </c>
      <c r="W21">
        <v>0</v>
      </c>
      <c r="X21">
        <v>0</v>
      </c>
      <c r="Y21">
        <v>0</v>
      </c>
      <c r="Z21">
        <v>0.112676184297477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0.100846322418309</v>
      </c>
      <c r="AH21">
        <v>0</v>
      </c>
      <c r="AI21">
        <v>0</v>
      </c>
      <c r="AJ21">
        <v>9.4261387036044697E-2</v>
      </c>
      <c r="AK21">
        <v>0</v>
      </c>
      <c r="AL21">
        <v>0</v>
      </c>
      <c r="AM21">
        <v>0.11402550363392799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8.3041635022615704E-2</v>
      </c>
      <c r="BE21">
        <v>0</v>
      </c>
      <c r="BF21">
        <v>0.167082047714292</v>
      </c>
      <c r="BG21">
        <v>0.143701946801292</v>
      </c>
      <c r="BH21">
        <v>0.19318332852931699</v>
      </c>
      <c r="BI21">
        <v>0.448288875747337</v>
      </c>
      <c r="BJ21">
        <v>2.56674325020593</v>
      </c>
      <c r="BK21">
        <v>2.5068277875485898</v>
      </c>
      <c r="BL21">
        <v>3.24863953492715</v>
      </c>
      <c r="BM21" s="6">
        <v>5.9115582341529898</v>
      </c>
      <c r="BN21">
        <v>2.2969216826579202</v>
      </c>
      <c r="BO21">
        <v>0.92008561729182303</v>
      </c>
      <c r="BP21">
        <v>2.0551055639599101</v>
      </c>
      <c r="BQ21">
        <v>1.3402491180785601</v>
      </c>
      <c r="BR21">
        <v>0.66492020466448998</v>
      </c>
      <c r="BS21">
        <v>0.86466479718141698</v>
      </c>
      <c r="BT21">
        <v>0.34469123989697098</v>
      </c>
      <c r="BU21">
        <v>0.37334839385755197</v>
      </c>
      <c r="BV21">
        <v>0.31004269827181702</v>
      </c>
      <c r="BW21">
        <v>0.31277664789653298</v>
      </c>
      <c r="BX21">
        <v>0.22637647413732101</v>
      </c>
      <c r="BY21">
        <v>0.25644692301613897</v>
      </c>
      <c r="BZ21">
        <v>0.20413363021094999</v>
      </c>
      <c r="CA21">
        <v>0.17561602720744601</v>
      </c>
      <c r="CB21">
        <v>0.23365831159769199</v>
      </c>
      <c r="CC21">
        <v>0.15374450389542399</v>
      </c>
      <c r="CD21">
        <v>0.18186586585764999</v>
      </c>
      <c r="CE21">
        <v>0.17141392243478401</v>
      </c>
      <c r="CF21">
        <v>0.23589447833174701</v>
      </c>
      <c r="CG21">
        <v>0.19708931490284501</v>
      </c>
      <c r="CH21">
        <v>0.194046627140045</v>
      </c>
      <c r="CI21">
        <v>0.22480516182125199</v>
      </c>
      <c r="CJ21">
        <v>0.15339381459114501</v>
      </c>
      <c r="CK21">
        <v>0.14942060711071301</v>
      </c>
      <c r="CL21">
        <v>0.14927107967848</v>
      </c>
      <c r="CM21">
        <v>0.202052123476088</v>
      </c>
      <c r="CN21">
        <v>0.117126752317459</v>
      </c>
      <c r="CO21">
        <v>0.178529177161425</v>
      </c>
      <c r="CP21">
        <v>0.120316816392864</v>
      </c>
      <c r="CQ21">
        <v>0.117491071985725</v>
      </c>
      <c r="CR21">
        <v>0</v>
      </c>
      <c r="CS21">
        <v>0.132182325727458</v>
      </c>
      <c r="CT21">
        <v>0.12524468393433</v>
      </c>
      <c r="CU21">
        <v>0</v>
      </c>
    </row>
    <row r="22" spans="1:99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0.123642605871749</v>
      </c>
      <c r="I22">
        <v>0</v>
      </c>
      <c r="J22">
        <v>0.101965044587669</v>
      </c>
      <c r="K22">
        <v>0</v>
      </c>
      <c r="L22">
        <v>0</v>
      </c>
      <c r="M22">
        <v>7.6627182625353896E-2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7.6192740000870604E-2</v>
      </c>
      <c r="U22">
        <v>0</v>
      </c>
      <c r="V22">
        <v>0</v>
      </c>
      <c r="W22">
        <v>0</v>
      </c>
      <c r="X22">
        <v>0</v>
      </c>
      <c r="Y22">
        <v>0</v>
      </c>
      <c r="Z22">
        <v>0.112676184297477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9.0891788622715103E-2</v>
      </c>
      <c r="AH22">
        <v>0</v>
      </c>
      <c r="AI22">
        <v>0</v>
      </c>
      <c r="AJ22">
        <v>9.4261387036044697E-2</v>
      </c>
      <c r="AK22">
        <v>0</v>
      </c>
      <c r="AL22">
        <v>0</v>
      </c>
      <c r="AM22">
        <v>0.11402550363392799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8.0761946490555694E-2</v>
      </c>
      <c r="BE22">
        <v>0</v>
      </c>
      <c r="BF22">
        <v>0.165158198029702</v>
      </c>
      <c r="BG22">
        <v>0.143701946801292</v>
      </c>
      <c r="BH22">
        <v>0.18729670675915</v>
      </c>
      <c r="BI22">
        <v>0.44936928283972699</v>
      </c>
      <c r="BJ22">
        <v>2.55576726503031</v>
      </c>
      <c r="BK22">
        <v>2.4910747563709301</v>
      </c>
      <c r="BL22">
        <v>3.2830476475071002</v>
      </c>
      <c r="BM22" s="6">
        <v>5.89352856516859</v>
      </c>
      <c r="BN22">
        <v>2.23073342109006</v>
      </c>
      <c r="BO22">
        <v>0.90223195329671402</v>
      </c>
      <c r="BP22">
        <v>2.02265640901958</v>
      </c>
      <c r="BQ22">
        <v>1.32751333765038</v>
      </c>
      <c r="BR22">
        <v>0.649299237195616</v>
      </c>
      <c r="BS22">
        <v>0.86419924869560705</v>
      </c>
      <c r="BT22">
        <v>0.336669237496517</v>
      </c>
      <c r="BU22">
        <v>0.37242132238446302</v>
      </c>
      <c r="BV22">
        <v>0.30502552161471402</v>
      </c>
      <c r="BW22">
        <v>0.30566557615613599</v>
      </c>
      <c r="BX22">
        <v>0.22716167021289699</v>
      </c>
      <c r="BY22">
        <v>0.24814972072125799</v>
      </c>
      <c r="BZ22">
        <v>0.19477774468286499</v>
      </c>
      <c r="CA22">
        <v>0.17038628604087699</v>
      </c>
      <c r="CB22">
        <v>0.233215207529374</v>
      </c>
      <c r="CC22">
        <v>0.15064681375584699</v>
      </c>
      <c r="CD22">
        <v>0.185172377666046</v>
      </c>
      <c r="CE22">
        <v>0.16237108532182901</v>
      </c>
      <c r="CF22">
        <v>0.22976358569859001</v>
      </c>
      <c r="CG22">
        <v>0.18405740197715401</v>
      </c>
      <c r="CH22">
        <v>0.19033181295086901</v>
      </c>
      <c r="CI22">
        <v>0.22196596804897101</v>
      </c>
      <c r="CJ22">
        <v>0.159490231446757</v>
      </c>
      <c r="CK22">
        <v>0.14942060711071301</v>
      </c>
      <c r="CL22">
        <v>0.14927107967848</v>
      </c>
      <c r="CM22">
        <v>0.207900712321684</v>
      </c>
      <c r="CN22">
        <v>0.117126752317459</v>
      </c>
      <c r="CO22">
        <v>0.178529177161425</v>
      </c>
      <c r="CP22">
        <v>0.120316816392864</v>
      </c>
      <c r="CQ22">
        <v>0.117491071985725</v>
      </c>
      <c r="CR22">
        <v>0</v>
      </c>
      <c r="CS22">
        <v>0.132182325727458</v>
      </c>
      <c r="CT22">
        <v>0.12524468393433</v>
      </c>
      <c r="CU22">
        <v>0</v>
      </c>
    </row>
    <row r="23" spans="1:99" x14ac:dyDescent="0.25">
      <c r="A23" t="s">
        <v>21</v>
      </c>
      <c r="B23">
        <v>0.233293284118368</v>
      </c>
      <c r="C23">
        <v>0.30841212242451399</v>
      </c>
      <c r="D23">
        <v>0.44175461042764003</v>
      </c>
      <c r="E23">
        <v>0.20455119010141801</v>
      </c>
      <c r="F23">
        <v>0.49155004201116997</v>
      </c>
      <c r="G23">
        <v>0.49454537119639702</v>
      </c>
      <c r="H23">
        <v>0.49457042348699798</v>
      </c>
      <c r="I23">
        <v>0.28044012137640201</v>
      </c>
      <c r="J23">
        <v>0.41275320403260102</v>
      </c>
      <c r="K23">
        <v>0.25334942806376598</v>
      </c>
      <c r="L23">
        <v>0.301126562576912</v>
      </c>
      <c r="M23">
        <v>0.33627166509497303</v>
      </c>
      <c r="N23">
        <v>0.26130177655056103</v>
      </c>
      <c r="O23">
        <v>0.34318933162917997</v>
      </c>
      <c r="P23">
        <v>0.33395995392398198</v>
      </c>
      <c r="Q23">
        <v>0.162461574047472</v>
      </c>
      <c r="R23">
        <v>0.35914425763865299</v>
      </c>
      <c r="S23">
        <v>0.60392990992033102</v>
      </c>
      <c r="T23">
        <v>0.32557315512291402</v>
      </c>
      <c r="U23">
        <v>0.24472263835552999</v>
      </c>
      <c r="V23">
        <v>0.30789448942977798</v>
      </c>
      <c r="W23">
        <v>0.35190421127710497</v>
      </c>
      <c r="X23">
        <v>0.242522474508481</v>
      </c>
      <c r="Y23">
        <v>0.34039887136040797</v>
      </c>
      <c r="Z23">
        <v>0.492359554056159</v>
      </c>
      <c r="AA23">
        <v>0.30615792477204801</v>
      </c>
      <c r="AB23">
        <v>0.37713231642890999</v>
      </c>
      <c r="AC23">
        <v>0.18522420052785801</v>
      </c>
      <c r="AD23">
        <v>0.27793637437598001</v>
      </c>
      <c r="AE23">
        <v>0.49692836455447298</v>
      </c>
      <c r="AF23">
        <v>0.53722714293595197</v>
      </c>
      <c r="AG23">
        <v>0.49807423358918501</v>
      </c>
      <c r="AH23">
        <v>0.49036358327065299</v>
      </c>
      <c r="AI23">
        <v>0.50645629360797895</v>
      </c>
      <c r="AJ23">
        <v>0.40120778923164102</v>
      </c>
      <c r="AK23">
        <v>0.45277619748735198</v>
      </c>
      <c r="AL23">
        <v>0.33590831751483702</v>
      </c>
      <c r="AM23">
        <v>0.45610201453571497</v>
      </c>
      <c r="AN23">
        <v>0.353934063576684</v>
      </c>
      <c r="AO23">
        <v>0.40460208694233202</v>
      </c>
      <c r="AP23">
        <v>0.30424687592746402</v>
      </c>
      <c r="AQ23">
        <v>0.44519038431722302</v>
      </c>
      <c r="AR23">
        <v>0.28215307407316498</v>
      </c>
      <c r="AS23">
        <v>0.20863305256454301</v>
      </c>
      <c r="AT23">
        <v>0.12506734403250699</v>
      </c>
      <c r="AU23">
        <v>0.252854548994702</v>
      </c>
      <c r="AV23">
        <v>0.16995840442163501</v>
      </c>
      <c r="AW23">
        <v>0.24230164675625501</v>
      </c>
      <c r="AX23">
        <v>0.37336415827679398</v>
      </c>
      <c r="AY23">
        <v>0.233402230555942</v>
      </c>
      <c r="AZ23">
        <v>0.26216047303925399</v>
      </c>
      <c r="BA23">
        <v>0.31563547961036098</v>
      </c>
      <c r="BB23">
        <v>0.18038145770570399</v>
      </c>
      <c r="BC23">
        <v>0.310477874659496</v>
      </c>
      <c r="BD23">
        <v>0.36019283738439201</v>
      </c>
      <c r="BE23">
        <v>0.64597268654884998</v>
      </c>
      <c r="BF23">
        <v>0.81414326519670499</v>
      </c>
      <c r="BG23">
        <v>0.57480778720516801</v>
      </c>
      <c r="BH23">
        <v>0.92131941758442404</v>
      </c>
      <c r="BI23">
        <v>2.4057622052519498</v>
      </c>
      <c r="BJ23">
        <v>13.0885000909347</v>
      </c>
      <c r="BK23">
        <v>13.0957444278467</v>
      </c>
      <c r="BL23">
        <v>17.912155095972199</v>
      </c>
      <c r="BM23" s="6">
        <v>32.766655675029199</v>
      </c>
      <c r="BN23">
        <v>13.191583060287</v>
      </c>
      <c r="BO23">
        <v>4.4752481824152399</v>
      </c>
      <c r="BP23">
        <v>10.374677187675699</v>
      </c>
      <c r="BQ23">
        <v>7.1253695064358302</v>
      </c>
      <c r="BR23">
        <v>3.4409635207682898</v>
      </c>
      <c r="BS23">
        <v>5.2457676059943301</v>
      </c>
      <c r="BT23">
        <v>1.86757360540513</v>
      </c>
      <c r="BU23">
        <v>2.07115972940068</v>
      </c>
      <c r="BV23">
        <v>1.56247982672101</v>
      </c>
      <c r="BW23">
        <v>1.6816546191880399</v>
      </c>
      <c r="BX23">
        <v>1.13411844111563</v>
      </c>
      <c r="BY23">
        <v>1.3969038779457701</v>
      </c>
      <c r="BZ23">
        <v>1.0584820242295501</v>
      </c>
      <c r="CA23">
        <v>0.90912809534103201</v>
      </c>
      <c r="CB23">
        <v>1.1363241374237001</v>
      </c>
      <c r="CC23">
        <v>0.66385662855336103</v>
      </c>
      <c r="CD23">
        <v>0.81945700270710797</v>
      </c>
      <c r="CE23">
        <v>0.89967845837980398</v>
      </c>
      <c r="CF23">
        <v>1.4194983034773401</v>
      </c>
      <c r="CG23">
        <v>1.33329627001333</v>
      </c>
      <c r="CH23">
        <v>1.1112664693525001</v>
      </c>
      <c r="CI23">
        <v>1.21006660900454</v>
      </c>
      <c r="CJ23">
        <v>0.72667900894849802</v>
      </c>
      <c r="CK23">
        <v>0.75535238770694801</v>
      </c>
      <c r="CL23">
        <v>0.59708431871392098</v>
      </c>
      <c r="CM23">
        <v>0.93152025012577999</v>
      </c>
      <c r="CN23">
        <v>0.53611120602034201</v>
      </c>
      <c r="CO23">
        <v>0.71411670864570098</v>
      </c>
      <c r="CP23">
        <v>0.49304522829133302</v>
      </c>
      <c r="CQ23">
        <v>0.590380444330735</v>
      </c>
      <c r="CR23">
        <v>0.46574768577345199</v>
      </c>
      <c r="CS23">
        <v>0.528729302909835</v>
      </c>
      <c r="CT23">
        <v>0.61732080325349603</v>
      </c>
      <c r="CU23">
        <v>0.48333935720036098</v>
      </c>
    </row>
    <row r="24" spans="1:99" x14ac:dyDescent="0.25">
      <c r="A24" t="s">
        <v>22</v>
      </c>
      <c r="B24">
        <v>0.206080124521515</v>
      </c>
      <c r="C24">
        <v>0.26087277290927302</v>
      </c>
      <c r="D24">
        <v>0.31891542736801498</v>
      </c>
      <c r="E24">
        <v>0.19144855820234899</v>
      </c>
      <c r="F24">
        <v>0.36460882144301299</v>
      </c>
      <c r="G24">
        <v>0.31991335756149297</v>
      </c>
      <c r="H24">
        <v>0.36537339294677401</v>
      </c>
      <c r="I24">
        <v>0.223187508271076</v>
      </c>
      <c r="J24">
        <v>0.337461766481368</v>
      </c>
      <c r="K24">
        <v>0.22326476881019899</v>
      </c>
      <c r="L24">
        <v>0.246321351991695</v>
      </c>
      <c r="M24">
        <v>0.26292242576851599</v>
      </c>
      <c r="N24">
        <v>0.24213436171845501</v>
      </c>
      <c r="O24">
        <v>0.29885730189252502</v>
      </c>
      <c r="P24">
        <v>0.25380563500673797</v>
      </c>
      <c r="Q24">
        <v>0.14942542495045799</v>
      </c>
      <c r="R24">
        <v>0.25873368517506501</v>
      </c>
      <c r="S24">
        <v>0.385784233943129</v>
      </c>
      <c r="T24">
        <v>0.26183071843278699</v>
      </c>
      <c r="U24">
        <v>0.21308507617437</v>
      </c>
      <c r="V24">
        <v>0.25459024375218903</v>
      </c>
      <c r="W24">
        <v>0.267594922960252</v>
      </c>
      <c r="X24">
        <v>0.20869583445930701</v>
      </c>
      <c r="Y24">
        <v>0.24847954095094299</v>
      </c>
      <c r="Z24">
        <v>0.291857584160233</v>
      </c>
      <c r="AA24">
        <v>0.219679457886998</v>
      </c>
      <c r="AB24">
        <v>0.27998121501526202</v>
      </c>
      <c r="AC24">
        <v>0.159251802230547</v>
      </c>
      <c r="AD24">
        <v>0.229959200783804</v>
      </c>
      <c r="AE24">
        <v>0.33135078035731202</v>
      </c>
      <c r="AF24">
        <v>0.37618328365890402</v>
      </c>
      <c r="AG24">
        <v>0.332657247799999</v>
      </c>
      <c r="AH24">
        <v>0.38659413106002799</v>
      </c>
      <c r="AI24">
        <v>0.38382568398385603</v>
      </c>
      <c r="AJ24">
        <v>0.33455102660685698</v>
      </c>
      <c r="AK24">
        <v>0.32309397919733801</v>
      </c>
      <c r="AL24">
        <v>0.27096755459011401</v>
      </c>
      <c r="AM24">
        <v>0.28194846246074201</v>
      </c>
      <c r="AN24">
        <v>0.28568339104513102</v>
      </c>
      <c r="AO24">
        <v>0.32597981701901302</v>
      </c>
      <c r="AP24">
        <v>0.24986052141244</v>
      </c>
      <c r="AQ24">
        <v>0.28762432099325203</v>
      </c>
      <c r="AR24">
        <v>0.23988904027496799</v>
      </c>
      <c r="AS24">
        <v>0.20863305256454301</v>
      </c>
      <c r="AT24">
        <v>0.12506734403250699</v>
      </c>
      <c r="AU24">
        <v>0.20849594585307399</v>
      </c>
      <c r="AV24">
        <v>0.14748854276215401</v>
      </c>
      <c r="AW24">
        <v>0.19292646325120899</v>
      </c>
      <c r="AX24">
        <v>0.25050716898126102</v>
      </c>
      <c r="AY24">
        <v>0.19389317074328899</v>
      </c>
      <c r="AZ24">
        <v>0.21193879462804499</v>
      </c>
      <c r="BA24">
        <v>0.272178529204474</v>
      </c>
      <c r="BB24">
        <v>0.18038145770570399</v>
      </c>
      <c r="BC24">
        <v>0.22709940332955</v>
      </c>
      <c r="BD24">
        <v>0.28398447698471202</v>
      </c>
      <c r="BE24">
        <v>0.47225777087915399</v>
      </c>
      <c r="BF24">
        <v>0.54241343750788695</v>
      </c>
      <c r="BG24">
        <v>0.45098027555938303</v>
      </c>
      <c r="BH24">
        <v>0.61815191623658605</v>
      </c>
      <c r="BI24">
        <v>1.7802516825740999</v>
      </c>
      <c r="BJ24">
        <v>10.2669730008237</v>
      </c>
      <c r="BK24">
        <v>10.027311150194301</v>
      </c>
      <c r="BL24">
        <v>12.9945581397086</v>
      </c>
      <c r="BM24" s="6">
        <v>23.646232936611899</v>
      </c>
      <c r="BN24">
        <v>9.1876867306316896</v>
      </c>
      <c r="BO24">
        <v>3.6803424691672899</v>
      </c>
      <c r="BP24">
        <v>8.2204222558396705</v>
      </c>
      <c r="BQ24">
        <v>5.3609964723142598</v>
      </c>
      <c r="BR24">
        <v>2.6596808186579599</v>
      </c>
      <c r="BS24">
        <v>3.4586591887256701</v>
      </c>
      <c r="BT24">
        <v>1.3126534147962099</v>
      </c>
      <c r="BU24">
        <v>1.44143155869774</v>
      </c>
      <c r="BV24">
        <v>1.20667425437445</v>
      </c>
      <c r="BW24">
        <v>1.17920345701087</v>
      </c>
      <c r="BX24">
        <v>0.82156977633566197</v>
      </c>
      <c r="BY24">
        <v>0.90786979684916402</v>
      </c>
      <c r="BZ24">
        <v>0.73996339454080395</v>
      </c>
      <c r="CA24">
        <v>0.61295561637529195</v>
      </c>
      <c r="CB24">
        <v>0.79165593105269105</v>
      </c>
      <c r="CC24">
        <v>0.517579284877693</v>
      </c>
      <c r="CD24">
        <v>0.55751182616853201</v>
      </c>
      <c r="CE24">
        <v>0.63724171908632199</v>
      </c>
      <c r="CF24">
        <v>0.83759644366706199</v>
      </c>
      <c r="CG24">
        <v>0.67029701042218504</v>
      </c>
      <c r="CH24">
        <v>0.73456203730403202</v>
      </c>
      <c r="CI24">
        <v>0.82103923830262004</v>
      </c>
      <c r="CJ24">
        <v>0.52234589722733704</v>
      </c>
      <c r="CK24">
        <v>0.41346292298903897</v>
      </c>
      <c r="CL24">
        <v>0.45147147028303097</v>
      </c>
      <c r="CM24">
        <v>0.62930681255923104</v>
      </c>
      <c r="CN24">
        <v>0.39410620013342501</v>
      </c>
      <c r="CO24">
        <v>0.46472376526624498</v>
      </c>
      <c r="CP24">
        <v>0.386474751018762</v>
      </c>
      <c r="CQ24">
        <v>0.43829297322162403</v>
      </c>
      <c r="CR24">
        <v>0.36830522815476902</v>
      </c>
      <c r="CS24">
        <v>0.42419494780456501</v>
      </c>
      <c r="CT24">
        <v>0.43993259859029799</v>
      </c>
      <c r="CU24">
        <v>0.38167491996522501</v>
      </c>
    </row>
    <row r="25" spans="1:99" x14ac:dyDescent="0.25">
      <c r="A25" t="s">
        <v>23</v>
      </c>
      <c r="B25">
        <v>0.215263815176818</v>
      </c>
      <c r="C25">
        <v>0.25578629581511297</v>
      </c>
      <c r="D25">
        <v>0.31386960630618299</v>
      </c>
      <c r="E25">
        <v>0.19153459305239601</v>
      </c>
      <c r="F25">
        <v>0.35790837751779703</v>
      </c>
      <c r="G25">
        <v>0.30713303615126702</v>
      </c>
      <c r="H25">
        <v>0.35018557179706</v>
      </c>
      <c r="I25">
        <v>0.22073955783402099</v>
      </c>
      <c r="J25">
        <v>0.33305140244218201</v>
      </c>
      <c r="K25">
        <v>0.22819098461055201</v>
      </c>
      <c r="L25">
        <v>0.24156147471818701</v>
      </c>
      <c r="M25">
        <v>0.26019490063227102</v>
      </c>
      <c r="N25">
        <v>0.24296825938071601</v>
      </c>
      <c r="O25">
        <v>0.294511384650883</v>
      </c>
      <c r="P25">
        <v>0.26102804327879298</v>
      </c>
      <c r="Q25">
        <v>0.15239517536932401</v>
      </c>
      <c r="R25">
        <v>0.25557563186569299</v>
      </c>
      <c r="S25">
        <v>0.37941664635844402</v>
      </c>
      <c r="T25">
        <v>0.26011954906013401</v>
      </c>
      <c r="U25">
        <v>0.21705008974513701</v>
      </c>
      <c r="V25">
        <v>0.25027303919062899</v>
      </c>
      <c r="W25">
        <v>0.266206027663561</v>
      </c>
      <c r="X25">
        <v>0.21264550002916299</v>
      </c>
      <c r="Y25">
        <v>0.24230009502095001</v>
      </c>
      <c r="Z25">
        <v>0.28182517233356402</v>
      </c>
      <c r="AA25">
        <v>0.20918607361004199</v>
      </c>
      <c r="AB25">
        <v>0.27861770512112799</v>
      </c>
      <c r="AC25">
        <v>0.16201706244486899</v>
      </c>
      <c r="AD25">
        <v>0.23206244140770399</v>
      </c>
      <c r="AE25">
        <v>0.32164771054659802</v>
      </c>
      <c r="AF25">
        <v>0.36394226678125202</v>
      </c>
      <c r="AG25">
        <v>0.32413431112808899</v>
      </c>
      <c r="AH25">
        <v>0.383707844299776</v>
      </c>
      <c r="AI25">
        <v>0.38354927918228998</v>
      </c>
      <c r="AJ25">
        <v>0.332567542158197</v>
      </c>
      <c r="AK25">
        <v>0.31778919193750699</v>
      </c>
      <c r="AL25">
        <v>0.26286881026513098</v>
      </c>
      <c r="AM25">
        <v>0.272513555129059</v>
      </c>
      <c r="AN25">
        <v>0.28256076688617798</v>
      </c>
      <c r="AO25">
        <v>0.32484932662190302</v>
      </c>
      <c r="AP25">
        <v>0.248529696999508</v>
      </c>
      <c r="AQ25">
        <v>0.26888094829664999</v>
      </c>
      <c r="AR25">
        <v>0.23538593620074599</v>
      </c>
      <c r="AS25">
        <v>0.20863305256454301</v>
      </c>
      <c r="AT25">
        <v>0.12506734403250699</v>
      </c>
      <c r="AU25">
        <v>0.19322693904680899</v>
      </c>
      <c r="AV25">
        <v>0.14927854063823301</v>
      </c>
      <c r="AW25">
        <v>0.19157744004650101</v>
      </c>
      <c r="AX25">
        <v>0.24671119531918101</v>
      </c>
      <c r="AY25">
        <v>0.190006126750454</v>
      </c>
      <c r="AZ25">
        <v>0.21403406367324801</v>
      </c>
      <c r="BA25">
        <v>0.272711263607473</v>
      </c>
      <c r="BB25">
        <v>0.18038145770570399</v>
      </c>
      <c r="BC25">
        <v>0.21182774984945299</v>
      </c>
      <c r="BD25">
        <v>0.2853037864672</v>
      </c>
      <c r="BE25">
        <v>0.46307885840976998</v>
      </c>
      <c r="BF25">
        <v>0.52640766179214005</v>
      </c>
      <c r="BG25">
        <v>0.44378125950115899</v>
      </c>
      <c r="BH25">
        <v>0.60656327565766399</v>
      </c>
      <c r="BI25">
        <v>1.7733734656573199</v>
      </c>
      <c r="BJ25">
        <v>10.223069060121199</v>
      </c>
      <c r="BK25">
        <v>9.9642990254837205</v>
      </c>
      <c r="BL25">
        <v>13.132190590028401</v>
      </c>
      <c r="BM25" s="6">
        <v>23.5741142606743</v>
      </c>
      <c r="BN25">
        <v>8.92293368436024</v>
      </c>
      <c r="BO25">
        <v>3.6089278131868499</v>
      </c>
      <c r="BP25">
        <v>8.0906256360783395</v>
      </c>
      <c r="BQ25">
        <v>5.3100533506015299</v>
      </c>
      <c r="BR25">
        <v>2.59719694878246</v>
      </c>
      <c r="BS25">
        <v>3.45679699478243</v>
      </c>
      <c r="BT25">
        <v>1.2841256688971801</v>
      </c>
      <c r="BU25">
        <v>1.4148288570916601</v>
      </c>
      <c r="BV25">
        <v>1.1850135078460899</v>
      </c>
      <c r="BW25">
        <v>1.1685491830855399</v>
      </c>
      <c r="BX25">
        <v>0.82077118928812098</v>
      </c>
      <c r="BY25">
        <v>0.87848413595224495</v>
      </c>
      <c r="BZ25">
        <v>0.71870918272983397</v>
      </c>
      <c r="CA25">
        <v>0.60482250579465402</v>
      </c>
      <c r="CB25">
        <v>0.78374417696827303</v>
      </c>
      <c r="CC25">
        <v>0.51624137421187</v>
      </c>
      <c r="CD25">
        <v>0.53139112322797599</v>
      </c>
      <c r="CE25">
        <v>0.63137507053557096</v>
      </c>
      <c r="CF25">
        <v>0.85896879000637505</v>
      </c>
      <c r="CG25">
        <v>0.64355141253985004</v>
      </c>
      <c r="CH25">
        <v>0.707836688886742</v>
      </c>
      <c r="CI25">
        <v>0.78680575707173805</v>
      </c>
      <c r="CJ25">
        <v>0.52134899042361804</v>
      </c>
      <c r="CK25">
        <v>0.40647621919581101</v>
      </c>
      <c r="CL25">
        <v>0.44391861186561699</v>
      </c>
      <c r="CM25">
        <v>0.61636829254923897</v>
      </c>
      <c r="CN25">
        <v>0.38300611193315198</v>
      </c>
      <c r="CO25">
        <v>0.463258870675061</v>
      </c>
      <c r="CP25">
        <v>0.38994528207314499</v>
      </c>
      <c r="CQ25">
        <v>0.43337980396832798</v>
      </c>
      <c r="CR25">
        <v>0.36568551699979002</v>
      </c>
      <c r="CS25">
        <v>0.42577701677101298</v>
      </c>
      <c r="CT25">
        <v>0.43273167669327101</v>
      </c>
      <c r="CU25">
        <v>0.37668964229559598</v>
      </c>
    </row>
    <row r="26" spans="1:99" x14ac:dyDescent="0.25">
      <c r="A26" t="s">
        <v>24</v>
      </c>
      <c r="B26">
        <v>0.933173136473473</v>
      </c>
      <c r="C26">
        <v>1.23364848969805</v>
      </c>
      <c r="D26">
        <v>1.7670184417105601</v>
      </c>
      <c r="E26">
        <v>0.81820476040567502</v>
      </c>
      <c r="F26">
        <v>1.9662001680446799</v>
      </c>
      <c r="G26">
        <v>1.9781814847855801</v>
      </c>
      <c r="H26">
        <v>1.9782816939479899</v>
      </c>
      <c r="I26">
        <v>1.1217604855056</v>
      </c>
      <c r="J26">
        <v>1.6510128161304001</v>
      </c>
      <c r="K26">
        <v>1.0133977122550599</v>
      </c>
      <c r="L26">
        <v>1.20450625030764</v>
      </c>
      <c r="M26">
        <v>1.3450866603798901</v>
      </c>
      <c r="N26">
        <v>1.0452071062022401</v>
      </c>
      <c r="O26">
        <v>1.3727573265167199</v>
      </c>
      <c r="P26">
        <v>1.3358398156959199</v>
      </c>
      <c r="Q26">
        <v>0.66824167865378403</v>
      </c>
      <c r="R26">
        <v>1.4365770305546099</v>
      </c>
      <c r="S26">
        <v>2.4157196396813201</v>
      </c>
      <c r="T26">
        <v>1.3022926204916501</v>
      </c>
      <c r="U26">
        <v>0.97889055342212095</v>
      </c>
      <c r="V26">
        <v>1.2315779577191099</v>
      </c>
      <c r="W26">
        <v>1.4076168451084199</v>
      </c>
      <c r="X26">
        <v>0.97008989803392498</v>
      </c>
      <c r="Y26">
        <v>1.3615954854416299</v>
      </c>
      <c r="Z26">
        <v>1.96943821622463</v>
      </c>
      <c r="AA26">
        <v>1.22463169908819</v>
      </c>
      <c r="AB26">
        <v>1.5085292657156399</v>
      </c>
      <c r="AC26">
        <v>0.79401866210020999</v>
      </c>
      <c r="AD26">
        <v>1.11174549750392</v>
      </c>
      <c r="AE26">
        <v>1.9877134582178899</v>
      </c>
      <c r="AF26">
        <v>2.1489085717438101</v>
      </c>
      <c r="AG26">
        <v>1.99229693435674</v>
      </c>
      <c r="AH26">
        <v>1.96145433308261</v>
      </c>
      <c r="AI26">
        <v>2.02582517443191</v>
      </c>
      <c r="AJ26">
        <v>1.6048311569265601</v>
      </c>
      <c r="AK26">
        <v>1.8111047899494099</v>
      </c>
      <c r="AL26">
        <v>1.3436332700593501</v>
      </c>
      <c r="AM26">
        <v>1.8244080581428599</v>
      </c>
      <c r="AN26">
        <v>1.41573625430673</v>
      </c>
      <c r="AO26">
        <v>1.6184083477693201</v>
      </c>
      <c r="AP26">
        <v>1.2169875037098501</v>
      </c>
      <c r="AQ26">
        <v>1.7807615372688901</v>
      </c>
      <c r="AR26">
        <v>1.23744900927371</v>
      </c>
      <c r="AS26">
        <v>0.83453221025817204</v>
      </c>
      <c r="AT26">
        <v>0.50026937613002997</v>
      </c>
      <c r="AU26">
        <v>1.01141819597881</v>
      </c>
      <c r="AV26">
        <v>0.67983361768654305</v>
      </c>
      <c r="AW26">
        <v>1.13512953220157</v>
      </c>
      <c r="AX26">
        <v>1.4934566331071699</v>
      </c>
      <c r="AY26">
        <v>0.93360892222377101</v>
      </c>
      <c r="AZ26">
        <v>1.04864189215701</v>
      </c>
      <c r="BA26">
        <v>1.2625419184414399</v>
      </c>
      <c r="BB26">
        <v>0.72152583082281796</v>
      </c>
      <c r="BC26">
        <v>1.24191149863798</v>
      </c>
      <c r="BD26">
        <v>1.44077134953757</v>
      </c>
      <c r="BE26">
        <v>2.5838907461953999</v>
      </c>
      <c r="BF26">
        <v>3.25657306078682</v>
      </c>
      <c r="BG26">
        <v>2.2992311488206698</v>
      </c>
      <c r="BH26">
        <v>3.6852776703376899</v>
      </c>
      <c r="BI26">
        <v>9.62304882100781</v>
      </c>
      <c r="BJ26">
        <v>52.354000363738997</v>
      </c>
      <c r="BK26">
        <v>52.382977711386999</v>
      </c>
      <c r="BL26">
        <v>71.648620383888797</v>
      </c>
      <c r="BM26" s="6">
        <v>131.066622700116</v>
      </c>
      <c r="BN26">
        <v>52.766332241148</v>
      </c>
      <c r="BO26">
        <v>17.900992729660899</v>
      </c>
      <c r="BP26">
        <v>41.498708750703003</v>
      </c>
      <c r="BQ26">
        <v>28.5014780257433</v>
      </c>
      <c r="BR26">
        <v>13.763854083073101</v>
      </c>
      <c r="BS26">
        <v>20.983070423977299</v>
      </c>
      <c r="BT26">
        <v>7.4702944216205198</v>
      </c>
      <c r="BU26">
        <v>8.2846389176027504</v>
      </c>
      <c r="BV26">
        <v>6.2499193068840597</v>
      </c>
      <c r="BW26">
        <v>6.7266184767521597</v>
      </c>
      <c r="BX26">
        <v>4.5364737644625297</v>
      </c>
      <c r="BY26">
        <v>5.5876155117831097</v>
      </c>
      <c r="BZ26">
        <v>4.23392809691821</v>
      </c>
      <c r="CA26">
        <v>3.6365123813641298</v>
      </c>
      <c r="CB26">
        <v>4.5452965496948101</v>
      </c>
      <c r="CC26">
        <v>2.6554265142134401</v>
      </c>
      <c r="CD26">
        <v>3.2778280108284301</v>
      </c>
      <c r="CE26">
        <v>3.5987138335192101</v>
      </c>
      <c r="CF26">
        <v>5.6779932139093896</v>
      </c>
      <c r="CG26">
        <v>5.3331850800533198</v>
      </c>
      <c r="CH26">
        <v>4.4450658774100296</v>
      </c>
      <c r="CI26">
        <v>4.8402664360181902</v>
      </c>
      <c r="CJ26">
        <v>2.9067160357939898</v>
      </c>
      <c r="CK26">
        <v>3.0214095508277898</v>
      </c>
      <c r="CL26">
        <v>2.3883372748556799</v>
      </c>
      <c r="CM26">
        <v>3.72608100050312</v>
      </c>
      <c r="CN26">
        <v>2.1444448240813601</v>
      </c>
      <c r="CO26">
        <v>2.8564668345827999</v>
      </c>
      <c r="CP26">
        <v>1.9721809131653301</v>
      </c>
      <c r="CQ26">
        <v>2.36152177732294</v>
      </c>
      <c r="CR26">
        <v>1.86299074309381</v>
      </c>
      <c r="CS26">
        <v>2.11491721163934</v>
      </c>
      <c r="CT26">
        <v>2.4692832130139801</v>
      </c>
      <c r="CU26">
        <v>1.9333574288014399</v>
      </c>
    </row>
    <row r="27" spans="1:99" x14ac:dyDescent="0.25">
      <c r="A27" t="s">
        <v>25</v>
      </c>
      <c r="B27">
        <v>0.753667122798656</v>
      </c>
      <c r="C27">
        <v>0.97385900047171003</v>
      </c>
      <c r="D27">
        <v>1.1607962160185099</v>
      </c>
      <c r="E27">
        <v>0.64456656967669101</v>
      </c>
      <c r="F27">
        <v>1.3919279554044699</v>
      </c>
      <c r="G27">
        <v>1.19330025887491</v>
      </c>
      <c r="H27">
        <v>1.3467543446469701</v>
      </c>
      <c r="I27">
        <v>0.79019591542878098</v>
      </c>
      <c r="J27">
        <v>1.2958983034701099</v>
      </c>
      <c r="K27">
        <v>0.77261330114724402</v>
      </c>
      <c r="L27">
        <v>0.90687319260830201</v>
      </c>
      <c r="M27">
        <v>0.95871547663024104</v>
      </c>
      <c r="N27">
        <v>0.88928516471526797</v>
      </c>
      <c r="O27">
        <v>1.1106493430845099</v>
      </c>
      <c r="P27">
        <v>0.91552677188915199</v>
      </c>
      <c r="Q27">
        <v>0.52628227394261795</v>
      </c>
      <c r="R27">
        <v>0.92867108789571395</v>
      </c>
      <c r="S27">
        <v>1.51480229854675</v>
      </c>
      <c r="T27">
        <v>0.91674196526095697</v>
      </c>
      <c r="U27">
        <v>0.76172188844553901</v>
      </c>
      <c r="V27">
        <v>0.95909207996946999</v>
      </c>
      <c r="W27">
        <v>0.97939332270350998</v>
      </c>
      <c r="X27">
        <v>0.75761667877605898</v>
      </c>
      <c r="Y27">
        <v>0.87853608207117895</v>
      </c>
      <c r="Z27">
        <v>1.0947649151088501</v>
      </c>
      <c r="AA27">
        <v>0.77240684133619497</v>
      </c>
      <c r="AB27">
        <v>1.0411968492703201</v>
      </c>
      <c r="AC27">
        <v>0.58617058526945098</v>
      </c>
      <c r="AD27">
        <v>0.79623284667823302</v>
      </c>
      <c r="AE27">
        <v>1.27833708578927</v>
      </c>
      <c r="AF27">
        <v>1.4614538187088</v>
      </c>
      <c r="AG27">
        <v>1.2741107813518899</v>
      </c>
      <c r="AH27">
        <v>1.5122441467982199</v>
      </c>
      <c r="AI27">
        <v>1.4934070978663101</v>
      </c>
      <c r="AJ27">
        <v>1.2904373930767099</v>
      </c>
      <c r="AK27">
        <v>1.2195996628449199</v>
      </c>
      <c r="AL27">
        <v>0.99287000932384994</v>
      </c>
      <c r="AM27">
        <v>1.0209836386506701</v>
      </c>
      <c r="AN27">
        <v>1.05537819027512</v>
      </c>
      <c r="AO27">
        <v>1.26063502480225</v>
      </c>
      <c r="AP27">
        <v>0.88759650233471299</v>
      </c>
      <c r="AQ27">
        <v>0.98087112752588501</v>
      </c>
      <c r="AR27">
        <v>0.86995232777499698</v>
      </c>
      <c r="AS27">
        <v>0.63915220299068698</v>
      </c>
      <c r="AT27">
        <v>0.400518172126896</v>
      </c>
      <c r="AU27">
        <v>0.75103153436881998</v>
      </c>
      <c r="AV27">
        <v>0.53844027273721795</v>
      </c>
      <c r="AW27">
        <v>0.71364992859898502</v>
      </c>
      <c r="AX27">
        <v>0.89376552310538004</v>
      </c>
      <c r="AY27">
        <v>0.73808335745105302</v>
      </c>
      <c r="AZ27">
        <v>0.82614888416036203</v>
      </c>
      <c r="BA27">
        <v>0.99721593329932801</v>
      </c>
      <c r="BB27">
        <v>0.47824924680178299</v>
      </c>
      <c r="BC27">
        <v>0.76704444994488197</v>
      </c>
      <c r="BD27">
        <v>1.07270704972915</v>
      </c>
      <c r="BE27">
        <v>1.88423051598767</v>
      </c>
      <c r="BF27">
        <v>2.16965375003155</v>
      </c>
      <c r="BG27">
        <v>1.76952185460716</v>
      </c>
      <c r="BH27">
        <v>2.4726076649463402</v>
      </c>
      <c r="BI27">
        <v>7.1210067302964104</v>
      </c>
      <c r="BJ27">
        <v>41.067892003294901</v>
      </c>
      <c r="BK27">
        <v>40.109244600777402</v>
      </c>
      <c r="BL27">
        <v>51.978232558834399</v>
      </c>
      <c r="BM27" s="6">
        <v>94.584931746447893</v>
      </c>
      <c r="BN27">
        <v>36.750746922526702</v>
      </c>
      <c r="BO27">
        <v>14.721369876669099</v>
      </c>
      <c r="BP27">
        <v>32.881689023358597</v>
      </c>
      <c r="BQ27">
        <v>21.443985889257</v>
      </c>
      <c r="BR27">
        <v>10.638723274631801</v>
      </c>
      <c r="BS27">
        <v>13.834636754902601</v>
      </c>
      <c r="BT27">
        <v>5.2506136591848396</v>
      </c>
      <c r="BU27">
        <v>5.7657262347909599</v>
      </c>
      <c r="BV27">
        <v>4.8266970174978097</v>
      </c>
      <c r="BW27">
        <v>4.7168138280434802</v>
      </c>
      <c r="BX27">
        <v>3.2862791053426501</v>
      </c>
      <c r="BY27">
        <v>3.6314791873966499</v>
      </c>
      <c r="BZ27">
        <v>2.95985357816321</v>
      </c>
      <c r="CA27">
        <v>2.4518224655011598</v>
      </c>
      <c r="CB27">
        <v>3.1666237242107602</v>
      </c>
      <c r="CC27">
        <v>2.0375313871135101</v>
      </c>
      <c r="CD27">
        <v>2.2245031282112602</v>
      </c>
      <c r="CE27">
        <v>2.5489668763452902</v>
      </c>
      <c r="CF27">
        <v>3.3503857746682399</v>
      </c>
      <c r="CG27">
        <v>2.6811880416887401</v>
      </c>
      <c r="CH27">
        <v>2.9382481492161201</v>
      </c>
      <c r="CI27">
        <v>3.2841569532104802</v>
      </c>
      <c r="CJ27">
        <v>2.0893835889093499</v>
      </c>
      <c r="CK27">
        <v>1.6322001866328599</v>
      </c>
      <c r="CL27">
        <v>1.8032976932926501</v>
      </c>
      <c r="CM27">
        <v>2.5172272502369202</v>
      </c>
      <c r="CN27">
        <v>1.5435890609412399</v>
      </c>
      <c r="CO27">
        <v>1.8492781691912299</v>
      </c>
      <c r="CP27">
        <v>1.50440008698817</v>
      </c>
      <c r="CQ27">
        <v>1.7225923499913101</v>
      </c>
      <c r="CR27">
        <v>1.4376309524067199</v>
      </c>
      <c r="CS27">
        <v>1.69042876194701</v>
      </c>
      <c r="CT27">
        <v>1.73161811868183</v>
      </c>
      <c r="CU27">
        <v>1.4996537136017301</v>
      </c>
    </row>
    <row r="28" spans="1:99" x14ac:dyDescent="0.25">
      <c r="A28" t="s">
        <v>26</v>
      </c>
      <c r="B28">
        <v>0.75811015850822605</v>
      </c>
      <c r="C28">
        <v>0.96683609357850897</v>
      </c>
      <c r="D28">
        <v>1.1333512326850499</v>
      </c>
      <c r="E28">
        <v>0.64957480014927504</v>
      </c>
      <c r="F28">
        <v>1.36060325744665</v>
      </c>
      <c r="G28">
        <v>1.16489158389586</v>
      </c>
      <c r="H28">
        <v>1.3167851351151001</v>
      </c>
      <c r="I28">
        <v>0.77980258635690602</v>
      </c>
      <c r="J28">
        <v>1.28052580642806</v>
      </c>
      <c r="K28">
        <v>0.74580397233962903</v>
      </c>
      <c r="L28">
        <v>0.889168605471094</v>
      </c>
      <c r="M28">
        <v>0.93711049050660999</v>
      </c>
      <c r="N28">
        <v>0.88838380278405804</v>
      </c>
      <c r="O28">
        <v>1.1072006029280901</v>
      </c>
      <c r="P28">
        <v>0.89437631360034098</v>
      </c>
      <c r="Q28">
        <v>0.51971444662079602</v>
      </c>
      <c r="R28">
        <v>0.91397607410338499</v>
      </c>
      <c r="S28">
        <v>1.4608308313751901</v>
      </c>
      <c r="T28">
        <v>0.89215018751734099</v>
      </c>
      <c r="U28">
        <v>0.73298697803370205</v>
      </c>
      <c r="V28">
        <v>0.93748320533276797</v>
      </c>
      <c r="W28">
        <v>0.94612225755340296</v>
      </c>
      <c r="X28">
        <v>0.76165411121523596</v>
      </c>
      <c r="Y28">
        <v>0.86670520416020702</v>
      </c>
      <c r="Z28">
        <v>1.0498800802282899</v>
      </c>
      <c r="AA28">
        <v>0.74120767400897603</v>
      </c>
      <c r="AB28">
        <v>1.0333923055643599</v>
      </c>
      <c r="AC28">
        <v>0.58018486868100205</v>
      </c>
      <c r="AD28">
        <v>0.79815376748728795</v>
      </c>
      <c r="AE28">
        <v>1.25983118909472</v>
      </c>
      <c r="AF28">
        <v>1.41123797680952</v>
      </c>
      <c r="AG28">
        <v>1.26055357584415</v>
      </c>
      <c r="AH28">
        <v>1.50783856235457</v>
      </c>
      <c r="AI28">
        <v>1.4718966900916799</v>
      </c>
      <c r="AJ28">
        <v>1.2770393667209401</v>
      </c>
      <c r="AK28">
        <v>1.2155740664199599</v>
      </c>
      <c r="AL28">
        <v>0.95678994936115003</v>
      </c>
      <c r="AM28">
        <v>0.99813646691423896</v>
      </c>
      <c r="AN28">
        <v>1.0255895974418601</v>
      </c>
      <c r="AO28">
        <v>1.2529994234644</v>
      </c>
      <c r="AP28">
        <v>0.87795184890515898</v>
      </c>
      <c r="AQ28">
        <v>0.97163626926190805</v>
      </c>
      <c r="AR28">
        <v>0.86360068692237202</v>
      </c>
      <c r="AS28">
        <v>0.63879840402161803</v>
      </c>
      <c r="AT28">
        <v>0.40226883393963297</v>
      </c>
      <c r="AU28">
        <v>0.74184407824395404</v>
      </c>
      <c r="AV28">
        <v>0.55204401315982699</v>
      </c>
      <c r="AW28">
        <v>0.69689513758420896</v>
      </c>
      <c r="AX28">
        <v>0.87673900259370097</v>
      </c>
      <c r="AY28">
        <v>0.73856887487151401</v>
      </c>
      <c r="AZ28">
        <v>0.82959191401149501</v>
      </c>
      <c r="BA28">
        <v>0.98952435727323196</v>
      </c>
      <c r="BB28">
        <v>0.47034526979838498</v>
      </c>
      <c r="BC28">
        <v>0.75699241334594702</v>
      </c>
      <c r="BD28">
        <v>1.05078868958676</v>
      </c>
      <c r="BE28">
        <v>1.84934841724567</v>
      </c>
      <c r="BF28">
        <v>2.1056306471685602</v>
      </c>
      <c r="BG28">
        <v>1.74910980380794</v>
      </c>
      <c r="BH28">
        <v>2.4262531026306502</v>
      </c>
      <c r="BI28">
        <v>7.0934938626292796</v>
      </c>
      <c r="BJ28">
        <v>40.892276240485003</v>
      </c>
      <c r="BK28">
        <v>39.857196101934903</v>
      </c>
      <c r="BL28">
        <v>52.528762360113603</v>
      </c>
      <c r="BM28" s="6">
        <v>94.296457042697497</v>
      </c>
      <c r="BN28">
        <v>35.691734737440903</v>
      </c>
      <c r="BO28">
        <v>14.435711252747399</v>
      </c>
      <c r="BP28">
        <v>32.362502544313301</v>
      </c>
      <c r="BQ28">
        <v>21.240213402406098</v>
      </c>
      <c r="BR28">
        <v>10.388787795129801</v>
      </c>
      <c r="BS28">
        <v>13.8271879791297</v>
      </c>
      <c r="BT28">
        <v>5.1365026755887397</v>
      </c>
      <c r="BU28">
        <v>5.6593154283666403</v>
      </c>
      <c r="BV28">
        <v>4.7400540313843802</v>
      </c>
      <c r="BW28">
        <v>4.6741967323421898</v>
      </c>
      <c r="BX28">
        <v>3.2830847571524799</v>
      </c>
      <c r="BY28">
        <v>3.5139365438089798</v>
      </c>
      <c r="BZ28">
        <v>2.8748367309193301</v>
      </c>
      <c r="CA28">
        <v>2.4192900231786099</v>
      </c>
      <c r="CB28">
        <v>3.1349767078730899</v>
      </c>
      <c r="CC28">
        <v>2.04943876365944</v>
      </c>
      <c r="CD28">
        <v>2.12108119371117</v>
      </c>
      <c r="CE28">
        <v>2.5255002821422798</v>
      </c>
      <c r="CF28">
        <v>3.4358751600255002</v>
      </c>
      <c r="CG28">
        <v>2.5742056501594002</v>
      </c>
      <c r="CH28">
        <v>2.8313467555469698</v>
      </c>
      <c r="CI28">
        <v>3.14722302828695</v>
      </c>
      <c r="CJ28">
        <v>2.0853959616944699</v>
      </c>
      <c r="CK28">
        <v>1.5916872092983001</v>
      </c>
      <c r="CL28">
        <v>1.7598235343956199</v>
      </c>
      <c r="CM28">
        <v>2.4654731701969501</v>
      </c>
      <c r="CN28">
        <v>1.5006080921318301</v>
      </c>
      <c r="CO28">
        <v>1.8377864176465</v>
      </c>
      <c r="CP28">
        <v>1.47691436956334</v>
      </c>
      <c r="CQ28">
        <v>1.7138815846284099</v>
      </c>
      <c r="CR28">
        <v>1.41883928979296</v>
      </c>
      <c r="CS28">
        <v>1.7015935778748299</v>
      </c>
      <c r="CT28">
        <v>1.7010728859827799</v>
      </c>
      <c r="CU28">
        <v>1.5002928810441201</v>
      </c>
    </row>
    <row r="29" spans="1:99" x14ac:dyDescent="0.25">
      <c r="A29" t="s">
        <v>32</v>
      </c>
      <c r="B29">
        <v>0.85462156099999997</v>
      </c>
      <c r="C29">
        <v>0.99067576999999996</v>
      </c>
      <c r="D29">
        <v>1.1441742989999999</v>
      </c>
      <c r="E29">
        <v>0.73432993800000002</v>
      </c>
      <c r="F29">
        <v>1.317101139</v>
      </c>
      <c r="G29">
        <v>1.1441742989999999</v>
      </c>
      <c r="H29">
        <v>1.257509953</v>
      </c>
      <c r="I29">
        <v>0.85462156099999997</v>
      </c>
      <c r="J29">
        <v>1.257509953</v>
      </c>
      <c r="K29">
        <v>0.85462156099999997</v>
      </c>
      <c r="L29">
        <v>0.99067576999999996</v>
      </c>
      <c r="M29">
        <v>0.99067576999999996</v>
      </c>
      <c r="N29">
        <v>0.99067576999999996</v>
      </c>
      <c r="O29">
        <v>1.1441742989999999</v>
      </c>
      <c r="P29">
        <v>0.99067576999999996</v>
      </c>
      <c r="Q29">
        <v>0.66228851600000005</v>
      </c>
      <c r="R29">
        <v>0.99067576999999996</v>
      </c>
      <c r="S29">
        <v>1.4444654269999999</v>
      </c>
      <c r="T29">
        <v>0.99067576999999996</v>
      </c>
      <c r="U29">
        <v>0.85462156099999997</v>
      </c>
      <c r="V29">
        <v>0.99067576999999996</v>
      </c>
      <c r="W29">
        <v>0.99067576999999996</v>
      </c>
      <c r="X29">
        <v>0.89783227600000004</v>
      </c>
      <c r="Y29">
        <v>0.99067576999999996</v>
      </c>
      <c r="Z29">
        <v>1.1441742989999999</v>
      </c>
      <c r="AA29">
        <v>0.89783227600000004</v>
      </c>
      <c r="AB29">
        <v>1.1441742989999999</v>
      </c>
      <c r="AC29">
        <v>0.73432993800000002</v>
      </c>
      <c r="AD29">
        <v>0.85462156099999997</v>
      </c>
      <c r="AE29">
        <v>1.145105356</v>
      </c>
      <c r="AF29">
        <v>1.257509953</v>
      </c>
      <c r="AG29">
        <v>1.145105356</v>
      </c>
      <c r="AH29">
        <v>1.318149035</v>
      </c>
      <c r="AI29">
        <v>1.318149035</v>
      </c>
      <c r="AJ29">
        <v>1.145105356</v>
      </c>
      <c r="AK29">
        <v>1.145105356</v>
      </c>
      <c r="AL29">
        <v>0.99150227300000005</v>
      </c>
      <c r="AM29">
        <v>0.99150227300000005</v>
      </c>
      <c r="AN29">
        <v>0.99150227300000005</v>
      </c>
      <c r="AO29">
        <v>1.145105356</v>
      </c>
      <c r="AP29">
        <v>0.89859415399999998</v>
      </c>
      <c r="AQ29">
        <v>0.89859415399999998</v>
      </c>
      <c r="AR29">
        <v>0.85535298199999998</v>
      </c>
      <c r="AS29">
        <v>0.66228851600000005</v>
      </c>
      <c r="AT29">
        <v>0.475692385</v>
      </c>
      <c r="AU29">
        <v>0.77321039300000005</v>
      </c>
      <c r="AV29">
        <v>0.56216848100000005</v>
      </c>
      <c r="AW29">
        <v>0.73432993800000002</v>
      </c>
      <c r="AX29">
        <v>0.85462156099999997</v>
      </c>
      <c r="AY29">
        <v>0.772537527</v>
      </c>
      <c r="AZ29">
        <v>0.85462156099999997</v>
      </c>
      <c r="BA29">
        <v>0.89783227600000004</v>
      </c>
      <c r="BB29">
        <v>0.56216848100000005</v>
      </c>
      <c r="BC29">
        <v>0.77321039300000005</v>
      </c>
      <c r="BD29">
        <v>0.89859415399999998</v>
      </c>
      <c r="BE29">
        <v>1.5125919880000001</v>
      </c>
      <c r="BF29">
        <v>1.654461261</v>
      </c>
      <c r="BG29">
        <v>1.5125919880000001</v>
      </c>
      <c r="BH29">
        <v>1.88950475</v>
      </c>
      <c r="BI29">
        <v>4.4021109559999996</v>
      </c>
      <c r="BJ29">
        <v>14.6021538</v>
      </c>
      <c r="BK29">
        <v>13.238676509999999</v>
      </c>
      <c r="BL29">
        <v>14.6021538</v>
      </c>
      <c r="BM29" s="6">
        <v>20.131538750000001</v>
      </c>
      <c r="BN29">
        <v>10.529934320000001</v>
      </c>
      <c r="BO29">
        <v>5.509495866</v>
      </c>
      <c r="BP29">
        <v>9.2095990650000008</v>
      </c>
      <c r="BQ29">
        <v>6.5397134279999998</v>
      </c>
      <c r="BR29">
        <v>3.8698277910000001</v>
      </c>
      <c r="BS29">
        <v>5.509495866</v>
      </c>
      <c r="BT29">
        <v>2.6539428329999999</v>
      </c>
      <c r="BU29">
        <v>2.8809824239999999</v>
      </c>
      <c r="BV29">
        <v>2.6558198119999998</v>
      </c>
      <c r="BW29">
        <v>2.6558198119999998</v>
      </c>
      <c r="BX29">
        <v>2.0619739560000001</v>
      </c>
      <c r="BY29">
        <v>2.3436582540000002</v>
      </c>
      <c r="BZ29">
        <v>2.0619739560000001</v>
      </c>
      <c r="CA29">
        <v>1.8086265969999999</v>
      </c>
      <c r="CB29">
        <v>2.3436582540000002</v>
      </c>
      <c r="CC29">
        <v>1.654461261</v>
      </c>
      <c r="CD29">
        <v>1.8086265969999999</v>
      </c>
      <c r="CE29">
        <v>1.8086265969999999</v>
      </c>
      <c r="CF29">
        <v>2.1522282119999998</v>
      </c>
      <c r="CG29">
        <v>1.88950475</v>
      </c>
      <c r="CH29">
        <v>2.1522282119999998</v>
      </c>
      <c r="CI29">
        <v>2.3419653060000001</v>
      </c>
      <c r="CJ29">
        <v>1.654461261</v>
      </c>
      <c r="CK29">
        <v>1.5125919880000001</v>
      </c>
      <c r="CL29">
        <v>1.654461261</v>
      </c>
      <c r="CM29">
        <v>2.1522282119999998</v>
      </c>
      <c r="CN29">
        <v>1.511415151</v>
      </c>
      <c r="CO29">
        <v>1.729502407</v>
      </c>
      <c r="CP29">
        <v>1.511415151</v>
      </c>
      <c r="CQ29">
        <v>1.654461261</v>
      </c>
      <c r="CR29">
        <v>1.4444654269999999</v>
      </c>
      <c r="CS29">
        <v>1.654461261</v>
      </c>
      <c r="CT29">
        <v>1.729502407</v>
      </c>
      <c r="CU29">
        <v>1.511415151</v>
      </c>
    </row>
    <row r="30" spans="1:99" x14ac:dyDescent="0.25">
      <c r="A30" t="s">
        <v>33</v>
      </c>
      <c r="B30">
        <v>0.610245224207842</v>
      </c>
      <c r="C30">
        <v>0.745384444551901</v>
      </c>
      <c r="D30">
        <v>0.90592803042090297</v>
      </c>
      <c r="E30">
        <v>0.49692717338522502</v>
      </c>
      <c r="F30">
        <v>1.09613913375522</v>
      </c>
      <c r="G30">
        <v>0.90592803042090297</v>
      </c>
      <c r="H30">
        <v>1.0295272690455599</v>
      </c>
      <c r="I30">
        <v>0.610245224207842</v>
      </c>
      <c r="J30">
        <v>1.0295272690455599</v>
      </c>
      <c r="K30">
        <v>0.610245224207842</v>
      </c>
      <c r="L30">
        <v>0.745384444551901</v>
      </c>
      <c r="M30">
        <v>0.745384444551901</v>
      </c>
      <c r="N30">
        <v>0.745384444551901</v>
      </c>
      <c r="O30">
        <v>0.90592803042090297</v>
      </c>
      <c r="P30">
        <v>0.745384444551901</v>
      </c>
      <c r="Q30">
        <v>0.43208528076172198</v>
      </c>
      <c r="R30">
        <v>0.745384444551901</v>
      </c>
      <c r="S30">
        <v>1.24207802793927</v>
      </c>
      <c r="T30">
        <v>0.745384444551901</v>
      </c>
      <c r="U30">
        <v>0.610245224207842</v>
      </c>
      <c r="V30">
        <v>0.745384444551901</v>
      </c>
      <c r="W30">
        <v>0.745384444551901</v>
      </c>
      <c r="X30">
        <v>0.65239566148419104</v>
      </c>
      <c r="Y30">
        <v>0.745384444551901</v>
      </c>
      <c r="Z30">
        <v>0.90592803042090297</v>
      </c>
      <c r="AA30">
        <v>0.65239566148419104</v>
      </c>
      <c r="AB30">
        <v>0.90592803042090297</v>
      </c>
      <c r="AC30">
        <v>0.49692717338522502</v>
      </c>
      <c r="AD30">
        <v>0.610245224207842</v>
      </c>
      <c r="AE30">
        <v>0.90692639938361197</v>
      </c>
      <c r="AF30">
        <v>1.0295272690455599</v>
      </c>
      <c r="AG30">
        <v>0.90692639938361197</v>
      </c>
      <c r="AH30">
        <v>1.0973202064775101</v>
      </c>
      <c r="AI30">
        <v>1.0973202064775101</v>
      </c>
      <c r="AJ30">
        <v>0.90692639938361197</v>
      </c>
      <c r="AK30">
        <v>0.90692639938361197</v>
      </c>
      <c r="AL30">
        <v>0.74622663069152195</v>
      </c>
      <c r="AM30">
        <v>0.74622663069152195</v>
      </c>
      <c r="AN30">
        <v>0.74622663069152195</v>
      </c>
      <c r="AO30">
        <v>0.90692639938361197</v>
      </c>
      <c r="AP30">
        <v>0.65314541282892502</v>
      </c>
      <c r="AQ30">
        <v>0.65314541282892502</v>
      </c>
      <c r="AR30">
        <v>0.610952541861425</v>
      </c>
      <c r="AS30">
        <v>0.43208528076172198</v>
      </c>
      <c r="AT30">
        <v>0.27603034719595299</v>
      </c>
      <c r="AU30">
        <v>0.53288478182299504</v>
      </c>
      <c r="AV30">
        <v>0.346085690312679</v>
      </c>
      <c r="AW30">
        <v>0.49692717338522502</v>
      </c>
      <c r="AX30">
        <v>0.610245224207842</v>
      </c>
      <c r="AY30">
        <v>0.53225694320399697</v>
      </c>
      <c r="AZ30">
        <v>0.610245224207842</v>
      </c>
      <c r="BA30">
        <v>0.65239566148419104</v>
      </c>
      <c r="BB30">
        <v>0.346085690312679</v>
      </c>
      <c r="BC30">
        <v>0.53288478182299504</v>
      </c>
      <c r="BD30">
        <v>0.65314541282892502</v>
      </c>
      <c r="BE30">
        <v>1.3220586099984399</v>
      </c>
      <c r="BF30">
        <v>1.49269930647535</v>
      </c>
      <c r="BG30">
        <v>1.3220586099984399</v>
      </c>
      <c r="BH30">
        <v>1.7868670313884001</v>
      </c>
      <c r="BI30">
        <v>5.6165646847611903</v>
      </c>
      <c r="BJ30">
        <v>28.485665790658199</v>
      </c>
      <c r="BK30">
        <v>24.944750124397501</v>
      </c>
      <c r="BL30">
        <v>28.485665790658199</v>
      </c>
      <c r="BM30" s="6">
        <v>44.001677363304204</v>
      </c>
      <c r="BN30">
        <v>18.295994232452799</v>
      </c>
      <c r="BO30">
        <v>7.6107770002511002</v>
      </c>
      <c r="BP30">
        <v>15.2604657852405</v>
      </c>
      <c r="BQ30">
        <v>9.5992540391483896</v>
      </c>
      <c r="BR30">
        <v>4.7171824483863203</v>
      </c>
      <c r="BS30">
        <v>7.6107770002511002</v>
      </c>
      <c r="BT30">
        <v>2.8306162259376002</v>
      </c>
      <c r="BU30">
        <v>3.1633945621081101</v>
      </c>
      <c r="BV30">
        <v>2.83332737845218</v>
      </c>
      <c r="BW30">
        <v>2.83332737845218</v>
      </c>
      <c r="BX30">
        <v>2.0112232154863201</v>
      </c>
      <c r="BY30">
        <v>2.3920115687102599</v>
      </c>
      <c r="BZ30">
        <v>2.0112232154863201</v>
      </c>
      <c r="CA30">
        <v>1.6840911306836901</v>
      </c>
      <c r="CB30">
        <v>2.3920115687102599</v>
      </c>
      <c r="CC30">
        <v>1.49269930647535</v>
      </c>
      <c r="CD30">
        <v>1.6840911306836901</v>
      </c>
      <c r="CE30">
        <v>1.6840911306836901</v>
      </c>
      <c r="CF30">
        <v>2.1313437482067101</v>
      </c>
      <c r="CG30">
        <v>1.7868670313884001</v>
      </c>
      <c r="CH30">
        <v>2.1313437482067101</v>
      </c>
      <c r="CI30">
        <v>2.38967215089427</v>
      </c>
      <c r="CJ30">
        <v>1.49269930647535</v>
      </c>
      <c r="CK30">
        <v>1.3220586099984399</v>
      </c>
      <c r="CL30">
        <v>1.49269930647535</v>
      </c>
      <c r="CM30">
        <v>2.1313437482067101</v>
      </c>
      <c r="CN30">
        <v>1.3206659787767201</v>
      </c>
      <c r="CO30">
        <v>1.5851066308045401</v>
      </c>
      <c r="CP30">
        <v>1.3206659787767201</v>
      </c>
      <c r="CQ30">
        <v>1.49269930647535</v>
      </c>
      <c r="CR30">
        <v>1.24207802793927</v>
      </c>
      <c r="CS30">
        <v>1.49269930647535</v>
      </c>
      <c r="CT30">
        <v>1.5851066308045401</v>
      </c>
      <c r="CU30">
        <v>1.3206659787767201</v>
      </c>
    </row>
    <row r="31" spans="1:99" x14ac:dyDescent="0.25">
      <c r="A31" t="s">
        <v>34</v>
      </c>
      <c r="B31" s="1">
        <v>45136</v>
      </c>
      <c r="C31" s="1">
        <v>45136.010416666664</v>
      </c>
      <c r="D31" s="1">
        <v>45136.020833333336</v>
      </c>
      <c r="E31" s="1">
        <v>45136.03125</v>
      </c>
      <c r="F31" s="1">
        <v>45136.041666666664</v>
      </c>
      <c r="G31" s="1">
        <v>45136.052083333336</v>
      </c>
      <c r="H31" s="1">
        <v>45136.0625</v>
      </c>
      <c r="I31" s="1">
        <v>45136.072916666664</v>
      </c>
      <c r="J31" s="1">
        <v>45136.083333333336</v>
      </c>
      <c r="K31" s="1">
        <v>45136.09375</v>
      </c>
      <c r="L31" s="1">
        <v>45136.104166666664</v>
      </c>
      <c r="M31" s="1">
        <v>45136.114583333336</v>
      </c>
      <c r="N31" s="1">
        <v>45136.125</v>
      </c>
      <c r="O31" s="1">
        <v>45136.135416666664</v>
      </c>
      <c r="P31" s="1">
        <v>45136.145833333336</v>
      </c>
      <c r="Q31" s="1">
        <v>45136.15625</v>
      </c>
      <c r="R31" s="1">
        <v>45136.166666666664</v>
      </c>
      <c r="S31" s="1">
        <v>45136.177083333336</v>
      </c>
      <c r="T31" s="1">
        <v>45136.1875</v>
      </c>
      <c r="U31" s="1">
        <v>45136.197916666664</v>
      </c>
      <c r="V31" s="1">
        <v>45136.208333333336</v>
      </c>
      <c r="W31" s="1">
        <v>45136.21875</v>
      </c>
      <c r="X31" s="1">
        <v>45136.229166666664</v>
      </c>
      <c r="Y31" s="1">
        <v>45136.239583333336</v>
      </c>
      <c r="Z31" s="1">
        <v>45136.25</v>
      </c>
      <c r="AA31" s="1">
        <v>45136.260416666664</v>
      </c>
      <c r="AB31" s="1">
        <v>45136.270833333336</v>
      </c>
      <c r="AC31" s="1">
        <v>45136.28125</v>
      </c>
      <c r="AD31" s="1">
        <v>45136.291666666664</v>
      </c>
      <c r="AE31" s="1">
        <v>45136.302083333336</v>
      </c>
      <c r="AF31" s="1">
        <v>45136.3125</v>
      </c>
      <c r="AG31" s="1">
        <v>45136.322916666664</v>
      </c>
      <c r="AH31" s="1">
        <v>45136.333333333336</v>
      </c>
      <c r="AI31" s="1">
        <v>45136.34375</v>
      </c>
      <c r="AJ31" s="1">
        <v>45136.354166666664</v>
      </c>
      <c r="AK31" s="1">
        <v>45136.364583333336</v>
      </c>
      <c r="AL31" s="1">
        <v>45136.375</v>
      </c>
      <c r="AM31" s="1">
        <v>45136.385416666664</v>
      </c>
      <c r="AN31" s="1">
        <v>45136.395833333336</v>
      </c>
      <c r="AO31" s="1">
        <v>45136.40625</v>
      </c>
      <c r="AP31" s="1">
        <v>45136.416666666664</v>
      </c>
      <c r="AQ31" s="1">
        <v>45136.427083333336</v>
      </c>
      <c r="AR31" s="1">
        <v>45136.4375</v>
      </c>
      <c r="AS31" s="1">
        <v>45136.447916666664</v>
      </c>
      <c r="AT31" s="1">
        <v>45136.458333333336</v>
      </c>
      <c r="AU31" s="1">
        <v>45136.46875</v>
      </c>
      <c r="AV31" s="1">
        <v>45136.479166666664</v>
      </c>
      <c r="AW31" s="1">
        <v>45136.489583333336</v>
      </c>
      <c r="AX31" s="1">
        <v>45136.5</v>
      </c>
      <c r="AY31" s="1">
        <v>45136.510416666664</v>
      </c>
      <c r="AZ31" s="1">
        <v>45136.520833333336</v>
      </c>
      <c r="BA31" s="1">
        <v>45136.53125</v>
      </c>
      <c r="BB31" s="1">
        <v>45136.541666666664</v>
      </c>
      <c r="BC31" s="1">
        <v>45136.552083333336</v>
      </c>
      <c r="BD31" s="1">
        <v>45136.5625</v>
      </c>
      <c r="BE31" s="1">
        <v>45136.572916666664</v>
      </c>
      <c r="BF31" s="1">
        <v>45136.583333333336</v>
      </c>
      <c r="BG31" s="1">
        <v>45136.59375</v>
      </c>
      <c r="BH31" s="1">
        <v>45136.604166666664</v>
      </c>
      <c r="BI31" s="1">
        <v>45136.614583333336</v>
      </c>
      <c r="BJ31" s="1">
        <v>45136.625</v>
      </c>
      <c r="BK31" s="1">
        <v>45136.635416666664</v>
      </c>
      <c r="BL31" s="1">
        <v>45136.645833333336</v>
      </c>
      <c r="BM31" s="5">
        <v>45136.65625</v>
      </c>
      <c r="BN31" s="1">
        <v>45136.666666666664</v>
      </c>
      <c r="BO31" s="1">
        <v>45136.677083333336</v>
      </c>
      <c r="BP31" s="1">
        <v>45136.6875</v>
      </c>
      <c r="BQ31" s="1">
        <v>45136.688888888886</v>
      </c>
      <c r="BR31" s="1">
        <v>45136.697916666664</v>
      </c>
      <c r="BS31" s="1">
        <v>45136.708333333336</v>
      </c>
      <c r="BT31" s="1">
        <v>45136.71875</v>
      </c>
      <c r="BU31" s="1">
        <v>45136.729166666664</v>
      </c>
      <c r="BV31" s="1">
        <v>45136.739583333336</v>
      </c>
      <c r="BW31" s="1">
        <v>45136.75</v>
      </c>
      <c r="BX31" s="1">
        <v>45136.760416666664</v>
      </c>
      <c r="BY31" s="1">
        <v>45136.770833333336</v>
      </c>
      <c r="BZ31" s="1">
        <v>45136.78125</v>
      </c>
      <c r="CA31" s="1">
        <v>45136.791666666664</v>
      </c>
      <c r="CB31" s="1">
        <v>45136.802083333336</v>
      </c>
      <c r="CC31" s="1">
        <v>45136.8125</v>
      </c>
      <c r="CD31" s="1">
        <v>45136.822916666664</v>
      </c>
      <c r="CE31" s="1">
        <v>45136.833333333336</v>
      </c>
      <c r="CF31" s="1">
        <v>45136.84375</v>
      </c>
      <c r="CG31" s="1">
        <v>45136.854166666664</v>
      </c>
      <c r="CH31" s="1">
        <v>45136.864583333336</v>
      </c>
      <c r="CI31" s="1">
        <v>45136.875</v>
      </c>
      <c r="CJ31" s="1">
        <v>45136.885416666664</v>
      </c>
      <c r="CK31" s="1">
        <v>45136.895833333336</v>
      </c>
      <c r="CL31" s="1">
        <v>45136.90625</v>
      </c>
      <c r="CM31" s="1">
        <v>45136.916666666664</v>
      </c>
      <c r="CN31" s="1">
        <v>45136.927083333336</v>
      </c>
      <c r="CO31" s="1">
        <v>45136.9375</v>
      </c>
      <c r="CP31" s="1">
        <v>45136.947916666664</v>
      </c>
      <c r="CQ31" s="1">
        <v>45136.958333333336</v>
      </c>
      <c r="CR31" s="1">
        <v>45136.96875</v>
      </c>
      <c r="CS31" s="1">
        <v>45136.979166666664</v>
      </c>
      <c r="CT31" s="1">
        <v>45136.989583333336</v>
      </c>
      <c r="CU31" s="1">
        <v>45137</v>
      </c>
    </row>
    <row r="32" spans="1:99" x14ac:dyDescent="0.25">
      <c r="BM32" t="s">
        <v>45</v>
      </c>
    </row>
    <row r="34" spans="1:27" x14ac:dyDescent="0.25">
      <c r="A34" s="2"/>
      <c r="B34" s="2"/>
      <c r="C34" s="2" t="s">
        <v>27</v>
      </c>
      <c r="D34" t="s">
        <v>32</v>
      </c>
      <c r="E34" t="s">
        <v>28</v>
      </c>
      <c r="F34" t="s">
        <v>29</v>
      </c>
      <c r="G34" t="s">
        <v>30</v>
      </c>
      <c r="H34" t="s">
        <v>31</v>
      </c>
      <c r="I34" t="s">
        <v>32</v>
      </c>
      <c r="W34" t="s">
        <v>46</v>
      </c>
    </row>
    <row r="35" spans="1:27" x14ac:dyDescent="0.25">
      <c r="A35" s="2" t="str">
        <f>A2</f>
        <v>max_amp</v>
      </c>
      <c r="B35" s="2">
        <f>MAX(B2:CU2)</f>
        <v>0.127994748730582</v>
      </c>
      <c r="C35" s="3">
        <f>_xlfn.XLOOKUP(MAX(B2:CU2), B2:CU2, $B$1:$CU$1)</f>
        <v>45136.65625</v>
      </c>
      <c r="D35">
        <f>_xlfn.XLOOKUP(MAX(B2:CU2), B2:CU2, $B$29:$CU$29)</f>
        <v>20.131538750000001</v>
      </c>
      <c r="E35" s="1">
        <v>45136</v>
      </c>
      <c r="F35">
        <v>9.1130189108737597E-4</v>
      </c>
      <c r="G35">
        <v>7.3600304960806304E-4</v>
      </c>
      <c r="H35">
        <v>7.4034195166818896E-4</v>
      </c>
      <c r="I35">
        <v>0.85462156099999997</v>
      </c>
      <c r="T35" t="s">
        <v>0</v>
      </c>
      <c r="U35" s="2">
        <v>3.3894640450781402E-2</v>
      </c>
      <c r="W35">
        <f>MAX(B29:CU29)</f>
        <v>20.131538750000001</v>
      </c>
    </row>
    <row r="36" spans="1:27" x14ac:dyDescent="0.25">
      <c r="A36" s="2" t="str">
        <f t="shared" ref="A36:A61" si="0">A3</f>
        <v>mean_amp</v>
      </c>
      <c r="B36" s="2">
        <f t="shared" ref="B36:B63" si="1">MAX(B3:CU3)</f>
        <v>9.2368097408640507E-2</v>
      </c>
      <c r="C36" s="3">
        <f t="shared" ref="C36:C63" si="2">_xlfn.XLOOKUP(MAX(B3:CU3), B3:CU3, $B$1:$CU$1)</f>
        <v>45136.65625</v>
      </c>
      <c r="E36" s="1">
        <v>45136.010416666664</v>
      </c>
      <c r="F36">
        <v>1.2047348532207599E-3</v>
      </c>
      <c r="G36">
        <v>9.5103418014815401E-4</v>
      </c>
      <c r="H36">
        <v>9.4417587263526202E-4</v>
      </c>
      <c r="I36">
        <v>0.99067576999999996</v>
      </c>
      <c r="T36" t="s">
        <v>1</v>
      </c>
      <c r="U36" s="2">
        <v>2.45471667611072E-2</v>
      </c>
    </row>
    <row r="37" spans="1:27" x14ac:dyDescent="0.25">
      <c r="A37" s="2" t="str">
        <f t="shared" si="0"/>
        <v>median_amp</v>
      </c>
      <c r="B37" s="2">
        <f t="shared" si="1"/>
        <v>9.2086383830759302E-2</v>
      </c>
      <c r="C37" s="3">
        <f t="shared" si="2"/>
        <v>45136.65625</v>
      </c>
      <c r="E37" s="1">
        <v>45136.020833333336</v>
      </c>
      <c r="F37">
        <v>1.7256039469829699E-3</v>
      </c>
      <c r="G37">
        <v>1.13359005470558E-3</v>
      </c>
      <c r="H37">
        <v>1.1067883131690001E-3</v>
      </c>
      <c r="I37">
        <v>1.1441742989999999</v>
      </c>
      <c r="T37" t="s">
        <v>2</v>
      </c>
      <c r="U37" s="2">
        <v>2.45122321428459E-2</v>
      </c>
      <c r="W37" t="s">
        <v>47</v>
      </c>
    </row>
    <row r="38" spans="1:27" x14ac:dyDescent="0.25">
      <c r="A38" s="2" t="str">
        <f t="shared" si="0"/>
        <v>impulses_ch6</v>
      </c>
      <c r="B38" s="2">
        <f t="shared" si="1"/>
        <v>0</v>
      </c>
      <c r="C38" s="3">
        <f t="shared" si="2"/>
        <v>45136</v>
      </c>
      <c r="E38" s="1">
        <v>45136.03125</v>
      </c>
      <c r="F38">
        <v>7.9902808633366702E-4</v>
      </c>
      <c r="G38">
        <v>6.2945954069989303E-4</v>
      </c>
      <c r="H38">
        <v>6.3435039077077695E-4</v>
      </c>
      <c r="I38">
        <v>0.73432993800000002</v>
      </c>
      <c r="T38" t="s">
        <v>3</v>
      </c>
      <c r="U38" s="2">
        <v>0</v>
      </c>
    </row>
    <row r="39" spans="1:27" x14ac:dyDescent="0.25">
      <c r="A39" s="2" t="str">
        <f t="shared" si="0"/>
        <v>impulses_ch5</v>
      </c>
      <c r="B39" s="2">
        <f t="shared" si="1"/>
        <v>127</v>
      </c>
      <c r="C39" s="3">
        <f t="shared" si="2"/>
        <v>45136.65625</v>
      </c>
      <c r="E39" s="1">
        <v>45136.041666666664</v>
      </c>
      <c r="F39">
        <v>1.9201173516061299E-3</v>
      </c>
      <c r="G39">
        <v>1.35930464394967E-3</v>
      </c>
      <c r="H39">
        <v>1.32871411860024E-3</v>
      </c>
      <c r="I39">
        <v>1.317101139</v>
      </c>
      <c r="T39" t="s">
        <v>4</v>
      </c>
      <c r="U39" s="2">
        <v>2</v>
      </c>
    </row>
    <row r="40" spans="1:27" x14ac:dyDescent="0.25">
      <c r="A40" s="2" t="str">
        <f t="shared" si="0"/>
        <v>impulses_ch4</v>
      </c>
      <c r="B40" s="2">
        <f t="shared" si="1"/>
        <v>7447</v>
      </c>
      <c r="C40" s="3">
        <f t="shared" si="2"/>
        <v>45136.65625</v>
      </c>
      <c r="E40" s="1">
        <v>45136.052083333336</v>
      </c>
      <c r="F40">
        <v>1.93181785623592E-3</v>
      </c>
      <c r="G40">
        <v>1.1653322840575299E-3</v>
      </c>
      <c r="H40">
        <v>1.1375894373982999E-3</v>
      </c>
      <c r="I40">
        <v>1.1441742989999999</v>
      </c>
      <c r="T40" t="s">
        <v>5</v>
      </c>
      <c r="U40" s="2">
        <v>117</v>
      </c>
    </row>
    <row r="41" spans="1:27" x14ac:dyDescent="0.25">
      <c r="A41" s="2" t="str">
        <f t="shared" si="0"/>
        <v>impulses_ch3</v>
      </c>
      <c r="B41" s="2">
        <f t="shared" si="1"/>
        <v>19642</v>
      </c>
      <c r="C41" s="3">
        <f t="shared" si="2"/>
        <v>45136.645833333336</v>
      </c>
      <c r="E41" s="1">
        <v>45136.0625</v>
      </c>
      <c r="F41">
        <v>1.93191571674608E-3</v>
      </c>
      <c r="G41">
        <v>1.31518978969431E-3</v>
      </c>
      <c r="H41">
        <v>1.2859229835108399E-3</v>
      </c>
      <c r="I41">
        <v>1.257509953</v>
      </c>
      <c r="T41" t="s">
        <v>6</v>
      </c>
      <c r="U41" s="2">
        <v>4935</v>
      </c>
    </row>
    <row r="42" spans="1:27" x14ac:dyDescent="0.25">
      <c r="A42" s="2" t="str">
        <f t="shared" si="0"/>
        <v>impulses_ch2</v>
      </c>
      <c r="B42" s="2">
        <f t="shared" si="1"/>
        <v>16814</v>
      </c>
      <c r="C42" s="3">
        <f t="shared" si="2"/>
        <v>45136.708333333336</v>
      </c>
      <c r="E42" s="1">
        <v>45136.072916666664</v>
      </c>
      <c r="F42">
        <v>1.0954692241265699E-3</v>
      </c>
      <c r="G42">
        <v>7.7167569866091904E-4</v>
      </c>
      <c r="H42">
        <v>7.6152596323916604E-4</v>
      </c>
      <c r="I42">
        <v>0.85462156099999997</v>
      </c>
      <c r="T42" t="s">
        <v>7</v>
      </c>
      <c r="U42" s="2">
        <v>10289</v>
      </c>
    </row>
    <row r="43" spans="1:27" x14ac:dyDescent="0.25">
      <c r="A43" s="2" t="str">
        <f t="shared" si="0"/>
        <v>impulses_ch1</v>
      </c>
      <c r="B43" s="2">
        <f t="shared" si="1"/>
        <v>20335</v>
      </c>
      <c r="C43" s="3">
        <f t="shared" si="2"/>
        <v>45136.875</v>
      </c>
      <c r="E43" s="1">
        <v>45136.083333333336</v>
      </c>
      <c r="F43">
        <v>1.6123172032523499E-3</v>
      </c>
      <c r="G43">
        <v>1.2655256869825301E-3</v>
      </c>
      <c r="H43">
        <v>1.2505134828399E-3</v>
      </c>
      <c r="I43">
        <v>1.257509953</v>
      </c>
      <c r="T43" t="s">
        <v>8</v>
      </c>
      <c r="U43" s="2">
        <v>10588</v>
      </c>
    </row>
    <row r="44" spans="1:27" x14ac:dyDescent="0.25">
      <c r="A44" s="2" t="str">
        <f t="shared" si="0"/>
        <v>max_env_ch6</v>
      </c>
      <c r="B44" s="2">
        <f t="shared" si="1"/>
        <v>0</v>
      </c>
      <c r="C44" s="3">
        <f t="shared" si="2"/>
        <v>45136</v>
      </c>
      <c r="E44" s="1">
        <v>45136.09375</v>
      </c>
      <c r="F44">
        <v>9.896462033740889E-4</v>
      </c>
      <c r="G44">
        <v>7.5450517690160495E-4</v>
      </c>
      <c r="H44">
        <v>7.2832419173791897E-4</v>
      </c>
      <c r="I44">
        <v>0.85462156099999997</v>
      </c>
    </row>
    <row r="45" spans="1:27" x14ac:dyDescent="0.25">
      <c r="A45" s="2" t="str">
        <f t="shared" si="0"/>
        <v>mean_env_ch6</v>
      </c>
      <c r="B45" s="2">
        <f t="shared" si="1"/>
        <v>0</v>
      </c>
      <c r="C45" s="3">
        <f t="shared" si="2"/>
        <v>45136</v>
      </c>
      <c r="E45" s="1">
        <v>45136.104166666664</v>
      </c>
      <c r="F45">
        <v>1.1762756350660599E-3</v>
      </c>
      <c r="G45">
        <v>8.8561835215654504E-4</v>
      </c>
      <c r="H45">
        <v>8.6832871628036502E-4</v>
      </c>
      <c r="I45">
        <v>0.99067576999999996</v>
      </c>
    </row>
    <row r="46" spans="1:27" x14ac:dyDescent="0.25">
      <c r="A46" s="2" t="str">
        <f t="shared" si="0"/>
        <v>median_env_ch6</v>
      </c>
      <c r="B46" s="2">
        <f t="shared" si="1"/>
        <v>0</v>
      </c>
      <c r="C46" s="3">
        <f t="shared" si="2"/>
        <v>45136</v>
      </c>
      <c r="E46" s="1">
        <v>45136.114583333336</v>
      </c>
      <c r="F46">
        <v>1.3135611917772399E-3</v>
      </c>
      <c r="G46">
        <v>9.3624558264671998E-4</v>
      </c>
      <c r="H46">
        <v>9.15146963385361E-4</v>
      </c>
      <c r="I46">
        <v>0.99067576999999996</v>
      </c>
      <c r="U46" t="s">
        <v>35</v>
      </c>
    </row>
    <row r="47" spans="1:27" x14ac:dyDescent="0.25">
      <c r="A47" s="2" t="str">
        <f t="shared" si="0"/>
        <v>max_env_ch5</v>
      </c>
      <c r="B47" s="2">
        <f t="shared" si="1"/>
        <v>0.51197899492233101</v>
      </c>
      <c r="C47" s="3">
        <f t="shared" si="2"/>
        <v>45136.65625</v>
      </c>
      <c r="E47" s="1">
        <v>45136.125</v>
      </c>
      <c r="F47">
        <v>1.0207100646506301E-3</v>
      </c>
      <c r="G47">
        <v>8.6844254366725399E-4</v>
      </c>
      <c r="H47">
        <v>8.6756230740630701E-4</v>
      </c>
      <c r="I47">
        <v>0.99067576999999996</v>
      </c>
      <c r="U47" t="s">
        <v>36</v>
      </c>
      <c r="V47" t="s">
        <v>37</v>
      </c>
      <c r="W47" t="s">
        <v>38</v>
      </c>
      <c r="Y47" t="s">
        <v>36</v>
      </c>
      <c r="Z47" t="s">
        <v>37</v>
      </c>
      <c r="AA47" t="s">
        <v>38</v>
      </c>
    </row>
    <row r="48" spans="1:27" x14ac:dyDescent="0.25">
      <c r="A48" s="2" t="str">
        <f>A15</f>
        <v>mean_env_ch5</v>
      </c>
      <c r="B48" s="2">
        <f t="shared" si="1"/>
        <v>0.38036472821513001</v>
      </c>
      <c r="C48" s="3">
        <f t="shared" si="2"/>
        <v>45136.65625</v>
      </c>
      <c r="E48" s="1">
        <v>45136.135416666664</v>
      </c>
      <c r="F48">
        <v>1.3405833266764799E-3</v>
      </c>
      <c r="G48">
        <v>1.08461849910597E-3</v>
      </c>
      <c r="H48">
        <v>1.0812505887969599E-3</v>
      </c>
      <c r="I48">
        <v>1.1441742989999999</v>
      </c>
      <c r="T48" t="s">
        <v>39</v>
      </c>
      <c r="U48" s="4">
        <f>B44</f>
        <v>0</v>
      </c>
      <c r="V48" s="4">
        <f>B45</f>
        <v>0</v>
      </c>
      <c r="W48" s="4">
        <f>B46</f>
        <v>0</v>
      </c>
      <c r="Y48">
        <v>0</v>
      </c>
      <c r="Z48">
        <v>0</v>
      </c>
      <c r="AA48">
        <v>0</v>
      </c>
    </row>
    <row r="49" spans="1:27" x14ac:dyDescent="0.25">
      <c r="A49" s="2" t="str">
        <f t="shared" si="0"/>
        <v>median_env_ch5</v>
      </c>
      <c r="B49" s="2">
        <f t="shared" si="1"/>
        <v>0.37668938978246103</v>
      </c>
      <c r="C49" s="3">
        <f t="shared" si="2"/>
        <v>45136.65625</v>
      </c>
      <c r="E49" s="1">
        <v>45136.145833333336</v>
      </c>
      <c r="F49">
        <v>1.30453107001555E-3</v>
      </c>
      <c r="G49">
        <v>8.9406911317299999E-4</v>
      </c>
      <c r="H49">
        <v>8.7341436875033299E-4</v>
      </c>
      <c r="I49">
        <v>0.99067576999999996</v>
      </c>
      <c r="T49" t="s">
        <v>40</v>
      </c>
      <c r="U49" s="4">
        <f>B47</f>
        <v>0.51197899492233101</v>
      </c>
      <c r="V49" s="4">
        <f>B48</f>
        <v>0.38036472821513001</v>
      </c>
      <c r="W49" s="4">
        <f>B49</f>
        <v>0.37668938978246103</v>
      </c>
      <c r="Y49">
        <v>0.114178758147192</v>
      </c>
      <c r="Z49">
        <v>0.10729609555229699</v>
      </c>
      <c r="AA49">
        <v>0.10729609555229699</v>
      </c>
    </row>
    <row r="50" spans="1:27" x14ac:dyDescent="0.25">
      <c r="A50" s="2" t="str">
        <f t="shared" si="0"/>
        <v>max_env_ch4</v>
      </c>
      <c r="B50" s="2">
        <f t="shared" si="1"/>
        <v>2.04791597968932</v>
      </c>
      <c r="C50" s="3">
        <f t="shared" si="2"/>
        <v>45136.65625</v>
      </c>
      <c r="E50" s="1">
        <v>45136.15625</v>
      </c>
      <c r="F50">
        <v>6.5257976431033597E-4</v>
      </c>
      <c r="G50">
        <v>5.1394753314708795E-4</v>
      </c>
      <c r="H50">
        <v>5.0753363927812101E-4</v>
      </c>
      <c r="I50">
        <v>0.66228851600000005</v>
      </c>
      <c r="T50" t="s">
        <v>41</v>
      </c>
      <c r="U50" s="4">
        <f>B50</f>
        <v>2.04791597968932</v>
      </c>
      <c r="V50" s="4">
        <f>B51</f>
        <v>1.4778895585382399</v>
      </c>
      <c r="W50" s="4">
        <f>B52</f>
        <v>1.47338214129214</v>
      </c>
      <c r="Y50">
        <v>0.54231424721250299</v>
      </c>
      <c r="Z50">
        <v>0.40212515642043301</v>
      </c>
      <c r="AA50">
        <v>0.39659577629574799</v>
      </c>
    </row>
    <row r="51" spans="1:27" x14ac:dyDescent="0.25">
      <c r="A51" s="2" t="str">
        <f t="shared" si="0"/>
        <v>mean_env_ch4</v>
      </c>
      <c r="B51" s="2">
        <f t="shared" si="1"/>
        <v>1.4778895585382399</v>
      </c>
      <c r="C51" s="3">
        <f t="shared" si="2"/>
        <v>45136.65625</v>
      </c>
      <c r="E51" s="1">
        <v>45136.166666666664</v>
      </c>
      <c r="F51">
        <v>1.40290725640098E-3</v>
      </c>
      <c r="G51">
        <v>9.0690535927315805E-4</v>
      </c>
      <c r="H51">
        <v>8.9255475986658702E-4</v>
      </c>
      <c r="I51">
        <v>0.99067576999999996</v>
      </c>
      <c r="T51" t="s">
        <v>42</v>
      </c>
      <c r="U51" s="4">
        <f>B53</f>
        <v>8.1916639187572997</v>
      </c>
      <c r="V51" s="4">
        <f>B54</f>
        <v>5.9115582341529898</v>
      </c>
      <c r="W51" s="4">
        <f>B55</f>
        <v>5.89352856516859</v>
      </c>
      <c r="Y51">
        <v>2.1692569888500102</v>
      </c>
      <c r="Z51">
        <v>1.5710186727108599</v>
      </c>
      <c r="AA51">
        <v>1.5687828571421401</v>
      </c>
    </row>
    <row r="52" spans="1:27" x14ac:dyDescent="0.25">
      <c r="A52" s="2" t="str">
        <f t="shared" si="0"/>
        <v>median_env_ch4</v>
      </c>
      <c r="B52" s="2">
        <f t="shared" si="1"/>
        <v>1.47338214129214</v>
      </c>
      <c r="C52" s="3">
        <f t="shared" si="2"/>
        <v>45136.65625</v>
      </c>
      <c r="E52" s="1">
        <v>45136.177083333336</v>
      </c>
      <c r="F52">
        <v>2.35910121062629E-3</v>
      </c>
      <c r="G52">
        <v>1.4792991196745601E-3</v>
      </c>
      <c r="H52">
        <v>1.4265926087648399E-3</v>
      </c>
      <c r="I52">
        <v>1.4444654269999999</v>
      </c>
      <c r="T52" t="s">
        <v>43</v>
      </c>
      <c r="U52" s="4">
        <f>B56</f>
        <v>32.766655675029199</v>
      </c>
      <c r="V52" s="4">
        <f>B57</f>
        <v>23.646232936611899</v>
      </c>
      <c r="W52" s="4">
        <f>B58</f>
        <v>23.5741142606743</v>
      </c>
      <c r="Y52">
        <v>8.6770279554000496</v>
      </c>
      <c r="Z52">
        <v>6.2840746908434504</v>
      </c>
      <c r="AA52">
        <v>6.2751314285685602</v>
      </c>
    </row>
    <row r="53" spans="1:27" x14ac:dyDescent="0.25">
      <c r="A53" s="2" t="str">
        <f t="shared" si="0"/>
        <v>max_env_ch3</v>
      </c>
      <c r="B53" s="2">
        <f t="shared" si="1"/>
        <v>8.1916639187572997</v>
      </c>
      <c r="C53" s="3">
        <f t="shared" si="2"/>
        <v>45136.65625</v>
      </c>
      <c r="E53" s="1">
        <v>45136.1875</v>
      </c>
      <c r="F53">
        <v>1.2717701371988801E-3</v>
      </c>
      <c r="G53">
        <v>8.9525582545015297E-4</v>
      </c>
      <c r="H53">
        <v>8.7124041749740298E-4</v>
      </c>
      <c r="I53">
        <v>0.99067576999999996</v>
      </c>
      <c r="T53" t="s">
        <v>44</v>
      </c>
      <c r="U53" s="4">
        <f>B59</f>
        <v>131.066622700116</v>
      </c>
      <c r="V53" s="4">
        <f>B60</f>
        <v>94.584931746447893</v>
      </c>
      <c r="W53" s="4">
        <f>B61</f>
        <v>94.296457042697497</v>
      </c>
      <c r="Y53">
        <v>34.708111821600198</v>
      </c>
      <c r="Z53">
        <v>25.136298763373802</v>
      </c>
      <c r="AA53">
        <v>25.100525714274202</v>
      </c>
    </row>
    <row r="54" spans="1:27" x14ac:dyDescent="0.25">
      <c r="A54" s="2" t="str">
        <f t="shared" si="0"/>
        <v>mean_env_ch3</v>
      </c>
      <c r="B54" s="2">
        <f t="shared" si="1"/>
        <v>5.9115582341529898</v>
      </c>
      <c r="C54" s="3">
        <f t="shared" si="2"/>
        <v>45136.65625</v>
      </c>
      <c r="E54" s="1">
        <v>45136.197916666664</v>
      </c>
      <c r="F54">
        <v>9.5594780607628999E-4</v>
      </c>
      <c r="G54">
        <v>7.4386903168509701E-4</v>
      </c>
      <c r="H54">
        <v>7.1580759573603705E-4</v>
      </c>
      <c r="I54">
        <v>0.85462156099999997</v>
      </c>
    </row>
    <row r="55" spans="1:27" x14ac:dyDescent="0.25">
      <c r="A55" s="2" t="str">
        <f t="shared" si="0"/>
        <v>median_env_ch3</v>
      </c>
      <c r="B55" s="2">
        <f t="shared" si="1"/>
        <v>5.89352856516859</v>
      </c>
      <c r="C55" s="3">
        <f t="shared" si="2"/>
        <v>45136.65625</v>
      </c>
      <c r="E55" s="1">
        <v>45136.208333333336</v>
      </c>
      <c r="F55">
        <v>1.20271284933507E-3</v>
      </c>
      <c r="G55">
        <v>9.3661335934518597E-4</v>
      </c>
      <c r="H55">
        <v>9.15510942707781E-4</v>
      </c>
      <c r="I55">
        <v>0.99067576999999996</v>
      </c>
    </row>
    <row r="56" spans="1:27" x14ac:dyDescent="0.25">
      <c r="A56" s="2" t="str">
        <f t="shared" si="0"/>
        <v>max_env_ch2</v>
      </c>
      <c r="B56" s="2">
        <f t="shared" si="1"/>
        <v>32.766655675029199</v>
      </c>
      <c r="C56" s="3">
        <f t="shared" si="2"/>
        <v>45136.65625</v>
      </c>
      <c r="E56" s="1">
        <v>45136.21875</v>
      </c>
      <c r="F56">
        <v>1.37462582530119E-3</v>
      </c>
      <c r="G56">
        <v>9.5643879170264701E-4</v>
      </c>
      <c r="H56">
        <v>9.2394751714199497E-4</v>
      </c>
      <c r="I56">
        <v>0.99067576999999996</v>
      </c>
    </row>
    <row r="57" spans="1:27" x14ac:dyDescent="0.25">
      <c r="A57" s="2" t="str">
        <f>A24</f>
        <v>mean_env_ch2</v>
      </c>
      <c r="B57" s="2">
        <f t="shared" si="1"/>
        <v>23.646232936611899</v>
      </c>
      <c r="C57" s="3">
        <f t="shared" si="2"/>
        <v>45136.65625</v>
      </c>
      <c r="E57" s="1">
        <v>45136.229166666664</v>
      </c>
      <c r="F57">
        <v>9.4735341604875497E-4</v>
      </c>
      <c r="G57">
        <v>7.3986003786724499E-4</v>
      </c>
      <c r="H57">
        <v>7.43802842983628E-4</v>
      </c>
      <c r="I57">
        <v>0.89783227600000004</v>
      </c>
    </row>
    <row r="58" spans="1:27" x14ac:dyDescent="0.25">
      <c r="A58" s="2" t="str">
        <f t="shared" si="0"/>
        <v>median_env_ch2</v>
      </c>
      <c r="B58" s="2">
        <f t="shared" si="1"/>
        <v>23.5741142606743</v>
      </c>
      <c r="C58" s="3">
        <f t="shared" si="2"/>
        <v>45136.65625</v>
      </c>
      <c r="E58" s="1">
        <v>45136.239583333336</v>
      </c>
      <c r="F58">
        <v>1.32968309125159E-3</v>
      </c>
      <c r="G58">
        <v>8.5794539264763602E-4</v>
      </c>
      <c r="H58">
        <v>8.4639180093770195E-4</v>
      </c>
      <c r="I58">
        <v>0.99067576999999996</v>
      </c>
    </row>
    <row r="59" spans="1:27" x14ac:dyDescent="0.25">
      <c r="A59" s="2" t="str">
        <f t="shared" si="0"/>
        <v>max_env_ch1</v>
      </c>
      <c r="B59" s="2">
        <f t="shared" si="1"/>
        <v>131.066622700116</v>
      </c>
      <c r="C59" s="3">
        <f t="shared" si="2"/>
        <v>45136.65625</v>
      </c>
      <c r="E59" s="1">
        <v>45136.25</v>
      </c>
      <c r="F59">
        <v>1.92327950803187E-3</v>
      </c>
      <c r="G59">
        <v>1.0691063624109899E-3</v>
      </c>
      <c r="H59">
        <v>1.02527351584794E-3</v>
      </c>
      <c r="I59">
        <v>1.1441742989999999</v>
      </c>
    </row>
    <row r="60" spans="1:27" x14ac:dyDescent="0.25">
      <c r="A60" s="2" t="str">
        <f>A27</f>
        <v>mean_env_ch1</v>
      </c>
      <c r="B60" s="2">
        <f t="shared" si="1"/>
        <v>94.584931746447893</v>
      </c>
      <c r="C60" s="3">
        <f t="shared" si="2"/>
        <v>45136.65625</v>
      </c>
      <c r="E60" s="1">
        <v>45136.260416666664</v>
      </c>
      <c r="F60">
        <v>1.1959293936408099E-3</v>
      </c>
      <c r="G60">
        <v>7.5430355599237801E-4</v>
      </c>
      <c r="H60">
        <v>7.2383561914939097E-4</v>
      </c>
      <c r="I60">
        <v>0.89783227600000004</v>
      </c>
    </row>
    <row r="61" spans="1:27" x14ac:dyDescent="0.25">
      <c r="A61" s="2" t="str">
        <f t="shared" si="0"/>
        <v>median_env_ch1</v>
      </c>
      <c r="B61" s="2">
        <f t="shared" si="1"/>
        <v>94.296457042697497</v>
      </c>
      <c r="C61" s="3">
        <f t="shared" si="2"/>
        <v>45136.65625</v>
      </c>
      <c r="E61" s="1">
        <v>45136.270833333336</v>
      </c>
      <c r="F61">
        <v>1.4731731110504301E-3</v>
      </c>
      <c r="G61">
        <v>1.01679379811555E-3</v>
      </c>
      <c r="H61">
        <v>1.0091721734027E-3</v>
      </c>
      <c r="I61">
        <v>1.1441742989999999</v>
      </c>
    </row>
    <row r="62" spans="1:27" x14ac:dyDescent="0.25">
      <c r="A62" t="s">
        <v>32</v>
      </c>
      <c r="B62" s="2">
        <f t="shared" si="1"/>
        <v>20.131538750000001</v>
      </c>
      <c r="C62" s="3">
        <f t="shared" si="2"/>
        <v>45136.65625</v>
      </c>
      <c r="E62" s="1">
        <v>45136.28125</v>
      </c>
      <c r="F62">
        <v>7.75408849707236E-4</v>
      </c>
      <c r="G62">
        <v>5.7243221217719801E-4</v>
      </c>
      <c r="H62">
        <v>5.6658678582129096E-4</v>
      </c>
      <c r="I62">
        <v>0.73432993800000002</v>
      </c>
    </row>
    <row r="63" spans="1:27" x14ac:dyDescent="0.25">
      <c r="A63" t="s">
        <v>33</v>
      </c>
      <c r="B63" s="2">
        <f t="shared" si="1"/>
        <v>44.001677363304204</v>
      </c>
      <c r="C63" s="3">
        <f t="shared" si="2"/>
        <v>45136.65625</v>
      </c>
      <c r="E63" s="1">
        <v>45136.291666666664</v>
      </c>
      <c r="F63">
        <v>1.08568896240617E-3</v>
      </c>
      <c r="G63">
        <v>7.7757113933421204E-4</v>
      </c>
      <c r="H63">
        <v>7.7944703856180496E-4</v>
      </c>
      <c r="I63">
        <v>0.85462156099999997</v>
      </c>
    </row>
    <row r="64" spans="1:27" x14ac:dyDescent="0.25">
      <c r="E64" s="1">
        <v>45136.302083333336</v>
      </c>
      <c r="F64">
        <v>1.9411264240409101E-3</v>
      </c>
      <c r="G64">
        <v>1.24837606034108E-3</v>
      </c>
      <c r="H64">
        <v>1.2303038956003199E-3</v>
      </c>
      <c r="I64">
        <v>1.145105356</v>
      </c>
    </row>
    <row r="65" spans="5:9" x14ac:dyDescent="0.25">
      <c r="E65" s="1">
        <v>45136.3125</v>
      </c>
      <c r="F65">
        <v>2.0985435270935598E-3</v>
      </c>
      <c r="G65">
        <v>1.4272009948328201E-3</v>
      </c>
      <c r="H65">
        <v>1.3781620867280499E-3</v>
      </c>
      <c r="I65">
        <v>1.257509953</v>
      </c>
    </row>
    <row r="66" spans="5:9" x14ac:dyDescent="0.25">
      <c r="E66" s="1">
        <v>45136.322916666664</v>
      </c>
      <c r="F66">
        <v>1.94560247495775E-3</v>
      </c>
      <c r="G66">
        <v>1.24424880991395E-3</v>
      </c>
      <c r="H66">
        <v>1.2310093514103001E-3</v>
      </c>
      <c r="I66">
        <v>1.145105356</v>
      </c>
    </row>
    <row r="67" spans="5:9" x14ac:dyDescent="0.25">
      <c r="E67" s="1">
        <v>45136.333333333336</v>
      </c>
      <c r="F67">
        <v>1.91548274715099E-3</v>
      </c>
      <c r="G67">
        <v>1.4768009246076399E-3</v>
      </c>
      <c r="H67">
        <v>1.47249859604939E-3</v>
      </c>
      <c r="I67">
        <v>1.318149035</v>
      </c>
    </row>
    <row r="68" spans="5:9" x14ac:dyDescent="0.25">
      <c r="E68" s="1">
        <v>45136.34375</v>
      </c>
      <c r="F68">
        <v>1.97834489690616E-3</v>
      </c>
      <c r="G68">
        <v>1.45840536901007E-3</v>
      </c>
      <c r="H68">
        <v>1.4373991114176501E-3</v>
      </c>
      <c r="I68">
        <v>1.318149035</v>
      </c>
    </row>
    <row r="69" spans="5:9" x14ac:dyDescent="0.25">
      <c r="E69" s="1">
        <v>45136.354166666664</v>
      </c>
      <c r="F69">
        <v>1.5672179266860899E-3</v>
      </c>
      <c r="G69">
        <v>1.26019276667647E-3</v>
      </c>
      <c r="H69">
        <v>1.24710875656342E-3</v>
      </c>
      <c r="I69">
        <v>1.145105356</v>
      </c>
    </row>
    <row r="70" spans="5:9" x14ac:dyDescent="0.25">
      <c r="E70" s="1">
        <v>45136.364583333336</v>
      </c>
      <c r="F70">
        <v>1.76865702143497E-3</v>
      </c>
      <c r="G70">
        <v>1.19101529574699E-3</v>
      </c>
      <c r="H70">
        <v>1.1870840492382399E-3</v>
      </c>
      <c r="I70">
        <v>1.145105356</v>
      </c>
    </row>
    <row r="71" spans="5:9" x14ac:dyDescent="0.25">
      <c r="E71" s="1">
        <v>45136.375</v>
      </c>
      <c r="F71">
        <v>1.3121418652923299E-3</v>
      </c>
      <c r="G71">
        <v>9.6959961848032297E-4</v>
      </c>
      <c r="H71">
        <v>9.3436518492299797E-4</v>
      </c>
      <c r="I71">
        <v>0.99150227300000005</v>
      </c>
    </row>
    <row r="72" spans="5:9" x14ac:dyDescent="0.25">
      <c r="E72" s="1">
        <v>45136.385416666664</v>
      </c>
      <c r="F72">
        <v>1.7816484942801301E-3</v>
      </c>
      <c r="G72">
        <v>9.9705433461979502E-4</v>
      </c>
      <c r="H72">
        <v>9.7474264347093605E-4</v>
      </c>
      <c r="I72">
        <v>0.99150227300000005</v>
      </c>
    </row>
    <row r="73" spans="5:9" x14ac:dyDescent="0.25">
      <c r="E73" s="1">
        <v>45136.395833333336</v>
      </c>
      <c r="F73">
        <v>1.3825549358464199E-3</v>
      </c>
      <c r="G73">
        <v>1.0306427639405499E-3</v>
      </c>
      <c r="H73">
        <v>1.0015523412518199E-3</v>
      </c>
      <c r="I73">
        <v>0.99150227300000005</v>
      </c>
    </row>
    <row r="74" spans="5:9" x14ac:dyDescent="0.25">
      <c r="E74" s="1">
        <v>45136.40625</v>
      </c>
      <c r="F74">
        <v>1.5804769021184801E-3</v>
      </c>
      <c r="G74">
        <v>1.2310888914084401E-3</v>
      </c>
      <c r="H74">
        <v>1.22363224947696E-3</v>
      </c>
      <c r="I74">
        <v>1.145105356</v>
      </c>
    </row>
    <row r="75" spans="5:9" x14ac:dyDescent="0.25">
      <c r="E75" s="1">
        <v>45136.416666666664</v>
      </c>
      <c r="F75">
        <v>1.18846435909165E-3</v>
      </c>
      <c r="G75">
        <v>8.6679345931124304E-4</v>
      </c>
      <c r="H75">
        <v>8.5737485244644399E-4</v>
      </c>
      <c r="I75">
        <v>0.89859415399999998</v>
      </c>
    </row>
    <row r="76" spans="5:9" x14ac:dyDescent="0.25">
      <c r="E76" s="1">
        <v>45136.427083333336</v>
      </c>
      <c r="F76">
        <v>1.73902493873915E-3</v>
      </c>
      <c r="G76">
        <v>9.5788196047449697E-4</v>
      </c>
      <c r="H76">
        <v>9.4886354420108197E-4</v>
      </c>
      <c r="I76">
        <v>0.89859415399999998</v>
      </c>
    </row>
    <row r="77" spans="5:9" x14ac:dyDescent="0.25">
      <c r="E77" s="1">
        <v>45136.4375</v>
      </c>
      <c r="F77">
        <v>1.2084462981188601E-3</v>
      </c>
      <c r="G77">
        <v>8.4956282009276995E-4</v>
      </c>
      <c r="H77">
        <v>8.4336004582262795E-4</v>
      </c>
      <c r="I77">
        <v>0.85535298199999998</v>
      </c>
    </row>
    <row r="78" spans="5:9" x14ac:dyDescent="0.25">
      <c r="E78" s="1">
        <v>45136.447916666664</v>
      </c>
      <c r="F78">
        <v>8.1497286158024602E-4</v>
      </c>
      <c r="G78">
        <v>6.2417207323309297E-4</v>
      </c>
      <c r="H78">
        <v>6.2382656642736201E-4</v>
      </c>
      <c r="I78">
        <v>0.66228851600000005</v>
      </c>
    </row>
    <row r="79" spans="5:9" x14ac:dyDescent="0.25">
      <c r="E79" s="1">
        <v>45136.458333333336</v>
      </c>
      <c r="F79">
        <v>4.8854431262698196E-4</v>
      </c>
      <c r="G79">
        <v>3.8587361653485302E-4</v>
      </c>
      <c r="H79">
        <v>3.8730149804006399E-4</v>
      </c>
      <c r="I79">
        <v>0.475692385</v>
      </c>
    </row>
    <row r="80" spans="5:9" x14ac:dyDescent="0.25">
      <c r="E80" s="1">
        <v>45136.46875</v>
      </c>
      <c r="F80">
        <v>9.8771308201055794E-4</v>
      </c>
      <c r="G80">
        <v>7.3342923278205097E-4</v>
      </c>
      <c r="H80">
        <v>7.2445710766011104E-4</v>
      </c>
      <c r="I80">
        <v>0.77321039300000005</v>
      </c>
    </row>
    <row r="81" spans="5:9" x14ac:dyDescent="0.25">
      <c r="E81" s="1">
        <v>45136.479166666664</v>
      </c>
      <c r="F81">
        <v>6.6390001727201502E-4</v>
      </c>
      <c r="G81">
        <v>5.2582057884493897E-4</v>
      </c>
      <c r="H81">
        <v>5.3910548160139397E-4</v>
      </c>
      <c r="I81">
        <v>0.56216848100000005</v>
      </c>
    </row>
    <row r="82" spans="5:9" x14ac:dyDescent="0.25">
      <c r="E82" s="1">
        <v>45136.489583333336</v>
      </c>
      <c r="F82">
        <v>1.10852493379059E-3</v>
      </c>
      <c r="G82">
        <v>6.9692375839744598E-4</v>
      </c>
      <c r="H82">
        <v>6.8056165779707895E-4</v>
      </c>
      <c r="I82">
        <v>0.73432993800000002</v>
      </c>
    </row>
    <row r="83" spans="5:9" x14ac:dyDescent="0.25">
      <c r="E83" s="1">
        <v>45136.5</v>
      </c>
      <c r="F83">
        <v>1.45845374326872E-3</v>
      </c>
      <c r="G83">
        <v>8.7281789365759705E-4</v>
      </c>
      <c r="H83">
        <v>8.5619043222041099E-4</v>
      </c>
      <c r="I83">
        <v>0.85462156099999997</v>
      </c>
    </row>
    <row r="84" spans="5:9" x14ac:dyDescent="0.25">
      <c r="E84" s="1">
        <v>45136.510416666664</v>
      </c>
      <c r="F84">
        <v>9.1172746310915105E-4</v>
      </c>
      <c r="G84">
        <v>7.2078452876079397E-4</v>
      </c>
      <c r="H84">
        <v>7.2125866686671204E-4</v>
      </c>
      <c r="I84">
        <v>0.772537527</v>
      </c>
    </row>
    <row r="85" spans="5:9" x14ac:dyDescent="0.25">
      <c r="E85" s="1">
        <v>45136.520833333336</v>
      </c>
      <c r="F85">
        <v>1.0240643478095801E-3</v>
      </c>
      <c r="G85">
        <v>8.0678601968785398E-4</v>
      </c>
      <c r="H85">
        <v>8.1014835352685103E-4</v>
      </c>
      <c r="I85">
        <v>0.85462156099999997</v>
      </c>
    </row>
    <row r="86" spans="5:9" x14ac:dyDescent="0.25">
      <c r="E86" s="1">
        <v>45136.53125</v>
      </c>
      <c r="F86">
        <v>1.23295109222797E-3</v>
      </c>
      <c r="G86">
        <v>9.7384368486262501E-4</v>
      </c>
      <c r="H86">
        <v>9.6633238014964102E-4</v>
      </c>
      <c r="I86">
        <v>0.89783227600000004</v>
      </c>
    </row>
    <row r="87" spans="5:9" x14ac:dyDescent="0.25">
      <c r="E87" s="1">
        <v>45136.541666666664</v>
      </c>
      <c r="F87">
        <v>7.0461506916290795E-4</v>
      </c>
      <c r="G87">
        <v>4.6590195669720899E-4</v>
      </c>
      <c r="H87">
        <v>4.5905551179695902E-4</v>
      </c>
      <c r="I87">
        <v>0.56216848100000005</v>
      </c>
    </row>
    <row r="88" spans="5:9" x14ac:dyDescent="0.25">
      <c r="E88" s="1">
        <v>45136.552083333336</v>
      </c>
      <c r="F88">
        <v>1.21280419788865E-3</v>
      </c>
      <c r="G88">
        <v>7.4906684564929901E-4</v>
      </c>
      <c r="H88">
        <v>7.3925040365815204E-4</v>
      </c>
      <c r="I88">
        <v>0.77321039300000005</v>
      </c>
    </row>
    <row r="89" spans="5:9" x14ac:dyDescent="0.25">
      <c r="E89" s="1">
        <v>45136.5625</v>
      </c>
      <c r="F89">
        <v>1.40700327103278E-3</v>
      </c>
      <c r="G89">
        <v>1.04756547825112E-3</v>
      </c>
      <c r="H89">
        <v>1.0261608296745701E-3</v>
      </c>
      <c r="I89">
        <v>0.89859415399999998</v>
      </c>
    </row>
    <row r="90" spans="5:9" x14ac:dyDescent="0.25">
      <c r="E90" s="1">
        <v>45136.572916666664</v>
      </c>
      <c r="F90">
        <v>2.52333080683144E-3</v>
      </c>
      <c r="G90">
        <v>1.8400688632692101E-3</v>
      </c>
      <c r="H90">
        <v>1.80600431371648E-3</v>
      </c>
      <c r="I90">
        <v>1.5125919880000001</v>
      </c>
    </row>
    <row r="91" spans="5:9" x14ac:dyDescent="0.25">
      <c r="E91" s="1">
        <v>45136.583333333336</v>
      </c>
      <c r="F91">
        <v>3.1802471296746302E-3</v>
      </c>
      <c r="G91">
        <v>2.1188024902651799E-3</v>
      </c>
      <c r="H91">
        <v>2.0562799288755401E-3</v>
      </c>
      <c r="I91">
        <v>1.654461261</v>
      </c>
    </row>
    <row r="92" spans="5:9" x14ac:dyDescent="0.25">
      <c r="E92" s="1">
        <v>45136.59375</v>
      </c>
      <c r="F92">
        <v>2.2453429187701901E-3</v>
      </c>
      <c r="G92">
        <v>1.7280486861398E-3</v>
      </c>
      <c r="H92">
        <v>1.7081150427811899E-3</v>
      </c>
      <c r="I92">
        <v>1.5125919880000001</v>
      </c>
    </row>
    <row r="93" spans="5:9" x14ac:dyDescent="0.25">
      <c r="E93" s="1">
        <v>45136.604166666664</v>
      </c>
      <c r="F93">
        <v>3.5989039749391499E-3</v>
      </c>
      <c r="G93">
        <v>2.4146559227991599E-3</v>
      </c>
      <c r="H93">
        <v>2.36938779553775E-3</v>
      </c>
      <c r="I93">
        <v>1.88950475</v>
      </c>
    </row>
    <row r="94" spans="5:9" x14ac:dyDescent="0.25">
      <c r="E94" s="1">
        <v>45136.614583333336</v>
      </c>
      <c r="F94">
        <v>9.3975086142654395E-3</v>
      </c>
      <c r="G94">
        <v>6.95410813505509E-3</v>
      </c>
      <c r="H94">
        <v>6.9272401002238998E-3</v>
      </c>
      <c r="I94">
        <v>4.4021109559999996</v>
      </c>
    </row>
    <row r="95" spans="5:9" x14ac:dyDescent="0.25">
      <c r="E95" s="1">
        <v>45136.625</v>
      </c>
      <c r="F95">
        <v>5.1126953480213899E-2</v>
      </c>
      <c r="G95">
        <v>4.0105363284467697E-2</v>
      </c>
      <c r="H95">
        <v>3.9933863516098698E-2</v>
      </c>
      <c r="I95">
        <v>14.6021538</v>
      </c>
    </row>
    <row r="96" spans="5:9" x14ac:dyDescent="0.25">
      <c r="E96" s="1">
        <v>45136.635416666664</v>
      </c>
      <c r="F96">
        <v>5.1155251671276401E-2</v>
      </c>
      <c r="G96">
        <v>3.9169184180446702E-2</v>
      </c>
      <c r="H96">
        <v>3.8923043068295797E-2</v>
      </c>
      <c r="I96">
        <v>13.238676509999999</v>
      </c>
    </row>
    <row r="97" spans="5:9" x14ac:dyDescent="0.25">
      <c r="E97" s="1">
        <v>45136.645833333336</v>
      </c>
      <c r="F97">
        <v>6.9969355843641404E-2</v>
      </c>
      <c r="G97">
        <v>5.0759992733236801E-2</v>
      </c>
      <c r="H97">
        <v>5.1297619492298399E-2</v>
      </c>
      <c r="I97">
        <v>14.6021538</v>
      </c>
    </row>
    <row r="98" spans="5:9" x14ac:dyDescent="0.25">
      <c r="E98" s="1">
        <v>45136.65625</v>
      </c>
      <c r="F98">
        <v>0.127994748730582</v>
      </c>
      <c r="G98">
        <v>9.2368097408640507E-2</v>
      </c>
      <c r="H98">
        <v>9.2086383830759302E-2</v>
      </c>
      <c r="I98">
        <v>20.131538750000001</v>
      </c>
    </row>
    <row r="99" spans="5:9" x14ac:dyDescent="0.25">
      <c r="E99" s="1">
        <v>45136.666666666664</v>
      </c>
      <c r="F99">
        <v>5.15296213292461E-2</v>
      </c>
      <c r="G99">
        <v>3.5889401291530003E-2</v>
      </c>
      <c r="H99">
        <v>3.4855209704532097E-2</v>
      </c>
      <c r="I99">
        <v>10.529934320000001</v>
      </c>
    </row>
    <row r="100" spans="5:9" x14ac:dyDescent="0.25">
      <c r="E100" s="1">
        <v>45136.677083333336</v>
      </c>
      <c r="F100">
        <v>1.74814382125595E-2</v>
      </c>
      <c r="G100">
        <v>1.43763377701847E-2</v>
      </c>
      <c r="H100">
        <v>1.4097374270261099E-2</v>
      </c>
      <c r="I100">
        <v>5.509495866</v>
      </c>
    </row>
    <row r="101" spans="5:9" x14ac:dyDescent="0.25">
      <c r="E101" s="1">
        <v>45136.6875</v>
      </c>
      <c r="F101">
        <v>4.0526082764358401E-2</v>
      </c>
      <c r="G101">
        <v>3.2111024436873699E-2</v>
      </c>
      <c r="H101">
        <v>3.1604006390931E-2</v>
      </c>
      <c r="I101">
        <v>9.2095990650000008</v>
      </c>
    </row>
    <row r="102" spans="5:9" x14ac:dyDescent="0.25">
      <c r="E102" s="1">
        <v>45136.688888888886</v>
      </c>
      <c r="F102">
        <v>2.7833474634514899E-2</v>
      </c>
      <c r="G102">
        <v>2.0941392469977602E-2</v>
      </c>
      <c r="H102">
        <v>2.0742395900787199E-2</v>
      </c>
      <c r="I102">
        <v>6.5397134279999998</v>
      </c>
    </row>
    <row r="103" spans="5:9" x14ac:dyDescent="0.25">
      <c r="E103" s="1">
        <v>45136.697916666664</v>
      </c>
      <c r="F103">
        <v>1.3441263753001099E-2</v>
      </c>
      <c r="G103">
        <v>1.03893781978826E-2</v>
      </c>
      <c r="H103">
        <v>1.01453005811815E-2</v>
      </c>
      <c r="I103">
        <v>3.8698277910000001</v>
      </c>
    </row>
    <row r="104" spans="5:9" x14ac:dyDescent="0.25">
      <c r="E104" s="1">
        <v>45136.708333333336</v>
      </c>
      <c r="F104">
        <v>2.04912797109153E-2</v>
      </c>
      <c r="G104">
        <v>1.35103874559596E-2</v>
      </c>
      <c r="H104">
        <v>1.3503113260868799E-2</v>
      </c>
      <c r="I104">
        <v>5.509495866</v>
      </c>
    </row>
    <row r="105" spans="5:9" x14ac:dyDescent="0.25">
      <c r="E105" s="1">
        <v>45136.71875</v>
      </c>
      <c r="F105">
        <v>7.2952093961137898E-3</v>
      </c>
      <c r="G105">
        <v>5.1275524015476897E-3</v>
      </c>
      <c r="H105">
        <v>5.0161158941296304E-3</v>
      </c>
      <c r="I105">
        <v>2.6539428329999999</v>
      </c>
    </row>
    <row r="106" spans="5:9" x14ac:dyDescent="0.25">
      <c r="E106" s="1">
        <v>45136.729166666664</v>
      </c>
      <c r="F106">
        <v>8.0904676929714394E-3</v>
      </c>
      <c r="G106">
        <v>5.6305920261630503E-3</v>
      </c>
      <c r="H106">
        <v>5.5266752230142902E-3</v>
      </c>
      <c r="I106">
        <v>2.8809824239999999</v>
      </c>
    </row>
    <row r="107" spans="5:9" x14ac:dyDescent="0.25">
      <c r="E107" s="1">
        <v>45136.739583333336</v>
      </c>
      <c r="F107">
        <v>6.1034368231289602E-3</v>
      </c>
      <c r="G107">
        <v>4.71357130615021E-3</v>
      </c>
      <c r="H107">
        <v>4.6289590150238097E-3</v>
      </c>
      <c r="I107">
        <v>2.6558198119999998</v>
      </c>
    </row>
    <row r="108" spans="5:9" x14ac:dyDescent="0.25">
      <c r="E108" s="1">
        <v>45136.75</v>
      </c>
      <c r="F108">
        <v>6.5689633562032801E-3</v>
      </c>
      <c r="G108">
        <v>4.6062635039487102E-3</v>
      </c>
      <c r="H108">
        <v>4.5646452464279197E-3</v>
      </c>
      <c r="I108">
        <v>2.6558198119999998</v>
      </c>
    </row>
    <row r="109" spans="5:9" x14ac:dyDescent="0.25">
      <c r="E109" s="1">
        <v>45136.760416666664</v>
      </c>
      <c r="F109">
        <v>4.43015016060794E-3</v>
      </c>
      <c r="G109">
        <v>3.20925693881118E-3</v>
      </c>
      <c r="H109">
        <v>3.20613745815672E-3</v>
      </c>
      <c r="I109">
        <v>2.0619739560000001</v>
      </c>
    </row>
    <row r="110" spans="5:9" x14ac:dyDescent="0.25">
      <c r="E110" s="1">
        <v>45136.770833333336</v>
      </c>
      <c r="F110">
        <v>5.4566557732256904E-3</v>
      </c>
      <c r="G110">
        <v>3.54636639394204E-3</v>
      </c>
      <c r="H110">
        <v>3.4315786560634499E-3</v>
      </c>
      <c r="I110">
        <v>2.3436582540000002</v>
      </c>
    </row>
    <row r="111" spans="5:9" x14ac:dyDescent="0.25">
      <c r="E111" s="1">
        <v>45136.78125</v>
      </c>
      <c r="F111">
        <v>4.1346954071466904E-3</v>
      </c>
      <c r="G111">
        <v>2.8904820099250098E-3</v>
      </c>
      <c r="H111">
        <v>2.8074577450384101E-3</v>
      </c>
      <c r="I111">
        <v>2.0619739560000001</v>
      </c>
    </row>
    <row r="112" spans="5:9" x14ac:dyDescent="0.25">
      <c r="E112" s="1">
        <v>45136.791666666664</v>
      </c>
      <c r="F112">
        <v>3.5512816224259002E-3</v>
      </c>
      <c r="G112">
        <v>2.3943578764659798E-3</v>
      </c>
      <c r="H112">
        <v>2.3625879132603599E-3</v>
      </c>
      <c r="I112">
        <v>1.8086265969999999</v>
      </c>
    </row>
    <row r="113" spans="5:9" x14ac:dyDescent="0.25">
      <c r="E113" s="1">
        <v>45136.802083333336</v>
      </c>
      <c r="F113">
        <v>4.4387661618113397E-3</v>
      </c>
      <c r="G113">
        <v>3.0924059806745701E-3</v>
      </c>
      <c r="H113">
        <v>3.06150069128231E-3</v>
      </c>
      <c r="I113">
        <v>2.3436582540000002</v>
      </c>
    </row>
    <row r="114" spans="5:9" x14ac:dyDescent="0.25">
      <c r="E114" s="1">
        <v>45136.8125</v>
      </c>
      <c r="F114">
        <v>2.59318995528657E-3</v>
      </c>
      <c r="G114">
        <v>1.9897767452280398E-3</v>
      </c>
      <c r="H114">
        <v>2.0014050426361701E-3</v>
      </c>
      <c r="I114">
        <v>1.654461261</v>
      </c>
    </row>
    <row r="115" spans="5:9" x14ac:dyDescent="0.25">
      <c r="E115" s="1">
        <v>45136.822916666664</v>
      </c>
      <c r="F115">
        <v>3.2010039168246401E-3</v>
      </c>
      <c r="G115">
        <v>2.1723663361438101E-3</v>
      </c>
      <c r="H115">
        <v>2.0713683532335701E-3</v>
      </c>
      <c r="I115">
        <v>1.8086265969999999</v>
      </c>
    </row>
    <row r="116" spans="5:9" x14ac:dyDescent="0.25">
      <c r="E116" s="1">
        <v>45136.833333333336</v>
      </c>
      <c r="F116">
        <v>3.5143689780461102E-3</v>
      </c>
      <c r="G116">
        <v>2.4892254651809401E-3</v>
      </c>
      <c r="H116">
        <v>2.4663088692795702E-3</v>
      </c>
      <c r="I116">
        <v>1.8086265969999999</v>
      </c>
    </row>
    <row r="117" spans="5:9" x14ac:dyDescent="0.25">
      <c r="E117" s="1">
        <v>45136.84375</v>
      </c>
      <c r="F117">
        <v>5.54491524795839E-3</v>
      </c>
      <c r="G117">
        <v>3.27186110807446E-3</v>
      </c>
      <c r="H117">
        <v>3.3553468359623999E-3</v>
      </c>
      <c r="I117">
        <v>2.1522282119999998</v>
      </c>
    </row>
    <row r="118" spans="5:9" x14ac:dyDescent="0.25">
      <c r="E118" s="1">
        <v>45136.854166666664</v>
      </c>
      <c r="F118">
        <v>5.2081885547395701E-3</v>
      </c>
      <c r="G118">
        <v>2.6183476969616599E-3</v>
      </c>
      <c r="H118">
        <v>2.5138727052337901E-3</v>
      </c>
      <c r="I118">
        <v>1.88950475</v>
      </c>
    </row>
    <row r="119" spans="5:9" x14ac:dyDescent="0.25">
      <c r="E119" s="1">
        <v>45136.864583333336</v>
      </c>
      <c r="F119">
        <v>4.3408846459082303E-3</v>
      </c>
      <c r="G119">
        <v>2.8693829582188699E-3</v>
      </c>
      <c r="H119">
        <v>2.7649870659638299E-3</v>
      </c>
      <c r="I119">
        <v>2.1522282119999998</v>
      </c>
    </row>
    <row r="120" spans="5:9" x14ac:dyDescent="0.25">
      <c r="E120" s="1">
        <v>45136.875</v>
      </c>
      <c r="F120">
        <v>4.7268226914240199E-3</v>
      </c>
      <c r="G120">
        <v>3.20718452461961E-3</v>
      </c>
      <c r="H120">
        <v>3.0734599885614698E-3</v>
      </c>
      <c r="I120">
        <v>2.3419653060000001</v>
      </c>
    </row>
    <row r="121" spans="5:9" x14ac:dyDescent="0.25">
      <c r="E121" s="1">
        <v>45136.885416666664</v>
      </c>
      <c r="F121">
        <v>2.8385898787050699E-3</v>
      </c>
      <c r="G121">
        <v>2.0404136610442801E-3</v>
      </c>
      <c r="H121">
        <v>2.0365194938422502E-3</v>
      </c>
      <c r="I121">
        <v>1.654461261</v>
      </c>
    </row>
    <row r="122" spans="5:9" x14ac:dyDescent="0.25">
      <c r="E122" s="1">
        <v>45136.895833333336</v>
      </c>
      <c r="F122">
        <v>2.95059526448026E-3</v>
      </c>
      <c r="G122">
        <v>1.5939454947586501E-3</v>
      </c>
      <c r="H122">
        <v>1.5543820403303701E-3</v>
      </c>
      <c r="I122">
        <v>1.5125919880000001</v>
      </c>
    </row>
    <row r="123" spans="5:9" x14ac:dyDescent="0.25">
      <c r="E123" s="1">
        <v>45136.90625</v>
      </c>
      <c r="F123">
        <v>2.3323606199762499E-3</v>
      </c>
      <c r="G123">
        <v>1.7610329036060999E-3</v>
      </c>
      <c r="H123">
        <v>1.7185776703082199E-3</v>
      </c>
      <c r="I123">
        <v>1.654461261</v>
      </c>
    </row>
    <row r="124" spans="5:9" x14ac:dyDescent="0.25">
      <c r="E124" s="1">
        <v>45136.916666666664</v>
      </c>
      <c r="F124">
        <v>3.6387509770538298E-3</v>
      </c>
      <c r="G124">
        <v>2.4582297365594902E-3</v>
      </c>
      <c r="H124">
        <v>2.40768864277046E-3</v>
      </c>
      <c r="I124">
        <v>2.1522282119999998</v>
      </c>
    </row>
    <row r="125" spans="5:9" x14ac:dyDescent="0.25">
      <c r="E125" s="1">
        <v>45136.927083333336</v>
      </c>
      <c r="F125">
        <v>2.0941843985169601E-3</v>
      </c>
      <c r="G125">
        <v>1.5074111923254301E-3</v>
      </c>
      <c r="H125">
        <v>1.4654375899724899E-3</v>
      </c>
      <c r="I125">
        <v>1.511415151</v>
      </c>
    </row>
    <row r="126" spans="5:9" x14ac:dyDescent="0.25">
      <c r="E126" s="1">
        <v>45136.9375</v>
      </c>
      <c r="F126">
        <v>2.7895183931472699E-3</v>
      </c>
      <c r="G126">
        <v>1.80593571210082E-3</v>
      </c>
      <c r="H126">
        <v>1.7947132984829099E-3</v>
      </c>
      <c r="I126">
        <v>1.729502407</v>
      </c>
    </row>
    <row r="127" spans="5:9" x14ac:dyDescent="0.25">
      <c r="E127" s="1">
        <v>45136.947916666664</v>
      </c>
      <c r="F127">
        <v>1.92595792301302E-3</v>
      </c>
      <c r="G127">
        <v>1.4691407099493899E-3</v>
      </c>
      <c r="H127">
        <v>1.4422991890267001E-3</v>
      </c>
      <c r="I127">
        <v>1.511415151</v>
      </c>
    </row>
    <row r="128" spans="5:9" x14ac:dyDescent="0.25">
      <c r="E128" s="1">
        <v>45136.958333333336</v>
      </c>
      <c r="F128">
        <v>2.3061736106669301E-3</v>
      </c>
      <c r="G128">
        <v>1.68221909178839E-3</v>
      </c>
      <c r="H128">
        <v>1.67371248498868E-3</v>
      </c>
      <c r="I128">
        <v>1.654461261</v>
      </c>
    </row>
    <row r="129" spans="5:9" x14ac:dyDescent="0.25">
      <c r="E129" s="1">
        <v>45136.96875</v>
      </c>
      <c r="F129">
        <v>1.8193268975525399E-3</v>
      </c>
      <c r="G129">
        <v>1.40393647695969E-3</v>
      </c>
      <c r="H129">
        <v>1.3855852439384399E-3</v>
      </c>
      <c r="I129">
        <v>1.4444654269999999</v>
      </c>
    </row>
    <row r="130" spans="5:9" x14ac:dyDescent="0.25">
      <c r="E130" s="1">
        <v>45136.979166666664</v>
      </c>
      <c r="F130">
        <v>2.0653488394915399E-3</v>
      </c>
      <c r="G130">
        <v>1.65080933783888E-3</v>
      </c>
      <c r="H130">
        <v>1.6617124783933901E-3</v>
      </c>
      <c r="I130">
        <v>1.654461261</v>
      </c>
    </row>
    <row r="131" spans="5:9" x14ac:dyDescent="0.25">
      <c r="E131" s="1">
        <v>45136.989583333336</v>
      </c>
      <c r="F131">
        <v>2.4114093877089702E-3</v>
      </c>
      <c r="G131">
        <v>1.6910333190252201E-3</v>
      </c>
      <c r="H131">
        <v>1.6612039902175601E-3</v>
      </c>
      <c r="I131">
        <v>1.729502407</v>
      </c>
    </row>
    <row r="132" spans="5:9" x14ac:dyDescent="0.25">
      <c r="E132" s="1">
        <v>45137</v>
      </c>
      <c r="F132">
        <v>1.8880443640639101E-3</v>
      </c>
      <c r="G132">
        <v>1.4645055796891899E-3</v>
      </c>
      <c r="H132">
        <v>1.46512976664465E-3</v>
      </c>
      <c r="I132">
        <v>1.511415151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storm4_results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2025-10-23T18:17:20Z</dcterms:created>
  <dcterms:modified xsi:type="dcterms:W3CDTF">2025-12-12T21:24:49Z</dcterms:modified>
</cp:coreProperties>
</file>