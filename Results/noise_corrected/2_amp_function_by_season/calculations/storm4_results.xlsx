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Results\noise_corrected\2_amp_function_by_season\calculations\"/>
    </mc:Choice>
  </mc:AlternateContent>
  <xr:revisionPtr revIDLastSave="0" documentId="13_ncr:1_{113D4000-4B02-4040-BF78-DDAB626D1A21}" xr6:coauthVersionLast="47" xr6:coauthVersionMax="47" xr10:uidLastSave="{00000000-0000-0000-0000-000000000000}"/>
  <bookViews>
    <workbookView xWindow="-120" yWindow="-120" windowWidth="29040" windowHeight="15720" xr2:uid="{F13D17A6-16AC-4BA4-A06E-27B077BB68FB}"/>
  </bookViews>
  <sheets>
    <sheet name="storm4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" i="1" l="1"/>
  <c r="C63" i="1"/>
  <c r="B62" i="1"/>
  <c r="B63" i="1"/>
  <c r="B35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B36" i="1"/>
  <c r="B37" i="1"/>
  <c r="B38" i="1"/>
  <c r="B39" i="1"/>
  <c r="B40" i="1"/>
  <c r="B41" i="1"/>
  <c r="B42" i="1"/>
  <c r="B43" i="1"/>
  <c r="B44" i="1"/>
  <c r="U48" i="1" s="1"/>
  <c r="B45" i="1"/>
  <c r="V48" i="1" s="1"/>
  <c r="B46" i="1"/>
  <c r="W48" i="1" s="1"/>
  <c r="B47" i="1"/>
  <c r="U49" i="1" s="1"/>
  <c r="B48" i="1"/>
  <c r="V49" i="1" s="1"/>
  <c r="B49" i="1"/>
  <c r="W49" i="1" s="1"/>
  <c r="B50" i="1"/>
  <c r="U50" i="1" s="1"/>
  <c r="B51" i="1"/>
  <c r="V50" i="1" s="1"/>
  <c r="B52" i="1"/>
  <c r="W50" i="1" s="1"/>
  <c r="B53" i="1"/>
  <c r="U51" i="1" s="1"/>
  <c r="B54" i="1"/>
  <c r="V51" i="1" s="1"/>
  <c r="B55" i="1"/>
  <c r="W51" i="1" s="1"/>
  <c r="B56" i="1"/>
  <c r="U52" i="1" s="1"/>
  <c r="B57" i="1"/>
  <c r="V52" i="1" s="1"/>
  <c r="B58" i="1"/>
  <c r="W52" i="1" s="1"/>
  <c r="B59" i="1"/>
  <c r="U53" i="1" s="1"/>
  <c r="B60" i="1"/>
  <c r="V53" i="1" s="1"/>
  <c r="B61" i="1"/>
  <c r="W53" i="1" s="1"/>
  <c r="A60" i="1"/>
  <c r="A61" i="1"/>
  <c r="A57" i="1"/>
  <c r="A58" i="1"/>
  <c r="A59" i="1"/>
  <c r="A48" i="1"/>
  <c r="A49" i="1"/>
  <c r="A50" i="1"/>
  <c r="A51" i="1"/>
  <c r="A52" i="1"/>
  <c r="A53" i="1"/>
  <c r="A54" i="1"/>
  <c r="A55" i="1"/>
  <c r="A56" i="1"/>
  <c r="A36" i="1"/>
  <c r="A37" i="1"/>
  <c r="A38" i="1"/>
  <c r="A39" i="1"/>
  <c r="A40" i="1"/>
  <c r="A41" i="1"/>
  <c r="A42" i="1"/>
  <c r="A43" i="1"/>
  <c r="A44" i="1"/>
  <c r="A45" i="1"/>
  <c r="A46" i="1"/>
  <c r="A47" i="1"/>
  <c r="A35" i="1"/>
</calcChain>
</file>

<file path=xl/sharedStrings.xml><?xml version="1.0" encoding="utf-8"?>
<sst xmlns="http://schemas.openxmlformats.org/spreadsheetml/2006/main" count="60" uniqueCount="46">
  <si>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</si>
  <si>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</si>
  <si>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</si>
  <si>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</si>
  <si>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</si>
  <si>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</si>
  <si>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</si>
  <si>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</si>
  <si>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</si>
  <si>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</si>
  <si>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</si>
  <si>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</si>
  <si>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</si>
  <si>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</si>
  <si>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</si>
  <si>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</si>
  <si>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</si>
  <si>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</si>
  <si>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</si>
  <si>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</si>
  <si>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</si>
  <si>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</si>
  <si>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</si>
  <si>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</si>
  <si>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</si>
  <si>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</si>
  <si>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</si>
  <si>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</si>
  <si>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</si>
  <si>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</si>
  <si>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</si>
  <si>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</si>
  <si>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</si>
  <si>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</si>
  <si>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</si>
  <si>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</si>
  <si>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</si>
  <si>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</si>
  <si>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</si>
  <si>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</si>
  <si>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</si>
  <si>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</si>
  <si>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</si>
  <si>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</si>
  <si>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</si>
  <si>
    <t xml:space="preserve">maybe?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</si>
</sst>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Over</a:t>
            </a:r>
            <a:r>
              <a:rPr lang="en-US" baseline="0"/>
              <a:t>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storm4_results!$E$35:$E$132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storm4_results!$F$35:$F$132</c:f>
              <c:numCache>
                <c:formatCode>0.00E+00</c:formatCode>
                <c:ptCount val="98"/>
                <c:pt idx="0">
                  <c:v>2.0921219592674199E-5</c:v>
                </c:pt>
                <c:pt idx="1">
                  <c:v>3.1199643646280897E-5</c:v>
                </c:pt>
                <c:pt idx="2">
                  <c:v>5.0260870271014598E-5</c:v>
                </c:pt>
                <c:pt idx="3">
                  <c:v>1.6208630649053299E-5</c:v>
                </c:pt>
                <c:pt idx="4">
                  <c:v>6.2730376417451805E-5</c:v>
                </c:pt>
                <c:pt idx="5">
                  <c:v>5.6267167695581002E-5</c:v>
                </c:pt>
                <c:pt idx="6">
                  <c:v>6.07766069859424E-5</c:v>
                </c:pt>
                <c:pt idx="7">
                  <c:v>2.5149242441097701E-5</c:v>
                </c:pt>
                <c:pt idx="8">
                  <c:v>5.0722279521092002E-5</c:v>
                </c:pt>
                <c:pt idx="9">
                  <c:v>2.2719809695043802E-5</c:v>
                </c:pt>
                <c:pt idx="10">
                  <c:v>3.0462620503608901E-5</c:v>
                </c:pt>
                <c:pt idx="11">
                  <c:v>3.4017975804844198E-5</c:v>
                </c:pt>
                <c:pt idx="12">
                  <c:v>2.6433858203417201E-5</c:v>
                </c:pt>
                <c:pt idx="13">
                  <c:v>3.9046552245590801E-5</c:v>
                </c:pt>
                <c:pt idx="14">
                  <c:v>3.3784118056452899E-5</c:v>
                </c:pt>
                <c:pt idx="15">
                  <c:v>1.21685442171469E-5</c:v>
                </c:pt>
                <c:pt idx="16">
                  <c:v>3.6331817203934E-5</c:v>
                </c:pt>
                <c:pt idx="17">
                  <c:v>8.3099133979832395E-5</c:v>
                </c:pt>
                <c:pt idx="18">
                  <c:v>3.2935691179784301E-5</c:v>
                </c:pt>
                <c:pt idx="19">
                  <c:v>2.1946178501618E-5</c:v>
                </c:pt>
                <c:pt idx="20">
                  <c:v>3.1147278761417898E-5</c:v>
                </c:pt>
                <c:pt idx="21">
                  <c:v>3.5599398307166E-5</c:v>
                </c:pt>
                <c:pt idx="22">
                  <c:v>2.2641758929729901E-5</c:v>
                </c:pt>
                <c:pt idx="23">
                  <c:v>3.4435493002627998E-5</c:v>
                </c:pt>
                <c:pt idx="24">
                  <c:v>5.6018475162210398E-5</c:v>
                </c:pt>
                <c:pt idx="25">
                  <c:v>2.8582728018710199E-5</c:v>
                </c:pt>
                <c:pt idx="26">
                  <c:v>4.29084337423049E-5</c:v>
                </c:pt>
                <c:pt idx="27">
                  <c:v>1.5729504209105401E-5</c:v>
                </c:pt>
                <c:pt idx="28">
                  <c:v>2.4924712013642199E-5</c:v>
                </c:pt>
                <c:pt idx="29">
                  <c:v>5.6575819399946799E-5</c:v>
                </c:pt>
                <c:pt idx="30">
                  <c:v>6.6018591848542903E-5</c:v>
                </c:pt>
                <c:pt idx="31">
                  <c:v>5.6706277803545903E-5</c:v>
                </c:pt>
                <c:pt idx="32">
                  <c:v>6.2619572898388903E-5</c:v>
                </c:pt>
                <c:pt idx="33">
                  <c:v>6.4674616710256401E-5</c:v>
                </c:pt>
                <c:pt idx="34">
                  <c:v>4.5677930753585603E-5</c:v>
                </c:pt>
                <c:pt idx="35">
                  <c:v>5.1549048526134002E-5</c:v>
                </c:pt>
                <c:pt idx="36">
                  <c:v>3.4004342023135103E-5</c:v>
                </c:pt>
                <c:pt idx="37">
                  <c:v>4.6171672721245601E-5</c:v>
                </c:pt>
                <c:pt idx="38">
                  <c:v>3.5829106706975198E-5</c:v>
                </c:pt>
                <c:pt idx="39">
                  <c:v>4.6064375135240401E-5</c:v>
                </c:pt>
                <c:pt idx="40">
                  <c:v>2.8423973024503701E-5</c:v>
                </c:pt>
                <c:pt idx="41">
                  <c:v>4.1591485331344797E-5</c:v>
                </c:pt>
                <c:pt idx="42">
                  <c:v>2.77622805001801E-5</c:v>
                </c:pt>
                <c:pt idx="43">
                  <c:v>1.5196660767825199E-5</c:v>
                </c:pt>
                <c:pt idx="44">
                  <c:v>6.9546574418090602E-6</c:v>
                </c:pt>
                <c:pt idx="45">
                  <c:v>2.08973889814702E-5</c:v>
                </c:pt>
                <c:pt idx="46">
                  <c:v>1.08304269794954E-5</c:v>
                </c:pt>
                <c:pt idx="47">
                  <c:v>2.2486908188578301E-5</c:v>
                </c:pt>
                <c:pt idx="48">
                  <c:v>3.3482462098601899E-5</c:v>
                </c:pt>
                <c:pt idx="49">
                  <c:v>1.9276041078235401E-5</c:v>
                </c:pt>
                <c:pt idx="50">
                  <c:v>2.3509964488308001E-5</c:v>
                </c:pt>
                <c:pt idx="51">
                  <c:v>2.9467547096324499E-5</c:v>
                </c:pt>
                <c:pt idx="52">
                  <c:v>1.14946254802698E-5</c:v>
                </c:pt>
                <c:pt idx="53">
                  <c:v>2.56597199547728E-5</c:v>
                </c:pt>
                <c:pt idx="54">
                  <c:v>3.3650670903670501E-5</c:v>
                </c:pt>
                <c:pt idx="55">
                  <c:v>9.2289025340561501E-5</c:v>
                </c:pt>
                <c:pt idx="56" formatCode="General">
                  <c:v>1.25139916511962E-4</c:v>
                </c:pt>
                <c:pt idx="57">
                  <c:v>8.2121816516651094E-5</c:v>
                </c:pt>
                <c:pt idx="58" formatCode="General">
                  <c:v>1.57820753916997E-4</c:v>
                </c:pt>
                <c:pt idx="59" formatCode="General">
                  <c:v>8.2153070237912004E-4</c:v>
                </c:pt>
                <c:pt idx="60" formatCode="General">
                  <c:v>1.18861606606713E-2</c:v>
                </c:pt>
                <c:pt idx="61" formatCode="General">
                  <c:v>1.0978819432582901E-2</c:v>
                </c:pt>
                <c:pt idx="62" formatCode="General">
                  <c:v>1.62667037302946E-2</c:v>
                </c:pt>
                <c:pt idx="63" formatCode="General">
                  <c:v>3.8667081914818199E-2</c:v>
                </c:pt>
                <c:pt idx="64" formatCode="General">
                  <c:v>9.1754286949490404E-3</c:v>
                </c:pt>
                <c:pt idx="65" formatCode="General">
                  <c:v>1.8351810065169399E-3</c:v>
                </c:pt>
                <c:pt idx="66" formatCode="General">
                  <c:v>6.4690809586668103E-3</c:v>
                </c:pt>
                <c:pt idx="67" formatCode="General">
                  <c:v>3.3604347917875802E-3</c:v>
                </c:pt>
                <c:pt idx="68" formatCode="General">
                  <c:v>1.0577839523153701E-3</c:v>
                </c:pt>
                <c:pt idx="69" formatCode="General">
                  <c:v>2.15115065859375E-3</c:v>
                </c:pt>
                <c:pt idx="70" formatCode="General">
                  <c:v>4.22068471327855E-4</c:v>
                </c:pt>
                <c:pt idx="71" formatCode="General">
                  <c:v>5.0049264924178095E-4</c:v>
                </c:pt>
                <c:pt idx="72" formatCode="General">
                  <c:v>3.5332149348888103E-4</c:v>
                </c:pt>
                <c:pt idx="73" formatCode="General">
                  <c:v>3.8027033144497698E-4</c:v>
                </c:pt>
                <c:pt idx="74" formatCode="General">
                  <c:v>2.0862004466894901E-4</c:v>
                </c:pt>
                <c:pt idx="75" formatCode="General">
                  <c:v>2.8525031072343501E-4</c:v>
                </c:pt>
                <c:pt idx="76" formatCode="General">
                  <c:v>1.9470679530983701E-4</c:v>
                </c:pt>
                <c:pt idx="77" formatCode="General">
                  <c:v>1.50273161436999E-4</c:v>
                </c:pt>
                <c:pt idx="78" formatCode="General">
                  <c:v>2.32039454113764E-4</c:v>
                </c:pt>
                <c:pt idx="79" formatCode="General">
                  <c:v>1.02039735054893E-4</c:v>
                </c:pt>
                <c:pt idx="80" formatCode="General">
                  <c:v>1.3545109329062401E-4</c:v>
                </c:pt>
                <c:pt idx="81" formatCode="General">
                  <c:v>1.48711195819252E-4</c:v>
                </c:pt>
                <c:pt idx="82" formatCode="General">
                  <c:v>2.7040126304420298E-4</c:v>
                </c:pt>
                <c:pt idx="83" formatCode="General">
                  <c:v>2.28391824282401E-4</c:v>
                </c:pt>
                <c:pt idx="84" formatCode="General">
                  <c:v>2.1168595705013901E-4</c:v>
                </c:pt>
                <c:pt idx="85" formatCode="General">
                  <c:v>2.4695219540467198E-4</c:v>
                </c:pt>
                <c:pt idx="86" formatCode="General">
                  <c:v>1.11696005361216E-4</c:v>
                </c:pt>
                <c:pt idx="87" formatCode="General">
                  <c:v>1.07915918275096E-4</c:v>
                </c:pt>
                <c:pt idx="88">
                  <c:v>9.1776331008265905E-5</c:v>
                </c:pt>
                <c:pt idx="89" formatCode="General">
                  <c:v>1.7744596916942999E-4</c:v>
                </c:pt>
                <c:pt idx="90">
                  <c:v>7.6544689019208406E-5</c:v>
                </c:pt>
                <c:pt idx="91" formatCode="General">
                  <c:v>1.1380945120014E-4</c:v>
                </c:pt>
                <c:pt idx="92">
                  <c:v>7.0395830656242797E-5</c:v>
                </c:pt>
                <c:pt idx="93">
                  <c:v>9.0745895317882101E-5</c:v>
                </c:pt>
                <c:pt idx="94">
                  <c:v>6.4085630971233697E-5</c:v>
                </c:pt>
                <c:pt idx="95">
                  <c:v>8.1269653207969794E-5</c:v>
                </c:pt>
                <c:pt idx="96">
                  <c:v>9.8382996758118298E-5</c:v>
                </c:pt>
                <c:pt idx="97">
                  <c:v>6.9010049354083501E-5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42-460D-A573-0AB05F1C6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570255"/>
        <c:axId val="889568335"/>
      </c:scatterChart>
      <c:valAx>
        <c:axId val="88957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68335"/>
        <c:crosses val="autoZero"/>
        <c:crossBetween val="midCat"/>
      </c:valAx>
      <c:valAx>
        <c:axId val="88956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70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 Over</a:t>
            </a:r>
            <a:r>
              <a:rPr lang="en-US" baseline="0"/>
              <a:t>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storm4_results!$E$35:$E$132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storm4_results!$G$35:$G$132</c:f>
              <c:numCache>
                <c:formatCode>0.00E+00</c:formatCode>
                <c:ptCount val="98"/>
                <c:pt idx="0">
                  <c:v>1.6896795203131901E-5</c:v>
                </c:pt>
                <c:pt idx="1">
                  <c:v>2.4629425665900501E-5</c:v>
                </c:pt>
                <c:pt idx="2">
                  <c:v>3.3017554682506401E-5</c:v>
                </c:pt>
                <c:pt idx="3">
                  <c:v>1.27688592912204E-5</c:v>
                </c:pt>
                <c:pt idx="4">
                  <c:v>4.4408583626906601E-5</c:v>
                </c:pt>
                <c:pt idx="5">
                  <c:v>3.3942095956601498E-5</c:v>
                </c:pt>
                <c:pt idx="6">
                  <c:v>4.1374875863520302E-5</c:v>
                </c:pt>
                <c:pt idx="7">
                  <c:v>1.7715750295374101E-5</c:v>
                </c:pt>
                <c:pt idx="8">
                  <c:v>3.9812480762091098E-5</c:v>
                </c:pt>
                <c:pt idx="9">
                  <c:v>1.7321557920951001E-5</c:v>
                </c:pt>
                <c:pt idx="10">
                  <c:v>2.2935318023320101E-5</c:v>
                </c:pt>
                <c:pt idx="11">
                  <c:v>2.4246437682341499E-5</c:v>
                </c:pt>
                <c:pt idx="12">
                  <c:v>2.2490507198255E-5</c:v>
                </c:pt>
                <c:pt idx="13">
                  <c:v>3.1591182769583298E-5</c:v>
                </c:pt>
                <c:pt idx="14">
                  <c:v>2.3154171766705699E-5</c:v>
                </c:pt>
                <c:pt idx="15">
                  <c:v>9.5834925082218593E-6</c:v>
                </c:pt>
                <c:pt idx="16">
                  <c:v>2.3486598692819599E-5</c:v>
                </c:pt>
                <c:pt idx="17">
                  <c:v>5.2108182211171102E-5</c:v>
                </c:pt>
                <c:pt idx="18">
                  <c:v>2.3184904670164001E-5</c:v>
                </c:pt>
                <c:pt idx="19">
                  <c:v>1.7077378542200101E-5</c:v>
                </c:pt>
                <c:pt idx="20">
                  <c:v>2.42559621864849E-5</c:v>
                </c:pt>
                <c:pt idx="21">
                  <c:v>2.4769391695874299E-5</c:v>
                </c:pt>
                <c:pt idx="22">
                  <c:v>1.7682664500225001E-5</c:v>
                </c:pt>
                <c:pt idx="23">
                  <c:v>2.2218657031089101E-5</c:v>
                </c:pt>
                <c:pt idx="24">
                  <c:v>3.1139367918411402E-5</c:v>
                </c:pt>
                <c:pt idx="25">
                  <c:v>1.8027864770854401E-5</c:v>
                </c:pt>
                <c:pt idx="26">
                  <c:v>2.9615683986387101E-5</c:v>
                </c:pt>
                <c:pt idx="27">
                  <c:v>1.16120352436167E-5</c:v>
                </c:pt>
                <c:pt idx="28">
                  <c:v>1.7851094916333699E-5</c:v>
                </c:pt>
                <c:pt idx="29">
                  <c:v>3.6385007004068202E-5</c:v>
                </c:pt>
                <c:pt idx="30">
                  <c:v>4.4898663642424099E-5</c:v>
                </c:pt>
                <c:pt idx="31">
                  <c:v>3.6264714697738E-5</c:v>
                </c:pt>
                <c:pt idx="32">
                  <c:v>4.8278504879058097E-5</c:v>
                </c:pt>
                <c:pt idx="33">
                  <c:v>4.7677130715605303E-5</c:v>
                </c:pt>
                <c:pt idx="34">
                  <c:v>3.6729415196760999E-5</c:v>
                </c:pt>
                <c:pt idx="35">
                  <c:v>3.4713177586774101E-5</c:v>
                </c:pt>
                <c:pt idx="36">
                  <c:v>2.5127311250110201E-5</c:v>
                </c:pt>
                <c:pt idx="37">
                  <c:v>2.5838804102086801E-5</c:v>
                </c:pt>
                <c:pt idx="38">
                  <c:v>2.6709252998540501E-5</c:v>
                </c:pt>
                <c:pt idx="39">
                  <c:v>3.5881157416853699E-5</c:v>
                </c:pt>
                <c:pt idx="40">
                  <c:v>2.0730713311733E-5</c:v>
                </c:pt>
                <c:pt idx="41">
                  <c:v>2.2909236445927501E-5</c:v>
                </c:pt>
                <c:pt idx="42">
                  <c:v>1.9517459194840301E-5</c:v>
                </c:pt>
                <c:pt idx="43">
                  <c:v>1.16388308180481E-5</c:v>
                </c:pt>
                <c:pt idx="44">
                  <c:v>5.4930919255622497E-6</c:v>
                </c:pt>
                <c:pt idx="45">
                  <c:v>1.5517417199084E-5</c:v>
                </c:pt>
                <c:pt idx="46">
                  <c:v>8.5778900968767394E-6</c:v>
                </c:pt>
                <c:pt idx="47">
                  <c:v>1.41374001540431E-5</c:v>
                </c:pt>
                <c:pt idx="48">
                  <c:v>2.00377229502879E-5</c:v>
                </c:pt>
                <c:pt idx="49">
                  <c:v>1.52390629293705E-5</c:v>
                </c:pt>
                <c:pt idx="50">
                  <c:v>1.8521795737854401E-5</c:v>
                </c:pt>
                <c:pt idx="51">
                  <c:v>2.32748766981349E-5</c:v>
                </c:pt>
                <c:pt idx="52">
                  <c:v>7.6004172168739897E-6</c:v>
                </c:pt>
                <c:pt idx="53">
                  <c:v>1.5848267609754999E-5</c:v>
                </c:pt>
                <c:pt idx="54">
                  <c:v>2.5054157218380199E-5</c:v>
                </c:pt>
                <c:pt idx="55">
                  <c:v>6.7299206861782499E-5</c:v>
                </c:pt>
                <c:pt idx="56">
                  <c:v>8.3373007169495794E-5</c:v>
                </c:pt>
                <c:pt idx="57">
                  <c:v>6.3202148744551394E-5</c:v>
                </c:pt>
                <c:pt idx="58" formatCode="General">
                  <c:v>1.0588857631052599E-4</c:v>
                </c:pt>
                <c:pt idx="59" formatCode="General">
                  <c:v>6.0792850265372397E-4</c:v>
                </c:pt>
                <c:pt idx="60" formatCode="General">
                  <c:v>9.3238254759768994E-3</c:v>
                </c:pt>
                <c:pt idx="61" formatCode="General">
                  <c:v>8.4063979041673707E-3</c:v>
                </c:pt>
                <c:pt idx="62" formatCode="General">
                  <c:v>1.1800848431253501E-2</c:v>
                </c:pt>
                <c:pt idx="63" formatCode="General">
                  <c:v>2.79043072021825E-2</c:v>
                </c:pt>
                <c:pt idx="64" formatCode="General">
                  <c:v>6.3905115924350903E-3</c:v>
                </c:pt>
                <c:pt idx="65" formatCode="General">
                  <c:v>1.5092111814753099E-3</c:v>
                </c:pt>
                <c:pt idx="66" formatCode="General">
                  <c:v>5.1258054709712904E-3</c:v>
                </c:pt>
                <c:pt idx="67" formatCode="General">
                  <c:v>2.5283290990350399E-3</c:v>
                </c:pt>
                <c:pt idx="68" formatCode="General">
                  <c:v>8.1761043709755203E-4</c:v>
                </c:pt>
                <c:pt idx="69" formatCode="General">
                  <c:v>1.41830472687702E-3</c:v>
                </c:pt>
                <c:pt idx="70" formatCode="General">
                  <c:v>2.9665744823370599E-4</c:v>
                </c:pt>
                <c:pt idx="71" formatCode="General">
                  <c:v>3.4831977913925201E-4</c:v>
                </c:pt>
                <c:pt idx="72" formatCode="General">
                  <c:v>2.72863650722621E-4</c:v>
                </c:pt>
                <c:pt idx="73" formatCode="General">
                  <c:v>2.6665171570358398E-4</c:v>
                </c:pt>
                <c:pt idx="74" formatCode="General">
                  <c:v>1.51127005102341E-4</c:v>
                </c:pt>
                <c:pt idx="75" formatCode="General">
                  <c:v>1.85388662552917E-4</c:v>
                </c:pt>
                <c:pt idx="76" formatCode="General">
                  <c:v>1.3611558619119901E-4</c:v>
                </c:pt>
                <c:pt idx="77" formatCode="General">
                  <c:v>1.01317711732075E-4</c:v>
                </c:pt>
                <c:pt idx="78" formatCode="General">
                  <c:v>1.61657579941033E-4</c:v>
                </c:pt>
                <c:pt idx="79">
                  <c:v>7.8295958026982799E-5</c:v>
                </c:pt>
                <c:pt idx="80">
                  <c:v>9.1924097223163002E-5</c:v>
                </c:pt>
                <c:pt idx="81" formatCode="General">
                  <c:v>1.05332051903051E-4</c:v>
                </c:pt>
                <c:pt idx="82" formatCode="General">
                  <c:v>1.5955435504197001E-4</c:v>
                </c:pt>
                <c:pt idx="83" formatCode="General">
                  <c:v>1.14820959499646E-4</c:v>
                </c:pt>
                <c:pt idx="84" formatCode="General">
                  <c:v>1.3992725612337899E-4</c:v>
                </c:pt>
                <c:pt idx="85" formatCode="General">
                  <c:v>1.6755891031238401E-4</c:v>
                </c:pt>
                <c:pt idx="86">
                  <c:v>8.0288475954714105E-5</c:v>
                </c:pt>
                <c:pt idx="87">
                  <c:v>5.8297420123566803E-5</c:v>
                </c:pt>
                <c:pt idx="88">
                  <c:v>6.9295089831777494E-5</c:v>
                </c:pt>
                <c:pt idx="89" formatCode="General">
                  <c:v>1.19877111896287E-4</c:v>
                </c:pt>
                <c:pt idx="90">
                  <c:v>5.5097498110469197E-5</c:v>
                </c:pt>
                <c:pt idx="91">
                  <c:v>7.3680300084315496E-5</c:v>
                </c:pt>
                <c:pt idx="92">
                  <c:v>5.3698670875354198E-5</c:v>
                </c:pt>
                <c:pt idx="93">
                  <c:v>6.6193835926718601E-5</c:v>
                </c:pt>
                <c:pt idx="94">
                  <c:v>4.9453539707733599E-5</c:v>
                </c:pt>
                <c:pt idx="95">
                  <c:v>6.4957889842350597E-5</c:v>
                </c:pt>
                <c:pt idx="96">
                  <c:v>6.8992401869000404E-5</c:v>
                </c:pt>
                <c:pt idx="97">
                  <c:v>5.3529251885971698E-5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22-467C-B6F9-CF042C5E6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570255"/>
        <c:axId val="889568335"/>
      </c:scatterChart>
      <c:valAx>
        <c:axId val="88957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68335"/>
        <c:crosses val="autoZero"/>
        <c:crossBetween val="midCat"/>
      </c:valAx>
      <c:valAx>
        <c:axId val="88956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70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 Over</a:t>
            </a:r>
            <a:r>
              <a:rPr lang="en-US" baseline="0"/>
              <a:t>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storm4_results!$E$35:$E$132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storm4_results!$H$35:$H$132</c:f>
              <c:numCache>
                <c:formatCode>0.00E+00</c:formatCode>
                <c:ptCount val="98"/>
                <c:pt idx="0">
                  <c:v>1.69964055778049E-5</c:v>
                </c:pt>
                <c:pt idx="1">
                  <c:v>2.4451812517591098E-5</c:v>
                </c:pt>
                <c:pt idx="2">
                  <c:v>3.2236912718151601E-5</c:v>
                </c:pt>
                <c:pt idx="3">
                  <c:v>1.28680723025885E-5</c:v>
                </c:pt>
                <c:pt idx="4">
                  <c:v>4.34091888931463E-5</c:v>
                </c:pt>
                <c:pt idx="5">
                  <c:v>3.3134042857375497E-5</c:v>
                </c:pt>
                <c:pt idx="6">
                  <c:v>4.0454164279778199E-5</c:v>
                </c:pt>
                <c:pt idx="7">
                  <c:v>1.7482737672740102E-5</c:v>
                </c:pt>
                <c:pt idx="8">
                  <c:v>3.9340208177041299E-5</c:v>
                </c:pt>
                <c:pt idx="9">
                  <c:v>1.6720507769295902E-5</c:v>
                </c:pt>
                <c:pt idx="10">
                  <c:v>2.2487559351339101E-5</c:v>
                </c:pt>
                <c:pt idx="11">
                  <c:v>2.3700035790705201E-5</c:v>
                </c:pt>
                <c:pt idx="12">
                  <c:v>2.2467711263210001E-5</c:v>
                </c:pt>
                <c:pt idx="13">
                  <c:v>3.1493087199550198E-5</c:v>
                </c:pt>
                <c:pt idx="14">
                  <c:v>2.2619265132412002E-5</c:v>
                </c:pt>
                <c:pt idx="15">
                  <c:v>9.46389371653906E-6</c:v>
                </c:pt>
                <c:pt idx="16">
                  <c:v>2.3114953773022599E-5</c:v>
                </c:pt>
                <c:pt idx="17">
                  <c:v>5.0251599973097399E-5</c:v>
                </c:pt>
                <c:pt idx="18">
                  <c:v>2.2562965187940299E-5</c:v>
                </c:pt>
                <c:pt idx="19">
                  <c:v>1.6433157928108501E-5</c:v>
                </c:pt>
                <c:pt idx="20">
                  <c:v>2.3709461952279499E-5</c:v>
                </c:pt>
                <c:pt idx="21">
                  <c:v>2.39279482986601E-5</c:v>
                </c:pt>
                <c:pt idx="22">
                  <c:v>1.7776897593717002E-5</c:v>
                </c:pt>
                <c:pt idx="23">
                  <c:v>2.1919447671699002E-5</c:v>
                </c:pt>
                <c:pt idx="24">
                  <c:v>2.9862668813283601E-5</c:v>
                </c:pt>
                <c:pt idx="25">
                  <c:v>1.7299680685071799E-5</c:v>
                </c:pt>
                <c:pt idx="26">
                  <c:v>2.93936924380225E-5</c:v>
                </c:pt>
                <c:pt idx="27">
                  <c:v>1.1493458239562199E-5</c:v>
                </c:pt>
                <c:pt idx="28">
                  <c:v>1.7894160885930099E-5</c:v>
                </c:pt>
                <c:pt idx="29">
                  <c:v>3.5858278030521303E-5</c:v>
                </c:pt>
                <c:pt idx="30">
                  <c:v>4.33559366910726E-5</c:v>
                </c:pt>
                <c:pt idx="31">
                  <c:v>3.5878839153930999E-5</c:v>
                </c:pt>
                <c:pt idx="32">
                  <c:v>4.8137856274110397E-5</c:v>
                </c:pt>
                <c:pt idx="33">
                  <c:v>4.6990409376154797E-5</c:v>
                </c:pt>
                <c:pt idx="34">
                  <c:v>3.6348070332308498E-5</c:v>
                </c:pt>
                <c:pt idx="35">
                  <c:v>3.4598597984976799E-5</c:v>
                </c:pt>
                <c:pt idx="36">
                  <c:v>2.4214205920743899E-5</c:v>
                </c:pt>
                <c:pt idx="37">
                  <c:v>2.52605934705472E-5</c:v>
                </c:pt>
                <c:pt idx="38">
                  <c:v>2.5955370580113601E-5</c:v>
                </c:pt>
                <c:pt idx="39">
                  <c:v>3.5663827096393497E-5</c:v>
                </c:pt>
                <c:pt idx="40">
                  <c:v>2.05054526841861E-5</c:v>
                </c:pt>
                <c:pt idx="41">
                  <c:v>2.2693546998738301E-5</c:v>
                </c:pt>
                <c:pt idx="42">
                  <c:v>1.9374959557793399E-5</c:v>
                </c:pt>
                <c:pt idx="43">
                  <c:v>1.16323882112837E-5</c:v>
                </c:pt>
                <c:pt idx="44">
                  <c:v>5.5134184884881601E-6</c:v>
                </c:pt>
                <c:pt idx="45">
                  <c:v>1.5327590829636501E-5</c:v>
                </c:pt>
                <c:pt idx="46">
                  <c:v>8.7946112377337495E-6</c:v>
                </c:pt>
                <c:pt idx="47">
                  <c:v>1.38054878597418E-5</c:v>
                </c:pt>
                <c:pt idx="48">
                  <c:v>1.9655997887350301E-5</c:v>
                </c:pt>
                <c:pt idx="49">
                  <c:v>1.52490873128946E-5</c:v>
                </c:pt>
                <c:pt idx="50">
                  <c:v>1.8598986540759499E-5</c:v>
                </c:pt>
                <c:pt idx="51">
                  <c:v>2.3095356417327599E-5</c:v>
                </c:pt>
                <c:pt idx="52">
                  <c:v>7.4887288306747403E-6</c:v>
                </c:pt>
                <c:pt idx="53">
                  <c:v>1.56405777343139E-5</c:v>
                </c:pt>
                <c:pt idx="54">
                  <c:v>2.4542231766453299E-5</c:v>
                </c:pt>
                <c:pt idx="55">
                  <c:v>6.6053320247934602E-5</c:v>
                </c:pt>
                <c:pt idx="56">
                  <c:v>8.0912799584484995E-5</c:v>
                </c:pt>
                <c:pt idx="57">
                  <c:v>6.2473089949093797E-5</c:v>
                </c:pt>
                <c:pt idx="58" formatCode="General">
                  <c:v>1.03903458058727E-4</c:v>
                </c:pt>
                <c:pt idx="59" formatCode="General">
                  <c:v>6.0557969761115197E-4</c:v>
                </c:pt>
                <c:pt idx="60" formatCode="General">
                  <c:v>9.2839546512101297E-3</c:v>
                </c:pt>
                <c:pt idx="61" formatCode="General">
                  <c:v>8.3535716793299106E-3</c:v>
                </c:pt>
                <c:pt idx="62" formatCode="General">
                  <c:v>1.19258376510539E-2</c:v>
                </c:pt>
                <c:pt idx="63" formatCode="General">
                  <c:v>2.7819201820590899E-2</c:v>
                </c:pt>
                <c:pt idx="64" formatCode="General">
                  <c:v>6.2063621475279204E-3</c:v>
                </c:pt>
                <c:pt idx="65" formatCode="General">
                  <c:v>1.4799259184188299E-3</c:v>
                </c:pt>
                <c:pt idx="66" formatCode="General">
                  <c:v>5.0448714018658499E-3</c:v>
                </c:pt>
                <c:pt idx="67" formatCode="General">
                  <c:v>2.5043035325682701E-3</c:v>
                </c:pt>
                <c:pt idx="68" formatCode="General">
                  <c:v>7.9840231865526399E-4</c:v>
                </c:pt>
                <c:pt idx="69" formatCode="General">
                  <c:v>1.41754109037357E-3</c:v>
                </c:pt>
                <c:pt idx="70" formatCode="General">
                  <c:v>2.90210225984473E-4</c:v>
                </c:pt>
                <c:pt idx="71" formatCode="General">
                  <c:v>3.4189127610653503E-4</c:v>
                </c:pt>
                <c:pt idx="72" formatCode="General">
                  <c:v>2.6796553480986501E-4</c:v>
                </c:pt>
                <c:pt idx="73" formatCode="General">
                  <c:v>2.6424247885799301E-4</c:v>
                </c:pt>
                <c:pt idx="74" formatCode="General">
                  <c:v>1.5098010575151599E-4</c:v>
                </c:pt>
                <c:pt idx="75" formatCode="General">
                  <c:v>1.79388057192341E-4</c:v>
                </c:pt>
                <c:pt idx="76" formatCode="General">
                  <c:v>1.3220589346684501E-4</c:v>
                </c:pt>
                <c:pt idx="77">
                  <c:v>9.9973359660999401E-5</c:v>
                </c:pt>
                <c:pt idx="78" formatCode="General">
                  <c:v>1.60041985373318E-4</c:v>
                </c:pt>
                <c:pt idx="79">
                  <c:v>7.8753521262780698E-5</c:v>
                </c:pt>
                <c:pt idx="80">
                  <c:v>8.7650348250524707E-5</c:v>
                </c:pt>
                <c:pt idx="81" formatCode="General">
                  <c:v>1.0436233176318701E-4</c:v>
                </c:pt>
                <c:pt idx="82" formatCode="General">
                  <c:v>1.63625588827613E-4</c:v>
                </c:pt>
                <c:pt idx="83" formatCode="General">
                  <c:v>1.10239475226905E-4</c:v>
                </c:pt>
                <c:pt idx="84" formatCode="General">
                  <c:v>1.3483632508601401E-4</c:v>
                </c:pt>
                <c:pt idx="85" formatCode="General">
                  <c:v>1.6057249049141801E-4</c:v>
                </c:pt>
                <c:pt idx="86">
                  <c:v>8.0135243912682604E-5</c:v>
                </c:pt>
                <c:pt idx="87">
                  <c:v>5.6850414984091998E-5</c:v>
                </c:pt>
                <c:pt idx="88">
                  <c:v>6.7624513886996502E-5</c:v>
                </c:pt>
                <c:pt idx="89" formatCode="General">
                  <c:v>1.17412443822308E-4</c:v>
                </c:pt>
                <c:pt idx="90">
                  <c:v>5.35633178636487E-5</c:v>
                </c:pt>
                <c:pt idx="91">
                  <c:v>7.3222437273112804E-5</c:v>
                </c:pt>
                <c:pt idx="92">
                  <c:v>5.2717584456485098E-5</c:v>
                </c:pt>
                <c:pt idx="93">
                  <c:v>6.5859108459523596E-5</c:v>
                </c:pt>
                <c:pt idx="94">
                  <c:v>4.8807119127861501E-5</c:v>
                </c:pt>
                <c:pt idx="95">
                  <c:v>6.5386918796706103E-5</c:v>
                </c:pt>
                <c:pt idx="96">
                  <c:v>6.7775396256641494E-5</c:v>
                </c:pt>
                <c:pt idx="97">
                  <c:v>5.35520665898492E-5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00-4040-B2D7-414A61056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570255"/>
        <c:axId val="889568335"/>
      </c:scatterChart>
      <c:valAx>
        <c:axId val="88957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68335"/>
        <c:crosses val="autoZero"/>
        <c:crossBetween val="midCat"/>
      </c:valAx>
      <c:valAx>
        <c:axId val="88956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70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304800</xdr:colOff>
      <xdr:row>33</xdr:row>
      <xdr:rowOff>66675</xdr:rowOff>
    </xdr:from>
    <xdr:to>
      <xdr:col>17</xdr:col>
      <xdr:colOff>314325</xdr:colOff>
      <xdr:row>45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55A627-B9B7-4473-B5D1-CC4AECFA1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304800</xdr:colOff>
      <xdr:row>45</xdr:row>
      <xdr:rowOff>114300</xdr:rowOff>
    </xdr:from>
    <xdr:to>
      <xdr:col>17</xdr:col>
      <xdr:colOff>314325</xdr:colOff>
      <xdr:row>57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25A16D-1CDF-4241-AA9A-A4270DF657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266700</xdr:colOff>
      <xdr:row>57</xdr:row>
      <xdr:rowOff>152400</xdr:rowOff>
    </xdr:from>
    <xdr:to>
      <xdr:col>17</xdr:col>
      <xdr:colOff>276225</xdr:colOff>
      <xdr:row>69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B130B5-7122-4FE4-B0DF-20226DC66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B5CE4-1A66-4FD9-8B46-3E92D83C8056}">
  <dimension ref="A1:CU132"/>
  <sheetViews>
    <sheetView tabSelected="1" topLeftCell="A19" workbookViewId="0">
      <selection activeCell="F27" sqref="F27"/>
    </sheetView>
  </sheetViews>
  <sheetFormatPr defaultRowHeight="15" x14ac:dyDescent="0.25"/>
  <cols>
    <col min="1" max="1" width="15.28515625" customWidth="1"/>
    <col min="2" max="2" width="16.42578125" customWidth="1"/>
    <col min="3" max="3" width="15" customWidth="1"/>
    <col min="5" max="5" width="15.140625" customWidth="1"/>
    <col min="56" max="56" width="15.5703125" customWidth="1"/>
    <col min="65" max="65" width="15.140625" customWidth="1"/>
    <col min="66" max="66" width="14.5703125" customWidth="1"/>
  </cols>
  <sheetData>
    <row r="1" spans="1:99" x14ac:dyDescent="0.25">
      <c r="B1" s="1">
        <v>45136</v>
      </c>
      <c r="C1" s="1">
        <v>45136.010416666664</v>
      </c>
      <c r="D1" s="1">
        <v>45136.020833333336</v>
      </c>
      <c r="E1" s="1">
        <v>45136.03125</v>
      </c>
      <c r="F1" s="1">
        <v>45136.041666666664</v>
      </c>
      <c r="G1" s="1">
        <v>45136.052083333336</v>
      </c>
      <c r="H1" s="1">
        <v>45136.0625</v>
      </c>
      <c r="I1" s="1">
        <v>45136.072916666664</v>
      </c>
      <c r="J1" s="1">
        <v>45136.083333333336</v>
      </c>
      <c r="K1" s="1">
        <v>45136.09375</v>
      </c>
      <c r="L1" s="1">
        <v>45136.104166666664</v>
      </c>
      <c r="M1" s="1">
        <v>45136.114583333336</v>
      </c>
      <c r="N1" s="1">
        <v>45136.125</v>
      </c>
      <c r="O1" s="1">
        <v>45136.135416666664</v>
      </c>
      <c r="P1" s="1">
        <v>45136.145833333336</v>
      </c>
      <c r="Q1" s="1">
        <v>45136.15625</v>
      </c>
      <c r="R1" s="1">
        <v>45136.166666666664</v>
      </c>
      <c r="S1" s="1">
        <v>45136.177083333336</v>
      </c>
      <c r="T1" s="1">
        <v>45136.1875</v>
      </c>
      <c r="U1" s="1">
        <v>45136.197916666664</v>
      </c>
      <c r="V1" s="1">
        <v>45136.208333333336</v>
      </c>
      <c r="W1" s="1">
        <v>45136.21875</v>
      </c>
      <c r="X1" s="1">
        <v>45136.229166666664</v>
      </c>
      <c r="Y1" s="1">
        <v>45136.239583333336</v>
      </c>
      <c r="Z1" s="1">
        <v>45136.25</v>
      </c>
      <c r="AA1" s="1">
        <v>45136.260416666664</v>
      </c>
      <c r="AB1" s="1">
        <v>45136.270833333336</v>
      </c>
      <c r="AC1" s="1">
        <v>45136.28125</v>
      </c>
      <c r="AD1" s="1">
        <v>45136.291666666664</v>
      </c>
      <c r="AE1" s="1">
        <v>45136.302083333336</v>
      </c>
      <c r="AF1" s="1">
        <v>45136.3125</v>
      </c>
      <c r="AG1" s="1">
        <v>45136.322916666664</v>
      </c>
      <c r="AH1" s="1">
        <v>45136.333333333336</v>
      </c>
      <c r="AI1" s="1">
        <v>45136.34375</v>
      </c>
      <c r="AJ1" s="1">
        <v>45136.354166666664</v>
      </c>
      <c r="AK1" s="1">
        <v>45136.364583333336</v>
      </c>
      <c r="AL1" s="1">
        <v>45136.375</v>
      </c>
      <c r="AM1" s="1">
        <v>45136.385416666664</v>
      </c>
      <c r="AN1" s="1">
        <v>45136.395833333336</v>
      </c>
      <c r="AO1" s="1">
        <v>45136.40625</v>
      </c>
      <c r="AP1" s="1">
        <v>45136.416666666664</v>
      </c>
      <c r="AQ1" s="1">
        <v>45136.427083333336</v>
      </c>
      <c r="AR1" s="1">
        <v>45136.4375</v>
      </c>
      <c r="AS1" s="1">
        <v>45136.447916666664</v>
      </c>
      <c r="AT1" s="1">
        <v>45136.458333333336</v>
      </c>
      <c r="AU1" s="1">
        <v>45136.46875</v>
      </c>
      <c r="AV1" s="1">
        <v>45136.479166666664</v>
      </c>
      <c r="AW1" s="1">
        <v>45136.489583333336</v>
      </c>
      <c r="AX1" s="1">
        <v>45136.5</v>
      </c>
      <c r="AY1" s="1">
        <v>45136.510416666664</v>
      </c>
      <c r="AZ1" s="1">
        <v>45136.520833333336</v>
      </c>
      <c r="BA1" s="1">
        <v>45136.53125</v>
      </c>
      <c r="BB1" s="1">
        <v>45136.541666666664</v>
      </c>
      <c r="BC1" s="1">
        <v>45136.552083333336</v>
      </c>
      <c r="BD1" s="1">
        <v>45136.5625</v>
      </c>
      <c r="BE1" s="1">
        <v>45136.572916666664</v>
      </c>
      <c r="BF1" s="1">
        <v>45136.583333333336</v>
      </c>
      <c r="BG1" s="1">
        <v>45136.59375</v>
      </c>
      <c r="BH1" s="1">
        <v>45136.604166666664</v>
      </c>
      <c r="BI1" s="1">
        <v>45136.614583333336</v>
      </c>
      <c r="BJ1" s="1">
        <v>45136.625</v>
      </c>
      <c r="BK1" s="1">
        <v>45136.635416666664</v>
      </c>
      <c r="BL1" s="1">
        <v>45136.645833333336</v>
      </c>
      <c r="BM1" s="1">
        <v>45136.65625</v>
      </c>
      <c r="BN1" s="1">
        <v>45136.666666666664</v>
      </c>
      <c r="BO1" s="1">
        <v>45136.677083333336</v>
      </c>
      <c r="BP1" s="1">
        <v>45136.6875</v>
      </c>
      <c r="BQ1" s="1">
        <v>45136.688888888886</v>
      </c>
      <c r="BR1" s="1">
        <v>45136.697916666664</v>
      </c>
      <c r="BS1" s="1">
        <v>45136.708333333336</v>
      </c>
      <c r="BT1" s="1">
        <v>45136.71875</v>
      </c>
      <c r="BU1" s="1">
        <v>45136.729166666664</v>
      </c>
      <c r="BV1" s="1">
        <v>45136.739583333336</v>
      </c>
      <c r="BW1" s="1">
        <v>45136.75</v>
      </c>
      <c r="BX1" s="1">
        <v>45136.760416666664</v>
      </c>
      <c r="BY1" s="1">
        <v>45136.770833333336</v>
      </c>
      <c r="BZ1" s="1">
        <v>45136.78125</v>
      </c>
      <c r="CA1" s="1">
        <v>45136.791666666664</v>
      </c>
      <c r="CB1" s="1">
        <v>45136.802083333336</v>
      </c>
      <c r="CC1" s="1">
        <v>45136.8125</v>
      </c>
      <c r="CD1" s="1">
        <v>45136.822916666664</v>
      </c>
      <c r="CE1" s="1">
        <v>45136.833333333336</v>
      </c>
      <c r="CF1" s="1">
        <v>45136.84375</v>
      </c>
      <c r="CG1" s="1">
        <v>45136.854166666664</v>
      </c>
      <c r="CH1" s="1">
        <v>45136.864583333336</v>
      </c>
      <c r="CI1" s="1">
        <v>45136.875</v>
      </c>
      <c r="CJ1" s="1">
        <v>45136.885416666664</v>
      </c>
      <c r="CK1" s="1">
        <v>45136.895833333336</v>
      </c>
      <c r="CL1" s="1">
        <v>45136.90625</v>
      </c>
      <c r="CM1" s="1">
        <v>45136.916666666664</v>
      </c>
      <c r="CN1" s="1">
        <v>45136.927083333336</v>
      </c>
      <c r="CO1" s="1">
        <v>45136.9375</v>
      </c>
      <c r="CP1" s="1">
        <v>45136.947916666664</v>
      </c>
      <c r="CQ1" s="1">
        <v>45136.958333333336</v>
      </c>
      <c r="CR1" s="1">
        <v>45136.96875</v>
      </c>
      <c r="CS1" s="1">
        <v>45136.979166666664</v>
      </c>
      <c r="CT1" s="1">
        <v>45136.989583333336</v>
      </c>
      <c r="CU1" s="1">
        <v>45137</v>
      </c>
    </row>
    <row r="2" spans="1:99" x14ac:dyDescent="0.25">
      <c r="A2" t="s">
        <v>0</v>
      </c>
      <c r="B2" s="4">
        <v>2.0921219592674199E-5</v>
      </c>
      <c r="C2" s="4">
        <v>3.1199643646280897E-5</v>
      </c>
      <c r="D2" s="4">
        <v>5.0260870271014598E-5</v>
      </c>
      <c r="E2" s="4">
        <v>1.6208630649053299E-5</v>
      </c>
      <c r="F2" s="4">
        <v>6.2730376417451805E-5</v>
      </c>
      <c r="G2" s="4">
        <v>5.6267167695581002E-5</v>
      </c>
      <c r="H2" s="4">
        <v>6.07766069859424E-5</v>
      </c>
      <c r="I2" s="4">
        <v>2.5149242441097701E-5</v>
      </c>
      <c r="J2" s="4">
        <v>5.0722279521092002E-5</v>
      </c>
      <c r="K2" s="4">
        <v>2.2719809695043802E-5</v>
      </c>
      <c r="L2" s="4">
        <v>3.0462620503608901E-5</v>
      </c>
      <c r="M2" s="4">
        <v>3.4017975804844198E-5</v>
      </c>
      <c r="N2" s="4">
        <v>2.6433858203417201E-5</v>
      </c>
      <c r="O2" s="4">
        <v>3.9046552245590801E-5</v>
      </c>
      <c r="P2" s="4">
        <v>3.3784118056452899E-5</v>
      </c>
      <c r="Q2" s="4">
        <v>1.21685442171469E-5</v>
      </c>
      <c r="R2" s="4">
        <v>3.6331817203934E-5</v>
      </c>
      <c r="S2" s="4">
        <v>8.3099133979832395E-5</v>
      </c>
      <c r="T2" s="4">
        <v>3.2935691179784301E-5</v>
      </c>
      <c r="U2" s="4">
        <v>2.1946178501618E-5</v>
      </c>
      <c r="V2" s="4">
        <v>3.1147278761417898E-5</v>
      </c>
      <c r="W2" s="4">
        <v>3.5599398307166E-5</v>
      </c>
      <c r="X2" s="4">
        <v>2.2641758929729901E-5</v>
      </c>
      <c r="Y2" s="4">
        <v>3.4435493002627998E-5</v>
      </c>
      <c r="Z2" s="4">
        <v>5.6018475162210398E-5</v>
      </c>
      <c r="AA2" s="4">
        <v>2.8582728018710199E-5</v>
      </c>
      <c r="AB2" s="4">
        <v>4.29084337423049E-5</v>
      </c>
      <c r="AC2" s="4">
        <v>1.5729504209105401E-5</v>
      </c>
      <c r="AD2" s="4">
        <v>2.4924712013642199E-5</v>
      </c>
      <c r="AE2" s="4">
        <v>5.6575819399946799E-5</v>
      </c>
      <c r="AF2" s="4">
        <v>6.6018591848542903E-5</v>
      </c>
      <c r="AG2" s="4">
        <v>5.6706277803545903E-5</v>
      </c>
      <c r="AH2" s="4">
        <v>6.2619572898388903E-5</v>
      </c>
      <c r="AI2" s="4">
        <v>6.4674616710256401E-5</v>
      </c>
      <c r="AJ2" s="4">
        <v>4.5677930753585603E-5</v>
      </c>
      <c r="AK2" s="4">
        <v>5.1549048526134002E-5</v>
      </c>
      <c r="AL2" s="4">
        <v>3.4004342023135103E-5</v>
      </c>
      <c r="AM2" s="4">
        <v>4.6171672721245601E-5</v>
      </c>
      <c r="AN2" s="4">
        <v>3.5829106706975198E-5</v>
      </c>
      <c r="AO2" s="4">
        <v>4.6064375135240401E-5</v>
      </c>
      <c r="AP2" s="4">
        <v>2.8423973024503701E-5</v>
      </c>
      <c r="AQ2" s="4">
        <v>4.1591485331344797E-5</v>
      </c>
      <c r="AR2" s="4">
        <v>2.77622805001801E-5</v>
      </c>
      <c r="AS2" s="4">
        <v>1.5196660767825199E-5</v>
      </c>
      <c r="AT2" s="4">
        <v>6.9546574418090602E-6</v>
      </c>
      <c r="AU2" s="4">
        <v>2.08973889814702E-5</v>
      </c>
      <c r="AV2" s="4">
        <v>1.08304269794954E-5</v>
      </c>
      <c r="AW2" s="4">
        <v>2.2486908188578301E-5</v>
      </c>
      <c r="AX2" s="4">
        <v>3.3482462098601899E-5</v>
      </c>
      <c r="AY2" s="4">
        <v>1.9276041078235401E-5</v>
      </c>
      <c r="AZ2" s="4">
        <v>2.3509964488308001E-5</v>
      </c>
      <c r="BA2" s="4">
        <v>2.9467547096324499E-5</v>
      </c>
      <c r="BB2" s="4">
        <v>1.14946254802698E-5</v>
      </c>
      <c r="BC2" s="4">
        <v>2.56597199547728E-5</v>
      </c>
      <c r="BD2" s="4">
        <v>3.3650670903670501E-5</v>
      </c>
      <c r="BE2" s="4">
        <v>9.2289025340561501E-5</v>
      </c>
      <c r="BF2">
        <v>1.25139916511962E-4</v>
      </c>
      <c r="BG2" s="4">
        <v>8.2121816516651094E-5</v>
      </c>
      <c r="BH2">
        <v>1.57820753916997E-4</v>
      </c>
      <c r="BI2">
        <v>8.2153070237912004E-4</v>
      </c>
      <c r="BJ2">
        <v>1.18861606606713E-2</v>
      </c>
      <c r="BK2">
        <v>1.0978819432582901E-2</v>
      </c>
      <c r="BL2">
        <v>1.62667037302946E-2</v>
      </c>
      <c r="BM2">
        <v>3.8667081914818199E-2</v>
      </c>
      <c r="BN2">
        <v>9.1754286949490404E-3</v>
      </c>
      <c r="BO2">
        <v>1.8351810065169399E-3</v>
      </c>
      <c r="BP2">
        <v>6.4690809586668103E-3</v>
      </c>
      <c r="BQ2">
        <v>3.3604347917875802E-3</v>
      </c>
      <c r="BR2">
        <v>1.0577839523153701E-3</v>
      </c>
      <c r="BS2">
        <v>2.15115065859375E-3</v>
      </c>
      <c r="BT2">
        <v>4.22068471327855E-4</v>
      </c>
      <c r="BU2">
        <v>5.0049264924178095E-4</v>
      </c>
      <c r="BV2">
        <v>3.5332149348888103E-4</v>
      </c>
      <c r="BW2">
        <v>3.8027033144497698E-4</v>
      </c>
      <c r="BX2">
        <v>2.0862004466894901E-4</v>
      </c>
      <c r="BY2">
        <v>2.8525031072343501E-4</v>
      </c>
      <c r="BZ2">
        <v>1.9470679530983701E-4</v>
      </c>
      <c r="CA2">
        <v>1.50273161436999E-4</v>
      </c>
      <c r="CB2">
        <v>2.32039454113764E-4</v>
      </c>
      <c r="CC2">
        <v>1.02039735054893E-4</v>
      </c>
      <c r="CD2">
        <v>1.3545109329062401E-4</v>
      </c>
      <c r="CE2">
        <v>1.48711195819252E-4</v>
      </c>
      <c r="CF2">
        <v>2.7040126304420298E-4</v>
      </c>
      <c r="CG2">
        <v>2.28391824282401E-4</v>
      </c>
      <c r="CH2">
        <v>2.1168595705013901E-4</v>
      </c>
      <c r="CI2">
        <v>2.4695219540467198E-4</v>
      </c>
      <c r="CJ2">
        <v>1.11696005361216E-4</v>
      </c>
      <c r="CK2">
        <v>1.07915918275096E-4</v>
      </c>
      <c r="CL2" s="4">
        <v>9.1776331008265905E-5</v>
      </c>
      <c r="CM2">
        <v>1.7744596916942999E-4</v>
      </c>
      <c r="CN2" s="4">
        <v>7.6544689019208406E-5</v>
      </c>
      <c r="CO2">
        <v>1.1380945120014E-4</v>
      </c>
      <c r="CP2" s="4">
        <v>7.0395830656242797E-5</v>
      </c>
      <c r="CQ2" s="4">
        <v>9.0745895317882101E-5</v>
      </c>
      <c r="CR2" s="4">
        <v>6.4085630971233697E-5</v>
      </c>
      <c r="CS2" s="4">
        <v>8.1269653207969794E-5</v>
      </c>
      <c r="CT2" s="4">
        <v>9.8382996758118298E-5</v>
      </c>
      <c r="CU2" s="4">
        <v>6.9010049354083501E-5</v>
      </c>
    </row>
    <row r="3" spans="1:99" x14ac:dyDescent="0.25">
      <c r="A3" t="s">
        <v>1</v>
      </c>
      <c r="B3" s="4">
        <v>1.6896795203131901E-5</v>
      </c>
      <c r="C3" s="4">
        <v>2.4629425665900501E-5</v>
      </c>
      <c r="D3" s="4">
        <v>3.3017554682506401E-5</v>
      </c>
      <c r="E3" s="4">
        <v>1.27688592912204E-5</v>
      </c>
      <c r="F3" s="4">
        <v>4.4408583626906601E-5</v>
      </c>
      <c r="G3" s="4">
        <v>3.3942095956601498E-5</v>
      </c>
      <c r="H3" s="4">
        <v>4.1374875863520302E-5</v>
      </c>
      <c r="I3" s="4">
        <v>1.7715750295374101E-5</v>
      </c>
      <c r="J3" s="4">
        <v>3.9812480762091098E-5</v>
      </c>
      <c r="K3" s="4">
        <v>1.7321557920951001E-5</v>
      </c>
      <c r="L3" s="4">
        <v>2.2935318023320101E-5</v>
      </c>
      <c r="M3" s="4">
        <v>2.4246437682341499E-5</v>
      </c>
      <c r="N3" s="4">
        <v>2.2490507198255E-5</v>
      </c>
      <c r="O3" s="4">
        <v>3.1591182769583298E-5</v>
      </c>
      <c r="P3" s="4">
        <v>2.3154171766705699E-5</v>
      </c>
      <c r="Q3" s="4">
        <v>9.5834925082218593E-6</v>
      </c>
      <c r="R3" s="4">
        <v>2.3486598692819599E-5</v>
      </c>
      <c r="S3" s="4">
        <v>5.2108182211171102E-5</v>
      </c>
      <c r="T3" s="4">
        <v>2.3184904670164001E-5</v>
      </c>
      <c r="U3" s="4">
        <v>1.7077378542200101E-5</v>
      </c>
      <c r="V3" s="4">
        <v>2.42559621864849E-5</v>
      </c>
      <c r="W3" s="4">
        <v>2.4769391695874299E-5</v>
      </c>
      <c r="X3" s="4">
        <v>1.7682664500225001E-5</v>
      </c>
      <c r="Y3" s="4">
        <v>2.2218657031089101E-5</v>
      </c>
      <c r="Z3" s="4">
        <v>3.1139367918411402E-5</v>
      </c>
      <c r="AA3" s="4">
        <v>1.8027864770854401E-5</v>
      </c>
      <c r="AB3" s="4">
        <v>2.9615683986387101E-5</v>
      </c>
      <c r="AC3" s="4">
        <v>1.16120352436167E-5</v>
      </c>
      <c r="AD3" s="4">
        <v>1.7851094916333699E-5</v>
      </c>
      <c r="AE3" s="4">
        <v>3.6385007004068202E-5</v>
      </c>
      <c r="AF3" s="4">
        <v>4.4898663642424099E-5</v>
      </c>
      <c r="AG3" s="4">
        <v>3.6264714697738E-5</v>
      </c>
      <c r="AH3" s="4">
        <v>4.8278504879058097E-5</v>
      </c>
      <c r="AI3" s="4">
        <v>4.7677130715605303E-5</v>
      </c>
      <c r="AJ3" s="4">
        <v>3.6729415196760999E-5</v>
      </c>
      <c r="AK3" s="4">
        <v>3.4713177586774101E-5</v>
      </c>
      <c r="AL3" s="4">
        <v>2.5127311250110201E-5</v>
      </c>
      <c r="AM3" s="4">
        <v>2.5838804102086801E-5</v>
      </c>
      <c r="AN3" s="4">
        <v>2.6709252998540501E-5</v>
      </c>
      <c r="AO3" s="4">
        <v>3.5881157416853699E-5</v>
      </c>
      <c r="AP3" s="4">
        <v>2.0730713311733E-5</v>
      </c>
      <c r="AQ3" s="4">
        <v>2.2909236445927501E-5</v>
      </c>
      <c r="AR3" s="4">
        <v>1.9517459194840301E-5</v>
      </c>
      <c r="AS3" s="4">
        <v>1.16388308180481E-5</v>
      </c>
      <c r="AT3" s="4">
        <v>5.4930919255622497E-6</v>
      </c>
      <c r="AU3" s="4">
        <v>1.5517417199084E-5</v>
      </c>
      <c r="AV3" s="4">
        <v>8.5778900968767394E-6</v>
      </c>
      <c r="AW3" s="4">
        <v>1.41374001540431E-5</v>
      </c>
      <c r="AX3" s="4">
        <v>2.00377229502879E-5</v>
      </c>
      <c r="AY3" s="4">
        <v>1.52390629293705E-5</v>
      </c>
      <c r="AZ3" s="4">
        <v>1.8521795737854401E-5</v>
      </c>
      <c r="BA3" s="4">
        <v>2.32748766981349E-5</v>
      </c>
      <c r="BB3" s="4">
        <v>7.6004172168739897E-6</v>
      </c>
      <c r="BC3" s="4">
        <v>1.5848267609754999E-5</v>
      </c>
      <c r="BD3" s="4">
        <v>2.5054157218380199E-5</v>
      </c>
      <c r="BE3" s="4">
        <v>6.7299206861782499E-5</v>
      </c>
      <c r="BF3" s="4">
        <v>8.3373007169495794E-5</v>
      </c>
      <c r="BG3" s="4">
        <v>6.3202148744551394E-5</v>
      </c>
      <c r="BH3">
        <v>1.0588857631052599E-4</v>
      </c>
      <c r="BI3">
        <v>6.0792850265372397E-4</v>
      </c>
      <c r="BJ3">
        <v>9.3238254759768994E-3</v>
      </c>
      <c r="BK3">
        <v>8.4063979041673707E-3</v>
      </c>
      <c r="BL3">
        <v>1.1800848431253501E-2</v>
      </c>
      <c r="BM3">
        <v>2.79043072021825E-2</v>
      </c>
      <c r="BN3">
        <v>6.3905115924350903E-3</v>
      </c>
      <c r="BO3">
        <v>1.5092111814753099E-3</v>
      </c>
      <c r="BP3">
        <v>5.1258054709712904E-3</v>
      </c>
      <c r="BQ3">
        <v>2.5283290990350399E-3</v>
      </c>
      <c r="BR3">
        <v>8.1761043709755203E-4</v>
      </c>
      <c r="BS3">
        <v>1.41830472687702E-3</v>
      </c>
      <c r="BT3">
        <v>2.9665744823370599E-4</v>
      </c>
      <c r="BU3">
        <v>3.4831977913925201E-4</v>
      </c>
      <c r="BV3">
        <v>2.72863650722621E-4</v>
      </c>
      <c r="BW3">
        <v>2.6665171570358398E-4</v>
      </c>
      <c r="BX3">
        <v>1.51127005102341E-4</v>
      </c>
      <c r="BY3">
        <v>1.85388662552917E-4</v>
      </c>
      <c r="BZ3">
        <v>1.3611558619119901E-4</v>
      </c>
      <c r="CA3">
        <v>1.01317711732075E-4</v>
      </c>
      <c r="CB3">
        <v>1.61657579941033E-4</v>
      </c>
      <c r="CC3" s="4">
        <v>7.8295958026982799E-5</v>
      </c>
      <c r="CD3" s="4">
        <v>9.1924097223163002E-5</v>
      </c>
      <c r="CE3">
        <v>1.05332051903051E-4</v>
      </c>
      <c r="CF3">
        <v>1.5955435504197001E-4</v>
      </c>
      <c r="CG3">
        <v>1.14820959499646E-4</v>
      </c>
      <c r="CH3">
        <v>1.3992725612337899E-4</v>
      </c>
      <c r="CI3">
        <v>1.6755891031238401E-4</v>
      </c>
      <c r="CJ3" s="4">
        <v>8.0288475954714105E-5</v>
      </c>
      <c r="CK3" s="4">
        <v>5.8297420123566803E-5</v>
      </c>
      <c r="CL3" s="4">
        <v>6.9295089831777494E-5</v>
      </c>
      <c r="CM3">
        <v>1.19877111896287E-4</v>
      </c>
      <c r="CN3" s="4">
        <v>5.5097498110469197E-5</v>
      </c>
      <c r="CO3" s="4">
        <v>7.3680300084315496E-5</v>
      </c>
      <c r="CP3" s="4">
        <v>5.3698670875354198E-5</v>
      </c>
      <c r="CQ3" s="4">
        <v>6.6193835926718601E-5</v>
      </c>
      <c r="CR3" s="4">
        <v>4.9453539707733599E-5</v>
      </c>
      <c r="CS3" s="4">
        <v>6.4957889842350597E-5</v>
      </c>
      <c r="CT3" s="4">
        <v>6.8992401869000404E-5</v>
      </c>
      <c r="CU3" s="4">
        <v>5.3529251885971698E-5</v>
      </c>
    </row>
    <row r="4" spans="1:99" x14ac:dyDescent="0.25">
      <c r="A4" t="s">
        <v>2</v>
      </c>
      <c r="B4" s="4">
        <v>1.69964055778049E-5</v>
      </c>
      <c r="C4" s="4">
        <v>2.4451812517591098E-5</v>
      </c>
      <c r="D4" s="4">
        <v>3.2236912718151601E-5</v>
      </c>
      <c r="E4" s="4">
        <v>1.28680723025885E-5</v>
      </c>
      <c r="F4" s="4">
        <v>4.34091888931463E-5</v>
      </c>
      <c r="G4" s="4">
        <v>3.3134042857375497E-5</v>
      </c>
      <c r="H4" s="4">
        <v>4.0454164279778199E-5</v>
      </c>
      <c r="I4" s="4">
        <v>1.7482737672740102E-5</v>
      </c>
      <c r="J4" s="4">
        <v>3.9340208177041299E-5</v>
      </c>
      <c r="K4" s="4">
        <v>1.6720507769295902E-5</v>
      </c>
      <c r="L4" s="4">
        <v>2.2487559351339101E-5</v>
      </c>
      <c r="M4" s="4">
        <v>2.3700035790705201E-5</v>
      </c>
      <c r="N4" s="4">
        <v>2.2467711263210001E-5</v>
      </c>
      <c r="O4" s="4">
        <v>3.1493087199550198E-5</v>
      </c>
      <c r="P4" s="4">
        <v>2.2619265132412002E-5</v>
      </c>
      <c r="Q4" s="4">
        <v>9.46389371653906E-6</v>
      </c>
      <c r="R4" s="4">
        <v>2.3114953773022599E-5</v>
      </c>
      <c r="S4" s="4">
        <v>5.0251599973097399E-5</v>
      </c>
      <c r="T4" s="4">
        <v>2.2562965187940299E-5</v>
      </c>
      <c r="U4" s="4">
        <v>1.6433157928108501E-5</v>
      </c>
      <c r="V4" s="4">
        <v>2.3709461952279499E-5</v>
      </c>
      <c r="W4" s="4">
        <v>2.39279482986601E-5</v>
      </c>
      <c r="X4" s="4">
        <v>1.7776897593717002E-5</v>
      </c>
      <c r="Y4" s="4">
        <v>2.1919447671699002E-5</v>
      </c>
      <c r="Z4" s="4">
        <v>2.9862668813283601E-5</v>
      </c>
      <c r="AA4" s="4">
        <v>1.7299680685071799E-5</v>
      </c>
      <c r="AB4" s="4">
        <v>2.93936924380225E-5</v>
      </c>
      <c r="AC4" s="4">
        <v>1.1493458239562199E-5</v>
      </c>
      <c r="AD4" s="4">
        <v>1.7894160885930099E-5</v>
      </c>
      <c r="AE4" s="4">
        <v>3.5858278030521303E-5</v>
      </c>
      <c r="AF4" s="4">
        <v>4.33559366910726E-5</v>
      </c>
      <c r="AG4" s="4">
        <v>3.5878839153930999E-5</v>
      </c>
      <c r="AH4" s="4">
        <v>4.8137856274110397E-5</v>
      </c>
      <c r="AI4" s="4">
        <v>4.6990409376154797E-5</v>
      </c>
      <c r="AJ4" s="4">
        <v>3.6348070332308498E-5</v>
      </c>
      <c r="AK4" s="4">
        <v>3.4598597984976799E-5</v>
      </c>
      <c r="AL4" s="4">
        <v>2.4214205920743899E-5</v>
      </c>
      <c r="AM4" s="4">
        <v>2.52605934705472E-5</v>
      </c>
      <c r="AN4" s="4">
        <v>2.5955370580113601E-5</v>
      </c>
      <c r="AO4" s="4">
        <v>3.5663827096393497E-5</v>
      </c>
      <c r="AP4" s="4">
        <v>2.05054526841861E-5</v>
      </c>
      <c r="AQ4" s="4">
        <v>2.2693546998738301E-5</v>
      </c>
      <c r="AR4" s="4">
        <v>1.9374959557793399E-5</v>
      </c>
      <c r="AS4" s="4">
        <v>1.16323882112837E-5</v>
      </c>
      <c r="AT4" s="4">
        <v>5.5134184884881601E-6</v>
      </c>
      <c r="AU4" s="4">
        <v>1.5327590829636501E-5</v>
      </c>
      <c r="AV4" s="4">
        <v>8.7946112377337495E-6</v>
      </c>
      <c r="AW4" s="4">
        <v>1.38054878597418E-5</v>
      </c>
      <c r="AX4" s="4">
        <v>1.9655997887350301E-5</v>
      </c>
      <c r="AY4" s="4">
        <v>1.52490873128946E-5</v>
      </c>
      <c r="AZ4" s="4">
        <v>1.8598986540759499E-5</v>
      </c>
      <c r="BA4" s="4">
        <v>2.3095356417327599E-5</v>
      </c>
      <c r="BB4" s="4">
        <v>7.4887288306747403E-6</v>
      </c>
      <c r="BC4" s="4">
        <v>1.56405777343139E-5</v>
      </c>
      <c r="BD4" s="4">
        <v>2.4542231766453299E-5</v>
      </c>
      <c r="BE4" s="4">
        <v>6.6053320247934602E-5</v>
      </c>
      <c r="BF4" s="4">
        <v>8.0912799584484995E-5</v>
      </c>
      <c r="BG4" s="4">
        <v>6.2473089949093797E-5</v>
      </c>
      <c r="BH4">
        <v>1.03903458058727E-4</v>
      </c>
      <c r="BI4">
        <v>6.0557969761115197E-4</v>
      </c>
      <c r="BJ4">
        <v>9.2839546512101297E-3</v>
      </c>
      <c r="BK4">
        <v>8.3535716793299106E-3</v>
      </c>
      <c r="BL4">
        <v>1.19258376510539E-2</v>
      </c>
      <c r="BM4">
        <v>2.7819201820590899E-2</v>
      </c>
      <c r="BN4">
        <v>6.2063621475279204E-3</v>
      </c>
      <c r="BO4">
        <v>1.4799259184188299E-3</v>
      </c>
      <c r="BP4">
        <v>5.0448714018658499E-3</v>
      </c>
      <c r="BQ4">
        <v>2.5043035325682701E-3</v>
      </c>
      <c r="BR4">
        <v>7.9840231865526399E-4</v>
      </c>
      <c r="BS4">
        <v>1.41754109037357E-3</v>
      </c>
      <c r="BT4">
        <v>2.90210225984473E-4</v>
      </c>
      <c r="BU4">
        <v>3.4189127610653503E-4</v>
      </c>
      <c r="BV4">
        <v>2.6796553480986501E-4</v>
      </c>
      <c r="BW4">
        <v>2.6424247885799301E-4</v>
      </c>
      <c r="BX4">
        <v>1.5098010575151599E-4</v>
      </c>
      <c r="BY4">
        <v>1.79388057192341E-4</v>
      </c>
      <c r="BZ4">
        <v>1.3220589346684501E-4</v>
      </c>
      <c r="CA4" s="4">
        <v>9.9973359660999401E-5</v>
      </c>
      <c r="CB4">
        <v>1.60041985373318E-4</v>
      </c>
      <c r="CC4" s="4">
        <v>7.8753521262780698E-5</v>
      </c>
      <c r="CD4" s="4">
        <v>8.7650348250524707E-5</v>
      </c>
      <c r="CE4">
        <v>1.0436233176318701E-4</v>
      </c>
      <c r="CF4">
        <v>1.63625588827613E-4</v>
      </c>
      <c r="CG4">
        <v>1.10239475226905E-4</v>
      </c>
      <c r="CH4">
        <v>1.3483632508601401E-4</v>
      </c>
      <c r="CI4">
        <v>1.6057249049141801E-4</v>
      </c>
      <c r="CJ4" s="4">
        <v>8.0135243912682604E-5</v>
      </c>
      <c r="CK4" s="4">
        <v>5.6850414984091998E-5</v>
      </c>
      <c r="CL4" s="4">
        <v>6.7624513886996502E-5</v>
      </c>
      <c r="CM4">
        <v>1.17412443822308E-4</v>
      </c>
      <c r="CN4" s="4">
        <v>5.35633178636487E-5</v>
      </c>
      <c r="CO4" s="4">
        <v>7.3222437273112804E-5</v>
      </c>
      <c r="CP4" s="4">
        <v>5.2717584456485098E-5</v>
      </c>
      <c r="CQ4" s="4">
        <v>6.5859108459523596E-5</v>
      </c>
      <c r="CR4" s="4">
        <v>4.8807119127861501E-5</v>
      </c>
      <c r="CS4" s="4">
        <v>6.5386918796706103E-5</v>
      </c>
      <c r="CT4" s="4">
        <v>6.7775396256641494E-5</v>
      </c>
      <c r="CU4" s="4">
        <v>5.35520665898492E-5</v>
      </c>
    </row>
    <row r="5" spans="1:99" x14ac:dyDescent="0.2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1:99" x14ac:dyDescent="0.25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1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1:99" x14ac:dyDescent="0.25">
      <c r="A7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10</v>
      </c>
      <c r="BK7">
        <v>1</v>
      </c>
      <c r="BL7">
        <v>10</v>
      </c>
      <c r="BM7">
        <v>241</v>
      </c>
      <c r="BN7">
        <v>4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</row>
    <row r="8" spans="1:99" x14ac:dyDescent="0.25">
      <c r="A8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643</v>
      </c>
      <c r="BK8">
        <v>386</v>
      </c>
      <c r="BL8">
        <v>1374</v>
      </c>
      <c r="BM8">
        <v>10366</v>
      </c>
      <c r="BN8">
        <v>138</v>
      </c>
      <c r="BO8">
        <v>0</v>
      </c>
      <c r="BP8">
        <v>66</v>
      </c>
      <c r="BQ8">
        <v>9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</row>
    <row r="9" spans="1:99" x14ac:dyDescent="0.25">
      <c r="A9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3</v>
      </c>
      <c r="BJ9">
        <v>17559</v>
      </c>
      <c r="BK9">
        <v>14595</v>
      </c>
      <c r="BL9">
        <v>19296</v>
      </c>
      <c r="BM9">
        <v>13086</v>
      </c>
      <c r="BN9">
        <v>8497</v>
      </c>
      <c r="BO9">
        <v>154</v>
      </c>
      <c r="BP9">
        <v>4927</v>
      </c>
      <c r="BQ9">
        <v>773</v>
      </c>
      <c r="BR9">
        <v>12</v>
      </c>
      <c r="BS9">
        <v>166</v>
      </c>
      <c r="BT9">
        <v>0</v>
      </c>
      <c r="BU9">
        <v>1</v>
      </c>
      <c r="BV9">
        <v>1</v>
      </c>
      <c r="BW9">
        <v>2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</row>
    <row r="10" spans="1:99" x14ac:dyDescent="0.25">
      <c r="A10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6</v>
      </c>
      <c r="BG10">
        <v>0</v>
      </c>
      <c r="BH10">
        <v>3</v>
      </c>
      <c r="BI10">
        <v>851</v>
      </c>
      <c r="BJ10">
        <v>11121</v>
      </c>
      <c r="BK10">
        <v>11289</v>
      </c>
      <c r="BL10">
        <v>9309</v>
      </c>
      <c r="BM10">
        <v>3801</v>
      </c>
      <c r="BN10">
        <v>13752</v>
      </c>
      <c r="BO10">
        <v>7530</v>
      </c>
      <c r="BP10">
        <v>14327</v>
      </c>
      <c r="BQ10">
        <v>12333</v>
      </c>
      <c r="BR10">
        <v>1810</v>
      </c>
      <c r="BS10">
        <v>6054</v>
      </c>
      <c r="BT10">
        <v>112</v>
      </c>
      <c r="BU10">
        <v>159</v>
      </c>
      <c r="BV10">
        <v>90</v>
      </c>
      <c r="BW10">
        <v>71</v>
      </c>
      <c r="BX10">
        <v>16</v>
      </c>
      <c r="BY10">
        <v>26</v>
      </c>
      <c r="BZ10">
        <v>8</v>
      </c>
      <c r="CA10">
        <v>1</v>
      </c>
      <c r="CB10">
        <v>26</v>
      </c>
      <c r="CC10">
        <v>1</v>
      </c>
      <c r="CD10">
        <v>3</v>
      </c>
      <c r="CE10">
        <v>3</v>
      </c>
      <c r="CF10">
        <v>26</v>
      </c>
      <c r="CG10">
        <v>7</v>
      </c>
      <c r="CH10">
        <v>9</v>
      </c>
      <c r="CI10">
        <v>34</v>
      </c>
      <c r="CJ10">
        <v>0</v>
      </c>
      <c r="CK10">
        <v>0</v>
      </c>
      <c r="CL10">
        <v>0</v>
      </c>
      <c r="CM10">
        <v>3</v>
      </c>
      <c r="CN10">
        <v>0</v>
      </c>
      <c r="CO10">
        <v>0</v>
      </c>
      <c r="CP10">
        <v>0</v>
      </c>
      <c r="CQ10">
        <v>1</v>
      </c>
      <c r="CR10">
        <v>0</v>
      </c>
      <c r="CS10">
        <v>0</v>
      </c>
      <c r="CT10">
        <v>0</v>
      </c>
      <c r="CU10">
        <v>0</v>
      </c>
    </row>
    <row r="11" spans="1:99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</row>
    <row r="12" spans="1:99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</row>
    <row r="13" spans="1:99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1:99" x14ac:dyDescent="0.25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0.11845262065121701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1:99" x14ac:dyDescent="0.2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0.11845262065121701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1:99" x14ac:dyDescent="0.2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0.11845262065121701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</row>
    <row r="17" spans="1:99" x14ac:dyDescent="0.25">
      <c r="A17" t="s">
        <v>15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0.17742081953831201</v>
      </c>
      <c r="BK17">
        <v>0.153318006216801</v>
      </c>
      <c r="BL17">
        <v>0.26026725968471398</v>
      </c>
      <c r="BM17">
        <v>0.61867331063709097</v>
      </c>
      <c r="BN17">
        <v>0.14680685911918401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</row>
    <row r="18" spans="1:99" x14ac:dyDescent="0.25">
      <c r="A18" t="s">
        <v>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0.156367990008592</v>
      </c>
      <c r="BK18">
        <v>0.153318006216801</v>
      </c>
      <c r="BL18">
        <v>0.21086385054505</v>
      </c>
      <c r="BM18">
        <v>0.45181617098232602</v>
      </c>
      <c r="BN18">
        <v>0.13823546863967801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</row>
    <row r="19" spans="1:99" x14ac:dyDescent="0.25">
      <c r="A19" t="s">
        <v>17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0.165171861283124</v>
      </c>
      <c r="BK19">
        <v>0.153318006216801</v>
      </c>
      <c r="BL19">
        <v>0.21228502612298</v>
      </c>
      <c r="BM19">
        <v>0.44623990950389603</v>
      </c>
      <c r="BN19">
        <v>0.13823546863967801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</row>
    <row r="20" spans="1:99" x14ac:dyDescent="0.25">
      <c r="A20" t="s">
        <v>18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0.760714282282969</v>
      </c>
      <c r="BK20">
        <v>0.70264444368530898</v>
      </c>
      <c r="BL20">
        <v>1.0410690387388499</v>
      </c>
      <c r="BM20">
        <v>2.4746932425483599</v>
      </c>
      <c r="BN20">
        <v>0.58722743647673803</v>
      </c>
      <c r="BO20">
        <v>0</v>
      </c>
      <c r="BP20">
        <v>0.41402118135467603</v>
      </c>
      <c r="BQ20">
        <v>0.21506782667440499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</row>
    <row r="21" spans="1:99" x14ac:dyDescent="0.25">
      <c r="A21" t="s">
        <v>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0.59672483046252101</v>
      </c>
      <c r="BK21">
        <v>0.541149688227193</v>
      </c>
      <c r="BL21">
        <v>0.75525429960022905</v>
      </c>
      <c r="BM21">
        <v>1.78587566093968</v>
      </c>
      <c r="BN21">
        <v>0.41907315249471699</v>
      </c>
      <c r="BO21">
        <v>0</v>
      </c>
      <c r="BP21">
        <v>0.34244350519651201</v>
      </c>
      <c r="BQ21">
        <v>0.185217387375151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</row>
    <row r="22" spans="1:99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0.59417309767744797</v>
      </c>
      <c r="BK22">
        <v>0.53539861185600002</v>
      </c>
      <c r="BL22">
        <v>0.76325360966745004</v>
      </c>
      <c r="BM22">
        <v>1.78042891651782</v>
      </c>
      <c r="BN22">
        <v>0.407973384006108</v>
      </c>
      <c r="BO22">
        <v>0</v>
      </c>
      <c r="BP22">
        <v>0.34213392228139999</v>
      </c>
      <c r="BQ22">
        <v>0.18824120925768201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</row>
    <row r="23" spans="1:9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0.21031185980905401</v>
      </c>
      <c r="BJ23">
        <v>3.0428571291318698</v>
      </c>
      <c r="BK23">
        <v>2.8105777747412302</v>
      </c>
      <c r="BL23">
        <v>4.1642761549554299</v>
      </c>
      <c r="BM23">
        <v>9.8987729701934608</v>
      </c>
      <c r="BN23">
        <v>2.3489097459069499</v>
      </c>
      <c r="BO23">
        <v>0.46980633766833901</v>
      </c>
      <c r="BP23">
        <v>1.6560847254187001</v>
      </c>
      <c r="BQ23">
        <v>0.86027130669762097</v>
      </c>
      <c r="BR23">
        <v>0.27079269179273502</v>
      </c>
      <c r="BS23">
        <v>0.55069456860000099</v>
      </c>
      <c r="BT23">
        <v>0</v>
      </c>
      <c r="BU23">
        <v>0.120543589735791</v>
      </c>
      <c r="BV23">
        <v>7.9850083366640595E-2</v>
      </c>
      <c r="BW23">
        <v>8.8625918895512898E-2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</row>
    <row r="24" spans="1:99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0.18083211412631001</v>
      </c>
      <c r="BJ24">
        <v>2.38689932185008</v>
      </c>
      <c r="BK24">
        <v>2.1520378634668398</v>
      </c>
      <c r="BL24">
        <v>3.02101719840091</v>
      </c>
      <c r="BM24">
        <v>7.1435026437587403</v>
      </c>
      <c r="BN24">
        <v>1.63597096766338</v>
      </c>
      <c r="BO24">
        <v>0.39012586933468602</v>
      </c>
      <c r="BP24">
        <v>1.3122062005686499</v>
      </c>
      <c r="BQ24">
        <v>0.64725224935297199</v>
      </c>
      <c r="BR24">
        <v>0.23252257069978299</v>
      </c>
      <c r="BS24">
        <v>0.36807119864362098</v>
      </c>
      <c r="BT24">
        <v>0</v>
      </c>
      <c r="BU24">
        <v>0.120543589735791</v>
      </c>
      <c r="BV24">
        <v>7.9850083366640595E-2</v>
      </c>
      <c r="BW24">
        <v>8.8625918895512898E-2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</row>
    <row r="25" spans="1:99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0.16821527545947501</v>
      </c>
      <c r="BJ25">
        <v>2.3766923907097901</v>
      </c>
      <c r="BK25">
        <v>2.13851434990845</v>
      </c>
      <c r="BL25">
        <v>3.0530144386698002</v>
      </c>
      <c r="BM25">
        <v>7.1217156660712799</v>
      </c>
      <c r="BN25">
        <v>1.5888287097671401</v>
      </c>
      <c r="BO25">
        <v>0.38289449843904699</v>
      </c>
      <c r="BP25">
        <v>1.29148707887766</v>
      </c>
      <c r="BQ25">
        <v>0.64110170433747804</v>
      </c>
      <c r="BR25">
        <v>0.234493841084876</v>
      </c>
      <c r="BS25">
        <v>0.36905697895905198</v>
      </c>
      <c r="BT25">
        <v>0</v>
      </c>
      <c r="BU25">
        <v>0.120543589735791</v>
      </c>
      <c r="BV25">
        <v>7.9850083366640595E-2</v>
      </c>
      <c r="BW25">
        <v>8.8625918895512898E-2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</row>
    <row r="26" spans="1:99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0.128143274508249</v>
      </c>
      <c r="BG26">
        <v>0</v>
      </c>
      <c r="BH26">
        <v>0.16160845201100499</v>
      </c>
      <c r="BI26">
        <v>0.84124743923621903</v>
      </c>
      <c r="BJ26">
        <v>12.1714285165275</v>
      </c>
      <c r="BK26">
        <v>11.242311098964899</v>
      </c>
      <c r="BL26">
        <v>16.657104619821698</v>
      </c>
      <c r="BM26">
        <v>39.595091880773801</v>
      </c>
      <c r="BN26">
        <v>9.3956389836278191</v>
      </c>
      <c r="BO26">
        <v>1.8792253506733501</v>
      </c>
      <c r="BP26">
        <v>6.6243389016748102</v>
      </c>
      <c r="BQ26">
        <v>3.4410852267904799</v>
      </c>
      <c r="BR26">
        <v>1.0831707671709401</v>
      </c>
      <c r="BS26">
        <v>2.2027782744</v>
      </c>
      <c r="BT26">
        <v>0.43219811463972402</v>
      </c>
      <c r="BU26">
        <v>0.51250447282358402</v>
      </c>
      <c r="BV26">
        <v>0.361801209332615</v>
      </c>
      <c r="BW26">
        <v>0.38939681939965598</v>
      </c>
      <c r="BX26">
        <v>0.213626925741004</v>
      </c>
      <c r="BY26">
        <v>0.29209631818079701</v>
      </c>
      <c r="BZ26">
        <v>0.17768869499092299</v>
      </c>
      <c r="CA26">
        <v>0.140285448819295</v>
      </c>
      <c r="CB26">
        <v>0.237608401012494</v>
      </c>
      <c r="CC26">
        <v>0.104467412225939</v>
      </c>
      <c r="CD26">
        <v>0.12761940814594699</v>
      </c>
      <c r="CE26">
        <v>0.109932216754557</v>
      </c>
      <c r="CF26">
        <v>0.27689089335726402</v>
      </c>
      <c r="CG26">
        <v>0.23387322806517899</v>
      </c>
      <c r="CH26">
        <v>0.17196778880201199</v>
      </c>
      <c r="CI26">
        <v>0.25287904809438499</v>
      </c>
      <c r="CJ26">
        <v>0</v>
      </c>
      <c r="CK26">
        <v>0</v>
      </c>
      <c r="CL26">
        <v>0</v>
      </c>
      <c r="CM26">
        <v>0.16486034007256101</v>
      </c>
      <c r="CN26">
        <v>0</v>
      </c>
      <c r="CO26">
        <v>0</v>
      </c>
      <c r="CP26">
        <v>0</v>
      </c>
      <c r="CQ26">
        <v>6.7502755422241295E-2</v>
      </c>
      <c r="CR26">
        <v>0</v>
      </c>
      <c r="CS26">
        <v>0</v>
      </c>
      <c r="CT26">
        <v>0</v>
      </c>
      <c r="CU26">
        <v>0</v>
      </c>
    </row>
    <row r="27" spans="1:99" x14ac:dyDescent="0.25">
      <c r="A27" t="s">
        <v>25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0.112997541692857</v>
      </c>
      <c r="BG27">
        <v>0</v>
      </c>
      <c r="BH27">
        <v>0.160544601969315</v>
      </c>
      <c r="BI27">
        <v>0.62251878671741301</v>
      </c>
      <c r="BJ27">
        <v>9.5475972874003396</v>
      </c>
      <c r="BK27">
        <v>8.6081514538673893</v>
      </c>
      <c r="BL27">
        <v>12.084068793603601</v>
      </c>
      <c r="BM27">
        <v>28.574010575034901</v>
      </c>
      <c r="BN27">
        <v>6.5438838706535298</v>
      </c>
      <c r="BO27">
        <v>1.54543224983071</v>
      </c>
      <c r="BP27">
        <v>5.2488248022745996</v>
      </c>
      <c r="BQ27">
        <v>2.5890089974118902</v>
      </c>
      <c r="BR27">
        <v>0.83723308758789305</v>
      </c>
      <c r="BS27">
        <v>1.45234404032207</v>
      </c>
      <c r="BT27">
        <v>0.322311658662643</v>
      </c>
      <c r="BU27">
        <v>0.36953735446985803</v>
      </c>
      <c r="BV27">
        <v>0.289473353850633</v>
      </c>
      <c r="BW27">
        <v>0.29577998349162299</v>
      </c>
      <c r="BX27">
        <v>0.18239699138975199</v>
      </c>
      <c r="BY27">
        <v>0.217905605691432</v>
      </c>
      <c r="BZ27">
        <v>0.15285066206055301</v>
      </c>
      <c r="CA27">
        <v>0.140285448819295</v>
      </c>
      <c r="CB27">
        <v>0.19962320785061299</v>
      </c>
      <c r="CC27">
        <v>0.104467412225939</v>
      </c>
      <c r="CD27">
        <v>0.12713040504354101</v>
      </c>
      <c r="CE27">
        <v>0.109932216754557</v>
      </c>
      <c r="CF27">
        <v>0.19362407927965</v>
      </c>
      <c r="CG27">
        <v>0.15677220181864501</v>
      </c>
      <c r="CH27">
        <v>0.149085844178585</v>
      </c>
      <c r="CI27">
        <v>0.19585715608034501</v>
      </c>
      <c r="CJ27">
        <v>0</v>
      </c>
      <c r="CK27">
        <v>0</v>
      </c>
      <c r="CL27">
        <v>0</v>
      </c>
      <c r="CM27">
        <v>0.16221453403184699</v>
      </c>
      <c r="CN27">
        <v>0</v>
      </c>
      <c r="CO27">
        <v>0</v>
      </c>
      <c r="CP27">
        <v>0</v>
      </c>
      <c r="CQ27">
        <v>6.7502755422241295E-2</v>
      </c>
      <c r="CR27">
        <v>0</v>
      </c>
      <c r="CS27">
        <v>0</v>
      </c>
      <c r="CT27">
        <v>0</v>
      </c>
      <c r="CU27">
        <v>0</v>
      </c>
    </row>
    <row r="28" spans="1:99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0.12514831525894499</v>
      </c>
      <c r="BG28">
        <v>0</v>
      </c>
      <c r="BH28">
        <v>0.160544601969315</v>
      </c>
      <c r="BI28">
        <v>0.62011361035381996</v>
      </c>
      <c r="BJ28">
        <v>9.50676956283918</v>
      </c>
      <c r="BK28">
        <v>8.5540573996338303</v>
      </c>
      <c r="BL28">
        <v>12.212057754679201</v>
      </c>
      <c r="BM28">
        <v>28.486862664285098</v>
      </c>
      <c r="BN28">
        <v>6.3553148390685896</v>
      </c>
      <c r="BO28">
        <v>1.51544414046089</v>
      </c>
      <c r="BP28">
        <v>5.16594831551064</v>
      </c>
      <c r="BQ28">
        <v>2.5644068173499099</v>
      </c>
      <c r="BR28">
        <v>0.81756397430298999</v>
      </c>
      <c r="BS28">
        <v>1.4515620765425301</v>
      </c>
      <c r="BT28">
        <v>0.31821261307263099</v>
      </c>
      <c r="BU28">
        <v>0.368619746290485</v>
      </c>
      <c r="BV28">
        <v>0.28662080666432899</v>
      </c>
      <c r="BW28">
        <v>0.287197349044501</v>
      </c>
      <c r="BX28">
        <v>0.179523935558108</v>
      </c>
      <c r="BY28">
        <v>0.209094377217074</v>
      </c>
      <c r="BZ28">
        <v>0.14675635027293699</v>
      </c>
      <c r="CA28">
        <v>0.140285448819295</v>
      </c>
      <c r="CB28">
        <v>0.198198577834267</v>
      </c>
      <c r="CC28">
        <v>0.104467412225939</v>
      </c>
      <c r="CD28">
        <v>0.12713040504354101</v>
      </c>
      <c r="CE28">
        <v>0.109932216754557</v>
      </c>
      <c r="CF28">
        <v>0.181644335807288</v>
      </c>
      <c r="CG28">
        <v>0.138128543943418</v>
      </c>
      <c r="CH28">
        <v>0.145416979065178</v>
      </c>
      <c r="CI28">
        <v>0.19241823357534499</v>
      </c>
      <c r="CJ28">
        <v>0</v>
      </c>
      <c r="CK28">
        <v>0</v>
      </c>
      <c r="CL28">
        <v>0</v>
      </c>
      <c r="CM28">
        <v>0.16221453403184699</v>
      </c>
      <c r="CN28">
        <v>0</v>
      </c>
      <c r="CO28">
        <v>0</v>
      </c>
      <c r="CP28">
        <v>0</v>
      </c>
      <c r="CQ28">
        <v>6.7502755422241295E-2</v>
      </c>
      <c r="CR28">
        <v>0</v>
      </c>
      <c r="CS28">
        <v>0</v>
      </c>
      <c r="CT28">
        <v>0</v>
      </c>
      <c r="CU28">
        <v>0</v>
      </c>
    </row>
    <row r="29" spans="1:99" x14ac:dyDescent="0.25">
      <c r="A29" t="s">
        <v>32</v>
      </c>
      <c r="B29">
        <v>0.85462156099999997</v>
      </c>
      <c r="C29">
        <v>0.99067576999999996</v>
      </c>
      <c r="D29">
        <v>1.1441742989999999</v>
      </c>
      <c r="E29">
        <v>0.73432993800000002</v>
      </c>
      <c r="F29">
        <v>1.317101139</v>
      </c>
      <c r="G29">
        <v>1.1441742989999999</v>
      </c>
      <c r="H29">
        <v>1.257509953</v>
      </c>
      <c r="I29">
        <v>0.85462156099999997</v>
      </c>
      <c r="J29">
        <v>1.257509953</v>
      </c>
      <c r="K29">
        <v>0.85462156099999997</v>
      </c>
      <c r="L29">
        <v>0.99067576999999996</v>
      </c>
      <c r="M29">
        <v>0.99067576999999996</v>
      </c>
      <c r="N29">
        <v>0.99067576999999996</v>
      </c>
      <c r="O29">
        <v>1.1441742989999999</v>
      </c>
      <c r="P29">
        <v>0.99067576999999996</v>
      </c>
      <c r="Q29">
        <v>0.66228851600000005</v>
      </c>
      <c r="R29">
        <v>0.99067576999999996</v>
      </c>
      <c r="S29">
        <v>1.4444654269999999</v>
      </c>
      <c r="T29">
        <v>0.99067576999999996</v>
      </c>
      <c r="U29">
        <v>0.85462156099999997</v>
      </c>
      <c r="V29">
        <v>0.99067576999999996</v>
      </c>
      <c r="W29">
        <v>0.99067576999999996</v>
      </c>
      <c r="X29">
        <v>0.89783227600000004</v>
      </c>
      <c r="Y29">
        <v>0.99067576999999996</v>
      </c>
      <c r="Z29">
        <v>1.1441742989999999</v>
      </c>
      <c r="AA29">
        <v>0.89783227600000004</v>
      </c>
      <c r="AB29">
        <v>1.1441742989999999</v>
      </c>
      <c r="AC29">
        <v>0.73432993800000002</v>
      </c>
      <c r="AD29">
        <v>0.85462156099999997</v>
      </c>
      <c r="AE29">
        <v>1.145105356</v>
      </c>
      <c r="AF29">
        <v>1.257509953</v>
      </c>
      <c r="AG29">
        <v>1.145105356</v>
      </c>
      <c r="AH29">
        <v>1.318149035</v>
      </c>
      <c r="AI29">
        <v>1.318149035</v>
      </c>
      <c r="AJ29">
        <v>1.145105356</v>
      </c>
      <c r="AK29">
        <v>1.145105356</v>
      </c>
      <c r="AL29">
        <v>0.99150227300000005</v>
      </c>
      <c r="AM29">
        <v>0.99150227300000005</v>
      </c>
      <c r="AN29">
        <v>0.99150227300000005</v>
      </c>
      <c r="AO29">
        <v>1.145105356</v>
      </c>
      <c r="AP29">
        <v>0.89859415399999998</v>
      </c>
      <c r="AQ29">
        <v>0.89859415399999998</v>
      </c>
      <c r="AR29">
        <v>0.85535298199999998</v>
      </c>
      <c r="AS29">
        <v>0.66228851600000005</v>
      </c>
      <c r="AT29">
        <v>0.475692385</v>
      </c>
      <c r="AU29">
        <v>0.77321039300000005</v>
      </c>
      <c r="AV29">
        <v>0.56216848100000005</v>
      </c>
      <c r="AW29">
        <v>0.73432993800000002</v>
      </c>
      <c r="AX29">
        <v>0.85462156099999997</v>
      </c>
      <c r="AY29">
        <v>0.772537527</v>
      </c>
      <c r="AZ29">
        <v>0.85462156099999997</v>
      </c>
      <c r="BA29">
        <v>0.89783227600000004</v>
      </c>
      <c r="BB29">
        <v>0.56216848100000005</v>
      </c>
      <c r="BC29">
        <v>0.77321039300000005</v>
      </c>
      <c r="BD29">
        <v>0.89859415399999998</v>
      </c>
      <c r="BE29">
        <v>1.5125919880000001</v>
      </c>
      <c r="BF29">
        <v>1.654461261</v>
      </c>
      <c r="BG29">
        <v>1.5125919880000001</v>
      </c>
      <c r="BH29">
        <v>1.88950475</v>
      </c>
      <c r="BI29">
        <v>4.4021109559999996</v>
      </c>
      <c r="BJ29">
        <v>14.6021538</v>
      </c>
      <c r="BK29">
        <v>13.238676509999999</v>
      </c>
      <c r="BL29">
        <v>14.6021538</v>
      </c>
      <c r="BM29">
        <v>20.131538750000001</v>
      </c>
      <c r="BN29">
        <v>10.529934320000001</v>
      </c>
      <c r="BO29">
        <v>5.509495866</v>
      </c>
      <c r="BP29">
        <v>9.2095990650000008</v>
      </c>
      <c r="BQ29">
        <v>6.5397134279999998</v>
      </c>
      <c r="BR29">
        <v>3.8698277910000001</v>
      </c>
      <c r="BS29">
        <v>5.509495866</v>
      </c>
      <c r="BT29">
        <v>2.6539428329999999</v>
      </c>
      <c r="BU29">
        <v>2.8809824239999999</v>
      </c>
      <c r="BV29">
        <v>2.6558198119999998</v>
      </c>
      <c r="BW29">
        <v>2.6558198119999998</v>
      </c>
      <c r="BX29">
        <v>2.0619739560000001</v>
      </c>
      <c r="BY29">
        <v>2.3436582540000002</v>
      </c>
      <c r="BZ29">
        <v>2.0619739560000001</v>
      </c>
      <c r="CA29">
        <v>1.8086265969999999</v>
      </c>
      <c r="CB29">
        <v>2.3436582540000002</v>
      </c>
      <c r="CC29">
        <v>1.654461261</v>
      </c>
      <c r="CD29">
        <v>1.8086265969999999</v>
      </c>
      <c r="CE29">
        <v>1.8086265969999999</v>
      </c>
      <c r="CF29">
        <v>2.1522282119999998</v>
      </c>
      <c r="CG29">
        <v>1.88950475</v>
      </c>
      <c r="CH29">
        <v>2.1522282119999998</v>
      </c>
      <c r="CI29">
        <v>2.3419653060000001</v>
      </c>
      <c r="CJ29">
        <v>1.654461261</v>
      </c>
      <c r="CK29">
        <v>1.5125919880000001</v>
      </c>
      <c r="CL29">
        <v>1.654461261</v>
      </c>
      <c r="CM29">
        <v>2.1522282119999998</v>
      </c>
      <c r="CN29">
        <v>1.511415151</v>
      </c>
      <c r="CO29">
        <v>1.729502407</v>
      </c>
      <c r="CP29">
        <v>1.511415151</v>
      </c>
      <c r="CQ29">
        <v>1.654461261</v>
      </c>
      <c r="CR29">
        <v>1.4444654269999999</v>
      </c>
      <c r="CS29">
        <v>1.654461261</v>
      </c>
      <c r="CT29">
        <v>1.729502407</v>
      </c>
      <c r="CU29">
        <v>1.511415151</v>
      </c>
    </row>
    <row r="30" spans="1:99" x14ac:dyDescent="0.25">
      <c r="A30" t="s">
        <v>33</v>
      </c>
      <c r="B30">
        <v>1.40097090386787E-2</v>
      </c>
      <c r="C30">
        <v>1.9303607749292202E-2</v>
      </c>
      <c r="D30">
        <v>2.6386547905040601E-2</v>
      </c>
      <c r="E30">
        <v>1.00803828435373E-2</v>
      </c>
      <c r="F30">
        <v>3.5810946872218898E-2</v>
      </c>
      <c r="G30">
        <v>2.6386547905040601E-2</v>
      </c>
      <c r="H30">
        <v>3.2388149062631502E-2</v>
      </c>
      <c r="I30">
        <v>1.40097090386787E-2</v>
      </c>
      <c r="J30">
        <v>3.2388149062631502E-2</v>
      </c>
      <c r="K30">
        <v>1.40097090386787E-2</v>
      </c>
      <c r="L30">
        <v>1.9303607749292202E-2</v>
      </c>
      <c r="M30">
        <v>1.9303607749292202E-2</v>
      </c>
      <c r="N30">
        <v>1.9303607749292202E-2</v>
      </c>
      <c r="O30">
        <v>2.6386547905040601E-2</v>
      </c>
      <c r="P30">
        <v>1.9303607749292202E-2</v>
      </c>
      <c r="Q30">
        <v>8.0570209681228907E-3</v>
      </c>
      <c r="R30">
        <v>1.9303607749292202E-2</v>
      </c>
      <c r="S30">
        <v>4.3752089986397E-2</v>
      </c>
      <c r="T30">
        <v>1.9303607749292202E-2</v>
      </c>
      <c r="U30">
        <v>1.40097090386787E-2</v>
      </c>
      <c r="V30">
        <v>1.9303607749292202E-2</v>
      </c>
      <c r="W30">
        <v>1.9303607749292202E-2</v>
      </c>
      <c r="X30">
        <v>1.55922647705952E-2</v>
      </c>
      <c r="Y30">
        <v>1.9303607749292202E-2</v>
      </c>
      <c r="Z30">
        <v>2.6386547905040601E-2</v>
      </c>
      <c r="AA30">
        <v>1.55922647705952E-2</v>
      </c>
      <c r="AB30">
        <v>2.6386547905040601E-2</v>
      </c>
      <c r="AC30">
        <v>1.00803828435373E-2</v>
      </c>
      <c r="AD30">
        <v>1.40097090386787E-2</v>
      </c>
      <c r="AE30">
        <v>2.6433159399475201E-2</v>
      </c>
      <c r="AF30">
        <v>3.2388149062631502E-2</v>
      </c>
      <c r="AG30">
        <v>2.6433159399475201E-2</v>
      </c>
      <c r="AH30">
        <v>3.5872796434139903E-2</v>
      </c>
      <c r="AI30">
        <v>3.5872796434139903E-2</v>
      </c>
      <c r="AJ30">
        <v>2.6433159399475201E-2</v>
      </c>
      <c r="AK30">
        <v>2.6433159399475201E-2</v>
      </c>
      <c r="AL30">
        <v>1.9338568678242098E-2</v>
      </c>
      <c r="AM30">
        <v>1.9338568678242098E-2</v>
      </c>
      <c r="AN30">
        <v>1.9338568678242098E-2</v>
      </c>
      <c r="AO30">
        <v>2.6433159399475201E-2</v>
      </c>
      <c r="AP30">
        <v>1.5620988090553199E-2</v>
      </c>
      <c r="AQ30">
        <v>1.5620988090553199E-2</v>
      </c>
      <c r="AR30">
        <v>1.4035738174926199E-2</v>
      </c>
      <c r="AS30">
        <v>8.0570209681228907E-3</v>
      </c>
      <c r="AT30">
        <v>3.9294214644375099E-3</v>
      </c>
      <c r="AU30">
        <v>1.12744285461413E-2</v>
      </c>
      <c r="AV30">
        <v>5.64581367689435E-3</v>
      </c>
      <c r="AW30">
        <v>1.00803828435373E-2</v>
      </c>
      <c r="AX30">
        <v>1.40097090386787E-2</v>
      </c>
      <c r="AY30">
        <v>1.1253150877280099E-2</v>
      </c>
      <c r="AZ30">
        <v>1.40097090386787E-2</v>
      </c>
      <c r="BA30">
        <v>1.55922647705952E-2</v>
      </c>
      <c r="BB30">
        <v>5.64581367689435E-3</v>
      </c>
      <c r="BC30">
        <v>1.12744285461413E-2</v>
      </c>
      <c r="BD30">
        <v>1.5620988090553199E-2</v>
      </c>
      <c r="BE30">
        <v>4.83533511463487E-2</v>
      </c>
      <c r="BF30">
        <v>5.8736399712006199E-2</v>
      </c>
      <c r="BG30">
        <v>4.83533511463487E-2</v>
      </c>
      <c r="BH30">
        <v>7.8358495809462997E-2</v>
      </c>
      <c r="BI30">
        <v>0.49100038316592398</v>
      </c>
      <c r="BJ30">
        <v>6.6224403585587703</v>
      </c>
      <c r="BK30">
        <v>5.3535834241242704</v>
      </c>
      <c r="BL30">
        <v>6.6224403585587703</v>
      </c>
      <c r="BM30">
        <v>13.2928614640717</v>
      </c>
      <c r="BN30">
        <v>3.2578075708179299</v>
      </c>
      <c r="BO30">
        <v>0.79897049806556297</v>
      </c>
      <c r="BP30">
        <v>2.4359913887318201</v>
      </c>
      <c r="BQ30">
        <v>1.15895222109753</v>
      </c>
      <c r="BR30">
        <v>0.37122699068329601</v>
      </c>
      <c r="BS30">
        <v>0.79897049806556297</v>
      </c>
      <c r="BT30">
        <v>0.16376690489991999</v>
      </c>
      <c r="BU30">
        <v>0.195693967903004</v>
      </c>
      <c r="BV30">
        <v>0.164018321135072</v>
      </c>
      <c r="BW30">
        <v>0.164018321135072</v>
      </c>
      <c r="BX30">
        <v>9.4710441371718995E-2</v>
      </c>
      <c r="BY30">
        <v>0.12504399610346301</v>
      </c>
      <c r="BZ30">
        <v>9.4710441371718995E-2</v>
      </c>
      <c r="CA30">
        <v>7.1262638466387501E-2</v>
      </c>
      <c r="CB30">
        <v>0.12504399610346301</v>
      </c>
      <c r="CC30">
        <v>5.8736399712006199E-2</v>
      </c>
      <c r="CD30">
        <v>7.1262638466387501E-2</v>
      </c>
      <c r="CE30">
        <v>7.1262638466387501E-2</v>
      </c>
      <c r="CF30">
        <v>0.10393631205102299</v>
      </c>
      <c r="CG30">
        <v>7.8358495809462997E-2</v>
      </c>
      <c r="CH30">
        <v>0.10393631205102299</v>
      </c>
      <c r="CI30">
        <v>0.124848089822123</v>
      </c>
      <c r="CJ30">
        <v>5.8736399712006199E-2</v>
      </c>
      <c r="CK30">
        <v>4.83533511463487E-2</v>
      </c>
      <c r="CL30">
        <v>5.8736399712006199E-2</v>
      </c>
      <c r="CM30">
        <v>0.10393631205102299</v>
      </c>
      <c r="CN30">
        <v>4.8271759981750102E-2</v>
      </c>
      <c r="CO30">
        <v>6.4670703081851993E-2</v>
      </c>
      <c r="CP30">
        <v>4.8271759981750102E-2</v>
      </c>
      <c r="CQ30">
        <v>5.8736399712006199E-2</v>
      </c>
      <c r="CR30">
        <v>4.3752089986397E-2</v>
      </c>
      <c r="CS30">
        <v>5.8736399712006199E-2</v>
      </c>
      <c r="CT30">
        <v>6.4670703081851993E-2</v>
      </c>
      <c r="CU30">
        <v>4.8271759981750102E-2</v>
      </c>
    </row>
    <row r="31" spans="1:99" x14ac:dyDescent="0.25">
      <c r="A31" t="s">
        <v>34</v>
      </c>
      <c r="B31" s="1">
        <v>45136</v>
      </c>
      <c r="C31" s="1">
        <v>45136.010416666664</v>
      </c>
      <c r="D31" s="1">
        <v>45136.020833333336</v>
      </c>
      <c r="E31" s="1">
        <v>45136.03125</v>
      </c>
      <c r="F31" s="1">
        <v>45136.041666666664</v>
      </c>
      <c r="G31" s="1">
        <v>45136.052083333336</v>
      </c>
      <c r="H31" s="1">
        <v>45136.0625</v>
      </c>
      <c r="I31" s="1">
        <v>45136.072916666664</v>
      </c>
      <c r="J31" s="1">
        <v>45136.083333333336</v>
      </c>
      <c r="K31" s="1">
        <v>45136.09375</v>
      </c>
      <c r="L31" s="1">
        <v>45136.104166666664</v>
      </c>
      <c r="M31" s="1">
        <v>45136.114583333336</v>
      </c>
      <c r="N31" s="1">
        <v>45136.125</v>
      </c>
      <c r="O31" s="1">
        <v>45136.135416666664</v>
      </c>
      <c r="P31" s="1">
        <v>45136.145833333336</v>
      </c>
      <c r="Q31" s="1">
        <v>45136.15625</v>
      </c>
      <c r="R31" s="1">
        <v>45136.166666666664</v>
      </c>
      <c r="S31" s="1">
        <v>45136.177083333336</v>
      </c>
      <c r="T31" s="1">
        <v>45136.1875</v>
      </c>
      <c r="U31" s="1">
        <v>45136.197916666664</v>
      </c>
      <c r="V31" s="1">
        <v>45136.208333333336</v>
      </c>
      <c r="W31" s="1">
        <v>45136.21875</v>
      </c>
      <c r="X31" s="1">
        <v>45136.229166666664</v>
      </c>
      <c r="Y31" s="1">
        <v>45136.239583333336</v>
      </c>
      <c r="Z31" s="1">
        <v>45136.25</v>
      </c>
      <c r="AA31" s="1">
        <v>45136.260416666664</v>
      </c>
      <c r="AB31" s="1">
        <v>45136.270833333336</v>
      </c>
      <c r="AC31" s="1">
        <v>45136.28125</v>
      </c>
      <c r="AD31" s="1">
        <v>45136.291666666664</v>
      </c>
      <c r="AE31" s="1">
        <v>45136.302083333336</v>
      </c>
      <c r="AF31" s="1">
        <v>45136.3125</v>
      </c>
      <c r="AG31" s="1">
        <v>45136.322916666664</v>
      </c>
      <c r="AH31" s="1">
        <v>45136.333333333336</v>
      </c>
      <c r="AI31" s="1">
        <v>45136.34375</v>
      </c>
      <c r="AJ31" s="1">
        <v>45136.354166666664</v>
      </c>
      <c r="AK31" s="1">
        <v>45136.364583333336</v>
      </c>
      <c r="AL31" s="1">
        <v>45136.375</v>
      </c>
      <c r="AM31" s="1">
        <v>45136.385416666664</v>
      </c>
      <c r="AN31" s="1">
        <v>45136.395833333336</v>
      </c>
      <c r="AO31" s="1">
        <v>45136.40625</v>
      </c>
      <c r="AP31" s="1">
        <v>45136.416666666664</v>
      </c>
      <c r="AQ31" s="1">
        <v>45136.427083333336</v>
      </c>
      <c r="AR31" s="1">
        <v>45136.4375</v>
      </c>
      <c r="AS31" s="1">
        <v>45136.447916666664</v>
      </c>
      <c r="AT31" s="1">
        <v>45136.458333333336</v>
      </c>
      <c r="AU31" s="1">
        <v>45136.46875</v>
      </c>
      <c r="AV31" s="1">
        <v>45136.479166666664</v>
      </c>
      <c r="AW31" s="1">
        <v>45136.489583333336</v>
      </c>
      <c r="AX31" s="1">
        <v>45136.5</v>
      </c>
      <c r="AY31" s="1">
        <v>45136.510416666664</v>
      </c>
      <c r="AZ31" s="1">
        <v>45136.520833333336</v>
      </c>
      <c r="BA31" s="1">
        <v>45136.53125</v>
      </c>
      <c r="BB31" s="1">
        <v>45136.541666666664</v>
      </c>
      <c r="BC31" s="1">
        <v>45136.552083333336</v>
      </c>
      <c r="BD31" s="1">
        <v>45136.5625</v>
      </c>
      <c r="BE31" s="1">
        <v>45136.572916666664</v>
      </c>
      <c r="BF31" s="1">
        <v>45136.583333333336</v>
      </c>
      <c r="BG31" s="1">
        <v>45136.59375</v>
      </c>
      <c r="BH31" s="1">
        <v>45136.604166666664</v>
      </c>
      <c r="BI31" s="1">
        <v>45136.614583333336</v>
      </c>
      <c r="BJ31" s="1">
        <v>45136.625</v>
      </c>
      <c r="BK31" s="1">
        <v>45136.635416666664</v>
      </c>
      <c r="BL31" s="1">
        <v>45136.645833333336</v>
      </c>
      <c r="BM31" s="1">
        <v>45136.65625</v>
      </c>
      <c r="BN31" s="1">
        <v>45136.666666666664</v>
      </c>
      <c r="BO31" s="1">
        <v>45136.677083333336</v>
      </c>
      <c r="BP31" s="1">
        <v>45136.6875</v>
      </c>
      <c r="BQ31" s="1">
        <v>45136.688888888886</v>
      </c>
      <c r="BR31" s="1">
        <v>45136.697916666664</v>
      </c>
      <c r="BS31" s="1">
        <v>45136.708333333336</v>
      </c>
      <c r="BT31" s="1">
        <v>45136.71875</v>
      </c>
      <c r="BU31" s="1">
        <v>45136.729166666664</v>
      </c>
      <c r="BV31" s="1">
        <v>45136.739583333336</v>
      </c>
      <c r="BW31" s="1">
        <v>45136.75</v>
      </c>
      <c r="BX31" s="1">
        <v>45136.760416666664</v>
      </c>
      <c r="BY31" s="1">
        <v>45136.770833333336</v>
      </c>
      <c r="BZ31" s="1">
        <v>45136.78125</v>
      </c>
      <c r="CA31" s="1">
        <v>45136.791666666664</v>
      </c>
      <c r="CB31" s="1">
        <v>45136.802083333336</v>
      </c>
      <c r="CC31" s="1">
        <v>45136.8125</v>
      </c>
      <c r="CD31" s="1">
        <v>45136.822916666664</v>
      </c>
      <c r="CE31" s="1">
        <v>45136.833333333336</v>
      </c>
      <c r="CF31" s="1">
        <v>45136.84375</v>
      </c>
      <c r="CG31" s="1">
        <v>45136.854166666664</v>
      </c>
      <c r="CH31" s="1">
        <v>45136.864583333336</v>
      </c>
      <c r="CI31" s="1">
        <v>45136.875</v>
      </c>
      <c r="CJ31" s="1">
        <v>45136.885416666664</v>
      </c>
      <c r="CK31" s="1">
        <v>45136.895833333336</v>
      </c>
      <c r="CL31" s="1">
        <v>45136.90625</v>
      </c>
      <c r="CM31" s="1">
        <v>45136.916666666664</v>
      </c>
      <c r="CN31" s="1">
        <v>45136.927083333336</v>
      </c>
      <c r="CO31" s="1">
        <v>45136.9375</v>
      </c>
      <c r="CP31" s="1">
        <v>45136.947916666664</v>
      </c>
      <c r="CQ31" s="1">
        <v>45136.958333333336</v>
      </c>
      <c r="CR31" s="1">
        <v>45136.96875</v>
      </c>
      <c r="CS31" s="1">
        <v>45136.979166666664</v>
      </c>
      <c r="CT31" s="1">
        <v>45136.989583333336</v>
      </c>
      <c r="CU31" s="1">
        <v>45137</v>
      </c>
    </row>
    <row r="32" spans="1:99" x14ac:dyDescent="0.25">
      <c r="BD32" t="s">
        <v>45</v>
      </c>
    </row>
    <row r="34" spans="1:27" x14ac:dyDescent="0.25">
      <c r="A34" s="2"/>
      <c r="B34" s="2"/>
      <c r="C34" s="2" t="s">
        <v>27</v>
      </c>
      <c r="E34" t="s">
        <v>28</v>
      </c>
      <c r="F34" t="s">
        <v>29</v>
      </c>
      <c r="G34" t="s">
        <v>30</v>
      </c>
      <c r="H34" t="s">
        <v>31</v>
      </c>
    </row>
    <row r="35" spans="1:27" x14ac:dyDescent="0.25">
      <c r="A35" s="2" t="str">
        <f>A2</f>
        <v>max_amp</v>
      </c>
      <c r="B35" s="2">
        <f>MAX(B2:CU2)</f>
        <v>3.8667081914818199E-2</v>
      </c>
      <c r="C35" s="3">
        <f>_xlfn.XLOOKUP(MAX(B2:CU2), B2:CU2, $B$1:$CU$1)</f>
        <v>45136.65625</v>
      </c>
      <c r="E35" s="1">
        <v>45136</v>
      </c>
      <c r="F35" s="4">
        <v>2.0921219592674199E-5</v>
      </c>
      <c r="G35" s="4">
        <v>1.6896795203131901E-5</v>
      </c>
      <c r="H35" s="4">
        <v>1.69964055778049E-5</v>
      </c>
      <c r="T35" t="s">
        <v>0</v>
      </c>
      <c r="U35" s="2">
        <v>3.3894640450781402E-2</v>
      </c>
    </row>
    <row r="36" spans="1:27" x14ac:dyDescent="0.25">
      <c r="A36" s="2" t="str">
        <f t="shared" ref="A36:A61" si="0">A3</f>
        <v>mean_amp</v>
      </c>
      <c r="B36" s="2">
        <f t="shared" ref="B36:B63" si="1">MAX(B3:CU3)</f>
        <v>2.79043072021825E-2</v>
      </c>
      <c r="C36" s="3">
        <f t="shared" ref="C36:C63" si="2">_xlfn.XLOOKUP(MAX(B3:CU3), B3:CU3, $B$1:$CU$1)</f>
        <v>45136.65625</v>
      </c>
      <c r="E36" s="1">
        <v>45136.010416666664</v>
      </c>
      <c r="F36" s="4">
        <v>3.1199643646280897E-5</v>
      </c>
      <c r="G36" s="4">
        <v>2.4629425665900501E-5</v>
      </c>
      <c r="H36" s="4">
        <v>2.4451812517591098E-5</v>
      </c>
      <c r="T36" t="s">
        <v>1</v>
      </c>
      <c r="U36" s="2">
        <v>2.45471667611072E-2</v>
      </c>
    </row>
    <row r="37" spans="1:27" x14ac:dyDescent="0.25">
      <c r="A37" s="2" t="str">
        <f t="shared" si="0"/>
        <v>median_amp</v>
      </c>
      <c r="B37" s="2">
        <f t="shared" si="1"/>
        <v>2.7819201820590899E-2</v>
      </c>
      <c r="C37" s="3">
        <f t="shared" si="2"/>
        <v>45136.65625</v>
      </c>
      <c r="E37" s="1">
        <v>45136.020833333336</v>
      </c>
      <c r="F37" s="4">
        <v>5.0260870271014598E-5</v>
      </c>
      <c r="G37" s="4">
        <v>3.3017554682506401E-5</v>
      </c>
      <c r="H37" s="4">
        <v>3.2236912718151601E-5</v>
      </c>
      <c r="T37" t="s">
        <v>2</v>
      </c>
      <c r="U37" s="2">
        <v>2.45122321428459E-2</v>
      </c>
    </row>
    <row r="38" spans="1:27" x14ac:dyDescent="0.25">
      <c r="A38" s="2" t="str">
        <f t="shared" si="0"/>
        <v>impulses_ch6</v>
      </c>
      <c r="B38" s="2">
        <f t="shared" si="1"/>
        <v>0</v>
      </c>
      <c r="C38" s="3">
        <f t="shared" si="2"/>
        <v>45136</v>
      </c>
      <c r="E38" s="1">
        <v>45136.03125</v>
      </c>
      <c r="F38" s="4">
        <v>1.6208630649053299E-5</v>
      </c>
      <c r="G38" s="4">
        <v>1.27688592912204E-5</v>
      </c>
      <c r="H38" s="4">
        <v>1.28680723025885E-5</v>
      </c>
      <c r="T38" t="s">
        <v>3</v>
      </c>
      <c r="U38" s="2">
        <v>0</v>
      </c>
    </row>
    <row r="39" spans="1:27" x14ac:dyDescent="0.25">
      <c r="A39" s="2" t="str">
        <f t="shared" si="0"/>
        <v>impulses_ch5</v>
      </c>
      <c r="B39" s="2">
        <f t="shared" si="1"/>
        <v>1</v>
      </c>
      <c r="C39" s="3">
        <f t="shared" si="2"/>
        <v>45136.65625</v>
      </c>
      <c r="E39" s="1">
        <v>45136.041666666664</v>
      </c>
      <c r="F39" s="4">
        <v>6.2730376417451805E-5</v>
      </c>
      <c r="G39" s="4">
        <v>4.4408583626906601E-5</v>
      </c>
      <c r="H39" s="4">
        <v>4.34091888931463E-5</v>
      </c>
      <c r="T39" t="s">
        <v>4</v>
      </c>
      <c r="U39" s="2">
        <v>2</v>
      </c>
    </row>
    <row r="40" spans="1:27" x14ac:dyDescent="0.25">
      <c r="A40" s="2" t="str">
        <f t="shared" si="0"/>
        <v>impulses_ch4</v>
      </c>
      <c r="B40" s="2">
        <f t="shared" si="1"/>
        <v>241</v>
      </c>
      <c r="C40" s="3">
        <f t="shared" si="2"/>
        <v>45136.65625</v>
      </c>
      <c r="E40" s="1">
        <v>45136.052083333336</v>
      </c>
      <c r="F40" s="4">
        <v>5.6267167695581002E-5</v>
      </c>
      <c r="G40" s="4">
        <v>3.3942095956601498E-5</v>
      </c>
      <c r="H40" s="4">
        <v>3.3134042857375497E-5</v>
      </c>
      <c r="T40" t="s">
        <v>5</v>
      </c>
      <c r="U40" s="2">
        <v>117</v>
      </c>
    </row>
    <row r="41" spans="1:27" x14ac:dyDescent="0.25">
      <c r="A41" s="2" t="str">
        <f t="shared" si="0"/>
        <v>impulses_ch3</v>
      </c>
      <c r="B41" s="2">
        <f t="shared" si="1"/>
        <v>10366</v>
      </c>
      <c r="C41" s="3">
        <f t="shared" si="2"/>
        <v>45136.65625</v>
      </c>
      <c r="E41" s="1">
        <v>45136.0625</v>
      </c>
      <c r="F41" s="4">
        <v>6.07766069859424E-5</v>
      </c>
      <c r="G41" s="4">
        <v>4.1374875863520302E-5</v>
      </c>
      <c r="H41" s="4">
        <v>4.0454164279778199E-5</v>
      </c>
      <c r="T41" t="s">
        <v>6</v>
      </c>
      <c r="U41" s="2">
        <v>4935</v>
      </c>
    </row>
    <row r="42" spans="1:27" x14ac:dyDescent="0.25">
      <c r="A42" s="2" t="str">
        <f t="shared" si="0"/>
        <v>impulses_ch2</v>
      </c>
      <c r="B42" s="2">
        <f t="shared" si="1"/>
        <v>19296</v>
      </c>
      <c r="C42" s="3">
        <f t="shared" si="2"/>
        <v>45136.645833333336</v>
      </c>
      <c r="E42" s="1">
        <v>45136.072916666664</v>
      </c>
      <c r="F42" s="4">
        <v>2.5149242441097701E-5</v>
      </c>
      <c r="G42" s="4">
        <v>1.7715750295374101E-5</v>
      </c>
      <c r="H42" s="4">
        <v>1.7482737672740102E-5</v>
      </c>
      <c r="T42" t="s">
        <v>7</v>
      </c>
      <c r="U42" s="2">
        <v>10289</v>
      </c>
    </row>
    <row r="43" spans="1:27" x14ac:dyDescent="0.25">
      <c r="A43" s="2" t="str">
        <f t="shared" si="0"/>
        <v>impulses_ch1</v>
      </c>
      <c r="B43" s="2">
        <f t="shared" si="1"/>
        <v>14327</v>
      </c>
      <c r="C43" s="3">
        <f t="shared" si="2"/>
        <v>45136.6875</v>
      </c>
      <c r="E43" s="1">
        <v>45136.083333333336</v>
      </c>
      <c r="F43" s="4">
        <v>5.0722279521092002E-5</v>
      </c>
      <c r="G43" s="4">
        <v>3.9812480762091098E-5</v>
      </c>
      <c r="H43" s="4">
        <v>3.9340208177041299E-5</v>
      </c>
      <c r="T43" t="s">
        <v>8</v>
      </c>
      <c r="U43" s="2">
        <v>10588</v>
      </c>
    </row>
    <row r="44" spans="1:27" x14ac:dyDescent="0.25">
      <c r="A44" s="2" t="str">
        <f t="shared" si="0"/>
        <v>max_env_ch6</v>
      </c>
      <c r="B44" s="2">
        <f t="shared" si="1"/>
        <v>0</v>
      </c>
      <c r="C44" s="3">
        <f t="shared" si="2"/>
        <v>45136</v>
      </c>
      <c r="E44" s="1">
        <v>45136.09375</v>
      </c>
      <c r="F44" s="4">
        <v>2.2719809695043802E-5</v>
      </c>
      <c r="G44" s="4">
        <v>1.7321557920951001E-5</v>
      </c>
      <c r="H44" s="4">
        <v>1.6720507769295902E-5</v>
      </c>
    </row>
    <row r="45" spans="1:27" x14ac:dyDescent="0.25">
      <c r="A45" s="2" t="str">
        <f t="shared" si="0"/>
        <v>mean_env_ch6</v>
      </c>
      <c r="B45" s="2">
        <f t="shared" si="1"/>
        <v>0</v>
      </c>
      <c r="C45" s="3">
        <f t="shared" si="2"/>
        <v>45136</v>
      </c>
      <c r="E45" s="1">
        <v>45136.104166666664</v>
      </c>
      <c r="F45" s="4">
        <v>3.0462620503608901E-5</v>
      </c>
      <c r="G45" s="4">
        <v>2.2935318023320101E-5</v>
      </c>
      <c r="H45" s="4">
        <v>2.2487559351339101E-5</v>
      </c>
    </row>
    <row r="46" spans="1:27" x14ac:dyDescent="0.25">
      <c r="A46" s="2" t="str">
        <f t="shared" si="0"/>
        <v>median_env_ch6</v>
      </c>
      <c r="B46" s="2">
        <f t="shared" si="1"/>
        <v>0</v>
      </c>
      <c r="C46" s="3">
        <f t="shared" si="2"/>
        <v>45136</v>
      </c>
      <c r="E46" s="1">
        <v>45136.114583333336</v>
      </c>
      <c r="F46" s="4">
        <v>3.4017975804844198E-5</v>
      </c>
      <c r="G46" s="4">
        <v>2.4246437682341499E-5</v>
      </c>
      <c r="H46" s="4">
        <v>2.3700035790705201E-5</v>
      </c>
      <c r="U46" t="s">
        <v>35</v>
      </c>
    </row>
    <row r="47" spans="1:27" x14ac:dyDescent="0.25">
      <c r="A47" s="2" t="str">
        <f t="shared" si="0"/>
        <v>max_env_ch5</v>
      </c>
      <c r="B47" s="2">
        <f t="shared" si="1"/>
        <v>0.11845262065121701</v>
      </c>
      <c r="C47" s="3">
        <f t="shared" si="2"/>
        <v>45136.65625</v>
      </c>
      <c r="E47" s="1">
        <v>45136.125</v>
      </c>
      <c r="F47" s="4">
        <v>2.6433858203417201E-5</v>
      </c>
      <c r="G47" s="4">
        <v>2.2490507198255E-5</v>
      </c>
      <c r="H47" s="4">
        <v>2.2467711263210001E-5</v>
      </c>
      <c r="U47" t="s">
        <v>36</v>
      </c>
      <c r="V47" t="s">
        <v>37</v>
      </c>
      <c r="W47" t="s">
        <v>38</v>
      </c>
      <c r="Y47" t="s">
        <v>36</v>
      </c>
      <c r="Z47" t="s">
        <v>37</v>
      </c>
      <c r="AA47" t="s">
        <v>38</v>
      </c>
    </row>
    <row r="48" spans="1:27" x14ac:dyDescent="0.25">
      <c r="A48" s="2" t="str">
        <f>A15</f>
        <v>mean_env_ch5</v>
      </c>
      <c r="B48" s="2">
        <f t="shared" si="1"/>
        <v>0.11845262065121701</v>
      </c>
      <c r="C48" s="3">
        <f t="shared" si="2"/>
        <v>45136.65625</v>
      </c>
      <c r="E48" s="1">
        <v>45136.135416666664</v>
      </c>
      <c r="F48" s="4">
        <v>3.9046552245590801E-5</v>
      </c>
      <c r="G48" s="4">
        <v>3.1591182769583298E-5</v>
      </c>
      <c r="H48" s="4">
        <v>3.1493087199550198E-5</v>
      </c>
      <c r="T48" t="s">
        <v>39</v>
      </c>
      <c r="U48" s="4">
        <f>B44</f>
        <v>0</v>
      </c>
      <c r="V48" s="4">
        <f>B45</f>
        <v>0</v>
      </c>
      <c r="W48" s="4">
        <f>B46</f>
        <v>0</v>
      </c>
      <c r="Y48">
        <v>0</v>
      </c>
      <c r="Z48">
        <v>0</v>
      </c>
      <c r="AA48">
        <v>0</v>
      </c>
    </row>
    <row r="49" spans="1:27" x14ac:dyDescent="0.25">
      <c r="A49" s="2" t="str">
        <f t="shared" si="0"/>
        <v>median_env_ch5</v>
      </c>
      <c r="B49" s="2">
        <f t="shared" si="1"/>
        <v>0.11845262065121701</v>
      </c>
      <c r="C49" s="3">
        <f t="shared" si="2"/>
        <v>45136.65625</v>
      </c>
      <c r="E49" s="1">
        <v>45136.145833333336</v>
      </c>
      <c r="F49" s="4">
        <v>3.3784118056452899E-5</v>
      </c>
      <c r="G49" s="4">
        <v>2.3154171766705699E-5</v>
      </c>
      <c r="H49" s="4">
        <v>2.2619265132412002E-5</v>
      </c>
      <c r="T49" t="s">
        <v>40</v>
      </c>
      <c r="U49" s="4">
        <f>B47</f>
        <v>0.11845262065121701</v>
      </c>
      <c r="V49" s="4">
        <f>B48</f>
        <v>0.11845262065121701</v>
      </c>
      <c r="W49" s="4">
        <f>B49</f>
        <v>0.11845262065121701</v>
      </c>
      <c r="Y49">
        <v>0.114178758147192</v>
      </c>
      <c r="Z49">
        <v>0.10729609555229699</v>
      </c>
      <c r="AA49">
        <v>0.10729609555229699</v>
      </c>
    </row>
    <row r="50" spans="1:27" x14ac:dyDescent="0.25">
      <c r="A50" s="2" t="str">
        <f t="shared" si="0"/>
        <v>max_env_ch4</v>
      </c>
      <c r="B50" s="2">
        <f t="shared" si="1"/>
        <v>0.61867331063709097</v>
      </c>
      <c r="C50" s="3">
        <f t="shared" si="2"/>
        <v>45136.65625</v>
      </c>
      <c r="E50" s="1">
        <v>45136.15625</v>
      </c>
      <c r="F50" s="4">
        <v>1.21685442171469E-5</v>
      </c>
      <c r="G50" s="4">
        <v>9.5834925082218593E-6</v>
      </c>
      <c r="H50" s="4">
        <v>9.46389371653906E-6</v>
      </c>
      <c r="T50" t="s">
        <v>41</v>
      </c>
      <c r="U50" s="4">
        <f>B50</f>
        <v>0.61867331063709097</v>
      </c>
      <c r="V50" s="4">
        <f>B51</f>
        <v>0.45181617098232602</v>
      </c>
      <c r="W50" s="4">
        <f>B52</f>
        <v>0.44623990950389603</v>
      </c>
      <c r="Y50">
        <v>0.54231424721250299</v>
      </c>
      <c r="Z50">
        <v>0.40212515642043301</v>
      </c>
      <c r="AA50">
        <v>0.39659577629574799</v>
      </c>
    </row>
    <row r="51" spans="1:27" x14ac:dyDescent="0.25">
      <c r="A51" s="2" t="str">
        <f t="shared" si="0"/>
        <v>mean_env_ch4</v>
      </c>
      <c r="B51" s="2">
        <f t="shared" si="1"/>
        <v>0.45181617098232602</v>
      </c>
      <c r="C51" s="3">
        <f t="shared" si="2"/>
        <v>45136.65625</v>
      </c>
      <c r="E51" s="1">
        <v>45136.166666666664</v>
      </c>
      <c r="F51" s="4">
        <v>3.6331817203934E-5</v>
      </c>
      <c r="G51" s="4">
        <v>2.3486598692819599E-5</v>
      </c>
      <c r="H51" s="4">
        <v>2.3114953773022599E-5</v>
      </c>
      <c r="T51" t="s">
        <v>42</v>
      </c>
      <c r="U51" s="4">
        <f>B53</f>
        <v>2.4746932425483599</v>
      </c>
      <c r="V51" s="4">
        <f>B54</f>
        <v>1.78587566093968</v>
      </c>
      <c r="W51" s="4">
        <f>B55</f>
        <v>1.78042891651782</v>
      </c>
      <c r="Y51">
        <v>2.1692569888500102</v>
      </c>
      <c r="Z51">
        <v>1.5710186727108599</v>
      </c>
      <c r="AA51">
        <v>1.5687828571421401</v>
      </c>
    </row>
    <row r="52" spans="1:27" x14ac:dyDescent="0.25">
      <c r="A52" s="2" t="str">
        <f t="shared" si="0"/>
        <v>median_env_ch4</v>
      </c>
      <c r="B52" s="2">
        <f t="shared" si="1"/>
        <v>0.44623990950389603</v>
      </c>
      <c r="C52" s="3">
        <f t="shared" si="2"/>
        <v>45136.65625</v>
      </c>
      <c r="E52" s="1">
        <v>45136.177083333336</v>
      </c>
      <c r="F52" s="4">
        <v>8.3099133979832395E-5</v>
      </c>
      <c r="G52" s="4">
        <v>5.2108182211171102E-5</v>
      </c>
      <c r="H52" s="4">
        <v>5.0251599973097399E-5</v>
      </c>
      <c r="T52" t="s">
        <v>43</v>
      </c>
      <c r="U52" s="4">
        <f>B56</f>
        <v>9.8987729701934608</v>
      </c>
      <c r="V52" s="4">
        <f>B57</f>
        <v>7.1435026437587403</v>
      </c>
      <c r="W52" s="4">
        <f>B58</f>
        <v>7.1217156660712799</v>
      </c>
      <c r="Y52">
        <v>8.6770279554000496</v>
      </c>
      <c r="Z52">
        <v>6.2840746908434504</v>
      </c>
      <c r="AA52">
        <v>6.2751314285685602</v>
      </c>
    </row>
    <row r="53" spans="1:27" x14ac:dyDescent="0.25">
      <c r="A53" s="2" t="str">
        <f t="shared" si="0"/>
        <v>max_env_ch3</v>
      </c>
      <c r="B53" s="2">
        <f t="shared" si="1"/>
        <v>2.4746932425483599</v>
      </c>
      <c r="C53" s="3">
        <f t="shared" si="2"/>
        <v>45136.65625</v>
      </c>
      <c r="E53" s="1">
        <v>45136.1875</v>
      </c>
      <c r="F53" s="4">
        <v>3.2935691179784301E-5</v>
      </c>
      <c r="G53" s="4">
        <v>2.3184904670164001E-5</v>
      </c>
      <c r="H53" s="4">
        <v>2.2562965187940299E-5</v>
      </c>
      <c r="T53" t="s">
        <v>44</v>
      </c>
      <c r="U53" s="4">
        <f>B59</f>
        <v>39.595091880773801</v>
      </c>
      <c r="V53" s="4">
        <f>B60</f>
        <v>28.574010575034901</v>
      </c>
      <c r="W53" s="4">
        <f>B61</f>
        <v>28.486862664285098</v>
      </c>
      <c r="Y53">
        <v>34.708111821600198</v>
      </c>
      <c r="Z53">
        <v>25.136298763373802</v>
      </c>
      <c r="AA53">
        <v>25.100525714274202</v>
      </c>
    </row>
    <row r="54" spans="1:27" x14ac:dyDescent="0.25">
      <c r="A54" s="2" t="str">
        <f t="shared" si="0"/>
        <v>mean_env_ch3</v>
      </c>
      <c r="B54" s="2">
        <f t="shared" si="1"/>
        <v>1.78587566093968</v>
      </c>
      <c r="C54" s="3">
        <f t="shared" si="2"/>
        <v>45136.65625</v>
      </c>
      <c r="E54" s="1">
        <v>45136.197916666664</v>
      </c>
      <c r="F54" s="4">
        <v>2.1946178501618E-5</v>
      </c>
      <c r="G54" s="4">
        <v>1.7077378542200101E-5</v>
      </c>
      <c r="H54" s="4">
        <v>1.6433157928108501E-5</v>
      </c>
    </row>
    <row r="55" spans="1:27" x14ac:dyDescent="0.25">
      <c r="A55" s="2" t="str">
        <f t="shared" si="0"/>
        <v>median_env_ch3</v>
      </c>
      <c r="B55" s="2">
        <f t="shared" si="1"/>
        <v>1.78042891651782</v>
      </c>
      <c r="C55" s="3">
        <f t="shared" si="2"/>
        <v>45136.65625</v>
      </c>
      <c r="E55" s="1">
        <v>45136.208333333336</v>
      </c>
      <c r="F55" s="4">
        <v>3.1147278761417898E-5</v>
      </c>
      <c r="G55" s="4">
        <v>2.42559621864849E-5</v>
      </c>
      <c r="H55" s="4">
        <v>2.3709461952279499E-5</v>
      </c>
    </row>
    <row r="56" spans="1:27" x14ac:dyDescent="0.25">
      <c r="A56" s="2" t="str">
        <f t="shared" si="0"/>
        <v>max_env_ch2</v>
      </c>
      <c r="B56" s="2">
        <f t="shared" si="1"/>
        <v>9.8987729701934608</v>
      </c>
      <c r="C56" s="3">
        <f t="shared" si="2"/>
        <v>45136.65625</v>
      </c>
      <c r="E56" s="1">
        <v>45136.21875</v>
      </c>
      <c r="F56" s="4">
        <v>3.5599398307166E-5</v>
      </c>
      <c r="G56" s="4">
        <v>2.4769391695874299E-5</v>
      </c>
      <c r="H56" s="4">
        <v>2.39279482986601E-5</v>
      </c>
    </row>
    <row r="57" spans="1:27" x14ac:dyDescent="0.25">
      <c r="A57" s="2" t="str">
        <f>A24</f>
        <v>mean_env_ch2</v>
      </c>
      <c r="B57" s="2">
        <f t="shared" si="1"/>
        <v>7.1435026437587403</v>
      </c>
      <c r="C57" s="3">
        <f t="shared" si="2"/>
        <v>45136.65625</v>
      </c>
      <c r="E57" s="1">
        <v>45136.229166666664</v>
      </c>
      <c r="F57" s="4">
        <v>2.2641758929729901E-5</v>
      </c>
      <c r="G57" s="4">
        <v>1.7682664500225001E-5</v>
      </c>
      <c r="H57" s="4">
        <v>1.7776897593717002E-5</v>
      </c>
    </row>
    <row r="58" spans="1:27" x14ac:dyDescent="0.25">
      <c r="A58" s="2" t="str">
        <f t="shared" si="0"/>
        <v>median_env_ch2</v>
      </c>
      <c r="B58" s="2">
        <f t="shared" si="1"/>
        <v>7.1217156660712799</v>
      </c>
      <c r="C58" s="3">
        <f t="shared" si="2"/>
        <v>45136.65625</v>
      </c>
      <c r="E58" s="1">
        <v>45136.239583333336</v>
      </c>
      <c r="F58" s="4">
        <v>3.4435493002627998E-5</v>
      </c>
      <c r="G58" s="4">
        <v>2.2218657031089101E-5</v>
      </c>
      <c r="H58" s="4">
        <v>2.1919447671699002E-5</v>
      </c>
    </row>
    <row r="59" spans="1:27" x14ac:dyDescent="0.25">
      <c r="A59" s="2" t="str">
        <f t="shared" si="0"/>
        <v>max_env_ch1</v>
      </c>
      <c r="B59" s="2">
        <f t="shared" si="1"/>
        <v>39.595091880773801</v>
      </c>
      <c r="C59" s="3">
        <f t="shared" si="2"/>
        <v>45136.65625</v>
      </c>
      <c r="E59" s="1">
        <v>45136.25</v>
      </c>
      <c r="F59" s="4">
        <v>5.6018475162210398E-5</v>
      </c>
      <c r="G59" s="4">
        <v>3.1139367918411402E-5</v>
      </c>
      <c r="H59" s="4">
        <v>2.9862668813283601E-5</v>
      </c>
    </row>
    <row r="60" spans="1:27" x14ac:dyDescent="0.25">
      <c r="A60" s="2" t="str">
        <f>A27</f>
        <v>mean_env_ch1</v>
      </c>
      <c r="B60" s="2">
        <f t="shared" si="1"/>
        <v>28.574010575034901</v>
      </c>
      <c r="C60" s="3">
        <f t="shared" si="2"/>
        <v>45136.65625</v>
      </c>
      <c r="E60" s="1">
        <v>45136.260416666664</v>
      </c>
      <c r="F60" s="4">
        <v>2.8582728018710199E-5</v>
      </c>
      <c r="G60" s="4">
        <v>1.8027864770854401E-5</v>
      </c>
      <c r="H60" s="4">
        <v>1.7299680685071799E-5</v>
      </c>
    </row>
    <row r="61" spans="1:27" x14ac:dyDescent="0.25">
      <c r="A61" s="2" t="str">
        <f t="shared" si="0"/>
        <v>median_env_ch1</v>
      </c>
      <c r="B61" s="2">
        <f t="shared" si="1"/>
        <v>28.486862664285098</v>
      </c>
      <c r="C61" s="3">
        <f t="shared" si="2"/>
        <v>45136.65625</v>
      </c>
      <c r="E61" s="1">
        <v>45136.270833333336</v>
      </c>
      <c r="F61" s="4">
        <v>4.29084337423049E-5</v>
      </c>
      <c r="G61" s="4">
        <v>2.9615683986387101E-5</v>
      </c>
      <c r="H61" s="4">
        <v>2.93936924380225E-5</v>
      </c>
    </row>
    <row r="62" spans="1:27" x14ac:dyDescent="0.25">
      <c r="A62" t="s">
        <v>32</v>
      </c>
      <c r="B62" s="2">
        <f t="shared" si="1"/>
        <v>20.131538750000001</v>
      </c>
      <c r="C62" s="3">
        <f t="shared" si="2"/>
        <v>45136.65625</v>
      </c>
      <c r="E62" s="1">
        <v>45136.28125</v>
      </c>
      <c r="F62" s="4">
        <v>1.5729504209105401E-5</v>
      </c>
      <c r="G62" s="4">
        <v>1.16120352436167E-5</v>
      </c>
      <c r="H62" s="4">
        <v>1.1493458239562199E-5</v>
      </c>
    </row>
    <row r="63" spans="1:27" x14ac:dyDescent="0.25">
      <c r="A63" t="s">
        <v>33</v>
      </c>
      <c r="B63" s="2">
        <f t="shared" si="1"/>
        <v>13.2928614640717</v>
      </c>
      <c r="C63" s="3">
        <f t="shared" si="2"/>
        <v>45136.65625</v>
      </c>
      <c r="E63" s="1">
        <v>45136.291666666664</v>
      </c>
      <c r="F63" s="4">
        <v>2.4924712013642199E-5</v>
      </c>
      <c r="G63" s="4">
        <v>1.7851094916333699E-5</v>
      </c>
      <c r="H63" s="4">
        <v>1.7894160885930099E-5</v>
      </c>
    </row>
    <row r="64" spans="1:27" x14ac:dyDescent="0.25">
      <c r="E64" s="1">
        <v>45136.302083333336</v>
      </c>
      <c r="F64" s="4">
        <v>5.6575819399946799E-5</v>
      </c>
      <c r="G64" s="4">
        <v>3.6385007004068202E-5</v>
      </c>
      <c r="H64" s="4">
        <v>3.5858278030521303E-5</v>
      </c>
    </row>
    <row r="65" spans="5:8" x14ac:dyDescent="0.25">
      <c r="E65" s="1">
        <v>45136.3125</v>
      </c>
      <c r="F65" s="4">
        <v>6.6018591848542903E-5</v>
      </c>
      <c r="G65" s="4">
        <v>4.4898663642424099E-5</v>
      </c>
      <c r="H65" s="4">
        <v>4.33559366910726E-5</v>
      </c>
    </row>
    <row r="66" spans="5:8" x14ac:dyDescent="0.25">
      <c r="E66" s="1">
        <v>45136.322916666664</v>
      </c>
      <c r="F66" s="4">
        <v>5.6706277803545903E-5</v>
      </c>
      <c r="G66" s="4">
        <v>3.6264714697738E-5</v>
      </c>
      <c r="H66" s="4">
        <v>3.5878839153930999E-5</v>
      </c>
    </row>
    <row r="67" spans="5:8" x14ac:dyDescent="0.25">
      <c r="E67" s="1">
        <v>45136.333333333336</v>
      </c>
      <c r="F67" s="4">
        <v>6.2619572898388903E-5</v>
      </c>
      <c r="G67" s="4">
        <v>4.8278504879058097E-5</v>
      </c>
      <c r="H67" s="4">
        <v>4.8137856274110397E-5</v>
      </c>
    </row>
    <row r="68" spans="5:8" x14ac:dyDescent="0.25">
      <c r="E68" s="1">
        <v>45136.34375</v>
      </c>
      <c r="F68" s="4">
        <v>6.4674616710256401E-5</v>
      </c>
      <c r="G68" s="4">
        <v>4.7677130715605303E-5</v>
      </c>
      <c r="H68" s="4">
        <v>4.6990409376154797E-5</v>
      </c>
    </row>
    <row r="69" spans="5:8" x14ac:dyDescent="0.25">
      <c r="E69" s="1">
        <v>45136.354166666664</v>
      </c>
      <c r="F69" s="4">
        <v>4.5677930753585603E-5</v>
      </c>
      <c r="G69" s="4">
        <v>3.6729415196760999E-5</v>
      </c>
      <c r="H69" s="4">
        <v>3.6348070332308498E-5</v>
      </c>
    </row>
    <row r="70" spans="5:8" x14ac:dyDescent="0.25">
      <c r="E70" s="1">
        <v>45136.364583333336</v>
      </c>
      <c r="F70" s="4">
        <v>5.1549048526134002E-5</v>
      </c>
      <c r="G70" s="4">
        <v>3.4713177586774101E-5</v>
      </c>
      <c r="H70" s="4">
        <v>3.4598597984976799E-5</v>
      </c>
    </row>
    <row r="71" spans="5:8" x14ac:dyDescent="0.25">
      <c r="E71" s="1">
        <v>45136.375</v>
      </c>
      <c r="F71" s="4">
        <v>3.4004342023135103E-5</v>
      </c>
      <c r="G71" s="4">
        <v>2.5127311250110201E-5</v>
      </c>
      <c r="H71" s="4">
        <v>2.4214205920743899E-5</v>
      </c>
    </row>
    <row r="72" spans="5:8" x14ac:dyDescent="0.25">
      <c r="E72" s="1">
        <v>45136.385416666664</v>
      </c>
      <c r="F72" s="4">
        <v>4.6171672721245601E-5</v>
      </c>
      <c r="G72" s="4">
        <v>2.5838804102086801E-5</v>
      </c>
      <c r="H72" s="4">
        <v>2.52605934705472E-5</v>
      </c>
    </row>
    <row r="73" spans="5:8" x14ac:dyDescent="0.25">
      <c r="E73" s="1">
        <v>45136.395833333336</v>
      </c>
      <c r="F73" s="4">
        <v>3.5829106706975198E-5</v>
      </c>
      <c r="G73" s="4">
        <v>2.6709252998540501E-5</v>
      </c>
      <c r="H73" s="4">
        <v>2.5955370580113601E-5</v>
      </c>
    </row>
    <row r="74" spans="5:8" x14ac:dyDescent="0.25">
      <c r="E74" s="1">
        <v>45136.40625</v>
      </c>
      <c r="F74" s="4">
        <v>4.6064375135240401E-5</v>
      </c>
      <c r="G74" s="4">
        <v>3.5881157416853699E-5</v>
      </c>
      <c r="H74" s="4">
        <v>3.5663827096393497E-5</v>
      </c>
    </row>
    <row r="75" spans="5:8" x14ac:dyDescent="0.25">
      <c r="E75" s="1">
        <v>45136.416666666664</v>
      </c>
      <c r="F75" s="4">
        <v>2.8423973024503701E-5</v>
      </c>
      <c r="G75" s="4">
        <v>2.0730713311733E-5</v>
      </c>
      <c r="H75" s="4">
        <v>2.05054526841861E-5</v>
      </c>
    </row>
    <row r="76" spans="5:8" x14ac:dyDescent="0.25">
      <c r="E76" s="1">
        <v>45136.427083333336</v>
      </c>
      <c r="F76" s="4">
        <v>4.1591485331344797E-5</v>
      </c>
      <c r="G76" s="4">
        <v>2.2909236445927501E-5</v>
      </c>
      <c r="H76" s="4">
        <v>2.2693546998738301E-5</v>
      </c>
    </row>
    <row r="77" spans="5:8" x14ac:dyDescent="0.25">
      <c r="E77" s="1">
        <v>45136.4375</v>
      </c>
      <c r="F77" s="4">
        <v>2.77622805001801E-5</v>
      </c>
      <c r="G77" s="4">
        <v>1.9517459194840301E-5</v>
      </c>
      <c r="H77" s="4">
        <v>1.9374959557793399E-5</v>
      </c>
    </row>
    <row r="78" spans="5:8" x14ac:dyDescent="0.25">
      <c r="E78" s="1">
        <v>45136.447916666664</v>
      </c>
      <c r="F78" s="4">
        <v>1.5196660767825199E-5</v>
      </c>
      <c r="G78" s="4">
        <v>1.16388308180481E-5</v>
      </c>
      <c r="H78" s="4">
        <v>1.16323882112837E-5</v>
      </c>
    </row>
    <row r="79" spans="5:8" x14ac:dyDescent="0.25">
      <c r="E79" s="1">
        <v>45136.458333333336</v>
      </c>
      <c r="F79" s="4">
        <v>6.9546574418090602E-6</v>
      </c>
      <c r="G79" s="4">
        <v>5.4930919255622497E-6</v>
      </c>
      <c r="H79" s="4">
        <v>5.5134184884881601E-6</v>
      </c>
    </row>
    <row r="80" spans="5:8" x14ac:dyDescent="0.25">
      <c r="E80" s="1">
        <v>45136.46875</v>
      </c>
      <c r="F80" s="4">
        <v>2.08973889814702E-5</v>
      </c>
      <c r="G80" s="4">
        <v>1.5517417199084E-5</v>
      </c>
      <c r="H80" s="4">
        <v>1.5327590829636501E-5</v>
      </c>
    </row>
    <row r="81" spans="5:8" x14ac:dyDescent="0.25">
      <c r="E81" s="1">
        <v>45136.479166666664</v>
      </c>
      <c r="F81" s="4">
        <v>1.08304269794954E-5</v>
      </c>
      <c r="G81" s="4">
        <v>8.5778900968767394E-6</v>
      </c>
      <c r="H81" s="4">
        <v>8.7946112377337495E-6</v>
      </c>
    </row>
    <row r="82" spans="5:8" x14ac:dyDescent="0.25">
      <c r="E82" s="1">
        <v>45136.489583333336</v>
      </c>
      <c r="F82" s="4">
        <v>2.2486908188578301E-5</v>
      </c>
      <c r="G82" s="4">
        <v>1.41374001540431E-5</v>
      </c>
      <c r="H82" s="4">
        <v>1.38054878597418E-5</v>
      </c>
    </row>
    <row r="83" spans="5:8" x14ac:dyDescent="0.25">
      <c r="E83" s="1">
        <v>45136.5</v>
      </c>
      <c r="F83" s="4">
        <v>3.3482462098601899E-5</v>
      </c>
      <c r="G83" s="4">
        <v>2.00377229502879E-5</v>
      </c>
      <c r="H83" s="4">
        <v>1.9655997887350301E-5</v>
      </c>
    </row>
    <row r="84" spans="5:8" x14ac:dyDescent="0.25">
      <c r="E84" s="1">
        <v>45136.510416666664</v>
      </c>
      <c r="F84" s="4">
        <v>1.9276041078235401E-5</v>
      </c>
      <c r="G84" s="4">
        <v>1.52390629293705E-5</v>
      </c>
      <c r="H84" s="4">
        <v>1.52490873128946E-5</v>
      </c>
    </row>
    <row r="85" spans="5:8" x14ac:dyDescent="0.25">
      <c r="E85" s="1">
        <v>45136.520833333336</v>
      </c>
      <c r="F85" s="4">
        <v>2.3509964488308001E-5</v>
      </c>
      <c r="G85" s="4">
        <v>1.8521795737854401E-5</v>
      </c>
      <c r="H85" s="4">
        <v>1.8598986540759499E-5</v>
      </c>
    </row>
    <row r="86" spans="5:8" x14ac:dyDescent="0.25">
      <c r="E86" s="1">
        <v>45136.53125</v>
      </c>
      <c r="F86" s="4">
        <v>2.9467547096324499E-5</v>
      </c>
      <c r="G86" s="4">
        <v>2.32748766981349E-5</v>
      </c>
      <c r="H86" s="4">
        <v>2.3095356417327599E-5</v>
      </c>
    </row>
    <row r="87" spans="5:8" x14ac:dyDescent="0.25">
      <c r="E87" s="1">
        <v>45136.541666666664</v>
      </c>
      <c r="F87" s="4">
        <v>1.14946254802698E-5</v>
      </c>
      <c r="G87" s="4">
        <v>7.6004172168739897E-6</v>
      </c>
      <c r="H87" s="4">
        <v>7.4887288306747403E-6</v>
      </c>
    </row>
    <row r="88" spans="5:8" x14ac:dyDescent="0.25">
      <c r="E88" s="1">
        <v>45136.552083333336</v>
      </c>
      <c r="F88" s="4">
        <v>2.56597199547728E-5</v>
      </c>
      <c r="G88" s="4">
        <v>1.5848267609754999E-5</v>
      </c>
      <c r="H88" s="4">
        <v>1.56405777343139E-5</v>
      </c>
    </row>
    <row r="89" spans="5:8" x14ac:dyDescent="0.25">
      <c r="E89" s="1">
        <v>45136.5625</v>
      </c>
      <c r="F89" s="4">
        <v>3.3650670903670501E-5</v>
      </c>
      <c r="G89" s="4">
        <v>2.5054157218380199E-5</v>
      </c>
      <c r="H89" s="4">
        <v>2.4542231766453299E-5</v>
      </c>
    </row>
    <row r="90" spans="5:8" x14ac:dyDescent="0.25">
      <c r="E90" s="1">
        <v>45136.572916666664</v>
      </c>
      <c r="F90" s="4">
        <v>9.2289025340561501E-5</v>
      </c>
      <c r="G90" s="4">
        <v>6.7299206861782499E-5</v>
      </c>
      <c r="H90" s="4">
        <v>6.6053320247934602E-5</v>
      </c>
    </row>
    <row r="91" spans="5:8" x14ac:dyDescent="0.25">
      <c r="E91" s="1">
        <v>45136.583333333336</v>
      </c>
      <c r="F91">
        <v>1.25139916511962E-4</v>
      </c>
      <c r="G91" s="4">
        <v>8.3373007169495794E-5</v>
      </c>
      <c r="H91" s="4">
        <v>8.0912799584484995E-5</v>
      </c>
    </row>
    <row r="92" spans="5:8" x14ac:dyDescent="0.25">
      <c r="E92" s="1">
        <v>45136.59375</v>
      </c>
      <c r="F92" s="4">
        <v>8.2121816516651094E-5</v>
      </c>
      <c r="G92" s="4">
        <v>6.3202148744551394E-5</v>
      </c>
      <c r="H92" s="4">
        <v>6.2473089949093797E-5</v>
      </c>
    </row>
    <row r="93" spans="5:8" x14ac:dyDescent="0.25">
      <c r="E93" s="1">
        <v>45136.604166666664</v>
      </c>
      <c r="F93">
        <v>1.57820753916997E-4</v>
      </c>
      <c r="G93">
        <v>1.0588857631052599E-4</v>
      </c>
      <c r="H93">
        <v>1.03903458058727E-4</v>
      </c>
    </row>
    <row r="94" spans="5:8" x14ac:dyDescent="0.25">
      <c r="E94" s="1">
        <v>45136.614583333336</v>
      </c>
      <c r="F94">
        <v>8.2153070237912004E-4</v>
      </c>
      <c r="G94">
        <v>6.0792850265372397E-4</v>
      </c>
      <c r="H94">
        <v>6.0557969761115197E-4</v>
      </c>
    </row>
    <row r="95" spans="5:8" x14ac:dyDescent="0.25">
      <c r="E95" s="1">
        <v>45136.625</v>
      </c>
      <c r="F95">
        <v>1.18861606606713E-2</v>
      </c>
      <c r="G95">
        <v>9.3238254759768994E-3</v>
      </c>
      <c r="H95">
        <v>9.2839546512101297E-3</v>
      </c>
    </row>
    <row r="96" spans="5:8" x14ac:dyDescent="0.25">
      <c r="E96" s="1">
        <v>45136.635416666664</v>
      </c>
      <c r="F96">
        <v>1.0978819432582901E-2</v>
      </c>
      <c r="G96">
        <v>8.4063979041673707E-3</v>
      </c>
      <c r="H96">
        <v>8.3535716793299106E-3</v>
      </c>
    </row>
    <row r="97" spans="5:8" x14ac:dyDescent="0.25">
      <c r="E97" s="1">
        <v>45136.645833333336</v>
      </c>
      <c r="F97">
        <v>1.62667037302946E-2</v>
      </c>
      <c r="G97">
        <v>1.1800848431253501E-2</v>
      </c>
      <c r="H97">
        <v>1.19258376510539E-2</v>
      </c>
    </row>
    <row r="98" spans="5:8" x14ac:dyDescent="0.25">
      <c r="E98" s="1">
        <v>45136.65625</v>
      </c>
      <c r="F98">
        <v>3.8667081914818199E-2</v>
      </c>
      <c r="G98">
        <v>2.79043072021825E-2</v>
      </c>
      <c r="H98">
        <v>2.7819201820590899E-2</v>
      </c>
    </row>
    <row r="99" spans="5:8" x14ac:dyDescent="0.25">
      <c r="E99" s="1">
        <v>45136.666666666664</v>
      </c>
      <c r="F99">
        <v>9.1754286949490404E-3</v>
      </c>
      <c r="G99">
        <v>6.3905115924350903E-3</v>
      </c>
      <c r="H99">
        <v>6.2063621475279204E-3</v>
      </c>
    </row>
    <row r="100" spans="5:8" x14ac:dyDescent="0.25">
      <c r="E100" s="1">
        <v>45136.677083333336</v>
      </c>
      <c r="F100">
        <v>1.8351810065169399E-3</v>
      </c>
      <c r="G100">
        <v>1.5092111814753099E-3</v>
      </c>
      <c r="H100">
        <v>1.4799259184188299E-3</v>
      </c>
    </row>
    <row r="101" spans="5:8" x14ac:dyDescent="0.25">
      <c r="E101" s="1">
        <v>45136.6875</v>
      </c>
      <c r="F101">
        <v>6.4690809586668103E-3</v>
      </c>
      <c r="G101">
        <v>5.1258054709712904E-3</v>
      </c>
      <c r="H101">
        <v>5.0448714018658499E-3</v>
      </c>
    </row>
    <row r="102" spans="5:8" x14ac:dyDescent="0.25">
      <c r="E102" s="1">
        <v>45136.688888888886</v>
      </c>
      <c r="F102">
        <v>3.3604347917875802E-3</v>
      </c>
      <c r="G102">
        <v>2.5283290990350399E-3</v>
      </c>
      <c r="H102">
        <v>2.5043035325682701E-3</v>
      </c>
    </row>
    <row r="103" spans="5:8" x14ac:dyDescent="0.25">
      <c r="E103" s="1">
        <v>45136.697916666664</v>
      </c>
      <c r="F103">
        <v>1.0577839523153701E-3</v>
      </c>
      <c r="G103">
        <v>8.1761043709755203E-4</v>
      </c>
      <c r="H103">
        <v>7.9840231865526399E-4</v>
      </c>
    </row>
    <row r="104" spans="5:8" x14ac:dyDescent="0.25">
      <c r="E104" s="1">
        <v>45136.708333333336</v>
      </c>
      <c r="F104">
        <v>2.15115065859375E-3</v>
      </c>
      <c r="G104">
        <v>1.41830472687702E-3</v>
      </c>
      <c r="H104">
        <v>1.41754109037357E-3</v>
      </c>
    </row>
    <row r="105" spans="5:8" x14ac:dyDescent="0.25">
      <c r="E105" s="1">
        <v>45136.71875</v>
      </c>
      <c r="F105">
        <v>4.22068471327855E-4</v>
      </c>
      <c r="G105">
        <v>2.9665744823370599E-4</v>
      </c>
      <c r="H105">
        <v>2.90210225984473E-4</v>
      </c>
    </row>
    <row r="106" spans="5:8" x14ac:dyDescent="0.25">
      <c r="E106" s="1">
        <v>45136.729166666664</v>
      </c>
      <c r="F106">
        <v>5.0049264924178095E-4</v>
      </c>
      <c r="G106">
        <v>3.4831977913925201E-4</v>
      </c>
      <c r="H106">
        <v>3.4189127610653503E-4</v>
      </c>
    </row>
    <row r="107" spans="5:8" x14ac:dyDescent="0.25">
      <c r="E107" s="1">
        <v>45136.739583333336</v>
      </c>
      <c r="F107">
        <v>3.5332149348888103E-4</v>
      </c>
      <c r="G107">
        <v>2.72863650722621E-4</v>
      </c>
      <c r="H107">
        <v>2.6796553480986501E-4</v>
      </c>
    </row>
    <row r="108" spans="5:8" x14ac:dyDescent="0.25">
      <c r="E108" s="1">
        <v>45136.75</v>
      </c>
      <c r="F108">
        <v>3.8027033144497698E-4</v>
      </c>
      <c r="G108">
        <v>2.6665171570358398E-4</v>
      </c>
      <c r="H108">
        <v>2.6424247885799301E-4</v>
      </c>
    </row>
    <row r="109" spans="5:8" x14ac:dyDescent="0.25">
      <c r="E109" s="1">
        <v>45136.760416666664</v>
      </c>
      <c r="F109">
        <v>2.0862004466894901E-4</v>
      </c>
      <c r="G109">
        <v>1.51127005102341E-4</v>
      </c>
      <c r="H109">
        <v>1.5098010575151599E-4</v>
      </c>
    </row>
    <row r="110" spans="5:8" x14ac:dyDescent="0.25">
      <c r="E110" s="1">
        <v>45136.770833333336</v>
      </c>
      <c r="F110">
        <v>2.8525031072343501E-4</v>
      </c>
      <c r="G110">
        <v>1.85388662552917E-4</v>
      </c>
      <c r="H110">
        <v>1.79388057192341E-4</v>
      </c>
    </row>
    <row r="111" spans="5:8" x14ac:dyDescent="0.25">
      <c r="E111" s="1">
        <v>45136.78125</v>
      </c>
      <c r="F111">
        <v>1.9470679530983701E-4</v>
      </c>
      <c r="G111">
        <v>1.3611558619119901E-4</v>
      </c>
      <c r="H111">
        <v>1.3220589346684501E-4</v>
      </c>
    </row>
    <row r="112" spans="5:8" x14ac:dyDescent="0.25">
      <c r="E112" s="1">
        <v>45136.791666666664</v>
      </c>
      <c r="F112">
        <v>1.50273161436999E-4</v>
      </c>
      <c r="G112">
        <v>1.01317711732075E-4</v>
      </c>
      <c r="H112" s="4">
        <v>9.9973359660999401E-5</v>
      </c>
    </row>
    <row r="113" spans="5:8" x14ac:dyDescent="0.25">
      <c r="E113" s="1">
        <v>45136.802083333336</v>
      </c>
      <c r="F113">
        <v>2.32039454113764E-4</v>
      </c>
      <c r="G113">
        <v>1.61657579941033E-4</v>
      </c>
      <c r="H113">
        <v>1.60041985373318E-4</v>
      </c>
    </row>
    <row r="114" spans="5:8" x14ac:dyDescent="0.25">
      <c r="E114" s="1">
        <v>45136.8125</v>
      </c>
      <c r="F114">
        <v>1.02039735054893E-4</v>
      </c>
      <c r="G114" s="4">
        <v>7.8295958026982799E-5</v>
      </c>
      <c r="H114" s="4">
        <v>7.8753521262780698E-5</v>
      </c>
    </row>
    <row r="115" spans="5:8" x14ac:dyDescent="0.25">
      <c r="E115" s="1">
        <v>45136.822916666664</v>
      </c>
      <c r="F115">
        <v>1.3545109329062401E-4</v>
      </c>
      <c r="G115" s="4">
        <v>9.1924097223163002E-5</v>
      </c>
      <c r="H115" s="4">
        <v>8.7650348250524707E-5</v>
      </c>
    </row>
    <row r="116" spans="5:8" x14ac:dyDescent="0.25">
      <c r="E116" s="1">
        <v>45136.833333333336</v>
      </c>
      <c r="F116">
        <v>1.48711195819252E-4</v>
      </c>
      <c r="G116">
        <v>1.05332051903051E-4</v>
      </c>
      <c r="H116">
        <v>1.0436233176318701E-4</v>
      </c>
    </row>
    <row r="117" spans="5:8" x14ac:dyDescent="0.25">
      <c r="E117" s="1">
        <v>45136.84375</v>
      </c>
      <c r="F117">
        <v>2.7040126304420298E-4</v>
      </c>
      <c r="G117">
        <v>1.5955435504197001E-4</v>
      </c>
      <c r="H117">
        <v>1.63625588827613E-4</v>
      </c>
    </row>
    <row r="118" spans="5:8" x14ac:dyDescent="0.25">
      <c r="E118" s="1">
        <v>45136.854166666664</v>
      </c>
      <c r="F118">
        <v>2.28391824282401E-4</v>
      </c>
      <c r="G118">
        <v>1.14820959499646E-4</v>
      </c>
      <c r="H118">
        <v>1.10239475226905E-4</v>
      </c>
    </row>
    <row r="119" spans="5:8" x14ac:dyDescent="0.25">
      <c r="E119" s="1">
        <v>45136.864583333336</v>
      </c>
      <c r="F119">
        <v>2.1168595705013901E-4</v>
      </c>
      <c r="G119">
        <v>1.3992725612337899E-4</v>
      </c>
      <c r="H119">
        <v>1.3483632508601401E-4</v>
      </c>
    </row>
    <row r="120" spans="5:8" x14ac:dyDescent="0.25">
      <c r="E120" s="1">
        <v>45136.875</v>
      </c>
      <c r="F120">
        <v>2.4695219540467198E-4</v>
      </c>
      <c r="G120">
        <v>1.6755891031238401E-4</v>
      </c>
      <c r="H120">
        <v>1.6057249049141801E-4</v>
      </c>
    </row>
    <row r="121" spans="5:8" x14ac:dyDescent="0.25">
      <c r="E121" s="1">
        <v>45136.885416666664</v>
      </c>
      <c r="F121">
        <v>1.11696005361216E-4</v>
      </c>
      <c r="G121" s="4">
        <v>8.0288475954714105E-5</v>
      </c>
      <c r="H121" s="4">
        <v>8.0135243912682604E-5</v>
      </c>
    </row>
    <row r="122" spans="5:8" x14ac:dyDescent="0.25">
      <c r="E122" s="1">
        <v>45136.895833333336</v>
      </c>
      <c r="F122">
        <v>1.07915918275096E-4</v>
      </c>
      <c r="G122" s="4">
        <v>5.8297420123566803E-5</v>
      </c>
      <c r="H122" s="4">
        <v>5.6850414984091998E-5</v>
      </c>
    </row>
    <row r="123" spans="5:8" x14ac:dyDescent="0.25">
      <c r="E123" s="1">
        <v>45136.90625</v>
      </c>
      <c r="F123" s="4">
        <v>9.1776331008265905E-5</v>
      </c>
      <c r="G123" s="4">
        <v>6.9295089831777494E-5</v>
      </c>
      <c r="H123" s="4">
        <v>6.7624513886996502E-5</v>
      </c>
    </row>
    <row r="124" spans="5:8" x14ac:dyDescent="0.25">
      <c r="E124" s="1">
        <v>45136.916666666664</v>
      </c>
      <c r="F124">
        <v>1.7744596916942999E-4</v>
      </c>
      <c r="G124">
        <v>1.19877111896287E-4</v>
      </c>
      <c r="H124">
        <v>1.17412443822308E-4</v>
      </c>
    </row>
    <row r="125" spans="5:8" x14ac:dyDescent="0.25">
      <c r="E125" s="1">
        <v>45136.927083333336</v>
      </c>
      <c r="F125" s="4">
        <v>7.6544689019208406E-5</v>
      </c>
      <c r="G125" s="4">
        <v>5.5097498110469197E-5</v>
      </c>
      <c r="H125" s="4">
        <v>5.35633178636487E-5</v>
      </c>
    </row>
    <row r="126" spans="5:8" x14ac:dyDescent="0.25">
      <c r="E126" s="1">
        <v>45136.9375</v>
      </c>
      <c r="F126">
        <v>1.1380945120014E-4</v>
      </c>
      <c r="G126" s="4">
        <v>7.3680300084315496E-5</v>
      </c>
      <c r="H126" s="4">
        <v>7.3222437273112804E-5</v>
      </c>
    </row>
    <row r="127" spans="5:8" x14ac:dyDescent="0.25">
      <c r="E127" s="1">
        <v>45136.947916666664</v>
      </c>
      <c r="F127" s="4">
        <v>7.0395830656242797E-5</v>
      </c>
      <c r="G127" s="4">
        <v>5.3698670875354198E-5</v>
      </c>
      <c r="H127" s="4">
        <v>5.2717584456485098E-5</v>
      </c>
    </row>
    <row r="128" spans="5:8" x14ac:dyDescent="0.25">
      <c r="E128" s="1">
        <v>45136.958333333336</v>
      </c>
      <c r="F128" s="4">
        <v>9.0745895317882101E-5</v>
      </c>
      <c r="G128" s="4">
        <v>6.6193835926718601E-5</v>
      </c>
      <c r="H128" s="4">
        <v>6.5859108459523596E-5</v>
      </c>
    </row>
    <row r="129" spans="5:8" x14ac:dyDescent="0.25">
      <c r="E129" s="1">
        <v>45136.96875</v>
      </c>
      <c r="F129" s="4">
        <v>6.4085630971233697E-5</v>
      </c>
      <c r="G129" s="4">
        <v>4.9453539707733599E-5</v>
      </c>
      <c r="H129" s="4">
        <v>4.8807119127861501E-5</v>
      </c>
    </row>
    <row r="130" spans="5:8" x14ac:dyDescent="0.25">
      <c r="E130" s="1">
        <v>45136.979166666664</v>
      </c>
      <c r="F130" s="4">
        <v>8.1269653207969794E-5</v>
      </c>
      <c r="G130" s="4">
        <v>6.4957889842350597E-5</v>
      </c>
      <c r="H130" s="4">
        <v>6.5386918796706103E-5</v>
      </c>
    </row>
    <row r="131" spans="5:8" x14ac:dyDescent="0.25">
      <c r="E131" s="1">
        <v>45136.989583333336</v>
      </c>
      <c r="F131" s="4">
        <v>9.8382996758118298E-5</v>
      </c>
      <c r="G131" s="4">
        <v>6.8992401869000404E-5</v>
      </c>
      <c r="H131" s="4">
        <v>6.7775396256641494E-5</v>
      </c>
    </row>
    <row r="132" spans="5:8" x14ac:dyDescent="0.25">
      <c r="E132" s="1">
        <v>45137</v>
      </c>
      <c r="F132" s="4">
        <v>6.9010049354083501E-5</v>
      </c>
      <c r="G132" s="4">
        <v>5.3529251885971698E-5</v>
      </c>
      <c r="H132" s="4">
        <v>5.35520665898492E-5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storm4_results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2025-10-23T18:17:20Z</dcterms:created>
  <dcterms:modified xsi:type="dcterms:W3CDTF">2025-12-11T00:52:35Z</dcterms:modified>
</cp:coreProperties>
</file>