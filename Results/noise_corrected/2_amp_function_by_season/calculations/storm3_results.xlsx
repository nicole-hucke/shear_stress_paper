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B4F37B2B-325C-4C76-8EF7-F9249C11368C}" xr6:coauthVersionLast="47" xr6:coauthVersionMax="47" xr10:uidLastSave="{00000000-0000-0000-0000-000000000000}"/>
  <bookViews>
    <workbookView xWindow="-120" yWindow="-120" windowWidth="29040" windowHeight="15720" xr2:uid="{ACBE6CE9-2E59-4EB0-85F4-02C616FF90B4}"/>
  </bookViews>
  <sheets>
    <sheet name="storm3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C62" i="1"/>
  <c r="B63" i="1"/>
  <c r="C63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5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1" i="1"/>
  <c r="A52" i="1"/>
  <c r="A53" i="1"/>
  <c r="A54" i="1"/>
  <c r="A55" i="1"/>
  <c r="A56" i="1"/>
  <c r="A57" i="1"/>
  <c r="A58" i="1"/>
  <c r="A59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35" i="1"/>
</calcChain>
</file>

<file path=xl/sharedStrings.xml><?xml version="1.0" encoding="utf-8"?>
<sst xmlns="http://schemas.openxmlformats.org/spreadsheetml/2006/main" count="62" uniqueCount="48">
  <si>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</si>
  <si>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</si>
  <si>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</si>
  <si>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</si>
  <si>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</si>
  <si>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</si>
  <si>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</si>
  <si>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</si>
  <si>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</si>
  <si>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</si>
  <si>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</si>
  <si>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</si>
  <si>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</si>
  <si>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</si>
  <si>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</si>
  <si>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</si>
  <si>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</si>
  <si>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</si>
  <si>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</si>
  <si>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</si>
  <si>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</si>
  <si>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</si>
  <si>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</si>
  <si>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</si>
  <si>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</si>
  <si>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</si>
  <si>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</si>
  <si>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</si>
  <si>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</si>
  <si>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</si>
  <si>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</si>
  <si>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</si>
  <si>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</si>
  <si>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</si>
  <si>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</si>
  <si>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</si>
  <si>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</si>
  <si>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</si>
  <si>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</si>
  <si>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</si>
  <si>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</si>
  <si>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</si>
  <si>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</si>
  <si>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</si>
  <si>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</si>
  <si>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linear</t>
  </si>
  <si>
    <t>log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</si>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</sst>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889586790718371E-2"/>
          <c:y val="0.20980568011958148"/>
          <c:w val="0.82940853879972076"/>
          <c:h val="0.6400103574497133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storm3_results!$F$35:$F$131</c:f>
              <c:numCache>
                <c:formatCode>0.00E+00</c:formatCode>
                <c:ptCount val="97"/>
                <c:pt idx="0">
                  <c:v>2.08679206339447E-8</c:v>
                </c:pt>
                <c:pt idx="1">
                  <c:v>2.5067641795970801E-8</c:v>
                </c:pt>
                <c:pt idx="2">
                  <c:v>1.7594067479801701E-8</c:v>
                </c:pt>
                <c:pt idx="3">
                  <c:v>1.1520902210338401E-8</c:v>
                </c:pt>
                <c:pt idx="4">
                  <c:v>1.73181760643576E-8</c:v>
                </c:pt>
                <c:pt idx="5">
                  <c:v>1.3861372170813401E-8</c:v>
                </c:pt>
                <c:pt idx="6">
                  <c:v>1.7379699605599699E-8</c:v>
                </c:pt>
                <c:pt idx="7">
                  <c:v>1.9817270241934502E-8</c:v>
                </c:pt>
                <c:pt idx="8">
                  <c:v>2.1170675392527701E-8</c:v>
                </c:pt>
                <c:pt idx="9">
                  <c:v>1.7242505459809501E-8</c:v>
                </c:pt>
                <c:pt idx="10">
                  <c:v>1.35743675942321E-8</c:v>
                </c:pt>
                <c:pt idx="11">
                  <c:v>1.4772012007367099E-8</c:v>
                </c:pt>
                <c:pt idx="12">
                  <c:v>1.29305830131812E-8</c:v>
                </c:pt>
                <c:pt idx="13">
                  <c:v>1.5842012023537899E-8</c:v>
                </c:pt>
                <c:pt idx="14">
                  <c:v>1.9850834029230498E-8</c:v>
                </c:pt>
                <c:pt idx="15">
                  <c:v>1.16789922676441E-8</c:v>
                </c:pt>
                <c:pt idx="16">
                  <c:v>9.4925952184214506E-9</c:v>
                </c:pt>
                <c:pt idx="17">
                  <c:v>1.15248404721316E-8</c:v>
                </c:pt>
                <c:pt idx="18">
                  <c:v>1.5013900722201999E-8</c:v>
                </c:pt>
                <c:pt idx="19">
                  <c:v>1.4562433557529699E-8</c:v>
                </c:pt>
                <c:pt idx="20">
                  <c:v>1.29347352580495E-8</c:v>
                </c:pt>
                <c:pt idx="21">
                  <c:v>1.45156377391152E-8</c:v>
                </c:pt>
                <c:pt idx="22">
                  <c:v>1.00612811281148E-8</c:v>
                </c:pt>
                <c:pt idx="23">
                  <c:v>1.09222670926897E-8</c:v>
                </c:pt>
                <c:pt idx="24">
                  <c:v>1.30593320397655E-8</c:v>
                </c:pt>
                <c:pt idx="25">
                  <c:v>1.21468056690243E-8</c:v>
                </c:pt>
                <c:pt idx="26">
                  <c:v>1.02844136122742E-8</c:v>
                </c:pt>
                <c:pt idx="27">
                  <c:v>9.7416325055494695E-9</c:v>
                </c:pt>
                <c:pt idx="28">
                  <c:v>1.14327944707451E-8</c:v>
                </c:pt>
                <c:pt idx="29">
                  <c:v>9.5267729720812402E-9</c:v>
                </c:pt>
                <c:pt idx="30">
                  <c:v>9.9105736620194694E-9</c:v>
                </c:pt>
                <c:pt idx="31">
                  <c:v>1.1091989786575401E-8</c:v>
                </c:pt>
                <c:pt idx="32">
                  <c:v>1.3062474946209101E-8</c:v>
                </c:pt>
                <c:pt idx="33">
                  <c:v>1.3348679805796E-8</c:v>
                </c:pt>
                <c:pt idx="34">
                  <c:v>1.18194980557907E-8</c:v>
                </c:pt>
                <c:pt idx="35">
                  <c:v>1.06206101283769E-8</c:v>
                </c:pt>
                <c:pt idx="36">
                  <c:v>7.40609733328566E-9</c:v>
                </c:pt>
                <c:pt idx="37">
                  <c:v>8.4461589863701507E-9</c:v>
                </c:pt>
                <c:pt idx="38">
                  <c:v>6.1974236192305796E-9</c:v>
                </c:pt>
                <c:pt idx="39">
                  <c:v>6.9174104480876099E-9</c:v>
                </c:pt>
                <c:pt idx="40">
                  <c:v>6.32816515555179E-9</c:v>
                </c:pt>
                <c:pt idx="41">
                  <c:v>7.28540229665392E-9</c:v>
                </c:pt>
                <c:pt idx="42">
                  <c:v>1.0095850280173401E-8</c:v>
                </c:pt>
                <c:pt idx="43">
                  <c:v>8.7185632776942095E-9</c:v>
                </c:pt>
                <c:pt idx="44">
                  <c:v>8.34725172528678E-9</c:v>
                </c:pt>
                <c:pt idx="45">
                  <c:v>7.4372115329053898E-9</c:v>
                </c:pt>
                <c:pt idx="46">
                  <c:v>9.9835595857672397E-9</c:v>
                </c:pt>
                <c:pt idx="47">
                  <c:v>1.1165384985735599E-8</c:v>
                </c:pt>
                <c:pt idx="48">
                  <c:v>6.9466293265400496E-9</c:v>
                </c:pt>
                <c:pt idx="49">
                  <c:v>6.8117547066147198E-9</c:v>
                </c:pt>
                <c:pt idx="50">
                  <c:v>1.0063859852835099E-8</c:v>
                </c:pt>
                <c:pt idx="51">
                  <c:v>1.2842809199053001E-8</c:v>
                </c:pt>
                <c:pt idx="52">
                  <c:v>3.5780196042316697E-8</c:v>
                </c:pt>
                <c:pt idx="53">
                  <c:v>1.30816767464494E-7</c:v>
                </c:pt>
                <c:pt idx="54">
                  <c:v>1.5853121918232999E-7</c:v>
                </c:pt>
                <c:pt idx="55">
                  <c:v>5.9807526318119304E-7</c:v>
                </c:pt>
                <c:pt idx="56">
                  <c:v>1.2616159790631901E-5</c:v>
                </c:pt>
                <c:pt idx="57" formatCode="General">
                  <c:v>2.05117605670511E-4</c:v>
                </c:pt>
                <c:pt idx="58" formatCode="General">
                  <c:v>1.63328311290035E-3</c:v>
                </c:pt>
                <c:pt idx="59" formatCode="General">
                  <c:v>6.7965607237199599E-3</c:v>
                </c:pt>
                <c:pt idx="60" formatCode="General">
                  <c:v>1.1009406946900099E-2</c:v>
                </c:pt>
                <c:pt idx="61" formatCode="General">
                  <c:v>8.9943480211758207E-3</c:v>
                </c:pt>
                <c:pt idx="62" formatCode="General">
                  <c:v>9.0417129480271693E-3</c:v>
                </c:pt>
                <c:pt idx="63" formatCode="General">
                  <c:v>7.9928147097117E-3</c:v>
                </c:pt>
                <c:pt idx="64" formatCode="General">
                  <c:v>5.4624617327883604E-3</c:v>
                </c:pt>
                <c:pt idx="65" formatCode="General">
                  <c:v>3.2876564977182398E-3</c:v>
                </c:pt>
                <c:pt idx="66" formatCode="General">
                  <c:v>2.3816785486162899E-3</c:v>
                </c:pt>
                <c:pt idx="67" formatCode="General">
                  <c:v>1.2548875026224501E-3</c:v>
                </c:pt>
                <c:pt idx="68" formatCode="General">
                  <c:v>6.8274708682035997E-4</c:v>
                </c:pt>
                <c:pt idx="69" formatCode="General">
                  <c:v>5.4547237763573103E-4</c:v>
                </c:pt>
                <c:pt idx="70" formatCode="General">
                  <c:v>4.5094874490155998E-4</c:v>
                </c:pt>
                <c:pt idx="71" formatCode="General">
                  <c:v>2.8259038918480601E-4</c:v>
                </c:pt>
                <c:pt idx="72" formatCode="General">
                  <c:v>3.6428215953024698E-4</c:v>
                </c:pt>
                <c:pt idx="73" formatCode="General">
                  <c:v>1.99936701875895E-4</c:v>
                </c:pt>
                <c:pt idx="74">
                  <c:v>7.2645406357815107E-5</c:v>
                </c:pt>
                <c:pt idx="75">
                  <c:v>7.56159547780217E-5</c:v>
                </c:pt>
                <c:pt idx="76">
                  <c:v>4.5464583434314597E-5</c:v>
                </c:pt>
                <c:pt idx="77">
                  <c:v>4.915233559206E-5</c:v>
                </c:pt>
                <c:pt idx="78">
                  <c:v>7.5285953536546199E-5</c:v>
                </c:pt>
                <c:pt idx="79">
                  <c:v>2.36274514213945E-5</c:v>
                </c:pt>
                <c:pt idx="80">
                  <c:v>1.30656236994048E-5</c:v>
                </c:pt>
                <c:pt idx="81">
                  <c:v>1.62552722631288E-5</c:v>
                </c:pt>
                <c:pt idx="82">
                  <c:v>8.4617179272708406E-6</c:v>
                </c:pt>
                <c:pt idx="83">
                  <c:v>2.72060944319374E-6</c:v>
                </c:pt>
                <c:pt idx="84">
                  <c:v>8.6198066168450707E-6</c:v>
                </c:pt>
                <c:pt idx="85">
                  <c:v>9.8737680565131194E-6</c:v>
                </c:pt>
                <c:pt idx="86">
                  <c:v>3.62543062105412E-6</c:v>
                </c:pt>
                <c:pt idx="87">
                  <c:v>5.1770196379375703E-6</c:v>
                </c:pt>
                <c:pt idx="88">
                  <c:v>4.1364578452331496E-6</c:v>
                </c:pt>
                <c:pt idx="89">
                  <c:v>2.24225319101812E-6</c:v>
                </c:pt>
                <c:pt idx="90">
                  <c:v>1.1273321181959501E-6</c:v>
                </c:pt>
                <c:pt idx="91">
                  <c:v>9.824868098894941E-7</c:v>
                </c:pt>
                <c:pt idx="92">
                  <c:v>7.1336422085263801E-7</c:v>
                </c:pt>
                <c:pt idx="93">
                  <c:v>6.4931726402399996E-7</c:v>
                </c:pt>
                <c:pt idx="94">
                  <c:v>5.2154391813663602E-7</c:v>
                </c:pt>
                <c:pt idx="95">
                  <c:v>6.7490505910082797E-7</c:v>
                </c:pt>
                <c:pt idx="96">
                  <c:v>6.6541966892078898E-7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A-46A6-8B0B-5D860EB8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storm3_results!$G$35:$G$131</c:f>
              <c:numCache>
                <c:formatCode>0.00E+00</c:formatCode>
                <c:ptCount val="97"/>
                <c:pt idx="0">
                  <c:v>1.45527826365573E-8</c:v>
                </c:pt>
                <c:pt idx="1">
                  <c:v>1.6993931409653301E-8</c:v>
                </c:pt>
                <c:pt idx="2">
                  <c:v>1.1110559936786401E-8</c:v>
                </c:pt>
                <c:pt idx="3">
                  <c:v>9.02844072250232E-9</c:v>
                </c:pt>
                <c:pt idx="4">
                  <c:v>1.22777388432218E-8</c:v>
                </c:pt>
                <c:pt idx="5">
                  <c:v>1.10118657841951E-8</c:v>
                </c:pt>
                <c:pt idx="6">
                  <c:v>1.1343085245931999E-8</c:v>
                </c:pt>
                <c:pt idx="7">
                  <c:v>1.4062870728409799E-8</c:v>
                </c:pt>
                <c:pt idx="8">
                  <c:v>1.5825863676166399E-8</c:v>
                </c:pt>
                <c:pt idx="9">
                  <c:v>1.1932987192739699E-8</c:v>
                </c:pt>
                <c:pt idx="10">
                  <c:v>9.9537092479160294E-9</c:v>
                </c:pt>
                <c:pt idx="11">
                  <c:v>1.02035026895234E-8</c:v>
                </c:pt>
                <c:pt idx="12">
                  <c:v>9.8920389735566796E-9</c:v>
                </c:pt>
                <c:pt idx="13">
                  <c:v>1.23195177617824E-8</c:v>
                </c:pt>
                <c:pt idx="14">
                  <c:v>1.3024330135135601E-8</c:v>
                </c:pt>
                <c:pt idx="15">
                  <c:v>9.2950421705949502E-9</c:v>
                </c:pt>
                <c:pt idx="16">
                  <c:v>7.5348576440005792E-9</c:v>
                </c:pt>
                <c:pt idx="17">
                  <c:v>8.7648104339019099E-9</c:v>
                </c:pt>
                <c:pt idx="18">
                  <c:v>1.10856575200662E-8</c:v>
                </c:pt>
                <c:pt idx="19">
                  <c:v>1.0820789576809301E-8</c:v>
                </c:pt>
                <c:pt idx="20">
                  <c:v>9.0666964647597404E-9</c:v>
                </c:pt>
                <c:pt idx="21">
                  <c:v>9.7350771525513093E-9</c:v>
                </c:pt>
                <c:pt idx="22">
                  <c:v>7.5838404521162604E-9</c:v>
                </c:pt>
                <c:pt idx="23">
                  <c:v>7.9258275182130999E-9</c:v>
                </c:pt>
                <c:pt idx="24">
                  <c:v>1.04207326879707E-8</c:v>
                </c:pt>
                <c:pt idx="25">
                  <c:v>8.5784976215300098E-9</c:v>
                </c:pt>
                <c:pt idx="26">
                  <c:v>7.4158309200573703E-9</c:v>
                </c:pt>
                <c:pt idx="27">
                  <c:v>7.8000359752117498E-9</c:v>
                </c:pt>
                <c:pt idx="28">
                  <c:v>7.0828735794765198E-9</c:v>
                </c:pt>
                <c:pt idx="29">
                  <c:v>6.4513988984525204E-9</c:v>
                </c:pt>
                <c:pt idx="30">
                  <c:v>7.2818728205971797E-9</c:v>
                </c:pt>
                <c:pt idx="31">
                  <c:v>8.0462237070598607E-9</c:v>
                </c:pt>
                <c:pt idx="32">
                  <c:v>9.1412830066434794E-9</c:v>
                </c:pt>
                <c:pt idx="33">
                  <c:v>8.6644236888439392E-9</c:v>
                </c:pt>
                <c:pt idx="34">
                  <c:v>8.1380588993041893E-9</c:v>
                </c:pt>
                <c:pt idx="35">
                  <c:v>6.50727389293259E-9</c:v>
                </c:pt>
                <c:pt idx="36">
                  <c:v>5.0829816647472298E-9</c:v>
                </c:pt>
                <c:pt idx="37">
                  <c:v>5.47000075402761E-9</c:v>
                </c:pt>
                <c:pt idx="38">
                  <c:v>4.72799005264294E-9</c:v>
                </c:pt>
                <c:pt idx="39">
                  <c:v>4.6877305286759502E-9</c:v>
                </c:pt>
                <c:pt idx="40">
                  <c:v>4.6070326879360398E-9</c:v>
                </c:pt>
                <c:pt idx="41">
                  <c:v>5.7395984617146599E-9</c:v>
                </c:pt>
                <c:pt idx="42">
                  <c:v>6.4907686245721097E-9</c:v>
                </c:pt>
                <c:pt idx="43">
                  <c:v>6.3293531595371501E-9</c:v>
                </c:pt>
                <c:pt idx="44">
                  <c:v>5.9759176962636097E-9</c:v>
                </c:pt>
                <c:pt idx="45">
                  <c:v>5.5646273014940503E-9</c:v>
                </c:pt>
                <c:pt idx="46">
                  <c:v>7.0267352286048103E-9</c:v>
                </c:pt>
                <c:pt idx="47">
                  <c:v>8.1120448806285496E-9</c:v>
                </c:pt>
                <c:pt idx="48">
                  <c:v>5.7165196891903698E-9</c:v>
                </c:pt>
                <c:pt idx="49">
                  <c:v>4.6825188138704401E-9</c:v>
                </c:pt>
                <c:pt idx="50">
                  <c:v>6.84540696641487E-9</c:v>
                </c:pt>
                <c:pt idx="51">
                  <c:v>9.2656323176021903E-9</c:v>
                </c:pt>
                <c:pt idx="52">
                  <c:v>2.3196453906791301E-8</c:v>
                </c:pt>
                <c:pt idx="53">
                  <c:v>1.00964698710095E-7</c:v>
                </c:pt>
                <c:pt idx="54">
                  <c:v>1.2432276051555401E-7</c:v>
                </c:pt>
                <c:pt idx="55">
                  <c:v>4.16410089823409E-7</c:v>
                </c:pt>
                <c:pt idx="56">
                  <c:v>8.6544649020026392E-6</c:v>
                </c:pt>
                <c:pt idx="57" formatCode="General">
                  <c:v>1.63404252304588E-4</c:v>
                </c:pt>
                <c:pt idx="58" formatCode="General">
                  <c:v>1.25180167747011E-3</c:v>
                </c:pt>
                <c:pt idx="59" formatCode="General">
                  <c:v>4.4555820701342201E-3</c:v>
                </c:pt>
                <c:pt idx="60" formatCode="General">
                  <c:v>7.9700859123076097E-3</c:v>
                </c:pt>
                <c:pt idx="61" formatCode="General">
                  <c:v>7.3498348235841596E-3</c:v>
                </c:pt>
                <c:pt idx="62" formatCode="General">
                  <c:v>6.6699275342222402E-3</c:v>
                </c:pt>
                <c:pt idx="63" formatCode="General">
                  <c:v>6.3767171823644999E-3</c:v>
                </c:pt>
                <c:pt idx="64" formatCode="General">
                  <c:v>4.0903457913729997E-3</c:v>
                </c:pt>
                <c:pt idx="65" formatCode="General">
                  <c:v>2.6058417642154902E-3</c:v>
                </c:pt>
                <c:pt idx="66" formatCode="General">
                  <c:v>1.65565535718085E-3</c:v>
                </c:pt>
                <c:pt idx="67" formatCode="General">
                  <c:v>9.5942405127783501E-4</c:v>
                </c:pt>
                <c:pt idx="68" formatCode="General">
                  <c:v>5.2223097713969603E-4</c:v>
                </c:pt>
                <c:pt idx="69" formatCode="General">
                  <c:v>3.9229049757303399E-4</c:v>
                </c:pt>
                <c:pt idx="70" formatCode="General">
                  <c:v>2.9796641496116199E-4</c:v>
                </c:pt>
                <c:pt idx="71" formatCode="General">
                  <c:v>1.93269127027081E-4</c:v>
                </c:pt>
                <c:pt idx="72" formatCode="General">
                  <c:v>2.40544330247799E-4</c:v>
                </c:pt>
                <c:pt idx="73" formatCode="General">
                  <c:v>1.5881093547220399E-4</c:v>
                </c:pt>
                <c:pt idx="74">
                  <c:v>5.0985964398630101E-5</c:v>
                </c:pt>
                <c:pt idx="75">
                  <c:v>5.4033050677597897E-5</c:v>
                </c:pt>
                <c:pt idx="76">
                  <c:v>2.93148134986538E-5</c:v>
                </c:pt>
                <c:pt idx="77">
                  <c:v>3.2330376324374099E-5</c:v>
                </c:pt>
                <c:pt idx="78">
                  <c:v>4.0580614477313299E-5</c:v>
                </c:pt>
                <c:pt idx="79">
                  <c:v>1.5705980765168301E-5</c:v>
                </c:pt>
                <c:pt idx="80">
                  <c:v>8.77531800676668E-6</c:v>
                </c:pt>
                <c:pt idx="81">
                  <c:v>1.0637917979395899E-5</c:v>
                </c:pt>
                <c:pt idx="82">
                  <c:v>5.7491088964468698E-6</c:v>
                </c:pt>
                <c:pt idx="83">
                  <c:v>1.9582358708784901E-6</c:v>
                </c:pt>
                <c:pt idx="84">
                  <c:v>5.7685786368914701E-6</c:v>
                </c:pt>
                <c:pt idx="85">
                  <c:v>6.1346768815599898E-6</c:v>
                </c:pt>
                <c:pt idx="86">
                  <c:v>2.5855560562754599E-6</c:v>
                </c:pt>
                <c:pt idx="87">
                  <c:v>3.1745913603245098E-6</c:v>
                </c:pt>
                <c:pt idx="88">
                  <c:v>2.6973673674495002E-6</c:v>
                </c:pt>
                <c:pt idx="89">
                  <c:v>1.6233024868994E-6</c:v>
                </c:pt>
                <c:pt idx="90">
                  <c:v>7.4225391034485196E-7</c:v>
                </c:pt>
                <c:pt idx="91">
                  <c:v>5.0977265297958797E-7</c:v>
                </c:pt>
                <c:pt idx="92">
                  <c:v>4.9967568047369495E-7</c:v>
                </c:pt>
                <c:pt idx="93">
                  <c:v>4.11723051732112E-7</c:v>
                </c:pt>
                <c:pt idx="94">
                  <c:v>3.7467868921224398E-7</c:v>
                </c:pt>
                <c:pt idx="95">
                  <c:v>4.1927363607223701E-7</c:v>
                </c:pt>
                <c:pt idx="96">
                  <c:v>4.4769911489172599E-7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7E-4086-9C29-E90BD6483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storm3_results!$H$35:$H$131</c:f>
              <c:numCache>
                <c:formatCode>0.00E+00</c:formatCode>
                <c:ptCount val="97"/>
                <c:pt idx="0">
                  <c:v>1.44066128501846E-8</c:v>
                </c:pt>
                <c:pt idx="1">
                  <c:v>1.6481765230170301E-8</c:v>
                </c:pt>
                <c:pt idx="2">
                  <c:v>1.0702530073949501E-8</c:v>
                </c:pt>
                <c:pt idx="3">
                  <c:v>9.0574578898280608E-9</c:v>
                </c:pt>
                <c:pt idx="4">
                  <c:v>1.1891434254351E-8</c:v>
                </c:pt>
                <c:pt idx="5">
                  <c:v>1.0985248006165E-8</c:v>
                </c:pt>
                <c:pt idx="6">
                  <c:v>1.12600482521935E-8</c:v>
                </c:pt>
                <c:pt idx="7">
                  <c:v>1.3347457715399E-8</c:v>
                </c:pt>
                <c:pt idx="8">
                  <c:v>1.5436239139985899E-8</c:v>
                </c:pt>
                <c:pt idx="9">
                  <c:v>1.17347870714543E-8</c:v>
                </c:pt>
                <c:pt idx="10">
                  <c:v>9.7997015836837508E-9</c:v>
                </c:pt>
                <c:pt idx="11">
                  <c:v>1.00688403114362E-8</c:v>
                </c:pt>
                <c:pt idx="12">
                  <c:v>9.9234654398772607E-9</c:v>
                </c:pt>
                <c:pt idx="13">
                  <c:v>1.21883017770695E-8</c:v>
                </c:pt>
                <c:pt idx="14">
                  <c:v>1.2876765836887899E-8</c:v>
                </c:pt>
                <c:pt idx="15">
                  <c:v>9.2133237857039204E-9</c:v>
                </c:pt>
                <c:pt idx="16">
                  <c:v>7.5066093998211208E-9</c:v>
                </c:pt>
                <c:pt idx="17">
                  <c:v>8.5507922259153799E-9</c:v>
                </c:pt>
                <c:pt idx="18">
                  <c:v>1.09391693441101E-8</c:v>
                </c:pt>
                <c:pt idx="19">
                  <c:v>1.06373187943284E-8</c:v>
                </c:pt>
                <c:pt idx="20">
                  <c:v>8.8524441629148807E-9</c:v>
                </c:pt>
                <c:pt idx="21">
                  <c:v>9.7062286384277898E-9</c:v>
                </c:pt>
                <c:pt idx="22">
                  <c:v>7.4776855701739697E-9</c:v>
                </c:pt>
                <c:pt idx="23">
                  <c:v>7.9085810846291201E-9</c:v>
                </c:pt>
                <c:pt idx="24">
                  <c:v>1.0275560333004301E-8</c:v>
                </c:pt>
                <c:pt idx="25">
                  <c:v>8.4399986782839705E-9</c:v>
                </c:pt>
                <c:pt idx="26">
                  <c:v>7.29414543896144E-9</c:v>
                </c:pt>
                <c:pt idx="27">
                  <c:v>7.7577005294362308E-9</c:v>
                </c:pt>
                <c:pt idx="28">
                  <c:v>6.9252956896037996E-9</c:v>
                </c:pt>
                <c:pt idx="29">
                  <c:v>6.4458549186617302E-9</c:v>
                </c:pt>
                <c:pt idx="30">
                  <c:v>7.1496251672903197E-9</c:v>
                </c:pt>
                <c:pt idx="31">
                  <c:v>7.9792300750312906E-9</c:v>
                </c:pt>
                <c:pt idx="32">
                  <c:v>9.06250368359216E-9</c:v>
                </c:pt>
                <c:pt idx="33">
                  <c:v>8.6454598933598705E-9</c:v>
                </c:pt>
                <c:pt idx="34">
                  <c:v>7.8105278519879504E-9</c:v>
                </c:pt>
                <c:pt idx="35">
                  <c:v>6.2437535947450096E-9</c:v>
                </c:pt>
                <c:pt idx="36">
                  <c:v>5.0427926111127498E-9</c:v>
                </c:pt>
                <c:pt idx="37">
                  <c:v>5.3460048542051102E-9</c:v>
                </c:pt>
                <c:pt idx="38">
                  <c:v>4.7060936602565104E-9</c:v>
                </c:pt>
                <c:pt idx="39">
                  <c:v>4.5779079089452702E-9</c:v>
                </c:pt>
                <c:pt idx="40">
                  <c:v>4.5918475828262896E-9</c:v>
                </c:pt>
                <c:pt idx="41">
                  <c:v>5.6509632883029799E-9</c:v>
                </c:pt>
                <c:pt idx="42">
                  <c:v>6.4023906307448604E-9</c:v>
                </c:pt>
                <c:pt idx="43">
                  <c:v>6.15037878880983E-9</c:v>
                </c:pt>
                <c:pt idx="44">
                  <c:v>5.8063179443663297E-9</c:v>
                </c:pt>
                <c:pt idx="45">
                  <c:v>5.4778019322786803E-9</c:v>
                </c:pt>
                <c:pt idx="46">
                  <c:v>6.89016388329679E-9</c:v>
                </c:pt>
                <c:pt idx="47">
                  <c:v>8.0238818322631193E-9</c:v>
                </c:pt>
                <c:pt idx="48">
                  <c:v>5.6674283648872199E-9</c:v>
                </c:pt>
                <c:pt idx="49">
                  <c:v>4.5132726888042003E-9</c:v>
                </c:pt>
                <c:pt idx="50">
                  <c:v>6.6806401961204599E-9</c:v>
                </c:pt>
                <c:pt idx="51">
                  <c:v>9.1296565686098997E-9</c:v>
                </c:pt>
                <c:pt idx="52">
                  <c:v>2.3255763140541299E-8</c:v>
                </c:pt>
                <c:pt idx="53">
                  <c:v>9.92270244525908E-8</c:v>
                </c:pt>
                <c:pt idx="54">
                  <c:v>1.2201232736340701E-7</c:v>
                </c:pt>
                <c:pt idx="55">
                  <c:v>4.0364332862755902E-7</c:v>
                </c:pt>
                <c:pt idx="56">
                  <c:v>8.5031135066020596E-6</c:v>
                </c:pt>
                <c:pt idx="57" formatCode="General">
                  <c:v>1.6231017287086301E-4</c:v>
                </c:pt>
                <c:pt idx="58" formatCode="General">
                  <c:v>1.2599092890278999E-3</c:v>
                </c:pt>
                <c:pt idx="59" formatCode="General">
                  <c:v>4.4166965562598198E-3</c:v>
                </c:pt>
                <c:pt idx="60" formatCode="General">
                  <c:v>7.8558091078931302E-3</c:v>
                </c:pt>
                <c:pt idx="61" formatCode="General">
                  <c:v>7.2506506127722097E-3</c:v>
                </c:pt>
                <c:pt idx="62" formatCode="General">
                  <c:v>6.5501312461542002E-3</c:v>
                </c:pt>
                <c:pt idx="63" formatCode="General">
                  <c:v>6.2249847404091899E-3</c:v>
                </c:pt>
                <c:pt idx="64" formatCode="General">
                  <c:v>4.1186212620550897E-3</c:v>
                </c:pt>
                <c:pt idx="65" formatCode="General">
                  <c:v>2.60414846254545E-3</c:v>
                </c:pt>
                <c:pt idx="66" formatCode="General">
                  <c:v>1.6056248710924999E-3</c:v>
                </c:pt>
                <c:pt idx="67" formatCode="General">
                  <c:v>9.4942941054271496E-4</c:v>
                </c:pt>
                <c:pt idx="68" formatCode="General">
                  <c:v>5.1525208836084198E-4</c:v>
                </c:pt>
                <c:pt idx="69" formatCode="General">
                  <c:v>3.8322979368790101E-4</c:v>
                </c:pt>
                <c:pt idx="70" formatCode="General">
                  <c:v>2.9198288635133899E-4</c:v>
                </c:pt>
                <c:pt idx="71" formatCode="General">
                  <c:v>1.9338695347932401E-4</c:v>
                </c:pt>
                <c:pt idx="72" formatCode="General">
                  <c:v>2.35452156714537E-4</c:v>
                </c:pt>
                <c:pt idx="73" formatCode="General">
                  <c:v>1.58555042502395E-4</c:v>
                </c:pt>
                <c:pt idx="74">
                  <c:v>5.0794349781337597E-5</c:v>
                </c:pt>
                <c:pt idx="75">
                  <c:v>5.2433128207794903E-5</c:v>
                </c:pt>
                <c:pt idx="76">
                  <c:v>2.9015048710938999E-5</c:v>
                </c:pt>
                <c:pt idx="77">
                  <c:v>3.1594489524102599E-5</c:v>
                </c:pt>
                <c:pt idx="78">
                  <c:v>3.9677423467233298E-5</c:v>
                </c:pt>
                <c:pt idx="79">
                  <c:v>1.5279521577596499E-5</c:v>
                </c:pt>
                <c:pt idx="80">
                  <c:v>8.7302394871148802E-6</c:v>
                </c:pt>
                <c:pt idx="81">
                  <c:v>1.0440718273887999E-5</c:v>
                </c:pt>
                <c:pt idx="82">
                  <c:v>5.73681912038392E-6</c:v>
                </c:pt>
                <c:pt idx="83">
                  <c:v>1.9247524491630602E-6</c:v>
                </c:pt>
                <c:pt idx="84">
                  <c:v>5.8546820975153499E-6</c:v>
                </c:pt>
                <c:pt idx="85">
                  <c:v>6.2000553674498902E-6</c:v>
                </c:pt>
                <c:pt idx="86">
                  <c:v>2.58084513039978E-6</c:v>
                </c:pt>
                <c:pt idx="87">
                  <c:v>3.0173175094738999E-6</c:v>
                </c:pt>
                <c:pt idx="88">
                  <c:v>2.66184554854633E-6</c:v>
                </c:pt>
                <c:pt idx="89">
                  <c:v>1.59912114367056E-6</c:v>
                </c:pt>
                <c:pt idx="90">
                  <c:v>7.4792324404798199E-7</c:v>
                </c:pt>
                <c:pt idx="91">
                  <c:v>5.07336801346938E-7</c:v>
                </c:pt>
                <c:pt idx="92">
                  <c:v>4.8813559378618197E-7</c:v>
                </c:pt>
                <c:pt idx="93">
                  <c:v>4.0816101818634101E-7</c:v>
                </c:pt>
                <c:pt idx="94">
                  <c:v>3.6512831001573099E-7</c:v>
                </c:pt>
                <c:pt idx="95">
                  <c:v>4.0834177343066002E-7</c:v>
                </c:pt>
                <c:pt idx="96">
                  <c:v>4.44382696822977E-7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5-49B2-8A25-5B8FC904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33</xdr:row>
      <xdr:rowOff>38100</xdr:rowOff>
    </xdr:from>
    <xdr:to>
      <xdr:col>17</xdr:col>
      <xdr:colOff>247651</xdr:colOff>
      <xdr:row>44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770B3-D282-46AB-9D6D-6F60C9D10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104774</xdr:colOff>
      <xdr:row>46</xdr:row>
      <xdr:rowOff>19050</xdr:rowOff>
    </xdr:from>
    <xdr:to>
      <xdr:col>17</xdr:col>
      <xdr:colOff>200025</xdr:colOff>
      <xdr:row>57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3F434-1287-4807-9815-3482D12B1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114299</xdr:colOff>
      <xdr:row>58</xdr:row>
      <xdr:rowOff>171450</xdr:rowOff>
    </xdr:from>
    <xdr:to>
      <xdr:col>17</xdr:col>
      <xdr:colOff>209550</xdr:colOff>
      <xdr:row>70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E8F069-F983-4F15-B59D-D8748AC4B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C5CC-EE4E-4D3E-ACAE-DFF5A57EB2DF}">
  <dimension ref="A1:CT131"/>
  <sheetViews>
    <sheetView tabSelected="1" topLeftCell="A19" workbookViewId="0">
      <selection activeCell="U37" sqref="U37"/>
    </sheetView>
  </sheetViews>
  <sheetFormatPr defaultRowHeight="15" x14ac:dyDescent="0.25"/>
  <cols>
    <col min="1" max="1" width="14.85546875" customWidth="1"/>
    <col min="2" max="2" width="15.140625" customWidth="1"/>
    <col min="3" max="3" width="13.85546875" customWidth="1"/>
    <col min="5" max="5" width="12.85546875" customWidth="1"/>
    <col min="54" max="54" width="13.7109375" customWidth="1"/>
    <col min="55" max="55" width="13.28515625" customWidth="1"/>
    <col min="63" max="63" width="16.28515625" customWidth="1"/>
  </cols>
  <sheetData>
    <row r="1" spans="1:98" x14ac:dyDescent="0.25">
      <c r="B1" s="1">
        <v>44781.000694444447</v>
      </c>
      <c r="C1" s="1">
        <v>44781.011111111111</v>
      </c>
      <c r="D1" s="1">
        <v>44781.021527777775</v>
      </c>
      <c r="E1" s="1">
        <v>44781.031944444447</v>
      </c>
      <c r="F1" s="1">
        <v>44781.042361111111</v>
      </c>
      <c r="G1" s="1">
        <v>44781.052777777775</v>
      </c>
      <c r="H1" s="1">
        <v>44781.063194444447</v>
      </c>
      <c r="I1" s="1">
        <v>44781.073611111111</v>
      </c>
      <c r="J1" s="1">
        <v>44781.084027777775</v>
      </c>
      <c r="K1" s="1">
        <v>44781.094444444447</v>
      </c>
      <c r="L1" s="1">
        <v>44781.104861111111</v>
      </c>
      <c r="M1" s="1">
        <v>44781.115277777775</v>
      </c>
      <c r="N1" s="1">
        <v>44781.125694444447</v>
      </c>
      <c r="O1" s="1">
        <v>44781.136111111111</v>
      </c>
      <c r="P1" s="1">
        <v>44781.146527777775</v>
      </c>
      <c r="Q1" s="1">
        <v>44781.156944444447</v>
      </c>
      <c r="R1" s="1">
        <v>44781.167361111111</v>
      </c>
      <c r="S1" s="1">
        <v>44781.177777777775</v>
      </c>
      <c r="T1" s="1">
        <v>44781.188194444447</v>
      </c>
      <c r="U1" s="1">
        <v>44781.198611111111</v>
      </c>
      <c r="V1" s="1">
        <v>44781.209027777775</v>
      </c>
      <c r="W1" s="1">
        <v>44781.219444444447</v>
      </c>
      <c r="X1" s="1">
        <v>44781.229861111111</v>
      </c>
      <c r="Y1" s="1">
        <v>44781.240277777775</v>
      </c>
      <c r="Z1" s="1">
        <v>44781.250694444447</v>
      </c>
      <c r="AA1" s="1">
        <v>44781.261111111111</v>
      </c>
      <c r="AB1" s="1">
        <v>44781.271527777775</v>
      </c>
      <c r="AC1" s="1">
        <v>44781.281944444447</v>
      </c>
      <c r="AD1" s="1">
        <v>44781.292361111111</v>
      </c>
      <c r="AE1" s="1">
        <v>44781.302777777775</v>
      </c>
      <c r="AF1" s="1">
        <v>44781.313194444447</v>
      </c>
      <c r="AG1" s="1">
        <v>44781.323611111111</v>
      </c>
      <c r="AH1" s="1">
        <v>44781.334027777775</v>
      </c>
      <c r="AI1" s="1">
        <v>44781.344444444447</v>
      </c>
      <c r="AJ1" s="1">
        <v>44781.354861111111</v>
      </c>
      <c r="AK1" s="1">
        <v>44781.365277777775</v>
      </c>
      <c r="AL1" s="1">
        <v>44781.375694444447</v>
      </c>
      <c r="AM1" s="1">
        <v>44781.386111111111</v>
      </c>
      <c r="AN1" s="1">
        <v>44781.396527777775</v>
      </c>
      <c r="AO1" s="1">
        <v>44781.406944444447</v>
      </c>
      <c r="AP1" s="1">
        <v>44781.417361111111</v>
      </c>
      <c r="AQ1" s="1">
        <v>44781.427777777775</v>
      </c>
      <c r="AR1" s="1">
        <v>44781.438194444447</v>
      </c>
      <c r="AS1" s="1">
        <v>44781.448611111111</v>
      </c>
      <c r="AT1" s="1">
        <v>44781.459027777775</v>
      </c>
      <c r="AU1" s="1">
        <v>44781.469444444447</v>
      </c>
      <c r="AV1" s="1">
        <v>44781.479861111111</v>
      </c>
      <c r="AW1" s="1">
        <v>44781.490277777775</v>
      </c>
      <c r="AX1" s="1">
        <v>44781.500694444447</v>
      </c>
      <c r="AY1" s="1">
        <v>44781.511111111111</v>
      </c>
      <c r="AZ1" s="1">
        <v>44781.521527777775</v>
      </c>
      <c r="BA1" s="1">
        <v>44781.531944444447</v>
      </c>
      <c r="BB1" s="1">
        <v>44781.542361111111</v>
      </c>
      <c r="BC1" s="1">
        <v>44781.552777777775</v>
      </c>
      <c r="BD1" s="1">
        <v>44781.563194444447</v>
      </c>
      <c r="BE1" s="1">
        <v>44781.573611111111</v>
      </c>
      <c r="BF1" s="1">
        <v>44781.584027777775</v>
      </c>
      <c r="BG1" s="1">
        <v>44781.594444444447</v>
      </c>
      <c r="BH1" s="1">
        <v>44781.604861111111</v>
      </c>
      <c r="BI1" s="1">
        <v>44781.615277777775</v>
      </c>
      <c r="BJ1" s="1">
        <v>44781.625694444447</v>
      </c>
      <c r="BK1" s="1">
        <v>44781.636111111111</v>
      </c>
      <c r="BL1" s="1">
        <v>44781.646527777775</v>
      </c>
      <c r="BM1" s="1">
        <v>44781.656944444447</v>
      </c>
      <c r="BN1" s="1">
        <v>44781.667361111111</v>
      </c>
      <c r="BO1" s="1">
        <v>44781.677777777775</v>
      </c>
      <c r="BP1" s="1">
        <v>44781.688194444447</v>
      </c>
      <c r="BQ1" s="1">
        <v>44781.698611111111</v>
      </c>
      <c r="BR1" s="1">
        <v>44781.709027777775</v>
      </c>
      <c r="BS1" s="1">
        <v>44781.719444444447</v>
      </c>
      <c r="BT1" s="1">
        <v>44781.729861111111</v>
      </c>
      <c r="BU1" s="1">
        <v>44781.740277777775</v>
      </c>
      <c r="BV1" s="1">
        <v>44781.750694444447</v>
      </c>
      <c r="BW1" s="1">
        <v>44781.761111111111</v>
      </c>
      <c r="BX1" s="1">
        <v>44781.771527777775</v>
      </c>
      <c r="BY1" s="1">
        <v>44781.781944444447</v>
      </c>
      <c r="BZ1" s="1">
        <v>44781.792361111111</v>
      </c>
      <c r="CA1" s="1">
        <v>44781.802777777775</v>
      </c>
      <c r="CB1" s="1">
        <v>44781.813194444447</v>
      </c>
      <c r="CC1" s="1">
        <v>44781.823611111111</v>
      </c>
      <c r="CD1" s="1">
        <v>44781.834027777775</v>
      </c>
      <c r="CE1" s="1">
        <v>44781.844444444447</v>
      </c>
      <c r="CF1" s="1">
        <v>44781.854861111111</v>
      </c>
      <c r="CG1" s="1">
        <v>44781.865277777775</v>
      </c>
      <c r="CH1" s="1">
        <v>44781.875694444447</v>
      </c>
      <c r="CI1" s="1">
        <v>44781.886111111111</v>
      </c>
      <c r="CJ1" s="1">
        <v>44781.896527777775</v>
      </c>
      <c r="CK1" s="1">
        <v>44781.906944444447</v>
      </c>
      <c r="CL1" s="1">
        <v>44781.917361111111</v>
      </c>
      <c r="CM1" s="1">
        <v>44781.927777777775</v>
      </c>
      <c r="CN1" s="1">
        <v>44781.938194444447</v>
      </c>
      <c r="CO1" s="1">
        <v>44781.948611111111</v>
      </c>
      <c r="CP1" s="1">
        <v>44781.959027777775</v>
      </c>
      <c r="CQ1" s="1">
        <v>44781.969444444447</v>
      </c>
      <c r="CR1" s="1">
        <v>44781.979861111111</v>
      </c>
      <c r="CS1" s="1">
        <v>44781.990277777775</v>
      </c>
      <c r="CT1" s="1">
        <v>44782.000694444447</v>
      </c>
    </row>
    <row r="2" spans="1:98" x14ac:dyDescent="0.25">
      <c r="A2" t="s">
        <v>0</v>
      </c>
      <c r="B2" s="4">
        <v>2.08679206339447E-8</v>
      </c>
      <c r="C2" s="4">
        <v>2.5067641795970801E-8</v>
      </c>
      <c r="D2" s="4">
        <v>1.7594067479801701E-8</v>
      </c>
      <c r="E2" s="4">
        <v>1.1520902210338401E-8</v>
      </c>
      <c r="F2" s="4">
        <v>1.73181760643576E-8</v>
      </c>
      <c r="G2" s="4">
        <v>1.3861372170813401E-8</v>
      </c>
      <c r="H2" s="4">
        <v>1.7379699605599699E-8</v>
      </c>
      <c r="I2" s="4">
        <v>1.9817270241934502E-8</v>
      </c>
      <c r="J2" s="4">
        <v>2.1170675392527701E-8</v>
      </c>
      <c r="K2" s="4">
        <v>1.7242505459809501E-8</v>
      </c>
      <c r="L2" s="4">
        <v>1.35743675942321E-8</v>
      </c>
      <c r="M2" s="4">
        <v>1.4772012007367099E-8</v>
      </c>
      <c r="N2" s="4">
        <v>1.29305830131812E-8</v>
      </c>
      <c r="O2" s="4">
        <v>1.5842012023537899E-8</v>
      </c>
      <c r="P2" s="4">
        <v>1.9850834029230498E-8</v>
      </c>
      <c r="Q2" s="4">
        <v>1.16789922676441E-8</v>
      </c>
      <c r="R2" s="4">
        <v>9.4925952184214506E-9</v>
      </c>
      <c r="S2" s="4">
        <v>1.15248404721316E-8</v>
      </c>
      <c r="T2" s="4">
        <v>1.5013900722201999E-8</v>
      </c>
      <c r="U2" s="4">
        <v>1.4562433557529699E-8</v>
      </c>
      <c r="V2" s="4">
        <v>1.29347352580495E-8</v>
      </c>
      <c r="W2" s="4">
        <v>1.45156377391152E-8</v>
      </c>
      <c r="X2" s="4">
        <v>1.00612811281148E-8</v>
      </c>
      <c r="Y2" s="4">
        <v>1.09222670926897E-8</v>
      </c>
      <c r="Z2" s="4">
        <v>1.30593320397655E-8</v>
      </c>
      <c r="AA2" s="4">
        <v>1.21468056690243E-8</v>
      </c>
      <c r="AB2" s="4">
        <v>1.02844136122742E-8</v>
      </c>
      <c r="AC2" s="4">
        <v>9.7416325055494695E-9</v>
      </c>
      <c r="AD2" s="4">
        <v>1.14327944707451E-8</v>
      </c>
      <c r="AE2" s="4">
        <v>9.5267729720812402E-9</v>
      </c>
      <c r="AF2" s="4">
        <v>9.9105736620194694E-9</v>
      </c>
      <c r="AG2" s="4">
        <v>1.1091989786575401E-8</v>
      </c>
      <c r="AH2" s="4">
        <v>1.3062474946209101E-8</v>
      </c>
      <c r="AI2" s="4">
        <v>1.3348679805796E-8</v>
      </c>
      <c r="AJ2" s="4">
        <v>1.18194980557907E-8</v>
      </c>
      <c r="AK2" s="4">
        <v>1.06206101283769E-8</v>
      </c>
      <c r="AL2" s="4">
        <v>7.40609733328566E-9</v>
      </c>
      <c r="AM2" s="4">
        <v>8.4461589863701507E-9</v>
      </c>
      <c r="AN2" s="4">
        <v>6.1974236192305796E-9</v>
      </c>
      <c r="AO2" s="4">
        <v>6.9174104480876099E-9</v>
      </c>
      <c r="AP2" s="4">
        <v>6.32816515555179E-9</v>
      </c>
      <c r="AQ2" s="4">
        <v>7.28540229665392E-9</v>
      </c>
      <c r="AR2" s="4">
        <v>1.0095850280173401E-8</v>
      </c>
      <c r="AS2" s="4">
        <v>8.7185632776942095E-9</v>
      </c>
      <c r="AT2" s="4">
        <v>8.34725172528678E-9</v>
      </c>
      <c r="AU2" s="4">
        <v>7.4372115329053898E-9</v>
      </c>
      <c r="AV2" s="4">
        <v>9.9835595857672397E-9</v>
      </c>
      <c r="AW2" s="4">
        <v>1.1165384985735599E-8</v>
      </c>
      <c r="AX2" s="4">
        <v>6.9466293265400496E-9</v>
      </c>
      <c r="AY2" s="4">
        <v>6.8117547066147198E-9</v>
      </c>
      <c r="AZ2" s="4">
        <v>1.0063859852835099E-8</v>
      </c>
      <c r="BA2" s="4">
        <v>1.2842809199053001E-8</v>
      </c>
      <c r="BB2" s="4">
        <v>3.5780196042316697E-8</v>
      </c>
      <c r="BC2" s="4">
        <v>1.30816767464494E-7</v>
      </c>
      <c r="BD2" s="4">
        <v>1.5853121918232999E-7</v>
      </c>
      <c r="BE2" s="4">
        <v>5.9807526318119304E-7</v>
      </c>
      <c r="BF2" s="4">
        <v>1.2616159790631901E-5</v>
      </c>
      <c r="BG2">
        <v>2.05117605670511E-4</v>
      </c>
      <c r="BH2">
        <v>1.63328311290035E-3</v>
      </c>
      <c r="BI2">
        <v>6.7965607237199599E-3</v>
      </c>
      <c r="BJ2">
        <v>1.1009406946900099E-2</v>
      </c>
      <c r="BK2">
        <v>8.9943480211758207E-3</v>
      </c>
      <c r="BL2">
        <v>9.0417129480271693E-3</v>
      </c>
      <c r="BM2">
        <v>7.9928147097117E-3</v>
      </c>
      <c r="BN2">
        <v>5.4624617327883604E-3</v>
      </c>
      <c r="BO2">
        <v>3.2876564977182398E-3</v>
      </c>
      <c r="BP2">
        <v>2.3816785486162899E-3</v>
      </c>
      <c r="BQ2">
        <v>1.2548875026224501E-3</v>
      </c>
      <c r="BR2">
        <v>6.8274708682035997E-4</v>
      </c>
      <c r="BS2">
        <v>5.4547237763573103E-4</v>
      </c>
      <c r="BT2">
        <v>4.5094874490155998E-4</v>
      </c>
      <c r="BU2">
        <v>2.8259038918480601E-4</v>
      </c>
      <c r="BV2">
        <v>3.6428215953024698E-4</v>
      </c>
      <c r="BW2">
        <v>1.99936701875895E-4</v>
      </c>
      <c r="BX2" s="4">
        <v>7.2645406357815107E-5</v>
      </c>
      <c r="BY2" s="4">
        <v>7.56159547780217E-5</v>
      </c>
      <c r="BZ2" s="4">
        <v>4.5464583434314597E-5</v>
      </c>
      <c r="CA2" s="4">
        <v>4.915233559206E-5</v>
      </c>
      <c r="CB2" s="4">
        <v>7.5285953536546199E-5</v>
      </c>
      <c r="CC2" s="4">
        <v>2.36274514213945E-5</v>
      </c>
      <c r="CD2" s="4">
        <v>1.30656236994048E-5</v>
      </c>
      <c r="CE2" s="4">
        <v>1.62552722631288E-5</v>
      </c>
      <c r="CF2" s="4">
        <v>8.4617179272708406E-6</v>
      </c>
      <c r="CG2" s="4">
        <v>2.72060944319374E-6</v>
      </c>
      <c r="CH2" s="4">
        <v>8.6198066168450707E-6</v>
      </c>
      <c r="CI2" s="4">
        <v>9.8737680565131194E-6</v>
      </c>
      <c r="CJ2" s="4">
        <v>3.62543062105412E-6</v>
      </c>
      <c r="CK2" s="4">
        <v>5.1770196379375703E-6</v>
      </c>
      <c r="CL2" s="4">
        <v>4.1364578452331496E-6</v>
      </c>
      <c r="CM2" s="4">
        <v>2.24225319101812E-6</v>
      </c>
      <c r="CN2" s="4">
        <v>1.1273321181959501E-6</v>
      </c>
      <c r="CO2" s="4">
        <v>9.824868098894941E-7</v>
      </c>
      <c r="CP2" s="4">
        <v>7.1336422085263801E-7</v>
      </c>
      <c r="CQ2" s="4">
        <v>6.4931726402399996E-7</v>
      </c>
      <c r="CR2" s="4">
        <v>5.2154391813663602E-7</v>
      </c>
      <c r="CS2" s="4">
        <v>6.7490505910082797E-7</v>
      </c>
      <c r="CT2" s="4">
        <v>6.6541966892078898E-7</v>
      </c>
    </row>
    <row r="3" spans="1:98" x14ac:dyDescent="0.25">
      <c r="A3" t="s">
        <v>1</v>
      </c>
      <c r="B3" s="4">
        <v>1.45527826365573E-8</v>
      </c>
      <c r="C3" s="4">
        <v>1.6993931409653301E-8</v>
      </c>
      <c r="D3" s="4">
        <v>1.1110559936786401E-8</v>
      </c>
      <c r="E3" s="4">
        <v>9.02844072250232E-9</v>
      </c>
      <c r="F3" s="4">
        <v>1.22777388432218E-8</v>
      </c>
      <c r="G3" s="4">
        <v>1.10118657841951E-8</v>
      </c>
      <c r="H3" s="4">
        <v>1.1343085245931999E-8</v>
      </c>
      <c r="I3" s="4">
        <v>1.4062870728409799E-8</v>
      </c>
      <c r="J3" s="4">
        <v>1.5825863676166399E-8</v>
      </c>
      <c r="K3" s="4">
        <v>1.1932987192739699E-8</v>
      </c>
      <c r="L3" s="4">
        <v>9.9537092479160294E-9</v>
      </c>
      <c r="M3" s="4">
        <v>1.02035026895234E-8</v>
      </c>
      <c r="N3" s="4">
        <v>9.8920389735566796E-9</v>
      </c>
      <c r="O3" s="4">
        <v>1.23195177617824E-8</v>
      </c>
      <c r="P3" s="4">
        <v>1.3024330135135601E-8</v>
      </c>
      <c r="Q3" s="4">
        <v>9.2950421705949502E-9</v>
      </c>
      <c r="R3" s="4">
        <v>7.5348576440005792E-9</v>
      </c>
      <c r="S3" s="4">
        <v>8.7648104339019099E-9</v>
      </c>
      <c r="T3" s="4">
        <v>1.10856575200662E-8</v>
      </c>
      <c r="U3" s="4">
        <v>1.0820789576809301E-8</v>
      </c>
      <c r="V3" s="4">
        <v>9.0666964647597404E-9</v>
      </c>
      <c r="W3" s="4">
        <v>9.7350771525513093E-9</v>
      </c>
      <c r="X3" s="4">
        <v>7.5838404521162604E-9</v>
      </c>
      <c r="Y3" s="4">
        <v>7.9258275182130999E-9</v>
      </c>
      <c r="Z3" s="4">
        <v>1.04207326879707E-8</v>
      </c>
      <c r="AA3" s="4">
        <v>8.5784976215300098E-9</v>
      </c>
      <c r="AB3" s="4">
        <v>7.4158309200573703E-9</v>
      </c>
      <c r="AC3" s="4">
        <v>7.8000359752117498E-9</v>
      </c>
      <c r="AD3" s="4">
        <v>7.0828735794765198E-9</v>
      </c>
      <c r="AE3" s="4">
        <v>6.4513988984525204E-9</v>
      </c>
      <c r="AF3" s="4">
        <v>7.2818728205971797E-9</v>
      </c>
      <c r="AG3" s="4">
        <v>8.0462237070598607E-9</v>
      </c>
      <c r="AH3" s="4">
        <v>9.1412830066434794E-9</v>
      </c>
      <c r="AI3" s="4">
        <v>8.6644236888439392E-9</v>
      </c>
      <c r="AJ3" s="4">
        <v>8.1380588993041893E-9</v>
      </c>
      <c r="AK3" s="4">
        <v>6.50727389293259E-9</v>
      </c>
      <c r="AL3" s="4">
        <v>5.0829816647472298E-9</v>
      </c>
      <c r="AM3" s="4">
        <v>5.47000075402761E-9</v>
      </c>
      <c r="AN3" s="4">
        <v>4.72799005264294E-9</v>
      </c>
      <c r="AO3" s="4">
        <v>4.6877305286759502E-9</v>
      </c>
      <c r="AP3" s="4">
        <v>4.6070326879360398E-9</v>
      </c>
      <c r="AQ3" s="4">
        <v>5.7395984617146599E-9</v>
      </c>
      <c r="AR3" s="4">
        <v>6.4907686245721097E-9</v>
      </c>
      <c r="AS3" s="4">
        <v>6.3293531595371501E-9</v>
      </c>
      <c r="AT3" s="4">
        <v>5.9759176962636097E-9</v>
      </c>
      <c r="AU3" s="4">
        <v>5.5646273014940503E-9</v>
      </c>
      <c r="AV3" s="4">
        <v>7.0267352286048103E-9</v>
      </c>
      <c r="AW3" s="4">
        <v>8.1120448806285496E-9</v>
      </c>
      <c r="AX3" s="4">
        <v>5.7165196891903698E-9</v>
      </c>
      <c r="AY3" s="4">
        <v>4.6825188138704401E-9</v>
      </c>
      <c r="AZ3" s="4">
        <v>6.84540696641487E-9</v>
      </c>
      <c r="BA3" s="4">
        <v>9.2656323176021903E-9</v>
      </c>
      <c r="BB3" s="4">
        <v>2.3196453906791301E-8</v>
      </c>
      <c r="BC3" s="4">
        <v>1.00964698710095E-7</v>
      </c>
      <c r="BD3" s="4">
        <v>1.2432276051555401E-7</v>
      </c>
      <c r="BE3" s="4">
        <v>4.16410089823409E-7</v>
      </c>
      <c r="BF3" s="4">
        <v>8.6544649020026392E-6</v>
      </c>
      <c r="BG3">
        <v>1.63404252304588E-4</v>
      </c>
      <c r="BH3">
        <v>1.25180167747011E-3</v>
      </c>
      <c r="BI3">
        <v>4.4555820701342201E-3</v>
      </c>
      <c r="BJ3">
        <v>7.9700859123076097E-3</v>
      </c>
      <c r="BK3">
        <v>7.3498348235841596E-3</v>
      </c>
      <c r="BL3">
        <v>6.6699275342222402E-3</v>
      </c>
      <c r="BM3">
        <v>6.3767171823644999E-3</v>
      </c>
      <c r="BN3">
        <v>4.0903457913729997E-3</v>
      </c>
      <c r="BO3">
        <v>2.6058417642154902E-3</v>
      </c>
      <c r="BP3">
        <v>1.65565535718085E-3</v>
      </c>
      <c r="BQ3">
        <v>9.5942405127783501E-4</v>
      </c>
      <c r="BR3">
        <v>5.2223097713969603E-4</v>
      </c>
      <c r="BS3">
        <v>3.9229049757303399E-4</v>
      </c>
      <c r="BT3">
        <v>2.9796641496116199E-4</v>
      </c>
      <c r="BU3">
        <v>1.93269127027081E-4</v>
      </c>
      <c r="BV3">
        <v>2.40544330247799E-4</v>
      </c>
      <c r="BW3">
        <v>1.5881093547220399E-4</v>
      </c>
      <c r="BX3" s="4">
        <v>5.0985964398630101E-5</v>
      </c>
      <c r="BY3" s="4">
        <v>5.4033050677597897E-5</v>
      </c>
      <c r="BZ3" s="4">
        <v>2.93148134986538E-5</v>
      </c>
      <c r="CA3" s="4">
        <v>3.2330376324374099E-5</v>
      </c>
      <c r="CB3" s="4">
        <v>4.0580614477313299E-5</v>
      </c>
      <c r="CC3" s="4">
        <v>1.5705980765168301E-5</v>
      </c>
      <c r="CD3" s="4">
        <v>8.77531800676668E-6</v>
      </c>
      <c r="CE3" s="4">
        <v>1.0637917979395899E-5</v>
      </c>
      <c r="CF3" s="4">
        <v>5.7491088964468698E-6</v>
      </c>
      <c r="CG3" s="4">
        <v>1.9582358708784901E-6</v>
      </c>
      <c r="CH3" s="4">
        <v>5.7685786368914701E-6</v>
      </c>
      <c r="CI3" s="4">
        <v>6.1346768815599898E-6</v>
      </c>
      <c r="CJ3" s="4">
        <v>2.5855560562754599E-6</v>
      </c>
      <c r="CK3" s="4">
        <v>3.1745913603245098E-6</v>
      </c>
      <c r="CL3" s="4">
        <v>2.6973673674495002E-6</v>
      </c>
      <c r="CM3" s="4">
        <v>1.6233024868994E-6</v>
      </c>
      <c r="CN3" s="4">
        <v>7.4225391034485196E-7</v>
      </c>
      <c r="CO3" s="4">
        <v>5.0977265297958797E-7</v>
      </c>
      <c r="CP3" s="4">
        <v>4.9967568047369495E-7</v>
      </c>
      <c r="CQ3" s="4">
        <v>4.11723051732112E-7</v>
      </c>
      <c r="CR3" s="4">
        <v>3.7467868921224398E-7</v>
      </c>
      <c r="CS3" s="4">
        <v>4.1927363607223701E-7</v>
      </c>
      <c r="CT3" s="4">
        <v>4.4769911489172599E-7</v>
      </c>
    </row>
    <row r="4" spans="1:98" x14ac:dyDescent="0.25">
      <c r="A4" t="s">
        <v>2</v>
      </c>
      <c r="B4" s="4">
        <v>1.44066128501846E-8</v>
      </c>
      <c r="C4" s="4">
        <v>1.6481765230170301E-8</v>
      </c>
      <c r="D4" s="4">
        <v>1.0702530073949501E-8</v>
      </c>
      <c r="E4" s="4">
        <v>9.0574578898280608E-9</v>
      </c>
      <c r="F4" s="4">
        <v>1.1891434254351E-8</v>
      </c>
      <c r="G4" s="4">
        <v>1.0985248006165E-8</v>
      </c>
      <c r="H4" s="4">
        <v>1.12600482521935E-8</v>
      </c>
      <c r="I4" s="4">
        <v>1.3347457715399E-8</v>
      </c>
      <c r="J4" s="4">
        <v>1.5436239139985899E-8</v>
      </c>
      <c r="K4" s="4">
        <v>1.17347870714543E-8</v>
      </c>
      <c r="L4" s="4">
        <v>9.7997015836837508E-9</v>
      </c>
      <c r="M4" s="4">
        <v>1.00688403114362E-8</v>
      </c>
      <c r="N4" s="4">
        <v>9.9234654398772607E-9</v>
      </c>
      <c r="O4" s="4">
        <v>1.21883017770695E-8</v>
      </c>
      <c r="P4" s="4">
        <v>1.2876765836887899E-8</v>
      </c>
      <c r="Q4" s="4">
        <v>9.2133237857039204E-9</v>
      </c>
      <c r="R4" s="4">
        <v>7.5066093998211208E-9</v>
      </c>
      <c r="S4" s="4">
        <v>8.5507922259153799E-9</v>
      </c>
      <c r="T4" s="4">
        <v>1.09391693441101E-8</v>
      </c>
      <c r="U4" s="4">
        <v>1.06373187943284E-8</v>
      </c>
      <c r="V4" s="4">
        <v>8.8524441629148807E-9</v>
      </c>
      <c r="W4" s="4">
        <v>9.7062286384277898E-9</v>
      </c>
      <c r="X4" s="4">
        <v>7.4776855701739697E-9</v>
      </c>
      <c r="Y4" s="4">
        <v>7.9085810846291201E-9</v>
      </c>
      <c r="Z4" s="4">
        <v>1.0275560333004301E-8</v>
      </c>
      <c r="AA4" s="4">
        <v>8.4399986782839705E-9</v>
      </c>
      <c r="AB4" s="4">
        <v>7.29414543896144E-9</v>
      </c>
      <c r="AC4" s="4">
        <v>7.7577005294362308E-9</v>
      </c>
      <c r="AD4" s="4">
        <v>6.9252956896037996E-9</v>
      </c>
      <c r="AE4" s="4">
        <v>6.4458549186617302E-9</v>
      </c>
      <c r="AF4" s="4">
        <v>7.1496251672903197E-9</v>
      </c>
      <c r="AG4" s="4">
        <v>7.9792300750312906E-9</v>
      </c>
      <c r="AH4" s="4">
        <v>9.06250368359216E-9</v>
      </c>
      <c r="AI4" s="4">
        <v>8.6454598933598705E-9</v>
      </c>
      <c r="AJ4" s="4">
        <v>7.8105278519879504E-9</v>
      </c>
      <c r="AK4" s="4">
        <v>6.2437535947450096E-9</v>
      </c>
      <c r="AL4" s="4">
        <v>5.0427926111127498E-9</v>
      </c>
      <c r="AM4" s="4">
        <v>5.3460048542051102E-9</v>
      </c>
      <c r="AN4" s="4">
        <v>4.7060936602565104E-9</v>
      </c>
      <c r="AO4" s="4">
        <v>4.5779079089452702E-9</v>
      </c>
      <c r="AP4" s="4">
        <v>4.5918475828262896E-9</v>
      </c>
      <c r="AQ4" s="4">
        <v>5.6509632883029799E-9</v>
      </c>
      <c r="AR4" s="4">
        <v>6.4023906307448604E-9</v>
      </c>
      <c r="AS4" s="4">
        <v>6.15037878880983E-9</v>
      </c>
      <c r="AT4" s="4">
        <v>5.8063179443663297E-9</v>
      </c>
      <c r="AU4" s="4">
        <v>5.4778019322786803E-9</v>
      </c>
      <c r="AV4" s="4">
        <v>6.89016388329679E-9</v>
      </c>
      <c r="AW4" s="4">
        <v>8.0238818322631193E-9</v>
      </c>
      <c r="AX4" s="4">
        <v>5.6674283648872199E-9</v>
      </c>
      <c r="AY4" s="4">
        <v>4.5132726888042003E-9</v>
      </c>
      <c r="AZ4" s="4">
        <v>6.6806401961204599E-9</v>
      </c>
      <c r="BA4" s="4">
        <v>9.1296565686098997E-9</v>
      </c>
      <c r="BB4" s="4">
        <v>2.3255763140541299E-8</v>
      </c>
      <c r="BC4" s="4">
        <v>9.92270244525908E-8</v>
      </c>
      <c r="BD4" s="4">
        <v>1.2201232736340701E-7</v>
      </c>
      <c r="BE4" s="4">
        <v>4.0364332862755902E-7</v>
      </c>
      <c r="BF4" s="4">
        <v>8.5031135066020596E-6</v>
      </c>
      <c r="BG4">
        <v>1.6231017287086301E-4</v>
      </c>
      <c r="BH4">
        <v>1.2599092890278999E-3</v>
      </c>
      <c r="BI4">
        <v>4.4166965562598198E-3</v>
      </c>
      <c r="BJ4">
        <v>7.8558091078931302E-3</v>
      </c>
      <c r="BK4">
        <v>7.2506506127722097E-3</v>
      </c>
      <c r="BL4">
        <v>6.5501312461542002E-3</v>
      </c>
      <c r="BM4">
        <v>6.2249847404091899E-3</v>
      </c>
      <c r="BN4">
        <v>4.1186212620550897E-3</v>
      </c>
      <c r="BO4">
        <v>2.60414846254545E-3</v>
      </c>
      <c r="BP4">
        <v>1.6056248710924999E-3</v>
      </c>
      <c r="BQ4">
        <v>9.4942941054271496E-4</v>
      </c>
      <c r="BR4">
        <v>5.1525208836084198E-4</v>
      </c>
      <c r="BS4">
        <v>3.8322979368790101E-4</v>
      </c>
      <c r="BT4">
        <v>2.9198288635133899E-4</v>
      </c>
      <c r="BU4">
        <v>1.9338695347932401E-4</v>
      </c>
      <c r="BV4">
        <v>2.35452156714537E-4</v>
      </c>
      <c r="BW4">
        <v>1.58555042502395E-4</v>
      </c>
      <c r="BX4" s="4">
        <v>5.0794349781337597E-5</v>
      </c>
      <c r="BY4" s="4">
        <v>5.2433128207794903E-5</v>
      </c>
      <c r="BZ4" s="4">
        <v>2.9015048710938999E-5</v>
      </c>
      <c r="CA4" s="4">
        <v>3.1594489524102599E-5</v>
      </c>
      <c r="CB4" s="4">
        <v>3.9677423467233298E-5</v>
      </c>
      <c r="CC4" s="4">
        <v>1.5279521577596499E-5</v>
      </c>
      <c r="CD4" s="4">
        <v>8.7302394871148802E-6</v>
      </c>
      <c r="CE4" s="4">
        <v>1.0440718273887999E-5</v>
      </c>
      <c r="CF4" s="4">
        <v>5.73681912038392E-6</v>
      </c>
      <c r="CG4" s="4">
        <v>1.9247524491630602E-6</v>
      </c>
      <c r="CH4" s="4">
        <v>5.8546820975153499E-6</v>
      </c>
      <c r="CI4" s="4">
        <v>6.2000553674498902E-6</v>
      </c>
      <c r="CJ4" s="4">
        <v>2.58084513039978E-6</v>
      </c>
      <c r="CK4" s="4">
        <v>3.0173175094738999E-6</v>
      </c>
      <c r="CL4" s="4">
        <v>2.66184554854633E-6</v>
      </c>
      <c r="CM4" s="4">
        <v>1.59912114367056E-6</v>
      </c>
      <c r="CN4" s="4">
        <v>7.4792324404798199E-7</v>
      </c>
      <c r="CO4" s="4">
        <v>5.07336801346938E-7</v>
      </c>
      <c r="CP4" s="4">
        <v>4.8813559378618197E-7</v>
      </c>
      <c r="CQ4" s="4">
        <v>4.0816101818634101E-7</v>
      </c>
      <c r="CR4" s="4">
        <v>3.6512831001573099E-7</v>
      </c>
      <c r="CS4" s="4">
        <v>4.0834177343066002E-7</v>
      </c>
      <c r="CT4" s="4">
        <v>4.44382696822977E-7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5</v>
      </c>
      <c r="BK7">
        <v>17</v>
      </c>
      <c r="BL7">
        <v>11</v>
      </c>
      <c r="BM7">
        <v>11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3</v>
      </c>
      <c r="BI8">
        <v>191</v>
      </c>
      <c r="BJ8">
        <v>1101</v>
      </c>
      <c r="BK8">
        <v>939</v>
      </c>
      <c r="BL8">
        <v>813</v>
      </c>
      <c r="BM8">
        <v>628</v>
      </c>
      <c r="BN8">
        <v>175</v>
      </c>
      <c r="BO8">
        <v>43</v>
      </c>
      <c r="BP8">
        <v>14</v>
      </c>
      <c r="BQ8">
        <v>3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201</v>
      </c>
      <c r="BI9">
        <v>10288</v>
      </c>
      <c r="BJ9">
        <v>28713</v>
      </c>
      <c r="BK9">
        <v>24043</v>
      </c>
      <c r="BL9">
        <v>20684</v>
      </c>
      <c r="BM9">
        <v>19993</v>
      </c>
      <c r="BN9">
        <v>8091</v>
      </c>
      <c r="BO9">
        <v>2603</v>
      </c>
      <c r="BP9">
        <v>792</v>
      </c>
      <c r="BQ9">
        <v>148</v>
      </c>
      <c r="BR9">
        <v>16</v>
      </c>
      <c r="BS9">
        <v>8</v>
      </c>
      <c r="BT9">
        <v>11</v>
      </c>
      <c r="BU9">
        <v>1</v>
      </c>
      <c r="BV9">
        <v>4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44</v>
      </c>
      <c r="BH10">
        <v>14907</v>
      </c>
      <c r="BI10">
        <v>35091</v>
      </c>
      <c r="BJ10">
        <v>23635</v>
      </c>
      <c r="BK10">
        <v>26403</v>
      </c>
      <c r="BL10">
        <v>28103</v>
      </c>
      <c r="BM10">
        <v>28878</v>
      </c>
      <c r="BN10">
        <v>36173</v>
      </c>
      <c r="BO10">
        <v>34278</v>
      </c>
      <c r="BP10">
        <v>20276</v>
      </c>
      <c r="BQ10">
        <v>6473</v>
      </c>
      <c r="BR10">
        <v>1319</v>
      </c>
      <c r="BS10">
        <v>623</v>
      </c>
      <c r="BT10">
        <v>277</v>
      </c>
      <c r="BU10">
        <v>107</v>
      </c>
      <c r="BV10">
        <v>145</v>
      </c>
      <c r="BW10">
        <v>36</v>
      </c>
      <c r="BX10">
        <v>1</v>
      </c>
      <c r="BY10">
        <v>6</v>
      </c>
      <c r="BZ10">
        <v>0</v>
      </c>
      <c r="CA10">
        <v>1</v>
      </c>
      <c r="CB10">
        <v>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0.108744971579519</v>
      </c>
      <c r="BJ17">
        <v>0.14248089133001501</v>
      </c>
      <c r="BK17">
        <v>0.14382894142458799</v>
      </c>
      <c r="BL17">
        <v>0.14148195475431999</v>
      </c>
      <c r="BM17">
        <v>0.12788503535538701</v>
      </c>
      <c r="BN17">
        <v>7.8911230605376498E-2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0.108744971579519</v>
      </c>
      <c r="BJ18">
        <v>0.13735789073556501</v>
      </c>
      <c r="BK18">
        <v>0.12855473603043399</v>
      </c>
      <c r="BL18">
        <v>0.12600656555491199</v>
      </c>
      <c r="BM18">
        <v>0.11797225476671699</v>
      </c>
      <c r="BN18">
        <v>7.5918130207376699E-2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0.108744971579519</v>
      </c>
      <c r="BJ19">
        <v>0.137945758770084</v>
      </c>
      <c r="BK19">
        <v>0.12797104615789201</v>
      </c>
      <c r="BL19">
        <v>0.12534123206185099</v>
      </c>
      <c r="BM19">
        <v>0.120904647749076</v>
      </c>
      <c r="BN19">
        <v>7.5918130207376699E-2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8.7949022715134606E-2</v>
      </c>
      <c r="BI20">
        <v>0.43497988631807699</v>
      </c>
      <c r="BJ20">
        <v>0.70460204460160802</v>
      </c>
      <c r="BK20">
        <v>0.57563827335525197</v>
      </c>
      <c r="BL20">
        <v>0.57866962867373795</v>
      </c>
      <c r="BM20">
        <v>0.51154014142154802</v>
      </c>
      <c r="BN20">
        <v>0.34959755089845501</v>
      </c>
      <c r="BO20">
        <v>0.21041001585396699</v>
      </c>
      <c r="BP20">
        <v>0.148346486238562</v>
      </c>
      <c r="BQ20">
        <v>6.9013181017917105E-2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8.7949022715134606E-2</v>
      </c>
      <c r="BI21">
        <v>0.29262851518342098</v>
      </c>
      <c r="BJ21">
        <v>0.51008549838768702</v>
      </c>
      <c r="BK21">
        <v>0.472592864563813</v>
      </c>
      <c r="BL21">
        <v>0.42687536219022298</v>
      </c>
      <c r="BM21">
        <v>0.40810989967132799</v>
      </c>
      <c r="BN21">
        <v>0.26933357905466099</v>
      </c>
      <c r="BO21">
        <v>0.17940026812955601</v>
      </c>
      <c r="BP21">
        <v>0.12327844683726</v>
      </c>
      <c r="BQ21">
        <v>6.4360317332734104E-2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8.7949022715134606E-2</v>
      </c>
      <c r="BI22">
        <v>0.29150033992500002</v>
      </c>
      <c r="BJ22">
        <v>0.50277178290516</v>
      </c>
      <c r="BK22">
        <v>0.46540063892621603</v>
      </c>
      <c r="BL22">
        <v>0.41920839975386798</v>
      </c>
      <c r="BM22">
        <v>0.39839902338618799</v>
      </c>
      <c r="BN22">
        <v>0.270960518475028</v>
      </c>
      <c r="BO22">
        <v>0.18210033392674699</v>
      </c>
      <c r="BP22">
        <v>0.119793603281023</v>
      </c>
      <c r="BQ22">
        <v>6.2242539949236397E-2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0.41812047690249099</v>
      </c>
      <c r="BI23">
        <v>1.73991954527231</v>
      </c>
      <c r="BJ23">
        <v>2.8184081784064299</v>
      </c>
      <c r="BK23">
        <v>2.3025530934210101</v>
      </c>
      <c r="BL23">
        <v>2.31467851469495</v>
      </c>
      <c r="BM23">
        <v>2.0461605656861899</v>
      </c>
      <c r="BN23">
        <v>1.39839020359382</v>
      </c>
      <c r="BO23">
        <v>0.84164006341586906</v>
      </c>
      <c r="BP23">
        <v>0.60970970844577199</v>
      </c>
      <c r="BQ23">
        <v>0.32125120067134799</v>
      </c>
      <c r="BR23">
        <v>0.17478325422601201</v>
      </c>
      <c r="BS23">
        <v>0.116342651448462</v>
      </c>
      <c r="BT23">
        <v>9.4519312152586202E-2</v>
      </c>
      <c r="BU23">
        <v>5.8738158793933001E-2</v>
      </c>
      <c r="BV23">
        <v>9.32562328397432E-2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0.32514551583774098</v>
      </c>
      <c r="BI24">
        <v>1.1406290099543599</v>
      </c>
      <c r="BJ24">
        <v>2.0403419935507401</v>
      </c>
      <c r="BK24">
        <v>1.88155771483754</v>
      </c>
      <c r="BL24">
        <v>1.7075014487608899</v>
      </c>
      <c r="BM24">
        <v>1.63243959868531</v>
      </c>
      <c r="BN24">
        <v>1.0471285225914799</v>
      </c>
      <c r="BO24">
        <v>0.66709549163916704</v>
      </c>
      <c r="BP24">
        <v>0.42531759363613197</v>
      </c>
      <c r="BQ24">
        <v>0.250148582571667</v>
      </c>
      <c r="BR24">
        <v>0.15598840302274</v>
      </c>
      <c r="BS24">
        <v>0.104380865170433</v>
      </c>
      <c r="BT24">
        <v>8.7162431102421903E-2</v>
      </c>
      <c r="BU24">
        <v>5.8738158793933001E-2</v>
      </c>
      <c r="BV24">
        <v>7.8436113695945803E-2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0.32800666915712801</v>
      </c>
      <c r="BI25">
        <v>1.1306743184025101</v>
      </c>
      <c r="BJ25">
        <v>2.01108713162064</v>
      </c>
      <c r="BK25">
        <v>1.8561665568696799</v>
      </c>
      <c r="BL25">
        <v>1.6768335990154699</v>
      </c>
      <c r="BM25">
        <v>1.59359609354475</v>
      </c>
      <c r="BN25">
        <v>1.0543670430861001</v>
      </c>
      <c r="BO25">
        <v>0.66666200641163698</v>
      </c>
      <c r="BP25">
        <v>0.41176376467682302</v>
      </c>
      <c r="BQ25">
        <v>0.248346299965924</v>
      </c>
      <c r="BR25">
        <v>0.156016583320815</v>
      </c>
      <c r="BS25">
        <v>0.106376528929697</v>
      </c>
      <c r="BT25">
        <v>8.6506722781860196E-2</v>
      </c>
      <c r="BU25">
        <v>5.8738158793933001E-2</v>
      </c>
      <c r="BV25">
        <v>7.6385292812015504E-2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0.21004042820660301</v>
      </c>
      <c r="BH26">
        <v>1.67248190760996</v>
      </c>
      <c r="BI26">
        <v>6.9596781810892399</v>
      </c>
      <c r="BJ26">
        <v>11.2736327136257</v>
      </c>
      <c r="BK26">
        <v>9.2102123736840404</v>
      </c>
      <c r="BL26">
        <v>9.2587140587798196</v>
      </c>
      <c r="BM26">
        <v>8.1846422627447808</v>
      </c>
      <c r="BN26">
        <v>5.5935608143752802</v>
      </c>
      <c r="BO26">
        <v>3.36656025366347</v>
      </c>
      <c r="BP26">
        <v>2.43883883378308</v>
      </c>
      <c r="BQ26">
        <v>1.28500480268539</v>
      </c>
      <c r="BR26">
        <v>0.69913301690404805</v>
      </c>
      <c r="BS26">
        <v>0.55856371469898802</v>
      </c>
      <c r="BT26">
        <v>0.46177151477919798</v>
      </c>
      <c r="BU26">
        <v>0.28937255852524102</v>
      </c>
      <c r="BV26">
        <v>0.37302493135897302</v>
      </c>
      <c r="BW26">
        <v>0.20473518272091701</v>
      </c>
      <c r="BX26">
        <v>7.4388896110402697E-2</v>
      </c>
      <c r="BY26">
        <v>7.7430737692694193E-2</v>
      </c>
      <c r="BZ26">
        <v>0</v>
      </c>
      <c r="CA26">
        <v>5.0331991646269399E-2</v>
      </c>
      <c r="CB26">
        <v>7.7092816421423294E-2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</row>
    <row r="27" spans="1:98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0.17462212690478299</v>
      </c>
      <c r="BH27">
        <v>1.28184491772939</v>
      </c>
      <c r="BI27">
        <v>4.5625160398174396</v>
      </c>
      <c r="BJ27">
        <v>8.1613679742029905</v>
      </c>
      <c r="BK27">
        <v>7.5262308593501803</v>
      </c>
      <c r="BL27">
        <v>6.8300057950435704</v>
      </c>
      <c r="BM27">
        <v>6.5297583947412496</v>
      </c>
      <c r="BN27">
        <v>4.1885140903659499</v>
      </c>
      <c r="BO27">
        <v>2.6683819665566602</v>
      </c>
      <c r="BP27">
        <v>1.69539108575319</v>
      </c>
      <c r="BQ27">
        <v>0.98245022850850305</v>
      </c>
      <c r="BR27">
        <v>0.53476452059104895</v>
      </c>
      <c r="BS27">
        <v>0.40325488932027997</v>
      </c>
      <c r="BT27">
        <v>0.31139224704242402</v>
      </c>
      <c r="BU27">
        <v>0.20882111186275201</v>
      </c>
      <c r="BV27">
        <v>0.26035644689084497</v>
      </c>
      <c r="BW27">
        <v>0.16924700135710899</v>
      </c>
      <c r="BX27">
        <v>7.4388896110402697E-2</v>
      </c>
      <c r="BY27">
        <v>6.5538842255186802E-2</v>
      </c>
      <c r="BZ27">
        <v>0</v>
      </c>
      <c r="CA27">
        <v>5.0331991646269399E-2</v>
      </c>
      <c r="CB27">
        <v>6.4560067614150202E-2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</row>
    <row r="28" spans="1:9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0.172077386847411</v>
      </c>
      <c r="BH28">
        <v>1.29014711196457</v>
      </c>
      <c r="BI28">
        <v>4.5226972736100599</v>
      </c>
      <c r="BJ28">
        <v>8.0443485264825707</v>
      </c>
      <c r="BK28">
        <v>7.4246662274787498</v>
      </c>
      <c r="BL28">
        <v>6.7073343960619001</v>
      </c>
      <c r="BM28">
        <v>6.3743843741790096</v>
      </c>
      <c r="BN28">
        <v>4.2174681723444101</v>
      </c>
      <c r="BO28">
        <v>2.6666480256465399</v>
      </c>
      <c r="BP28">
        <v>1.6441598679987199</v>
      </c>
      <c r="BQ28">
        <v>0.97221571639574</v>
      </c>
      <c r="BR28">
        <v>0.52761813848150296</v>
      </c>
      <c r="BS28">
        <v>0.39390766458743498</v>
      </c>
      <c r="BT28">
        <v>0.303418388271677</v>
      </c>
      <c r="BU28">
        <v>0.20641032365226999</v>
      </c>
      <c r="BV28">
        <v>0.25791577588606002</v>
      </c>
      <c r="BW28">
        <v>0.169833212199514</v>
      </c>
      <c r="BX28">
        <v>7.4388896110402697E-2</v>
      </c>
      <c r="BY28">
        <v>6.2844241817975696E-2</v>
      </c>
      <c r="BZ28">
        <v>0</v>
      </c>
      <c r="CA28">
        <v>5.0331991646269399E-2</v>
      </c>
      <c r="CB28">
        <v>6.4560067614150202E-2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</row>
    <row r="29" spans="1:98" x14ac:dyDescent="0.25">
      <c r="A29" t="s">
        <v>32</v>
      </c>
      <c r="B29">
        <v>1.4441644075</v>
      </c>
      <c r="C29">
        <v>1.5123822984999999</v>
      </c>
      <c r="D29">
        <v>1.3533179835</v>
      </c>
      <c r="E29">
        <v>1.3056302835</v>
      </c>
      <c r="F29">
        <v>1.3930697775000001</v>
      </c>
      <c r="G29">
        <v>1.357638297</v>
      </c>
      <c r="H29">
        <v>1.362681324</v>
      </c>
      <c r="I29">
        <v>1.428025611</v>
      </c>
      <c r="J29">
        <v>1.4664620669999999</v>
      </c>
      <c r="K29">
        <v>1.3805518125</v>
      </c>
      <c r="L29">
        <v>1.321577692</v>
      </c>
      <c r="M29">
        <v>1.3305822285</v>
      </c>
      <c r="N29">
        <v>1.3305822285</v>
      </c>
      <c r="O29">
        <v>1.3962008465</v>
      </c>
      <c r="P29">
        <v>1.4174729134999999</v>
      </c>
      <c r="Q29">
        <v>1.3100260825000001</v>
      </c>
      <c r="R29">
        <v>1.2590209525</v>
      </c>
      <c r="S29">
        <v>1.3008491654999901</v>
      </c>
      <c r="T29">
        <v>1.3675681405</v>
      </c>
      <c r="U29">
        <v>1.3727610129999901</v>
      </c>
      <c r="V29">
        <v>1.3106306169999999</v>
      </c>
      <c r="W29">
        <v>1.3304172409999999</v>
      </c>
      <c r="X29">
        <v>1.2636095315</v>
      </c>
      <c r="Y29">
        <v>1.269803263</v>
      </c>
      <c r="Z29">
        <v>1.3586243874999999</v>
      </c>
      <c r="AA29">
        <v>1.3056302835</v>
      </c>
      <c r="AB29">
        <v>1.2676346135000001</v>
      </c>
      <c r="AC29">
        <v>1.2868847735</v>
      </c>
      <c r="AD29">
        <v>1.2461573855000001</v>
      </c>
      <c r="AE29">
        <v>1.2263406489999999</v>
      </c>
      <c r="AF29">
        <v>1.2605418435</v>
      </c>
      <c r="AG29">
        <v>1.2897381324999999</v>
      </c>
      <c r="AH29">
        <v>1.326867053</v>
      </c>
      <c r="AI29">
        <v>1.314942037</v>
      </c>
      <c r="AJ29">
        <v>1.3033880545000001</v>
      </c>
      <c r="AK29">
        <v>1.2281127095</v>
      </c>
      <c r="AL29">
        <v>1.1599344165000001</v>
      </c>
      <c r="AM29">
        <v>1.1715929684999999</v>
      </c>
      <c r="AN29">
        <v>1.142992303</v>
      </c>
      <c r="AO29">
        <v>1.1391712730000001</v>
      </c>
      <c r="AP29">
        <v>1.126503907</v>
      </c>
      <c r="AQ29">
        <v>1.1902769595</v>
      </c>
      <c r="AR29">
        <v>1.228492825</v>
      </c>
      <c r="AS29">
        <v>1.212618097</v>
      </c>
      <c r="AT29">
        <v>1.2029581084999901</v>
      </c>
      <c r="AU29">
        <v>1.1786703704999999</v>
      </c>
      <c r="AV29">
        <v>1.251653779</v>
      </c>
      <c r="AW29">
        <v>1.2937263295000001</v>
      </c>
      <c r="AX29">
        <v>1.1877777380000001</v>
      </c>
      <c r="AY29">
        <v>1.141804142</v>
      </c>
      <c r="AZ29">
        <v>1.2578480294999901</v>
      </c>
      <c r="BA29">
        <v>1.3324552590000001</v>
      </c>
      <c r="BB29">
        <v>1.5909838079999901</v>
      </c>
      <c r="BC29">
        <v>2.1687506614999998</v>
      </c>
      <c r="BD29">
        <v>2.3007473825</v>
      </c>
      <c r="BE29">
        <v>3.2652481369999999</v>
      </c>
      <c r="BF29">
        <v>7.0573823745000004</v>
      </c>
      <c r="BG29">
        <v>13.5126390895</v>
      </c>
      <c r="BH29">
        <v>21.08342828</v>
      </c>
      <c r="BI29">
        <v>28.119352749999901</v>
      </c>
      <c r="BJ29">
        <v>32.007500319999998</v>
      </c>
      <c r="BK29">
        <v>31.620971515000001</v>
      </c>
      <c r="BL29">
        <v>30.826982135000002</v>
      </c>
      <c r="BM29">
        <v>30.790400730000002</v>
      </c>
      <c r="BN29">
        <v>28.530895780000002</v>
      </c>
      <c r="BO29">
        <v>25.756546825000001</v>
      </c>
      <c r="BP29">
        <v>23.474647859999902</v>
      </c>
      <c r="BQ29">
        <v>20.642438585000001</v>
      </c>
      <c r="BR29">
        <v>18.24147606</v>
      </c>
      <c r="BS29">
        <v>17.286459975</v>
      </c>
      <c r="BT29">
        <v>16.382398909999999</v>
      </c>
      <c r="BU29">
        <v>14.39848273</v>
      </c>
      <c r="BV29">
        <v>15.218093735</v>
      </c>
      <c r="BW29">
        <v>13.768905965</v>
      </c>
      <c r="BX29">
        <v>10.713533245000001</v>
      </c>
      <c r="BY29">
        <v>10.73823973</v>
      </c>
      <c r="BZ29">
        <v>9.41508928649999</v>
      </c>
      <c r="CA29">
        <v>9.5693059164999994</v>
      </c>
      <c r="CB29">
        <v>10.085595189999999</v>
      </c>
      <c r="CC29">
        <v>8.104838397</v>
      </c>
      <c r="CD29">
        <v>7.0321962280000001</v>
      </c>
      <c r="CE29">
        <v>7.4050236140000001</v>
      </c>
      <c r="CF29">
        <v>6.3432970429999997</v>
      </c>
      <c r="CG29">
        <v>4.9490583829999997</v>
      </c>
      <c r="CH29">
        <v>6.3638281955</v>
      </c>
      <c r="CI29">
        <v>6.4040720625000001</v>
      </c>
      <c r="CJ29">
        <v>5.2612970189999997</v>
      </c>
      <c r="CK29">
        <v>5.4874552459999997</v>
      </c>
      <c r="CL29">
        <v>5.2076250220000002</v>
      </c>
      <c r="CM29">
        <v>4.6292118670000004</v>
      </c>
      <c r="CN29">
        <v>3.8438540350000001</v>
      </c>
      <c r="CO29">
        <v>3.4907628965000002</v>
      </c>
      <c r="CP29">
        <v>3.5250784804999999</v>
      </c>
      <c r="CQ29">
        <v>3.3236783504999998</v>
      </c>
      <c r="CR29">
        <v>3.2549971329999998</v>
      </c>
      <c r="CS29">
        <v>3.3297358964999999</v>
      </c>
      <c r="CT29">
        <v>3.3683360045000001</v>
      </c>
    </row>
    <row r="30" spans="1:98" x14ac:dyDescent="0.25">
      <c r="A30" t="s">
        <v>33</v>
      </c>
      <c r="B30" s="4">
        <v>3.3616256555522898E-5</v>
      </c>
      <c r="C30" s="4">
        <v>4.0938058974160502E-5</v>
      </c>
      <c r="D30" s="4">
        <v>2.5473195707319401E-5</v>
      </c>
      <c r="E30" s="4">
        <v>2.1855929595681901E-5</v>
      </c>
      <c r="F30" s="4">
        <v>2.8824475629275101E-5</v>
      </c>
      <c r="G30" s="4">
        <v>2.5822192478414901E-5</v>
      </c>
      <c r="H30" s="4">
        <v>2.62341888939973E-5</v>
      </c>
      <c r="I30" s="4">
        <v>3.2041469774141503E-5</v>
      </c>
      <c r="J30" s="4">
        <v>3.5888731617002501E-5</v>
      </c>
      <c r="K30" s="4">
        <v>2.7734802451560101E-5</v>
      </c>
      <c r="L30" s="4">
        <v>2.3018610317801999E-5</v>
      </c>
      <c r="M30" s="4">
        <v>2.3695689445349999E-5</v>
      </c>
      <c r="N30" s="4">
        <v>2.3695689445349999E-5</v>
      </c>
      <c r="O30" s="4">
        <v>2.91020844462054E-5</v>
      </c>
      <c r="P30" s="4">
        <v>3.1042739614213602E-5</v>
      </c>
      <c r="Q30" s="4">
        <v>2.2171817672009699E-5</v>
      </c>
      <c r="R30" s="4">
        <v>1.871409139455E-5</v>
      </c>
      <c r="S30" s="4">
        <v>2.1516276984798801E-5</v>
      </c>
      <c r="T30" s="4">
        <v>2.6638207513109101E-5</v>
      </c>
      <c r="U30" s="4">
        <v>2.7072733150313399E-5</v>
      </c>
      <c r="V30" s="4">
        <v>2.2215532292813901E-5</v>
      </c>
      <c r="W30" s="4">
        <v>2.3683148007861301E-5</v>
      </c>
      <c r="X30" s="4">
        <v>1.9007017071501699E-5</v>
      </c>
      <c r="Y30" s="4">
        <v>1.94079657869824E-5</v>
      </c>
      <c r="Z30" s="4">
        <v>2.59023599328052E-5</v>
      </c>
      <c r="AA30" s="4">
        <v>2.1855929595681901E-5</v>
      </c>
      <c r="AB30" s="4">
        <v>1.9266849530061699E-5</v>
      </c>
      <c r="AC30" s="4">
        <v>2.0547345345601601E-5</v>
      </c>
      <c r="AD30" s="4">
        <v>1.7911312195157501E-5</v>
      </c>
      <c r="AE30" s="4">
        <v>1.6726516804458398E-5</v>
      </c>
      <c r="AF30" s="4">
        <v>1.8810796202709E-5</v>
      </c>
      <c r="AG30" s="4">
        <v>2.0742555772470701E-5</v>
      </c>
      <c r="AH30" s="4">
        <v>2.3414511595025501E-5</v>
      </c>
      <c r="AI30" s="4">
        <v>2.25292133435283E-5</v>
      </c>
      <c r="AJ30" s="4">
        <v>2.1696133414285899E-5</v>
      </c>
      <c r="AK30" s="4">
        <v>1.6829948905785501E-5</v>
      </c>
      <c r="AL30" s="4">
        <v>1.31881446642499E-5</v>
      </c>
      <c r="AM30" s="4">
        <v>1.37634289941702E-5</v>
      </c>
      <c r="AN30" s="4">
        <v>1.23851800803213E-5</v>
      </c>
      <c r="AO30" s="4">
        <v>1.2209378653577E-5</v>
      </c>
      <c r="AP30" s="4">
        <v>1.1640200632872101E-5</v>
      </c>
      <c r="AQ30" s="4">
        <v>1.4725232523496201E-5</v>
      </c>
      <c r="AR30" s="4">
        <v>1.6852199240507699E-5</v>
      </c>
      <c r="AS30" s="4">
        <v>1.5941937666438101E-5</v>
      </c>
      <c r="AT30" s="4">
        <v>1.5406767049535601E-5</v>
      </c>
      <c r="AU30" s="4">
        <v>1.41219109841651E-5</v>
      </c>
      <c r="AV30" s="4">
        <v>1.8251030833310299E-5</v>
      </c>
      <c r="AW30" s="4">
        <v>2.10177813788286E-5</v>
      </c>
      <c r="AX30" s="4">
        <v>1.45936843718971E-5</v>
      </c>
      <c r="AY30" s="4">
        <v>1.23303078054263E-5</v>
      </c>
      <c r="AZ30" s="4">
        <v>1.8639772275142401E-5</v>
      </c>
      <c r="BA30" s="4">
        <v>2.38384237636583E-5</v>
      </c>
      <c r="BB30" s="4">
        <v>5.0824096615162702E-5</v>
      </c>
      <c r="BC30">
        <v>1.9075581695994999E-4</v>
      </c>
      <c r="BD30">
        <v>2.4548507390875101E-4</v>
      </c>
      <c r="BE30">
        <v>1.0943605560743499E-3</v>
      </c>
      <c r="BF30">
        <v>2.9390865037473901E-2</v>
      </c>
      <c r="BG30">
        <v>0.47050807245973703</v>
      </c>
      <c r="BH30">
        <v>3.1434049824010599</v>
      </c>
      <c r="BI30">
        <v>10.748217649315199</v>
      </c>
      <c r="BJ30">
        <v>18.683979090804002</v>
      </c>
      <c r="BK30">
        <v>17.7395336921047</v>
      </c>
      <c r="BL30">
        <v>15.9144342453443</v>
      </c>
      <c r="BM30">
        <v>15.833964106869299</v>
      </c>
      <c r="BN30">
        <v>11.4360516618536</v>
      </c>
      <c r="BO30">
        <v>7.3892545533265004</v>
      </c>
      <c r="BP30">
        <v>4.97275106076171</v>
      </c>
      <c r="BQ30">
        <v>2.8721504285382702</v>
      </c>
      <c r="BR30">
        <v>1.6941092050722799</v>
      </c>
      <c r="BS30">
        <v>1.3465935908567801</v>
      </c>
      <c r="BT30">
        <v>1.07063117934011</v>
      </c>
      <c r="BU30">
        <v>0.61702058709288998</v>
      </c>
      <c r="BV30">
        <v>0.78153543851691798</v>
      </c>
      <c r="BW30">
        <v>0.50980183371239995</v>
      </c>
      <c r="BX30">
        <v>0.174658533104187</v>
      </c>
      <c r="BY30">
        <v>0.176384615954438</v>
      </c>
      <c r="BZ30">
        <v>0.100611293901248</v>
      </c>
      <c r="CA30">
        <v>0.107837769482182</v>
      </c>
      <c r="CB30">
        <v>0.13495873336155001</v>
      </c>
      <c r="CC30">
        <v>5.3064042909588403E-2</v>
      </c>
      <c r="CD30">
        <v>2.89456672114577E-2</v>
      </c>
      <c r="CE30">
        <v>3.60883730572557E-2</v>
      </c>
      <c r="CF30">
        <v>1.86389600940008E-2</v>
      </c>
      <c r="CG30">
        <v>6.4598625670602896E-3</v>
      </c>
      <c r="CH30">
        <v>1.8897885073583899E-2</v>
      </c>
      <c r="CI30">
        <v>1.9413397108989299E-2</v>
      </c>
      <c r="CJ30">
        <v>8.3880230705090705E-3</v>
      </c>
      <c r="CK30">
        <v>1.00390961362788E-2</v>
      </c>
      <c r="CL30">
        <v>8.0287499598036705E-3</v>
      </c>
      <c r="CM30">
        <v>4.8567675898360798E-3</v>
      </c>
      <c r="CN30">
        <v>2.1960555076186998E-3</v>
      </c>
      <c r="CO30">
        <v>1.4554185144762201E-3</v>
      </c>
      <c r="CP30">
        <v>1.5174897162113E-3</v>
      </c>
      <c r="CQ30">
        <v>1.1804456237418199E-3</v>
      </c>
      <c r="CR30">
        <v>1.0797677720712901E-3</v>
      </c>
      <c r="CS30">
        <v>1.18965805174856E-3</v>
      </c>
      <c r="CT30">
        <v>1.2496622172830799E-3</v>
      </c>
    </row>
    <row r="31" spans="1:98" x14ac:dyDescent="0.25">
      <c r="A31" t="s">
        <v>34</v>
      </c>
      <c r="B31" s="1">
        <v>44781.000694444447</v>
      </c>
      <c r="C31" s="1">
        <v>44781.011111111111</v>
      </c>
      <c r="D31" s="1">
        <v>44781.021527777775</v>
      </c>
      <c r="E31" s="1">
        <v>44781.031944444447</v>
      </c>
      <c r="F31" s="1">
        <v>44781.042361111111</v>
      </c>
      <c r="G31" s="1">
        <v>44781.052777777775</v>
      </c>
      <c r="H31" s="1">
        <v>44781.063194444447</v>
      </c>
      <c r="I31" s="1">
        <v>44781.073611111111</v>
      </c>
      <c r="J31" s="1">
        <v>44781.084027777775</v>
      </c>
      <c r="K31" s="1">
        <v>44781.094444444447</v>
      </c>
      <c r="L31" s="1">
        <v>44781.104861111111</v>
      </c>
      <c r="M31" s="1">
        <v>44781.115277777775</v>
      </c>
      <c r="N31" s="1">
        <v>44781.125694444447</v>
      </c>
      <c r="O31" s="1">
        <v>44781.136111111111</v>
      </c>
      <c r="P31" s="1">
        <v>44781.146527777775</v>
      </c>
      <c r="Q31" s="1">
        <v>44781.156944444447</v>
      </c>
      <c r="R31" s="1">
        <v>44781.167361111111</v>
      </c>
      <c r="S31" s="1">
        <v>44781.177777777775</v>
      </c>
      <c r="T31" s="1">
        <v>44781.188194444447</v>
      </c>
      <c r="U31" s="1">
        <v>44781.198611111111</v>
      </c>
      <c r="V31" s="1">
        <v>44781.209027777775</v>
      </c>
      <c r="W31" s="1">
        <v>44781.219444444447</v>
      </c>
      <c r="X31" s="1">
        <v>44781.229861111111</v>
      </c>
      <c r="Y31" s="1">
        <v>44781.240277777775</v>
      </c>
      <c r="Z31" s="1">
        <v>44781.250694444447</v>
      </c>
      <c r="AA31" s="1">
        <v>44781.261111111111</v>
      </c>
      <c r="AB31" s="1">
        <v>44781.271527777775</v>
      </c>
      <c r="AC31" s="1">
        <v>44781.281944444447</v>
      </c>
      <c r="AD31" s="1">
        <v>44781.292361111111</v>
      </c>
      <c r="AE31" s="1">
        <v>44781.302777777775</v>
      </c>
      <c r="AF31" s="1">
        <v>44781.313194444447</v>
      </c>
      <c r="AG31" s="1">
        <v>44781.323611111111</v>
      </c>
      <c r="AH31" s="1">
        <v>44781.334027777775</v>
      </c>
      <c r="AI31" s="1">
        <v>44781.344444444447</v>
      </c>
      <c r="AJ31" s="1">
        <v>44781.354861111111</v>
      </c>
      <c r="AK31" s="1">
        <v>44781.365277777775</v>
      </c>
      <c r="AL31" s="1">
        <v>44781.375694444447</v>
      </c>
      <c r="AM31" s="1">
        <v>44781.386111111111</v>
      </c>
      <c r="AN31" s="1">
        <v>44781.396527777775</v>
      </c>
      <c r="AO31" s="1">
        <v>44781.406944444447</v>
      </c>
      <c r="AP31" s="1">
        <v>44781.417361111111</v>
      </c>
      <c r="AQ31" s="1">
        <v>44781.427777777775</v>
      </c>
      <c r="AR31" s="1">
        <v>44781.438194444447</v>
      </c>
      <c r="AS31" s="1">
        <v>44781.448611111111</v>
      </c>
      <c r="AT31" s="1">
        <v>44781.459027777775</v>
      </c>
      <c r="AU31" s="1">
        <v>44781.469444444447</v>
      </c>
      <c r="AV31" s="1">
        <v>44781.479861111111</v>
      </c>
      <c r="AW31" s="1">
        <v>44781.490277777775</v>
      </c>
      <c r="AX31" s="1">
        <v>44781.500694444447</v>
      </c>
      <c r="AY31" s="1">
        <v>44781.511111111111</v>
      </c>
      <c r="AZ31" s="1">
        <v>44781.521527777775</v>
      </c>
      <c r="BA31" s="1">
        <v>44781.531944444447</v>
      </c>
      <c r="BB31" s="1">
        <v>44781.542361111111</v>
      </c>
      <c r="BC31" s="1">
        <v>44781.552777777775</v>
      </c>
      <c r="BD31" s="1">
        <v>44781.563194444447</v>
      </c>
      <c r="BE31" s="1">
        <v>44781.573611111111</v>
      </c>
      <c r="BF31" s="1">
        <v>44781.584027777775</v>
      </c>
      <c r="BG31" s="1">
        <v>44781.594444444447</v>
      </c>
      <c r="BH31" s="1">
        <v>44781.604861111111</v>
      </c>
      <c r="BI31" s="1">
        <v>44781.615277777775</v>
      </c>
      <c r="BJ31" s="1">
        <v>44781.625694444447</v>
      </c>
      <c r="BK31" s="1">
        <v>44781.636111111111</v>
      </c>
      <c r="BL31" s="1">
        <v>44781.646527777775</v>
      </c>
      <c r="BM31" s="1">
        <v>44781.656944444447</v>
      </c>
      <c r="BN31" s="1">
        <v>44781.667361111111</v>
      </c>
      <c r="BO31" s="1">
        <v>44781.677777777775</v>
      </c>
      <c r="BP31" s="1">
        <v>44781.688194444447</v>
      </c>
      <c r="BQ31" s="1">
        <v>44781.698611111111</v>
      </c>
      <c r="BR31" s="1">
        <v>44781.709027777775</v>
      </c>
      <c r="BS31" s="1">
        <v>44781.719444444447</v>
      </c>
      <c r="BT31" s="1">
        <v>44781.729861111111</v>
      </c>
      <c r="BU31" s="1">
        <v>44781.740277777775</v>
      </c>
      <c r="BV31" s="1">
        <v>44781.750694444447</v>
      </c>
      <c r="BW31" s="1">
        <v>44781.761111111111</v>
      </c>
      <c r="BX31" s="1">
        <v>44781.771527777775</v>
      </c>
      <c r="BY31" s="1">
        <v>44781.781944444447</v>
      </c>
      <c r="BZ31" s="1">
        <v>44781.792361111111</v>
      </c>
      <c r="CA31" s="1">
        <v>44781.802777777775</v>
      </c>
      <c r="CB31" s="1">
        <v>44781.813194444447</v>
      </c>
      <c r="CC31" s="1">
        <v>44781.823611111111</v>
      </c>
      <c r="CD31" s="1">
        <v>44781.834027777775</v>
      </c>
      <c r="CE31" s="1">
        <v>44781.844444444447</v>
      </c>
      <c r="CF31" s="1">
        <v>44781.854861111111</v>
      </c>
      <c r="CG31" s="1">
        <v>44781.865277777775</v>
      </c>
      <c r="CH31" s="1">
        <v>44781.875694444447</v>
      </c>
      <c r="CI31" s="1">
        <v>44781.886111111111</v>
      </c>
      <c r="CJ31" s="1">
        <v>44781.896527777775</v>
      </c>
      <c r="CK31" s="1">
        <v>44781.906944444447</v>
      </c>
      <c r="CL31" s="1">
        <v>44781.917361111111</v>
      </c>
      <c r="CM31" s="1">
        <v>44781.927777777775</v>
      </c>
      <c r="CN31" s="1">
        <v>44781.938194444447</v>
      </c>
      <c r="CO31" s="1">
        <v>44781.948611111111</v>
      </c>
      <c r="CP31" s="1">
        <v>44781.959027777775</v>
      </c>
      <c r="CQ31" s="1">
        <v>44781.969444444447</v>
      </c>
      <c r="CR31" s="1">
        <v>44781.979861111111</v>
      </c>
      <c r="CS31" s="1">
        <v>44781.990277777775</v>
      </c>
      <c r="CT31" s="1">
        <v>44782.000694444447</v>
      </c>
    </row>
    <row r="32" spans="1:98" x14ac:dyDescent="0.25">
      <c r="BK32" t="s">
        <v>47</v>
      </c>
    </row>
    <row r="34" spans="1:27" x14ac:dyDescent="0.25">
      <c r="C34" s="2" t="s">
        <v>27</v>
      </c>
      <c r="E34" t="s">
        <v>28</v>
      </c>
      <c r="F34" t="s">
        <v>29</v>
      </c>
      <c r="G34" t="s">
        <v>30</v>
      </c>
      <c r="H34" t="s">
        <v>31</v>
      </c>
      <c r="U34" t="s">
        <v>45</v>
      </c>
      <c r="V34" t="s">
        <v>46</v>
      </c>
    </row>
    <row r="35" spans="1:27" x14ac:dyDescent="0.25">
      <c r="A35" t="str">
        <f t="shared" ref="A35:A60" si="0">A2</f>
        <v>max_amp</v>
      </c>
      <c r="B35" s="2">
        <f t="shared" ref="B35:B60" si="1">MAX(B2:CT2)</f>
        <v>1.1009406946900099E-2</v>
      </c>
      <c r="C35" s="3">
        <f t="shared" ref="C35:C60" si="2">_xlfn.XLOOKUP(MAX(B2:CS2), B2:CS2, $B$1:$CS$1)</f>
        <v>44781.625694444447</v>
      </c>
      <c r="E35" s="1">
        <v>44781.000694444447</v>
      </c>
      <c r="F35" s="4">
        <v>2.08679206339447E-8</v>
      </c>
      <c r="G35" s="4">
        <v>1.45527826365573E-8</v>
      </c>
      <c r="H35" s="4">
        <v>1.44066128501846E-8</v>
      </c>
      <c r="T35" t="s">
        <v>0</v>
      </c>
      <c r="U35">
        <v>0.14898440806176</v>
      </c>
      <c r="V35">
        <v>1.03130225848837E-2</v>
      </c>
    </row>
    <row r="36" spans="1:27" x14ac:dyDescent="0.25">
      <c r="A36" t="str">
        <f t="shared" si="0"/>
        <v>mean_amp</v>
      </c>
      <c r="B36" s="2">
        <f t="shared" si="1"/>
        <v>7.9700859123076097E-3</v>
      </c>
      <c r="C36" s="3">
        <f t="shared" si="2"/>
        <v>44781.625694444447</v>
      </c>
      <c r="E36" s="1">
        <v>44781.011111111111</v>
      </c>
      <c r="F36" s="4">
        <v>2.5067641795970801E-8</v>
      </c>
      <c r="G36" s="4">
        <v>1.6993931409653301E-8</v>
      </c>
      <c r="H36" s="4">
        <v>1.6481765230170301E-8</v>
      </c>
      <c r="T36" t="s">
        <v>1</v>
      </c>
      <c r="U36">
        <v>0.112317926034409</v>
      </c>
      <c r="V36">
        <v>7.7748894996124401E-3</v>
      </c>
    </row>
    <row r="37" spans="1:27" x14ac:dyDescent="0.25">
      <c r="A37" t="str">
        <f t="shared" si="0"/>
        <v>median_amp</v>
      </c>
      <c r="B37" s="2">
        <f t="shared" si="1"/>
        <v>7.8558091078931302E-3</v>
      </c>
      <c r="C37" s="3">
        <f t="shared" si="2"/>
        <v>44781.625694444447</v>
      </c>
      <c r="E37" s="1">
        <v>44781.021527777775</v>
      </c>
      <c r="F37" s="4">
        <v>1.7594067479801701E-8</v>
      </c>
      <c r="G37" s="4">
        <v>1.1110559936786401E-8</v>
      </c>
      <c r="H37" s="4">
        <v>1.0702530073949501E-8</v>
      </c>
      <c r="T37" t="s">
        <v>2</v>
      </c>
      <c r="U37">
        <v>0.11117301127726099</v>
      </c>
      <c r="V37">
        <v>7.6956360133416798E-3</v>
      </c>
    </row>
    <row r="38" spans="1:27" x14ac:dyDescent="0.25">
      <c r="A38" t="str">
        <f t="shared" si="0"/>
        <v>impulses_ch6</v>
      </c>
      <c r="B38" s="2">
        <f t="shared" si="1"/>
        <v>0</v>
      </c>
      <c r="C38" s="3">
        <f t="shared" si="2"/>
        <v>44781.000694444447</v>
      </c>
      <c r="E38" s="1">
        <v>44781.031944444447</v>
      </c>
      <c r="F38" s="4">
        <v>1.1520902210338401E-8</v>
      </c>
      <c r="G38" s="4">
        <v>9.02844072250232E-9</v>
      </c>
      <c r="H38" s="4">
        <v>9.0574578898280608E-9</v>
      </c>
      <c r="T38" t="s">
        <v>3</v>
      </c>
      <c r="U38">
        <v>1</v>
      </c>
      <c r="V38">
        <v>0</v>
      </c>
    </row>
    <row r="39" spans="1:27" x14ac:dyDescent="0.25">
      <c r="A39" t="str">
        <f t="shared" si="0"/>
        <v>impulses_ch5</v>
      </c>
      <c r="B39" s="2">
        <f t="shared" si="1"/>
        <v>0</v>
      </c>
      <c r="C39" s="3">
        <f t="shared" si="2"/>
        <v>44781.000694444447</v>
      </c>
      <c r="E39" s="1">
        <v>44781.042361111111</v>
      </c>
      <c r="F39" s="4">
        <v>1.73181760643576E-8</v>
      </c>
      <c r="G39" s="4">
        <v>1.22777388432218E-8</v>
      </c>
      <c r="H39" s="4">
        <v>1.1891434254351E-8</v>
      </c>
      <c r="T39" t="s">
        <v>4</v>
      </c>
      <c r="U39">
        <v>251</v>
      </c>
      <c r="V39">
        <v>0</v>
      </c>
    </row>
    <row r="40" spans="1:27" x14ac:dyDescent="0.25">
      <c r="A40" t="str">
        <f t="shared" si="0"/>
        <v>impulses_ch4</v>
      </c>
      <c r="B40" s="2">
        <f t="shared" si="1"/>
        <v>17</v>
      </c>
      <c r="C40" s="3">
        <f t="shared" si="2"/>
        <v>44781.636111111111</v>
      </c>
      <c r="E40" s="1">
        <v>44781.052777777775</v>
      </c>
      <c r="F40" s="4">
        <v>1.3861372170813401E-8</v>
      </c>
      <c r="G40" s="4">
        <v>1.10118657841951E-8</v>
      </c>
      <c r="H40" s="4">
        <v>1.0985248006165E-8</v>
      </c>
      <c r="T40" t="s">
        <v>5</v>
      </c>
      <c r="U40">
        <v>10425</v>
      </c>
      <c r="V40">
        <v>3</v>
      </c>
    </row>
    <row r="41" spans="1:27" x14ac:dyDescent="0.25">
      <c r="A41" t="str">
        <f t="shared" si="0"/>
        <v>impulses_ch3</v>
      </c>
      <c r="B41" s="2">
        <f t="shared" si="1"/>
        <v>1101</v>
      </c>
      <c r="C41" s="3">
        <f t="shared" si="2"/>
        <v>44781.625694444447</v>
      </c>
      <c r="E41" s="1">
        <v>44781.063194444447</v>
      </c>
      <c r="F41" s="4">
        <v>1.7379699605599699E-8</v>
      </c>
      <c r="G41" s="4">
        <v>1.1343085245931999E-8</v>
      </c>
      <c r="H41" s="4">
        <v>1.12600482521935E-8</v>
      </c>
      <c r="T41" t="s">
        <v>6</v>
      </c>
      <c r="U41">
        <v>14547</v>
      </c>
      <c r="V41">
        <v>336</v>
      </c>
    </row>
    <row r="42" spans="1:27" x14ac:dyDescent="0.25">
      <c r="A42" t="str">
        <f t="shared" si="0"/>
        <v>impulses_ch2</v>
      </c>
      <c r="B42" s="2">
        <f t="shared" si="1"/>
        <v>28713</v>
      </c>
      <c r="C42" s="3">
        <f t="shared" si="2"/>
        <v>44781.625694444447</v>
      </c>
      <c r="E42" s="1">
        <v>44781.073611111111</v>
      </c>
      <c r="F42" s="4">
        <v>1.9817270241934502E-8</v>
      </c>
      <c r="G42" s="4">
        <v>1.4062870728409799E-8</v>
      </c>
      <c r="H42" s="4">
        <v>1.3347457715399E-8</v>
      </c>
      <c r="T42" t="s">
        <v>7</v>
      </c>
      <c r="U42">
        <v>15000</v>
      </c>
      <c r="V42">
        <v>11744</v>
      </c>
    </row>
    <row r="43" spans="1:27" x14ac:dyDescent="0.25">
      <c r="A43" t="str">
        <f t="shared" si="0"/>
        <v>impulses_ch1</v>
      </c>
      <c r="B43" s="2">
        <f t="shared" si="1"/>
        <v>36173</v>
      </c>
      <c r="C43" s="3">
        <f t="shared" si="2"/>
        <v>44781.667361111111</v>
      </c>
      <c r="E43" s="1">
        <v>44781.084027777775</v>
      </c>
      <c r="F43" s="4">
        <v>2.1170675392527701E-8</v>
      </c>
      <c r="G43" s="4">
        <v>1.5825863676166399E-8</v>
      </c>
      <c r="H43" s="4">
        <v>1.5436239139985899E-8</v>
      </c>
      <c r="T43" t="s">
        <v>8</v>
      </c>
      <c r="U43">
        <v>13501</v>
      </c>
      <c r="V43">
        <v>15383</v>
      </c>
    </row>
    <row r="44" spans="1:27" x14ac:dyDescent="0.25">
      <c r="A44" t="str">
        <f t="shared" si="0"/>
        <v>max_env_ch6</v>
      </c>
      <c r="B44" s="2">
        <f t="shared" si="1"/>
        <v>0</v>
      </c>
      <c r="C44" s="3">
        <f t="shared" si="2"/>
        <v>44781.000694444447</v>
      </c>
      <c r="E44" s="1">
        <v>44781.094444444447</v>
      </c>
      <c r="F44" s="4">
        <v>1.7242505459809501E-8</v>
      </c>
      <c r="G44" s="4">
        <v>1.1932987192739699E-8</v>
      </c>
      <c r="H44" s="4">
        <v>1.17347870714543E-8</v>
      </c>
    </row>
    <row r="45" spans="1:27" x14ac:dyDescent="0.25">
      <c r="A45" t="str">
        <f t="shared" si="0"/>
        <v>mean_env_ch6</v>
      </c>
      <c r="B45" s="2">
        <f t="shared" si="1"/>
        <v>0</v>
      </c>
      <c r="C45" s="3">
        <f t="shared" si="2"/>
        <v>44781.000694444447</v>
      </c>
      <c r="E45" s="1">
        <v>44781.104861111111</v>
      </c>
      <c r="F45" s="4">
        <v>1.35743675942321E-8</v>
      </c>
      <c r="G45" s="4">
        <v>9.9537092479160294E-9</v>
      </c>
      <c r="H45" s="4">
        <v>9.7997015836837508E-9</v>
      </c>
    </row>
    <row r="46" spans="1:27" x14ac:dyDescent="0.25">
      <c r="A46" t="str">
        <f t="shared" si="0"/>
        <v>median_env_ch6</v>
      </c>
      <c r="B46" s="2">
        <f t="shared" si="1"/>
        <v>0</v>
      </c>
      <c r="C46" s="3">
        <f t="shared" si="2"/>
        <v>44781.000694444447</v>
      </c>
      <c r="E46" s="1">
        <v>44781.115277777775</v>
      </c>
      <c r="F46" s="4">
        <v>1.4772012007367099E-8</v>
      </c>
      <c r="G46" s="4">
        <v>1.02035026895234E-8</v>
      </c>
      <c r="H46" s="4">
        <v>1.00688403114362E-8</v>
      </c>
      <c r="U46" t="s">
        <v>35</v>
      </c>
    </row>
    <row r="47" spans="1:27" x14ac:dyDescent="0.25">
      <c r="A47" t="str">
        <f t="shared" si="0"/>
        <v>max_env_ch5</v>
      </c>
      <c r="B47" s="2">
        <f t="shared" si="1"/>
        <v>0</v>
      </c>
      <c r="C47" s="3">
        <f t="shared" si="2"/>
        <v>44781.000694444447</v>
      </c>
      <c r="E47" s="1">
        <v>44781.125694444447</v>
      </c>
      <c r="F47" s="4">
        <v>1.29305830131812E-8</v>
      </c>
      <c r="G47" s="4">
        <v>9.8920389735566796E-9</v>
      </c>
      <c r="H47" s="4">
        <v>9.9234654398772607E-9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t="str">
        <f t="shared" si="0"/>
        <v>mean_env_ch5</v>
      </c>
      <c r="B48" s="2">
        <f t="shared" si="1"/>
        <v>0</v>
      </c>
      <c r="C48" s="3">
        <f t="shared" si="2"/>
        <v>44781.000694444447</v>
      </c>
      <c r="E48" s="1">
        <v>44781.136111111111</v>
      </c>
      <c r="F48" s="4">
        <v>1.5842012023537899E-8</v>
      </c>
      <c r="G48" s="4">
        <v>1.23195177617824E-8</v>
      </c>
      <c r="H48" s="4">
        <v>1.21883017770695E-8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 s="2">
        <v>0</v>
      </c>
      <c r="Z48" s="2">
        <v>0</v>
      </c>
      <c r="AA48" s="2">
        <v>0</v>
      </c>
    </row>
    <row r="49" spans="1:27" x14ac:dyDescent="0.25">
      <c r="A49" t="str">
        <f t="shared" si="0"/>
        <v>median_env_ch5</v>
      </c>
      <c r="B49" s="2">
        <f t="shared" si="1"/>
        <v>0</v>
      </c>
      <c r="C49" s="3">
        <f t="shared" si="2"/>
        <v>44781.000694444447</v>
      </c>
      <c r="E49" s="1">
        <v>44781.146527777775</v>
      </c>
      <c r="F49" s="4">
        <v>1.9850834029230498E-8</v>
      </c>
      <c r="G49" s="4">
        <v>1.3024330135135601E-8</v>
      </c>
      <c r="H49" s="4">
        <v>1.2876765836887899E-8</v>
      </c>
      <c r="T49" t="s">
        <v>40</v>
      </c>
      <c r="U49" s="4">
        <f>B47</f>
        <v>0</v>
      </c>
      <c r="V49" s="4">
        <f>B48</f>
        <v>0</v>
      </c>
      <c r="W49" s="4">
        <f>B49</f>
        <v>0</v>
      </c>
      <c r="Y49" s="2">
        <v>0</v>
      </c>
      <c r="Z49" s="2">
        <v>0</v>
      </c>
      <c r="AA49" s="2">
        <v>0</v>
      </c>
    </row>
    <row r="50" spans="1:27" x14ac:dyDescent="0.25">
      <c r="A50" t="str">
        <f t="shared" si="0"/>
        <v>max_env_ch4</v>
      </c>
      <c r="B50" s="2">
        <f t="shared" si="1"/>
        <v>0.14382894142458799</v>
      </c>
      <c r="C50" s="3">
        <f t="shared" si="2"/>
        <v>44781.636111111111</v>
      </c>
      <c r="E50" s="1">
        <v>44781.156944444447</v>
      </c>
      <c r="F50" s="4">
        <v>1.16789922676441E-8</v>
      </c>
      <c r="G50" s="4">
        <v>9.2950421705949502E-9</v>
      </c>
      <c r="H50" s="4">
        <v>9.2133237857039204E-9</v>
      </c>
      <c r="T50" t="s">
        <v>41</v>
      </c>
      <c r="U50" s="4">
        <f>B50</f>
        <v>0.14382894142458799</v>
      </c>
      <c r="V50" s="4">
        <f>B51</f>
        <v>0.13735789073556501</v>
      </c>
      <c r="W50" s="4">
        <f>B52</f>
        <v>0.137945758770084</v>
      </c>
      <c r="Y50" s="2">
        <v>0.15462933529162801</v>
      </c>
      <c r="Z50" s="2">
        <v>0.15462933529162801</v>
      </c>
      <c r="AA50" s="2">
        <v>0.15462933529162801</v>
      </c>
    </row>
    <row r="51" spans="1:27" x14ac:dyDescent="0.25">
      <c r="A51" t="str">
        <f t="shared" si="0"/>
        <v>mean_env_ch4</v>
      </c>
      <c r="B51" s="2">
        <f t="shared" si="1"/>
        <v>0.13735789073556501</v>
      </c>
      <c r="C51" s="3">
        <f t="shared" si="2"/>
        <v>44781.625694444447</v>
      </c>
      <c r="E51" s="1">
        <v>44781.167361111111</v>
      </c>
      <c r="F51" s="4">
        <v>9.4925952184214506E-9</v>
      </c>
      <c r="G51" s="4">
        <v>7.5348576440005792E-9</v>
      </c>
      <c r="H51" s="4">
        <v>7.5066093998211208E-9</v>
      </c>
      <c r="T51" t="s">
        <v>42</v>
      </c>
      <c r="U51" s="4">
        <f>B53</f>
        <v>0.70460204460160802</v>
      </c>
      <c r="V51" s="4">
        <f>B54</f>
        <v>0.51008549838768702</v>
      </c>
      <c r="W51" s="4">
        <f>B55</f>
        <v>0.50277178290516</v>
      </c>
      <c r="Y51" s="2">
        <v>0.66003344543256104</v>
      </c>
      <c r="Z51" s="2">
        <v>0.50349909973876406</v>
      </c>
      <c r="AA51" s="2">
        <v>0.49734210593101602</v>
      </c>
    </row>
    <row r="52" spans="1:27" x14ac:dyDescent="0.25">
      <c r="A52" t="str">
        <f t="shared" si="0"/>
        <v>median_env_ch4</v>
      </c>
      <c r="B52" s="2">
        <f t="shared" si="1"/>
        <v>0.137945758770084</v>
      </c>
      <c r="C52" s="3">
        <f t="shared" si="2"/>
        <v>44781.625694444447</v>
      </c>
      <c r="E52" s="1">
        <v>44781.177777777775</v>
      </c>
      <c r="F52" s="4">
        <v>1.15248404721316E-8</v>
      </c>
      <c r="G52" s="4">
        <v>8.7648104339019099E-9</v>
      </c>
      <c r="H52" s="4">
        <v>8.5507922259153799E-9</v>
      </c>
      <c r="T52" t="s">
        <v>43</v>
      </c>
      <c r="U52" s="4">
        <f>B56</f>
        <v>2.8184081784064299</v>
      </c>
      <c r="V52" s="4">
        <f>B57</f>
        <v>2.0403419935507401</v>
      </c>
      <c r="W52" s="4">
        <f>B58</f>
        <v>2.01108713162064</v>
      </c>
      <c r="Y52" s="2">
        <v>2.6401337817302402</v>
      </c>
      <c r="Z52" s="2">
        <v>1.99037171190078</v>
      </c>
      <c r="AA52" s="2">
        <v>1.97008281941547</v>
      </c>
    </row>
    <row r="53" spans="1:27" x14ac:dyDescent="0.25">
      <c r="A53" t="str">
        <f t="shared" si="0"/>
        <v>max_env_ch3</v>
      </c>
      <c r="B53" s="2">
        <f t="shared" si="1"/>
        <v>0.70460204460160802</v>
      </c>
      <c r="C53" s="3">
        <f t="shared" si="2"/>
        <v>44781.625694444447</v>
      </c>
      <c r="E53" s="1">
        <v>44781.188194444447</v>
      </c>
      <c r="F53" s="4">
        <v>1.5013900722201999E-8</v>
      </c>
      <c r="G53" s="4">
        <v>1.10856575200662E-8</v>
      </c>
      <c r="H53" s="4">
        <v>1.09391693441101E-8</v>
      </c>
      <c r="T53" t="s">
        <v>44</v>
      </c>
      <c r="U53" s="4">
        <f>B59</f>
        <v>11.2736327136257</v>
      </c>
      <c r="V53" s="4">
        <f>B60</f>
        <v>8.1613679742029905</v>
      </c>
      <c r="W53" s="4">
        <f>B61</f>
        <v>8.0443485264825707</v>
      </c>
      <c r="Y53" s="2">
        <v>10.5605351269209</v>
      </c>
      <c r="Z53" s="2">
        <v>7.9614868476031404</v>
      </c>
      <c r="AA53" s="2">
        <v>7.8803312776618801</v>
      </c>
    </row>
    <row r="54" spans="1:27" x14ac:dyDescent="0.25">
      <c r="A54" t="str">
        <f t="shared" si="0"/>
        <v>mean_env_ch3</v>
      </c>
      <c r="B54" s="2">
        <f t="shared" si="1"/>
        <v>0.51008549838768702</v>
      </c>
      <c r="C54" s="3">
        <f t="shared" si="2"/>
        <v>44781.625694444447</v>
      </c>
      <c r="E54" s="1">
        <v>44781.198611111111</v>
      </c>
      <c r="F54" s="4">
        <v>1.4562433557529699E-8</v>
      </c>
      <c r="G54" s="4">
        <v>1.0820789576809301E-8</v>
      </c>
      <c r="H54" s="4">
        <v>1.06373187943284E-8</v>
      </c>
    </row>
    <row r="55" spans="1:27" x14ac:dyDescent="0.25">
      <c r="A55" t="str">
        <f t="shared" si="0"/>
        <v>median_env_ch3</v>
      </c>
      <c r="B55" s="2">
        <f t="shared" si="1"/>
        <v>0.50277178290516</v>
      </c>
      <c r="C55" s="3">
        <f t="shared" si="2"/>
        <v>44781.625694444447</v>
      </c>
      <c r="E55" s="1">
        <v>44781.209027777775</v>
      </c>
      <c r="F55" s="4">
        <v>1.29347352580495E-8</v>
      </c>
      <c r="G55" s="4">
        <v>9.0666964647597404E-9</v>
      </c>
      <c r="H55" s="4">
        <v>8.8524441629148807E-9</v>
      </c>
    </row>
    <row r="56" spans="1:27" x14ac:dyDescent="0.25">
      <c r="A56" t="str">
        <f t="shared" si="0"/>
        <v>max_env_ch2</v>
      </c>
      <c r="B56" s="2">
        <f t="shared" si="1"/>
        <v>2.8184081784064299</v>
      </c>
      <c r="C56" s="3">
        <f t="shared" si="2"/>
        <v>44781.625694444447</v>
      </c>
      <c r="E56" s="1">
        <v>44781.219444444447</v>
      </c>
      <c r="F56" s="4">
        <v>1.45156377391152E-8</v>
      </c>
      <c r="G56" s="4">
        <v>9.7350771525513093E-9</v>
      </c>
      <c r="H56" s="4">
        <v>9.7062286384277898E-9</v>
      </c>
    </row>
    <row r="57" spans="1:27" x14ac:dyDescent="0.25">
      <c r="A57" t="str">
        <f t="shared" si="0"/>
        <v>mean_env_ch2</v>
      </c>
      <c r="B57" s="2">
        <f t="shared" si="1"/>
        <v>2.0403419935507401</v>
      </c>
      <c r="C57" s="3">
        <f t="shared" si="2"/>
        <v>44781.625694444447</v>
      </c>
      <c r="E57" s="1">
        <v>44781.229861111111</v>
      </c>
      <c r="F57" s="4">
        <v>1.00612811281148E-8</v>
      </c>
      <c r="G57" s="4">
        <v>7.5838404521162604E-9</v>
      </c>
      <c r="H57" s="4">
        <v>7.4776855701739697E-9</v>
      </c>
    </row>
    <row r="58" spans="1:27" x14ac:dyDescent="0.25">
      <c r="A58" t="str">
        <f t="shared" si="0"/>
        <v>median_env_ch2</v>
      </c>
      <c r="B58" s="2">
        <f t="shared" si="1"/>
        <v>2.01108713162064</v>
      </c>
      <c r="C58" s="3">
        <f t="shared" si="2"/>
        <v>44781.625694444447</v>
      </c>
      <c r="E58" s="1">
        <v>44781.240277777775</v>
      </c>
      <c r="F58" s="4">
        <v>1.09222670926897E-8</v>
      </c>
      <c r="G58" s="4">
        <v>7.9258275182130999E-9</v>
      </c>
      <c r="H58" s="4">
        <v>7.9085810846291201E-9</v>
      </c>
    </row>
    <row r="59" spans="1:27" x14ac:dyDescent="0.25">
      <c r="A59" t="str">
        <f t="shared" si="0"/>
        <v>max_env_ch1</v>
      </c>
      <c r="B59" s="2">
        <f t="shared" si="1"/>
        <v>11.2736327136257</v>
      </c>
      <c r="C59" s="3">
        <f t="shared" si="2"/>
        <v>44781.625694444447</v>
      </c>
      <c r="E59" s="1">
        <v>44781.250694444447</v>
      </c>
      <c r="F59" s="4">
        <v>1.30593320397655E-8</v>
      </c>
      <c r="G59" s="4">
        <v>1.04207326879707E-8</v>
      </c>
      <c r="H59" s="4">
        <v>1.0275560333004301E-8</v>
      </c>
    </row>
    <row r="60" spans="1:27" x14ac:dyDescent="0.25">
      <c r="A60" t="str">
        <f t="shared" si="0"/>
        <v>mean_env_ch1</v>
      </c>
      <c r="B60" s="2">
        <f t="shared" si="1"/>
        <v>8.1613679742029905</v>
      </c>
      <c r="C60" s="3">
        <f t="shared" si="2"/>
        <v>44781.625694444447</v>
      </c>
      <c r="E60" s="1">
        <v>44781.261111111111</v>
      </c>
      <c r="F60" s="4">
        <v>1.21468056690243E-8</v>
      </c>
      <c r="G60" s="4">
        <v>8.5784976215300098E-9</v>
      </c>
      <c r="H60" s="4">
        <v>8.4399986782839705E-9</v>
      </c>
    </row>
    <row r="61" spans="1:27" x14ac:dyDescent="0.25">
      <c r="A61" t="str">
        <f t="shared" ref="A61" si="3">A28</f>
        <v>median_env_ch1</v>
      </c>
      <c r="B61" s="2">
        <f t="shared" ref="B61" si="4">MAX(B28:CT28)</f>
        <v>8.0443485264825707</v>
      </c>
      <c r="C61" s="3">
        <f t="shared" ref="C61" si="5">_xlfn.XLOOKUP(MAX(B28:CS28), B28:CS28, $B$1:$CS$1)</f>
        <v>44781.625694444447</v>
      </c>
      <c r="E61" s="1">
        <v>44781.271527777775</v>
      </c>
      <c r="F61" s="4">
        <v>1.02844136122742E-8</v>
      </c>
      <c r="G61" s="4">
        <v>7.4158309200573703E-9</v>
      </c>
      <c r="H61" s="4">
        <v>7.29414543896144E-9</v>
      </c>
    </row>
    <row r="62" spans="1:27" x14ac:dyDescent="0.25">
      <c r="A62" t="s">
        <v>32</v>
      </c>
      <c r="B62" s="2">
        <f t="shared" ref="B62:B63" si="6">MAX(B29:CT29)</f>
        <v>32.007500319999998</v>
      </c>
      <c r="C62" s="3">
        <f t="shared" ref="C62:C63" si="7">_xlfn.XLOOKUP(MAX(B29:CS29), B29:CS29, $B$1:$CS$1)</f>
        <v>44781.625694444447</v>
      </c>
      <c r="E62" s="1">
        <v>44781.281944444447</v>
      </c>
      <c r="F62" s="4">
        <v>9.7416325055494695E-9</v>
      </c>
      <c r="G62" s="4">
        <v>7.8000359752117498E-9</v>
      </c>
      <c r="H62" s="4">
        <v>7.7577005294362308E-9</v>
      </c>
    </row>
    <row r="63" spans="1:27" x14ac:dyDescent="0.25">
      <c r="A63" t="s">
        <v>33</v>
      </c>
      <c r="B63" s="2">
        <f t="shared" si="6"/>
        <v>18.683979090804002</v>
      </c>
      <c r="C63" s="3">
        <f t="shared" si="7"/>
        <v>44781.625694444447</v>
      </c>
      <c r="E63" s="1">
        <v>44781.292361111111</v>
      </c>
      <c r="F63" s="4">
        <v>1.14327944707451E-8</v>
      </c>
      <c r="G63" s="4">
        <v>7.0828735794765198E-9</v>
      </c>
      <c r="H63" s="4">
        <v>6.9252956896037996E-9</v>
      </c>
    </row>
    <row r="64" spans="1:27" x14ac:dyDescent="0.25">
      <c r="E64" s="1">
        <v>44781.302777777775</v>
      </c>
      <c r="F64" s="4">
        <v>9.5267729720812402E-9</v>
      </c>
      <c r="G64" s="4">
        <v>6.4513988984525204E-9</v>
      </c>
      <c r="H64" s="4">
        <v>6.4458549186617302E-9</v>
      </c>
    </row>
    <row r="65" spans="5:8" x14ac:dyDescent="0.25">
      <c r="E65" s="1">
        <v>44781.313194444447</v>
      </c>
      <c r="F65" s="4">
        <v>9.9105736620194694E-9</v>
      </c>
      <c r="G65" s="4">
        <v>7.2818728205971797E-9</v>
      </c>
      <c r="H65" s="4">
        <v>7.1496251672903197E-9</v>
      </c>
    </row>
    <row r="66" spans="5:8" x14ac:dyDescent="0.25">
      <c r="E66" s="1">
        <v>44781.323611111111</v>
      </c>
      <c r="F66" s="4">
        <v>1.1091989786575401E-8</v>
      </c>
      <c r="G66" s="4">
        <v>8.0462237070598607E-9</v>
      </c>
      <c r="H66" s="4">
        <v>7.9792300750312906E-9</v>
      </c>
    </row>
    <row r="67" spans="5:8" x14ac:dyDescent="0.25">
      <c r="E67" s="1">
        <v>44781.334027777775</v>
      </c>
      <c r="F67" s="4">
        <v>1.3062474946209101E-8</v>
      </c>
      <c r="G67" s="4">
        <v>9.1412830066434794E-9</v>
      </c>
      <c r="H67" s="4">
        <v>9.06250368359216E-9</v>
      </c>
    </row>
    <row r="68" spans="5:8" x14ac:dyDescent="0.25">
      <c r="E68" s="1">
        <v>44781.344444444447</v>
      </c>
      <c r="F68" s="4">
        <v>1.3348679805796E-8</v>
      </c>
      <c r="G68" s="4">
        <v>8.6644236888439392E-9</v>
      </c>
      <c r="H68" s="4">
        <v>8.6454598933598705E-9</v>
      </c>
    </row>
    <row r="69" spans="5:8" x14ac:dyDescent="0.25">
      <c r="E69" s="1">
        <v>44781.354861111111</v>
      </c>
      <c r="F69" s="4">
        <v>1.18194980557907E-8</v>
      </c>
      <c r="G69" s="4">
        <v>8.1380588993041893E-9</v>
      </c>
      <c r="H69" s="4">
        <v>7.8105278519879504E-9</v>
      </c>
    </row>
    <row r="70" spans="5:8" x14ac:dyDescent="0.25">
      <c r="E70" s="1">
        <v>44781.365277777775</v>
      </c>
      <c r="F70" s="4">
        <v>1.06206101283769E-8</v>
      </c>
      <c r="G70" s="4">
        <v>6.50727389293259E-9</v>
      </c>
      <c r="H70" s="4">
        <v>6.2437535947450096E-9</v>
      </c>
    </row>
    <row r="71" spans="5:8" x14ac:dyDescent="0.25">
      <c r="E71" s="1">
        <v>44781.375694444447</v>
      </c>
      <c r="F71" s="4">
        <v>7.40609733328566E-9</v>
      </c>
      <c r="G71" s="4">
        <v>5.0829816647472298E-9</v>
      </c>
      <c r="H71" s="4">
        <v>5.0427926111127498E-9</v>
      </c>
    </row>
    <row r="72" spans="5:8" x14ac:dyDescent="0.25">
      <c r="E72" s="1">
        <v>44781.386111111111</v>
      </c>
      <c r="F72" s="4">
        <v>8.4461589863701507E-9</v>
      </c>
      <c r="G72" s="4">
        <v>5.47000075402761E-9</v>
      </c>
      <c r="H72" s="4">
        <v>5.3460048542051102E-9</v>
      </c>
    </row>
    <row r="73" spans="5:8" x14ac:dyDescent="0.25">
      <c r="E73" s="1">
        <v>44781.396527777775</v>
      </c>
      <c r="F73" s="4">
        <v>6.1974236192305796E-9</v>
      </c>
      <c r="G73" s="4">
        <v>4.72799005264294E-9</v>
      </c>
      <c r="H73" s="4">
        <v>4.7060936602565104E-9</v>
      </c>
    </row>
    <row r="74" spans="5:8" x14ac:dyDescent="0.25">
      <c r="E74" s="1">
        <v>44781.406944444447</v>
      </c>
      <c r="F74" s="4">
        <v>6.9174104480876099E-9</v>
      </c>
      <c r="G74" s="4">
        <v>4.6877305286759502E-9</v>
      </c>
      <c r="H74" s="4">
        <v>4.5779079089452702E-9</v>
      </c>
    </row>
    <row r="75" spans="5:8" x14ac:dyDescent="0.25">
      <c r="E75" s="1">
        <v>44781.417361111111</v>
      </c>
      <c r="F75" s="4">
        <v>6.32816515555179E-9</v>
      </c>
      <c r="G75" s="4">
        <v>4.6070326879360398E-9</v>
      </c>
      <c r="H75" s="4">
        <v>4.5918475828262896E-9</v>
      </c>
    </row>
    <row r="76" spans="5:8" x14ac:dyDescent="0.25">
      <c r="E76" s="1">
        <v>44781.427777777775</v>
      </c>
      <c r="F76" s="4">
        <v>7.28540229665392E-9</v>
      </c>
      <c r="G76" s="4">
        <v>5.7395984617146599E-9</v>
      </c>
      <c r="H76" s="4">
        <v>5.6509632883029799E-9</v>
      </c>
    </row>
    <row r="77" spans="5:8" x14ac:dyDescent="0.25">
      <c r="E77" s="1">
        <v>44781.438194444447</v>
      </c>
      <c r="F77" s="4">
        <v>1.0095850280173401E-8</v>
      </c>
      <c r="G77" s="4">
        <v>6.4907686245721097E-9</v>
      </c>
      <c r="H77" s="4">
        <v>6.4023906307448604E-9</v>
      </c>
    </row>
    <row r="78" spans="5:8" x14ac:dyDescent="0.25">
      <c r="E78" s="1">
        <v>44781.448611111111</v>
      </c>
      <c r="F78" s="4">
        <v>8.7185632776942095E-9</v>
      </c>
      <c r="G78" s="4">
        <v>6.3293531595371501E-9</v>
      </c>
      <c r="H78" s="4">
        <v>6.15037878880983E-9</v>
      </c>
    </row>
    <row r="79" spans="5:8" x14ac:dyDescent="0.25">
      <c r="E79" s="1">
        <v>44781.459027777775</v>
      </c>
      <c r="F79" s="4">
        <v>8.34725172528678E-9</v>
      </c>
      <c r="G79" s="4">
        <v>5.9759176962636097E-9</v>
      </c>
      <c r="H79" s="4">
        <v>5.8063179443663297E-9</v>
      </c>
    </row>
    <row r="80" spans="5:8" x14ac:dyDescent="0.25">
      <c r="E80" s="1">
        <v>44781.469444444447</v>
      </c>
      <c r="F80" s="4">
        <v>7.4372115329053898E-9</v>
      </c>
      <c r="G80" s="4">
        <v>5.5646273014940503E-9</v>
      </c>
      <c r="H80" s="4">
        <v>5.4778019322786803E-9</v>
      </c>
    </row>
    <row r="81" spans="5:8" x14ac:dyDescent="0.25">
      <c r="E81" s="1">
        <v>44781.479861111111</v>
      </c>
      <c r="F81" s="4">
        <v>9.9835595857672397E-9</v>
      </c>
      <c r="G81" s="4">
        <v>7.0267352286048103E-9</v>
      </c>
      <c r="H81" s="4">
        <v>6.89016388329679E-9</v>
      </c>
    </row>
    <row r="82" spans="5:8" x14ac:dyDescent="0.25">
      <c r="E82" s="1">
        <v>44781.490277777775</v>
      </c>
      <c r="F82" s="4">
        <v>1.1165384985735599E-8</v>
      </c>
      <c r="G82" s="4">
        <v>8.1120448806285496E-9</v>
      </c>
      <c r="H82" s="4">
        <v>8.0238818322631193E-9</v>
      </c>
    </row>
    <row r="83" spans="5:8" x14ac:dyDescent="0.25">
      <c r="E83" s="1">
        <v>44781.500694444447</v>
      </c>
      <c r="F83" s="4">
        <v>6.9466293265400496E-9</v>
      </c>
      <c r="G83" s="4">
        <v>5.7165196891903698E-9</v>
      </c>
      <c r="H83" s="4">
        <v>5.6674283648872199E-9</v>
      </c>
    </row>
    <row r="84" spans="5:8" x14ac:dyDescent="0.25">
      <c r="E84" s="1">
        <v>44781.511111111111</v>
      </c>
      <c r="F84" s="4">
        <v>6.8117547066147198E-9</v>
      </c>
      <c r="G84" s="4">
        <v>4.6825188138704401E-9</v>
      </c>
      <c r="H84" s="4">
        <v>4.5132726888042003E-9</v>
      </c>
    </row>
    <row r="85" spans="5:8" x14ac:dyDescent="0.25">
      <c r="E85" s="1">
        <v>44781.521527777775</v>
      </c>
      <c r="F85" s="4">
        <v>1.0063859852835099E-8</v>
      </c>
      <c r="G85" s="4">
        <v>6.84540696641487E-9</v>
      </c>
      <c r="H85" s="4">
        <v>6.6806401961204599E-9</v>
      </c>
    </row>
    <row r="86" spans="5:8" x14ac:dyDescent="0.25">
      <c r="E86" s="1">
        <v>44781.531944444447</v>
      </c>
      <c r="F86" s="4">
        <v>1.2842809199053001E-8</v>
      </c>
      <c r="G86" s="4">
        <v>9.2656323176021903E-9</v>
      </c>
      <c r="H86" s="4">
        <v>9.1296565686098997E-9</v>
      </c>
    </row>
    <row r="87" spans="5:8" x14ac:dyDescent="0.25">
      <c r="E87" s="1">
        <v>44781.542361111111</v>
      </c>
      <c r="F87" s="4">
        <v>3.5780196042316697E-8</v>
      </c>
      <c r="G87" s="4">
        <v>2.3196453906791301E-8</v>
      </c>
      <c r="H87" s="4">
        <v>2.3255763140541299E-8</v>
      </c>
    </row>
    <row r="88" spans="5:8" x14ac:dyDescent="0.25">
      <c r="E88" s="1">
        <v>44781.552777777775</v>
      </c>
      <c r="F88" s="4">
        <v>1.30816767464494E-7</v>
      </c>
      <c r="G88" s="4">
        <v>1.00964698710095E-7</v>
      </c>
      <c r="H88" s="4">
        <v>9.92270244525908E-8</v>
      </c>
    </row>
    <row r="89" spans="5:8" x14ac:dyDescent="0.25">
      <c r="E89" s="1">
        <v>44781.563194444447</v>
      </c>
      <c r="F89" s="4">
        <v>1.5853121918232999E-7</v>
      </c>
      <c r="G89" s="4">
        <v>1.2432276051555401E-7</v>
      </c>
      <c r="H89" s="4">
        <v>1.2201232736340701E-7</v>
      </c>
    </row>
    <row r="90" spans="5:8" x14ac:dyDescent="0.25">
      <c r="E90" s="1">
        <v>44781.573611111111</v>
      </c>
      <c r="F90" s="4">
        <v>5.9807526318119304E-7</v>
      </c>
      <c r="G90" s="4">
        <v>4.16410089823409E-7</v>
      </c>
      <c r="H90" s="4">
        <v>4.0364332862755902E-7</v>
      </c>
    </row>
    <row r="91" spans="5:8" x14ac:dyDescent="0.25">
      <c r="E91" s="1">
        <v>44781.584027777775</v>
      </c>
      <c r="F91" s="4">
        <v>1.2616159790631901E-5</v>
      </c>
      <c r="G91" s="4">
        <v>8.6544649020026392E-6</v>
      </c>
      <c r="H91" s="4">
        <v>8.5031135066020596E-6</v>
      </c>
    </row>
    <row r="92" spans="5:8" x14ac:dyDescent="0.25">
      <c r="E92" s="1">
        <v>44781.594444444447</v>
      </c>
      <c r="F92">
        <v>2.05117605670511E-4</v>
      </c>
      <c r="G92">
        <v>1.63404252304588E-4</v>
      </c>
      <c r="H92">
        <v>1.6231017287086301E-4</v>
      </c>
    </row>
    <row r="93" spans="5:8" x14ac:dyDescent="0.25">
      <c r="E93" s="1">
        <v>44781.604861111111</v>
      </c>
      <c r="F93">
        <v>1.63328311290035E-3</v>
      </c>
      <c r="G93">
        <v>1.25180167747011E-3</v>
      </c>
      <c r="H93">
        <v>1.2599092890278999E-3</v>
      </c>
    </row>
    <row r="94" spans="5:8" x14ac:dyDescent="0.25">
      <c r="E94" s="1">
        <v>44781.615277777775</v>
      </c>
      <c r="F94">
        <v>6.7965607237199599E-3</v>
      </c>
      <c r="G94">
        <v>4.4555820701342201E-3</v>
      </c>
      <c r="H94">
        <v>4.4166965562598198E-3</v>
      </c>
    </row>
    <row r="95" spans="5:8" x14ac:dyDescent="0.25">
      <c r="E95" s="1">
        <v>44781.625694444447</v>
      </c>
      <c r="F95">
        <v>1.1009406946900099E-2</v>
      </c>
      <c r="G95">
        <v>7.9700859123076097E-3</v>
      </c>
      <c r="H95">
        <v>7.8558091078931302E-3</v>
      </c>
    </row>
    <row r="96" spans="5:8" x14ac:dyDescent="0.25">
      <c r="E96" s="1">
        <v>44781.636111111111</v>
      </c>
      <c r="F96">
        <v>8.9943480211758207E-3</v>
      </c>
      <c r="G96">
        <v>7.3498348235841596E-3</v>
      </c>
      <c r="H96">
        <v>7.2506506127722097E-3</v>
      </c>
    </row>
    <row r="97" spans="5:8" x14ac:dyDescent="0.25">
      <c r="E97" s="1">
        <v>44781.646527777775</v>
      </c>
      <c r="F97">
        <v>9.0417129480271693E-3</v>
      </c>
      <c r="G97">
        <v>6.6699275342222402E-3</v>
      </c>
      <c r="H97">
        <v>6.5501312461542002E-3</v>
      </c>
    </row>
    <row r="98" spans="5:8" x14ac:dyDescent="0.25">
      <c r="E98" s="1">
        <v>44781.656944444447</v>
      </c>
      <c r="F98">
        <v>7.9928147097117E-3</v>
      </c>
      <c r="G98">
        <v>6.3767171823644999E-3</v>
      </c>
      <c r="H98">
        <v>6.2249847404091899E-3</v>
      </c>
    </row>
    <row r="99" spans="5:8" x14ac:dyDescent="0.25">
      <c r="E99" s="1">
        <v>44781.667361111111</v>
      </c>
      <c r="F99">
        <v>5.4624617327883604E-3</v>
      </c>
      <c r="G99">
        <v>4.0903457913729997E-3</v>
      </c>
      <c r="H99">
        <v>4.1186212620550897E-3</v>
      </c>
    </row>
    <row r="100" spans="5:8" x14ac:dyDescent="0.25">
      <c r="E100" s="1">
        <v>44781.677777777775</v>
      </c>
      <c r="F100">
        <v>3.2876564977182398E-3</v>
      </c>
      <c r="G100">
        <v>2.6058417642154902E-3</v>
      </c>
      <c r="H100">
        <v>2.60414846254545E-3</v>
      </c>
    </row>
    <row r="101" spans="5:8" x14ac:dyDescent="0.25">
      <c r="E101" s="1">
        <v>44781.688194444447</v>
      </c>
      <c r="F101">
        <v>2.3816785486162899E-3</v>
      </c>
      <c r="G101">
        <v>1.65565535718085E-3</v>
      </c>
      <c r="H101">
        <v>1.6056248710924999E-3</v>
      </c>
    </row>
    <row r="102" spans="5:8" x14ac:dyDescent="0.25">
      <c r="E102" s="1">
        <v>44781.698611111111</v>
      </c>
      <c r="F102">
        <v>1.2548875026224501E-3</v>
      </c>
      <c r="G102">
        <v>9.5942405127783501E-4</v>
      </c>
      <c r="H102">
        <v>9.4942941054271496E-4</v>
      </c>
    </row>
    <row r="103" spans="5:8" x14ac:dyDescent="0.25">
      <c r="E103" s="1">
        <v>44781.709027777775</v>
      </c>
      <c r="F103">
        <v>6.8274708682035997E-4</v>
      </c>
      <c r="G103">
        <v>5.2223097713969603E-4</v>
      </c>
      <c r="H103">
        <v>5.1525208836084198E-4</v>
      </c>
    </row>
    <row r="104" spans="5:8" x14ac:dyDescent="0.25">
      <c r="E104" s="1">
        <v>44781.719444444447</v>
      </c>
      <c r="F104">
        <v>5.4547237763573103E-4</v>
      </c>
      <c r="G104">
        <v>3.9229049757303399E-4</v>
      </c>
      <c r="H104">
        <v>3.8322979368790101E-4</v>
      </c>
    </row>
    <row r="105" spans="5:8" x14ac:dyDescent="0.25">
      <c r="E105" s="1">
        <v>44781.729861111111</v>
      </c>
      <c r="F105">
        <v>4.5094874490155998E-4</v>
      </c>
      <c r="G105">
        <v>2.9796641496116199E-4</v>
      </c>
      <c r="H105">
        <v>2.9198288635133899E-4</v>
      </c>
    </row>
    <row r="106" spans="5:8" x14ac:dyDescent="0.25">
      <c r="E106" s="1">
        <v>44781.740277777775</v>
      </c>
      <c r="F106">
        <v>2.8259038918480601E-4</v>
      </c>
      <c r="G106">
        <v>1.93269127027081E-4</v>
      </c>
      <c r="H106">
        <v>1.9338695347932401E-4</v>
      </c>
    </row>
    <row r="107" spans="5:8" x14ac:dyDescent="0.25">
      <c r="E107" s="1">
        <v>44781.750694444447</v>
      </c>
      <c r="F107">
        <v>3.6428215953024698E-4</v>
      </c>
      <c r="G107">
        <v>2.40544330247799E-4</v>
      </c>
      <c r="H107">
        <v>2.35452156714537E-4</v>
      </c>
    </row>
    <row r="108" spans="5:8" x14ac:dyDescent="0.25">
      <c r="E108" s="1">
        <v>44781.761111111111</v>
      </c>
      <c r="F108">
        <v>1.99936701875895E-4</v>
      </c>
      <c r="G108">
        <v>1.5881093547220399E-4</v>
      </c>
      <c r="H108">
        <v>1.58555042502395E-4</v>
      </c>
    </row>
    <row r="109" spans="5:8" x14ac:dyDescent="0.25">
      <c r="E109" s="1">
        <v>44781.771527777775</v>
      </c>
      <c r="F109" s="4">
        <v>7.2645406357815107E-5</v>
      </c>
      <c r="G109" s="4">
        <v>5.0985964398630101E-5</v>
      </c>
      <c r="H109" s="4">
        <v>5.0794349781337597E-5</v>
      </c>
    </row>
    <row r="110" spans="5:8" x14ac:dyDescent="0.25">
      <c r="E110" s="1">
        <v>44781.781944444447</v>
      </c>
      <c r="F110" s="4">
        <v>7.56159547780217E-5</v>
      </c>
      <c r="G110" s="4">
        <v>5.4033050677597897E-5</v>
      </c>
      <c r="H110" s="4">
        <v>5.2433128207794903E-5</v>
      </c>
    </row>
    <row r="111" spans="5:8" x14ac:dyDescent="0.25">
      <c r="E111" s="1">
        <v>44781.792361111111</v>
      </c>
      <c r="F111" s="4">
        <v>4.5464583434314597E-5</v>
      </c>
      <c r="G111" s="4">
        <v>2.93148134986538E-5</v>
      </c>
      <c r="H111" s="4">
        <v>2.9015048710938999E-5</v>
      </c>
    </row>
    <row r="112" spans="5:8" x14ac:dyDescent="0.25">
      <c r="E112" s="1">
        <v>44781.802777777775</v>
      </c>
      <c r="F112" s="4">
        <v>4.915233559206E-5</v>
      </c>
      <c r="G112" s="4">
        <v>3.2330376324374099E-5</v>
      </c>
      <c r="H112" s="4">
        <v>3.1594489524102599E-5</v>
      </c>
    </row>
    <row r="113" spans="5:8" x14ac:dyDescent="0.25">
      <c r="E113" s="1">
        <v>44781.813194444447</v>
      </c>
      <c r="F113" s="4">
        <v>7.5285953536546199E-5</v>
      </c>
      <c r="G113" s="4">
        <v>4.0580614477313299E-5</v>
      </c>
      <c r="H113" s="4">
        <v>3.9677423467233298E-5</v>
      </c>
    </row>
    <row r="114" spans="5:8" x14ac:dyDescent="0.25">
      <c r="E114" s="1">
        <v>44781.823611111111</v>
      </c>
      <c r="F114" s="4">
        <v>2.36274514213945E-5</v>
      </c>
      <c r="G114" s="4">
        <v>1.5705980765168301E-5</v>
      </c>
      <c r="H114" s="4">
        <v>1.5279521577596499E-5</v>
      </c>
    </row>
    <row r="115" spans="5:8" x14ac:dyDescent="0.25">
      <c r="E115" s="1">
        <v>44781.834027777775</v>
      </c>
      <c r="F115" s="4">
        <v>1.30656236994048E-5</v>
      </c>
      <c r="G115" s="4">
        <v>8.77531800676668E-6</v>
      </c>
      <c r="H115" s="4">
        <v>8.7302394871148802E-6</v>
      </c>
    </row>
    <row r="116" spans="5:8" x14ac:dyDescent="0.25">
      <c r="E116" s="1">
        <v>44781.844444444447</v>
      </c>
      <c r="F116" s="4">
        <v>1.62552722631288E-5</v>
      </c>
      <c r="G116" s="4">
        <v>1.0637917979395899E-5</v>
      </c>
      <c r="H116" s="4">
        <v>1.0440718273887999E-5</v>
      </c>
    </row>
    <row r="117" spans="5:8" x14ac:dyDescent="0.25">
      <c r="E117" s="1">
        <v>44781.854861111111</v>
      </c>
      <c r="F117" s="4">
        <v>8.4617179272708406E-6</v>
      </c>
      <c r="G117" s="4">
        <v>5.7491088964468698E-6</v>
      </c>
      <c r="H117" s="4">
        <v>5.73681912038392E-6</v>
      </c>
    </row>
    <row r="118" spans="5:8" x14ac:dyDescent="0.25">
      <c r="E118" s="1">
        <v>44781.865277777775</v>
      </c>
      <c r="F118" s="4">
        <v>2.72060944319374E-6</v>
      </c>
      <c r="G118" s="4">
        <v>1.9582358708784901E-6</v>
      </c>
      <c r="H118" s="4">
        <v>1.9247524491630602E-6</v>
      </c>
    </row>
    <row r="119" spans="5:8" x14ac:dyDescent="0.25">
      <c r="E119" s="1">
        <v>44781.875694444447</v>
      </c>
      <c r="F119" s="4">
        <v>8.6198066168450707E-6</v>
      </c>
      <c r="G119" s="4">
        <v>5.7685786368914701E-6</v>
      </c>
      <c r="H119" s="4">
        <v>5.8546820975153499E-6</v>
      </c>
    </row>
    <row r="120" spans="5:8" x14ac:dyDescent="0.25">
      <c r="E120" s="1">
        <v>44781.886111111111</v>
      </c>
      <c r="F120" s="4">
        <v>9.8737680565131194E-6</v>
      </c>
      <c r="G120" s="4">
        <v>6.1346768815599898E-6</v>
      </c>
      <c r="H120" s="4">
        <v>6.2000553674498902E-6</v>
      </c>
    </row>
    <row r="121" spans="5:8" x14ac:dyDescent="0.25">
      <c r="E121" s="1">
        <v>44781.896527777775</v>
      </c>
      <c r="F121" s="4">
        <v>3.62543062105412E-6</v>
      </c>
      <c r="G121" s="4">
        <v>2.5855560562754599E-6</v>
      </c>
      <c r="H121" s="4">
        <v>2.58084513039978E-6</v>
      </c>
    </row>
    <row r="122" spans="5:8" x14ac:dyDescent="0.25">
      <c r="E122" s="1">
        <v>44781.906944444447</v>
      </c>
      <c r="F122" s="4">
        <v>5.1770196379375703E-6</v>
      </c>
      <c r="G122" s="4">
        <v>3.1745913603245098E-6</v>
      </c>
      <c r="H122" s="4">
        <v>3.0173175094738999E-6</v>
      </c>
    </row>
    <row r="123" spans="5:8" x14ac:dyDescent="0.25">
      <c r="E123" s="1">
        <v>44781.917361111111</v>
      </c>
      <c r="F123" s="4">
        <v>4.1364578452331496E-6</v>
      </c>
      <c r="G123" s="4">
        <v>2.6973673674495002E-6</v>
      </c>
      <c r="H123" s="4">
        <v>2.66184554854633E-6</v>
      </c>
    </row>
    <row r="124" spans="5:8" x14ac:dyDescent="0.25">
      <c r="E124" s="1">
        <v>44781.927777777775</v>
      </c>
      <c r="F124" s="4">
        <v>2.24225319101812E-6</v>
      </c>
      <c r="G124" s="4">
        <v>1.6233024868994E-6</v>
      </c>
      <c r="H124" s="4">
        <v>1.59912114367056E-6</v>
      </c>
    </row>
    <row r="125" spans="5:8" x14ac:dyDescent="0.25">
      <c r="E125" s="1">
        <v>44781.938194444447</v>
      </c>
      <c r="F125" s="4">
        <v>1.1273321181959501E-6</v>
      </c>
      <c r="G125" s="4">
        <v>7.4225391034485196E-7</v>
      </c>
      <c r="H125" s="4">
        <v>7.4792324404798199E-7</v>
      </c>
    </row>
    <row r="126" spans="5:8" x14ac:dyDescent="0.25">
      <c r="E126" s="1">
        <v>44781.948611111111</v>
      </c>
      <c r="F126" s="4">
        <v>9.824868098894941E-7</v>
      </c>
      <c r="G126" s="4">
        <v>5.0977265297958797E-7</v>
      </c>
      <c r="H126" s="4">
        <v>5.07336801346938E-7</v>
      </c>
    </row>
    <row r="127" spans="5:8" x14ac:dyDescent="0.25">
      <c r="E127" s="1">
        <v>44781.959027777775</v>
      </c>
      <c r="F127" s="4">
        <v>7.1336422085263801E-7</v>
      </c>
      <c r="G127" s="4">
        <v>4.9967568047369495E-7</v>
      </c>
      <c r="H127" s="4">
        <v>4.8813559378618197E-7</v>
      </c>
    </row>
    <row r="128" spans="5:8" x14ac:dyDescent="0.25">
      <c r="E128" s="1">
        <v>44781.969444444447</v>
      </c>
      <c r="F128" s="4">
        <v>6.4931726402399996E-7</v>
      </c>
      <c r="G128" s="4">
        <v>4.11723051732112E-7</v>
      </c>
      <c r="H128" s="4">
        <v>4.0816101818634101E-7</v>
      </c>
    </row>
    <row r="129" spans="5:8" x14ac:dyDescent="0.25">
      <c r="E129" s="1">
        <v>44781.979861111111</v>
      </c>
      <c r="F129" s="4">
        <v>5.2154391813663602E-7</v>
      </c>
      <c r="G129" s="4">
        <v>3.7467868921224398E-7</v>
      </c>
      <c r="H129" s="4">
        <v>3.6512831001573099E-7</v>
      </c>
    </row>
    <row r="130" spans="5:8" x14ac:dyDescent="0.25">
      <c r="E130" s="1">
        <v>44781.990277777775</v>
      </c>
      <c r="F130" s="4">
        <v>6.7490505910082797E-7</v>
      </c>
      <c r="G130" s="4">
        <v>4.1927363607223701E-7</v>
      </c>
      <c r="H130" s="4">
        <v>4.0834177343066002E-7</v>
      </c>
    </row>
    <row r="131" spans="5:8" x14ac:dyDescent="0.25">
      <c r="E131" s="1">
        <v>44782.000694444447</v>
      </c>
      <c r="F131" s="4">
        <v>6.6541966892078898E-7</v>
      </c>
      <c r="G131" s="4">
        <v>4.4769911489172599E-7</v>
      </c>
      <c r="H131" s="4">
        <v>4.44382696822977E-7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storm3_results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2025-10-23T18:00:53Z</dcterms:created>
  <dcterms:modified xsi:type="dcterms:W3CDTF">2025-12-11T01:03:47Z</dcterms:modified>
</cp:coreProperties>
</file>