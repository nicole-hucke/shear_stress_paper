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2_amp_function_by_season\calculations\"/>
    </mc:Choice>
  </mc:AlternateContent>
  <xr:revisionPtr revIDLastSave="0" documentId="13_ncr:1_{70049B7E-3A5C-4D58-B3AE-CF4FB7799BA2}" xr6:coauthVersionLast="47" xr6:coauthVersionMax="47" xr10:uidLastSave="{00000000-0000-0000-0000-000000000000}"/>
  <bookViews>
    <workbookView xWindow="-120" yWindow="-120" windowWidth="29040" windowHeight="15720" xr2:uid="{15DDD12E-7E98-4840-8D14-77F29BA09B0C}"/>
  </bookViews>
  <sheets>
    <sheet name="storm5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44" i="1"/>
  <c r="C37" i="1"/>
  <c r="C38" i="1"/>
  <c r="C39" i="1"/>
  <c r="C40" i="1"/>
  <c r="C41" i="1"/>
  <c r="C42" i="1"/>
  <c r="C43" i="1"/>
  <c r="C36" i="1"/>
  <c r="C35" i="1"/>
  <c r="B62" i="1"/>
  <c r="B63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V49" i="1" s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B35" i="1"/>
</calcChain>
</file>

<file path=xl/sharedStrings.xml><?xml version="1.0" encoding="utf-8"?>
<sst xmlns="http://schemas.openxmlformats.org/spreadsheetml/2006/main" count="93" uniqueCount="46">
  <si>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</si>
  <si>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</si>
  <si>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</si>
  <si>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</si>
  <si>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</si>
  <si>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</si>
  <si>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</si>
  <si>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</si>
  <si>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</si>
  <si>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</si>
  <si>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</si>
  <si>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</si>
  <si>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</si>
  <si>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</si>
  <si>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</si>
  <si>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</si>
  <si>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</si>
  <si>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</si>
  <si>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</si>
  <si>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</si>
  <si>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</si>
  <si>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</si>
  <si>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</si>
  <si>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</si>
  <si>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</si>
  <si>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</si>
  <si>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</si>
  <si>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</si>
  <si>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</si>
  <si>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</si>
  <si>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</si>
  <si>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</si>
  <si>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</si>
  <si>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</si>
  <si>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</si>
  <si>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</si>
  <si>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</si>
  <si>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</si>
  <si>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</si>
  <si>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</si>
  <si>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</si>
  <si>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</si>
  <si>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tau</t>
  </si>
  <si>
    <t>amp_factor</t>
  </si>
  <si>
    <t>timestamp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</si>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</sst>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0" fillId="33" borderId="0" xfId="0" applyFill="1"/>
    <xf numFmtId="19" fontId="0" fillId="33" borderId="0" xfId="0" applyNumberFormat="1" applyFill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19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storm5_results!$F$35:$F$131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F-4C1B-AC62-621D045A5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storm5_results!$G$35:$G$131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DB-4261-ABE5-3FC78ACB4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storm5_results!$H$35:$H$131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D-43DB-B6A9-92E17BED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33</xdr:row>
      <xdr:rowOff>95250</xdr:rowOff>
    </xdr:from>
    <xdr:to>
      <xdr:col>18</xdr:col>
      <xdr:colOff>276225</xdr:colOff>
      <xdr:row>44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E62097-39C7-40AC-A00F-1BAF6E598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45</xdr:row>
      <xdr:rowOff>28575</xdr:rowOff>
    </xdr:from>
    <xdr:to>
      <xdr:col>18</xdr:col>
      <xdr:colOff>361950</xdr:colOff>
      <xdr:row>56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49BD42-AD9F-437A-A284-2F0E72069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190500</xdr:colOff>
      <xdr:row>56</xdr:row>
      <xdr:rowOff>104775</xdr:rowOff>
    </xdr:from>
    <xdr:to>
      <xdr:col>18</xdr:col>
      <xdr:colOff>323850</xdr:colOff>
      <xdr:row>67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488C8C-9E89-40D1-9A33-E71CD277C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65E6-1EB2-4729-9DB9-6E203F4C8132}">
  <dimension ref="A1:CT131"/>
  <sheetViews>
    <sheetView tabSelected="1" topLeftCell="BB1" workbookViewId="0">
      <selection activeCell="BV26" sqref="BV26"/>
    </sheetView>
  </sheetViews>
  <sheetFormatPr defaultRowHeight="15" x14ac:dyDescent="0.25"/>
  <cols>
    <col min="1" max="1" width="15.5703125" customWidth="1"/>
    <col min="3" max="3" width="11.28515625" customWidth="1"/>
    <col min="5" max="5" width="15.85546875" customWidth="1"/>
    <col min="76" max="76" width="8.42578125" customWidth="1"/>
    <col min="77" max="77" width="18.42578125" customWidth="1"/>
  </cols>
  <sheetData>
    <row r="1" spans="1:98" x14ac:dyDescent="0.25">
      <c r="B1" s="1">
        <v>45151</v>
      </c>
      <c r="C1" s="1">
        <v>45151.010416666664</v>
      </c>
      <c r="D1" s="1">
        <v>45151.020833333336</v>
      </c>
      <c r="E1" s="1">
        <v>45151.03125</v>
      </c>
      <c r="F1" s="1">
        <v>45151.041666666664</v>
      </c>
      <c r="G1" s="1">
        <v>45151.052083333336</v>
      </c>
      <c r="H1" s="1">
        <v>45151.0625</v>
      </c>
      <c r="I1" s="1">
        <v>45151.072916666664</v>
      </c>
      <c r="J1" s="1">
        <v>45151.083333333336</v>
      </c>
      <c r="K1" s="1">
        <v>45151.09375</v>
      </c>
      <c r="L1" s="1">
        <v>45151.104166666664</v>
      </c>
      <c r="M1" s="1">
        <v>45151.114583333336</v>
      </c>
      <c r="N1" s="1">
        <v>45151.125</v>
      </c>
      <c r="O1" s="1">
        <v>45151.135416666664</v>
      </c>
      <c r="P1" s="1">
        <v>45151.145833333336</v>
      </c>
      <c r="Q1" s="1">
        <v>45151.15625</v>
      </c>
      <c r="R1" s="1">
        <v>45151.166666666664</v>
      </c>
      <c r="S1" s="1">
        <v>45151.177083333336</v>
      </c>
      <c r="T1" s="1">
        <v>45151.1875</v>
      </c>
      <c r="U1" s="1">
        <v>45151.197916666664</v>
      </c>
      <c r="V1" s="1">
        <v>45151.208333333336</v>
      </c>
      <c r="W1" s="1">
        <v>45151.21875</v>
      </c>
      <c r="X1" s="1">
        <v>45151.229166666664</v>
      </c>
      <c r="Y1" s="1">
        <v>45151.239583333336</v>
      </c>
      <c r="Z1" s="1">
        <v>45151.25</v>
      </c>
      <c r="AA1" s="1">
        <v>45151.260416666664</v>
      </c>
      <c r="AB1" s="1">
        <v>45151.270833333336</v>
      </c>
      <c r="AC1" s="1">
        <v>45151.28125</v>
      </c>
      <c r="AD1" s="1">
        <v>45151.291666666664</v>
      </c>
      <c r="AE1" s="1">
        <v>45151.302083333336</v>
      </c>
      <c r="AF1" s="1">
        <v>45151.3125</v>
      </c>
      <c r="AG1" s="1">
        <v>45151.322916666664</v>
      </c>
      <c r="AH1" s="1">
        <v>45151.333333333336</v>
      </c>
      <c r="AI1" s="1">
        <v>45151.34375</v>
      </c>
      <c r="AJ1" s="1">
        <v>45151.354166666664</v>
      </c>
      <c r="AK1" s="1">
        <v>45151.364583333336</v>
      </c>
      <c r="AL1" s="1">
        <v>45151.375</v>
      </c>
      <c r="AM1" s="1">
        <v>45151.385416666664</v>
      </c>
      <c r="AN1" s="1">
        <v>45151.395833333336</v>
      </c>
      <c r="AO1" s="1">
        <v>45151.40625</v>
      </c>
      <c r="AP1" s="1">
        <v>45151.416666666664</v>
      </c>
      <c r="AQ1" s="1">
        <v>45151.427083333336</v>
      </c>
      <c r="AR1" s="1">
        <v>45151.4375</v>
      </c>
      <c r="AS1" s="1">
        <v>45151.447916666664</v>
      </c>
      <c r="AT1" s="1">
        <v>45151.458333333336</v>
      </c>
      <c r="AU1" s="1">
        <v>45151.46875</v>
      </c>
      <c r="AV1" s="1">
        <v>45151.479166666664</v>
      </c>
      <c r="AW1" s="1">
        <v>45151.489583333336</v>
      </c>
      <c r="AX1" s="1">
        <v>45151.5</v>
      </c>
      <c r="AY1" s="1">
        <v>45151.510416666664</v>
      </c>
      <c r="AZ1" s="1">
        <v>45151.520833333336</v>
      </c>
      <c r="BA1" s="1">
        <v>45151.53125</v>
      </c>
      <c r="BB1" s="1">
        <v>45151.541666666664</v>
      </c>
      <c r="BC1" s="1">
        <v>45151.552083333336</v>
      </c>
      <c r="BD1" s="1">
        <v>45151.5625</v>
      </c>
      <c r="BE1" s="1">
        <v>45151.572916666664</v>
      </c>
      <c r="BF1" s="1">
        <v>45151.583333333336</v>
      </c>
      <c r="BG1" s="1">
        <v>45151.59375</v>
      </c>
      <c r="BH1" s="1">
        <v>45151.604166666664</v>
      </c>
      <c r="BI1" s="1">
        <v>45151.614583333336</v>
      </c>
      <c r="BJ1" s="1">
        <v>45151.625</v>
      </c>
      <c r="BK1" s="1">
        <v>45151.635416666664</v>
      </c>
      <c r="BL1" s="1">
        <v>45151.645833333336</v>
      </c>
      <c r="BM1" s="1">
        <v>45151.65625</v>
      </c>
      <c r="BN1" s="1">
        <v>45151.666666666664</v>
      </c>
      <c r="BO1" s="1">
        <v>45151.677083333336</v>
      </c>
      <c r="BP1" s="1">
        <v>45151.6875</v>
      </c>
      <c r="BQ1" s="1">
        <v>45151.697916666664</v>
      </c>
      <c r="BR1" s="1">
        <v>45151.708333333336</v>
      </c>
      <c r="BS1" s="1">
        <v>45151.71875</v>
      </c>
      <c r="BT1" s="1">
        <v>45151.729166666664</v>
      </c>
      <c r="BU1" s="1">
        <v>45151.739583333336</v>
      </c>
      <c r="BV1" s="1">
        <v>45151.75</v>
      </c>
      <c r="BW1" s="1">
        <v>45151.760416666664</v>
      </c>
      <c r="BX1" s="1">
        <v>45151.770833333336</v>
      </c>
      <c r="BY1" s="1">
        <v>45151.78125</v>
      </c>
      <c r="BZ1" s="1">
        <v>45151.791666666664</v>
      </c>
      <c r="CA1" s="1">
        <v>45151.802083333336</v>
      </c>
      <c r="CB1" s="1">
        <v>45151.8125</v>
      </c>
      <c r="CC1" s="1">
        <v>45151.822916666664</v>
      </c>
      <c r="CD1" s="1">
        <v>45151.833333333336</v>
      </c>
      <c r="CE1" s="1">
        <v>45151.84375</v>
      </c>
      <c r="CF1" s="1">
        <v>45151.854166666664</v>
      </c>
      <c r="CG1" s="1">
        <v>45151.864583333336</v>
      </c>
      <c r="CH1" s="1">
        <v>45151.875</v>
      </c>
      <c r="CI1" s="1">
        <v>45151.885416666664</v>
      </c>
      <c r="CJ1" s="1">
        <v>45151.895833333336</v>
      </c>
      <c r="CK1" s="1">
        <v>45151.90625</v>
      </c>
      <c r="CL1" s="1">
        <v>45151.916666666664</v>
      </c>
      <c r="CM1" s="1">
        <v>45151.927083333336</v>
      </c>
      <c r="CN1" s="1">
        <v>45151.9375</v>
      </c>
      <c r="CO1" s="1">
        <v>45151.947916666664</v>
      </c>
      <c r="CP1" s="1">
        <v>45151.958333333336</v>
      </c>
      <c r="CQ1" s="1">
        <v>45151.96875</v>
      </c>
      <c r="CR1" s="1">
        <v>45151.979166666664</v>
      </c>
      <c r="CS1" s="1">
        <v>45151.989583333336</v>
      </c>
      <c r="CT1" s="1">
        <v>45152</v>
      </c>
    </row>
    <row r="2" spans="1:98" x14ac:dyDescent="0.25">
      <c r="A2" t="s">
        <v>0</v>
      </c>
      <c r="B2" s="6">
        <v>6.9463508279751201E-6</v>
      </c>
      <c r="C2" s="6">
        <v>2.0358037949103899E-5</v>
      </c>
      <c r="D2" s="6">
        <v>1.07669802862413E-5</v>
      </c>
      <c r="E2" s="6">
        <v>2.32296311247591E-5</v>
      </c>
      <c r="F2" s="6">
        <v>2.1312732294223699E-5</v>
      </c>
      <c r="G2" s="6">
        <v>1.34895464001099E-5</v>
      </c>
      <c r="H2" s="6">
        <v>1.4550712021063499E-5</v>
      </c>
      <c r="I2" s="6">
        <v>1.18307899932849E-5</v>
      </c>
      <c r="J2" s="6">
        <v>1.49046538607508E-5</v>
      </c>
      <c r="K2" s="6">
        <v>9.2492958086334906E-6</v>
      </c>
      <c r="L2" s="6">
        <v>1.65438530280532E-5</v>
      </c>
      <c r="M2" s="6">
        <v>1.6946067297486201E-5</v>
      </c>
      <c r="N2" s="6">
        <v>3.1569351850536102E-5</v>
      </c>
      <c r="O2" s="6">
        <v>1.4952335921618899E-5</v>
      </c>
      <c r="P2" s="6">
        <v>1.24853744885925E-5</v>
      </c>
      <c r="Q2" s="6">
        <v>1.8682216484755701E-5</v>
      </c>
      <c r="R2" s="6">
        <v>1.55024676977552E-5</v>
      </c>
      <c r="S2" s="6">
        <v>1.10220092492605E-5</v>
      </c>
      <c r="T2" s="6">
        <v>1.18055818441536E-5</v>
      </c>
      <c r="U2" s="6">
        <v>1.3941495925917E-5</v>
      </c>
      <c r="V2" s="6">
        <v>1.11810867069952E-5</v>
      </c>
      <c r="W2" s="6">
        <v>2.0994291806579401E-5</v>
      </c>
      <c r="X2" s="6">
        <v>8.4276532338965902E-6</v>
      </c>
      <c r="Y2" s="6">
        <v>1.6487142864299299E-5</v>
      </c>
      <c r="Z2" s="6">
        <v>1.91113083515424E-5</v>
      </c>
      <c r="AA2" s="6">
        <v>1.46586546046818E-5</v>
      </c>
      <c r="AB2" s="6">
        <v>2.4005248853180899E-5</v>
      </c>
      <c r="AC2" s="6">
        <v>2.01679852478783E-5</v>
      </c>
      <c r="AD2" s="6">
        <v>1.23960922385616E-5</v>
      </c>
      <c r="AE2" s="6">
        <v>2.0738246673364799E-5</v>
      </c>
      <c r="AF2" s="6">
        <v>1.1591778100761901E-5</v>
      </c>
      <c r="AG2" s="6">
        <v>5.1568216761242697E-6</v>
      </c>
      <c r="AH2" s="6">
        <v>8.6987916817004296E-6</v>
      </c>
      <c r="AI2" s="6">
        <v>9.3742919002921493E-6</v>
      </c>
      <c r="AJ2" s="6">
        <v>1.1959420233659901E-5</v>
      </c>
      <c r="AK2" s="6">
        <v>1.6269871232319202E-5</v>
      </c>
      <c r="AL2" s="6">
        <v>2.1372475871467799E-5</v>
      </c>
      <c r="AM2" s="6">
        <v>9.6582602842076796E-6</v>
      </c>
      <c r="AN2" s="6">
        <v>1.15934210483977E-5</v>
      </c>
      <c r="AO2" s="6">
        <v>1.27703472012549E-5</v>
      </c>
      <c r="AP2" s="6">
        <v>2.07206126508231E-5</v>
      </c>
      <c r="AQ2" s="6">
        <v>1.5562003921320701E-5</v>
      </c>
      <c r="AR2" s="6">
        <v>1.22164966652526E-5</v>
      </c>
      <c r="AS2" s="6">
        <v>1.8668819786136701E-5</v>
      </c>
      <c r="AT2" s="6">
        <v>1.28478104324331E-5</v>
      </c>
      <c r="AU2" s="6">
        <v>1.4013307080813E-5</v>
      </c>
      <c r="AV2" s="6">
        <v>5.9542023581618002E-6</v>
      </c>
      <c r="AW2" s="6">
        <v>1.46159386285323E-5</v>
      </c>
      <c r="AX2" s="6">
        <v>8.5623292029995302E-6</v>
      </c>
      <c r="AY2" s="6">
        <v>9.2997098262211306E-6</v>
      </c>
      <c r="AZ2" s="6">
        <v>1.31332809602586E-5</v>
      </c>
      <c r="BA2" s="6">
        <v>1.4347633738480899E-5</v>
      </c>
      <c r="BB2" s="6">
        <v>1.7414475108016198E-5</v>
      </c>
      <c r="BC2" s="6">
        <v>1.3414939580118701E-5</v>
      </c>
      <c r="BD2" s="6">
        <v>6.0457965074713399E-6</v>
      </c>
      <c r="BE2" s="6">
        <v>7.2821956589882601E-6</v>
      </c>
      <c r="BF2" s="6">
        <v>9.9250255092399508E-6</v>
      </c>
      <c r="BG2" s="6">
        <v>7.2668252498099499E-6</v>
      </c>
      <c r="BH2" s="6">
        <v>1.5406022936105798E-5</v>
      </c>
      <c r="BI2" s="6">
        <v>9.68633925604297E-6</v>
      </c>
      <c r="BJ2" s="6">
        <v>1.4562003832841E-5</v>
      </c>
      <c r="BK2" s="6">
        <v>1.8021632245548198E-5</v>
      </c>
      <c r="BL2" s="6">
        <v>8.5850520341176508E-6</v>
      </c>
      <c r="BM2" s="6">
        <v>1.27133120779119E-5</v>
      </c>
      <c r="BN2" s="6">
        <v>1.11405082478035E-5</v>
      </c>
      <c r="BO2" s="6">
        <v>2.9335825193073801E-5</v>
      </c>
      <c r="BP2" s="6">
        <v>4.06601333678076E-6</v>
      </c>
      <c r="BQ2" s="6">
        <v>1.30552822786762E-5</v>
      </c>
      <c r="BR2" s="6">
        <v>8.2344206539873894E-6</v>
      </c>
      <c r="BS2" s="6">
        <v>1.02454754343222E-5</v>
      </c>
      <c r="BT2" s="6">
        <v>1.34123493050153E-5</v>
      </c>
      <c r="BU2" s="6">
        <v>1.6248001512469601E-5</v>
      </c>
      <c r="BV2" s="6">
        <v>1.1620556101590401E-5</v>
      </c>
      <c r="BW2" s="6">
        <v>1.54699537964706E-5</v>
      </c>
      <c r="BX2" s="6">
        <v>2.93138777299739E-5</v>
      </c>
      <c r="BY2">
        <v>3.0943712647888701E-4</v>
      </c>
      <c r="BZ2">
        <v>2.40574533916678E-4</v>
      </c>
      <c r="CA2" s="6">
        <v>9.2527968169529699E-5</v>
      </c>
      <c r="CB2" s="6">
        <v>7.0061436716688995E-5</v>
      </c>
      <c r="CC2" s="6">
        <v>4.1166366073183999E-5</v>
      </c>
      <c r="CD2">
        <v>1.0728009872609E-4</v>
      </c>
      <c r="CE2" s="6">
        <v>9.0661096230618504E-5</v>
      </c>
      <c r="CF2">
        <v>1.2977639846471401E-4</v>
      </c>
      <c r="CG2">
        <v>3.0926015015859102E-4</v>
      </c>
      <c r="CH2">
        <v>2.5525647998045901E-4</v>
      </c>
      <c r="CI2">
        <v>1.30610340946546E-4</v>
      </c>
      <c r="CJ2" s="6">
        <v>9.1889464274304698E-5</v>
      </c>
      <c r="CK2" s="6">
        <v>6.4324483824232701E-5</v>
      </c>
      <c r="CL2">
        <v>1.2668433003485701E-4</v>
      </c>
      <c r="CM2" s="6">
        <v>3.68875745839331E-5</v>
      </c>
      <c r="CN2" s="6">
        <v>7.1062241991614605E-5</v>
      </c>
      <c r="CO2" s="6">
        <v>4.1842185747855597E-5</v>
      </c>
      <c r="CP2" s="6">
        <v>4.9633862214373999E-5</v>
      </c>
      <c r="CQ2" s="6">
        <v>2.5622639995172499E-5</v>
      </c>
      <c r="CR2" s="6">
        <v>3.6335310421363897E-5</v>
      </c>
      <c r="CS2" s="6">
        <v>2.86534882779385E-5</v>
      </c>
      <c r="CT2" s="6">
        <v>1.47825391083896E-5</v>
      </c>
    </row>
    <row r="3" spans="1:98" x14ac:dyDescent="0.25">
      <c r="A3" t="s">
        <v>1</v>
      </c>
      <c r="B3" s="6">
        <v>3.4923706961578698E-6</v>
      </c>
      <c r="C3" s="6">
        <v>1.37792374568868E-5</v>
      </c>
      <c r="D3" s="6">
        <v>4.7929086658843201E-6</v>
      </c>
      <c r="E3" s="6">
        <v>1.1254763811170301E-5</v>
      </c>
      <c r="F3" s="6">
        <v>1.12082258156754E-5</v>
      </c>
      <c r="G3" s="6">
        <v>8.5626848653087095E-6</v>
      </c>
      <c r="H3" s="6">
        <v>9.0259007154459396E-6</v>
      </c>
      <c r="I3" s="6">
        <v>7.1079637761156601E-6</v>
      </c>
      <c r="J3" s="6">
        <v>9.4785569807828808E-6</v>
      </c>
      <c r="K3" s="6">
        <v>5.3295918046447099E-6</v>
      </c>
      <c r="L3" s="6">
        <v>1.01163287334369E-5</v>
      </c>
      <c r="M3" s="6">
        <v>8.5831706001696492E-6</v>
      </c>
      <c r="N3" s="6">
        <v>1.7289347372903002E-5</v>
      </c>
      <c r="O3" s="6">
        <v>8.7318667361772703E-6</v>
      </c>
      <c r="P3" s="6">
        <v>8.9981325825593697E-6</v>
      </c>
      <c r="Q3" s="6">
        <v>9.4167659124643894E-6</v>
      </c>
      <c r="R3" s="6">
        <v>8.7897328194258607E-6</v>
      </c>
      <c r="S3" s="6">
        <v>6.4528826619207301E-6</v>
      </c>
      <c r="T3" s="6">
        <v>6.8510224136131299E-6</v>
      </c>
      <c r="U3" s="6">
        <v>7.3272813500431398E-6</v>
      </c>
      <c r="V3" s="6">
        <v>7.0902276244286204E-6</v>
      </c>
      <c r="W3" s="6">
        <v>1.16370370439377E-5</v>
      </c>
      <c r="X3" s="6">
        <v>5.0294516241044499E-6</v>
      </c>
      <c r="Y3" s="6">
        <v>9.0473564220471802E-6</v>
      </c>
      <c r="Z3" s="6">
        <v>9.6632889822635004E-6</v>
      </c>
      <c r="AA3" s="6">
        <v>9.6891909924673706E-6</v>
      </c>
      <c r="AB3" s="6">
        <v>1.242021116186E-5</v>
      </c>
      <c r="AC3" s="6">
        <v>8.9376810640394403E-6</v>
      </c>
      <c r="AD3" s="6">
        <v>7.2936051074057304E-6</v>
      </c>
      <c r="AE3" s="6">
        <v>7.5971229890626998E-6</v>
      </c>
      <c r="AF3" s="6">
        <v>7.2023219283631903E-6</v>
      </c>
      <c r="AG3" s="6">
        <v>3.2874827764602299E-6</v>
      </c>
      <c r="AH3" s="6">
        <v>4.9406577121421701E-6</v>
      </c>
      <c r="AI3" s="6">
        <v>4.7974854995640801E-6</v>
      </c>
      <c r="AJ3" s="6">
        <v>7.1447298685498302E-6</v>
      </c>
      <c r="AK3" s="6">
        <v>8.3936564444927197E-6</v>
      </c>
      <c r="AL3" s="6">
        <v>1.4199497626373801E-5</v>
      </c>
      <c r="AM3" s="6">
        <v>5.31893942298045E-6</v>
      </c>
      <c r="AN3" s="6">
        <v>7.1039838088244297E-6</v>
      </c>
      <c r="AO3" s="6">
        <v>7.1110882929110304E-6</v>
      </c>
      <c r="AP3" s="6">
        <v>1.0669748779612799E-5</v>
      </c>
      <c r="AQ3" s="6">
        <v>7.5358330856225002E-6</v>
      </c>
      <c r="AR3" s="6">
        <v>6.93245452648816E-6</v>
      </c>
      <c r="AS3" s="6">
        <v>9.4393001953718097E-6</v>
      </c>
      <c r="AT3" s="6">
        <v>7.0985681719426799E-6</v>
      </c>
      <c r="AU3" s="6">
        <v>7.5083544380330496E-6</v>
      </c>
      <c r="AV3" s="6">
        <v>3.47635332547854E-6</v>
      </c>
      <c r="AW3" s="6">
        <v>9.3307696347970506E-6</v>
      </c>
      <c r="AX3" s="6">
        <v>5.6344618376098497E-6</v>
      </c>
      <c r="AY3" s="6">
        <v>5.4655839894511603E-6</v>
      </c>
      <c r="AZ3" s="6">
        <v>7.9191177401386107E-6</v>
      </c>
      <c r="BA3" s="6">
        <v>7.8827534568330508E-6</v>
      </c>
      <c r="BB3" s="6">
        <v>9.0301538338835097E-6</v>
      </c>
      <c r="BC3" s="6">
        <v>7.7145100753353198E-6</v>
      </c>
      <c r="BD3" s="6">
        <v>3.4366353663208502E-6</v>
      </c>
      <c r="BE3" s="6">
        <v>3.6011518917970601E-6</v>
      </c>
      <c r="BF3" s="6">
        <v>5.3816951824205698E-6</v>
      </c>
      <c r="BG3" s="6">
        <v>3.7258232369047201E-6</v>
      </c>
      <c r="BH3" s="6">
        <v>7.7480719764423701E-6</v>
      </c>
      <c r="BI3" s="6">
        <v>4.8921345081973497E-6</v>
      </c>
      <c r="BJ3" s="6">
        <v>7.6013572448398798E-6</v>
      </c>
      <c r="BK3" s="6">
        <v>1.0573000048459101E-5</v>
      </c>
      <c r="BL3" s="6">
        <v>5.1208588596186097E-6</v>
      </c>
      <c r="BM3" s="6">
        <v>7.2630926658664799E-6</v>
      </c>
      <c r="BN3" s="6">
        <v>6.9255234539164798E-6</v>
      </c>
      <c r="BO3" s="6">
        <v>1.8333020280924E-5</v>
      </c>
      <c r="BP3" s="6">
        <v>2.3796197593448498E-6</v>
      </c>
      <c r="BQ3" s="6">
        <v>6.90827538882729E-6</v>
      </c>
      <c r="BR3" s="6">
        <v>5.0669582904412E-6</v>
      </c>
      <c r="BS3" s="6">
        <v>4.4622039767488799E-6</v>
      </c>
      <c r="BT3" s="6">
        <v>6.2468595981374798E-6</v>
      </c>
      <c r="BU3" s="6">
        <v>1.14450725197997E-5</v>
      </c>
      <c r="BV3" s="6">
        <v>7.09496399825258E-6</v>
      </c>
      <c r="BW3" s="6">
        <v>9.0387171656332205E-6</v>
      </c>
      <c r="BX3" s="6">
        <v>1.73890822063628E-5</v>
      </c>
      <c r="BY3">
        <v>2.2263822327193601E-4</v>
      </c>
      <c r="BZ3">
        <v>1.81185431641862E-4</v>
      </c>
      <c r="CA3" s="6">
        <v>6.4725545678469601E-5</v>
      </c>
      <c r="CB3" s="6">
        <v>4.7512467416423697E-5</v>
      </c>
      <c r="CC3" s="6">
        <v>3.07572392860729E-5</v>
      </c>
      <c r="CD3" s="6">
        <v>7.52668064546767E-5</v>
      </c>
      <c r="CE3" s="6">
        <v>6.1993140556867294E-5</v>
      </c>
      <c r="CF3" s="6">
        <v>8.38689862832623E-5</v>
      </c>
      <c r="CG3">
        <v>1.57679531536111E-4</v>
      </c>
      <c r="CH3">
        <v>1.4002409440400099E-4</v>
      </c>
      <c r="CI3" s="6">
        <v>8.4685254405208996E-5</v>
      </c>
      <c r="CJ3" s="6">
        <v>5.9024594438916503E-5</v>
      </c>
      <c r="CK3" s="6">
        <v>4.6845475578739702E-5</v>
      </c>
      <c r="CL3" s="6">
        <v>8.0358433137174895E-5</v>
      </c>
      <c r="CM3" s="6">
        <v>2.53676938086461E-5</v>
      </c>
      <c r="CN3" s="6">
        <v>4.1309087493671298E-5</v>
      </c>
      <c r="CO3" s="6">
        <v>2.4000549042688501E-5</v>
      </c>
      <c r="CP3" s="6">
        <v>2.3679810667705E-5</v>
      </c>
      <c r="CQ3" s="6">
        <v>1.7284071901846401E-5</v>
      </c>
      <c r="CR3" s="6">
        <v>2.05806366327342E-5</v>
      </c>
      <c r="CS3" s="6">
        <v>1.76881297175451E-5</v>
      </c>
      <c r="CT3" s="6">
        <v>1.0873444384376399E-5</v>
      </c>
    </row>
    <row r="4" spans="1:98" x14ac:dyDescent="0.25">
      <c r="A4" t="s">
        <v>2</v>
      </c>
      <c r="B4" s="6">
        <v>3.2834390823739399E-6</v>
      </c>
      <c r="C4" s="6">
        <v>1.3115200330874701E-5</v>
      </c>
      <c r="D4" s="6">
        <v>4.3872072728625898E-6</v>
      </c>
      <c r="E4" s="6">
        <v>1.0969187420672401E-5</v>
      </c>
      <c r="F4" s="6">
        <v>1.06097764619759E-5</v>
      </c>
      <c r="G4" s="6">
        <v>8.4071674488951608E-6</v>
      </c>
      <c r="H4" s="6">
        <v>8.6736996283340905E-6</v>
      </c>
      <c r="I4" s="6">
        <v>6.7841633629802696E-6</v>
      </c>
      <c r="J4" s="6">
        <v>9.4997259726593496E-6</v>
      </c>
      <c r="K4" s="6">
        <v>5.1710723049817E-6</v>
      </c>
      <c r="L4" s="6">
        <v>9.9233311927883005E-6</v>
      </c>
      <c r="M4" s="6">
        <v>8.3880720913450193E-6</v>
      </c>
      <c r="N4" s="6">
        <v>1.61265414773286E-5</v>
      </c>
      <c r="O4" s="6">
        <v>8.48111834946153E-6</v>
      </c>
      <c r="P4" s="6">
        <v>9.1787421511478903E-6</v>
      </c>
      <c r="Q4" s="6">
        <v>9.1744257041434305E-6</v>
      </c>
      <c r="R4" s="6">
        <v>8.1154300683334198E-6</v>
      </c>
      <c r="S4" s="6">
        <v>5.9751335997824596E-6</v>
      </c>
      <c r="T4" s="6">
        <v>6.3508773747062501E-6</v>
      </c>
      <c r="U4" s="6">
        <v>6.9603851113762099E-6</v>
      </c>
      <c r="V4" s="6">
        <v>6.7789495923859301E-6</v>
      </c>
      <c r="W4" s="6">
        <v>1.09624007375754E-5</v>
      </c>
      <c r="X4" s="6">
        <v>4.9241043729871298E-6</v>
      </c>
      <c r="Y4" s="6">
        <v>8.6731070540976404E-6</v>
      </c>
      <c r="Z4" s="6">
        <v>9.2284163321114305E-6</v>
      </c>
      <c r="AA4" s="6">
        <v>9.5808537966308902E-6</v>
      </c>
      <c r="AB4" s="6">
        <v>1.1704845014243499E-5</v>
      </c>
      <c r="AC4" s="6">
        <v>8.3379980029315099E-6</v>
      </c>
      <c r="AD4" s="6">
        <v>6.9718635384597599E-6</v>
      </c>
      <c r="AE4" s="6">
        <v>7.1786006379485302E-6</v>
      </c>
      <c r="AF4" s="6">
        <v>6.96061487357017E-6</v>
      </c>
      <c r="AG4" s="6">
        <v>3.14152525491016E-6</v>
      </c>
      <c r="AH4" s="6">
        <v>4.80618939941317E-6</v>
      </c>
      <c r="AI4" s="6">
        <v>4.6965598177653496E-6</v>
      </c>
      <c r="AJ4" s="6">
        <v>6.9278887050259203E-6</v>
      </c>
      <c r="AK4" s="6">
        <v>7.8336575028795898E-6</v>
      </c>
      <c r="AL4" s="6">
        <v>1.39502926275833E-5</v>
      </c>
      <c r="AM4" s="6">
        <v>5.01090499343376E-6</v>
      </c>
      <c r="AN4" s="6">
        <v>7.0204834798613197E-6</v>
      </c>
      <c r="AO4" s="6">
        <v>6.6581571938944296E-6</v>
      </c>
      <c r="AP4" s="6">
        <v>1.0053159936107899E-5</v>
      </c>
      <c r="AQ4" s="6">
        <v>7.0179613762391801E-6</v>
      </c>
      <c r="AR4" s="6">
        <v>6.8838944586386098E-6</v>
      </c>
      <c r="AS4" s="6">
        <v>8.9230588975794498E-6</v>
      </c>
      <c r="AT4" s="6">
        <v>6.8145688860448198E-6</v>
      </c>
      <c r="AU4" s="6">
        <v>7.5197951950541703E-6</v>
      </c>
      <c r="AV4" s="6">
        <v>3.4049557736403899E-6</v>
      </c>
      <c r="AW4" s="6">
        <v>8.9188204591688203E-6</v>
      </c>
      <c r="AX4" s="6">
        <v>5.4187693792606698E-6</v>
      </c>
      <c r="AY4" s="6">
        <v>5.1854314198924797E-6</v>
      </c>
      <c r="AZ4" s="6">
        <v>8.0651243812511193E-6</v>
      </c>
      <c r="BA4" s="6">
        <v>7.2765758722759401E-6</v>
      </c>
      <c r="BB4" s="6">
        <v>8.7103616046458301E-6</v>
      </c>
      <c r="BC4" s="6">
        <v>7.3359473094811002E-6</v>
      </c>
      <c r="BD4" s="6">
        <v>3.3883898407520501E-6</v>
      </c>
      <c r="BE4" s="6">
        <v>3.3511140033155402E-6</v>
      </c>
      <c r="BF4" s="6">
        <v>5.1469408645223701E-6</v>
      </c>
      <c r="BG4" s="6">
        <v>3.57245012691686E-6</v>
      </c>
      <c r="BH4" s="6">
        <v>7.6254529202954997E-6</v>
      </c>
      <c r="BI4" s="6">
        <v>4.4773319056120003E-6</v>
      </c>
      <c r="BJ4" s="6">
        <v>7.0177905966224296E-6</v>
      </c>
      <c r="BK4" s="6">
        <v>1.0153964462202301E-5</v>
      </c>
      <c r="BL4" s="6">
        <v>4.9396692288587102E-6</v>
      </c>
      <c r="BM4" s="6">
        <v>6.95791233850522E-6</v>
      </c>
      <c r="BN4" s="6">
        <v>6.8014466074901703E-6</v>
      </c>
      <c r="BO4" s="6">
        <v>1.7609381475234898E-5</v>
      </c>
      <c r="BP4" s="6">
        <v>2.30015534854743E-6</v>
      </c>
      <c r="BQ4" s="6">
        <v>6.4277434387652203E-6</v>
      </c>
      <c r="BR4" s="6">
        <v>4.9242627707918198E-6</v>
      </c>
      <c r="BS4" s="6">
        <v>4.2088878046367899E-6</v>
      </c>
      <c r="BT4" s="6">
        <v>5.84488755070425E-6</v>
      </c>
      <c r="BU4" s="6">
        <v>1.14845613237135E-5</v>
      </c>
      <c r="BV4" s="6">
        <v>7.1783226233184301E-6</v>
      </c>
      <c r="BW4" s="6">
        <v>8.4822658556365601E-6</v>
      </c>
      <c r="BX4" s="6">
        <v>1.66665440949441E-5</v>
      </c>
      <c r="BY4">
        <v>2.2289332505166101E-4</v>
      </c>
      <c r="BZ4">
        <v>1.74474216016228E-4</v>
      </c>
      <c r="CA4" s="6">
        <v>6.3598640034454401E-5</v>
      </c>
      <c r="CB4" s="6">
        <v>4.6504577038860299E-5</v>
      </c>
      <c r="CC4" s="6">
        <v>3.0610899744382901E-5</v>
      </c>
      <c r="CD4" s="6">
        <v>7.3524719297512906E-5</v>
      </c>
      <c r="CE4" s="6">
        <v>6.1348431736244502E-5</v>
      </c>
      <c r="CF4" s="6">
        <v>8.1562461185326503E-5</v>
      </c>
      <c r="CG4">
        <v>1.49967170835003E-4</v>
      </c>
      <c r="CH4">
        <v>1.3260260582252201E-4</v>
      </c>
      <c r="CI4" s="6">
        <v>8.1574756332053399E-5</v>
      </c>
      <c r="CJ4" s="6">
        <v>5.5910805292949699E-5</v>
      </c>
      <c r="CK4" s="6">
        <v>4.7157939990659599E-5</v>
      </c>
      <c r="CL4" s="6">
        <v>7.8160629842798302E-5</v>
      </c>
      <c r="CM4" s="6">
        <v>2.476007631818E-5</v>
      </c>
      <c r="CN4" s="6">
        <v>4.0156614422061501E-5</v>
      </c>
      <c r="CO4" s="6">
        <v>2.3329902356297E-5</v>
      </c>
      <c r="CP4" s="6">
        <v>2.2645728691581801E-5</v>
      </c>
      <c r="CQ4" s="6">
        <v>1.7108431347790598E-5</v>
      </c>
      <c r="CR4" s="6">
        <v>1.99896254671658E-5</v>
      </c>
      <c r="CS4" s="6">
        <v>1.7105545126811099E-5</v>
      </c>
      <c r="CT4" s="6">
        <v>1.04435148121475E-5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</row>
    <row r="9" spans="1:98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</row>
    <row r="10" spans="1:98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51</v>
      </c>
      <c r="BZ10">
        <v>25</v>
      </c>
      <c r="CA10">
        <v>1</v>
      </c>
      <c r="CB10">
        <v>0</v>
      </c>
      <c r="CC10">
        <v>0</v>
      </c>
      <c r="CD10">
        <v>0</v>
      </c>
      <c r="CE10">
        <v>1</v>
      </c>
      <c r="CF10">
        <v>2</v>
      </c>
      <c r="CG10">
        <v>26</v>
      </c>
      <c r="CH10">
        <v>13</v>
      </c>
      <c r="CI10">
        <v>3</v>
      </c>
      <c r="CJ10">
        <v>3</v>
      </c>
      <c r="CK10">
        <v>0</v>
      </c>
      <c r="CL10">
        <v>2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</row>
    <row r="21" spans="1:98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</row>
    <row r="22" spans="1:9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</row>
    <row r="23" spans="1:9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7.9170598440599302E-2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</row>
    <row r="24" spans="1:9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7.9170598440599302E-2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</row>
    <row r="25" spans="1:9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7.9170598440599302E-2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</row>
    <row r="26" spans="1:9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0.31686361751438102</v>
      </c>
      <c r="BZ26">
        <v>0.246348322730678</v>
      </c>
      <c r="CA26">
        <v>9.4748639405598398E-2</v>
      </c>
      <c r="CB26">
        <v>0</v>
      </c>
      <c r="CC26">
        <v>0</v>
      </c>
      <c r="CD26">
        <v>0</v>
      </c>
      <c r="CE26">
        <v>8.0776264774140197E-2</v>
      </c>
      <c r="CF26">
        <v>9.0128150003358304E-2</v>
      </c>
      <c r="CG26">
        <v>0.31668239376239699</v>
      </c>
      <c r="CH26">
        <v>0.26138263549999002</v>
      </c>
      <c r="CI26">
        <v>0.133744989129263</v>
      </c>
      <c r="CJ26">
        <v>8.6728471732631499E-2</v>
      </c>
      <c r="CK26">
        <v>0</v>
      </c>
      <c r="CL26">
        <v>0.11593804115964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</row>
    <row r="27" spans="1:98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0.24626306572304801</v>
      </c>
      <c r="BZ27">
        <v>0.20554028845994601</v>
      </c>
      <c r="CA27">
        <v>9.4748639405598398E-2</v>
      </c>
      <c r="CB27">
        <v>0</v>
      </c>
      <c r="CC27">
        <v>0</v>
      </c>
      <c r="CD27">
        <v>0</v>
      </c>
      <c r="CE27">
        <v>8.0776264774140197E-2</v>
      </c>
      <c r="CF27">
        <v>9.0128150003358304E-2</v>
      </c>
      <c r="CG27">
        <v>0.18701189460659701</v>
      </c>
      <c r="CH27">
        <v>0.19775906922374301</v>
      </c>
      <c r="CI27">
        <v>0.115598127135448</v>
      </c>
      <c r="CJ27">
        <v>8.6728471732631499E-2</v>
      </c>
      <c r="CK27">
        <v>0</v>
      </c>
      <c r="CL27">
        <v>0.107318155372774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</row>
    <row r="28" spans="1:98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0.24262354303853101</v>
      </c>
      <c r="BZ28">
        <v>0.20734846819296399</v>
      </c>
      <c r="CA28">
        <v>9.4748639405598398E-2</v>
      </c>
      <c r="CB28">
        <v>0</v>
      </c>
      <c r="CC28">
        <v>0</v>
      </c>
      <c r="CD28">
        <v>0</v>
      </c>
      <c r="CE28">
        <v>8.0776264774140197E-2</v>
      </c>
      <c r="CF28">
        <v>9.0128150003358304E-2</v>
      </c>
      <c r="CG28">
        <v>0.16746764250916801</v>
      </c>
      <c r="CH28">
        <v>0.19163070438615201</v>
      </c>
      <c r="CI28">
        <v>0.120223087202717</v>
      </c>
      <c r="CJ28">
        <v>8.6728471732631499E-2</v>
      </c>
      <c r="CK28">
        <v>0</v>
      </c>
      <c r="CL28">
        <v>0.107318155372774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</row>
    <row r="29" spans="1:98" x14ac:dyDescent="0.25">
      <c r="A29" t="s">
        <v>42</v>
      </c>
      <c r="B29">
        <v>0.42386643899999998</v>
      </c>
      <c r="C29">
        <v>0.81307424100000003</v>
      </c>
      <c r="D29">
        <v>0.50323377899999999</v>
      </c>
      <c r="E29">
        <v>0.69769667099999999</v>
      </c>
      <c r="F29">
        <v>0.69769667099999999</v>
      </c>
      <c r="G29">
        <v>0.66168135500000003</v>
      </c>
      <c r="H29">
        <v>0.66168135500000003</v>
      </c>
      <c r="I29">
        <v>0.59425534599999996</v>
      </c>
      <c r="J29">
        <v>0.66168135500000003</v>
      </c>
      <c r="K29">
        <v>0.50323377899999999</v>
      </c>
      <c r="L29">
        <v>0.69769667099999999</v>
      </c>
      <c r="M29">
        <v>0.66228851600000005</v>
      </c>
      <c r="N29">
        <v>0.89859415399999998</v>
      </c>
      <c r="O29">
        <v>0.66228851600000005</v>
      </c>
      <c r="P29">
        <v>0.66228851600000005</v>
      </c>
      <c r="Q29">
        <v>0.66228851600000005</v>
      </c>
      <c r="R29">
        <v>0.66228851600000005</v>
      </c>
      <c r="S29">
        <v>0.59425534599999996</v>
      </c>
      <c r="T29">
        <v>0.562700329</v>
      </c>
      <c r="U29">
        <v>0.59425534599999996</v>
      </c>
      <c r="V29">
        <v>0.59425534599999996</v>
      </c>
      <c r="W29">
        <v>0.73497519099999997</v>
      </c>
      <c r="X29">
        <v>0.50323377899999999</v>
      </c>
      <c r="Y29">
        <v>0.66228851600000005</v>
      </c>
      <c r="Z29">
        <v>0.66228851600000005</v>
      </c>
      <c r="AA29">
        <v>0.66228851600000005</v>
      </c>
      <c r="AB29">
        <v>0.77321039300000005</v>
      </c>
      <c r="AC29">
        <v>0.66228851600000005</v>
      </c>
      <c r="AD29">
        <v>0.59425534599999996</v>
      </c>
      <c r="AE29">
        <v>0.59425534599999996</v>
      </c>
      <c r="AF29">
        <v>0.59425534599999996</v>
      </c>
      <c r="AG29">
        <v>0.42386643899999998</v>
      </c>
      <c r="AH29">
        <v>0.50323377899999999</v>
      </c>
      <c r="AI29">
        <v>0.50323377899999999</v>
      </c>
      <c r="AJ29">
        <v>0.59425534599999996</v>
      </c>
      <c r="AK29">
        <v>0.66168135500000003</v>
      </c>
      <c r="AL29">
        <v>0.81307424100000003</v>
      </c>
      <c r="AM29">
        <v>0.50323377899999999</v>
      </c>
      <c r="AN29">
        <v>0.59425534599999996</v>
      </c>
      <c r="AO29">
        <v>0.59425534599999996</v>
      </c>
      <c r="AP29">
        <v>0.69769667099999999</v>
      </c>
      <c r="AQ29">
        <v>0.59425534599999996</v>
      </c>
      <c r="AR29">
        <v>0.59425534599999996</v>
      </c>
      <c r="AS29">
        <v>0.66228851600000005</v>
      </c>
      <c r="AT29">
        <v>0.59425534599999996</v>
      </c>
      <c r="AU29">
        <v>0.59425534599999996</v>
      </c>
      <c r="AV29">
        <v>0.42386643899999998</v>
      </c>
      <c r="AW29">
        <v>0.66228851600000005</v>
      </c>
      <c r="AX29">
        <v>0.53201108200000002</v>
      </c>
      <c r="AY29">
        <v>0.53201108200000002</v>
      </c>
      <c r="AZ29">
        <v>0.59425534599999996</v>
      </c>
      <c r="BA29">
        <v>0.59425534599999996</v>
      </c>
      <c r="BB29">
        <v>0.66168135500000003</v>
      </c>
      <c r="BC29">
        <v>0.59425534599999996</v>
      </c>
      <c r="BD29">
        <v>0.42386643899999998</v>
      </c>
      <c r="BE29">
        <v>0.42386643899999998</v>
      </c>
      <c r="BF29">
        <v>0.50323377899999999</v>
      </c>
      <c r="BG29">
        <v>0.42386643899999998</v>
      </c>
      <c r="BH29">
        <v>0.59425534599999996</v>
      </c>
      <c r="BI29">
        <v>0.50323377899999999</v>
      </c>
      <c r="BJ29">
        <v>0.59425534599999996</v>
      </c>
      <c r="BK29">
        <v>0.69769667099999999</v>
      </c>
      <c r="BL29">
        <v>0.50323377899999999</v>
      </c>
      <c r="BM29">
        <v>0.59425534599999996</v>
      </c>
      <c r="BN29">
        <v>0.59425534599999996</v>
      </c>
      <c r="BO29">
        <v>0.89783227600000004</v>
      </c>
      <c r="BP29">
        <v>0.35506608000000001</v>
      </c>
      <c r="BQ29">
        <v>0.59425534599999996</v>
      </c>
      <c r="BR29">
        <v>0.50323377899999999</v>
      </c>
      <c r="BS29">
        <v>0.475692385</v>
      </c>
      <c r="BT29">
        <v>0.562700329</v>
      </c>
      <c r="BU29">
        <v>0.77321039300000005</v>
      </c>
      <c r="BV29">
        <v>0.59425534599999996</v>
      </c>
      <c r="BW29">
        <v>0.69769667099999999</v>
      </c>
      <c r="BX29">
        <v>0.59425534599999996</v>
      </c>
      <c r="BY29">
        <v>2.7664001109999998</v>
      </c>
      <c r="BZ29">
        <v>2.6539428329999999</v>
      </c>
      <c r="CA29">
        <v>1.654461261</v>
      </c>
      <c r="CB29">
        <v>1.5125919880000001</v>
      </c>
      <c r="CC29">
        <v>1.318149035</v>
      </c>
      <c r="CD29">
        <v>1.9748874890000001</v>
      </c>
      <c r="CE29">
        <v>1.730820966</v>
      </c>
      <c r="CF29">
        <v>1.9734137430000001</v>
      </c>
      <c r="CG29">
        <v>2.44355038</v>
      </c>
      <c r="CH29">
        <v>2.44355038</v>
      </c>
      <c r="CI29">
        <v>1.9734137430000001</v>
      </c>
      <c r="CJ29">
        <v>1.729502407</v>
      </c>
      <c r="CK29">
        <v>1.5821856839999999</v>
      </c>
      <c r="CL29">
        <v>2.0619739560000001</v>
      </c>
      <c r="CM29">
        <v>1.257509953</v>
      </c>
      <c r="CN29">
        <v>1.5821856839999999</v>
      </c>
      <c r="CO29">
        <v>1.257509953</v>
      </c>
      <c r="CP29">
        <v>1.257509953</v>
      </c>
      <c r="CQ29">
        <v>1.091323134</v>
      </c>
      <c r="CR29">
        <v>1.200201638</v>
      </c>
      <c r="CS29">
        <v>1.091323134</v>
      </c>
      <c r="CT29">
        <v>0.85462156099999997</v>
      </c>
    </row>
    <row r="30" spans="1:98" x14ac:dyDescent="0.25">
      <c r="A30" t="s">
        <v>43</v>
      </c>
      <c r="B30">
        <v>3.0593402335921602E-3</v>
      </c>
      <c r="C30">
        <v>1.25738055354073E-2</v>
      </c>
      <c r="D30">
        <v>4.4398296332680198E-3</v>
      </c>
      <c r="E30">
        <v>9.0209884139080196E-3</v>
      </c>
      <c r="F30">
        <v>9.0209884139080196E-3</v>
      </c>
      <c r="G30">
        <v>8.0410026130373902E-3</v>
      </c>
      <c r="H30">
        <v>8.0410026130373902E-3</v>
      </c>
      <c r="I30">
        <v>6.3684398738599298E-3</v>
      </c>
      <c r="J30">
        <v>8.0410026130373902E-3</v>
      </c>
      <c r="K30">
        <v>4.4398296332680198E-3</v>
      </c>
      <c r="L30">
        <v>9.0209884139080196E-3</v>
      </c>
      <c r="M30">
        <v>8.0570209681228907E-3</v>
      </c>
      <c r="N30">
        <v>1.5620988090553199E-2</v>
      </c>
      <c r="O30">
        <v>8.0570209681228907E-3</v>
      </c>
      <c r="P30">
        <v>8.0570209681228907E-3</v>
      </c>
      <c r="Q30">
        <v>8.0570209681228907E-3</v>
      </c>
      <c r="R30">
        <v>8.0570209681228907E-3</v>
      </c>
      <c r="S30">
        <v>6.3684398738599298E-3</v>
      </c>
      <c r="T30">
        <v>5.6574096593357201E-3</v>
      </c>
      <c r="U30">
        <v>6.3684398738599298E-3</v>
      </c>
      <c r="V30">
        <v>6.3684398738599298E-3</v>
      </c>
      <c r="W30">
        <v>1.00996119316096E-2</v>
      </c>
      <c r="X30">
        <v>4.4398296332680198E-3</v>
      </c>
      <c r="Y30">
        <v>8.0570209681228907E-3</v>
      </c>
      <c r="Z30">
        <v>8.0570209681228907E-3</v>
      </c>
      <c r="AA30">
        <v>8.0570209681228907E-3</v>
      </c>
      <c r="AB30">
        <v>1.12744285461413E-2</v>
      </c>
      <c r="AC30">
        <v>8.0570209681228907E-3</v>
      </c>
      <c r="AD30">
        <v>6.3684398738599298E-3</v>
      </c>
      <c r="AE30">
        <v>6.3684398738599298E-3</v>
      </c>
      <c r="AF30">
        <v>6.3684398738599298E-3</v>
      </c>
      <c r="AG30">
        <v>3.0593402335921602E-3</v>
      </c>
      <c r="AH30">
        <v>4.4398296332680198E-3</v>
      </c>
      <c r="AI30">
        <v>4.4398296332680198E-3</v>
      </c>
      <c r="AJ30">
        <v>6.3684398738599298E-3</v>
      </c>
      <c r="AK30">
        <v>8.0410026130373902E-3</v>
      </c>
      <c r="AL30">
        <v>1.25738055354073E-2</v>
      </c>
      <c r="AM30">
        <v>4.4398296332680198E-3</v>
      </c>
      <c r="AN30">
        <v>6.3684398738599298E-3</v>
      </c>
      <c r="AO30">
        <v>6.3684398738599298E-3</v>
      </c>
      <c r="AP30">
        <v>9.0209884139080196E-3</v>
      </c>
      <c r="AQ30">
        <v>6.3684398738599298E-3</v>
      </c>
      <c r="AR30">
        <v>6.3684398738599298E-3</v>
      </c>
      <c r="AS30">
        <v>8.0570209681228907E-3</v>
      </c>
      <c r="AT30">
        <v>6.3684398738599298E-3</v>
      </c>
      <c r="AU30">
        <v>6.3684398738599298E-3</v>
      </c>
      <c r="AV30">
        <v>3.0593402335921602E-3</v>
      </c>
      <c r="AW30">
        <v>8.0570209681228907E-3</v>
      </c>
      <c r="AX30">
        <v>5.0092062671747099E-3</v>
      </c>
      <c r="AY30">
        <v>5.0092062671747099E-3</v>
      </c>
      <c r="AZ30">
        <v>6.3684398738599298E-3</v>
      </c>
      <c r="BA30">
        <v>6.3684398738599298E-3</v>
      </c>
      <c r="BB30">
        <v>8.0410026130373902E-3</v>
      </c>
      <c r="BC30">
        <v>6.3684398738599298E-3</v>
      </c>
      <c r="BD30">
        <v>3.0593402335921602E-3</v>
      </c>
      <c r="BE30">
        <v>3.0593402335921602E-3</v>
      </c>
      <c r="BF30">
        <v>4.4398296332680198E-3</v>
      </c>
      <c r="BG30">
        <v>3.0593402335921602E-3</v>
      </c>
      <c r="BH30">
        <v>6.3684398738599298E-3</v>
      </c>
      <c r="BI30">
        <v>4.4398296332680198E-3</v>
      </c>
      <c r="BJ30">
        <v>6.3684398738599298E-3</v>
      </c>
      <c r="BK30">
        <v>9.0209884139080196E-3</v>
      </c>
      <c r="BL30">
        <v>4.4398296332680198E-3</v>
      </c>
      <c r="BM30">
        <v>6.3684398738599298E-3</v>
      </c>
      <c r="BN30">
        <v>6.3684398738599298E-3</v>
      </c>
      <c r="BO30">
        <v>1.55922647705952E-2</v>
      </c>
      <c r="BP30">
        <v>2.0831814362716602E-3</v>
      </c>
      <c r="BQ30">
        <v>6.3684398738599298E-3</v>
      </c>
      <c r="BR30">
        <v>4.4398296332680198E-3</v>
      </c>
      <c r="BS30">
        <v>3.9294214644375099E-3</v>
      </c>
      <c r="BT30">
        <v>5.6574096593357201E-3</v>
      </c>
      <c r="BU30">
        <v>1.12744285461413E-2</v>
      </c>
      <c r="BV30">
        <v>6.3684398738599298E-3</v>
      </c>
      <c r="BW30">
        <v>9.0209884139080196E-3</v>
      </c>
      <c r="BX30">
        <v>6.3684398738599298E-3</v>
      </c>
      <c r="BY30">
        <v>0.17919809097509301</v>
      </c>
      <c r="BZ30">
        <v>0.16376690489991999</v>
      </c>
      <c r="CA30">
        <v>5.8736399712006199E-2</v>
      </c>
      <c r="CB30">
        <v>4.83533511463487E-2</v>
      </c>
      <c r="CC30">
        <v>3.5872796434139903E-2</v>
      </c>
      <c r="CD30">
        <v>8.6245021687637299E-2</v>
      </c>
      <c r="CE30">
        <v>6.4777731550385395E-2</v>
      </c>
      <c r="CF30">
        <v>8.6105434862889699E-2</v>
      </c>
      <c r="CG30">
        <v>0.13689728576994201</v>
      </c>
      <c r="CH30">
        <v>0.13689728576994201</v>
      </c>
      <c r="CI30">
        <v>8.6105434862889699E-2</v>
      </c>
      <c r="CJ30">
        <v>6.4670703081851993E-2</v>
      </c>
      <c r="CK30">
        <v>5.3310780692690699E-2</v>
      </c>
      <c r="CL30">
        <v>9.4710441371718995E-2</v>
      </c>
      <c r="CM30">
        <v>3.2388149062631502E-2</v>
      </c>
      <c r="CN30">
        <v>5.3310780692690699E-2</v>
      </c>
      <c r="CO30">
        <v>3.2388149062631502E-2</v>
      </c>
      <c r="CP30">
        <v>3.2388149062631502E-2</v>
      </c>
      <c r="CQ30">
        <v>2.3813181933462099E-2</v>
      </c>
      <c r="CR30">
        <v>2.92706267784997E-2</v>
      </c>
      <c r="CS30">
        <v>2.3813181933462099E-2</v>
      </c>
      <c r="CT30">
        <v>1.40097090386787E-2</v>
      </c>
    </row>
    <row r="31" spans="1:98" x14ac:dyDescent="0.25">
      <c r="A31" t="s">
        <v>44</v>
      </c>
      <c r="B31" s="1">
        <v>45151</v>
      </c>
      <c r="C31" s="1">
        <v>45151.010416666664</v>
      </c>
      <c r="D31" s="1">
        <v>45151.020833333336</v>
      </c>
      <c r="E31" s="1">
        <v>45151.03125</v>
      </c>
      <c r="F31" s="1">
        <v>45151.041666666664</v>
      </c>
      <c r="G31" s="1">
        <v>45151.052083333336</v>
      </c>
      <c r="H31" s="1">
        <v>45151.0625</v>
      </c>
      <c r="I31" s="1">
        <v>45151.072916666664</v>
      </c>
      <c r="J31" s="1">
        <v>45151.083333333336</v>
      </c>
      <c r="K31" s="1">
        <v>45151.09375</v>
      </c>
      <c r="L31" s="1">
        <v>45151.104166666664</v>
      </c>
      <c r="M31" s="1">
        <v>45151.114583333336</v>
      </c>
      <c r="N31" s="1">
        <v>45151.125</v>
      </c>
      <c r="O31" s="1">
        <v>45151.135416666664</v>
      </c>
      <c r="P31" s="1">
        <v>45151.145833333336</v>
      </c>
      <c r="Q31" s="1">
        <v>45151.15625</v>
      </c>
      <c r="R31" s="1">
        <v>45151.166666666664</v>
      </c>
      <c r="S31" s="1">
        <v>45151.177083333336</v>
      </c>
      <c r="T31" s="1">
        <v>45151.1875</v>
      </c>
      <c r="U31" s="1">
        <v>45151.197916666664</v>
      </c>
      <c r="V31" s="1">
        <v>45151.208333333336</v>
      </c>
      <c r="W31" s="1">
        <v>45151.21875</v>
      </c>
      <c r="X31" s="1">
        <v>45151.229166666664</v>
      </c>
      <c r="Y31" s="1">
        <v>45151.239583333336</v>
      </c>
      <c r="Z31" s="1">
        <v>45151.25</v>
      </c>
      <c r="AA31" s="1">
        <v>45151.260416666664</v>
      </c>
      <c r="AB31" s="1">
        <v>45151.270833333336</v>
      </c>
      <c r="AC31" s="1">
        <v>45151.28125</v>
      </c>
      <c r="AD31" s="1">
        <v>45151.291666666664</v>
      </c>
      <c r="AE31" s="1">
        <v>45151.302083333336</v>
      </c>
      <c r="AF31" s="1">
        <v>45151.3125</v>
      </c>
      <c r="AG31" s="1">
        <v>45151.322916666664</v>
      </c>
      <c r="AH31" s="1">
        <v>45151.333333333336</v>
      </c>
      <c r="AI31" s="1">
        <v>45151.34375</v>
      </c>
      <c r="AJ31" s="1">
        <v>45151.354166666664</v>
      </c>
      <c r="AK31" s="1">
        <v>45151.364583333336</v>
      </c>
      <c r="AL31" s="1">
        <v>45151.375</v>
      </c>
      <c r="AM31" s="1">
        <v>45151.385416666664</v>
      </c>
      <c r="AN31" s="1">
        <v>45151.395833333336</v>
      </c>
      <c r="AO31" s="1">
        <v>45151.40625</v>
      </c>
      <c r="AP31" s="1">
        <v>45151.416666666664</v>
      </c>
      <c r="AQ31" s="1">
        <v>45151.427083333336</v>
      </c>
      <c r="AR31" s="1">
        <v>45151.4375</v>
      </c>
      <c r="AS31" s="1">
        <v>45151.447916666664</v>
      </c>
      <c r="AT31" s="1">
        <v>45151.458333333336</v>
      </c>
      <c r="AU31" s="1">
        <v>45151.46875</v>
      </c>
      <c r="AV31" s="1">
        <v>45151.479166666664</v>
      </c>
      <c r="AW31" s="1">
        <v>45151.489583333336</v>
      </c>
      <c r="AX31" s="1">
        <v>45151.5</v>
      </c>
      <c r="AY31" s="1">
        <v>45151.510416666664</v>
      </c>
      <c r="AZ31" s="1">
        <v>45151.520833333336</v>
      </c>
      <c r="BA31" s="1">
        <v>45151.53125</v>
      </c>
      <c r="BB31" s="1">
        <v>45151.541666666664</v>
      </c>
      <c r="BC31" s="1">
        <v>45151.552083333336</v>
      </c>
      <c r="BD31" s="1">
        <v>45151.5625</v>
      </c>
      <c r="BE31" s="1">
        <v>45151.572916666664</v>
      </c>
      <c r="BF31" s="1">
        <v>45151.583333333336</v>
      </c>
      <c r="BG31" s="1">
        <v>45151.59375</v>
      </c>
      <c r="BH31" s="1">
        <v>45151.604166666664</v>
      </c>
      <c r="BI31" s="1">
        <v>45151.614583333336</v>
      </c>
      <c r="BJ31" s="1">
        <v>45151.625</v>
      </c>
      <c r="BK31" s="1">
        <v>45151.635416666664</v>
      </c>
      <c r="BL31" s="1">
        <v>45151.645833333336</v>
      </c>
      <c r="BM31" s="1">
        <v>45151.65625</v>
      </c>
      <c r="BN31" s="1">
        <v>45151.666666666664</v>
      </c>
      <c r="BO31" s="1">
        <v>45151.677083333336</v>
      </c>
      <c r="BP31" s="1">
        <v>45151.6875</v>
      </c>
      <c r="BQ31" s="1">
        <v>45151.697916666664</v>
      </c>
      <c r="BR31" s="1">
        <v>45151.708333333336</v>
      </c>
      <c r="BS31" s="1">
        <v>45151.71875</v>
      </c>
      <c r="BT31" s="1">
        <v>45151.729166666664</v>
      </c>
      <c r="BU31" s="1">
        <v>45151.739583333336</v>
      </c>
      <c r="BV31" s="1">
        <v>45151.75</v>
      </c>
      <c r="BW31" s="1">
        <v>45151.760416666664</v>
      </c>
      <c r="BX31" s="1">
        <v>45151.770833333336</v>
      </c>
      <c r="BY31" s="1">
        <v>45151.78125</v>
      </c>
      <c r="BZ31" s="1">
        <v>45151.791666666664</v>
      </c>
      <c r="CA31" s="1">
        <v>45151.802083333336</v>
      </c>
      <c r="CB31" s="1">
        <v>45151.8125</v>
      </c>
      <c r="CC31" s="1">
        <v>45151.822916666664</v>
      </c>
      <c r="CD31" s="1">
        <v>45151.833333333336</v>
      </c>
      <c r="CE31" s="1">
        <v>45151.84375</v>
      </c>
      <c r="CF31" s="1">
        <v>45151.854166666664</v>
      </c>
      <c r="CG31" s="1">
        <v>45151.864583333336</v>
      </c>
      <c r="CH31" s="1">
        <v>45151.875</v>
      </c>
      <c r="CI31" s="1">
        <v>45151.885416666664</v>
      </c>
      <c r="CJ31" s="1">
        <v>45151.895833333336</v>
      </c>
      <c r="CK31" s="1">
        <v>45151.90625</v>
      </c>
      <c r="CL31" s="1">
        <v>45151.916666666664</v>
      </c>
      <c r="CM31" s="1">
        <v>45151.927083333336</v>
      </c>
      <c r="CN31" s="1">
        <v>45151.9375</v>
      </c>
      <c r="CO31" s="1">
        <v>45151.947916666664</v>
      </c>
      <c r="CP31" s="1">
        <v>45151.958333333336</v>
      </c>
      <c r="CQ31" s="1">
        <v>45151.96875</v>
      </c>
      <c r="CR31" s="1">
        <v>45151.979166666664</v>
      </c>
      <c r="CS31" s="1">
        <v>45151.989583333336</v>
      </c>
      <c r="CT31" s="1">
        <v>45152</v>
      </c>
    </row>
    <row r="32" spans="1:98" x14ac:dyDescent="0.25">
      <c r="BY32" t="s">
        <v>45</v>
      </c>
    </row>
    <row r="34" spans="1:28" x14ac:dyDescent="0.25">
      <c r="C34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8" x14ac:dyDescent="0.25">
      <c r="A35" s="2" t="s">
        <v>0</v>
      </c>
      <c r="B35" s="7">
        <f>MAX(B2:CT2)</f>
        <v>3.0943712647888701E-4</v>
      </c>
      <c r="C35" s="3">
        <f>_xlfn.XLOOKUP(MAX(B2:CT2), B2:CT2, $B$1:$CT$1)</f>
        <v>45151.78125</v>
      </c>
      <c r="E35" s="1">
        <v>45151</v>
      </c>
      <c r="T35" t="s">
        <v>0</v>
      </c>
      <c r="U35" s="4">
        <v>1.4897205278113701E-2</v>
      </c>
    </row>
    <row r="36" spans="1:28" x14ac:dyDescent="0.25">
      <c r="A36" s="2" t="s">
        <v>1</v>
      </c>
      <c r="B36" s="7">
        <f t="shared" ref="B36:B61" si="0">MAX(B3:CT3)</f>
        <v>2.2263822327193601E-4</v>
      </c>
      <c r="C36" s="3">
        <f>_xlfn.XLOOKUP(MAX(B3:CT3), B3:CT3, $B$1:$CT$1)</f>
        <v>45151.78125</v>
      </c>
      <c r="E36" s="1">
        <v>45151.010416666664</v>
      </c>
      <c r="T36" t="s">
        <v>1</v>
      </c>
      <c r="U36" s="4">
        <v>8.0441004530797805E-3</v>
      </c>
    </row>
    <row r="37" spans="1:28" x14ac:dyDescent="0.25">
      <c r="A37" s="2" t="s">
        <v>2</v>
      </c>
      <c r="B37" s="7">
        <f t="shared" si="0"/>
        <v>2.2289332505166101E-4</v>
      </c>
      <c r="C37" s="3">
        <f t="shared" ref="C37:C63" si="1">_xlfn.XLOOKUP(MAX(B4:CT4), B4:CT4, $B$1:$CT$1)</f>
        <v>45151.78125</v>
      </c>
      <c r="E37" s="1">
        <v>45151.020833333336</v>
      </c>
      <c r="T37" t="s">
        <v>2</v>
      </c>
      <c r="U37" s="4">
        <v>8.0763578503031796E-3</v>
      </c>
    </row>
    <row r="38" spans="1:28" x14ac:dyDescent="0.25">
      <c r="A38" t="s">
        <v>3</v>
      </c>
      <c r="B38">
        <f t="shared" si="0"/>
        <v>0</v>
      </c>
      <c r="C38" s="8">
        <f t="shared" si="1"/>
        <v>45151</v>
      </c>
      <c r="E38" s="1">
        <v>45151.03125</v>
      </c>
      <c r="T38" t="s">
        <v>3</v>
      </c>
      <c r="U38" s="5">
        <v>0</v>
      </c>
    </row>
    <row r="39" spans="1:28" x14ac:dyDescent="0.25">
      <c r="A39" t="s">
        <v>4</v>
      </c>
      <c r="B39">
        <f t="shared" si="0"/>
        <v>0</v>
      </c>
      <c r="C39" s="8">
        <f t="shared" si="1"/>
        <v>45151</v>
      </c>
      <c r="E39" s="1">
        <v>45151.041666666664</v>
      </c>
      <c r="T39" t="s">
        <v>4</v>
      </c>
      <c r="U39" s="5">
        <v>0</v>
      </c>
    </row>
    <row r="40" spans="1:28" x14ac:dyDescent="0.25">
      <c r="A40" t="s">
        <v>5</v>
      </c>
      <c r="B40">
        <f t="shared" si="0"/>
        <v>0</v>
      </c>
      <c r="C40" s="8">
        <f t="shared" si="1"/>
        <v>45151</v>
      </c>
      <c r="E40" s="1">
        <v>45151.052083333336</v>
      </c>
      <c r="T40" t="s">
        <v>5</v>
      </c>
      <c r="U40" s="5">
        <v>36</v>
      </c>
    </row>
    <row r="41" spans="1:28" x14ac:dyDescent="0.25">
      <c r="A41" s="2" t="s">
        <v>6</v>
      </c>
      <c r="B41">
        <f t="shared" si="0"/>
        <v>0</v>
      </c>
      <c r="C41" s="8">
        <f t="shared" si="1"/>
        <v>45151</v>
      </c>
      <c r="E41" s="1">
        <v>45151.0625</v>
      </c>
      <c r="T41" t="s">
        <v>6</v>
      </c>
      <c r="U41" s="5">
        <v>461</v>
      </c>
    </row>
    <row r="42" spans="1:28" x14ac:dyDescent="0.25">
      <c r="A42" s="2" t="s">
        <v>7</v>
      </c>
      <c r="B42">
        <f t="shared" si="0"/>
        <v>1</v>
      </c>
      <c r="C42" s="3">
        <f t="shared" si="1"/>
        <v>45151.864583333336</v>
      </c>
      <c r="E42" s="1">
        <v>45151.072916666664</v>
      </c>
      <c r="T42" t="s">
        <v>7</v>
      </c>
      <c r="U42" s="5">
        <v>6670</v>
      </c>
    </row>
    <row r="43" spans="1:28" x14ac:dyDescent="0.25">
      <c r="A43" s="2" t="s">
        <v>8</v>
      </c>
      <c r="B43">
        <f t="shared" si="0"/>
        <v>51</v>
      </c>
      <c r="C43" s="3">
        <f t="shared" si="1"/>
        <v>45151.78125</v>
      </c>
      <c r="E43" s="1">
        <v>45151.083333333336</v>
      </c>
      <c r="T43" t="s">
        <v>8</v>
      </c>
      <c r="U43" s="5">
        <v>10150</v>
      </c>
    </row>
    <row r="44" spans="1:28" x14ac:dyDescent="0.25">
      <c r="A44" t="s">
        <v>9</v>
      </c>
      <c r="B44">
        <f t="shared" si="0"/>
        <v>0</v>
      </c>
      <c r="C44" s="8">
        <f t="shared" si="1"/>
        <v>45151</v>
      </c>
      <c r="E44" s="1">
        <v>45151.09375</v>
      </c>
    </row>
    <row r="45" spans="1:28" x14ac:dyDescent="0.25">
      <c r="A45" t="s">
        <v>10</v>
      </c>
      <c r="B45">
        <f t="shared" si="0"/>
        <v>0</v>
      </c>
      <c r="C45" s="8">
        <f t="shared" si="1"/>
        <v>45151</v>
      </c>
      <c r="E45" s="1">
        <v>45151.104166666664</v>
      </c>
    </row>
    <row r="46" spans="1:28" x14ac:dyDescent="0.25">
      <c r="A46" t="s">
        <v>11</v>
      </c>
      <c r="B46">
        <f t="shared" si="0"/>
        <v>0</v>
      </c>
      <c r="C46" s="8">
        <f t="shared" si="1"/>
        <v>45151</v>
      </c>
      <c r="E46" s="1">
        <v>45151.114583333336</v>
      </c>
      <c r="U46" t="s">
        <v>32</v>
      </c>
    </row>
    <row r="47" spans="1:28" x14ac:dyDescent="0.25">
      <c r="A47" t="s">
        <v>12</v>
      </c>
      <c r="B47" s="4">
        <f t="shared" si="0"/>
        <v>0</v>
      </c>
      <c r="C47" s="8">
        <f t="shared" si="1"/>
        <v>45151</v>
      </c>
      <c r="E47" s="1">
        <v>45151.125</v>
      </c>
      <c r="U47" t="s">
        <v>33</v>
      </c>
      <c r="V47" t="s">
        <v>34</v>
      </c>
      <c r="W47" t="s">
        <v>35</v>
      </c>
      <c r="Z47" t="s">
        <v>33</v>
      </c>
      <c r="AA47" t="s">
        <v>34</v>
      </c>
      <c r="AB47" t="s">
        <v>35</v>
      </c>
    </row>
    <row r="48" spans="1:28" x14ac:dyDescent="0.25">
      <c r="A48" t="s">
        <v>13</v>
      </c>
      <c r="B48" s="4">
        <f t="shared" si="0"/>
        <v>0</v>
      </c>
      <c r="C48" s="8">
        <f t="shared" si="1"/>
        <v>45151</v>
      </c>
      <c r="E48" s="1">
        <v>45151.135416666664</v>
      </c>
      <c r="T48" t="s">
        <v>36</v>
      </c>
      <c r="U48" s="6">
        <f>B44</f>
        <v>0</v>
      </c>
      <c r="V48" s="6">
        <f>B45</f>
        <v>0</v>
      </c>
      <c r="W48" s="6">
        <f>B46</f>
        <v>0</v>
      </c>
      <c r="Y48" t="s">
        <v>36</v>
      </c>
      <c r="Z48">
        <v>0</v>
      </c>
      <c r="AA48">
        <v>0</v>
      </c>
      <c r="AB48">
        <v>0</v>
      </c>
    </row>
    <row r="49" spans="1:28" x14ac:dyDescent="0.25">
      <c r="A49" t="s">
        <v>14</v>
      </c>
      <c r="B49" s="4">
        <f t="shared" si="0"/>
        <v>0</v>
      </c>
      <c r="C49" s="8">
        <f t="shared" si="1"/>
        <v>45151</v>
      </c>
      <c r="E49" s="1">
        <v>45151.145833333336</v>
      </c>
      <c r="T49" t="s">
        <v>37</v>
      </c>
      <c r="U49" s="6">
        <f>B47</f>
        <v>0</v>
      </c>
      <c r="V49" s="6">
        <f>B48</f>
        <v>0</v>
      </c>
      <c r="W49" s="6">
        <f>B49</f>
        <v>0</v>
      </c>
      <c r="Y49" t="s">
        <v>37</v>
      </c>
      <c r="Z49">
        <v>0</v>
      </c>
      <c r="AA49">
        <v>0</v>
      </c>
      <c r="AB49">
        <v>0</v>
      </c>
    </row>
    <row r="50" spans="1:28" x14ac:dyDescent="0.25">
      <c r="A50" s="2" t="s">
        <v>15</v>
      </c>
      <c r="B50" s="4">
        <f t="shared" si="0"/>
        <v>0</v>
      </c>
      <c r="C50" s="8">
        <f t="shared" si="1"/>
        <v>45151</v>
      </c>
      <c r="E50" s="1">
        <v>45151.15625</v>
      </c>
      <c r="T50" t="s">
        <v>38</v>
      </c>
      <c r="U50" s="6">
        <f>B50</f>
        <v>0</v>
      </c>
      <c r="V50" s="6">
        <f>B51</f>
        <v>0</v>
      </c>
      <c r="W50" s="6">
        <f>B52</f>
        <v>0</v>
      </c>
      <c r="Y50" t="s">
        <v>38</v>
      </c>
      <c r="Z50">
        <v>0.23835528444981899</v>
      </c>
      <c r="AA50">
        <v>0.17646182124931101</v>
      </c>
      <c r="AB50">
        <v>0.17646182124931101</v>
      </c>
    </row>
    <row r="51" spans="1:28" x14ac:dyDescent="0.25">
      <c r="A51" s="2" t="s">
        <v>16</v>
      </c>
      <c r="B51" s="4">
        <f t="shared" si="0"/>
        <v>0</v>
      </c>
      <c r="C51" s="8">
        <f t="shared" si="1"/>
        <v>45151</v>
      </c>
      <c r="E51" s="1">
        <v>45151.166666666664</v>
      </c>
      <c r="T51" t="s">
        <v>39</v>
      </c>
      <c r="U51" s="6">
        <f>B53</f>
        <v>0</v>
      </c>
      <c r="V51" s="6">
        <f>B54</f>
        <v>0</v>
      </c>
      <c r="W51" s="6">
        <f>B55</f>
        <v>0</v>
      </c>
      <c r="Y51" t="s">
        <v>39</v>
      </c>
      <c r="Z51">
        <v>0.95342113779927895</v>
      </c>
      <c r="AA51">
        <v>0.51482242899710595</v>
      </c>
      <c r="AB51">
        <v>0.51688690241940405</v>
      </c>
    </row>
    <row r="52" spans="1:28" x14ac:dyDescent="0.25">
      <c r="A52" s="2" t="s">
        <v>17</v>
      </c>
      <c r="B52" s="4">
        <f t="shared" si="0"/>
        <v>0</v>
      </c>
      <c r="C52" s="8">
        <f t="shared" si="1"/>
        <v>45151</v>
      </c>
      <c r="E52" s="1">
        <v>45151.177083333336</v>
      </c>
      <c r="T52" t="s">
        <v>40</v>
      </c>
      <c r="U52" s="6">
        <f>B56</f>
        <v>7.9170598440599302E-2</v>
      </c>
      <c r="V52" s="6">
        <f>B57</f>
        <v>7.9170598440599302E-2</v>
      </c>
      <c r="W52" s="6">
        <f>B58</f>
        <v>7.9170598440599302E-2</v>
      </c>
      <c r="Y52" t="s">
        <v>40</v>
      </c>
      <c r="Z52">
        <v>3.81368455119711</v>
      </c>
      <c r="AA52">
        <v>2.0592897159884198</v>
      </c>
      <c r="AB52">
        <v>2.06754760967761</v>
      </c>
    </row>
    <row r="53" spans="1:28" x14ac:dyDescent="0.25">
      <c r="A53" s="2" t="s">
        <v>18</v>
      </c>
      <c r="B53" s="4">
        <f t="shared" si="0"/>
        <v>0</v>
      </c>
      <c r="C53" s="8">
        <f t="shared" si="1"/>
        <v>45151</v>
      </c>
      <c r="E53" s="1">
        <v>45151.1875</v>
      </c>
      <c r="T53" t="s">
        <v>41</v>
      </c>
      <c r="U53" s="6">
        <f>B59</f>
        <v>0.31686361751438102</v>
      </c>
      <c r="V53" s="6">
        <f>B60</f>
        <v>0.24626306572304801</v>
      </c>
      <c r="W53" s="6">
        <f>B61</f>
        <v>0.24262354303853101</v>
      </c>
      <c r="Y53" t="s">
        <v>41</v>
      </c>
      <c r="Z53">
        <v>15.254738204788399</v>
      </c>
      <c r="AA53">
        <v>8.2371588639537006</v>
      </c>
      <c r="AB53">
        <v>8.2701904387104594</v>
      </c>
    </row>
    <row r="54" spans="1:28" x14ac:dyDescent="0.25">
      <c r="A54" s="2" t="s">
        <v>19</v>
      </c>
      <c r="B54" s="4">
        <f t="shared" si="0"/>
        <v>0</v>
      </c>
      <c r="C54" s="8">
        <f t="shared" si="1"/>
        <v>45151</v>
      </c>
      <c r="E54" s="1">
        <v>45151.197916666664</v>
      </c>
    </row>
    <row r="55" spans="1:28" x14ac:dyDescent="0.25">
      <c r="A55" s="2" t="s">
        <v>20</v>
      </c>
      <c r="B55" s="4">
        <f t="shared" si="0"/>
        <v>0</v>
      </c>
      <c r="C55" s="8">
        <f t="shared" si="1"/>
        <v>45151</v>
      </c>
      <c r="E55" s="1">
        <v>45151.208333333336</v>
      </c>
    </row>
    <row r="56" spans="1:28" x14ac:dyDescent="0.25">
      <c r="A56" s="2" t="s">
        <v>21</v>
      </c>
      <c r="B56" s="4">
        <f t="shared" si="0"/>
        <v>7.9170598440599302E-2</v>
      </c>
      <c r="C56" s="8">
        <f t="shared" si="1"/>
        <v>45151.864583333336</v>
      </c>
      <c r="E56" s="1">
        <v>45151.21875</v>
      </c>
    </row>
    <row r="57" spans="1:28" x14ac:dyDescent="0.25">
      <c r="A57" s="2" t="s">
        <v>22</v>
      </c>
      <c r="B57" s="4">
        <f t="shared" si="0"/>
        <v>7.9170598440599302E-2</v>
      </c>
      <c r="C57" s="8">
        <f t="shared" si="1"/>
        <v>45151.864583333336</v>
      </c>
      <c r="E57" s="1">
        <v>45151.229166666664</v>
      </c>
    </row>
    <row r="58" spans="1:28" x14ac:dyDescent="0.25">
      <c r="A58" s="2" t="s">
        <v>23</v>
      </c>
      <c r="B58" s="4">
        <f t="shared" si="0"/>
        <v>7.9170598440599302E-2</v>
      </c>
      <c r="C58" s="8">
        <f t="shared" si="1"/>
        <v>45151.864583333336</v>
      </c>
      <c r="E58" s="1">
        <v>45151.239583333336</v>
      </c>
    </row>
    <row r="59" spans="1:28" x14ac:dyDescent="0.25">
      <c r="A59" s="2" t="s">
        <v>24</v>
      </c>
      <c r="B59" s="4">
        <f t="shared" si="0"/>
        <v>0.31686361751438102</v>
      </c>
      <c r="C59" s="8">
        <f t="shared" si="1"/>
        <v>45151.78125</v>
      </c>
      <c r="E59" s="1">
        <v>45151.25</v>
      </c>
    </row>
    <row r="60" spans="1:28" x14ac:dyDescent="0.25">
      <c r="A60" s="2" t="s">
        <v>25</v>
      </c>
      <c r="B60" s="4">
        <f t="shared" si="0"/>
        <v>0.24626306572304801</v>
      </c>
      <c r="C60" s="8">
        <f t="shared" si="1"/>
        <v>45151.78125</v>
      </c>
      <c r="E60" s="1">
        <v>45151.260416666664</v>
      </c>
    </row>
    <row r="61" spans="1:28" x14ac:dyDescent="0.25">
      <c r="A61" s="2" t="s">
        <v>26</v>
      </c>
      <c r="B61" s="4">
        <f t="shared" si="0"/>
        <v>0.24262354303853101</v>
      </c>
      <c r="C61" s="8">
        <f t="shared" si="1"/>
        <v>45151.78125</v>
      </c>
      <c r="E61" s="1">
        <v>45151.270833333336</v>
      </c>
    </row>
    <row r="62" spans="1:28" x14ac:dyDescent="0.25">
      <c r="A62" t="s">
        <v>42</v>
      </c>
      <c r="B62" s="4">
        <f t="shared" ref="B62:B63" si="2">MAX(B29:CT29)</f>
        <v>2.7664001109999998</v>
      </c>
      <c r="C62" s="8">
        <f t="shared" si="1"/>
        <v>45151.78125</v>
      </c>
      <c r="E62" s="1">
        <v>45151.28125</v>
      </c>
    </row>
    <row r="63" spans="1:28" x14ac:dyDescent="0.25">
      <c r="A63" t="s">
        <v>43</v>
      </c>
      <c r="B63" s="4">
        <f t="shared" si="2"/>
        <v>0.17919809097509301</v>
      </c>
      <c r="C63" s="8">
        <f t="shared" si="1"/>
        <v>45151.78125</v>
      </c>
      <c r="E63" s="1">
        <v>45151.291666666664</v>
      </c>
    </row>
    <row r="64" spans="1:28" x14ac:dyDescent="0.25">
      <c r="E64" s="1">
        <v>45151.302083333336</v>
      </c>
    </row>
    <row r="65" spans="5:5" x14ac:dyDescent="0.25">
      <c r="E65" s="1">
        <v>45151.3125</v>
      </c>
    </row>
    <row r="66" spans="5:5" x14ac:dyDescent="0.25">
      <c r="E66" s="1">
        <v>45151.322916666664</v>
      </c>
    </row>
    <row r="67" spans="5:5" x14ac:dyDescent="0.25">
      <c r="E67" s="1">
        <v>45151.333333333336</v>
      </c>
    </row>
    <row r="68" spans="5:5" x14ac:dyDescent="0.25">
      <c r="E68" s="1">
        <v>45151.34375</v>
      </c>
    </row>
    <row r="69" spans="5:5" x14ac:dyDescent="0.25">
      <c r="E69" s="1">
        <v>45151.354166666664</v>
      </c>
    </row>
    <row r="70" spans="5:5" x14ac:dyDescent="0.25">
      <c r="E70" s="1">
        <v>45151.364583333336</v>
      </c>
    </row>
    <row r="71" spans="5:5" x14ac:dyDescent="0.25">
      <c r="E71" s="1">
        <v>45151.375</v>
      </c>
    </row>
    <row r="72" spans="5:5" x14ac:dyDescent="0.25">
      <c r="E72" s="1">
        <v>45151.385416666664</v>
      </c>
    </row>
    <row r="73" spans="5:5" x14ac:dyDescent="0.25">
      <c r="E73" s="1">
        <v>45151.395833333336</v>
      </c>
    </row>
    <row r="74" spans="5:5" x14ac:dyDescent="0.25">
      <c r="E74" s="1">
        <v>45151.40625</v>
      </c>
    </row>
    <row r="75" spans="5:5" x14ac:dyDescent="0.25">
      <c r="E75" s="1">
        <v>45151.416666666664</v>
      </c>
    </row>
    <row r="76" spans="5:5" x14ac:dyDescent="0.25">
      <c r="E76" s="1">
        <v>45151.427083333336</v>
      </c>
    </row>
    <row r="77" spans="5:5" x14ac:dyDescent="0.25">
      <c r="E77" s="1">
        <v>45151.4375</v>
      </c>
    </row>
    <row r="78" spans="5:5" x14ac:dyDescent="0.25">
      <c r="E78" s="1">
        <v>45151.447916666664</v>
      </c>
    </row>
    <row r="79" spans="5:5" x14ac:dyDescent="0.25">
      <c r="E79" s="1">
        <v>45151.458333333336</v>
      </c>
    </row>
    <row r="80" spans="5:5" x14ac:dyDescent="0.25">
      <c r="E80" s="1">
        <v>45151.46875</v>
      </c>
    </row>
    <row r="81" spans="5:5" x14ac:dyDescent="0.25">
      <c r="E81" s="1">
        <v>45151.479166666664</v>
      </c>
    </row>
    <row r="82" spans="5:5" x14ac:dyDescent="0.25">
      <c r="E82" s="1">
        <v>45151.489583333336</v>
      </c>
    </row>
    <row r="83" spans="5:5" x14ac:dyDescent="0.25">
      <c r="E83" s="1">
        <v>45151.5</v>
      </c>
    </row>
    <row r="84" spans="5:5" x14ac:dyDescent="0.25">
      <c r="E84" s="1">
        <v>45151.510416666664</v>
      </c>
    </row>
    <row r="85" spans="5:5" x14ac:dyDescent="0.25">
      <c r="E85" s="1">
        <v>45151.520833333336</v>
      </c>
    </row>
    <row r="86" spans="5:5" x14ac:dyDescent="0.25">
      <c r="E86" s="1">
        <v>45151.53125</v>
      </c>
    </row>
    <row r="87" spans="5:5" x14ac:dyDescent="0.25">
      <c r="E87" s="1">
        <v>45151.541666666664</v>
      </c>
    </row>
    <row r="88" spans="5:5" x14ac:dyDescent="0.25">
      <c r="E88" s="1">
        <v>45151.552083333336</v>
      </c>
    </row>
    <row r="89" spans="5:5" x14ac:dyDescent="0.25">
      <c r="E89" s="1">
        <v>45151.5625</v>
      </c>
    </row>
    <row r="90" spans="5:5" x14ac:dyDescent="0.25">
      <c r="E90" s="1">
        <v>45151.572916666664</v>
      </c>
    </row>
    <row r="91" spans="5:5" x14ac:dyDescent="0.25">
      <c r="E91" s="1">
        <v>45151.583333333336</v>
      </c>
    </row>
    <row r="92" spans="5:5" x14ac:dyDescent="0.25">
      <c r="E92" s="1">
        <v>45151.59375</v>
      </c>
    </row>
    <row r="93" spans="5:5" x14ac:dyDescent="0.25">
      <c r="E93" s="1">
        <v>45151.604166666664</v>
      </c>
    </row>
    <row r="94" spans="5:5" x14ac:dyDescent="0.25">
      <c r="E94" s="1">
        <v>45151.614583333336</v>
      </c>
    </row>
    <row r="95" spans="5:5" x14ac:dyDescent="0.25">
      <c r="E95" s="1">
        <v>45151.625</v>
      </c>
    </row>
    <row r="96" spans="5:5" x14ac:dyDescent="0.25">
      <c r="E96" s="1">
        <v>45151.635416666664</v>
      </c>
    </row>
    <row r="97" spans="5:5" x14ac:dyDescent="0.25">
      <c r="E97" s="1">
        <v>45151.645833333336</v>
      </c>
    </row>
    <row r="98" spans="5:5" x14ac:dyDescent="0.25">
      <c r="E98" s="1">
        <v>45151.65625</v>
      </c>
    </row>
    <row r="99" spans="5:5" x14ac:dyDescent="0.25">
      <c r="E99" s="1">
        <v>45151.666666666664</v>
      </c>
    </row>
    <row r="100" spans="5:5" x14ac:dyDescent="0.25">
      <c r="E100" s="1">
        <v>45151.677083333336</v>
      </c>
    </row>
    <row r="101" spans="5:5" x14ac:dyDescent="0.25">
      <c r="E101" s="1">
        <v>45151.6875</v>
      </c>
    </row>
    <row r="102" spans="5:5" x14ac:dyDescent="0.25">
      <c r="E102" s="1">
        <v>45151.697916666664</v>
      </c>
    </row>
    <row r="103" spans="5:5" x14ac:dyDescent="0.25">
      <c r="E103" s="1">
        <v>45151.708333333336</v>
      </c>
    </row>
    <row r="104" spans="5:5" x14ac:dyDescent="0.25">
      <c r="E104" s="1">
        <v>45151.71875</v>
      </c>
    </row>
    <row r="105" spans="5:5" x14ac:dyDescent="0.25">
      <c r="E105" s="1">
        <v>45151.729166666664</v>
      </c>
    </row>
    <row r="106" spans="5:5" x14ac:dyDescent="0.25">
      <c r="E106" s="1">
        <v>45151.739583333336</v>
      </c>
    </row>
    <row r="107" spans="5:5" x14ac:dyDescent="0.25">
      <c r="E107" s="1">
        <v>45151.75</v>
      </c>
    </row>
    <row r="108" spans="5:5" x14ac:dyDescent="0.25">
      <c r="E108" s="1">
        <v>45151.760416666664</v>
      </c>
    </row>
    <row r="109" spans="5:5" x14ac:dyDescent="0.25">
      <c r="E109" s="1">
        <v>45151.770833333336</v>
      </c>
    </row>
    <row r="110" spans="5:5" x14ac:dyDescent="0.25">
      <c r="E110" s="1">
        <v>45151.78125</v>
      </c>
    </row>
    <row r="111" spans="5:5" x14ac:dyDescent="0.25">
      <c r="E111" s="1">
        <v>45151.791666666664</v>
      </c>
    </row>
    <row r="112" spans="5:5" x14ac:dyDescent="0.25">
      <c r="E112" s="1">
        <v>45151.802083333336</v>
      </c>
    </row>
    <row r="113" spans="5:5" x14ac:dyDescent="0.25">
      <c r="E113" s="1">
        <v>45151.8125</v>
      </c>
    </row>
    <row r="114" spans="5:5" x14ac:dyDescent="0.25">
      <c r="E114" s="1">
        <v>45151.822916666664</v>
      </c>
    </row>
    <row r="115" spans="5:5" x14ac:dyDescent="0.25">
      <c r="E115" s="1">
        <v>45151.833333333336</v>
      </c>
    </row>
    <row r="116" spans="5:5" x14ac:dyDescent="0.25">
      <c r="E116" s="1">
        <v>45151.84375</v>
      </c>
    </row>
    <row r="117" spans="5:5" x14ac:dyDescent="0.25">
      <c r="E117" s="1">
        <v>45151.854166666664</v>
      </c>
    </row>
    <row r="118" spans="5:5" x14ac:dyDescent="0.25">
      <c r="E118" s="1">
        <v>45151.864583333336</v>
      </c>
    </row>
    <row r="119" spans="5:5" x14ac:dyDescent="0.25">
      <c r="E119" s="1">
        <v>45151.875</v>
      </c>
    </row>
    <row r="120" spans="5:5" x14ac:dyDescent="0.25">
      <c r="E120" s="1">
        <v>45151.885416666664</v>
      </c>
    </row>
    <row r="121" spans="5:5" x14ac:dyDescent="0.25">
      <c r="E121" s="1">
        <v>45151.895833333336</v>
      </c>
    </row>
    <row r="122" spans="5:5" x14ac:dyDescent="0.25">
      <c r="E122" s="1">
        <v>45151.90625</v>
      </c>
    </row>
    <row r="123" spans="5:5" x14ac:dyDescent="0.25">
      <c r="E123" s="1">
        <v>45151.916666666664</v>
      </c>
    </row>
    <row r="124" spans="5:5" x14ac:dyDescent="0.25">
      <c r="E124" s="1">
        <v>45151.927083333336</v>
      </c>
    </row>
    <row r="125" spans="5:5" x14ac:dyDescent="0.25">
      <c r="E125" s="1">
        <v>45151.9375</v>
      </c>
    </row>
    <row r="126" spans="5:5" x14ac:dyDescent="0.25">
      <c r="E126" s="1">
        <v>45151.947916666664</v>
      </c>
    </row>
    <row r="127" spans="5:5" x14ac:dyDescent="0.25">
      <c r="E127" s="1">
        <v>45151.958333333336</v>
      </c>
    </row>
    <row r="128" spans="5:5" x14ac:dyDescent="0.25">
      <c r="E128" s="1">
        <v>45151.96875</v>
      </c>
    </row>
    <row r="129" spans="5:5" x14ac:dyDescent="0.25">
      <c r="E129" s="1">
        <v>45151.979166666664</v>
      </c>
    </row>
    <row r="130" spans="5:5" x14ac:dyDescent="0.25">
      <c r="E130" s="1">
        <v>45151.989583333336</v>
      </c>
    </row>
    <row r="131" spans="5:5" x14ac:dyDescent="0.25">
      <c r="E131" s="1">
        <v>45152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storm5_results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2025-10-23T21:06:05Z</dcterms:created>
  <dcterms:modified xsi:type="dcterms:W3CDTF">2025-12-11T00:58:11Z</dcterms:modified>
</cp:coreProperties>
</file>