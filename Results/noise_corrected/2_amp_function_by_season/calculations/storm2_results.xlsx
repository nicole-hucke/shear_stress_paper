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ck4481\Documents\GitHub\shear_stress_paper\Results\noise_corrected\2_amp_function_by_season\calculations\"/>
    </mc:Choice>
  </mc:AlternateContent>
  <xr:revisionPtr revIDLastSave="0" documentId="13_ncr:1_{731C3673-46D4-4FD9-A530-558E50627B1A}" xr6:coauthVersionLast="47" xr6:coauthVersionMax="47" xr10:uidLastSave="{00000000-0000-0000-0000-000000000000}"/>
  <bookViews>
    <workbookView xWindow="-120" yWindow="-120" windowWidth="29040" windowHeight="15720" xr2:uid="{867F3169-A9A3-4AE6-89E2-304587BC45FE}"/>
  </bookViews>
  <sheets>
    <sheet name="storm2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1" l="1"/>
  <c r="B41" i="1" l="1"/>
  <c r="B42" i="1"/>
  <c r="B40" i="1"/>
  <c r="B34" i="1"/>
  <c r="C61" i="1"/>
  <c r="C62" i="1"/>
  <c r="C60" i="1"/>
  <c r="C34" i="1"/>
  <c r="B61" i="1"/>
  <c r="B62" i="1"/>
  <c r="C35" i="1" l="1"/>
  <c r="C36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B35" i="1"/>
  <c r="B36" i="1"/>
  <c r="B37" i="1"/>
  <c r="B38" i="1"/>
  <c r="B39" i="1"/>
  <c r="B43" i="1"/>
  <c r="U47" i="1" s="1"/>
  <c r="B44" i="1"/>
  <c r="V47" i="1" s="1"/>
  <c r="B45" i="1"/>
  <c r="W47" i="1" s="1"/>
  <c r="B46" i="1"/>
  <c r="U48" i="1" s="1"/>
  <c r="B47" i="1"/>
  <c r="V48" i="1" s="1"/>
  <c r="B48" i="1"/>
  <c r="W48" i="1" s="1"/>
  <c r="B49" i="1"/>
  <c r="U49" i="1" s="1"/>
  <c r="B50" i="1"/>
  <c r="V49" i="1" s="1"/>
  <c r="B51" i="1"/>
  <c r="W49" i="1" s="1"/>
  <c r="B52" i="1"/>
  <c r="U50" i="1" s="1"/>
  <c r="B53" i="1"/>
  <c r="V50" i="1" s="1"/>
  <c r="B54" i="1"/>
  <c r="W50" i="1" s="1"/>
  <c r="B55" i="1"/>
  <c r="U51" i="1" s="1"/>
  <c r="B56" i="1"/>
  <c r="V51" i="1" s="1"/>
  <c r="B57" i="1"/>
  <c r="W51" i="1" s="1"/>
  <c r="B58" i="1"/>
  <c r="U52" i="1" s="1"/>
  <c r="B59" i="1"/>
  <c r="V52" i="1" s="1"/>
  <c r="B60" i="1"/>
  <c r="W52" i="1" s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34" i="1"/>
</calcChain>
</file>

<file path=xl/sharedStrings.xml><?xml version="1.0" encoding="utf-8"?>
<sst xmlns="http://schemas.openxmlformats.org/spreadsheetml/2006/main" count="61" uniqueCount="47">
  <si>
    <t>max_amp</t>
  </si>
  <si>
    <t>mean_amp</t>
  </si>
  <si>
    <t>median_amp</t>
  </si>
  <si>
    <t>impulses_ch6</t>
  </si>
  <si>
    <t>impulses_ch5</t>
  </si>
  <si>
    <t>impulses_ch4</t>
  </si>
  <si>
    <t>impulses_ch3</t>
  </si>
  <si>
    <t>impulses_ch2</t>
  </si>
  <si>
    <t>impulses_ch1</t>
  </si>
  <si>
    <t>max_env_ch6</t>
  </si>
  <si>
    <t>mean_env_ch6</t>
  </si>
  <si>
    <t>median_env_ch6</t>
  </si>
  <si>
    <t>max_env_ch5</t>
  </si>
  <si>
    <t>mean_env_ch5</t>
  </si>
  <si>
    <t>median_env_ch5</t>
  </si>
  <si>
    <t>max_env_ch4</t>
  </si>
  <si>
    <t>mean_env_ch4</t>
  </si>
  <si>
    <t>median_env_ch4</t>
  </si>
  <si>
    <t>max_env_ch3</t>
  </si>
  <si>
    <t>mean_env_ch3</t>
  </si>
  <si>
    <t>median_env_ch3</t>
  </si>
  <si>
    <t>max_env_ch2</t>
  </si>
  <si>
    <t>mean_env_ch2</t>
  </si>
  <si>
    <t>median_env_ch2</t>
  </si>
  <si>
    <t>max_env_ch1</t>
  </si>
  <si>
    <t>mean_env_ch1</t>
  </si>
  <si>
    <t>median_env_ch1</t>
  </si>
  <si>
    <t>when</t>
  </si>
  <si>
    <t xml:space="preserve">Time </t>
  </si>
  <si>
    <t>Max Amp</t>
  </si>
  <si>
    <t>Mean Amp</t>
  </si>
  <si>
    <t>Med Amp</t>
  </si>
  <si>
    <t>tau</t>
  </si>
  <si>
    <t>amp_factor</t>
  </si>
  <si>
    <t>timestamp</t>
  </si>
  <si>
    <t>max</t>
  </si>
  <si>
    <t>mean</t>
  </si>
  <si>
    <t>impulses</t>
  </si>
  <si>
    <t>med</t>
  </si>
  <si>
    <t>ch6</t>
  </si>
  <si>
    <t>ch5</t>
  </si>
  <si>
    <t>ch4</t>
  </si>
  <si>
    <t>ch3</t>
  </si>
  <si>
    <t>ch2</t>
  </si>
  <si>
    <t>ch1</t>
  </si>
  <si>
    <t>NEW</t>
  </si>
  <si>
    <t>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</si>
</sst>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0.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22" fontId="0" fillId="0" borderId="0" xfId="0" applyNumberFormat="1"/>
    <xf numFmtId="1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0" fillId="33" borderId="0" xfId="0" applyFill="1"/>
    <xf numFmtId="164" fontId="0" fillId="33" borderId="0" xfId="0" applyNumberFormat="1" applyFill="1"/>
    <xf numFmtId="0" fontId="0" fillId="33" borderId="0" xfId="0" applyFill="1" applyAlignment="1">
      <alignment horizontal="center"/>
    </xf>
    <xf numFmtId="22" fontId="0" fillId="0" borderId="0" xfId="0" applyNumberFormat="1" applyAlignment="1">
      <alignment horizontal="center"/>
    </xf>
    <xf numFmtId="165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</a:t>
            </a:r>
            <a:r>
              <a:rPr lang="en-US" baseline="0"/>
              <a:t> Over Time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storm2_results!$E$34:$E$125</c:f>
              <c:numCache>
                <c:formatCode>m/d/yyyy\ h:mm</c:formatCode>
                <c:ptCount val="92"/>
                <c:pt idx="0">
                  <c:v>44776.000694444447</c:v>
                </c:pt>
                <c:pt idx="1">
                  <c:v>44776.011111111111</c:v>
                </c:pt>
                <c:pt idx="2">
                  <c:v>44776.021527777775</c:v>
                </c:pt>
                <c:pt idx="3">
                  <c:v>44776.031944444447</c:v>
                </c:pt>
                <c:pt idx="4">
                  <c:v>44776.042361111111</c:v>
                </c:pt>
                <c:pt idx="5">
                  <c:v>44776.052777777775</c:v>
                </c:pt>
                <c:pt idx="6">
                  <c:v>44776.063194444447</c:v>
                </c:pt>
                <c:pt idx="7">
                  <c:v>44776.073611111111</c:v>
                </c:pt>
                <c:pt idx="8">
                  <c:v>44776.084027777775</c:v>
                </c:pt>
                <c:pt idx="9">
                  <c:v>44776.094444444447</c:v>
                </c:pt>
                <c:pt idx="10">
                  <c:v>44776.104861111111</c:v>
                </c:pt>
                <c:pt idx="11">
                  <c:v>44776.115277777775</c:v>
                </c:pt>
                <c:pt idx="12">
                  <c:v>44776.125694444447</c:v>
                </c:pt>
                <c:pt idx="13">
                  <c:v>44776.136111111111</c:v>
                </c:pt>
                <c:pt idx="14">
                  <c:v>44776.146527777775</c:v>
                </c:pt>
                <c:pt idx="15">
                  <c:v>44776.156944444447</c:v>
                </c:pt>
                <c:pt idx="16">
                  <c:v>44776.167361111111</c:v>
                </c:pt>
                <c:pt idx="17">
                  <c:v>44776.177777777775</c:v>
                </c:pt>
                <c:pt idx="18">
                  <c:v>44776.188194444447</c:v>
                </c:pt>
                <c:pt idx="19">
                  <c:v>44776.198611111111</c:v>
                </c:pt>
                <c:pt idx="20">
                  <c:v>44776.209027777775</c:v>
                </c:pt>
                <c:pt idx="21">
                  <c:v>44776.219444444447</c:v>
                </c:pt>
                <c:pt idx="22">
                  <c:v>44776.229861111111</c:v>
                </c:pt>
                <c:pt idx="23">
                  <c:v>44776.240277777775</c:v>
                </c:pt>
                <c:pt idx="24">
                  <c:v>44776.250694444447</c:v>
                </c:pt>
                <c:pt idx="25">
                  <c:v>44776.261111111111</c:v>
                </c:pt>
                <c:pt idx="26">
                  <c:v>44776.271527777775</c:v>
                </c:pt>
                <c:pt idx="27">
                  <c:v>44776.281944444447</c:v>
                </c:pt>
                <c:pt idx="28">
                  <c:v>44776.292361111111</c:v>
                </c:pt>
                <c:pt idx="29">
                  <c:v>44776.302777777775</c:v>
                </c:pt>
                <c:pt idx="30">
                  <c:v>44776.313194444447</c:v>
                </c:pt>
                <c:pt idx="31">
                  <c:v>44776.323611111111</c:v>
                </c:pt>
                <c:pt idx="32">
                  <c:v>44776.334027777775</c:v>
                </c:pt>
                <c:pt idx="33">
                  <c:v>44776.344444444447</c:v>
                </c:pt>
                <c:pt idx="34">
                  <c:v>44776.354861111111</c:v>
                </c:pt>
                <c:pt idx="35">
                  <c:v>44776.365277777775</c:v>
                </c:pt>
                <c:pt idx="36">
                  <c:v>44776.375694444447</c:v>
                </c:pt>
                <c:pt idx="37">
                  <c:v>44776.386111111111</c:v>
                </c:pt>
                <c:pt idx="38">
                  <c:v>44776.396527777775</c:v>
                </c:pt>
                <c:pt idx="39">
                  <c:v>44776.406944444447</c:v>
                </c:pt>
                <c:pt idx="40">
                  <c:v>44776.417361111111</c:v>
                </c:pt>
                <c:pt idx="41">
                  <c:v>44776.427777777775</c:v>
                </c:pt>
                <c:pt idx="42">
                  <c:v>44776.438194444447</c:v>
                </c:pt>
                <c:pt idx="43">
                  <c:v>44776.448611111111</c:v>
                </c:pt>
                <c:pt idx="44">
                  <c:v>44776.459027777775</c:v>
                </c:pt>
                <c:pt idx="45">
                  <c:v>44776.469444444447</c:v>
                </c:pt>
                <c:pt idx="46">
                  <c:v>44776.479861111111</c:v>
                </c:pt>
                <c:pt idx="47">
                  <c:v>44776.490277777775</c:v>
                </c:pt>
                <c:pt idx="48">
                  <c:v>44776.500694444447</c:v>
                </c:pt>
                <c:pt idx="49">
                  <c:v>44776.511111111111</c:v>
                </c:pt>
                <c:pt idx="50">
                  <c:v>44776.521527777775</c:v>
                </c:pt>
                <c:pt idx="51">
                  <c:v>44776.531944444447</c:v>
                </c:pt>
                <c:pt idx="52">
                  <c:v>44776.542361111111</c:v>
                </c:pt>
                <c:pt idx="53">
                  <c:v>44776.552777777775</c:v>
                </c:pt>
                <c:pt idx="54">
                  <c:v>44776.563194444447</c:v>
                </c:pt>
                <c:pt idx="55">
                  <c:v>44776.573611111111</c:v>
                </c:pt>
                <c:pt idx="56">
                  <c:v>44776.584027777775</c:v>
                </c:pt>
                <c:pt idx="57">
                  <c:v>44776.594444444447</c:v>
                </c:pt>
                <c:pt idx="58">
                  <c:v>44776.604861111111</c:v>
                </c:pt>
                <c:pt idx="59">
                  <c:v>44776.615277777775</c:v>
                </c:pt>
                <c:pt idx="60">
                  <c:v>44776.625694444447</c:v>
                </c:pt>
                <c:pt idx="61">
                  <c:v>44776.636111111111</c:v>
                </c:pt>
                <c:pt idx="62">
                  <c:v>44776.646527777775</c:v>
                </c:pt>
                <c:pt idx="63">
                  <c:v>44776.656944444447</c:v>
                </c:pt>
                <c:pt idx="64">
                  <c:v>44776.667361111111</c:v>
                </c:pt>
                <c:pt idx="65">
                  <c:v>44776.677777777775</c:v>
                </c:pt>
                <c:pt idx="66">
                  <c:v>44776.688194444447</c:v>
                </c:pt>
                <c:pt idx="67">
                  <c:v>44776.698611111111</c:v>
                </c:pt>
                <c:pt idx="68">
                  <c:v>44776.709027777775</c:v>
                </c:pt>
                <c:pt idx="69">
                  <c:v>44776.719444444447</c:v>
                </c:pt>
                <c:pt idx="70">
                  <c:v>44776.729861111111</c:v>
                </c:pt>
                <c:pt idx="71">
                  <c:v>44776.740277777775</c:v>
                </c:pt>
                <c:pt idx="72">
                  <c:v>44776.750694444447</c:v>
                </c:pt>
                <c:pt idx="73">
                  <c:v>44776.761111111111</c:v>
                </c:pt>
                <c:pt idx="74">
                  <c:v>44776.771527777775</c:v>
                </c:pt>
                <c:pt idx="75">
                  <c:v>44776.781944444447</c:v>
                </c:pt>
                <c:pt idx="76">
                  <c:v>44776.792361111111</c:v>
                </c:pt>
                <c:pt idx="77">
                  <c:v>44776.802777777775</c:v>
                </c:pt>
                <c:pt idx="78">
                  <c:v>44776.813194444447</c:v>
                </c:pt>
                <c:pt idx="79">
                  <c:v>44776.823611111111</c:v>
                </c:pt>
                <c:pt idx="80">
                  <c:v>44776.834027777775</c:v>
                </c:pt>
                <c:pt idx="81">
                  <c:v>44776.844444444447</c:v>
                </c:pt>
                <c:pt idx="82">
                  <c:v>44776.854861111111</c:v>
                </c:pt>
                <c:pt idx="83">
                  <c:v>44776.865277777775</c:v>
                </c:pt>
                <c:pt idx="84">
                  <c:v>44776.875694444447</c:v>
                </c:pt>
                <c:pt idx="85">
                  <c:v>44776.917361111111</c:v>
                </c:pt>
                <c:pt idx="86">
                  <c:v>44776.948611111111</c:v>
                </c:pt>
                <c:pt idx="87">
                  <c:v>44776.959027777775</c:v>
                </c:pt>
                <c:pt idx="88">
                  <c:v>44776.969444444447</c:v>
                </c:pt>
                <c:pt idx="89">
                  <c:v>44776.979861111111</c:v>
                </c:pt>
                <c:pt idx="90">
                  <c:v>44776.990277777775</c:v>
                </c:pt>
                <c:pt idx="91">
                  <c:v>44777.000694444447</c:v>
                </c:pt>
              </c:numCache>
            </c:numRef>
          </c:xVal>
          <c:yVal>
            <c:numRef>
              <c:f>storm2_results!$F$34:$F$125</c:f>
              <c:numCache>
                <c:formatCode>0.00E+00</c:formatCode>
                <c:ptCount val="92"/>
                <c:pt idx="0">
                  <c:v>9.4170832457325001E-10</c:v>
                </c:pt>
                <c:pt idx="1">
                  <c:v>1.19225420553501E-9</c:v>
                </c:pt>
                <c:pt idx="2">
                  <c:v>1.13718472474984E-9</c:v>
                </c:pt>
                <c:pt idx="3">
                  <c:v>1.0151142238303101E-9</c:v>
                </c:pt>
                <c:pt idx="4">
                  <c:v>6.4398678510234201E-10</c:v>
                </c:pt>
                <c:pt idx="5">
                  <c:v>6.2715093817983104E-10</c:v>
                </c:pt>
                <c:pt idx="6">
                  <c:v>9.9990196305767197E-10</c:v>
                </c:pt>
                <c:pt idx="7">
                  <c:v>1.02326911631512E-9</c:v>
                </c:pt>
                <c:pt idx="8">
                  <c:v>9.5971722737034707E-10</c:v>
                </c:pt>
                <c:pt idx="9">
                  <c:v>7.9877157460493596E-10</c:v>
                </c:pt>
                <c:pt idx="10">
                  <c:v>9.7700202241142105E-10</c:v>
                </c:pt>
                <c:pt idx="11">
                  <c:v>9.4746727011196394E-10</c:v>
                </c:pt>
                <c:pt idx="12">
                  <c:v>9.9179274251827295E-10</c:v>
                </c:pt>
                <c:pt idx="13">
                  <c:v>9.0412029372403197E-10</c:v>
                </c:pt>
                <c:pt idx="14">
                  <c:v>6.1770763270172503E-10</c:v>
                </c:pt>
                <c:pt idx="15">
                  <c:v>6.6201536184373002E-10</c:v>
                </c:pt>
                <c:pt idx="16">
                  <c:v>8.0323787221929904E-10</c:v>
                </c:pt>
                <c:pt idx="17">
                  <c:v>8.9163950421949099E-10</c:v>
                </c:pt>
                <c:pt idx="18">
                  <c:v>7.8059713555551002E-10</c:v>
                </c:pt>
                <c:pt idx="19">
                  <c:v>8.1405890757249299E-10</c:v>
                </c:pt>
                <c:pt idx="20">
                  <c:v>7.7083428546008703E-10</c:v>
                </c:pt>
                <c:pt idx="21">
                  <c:v>9.9394579461837903E-10</c:v>
                </c:pt>
                <c:pt idx="22">
                  <c:v>1.2167593713498799E-9</c:v>
                </c:pt>
                <c:pt idx="23">
                  <c:v>9.9761659609293507E-10</c:v>
                </c:pt>
                <c:pt idx="24">
                  <c:v>8.6240978978739599E-10</c:v>
                </c:pt>
                <c:pt idx="25">
                  <c:v>6.2067528552950298E-10</c:v>
                </c:pt>
                <c:pt idx="26">
                  <c:v>5.4594806038022402E-10</c:v>
                </c:pt>
                <c:pt idx="27">
                  <c:v>5.2090447587157199E-10</c:v>
                </c:pt>
                <c:pt idx="28">
                  <c:v>5.8306301614118296E-10</c:v>
                </c:pt>
                <c:pt idx="29">
                  <c:v>6.8948522561471099E-10</c:v>
                </c:pt>
                <c:pt idx="30">
                  <c:v>4.5233308144590302E-10</c:v>
                </c:pt>
                <c:pt idx="31">
                  <c:v>5.1388836432907001E-10</c:v>
                </c:pt>
                <c:pt idx="32">
                  <c:v>8.7150875242922001E-10</c:v>
                </c:pt>
                <c:pt idx="33">
                  <c:v>8.5961704616773898E-10</c:v>
                </c:pt>
                <c:pt idx="34">
                  <c:v>6.8942732597906497E-10</c:v>
                </c:pt>
                <c:pt idx="35">
                  <c:v>6.2702083736231303E-10</c:v>
                </c:pt>
                <c:pt idx="36">
                  <c:v>8.5293857979288797E-10</c:v>
                </c:pt>
                <c:pt idx="37">
                  <c:v>8.1528735054230495E-10</c:v>
                </c:pt>
                <c:pt idx="38">
                  <c:v>5.0022108606043999E-10</c:v>
                </c:pt>
                <c:pt idx="39">
                  <c:v>4.6844564912095302E-10</c:v>
                </c:pt>
                <c:pt idx="40">
                  <c:v>9.4067720518393391E-10</c:v>
                </c:pt>
                <c:pt idx="41">
                  <c:v>6.5682430527547602E-10</c:v>
                </c:pt>
                <c:pt idx="42">
                  <c:v>6.3892786223280001E-10</c:v>
                </c:pt>
                <c:pt idx="43">
                  <c:v>7.1708642457303E-10</c:v>
                </c:pt>
                <c:pt idx="44">
                  <c:v>4.5867702983181802E-10</c:v>
                </c:pt>
                <c:pt idx="45">
                  <c:v>5.3868177925949697E-10</c:v>
                </c:pt>
                <c:pt idx="46">
                  <c:v>6.1779634236488301E-10</c:v>
                </c:pt>
                <c:pt idx="47">
                  <c:v>7.3499520574830097E-10</c:v>
                </c:pt>
                <c:pt idx="48">
                  <c:v>9.4909688375402305E-10</c:v>
                </c:pt>
                <c:pt idx="49">
                  <c:v>8.8232007600894004E-10</c:v>
                </c:pt>
                <c:pt idx="50">
                  <c:v>8.3121502177750504E-10</c:v>
                </c:pt>
                <c:pt idx="51">
                  <c:v>7.5270898989416299E-10</c:v>
                </c:pt>
                <c:pt idx="52">
                  <c:v>8.2191583823346199E-10</c:v>
                </c:pt>
                <c:pt idx="53">
                  <c:v>5.0678380596177797E-10</c:v>
                </c:pt>
                <c:pt idx="54">
                  <c:v>3.2699546023203698E-10</c:v>
                </c:pt>
                <c:pt idx="55">
                  <c:v>4.72004980013671E-10</c:v>
                </c:pt>
                <c:pt idx="56">
                  <c:v>5.4989495226542702E-10</c:v>
                </c:pt>
                <c:pt idx="57">
                  <c:v>6.6930170633289299E-10</c:v>
                </c:pt>
                <c:pt idx="58">
                  <c:v>1.0489946937872801E-9</c:v>
                </c:pt>
                <c:pt idx="59">
                  <c:v>2.3911052353288801E-8</c:v>
                </c:pt>
                <c:pt idx="60" formatCode="General">
                  <c:v>8.4256581576265999E-4</c:v>
                </c:pt>
                <c:pt idx="61" formatCode="General">
                  <c:v>3.0194890839779602E-3</c:v>
                </c:pt>
                <c:pt idx="62" formatCode="General">
                  <c:v>1.3419280710164001E-3</c:v>
                </c:pt>
                <c:pt idx="63" formatCode="General">
                  <c:v>4.3902523980032999E-4</c:v>
                </c:pt>
                <c:pt idx="64" formatCode="General">
                  <c:v>6.5939852060204699E-4</c:v>
                </c:pt>
                <c:pt idx="65" formatCode="General">
                  <c:v>1.3813185597794501E-3</c:v>
                </c:pt>
                <c:pt idx="66" formatCode="General">
                  <c:v>9.8204166941528396E-4</c:v>
                </c:pt>
                <c:pt idx="67" formatCode="General">
                  <c:v>6.8230783756815302E-4</c:v>
                </c:pt>
                <c:pt idx="68" formatCode="General">
                  <c:v>4.8825608108944398E-4</c:v>
                </c:pt>
                <c:pt idx="69" formatCode="General">
                  <c:v>4.0077653523385402E-4</c:v>
                </c:pt>
                <c:pt idx="70" formatCode="General">
                  <c:v>2.8406229446980902E-4</c:v>
                </c:pt>
                <c:pt idx="71" formatCode="General">
                  <c:v>1.15579019054127E-4</c:v>
                </c:pt>
                <c:pt idx="72">
                  <c:v>4.8066690553333703E-5</c:v>
                </c:pt>
                <c:pt idx="73">
                  <c:v>3.9194224418457197E-5</c:v>
                </c:pt>
                <c:pt idx="74">
                  <c:v>2.2204912325750299E-5</c:v>
                </c:pt>
                <c:pt idx="75">
                  <c:v>5.7209591914661297E-6</c:v>
                </c:pt>
                <c:pt idx="76">
                  <c:v>4.6235635463227896E-6</c:v>
                </c:pt>
                <c:pt idx="77">
                  <c:v>2.0442095213971602E-6</c:v>
                </c:pt>
                <c:pt idx="78">
                  <c:v>8.4608754407049798E-7</c:v>
                </c:pt>
                <c:pt idx="79">
                  <c:v>7.9548858694861903E-7</c:v>
                </c:pt>
                <c:pt idx="80">
                  <c:v>9.2995385842568605E-7</c:v>
                </c:pt>
                <c:pt idx="81">
                  <c:v>7.1353611262290904E-7</c:v>
                </c:pt>
                <c:pt idx="82">
                  <c:v>4.4749196250294002E-7</c:v>
                </c:pt>
                <c:pt idx="83">
                  <c:v>2.97598488557786E-7</c:v>
                </c:pt>
                <c:pt idx="84">
                  <c:v>2.91656407736742E-7</c:v>
                </c:pt>
                <c:pt idx="85">
                  <c:v>2.38278498467708E-7</c:v>
                </c:pt>
                <c:pt idx="86">
                  <c:v>2.7142588960351998E-7</c:v>
                </c:pt>
                <c:pt idx="87">
                  <c:v>2.8845317308508E-7</c:v>
                </c:pt>
                <c:pt idx="88">
                  <c:v>1.7803150855957199E-7</c:v>
                </c:pt>
                <c:pt idx="89">
                  <c:v>1.3568315097894001E-7</c:v>
                </c:pt>
                <c:pt idx="90">
                  <c:v>1.86896842999386E-7</c:v>
                </c:pt>
                <c:pt idx="91">
                  <c:v>1.5120622219659301E-7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4A-42D0-9EB5-E2CE57560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1374511"/>
        <c:axId val="382721663"/>
      </c:scatterChart>
      <c:valAx>
        <c:axId val="54137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721663"/>
        <c:crosses val="autoZero"/>
        <c:crossBetween val="midCat"/>
      </c:valAx>
      <c:valAx>
        <c:axId val="38272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374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Amp</a:t>
            </a:r>
            <a:r>
              <a:rPr lang="en-US" baseline="0"/>
              <a:t> Over Time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storm2_results!$E$34:$E$125</c:f>
              <c:numCache>
                <c:formatCode>m/d/yyyy\ h:mm</c:formatCode>
                <c:ptCount val="92"/>
                <c:pt idx="0">
                  <c:v>44776.000694444447</c:v>
                </c:pt>
                <c:pt idx="1">
                  <c:v>44776.011111111111</c:v>
                </c:pt>
                <c:pt idx="2">
                  <c:v>44776.021527777775</c:v>
                </c:pt>
                <c:pt idx="3">
                  <c:v>44776.031944444447</c:v>
                </c:pt>
                <c:pt idx="4">
                  <c:v>44776.042361111111</c:v>
                </c:pt>
                <c:pt idx="5">
                  <c:v>44776.052777777775</c:v>
                </c:pt>
                <c:pt idx="6">
                  <c:v>44776.063194444447</c:v>
                </c:pt>
                <c:pt idx="7">
                  <c:v>44776.073611111111</c:v>
                </c:pt>
                <c:pt idx="8">
                  <c:v>44776.084027777775</c:v>
                </c:pt>
                <c:pt idx="9">
                  <c:v>44776.094444444447</c:v>
                </c:pt>
                <c:pt idx="10">
                  <c:v>44776.104861111111</c:v>
                </c:pt>
                <c:pt idx="11">
                  <c:v>44776.115277777775</c:v>
                </c:pt>
                <c:pt idx="12">
                  <c:v>44776.125694444447</c:v>
                </c:pt>
                <c:pt idx="13">
                  <c:v>44776.136111111111</c:v>
                </c:pt>
                <c:pt idx="14">
                  <c:v>44776.146527777775</c:v>
                </c:pt>
                <c:pt idx="15">
                  <c:v>44776.156944444447</c:v>
                </c:pt>
                <c:pt idx="16">
                  <c:v>44776.167361111111</c:v>
                </c:pt>
                <c:pt idx="17">
                  <c:v>44776.177777777775</c:v>
                </c:pt>
                <c:pt idx="18">
                  <c:v>44776.188194444447</c:v>
                </c:pt>
                <c:pt idx="19">
                  <c:v>44776.198611111111</c:v>
                </c:pt>
                <c:pt idx="20">
                  <c:v>44776.209027777775</c:v>
                </c:pt>
                <c:pt idx="21">
                  <c:v>44776.219444444447</c:v>
                </c:pt>
                <c:pt idx="22">
                  <c:v>44776.229861111111</c:v>
                </c:pt>
                <c:pt idx="23">
                  <c:v>44776.240277777775</c:v>
                </c:pt>
                <c:pt idx="24">
                  <c:v>44776.250694444447</c:v>
                </c:pt>
                <c:pt idx="25">
                  <c:v>44776.261111111111</c:v>
                </c:pt>
                <c:pt idx="26">
                  <c:v>44776.271527777775</c:v>
                </c:pt>
                <c:pt idx="27">
                  <c:v>44776.281944444447</c:v>
                </c:pt>
                <c:pt idx="28">
                  <c:v>44776.292361111111</c:v>
                </c:pt>
                <c:pt idx="29">
                  <c:v>44776.302777777775</c:v>
                </c:pt>
                <c:pt idx="30">
                  <c:v>44776.313194444447</c:v>
                </c:pt>
                <c:pt idx="31">
                  <c:v>44776.323611111111</c:v>
                </c:pt>
                <c:pt idx="32">
                  <c:v>44776.334027777775</c:v>
                </c:pt>
                <c:pt idx="33">
                  <c:v>44776.344444444447</c:v>
                </c:pt>
                <c:pt idx="34">
                  <c:v>44776.354861111111</c:v>
                </c:pt>
                <c:pt idx="35">
                  <c:v>44776.365277777775</c:v>
                </c:pt>
                <c:pt idx="36">
                  <c:v>44776.375694444447</c:v>
                </c:pt>
                <c:pt idx="37">
                  <c:v>44776.386111111111</c:v>
                </c:pt>
                <c:pt idx="38">
                  <c:v>44776.396527777775</c:v>
                </c:pt>
                <c:pt idx="39">
                  <c:v>44776.406944444447</c:v>
                </c:pt>
                <c:pt idx="40">
                  <c:v>44776.417361111111</c:v>
                </c:pt>
                <c:pt idx="41">
                  <c:v>44776.427777777775</c:v>
                </c:pt>
                <c:pt idx="42">
                  <c:v>44776.438194444447</c:v>
                </c:pt>
                <c:pt idx="43">
                  <c:v>44776.448611111111</c:v>
                </c:pt>
                <c:pt idx="44">
                  <c:v>44776.459027777775</c:v>
                </c:pt>
                <c:pt idx="45">
                  <c:v>44776.469444444447</c:v>
                </c:pt>
                <c:pt idx="46">
                  <c:v>44776.479861111111</c:v>
                </c:pt>
                <c:pt idx="47">
                  <c:v>44776.490277777775</c:v>
                </c:pt>
                <c:pt idx="48">
                  <c:v>44776.500694444447</c:v>
                </c:pt>
                <c:pt idx="49">
                  <c:v>44776.511111111111</c:v>
                </c:pt>
                <c:pt idx="50">
                  <c:v>44776.521527777775</c:v>
                </c:pt>
                <c:pt idx="51">
                  <c:v>44776.531944444447</c:v>
                </c:pt>
                <c:pt idx="52">
                  <c:v>44776.542361111111</c:v>
                </c:pt>
                <c:pt idx="53">
                  <c:v>44776.552777777775</c:v>
                </c:pt>
                <c:pt idx="54">
                  <c:v>44776.563194444447</c:v>
                </c:pt>
                <c:pt idx="55">
                  <c:v>44776.573611111111</c:v>
                </c:pt>
                <c:pt idx="56">
                  <c:v>44776.584027777775</c:v>
                </c:pt>
                <c:pt idx="57">
                  <c:v>44776.594444444447</c:v>
                </c:pt>
                <c:pt idx="58">
                  <c:v>44776.604861111111</c:v>
                </c:pt>
                <c:pt idx="59">
                  <c:v>44776.615277777775</c:v>
                </c:pt>
                <c:pt idx="60">
                  <c:v>44776.625694444447</c:v>
                </c:pt>
                <c:pt idx="61">
                  <c:v>44776.636111111111</c:v>
                </c:pt>
                <c:pt idx="62">
                  <c:v>44776.646527777775</c:v>
                </c:pt>
                <c:pt idx="63">
                  <c:v>44776.656944444447</c:v>
                </c:pt>
                <c:pt idx="64">
                  <c:v>44776.667361111111</c:v>
                </c:pt>
                <c:pt idx="65">
                  <c:v>44776.677777777775</c:v>
                </c:pt>
                <c:pt idx="66">
                  <c:v>44776.688194444447</c:v>
                </c:pt>
                <c:pt idx="67">
                  <c:v>44776.698611111111</c:v>
                </c:pt>
                <c:pt idx="68">
                  <c:v>44776.709027777775</c:v>
                </c:pt>
                <c:pt idx="69">
                  <c:v>44776.719444444447</c:v>
                </c:pt>
                <c:pt idx="70">
                  <c:v>44776.729861111111</c:v>
                </c:pt>
                <c:pt idx="71">
                  <c:v>44776.740277777775</c:v>
                </c:pt>
                <c:pt idx="72">
                  <c:v>44776.750694444447</c:v>
                </c:pt>
                <c:pt idx="73">
                  <c:v>44776.761111111111</c:v>
                </c:pt>
                <c:pt idx="74">
                  <c:v>44776.771527777775</c:v>
                </c:pt>
                <c:pt idx="75">
                  <c:v>44776.781944444447</c:v>
                </c:pt>
                <c:pt idx="76">
                  <c:v>44776.792361111111</c:v>
                </c:pt>
                <c:pt idx="77">
                  <c:v>44776.802777777775</c:v>
                </c:pt>
                <c:pt idx="78">
                  <c:v>44776.813194444447</c:v>
                </c:pt>
                <c:pt idx="79">
                  <c:v>44776.823611111111</c:v>
                </c:pt>
                <c:pt idx="80">
                  <c:v>44776.834027777775</c:v>
                </c:pt>
                <c:pt idx="81">
                  <c:v>44776.844444444447</c:v>
                </c:pt>
                <c:pt idx="82">
                  <c:v>44776.854861111111</c:v>
                </c:pt>
                <c:pt idx="83">
                  <c:v>44776.865277777775</c:v>
                </c:pt>
                <c:pt idx="84">
                  <c:v>44776.875694444447</c:v>
                </c:pt>
                <c:pt idx="85">
                  <c:v>44776.917361111111</c:v>
                </c:pt>
                <c:pt idx="86">
                  <c:v>44776.948611111111</c:v>
                </c:pt>
                <c:pt idx="87">
                  <c:v>44776.959027777775</c:v>
                </c:pt>
                <c:pt idx="88">
                  <c:v>44776.969444444447</c:v>
                </c:pt>
                <c:pt idx="89">
                  <c:v>44776.979861111111</c:v>
                </c:pt>
                <c:pt idx="90">
                  <c:v>44776.990277777775</c:v>
                </c:pt>
                <c:pt idx="91">
                  <c:v>44777.000694444447</c:v>
                </c:pt>
              </c:numCache>
            </c:numRef>
          </c:xVal>
          <c:yVal>
            <c:numRef>
              <c:f>storm2_results!$G$34:$G$125</c:f>
              <c:numCache>
                <c:formatCode>0.00E+00</c:formatCode>
                <c:ptCount val="92"/>
                <c:pt idx="0">
                  <c:v>6.7817983640293597E-10</c:v>
                </c:pt>
                <c:pt idx="1">
                  <c:v>7.9935488811814302E-10</c:v>
                </c:pt>
                <c:pt idx="2">
                  <c:v>8.0473361940703399E-10</c:v>
                </c:pt>
                <c:pt idx="3">
                  <c:v>7.2252814219493303E-10</c:v>
                </c:pt>
                <c:pt idx="4">
                  <c:v>4.4567946577085499E-10</c:v>
                </c:pt>
                <c:pt idx="5">
                  <c:v>4.6111146412390699E-10</c:v>
                </c:pt>
                <c:pt idx="6">
                  <c:v>6.9556006144983501E-10</c:v>
                </c:pt>
                <c:pt idx="7">
                  <c:v>6.7940669377925398E-10</c:v>
                </c:pt>
                <c:pt idx="8">
                  <c:v>6.4767005517130501E-10</c:v>
                </c:pt>
                <c:pt idx="9">
                  <c:v>5.4184663617276897E-10</c:v>
                </c:pt>
                <c:pt idx="10">
                  <c:v>6.2835086765185102E-10</c:v>
                </c:pt>
                <c:pt idx="11">
                  <c:v>7.4436162291078E-10</c:v>
                </c:pt>
                <c:pt idx="12">
                  <c:v>6.45184550477534E-10</c:v>
                </c:pt>
                <c:pt idx="13">
                  <c:v>6.5859411579469405E-10</c:v>
                </c:pt>
                <c:pt idx="14">
                  <c:v>4.0783672234896999E-10</c:v>
                </c:pt>
                <c:pt idx="15">
                  <c:v>4.66962373632692E-10</c:v>
                </c:pt>
                <c:pt idx="16">
                  <c:v>5.92647323868018E-10</c:v>
                </c:pt>
                <c:pt idx="17">
                  <c:v>5.8876469747462296E-10</c:v>
                </c:pt>
                <c:pt idx="18">
                  <c:v>5.88856603044077E-10</c:v>
                </c:pt>
                <c:pt idx="19">
                  <c:v>5.1738292916028E-10</c:v>
                </c:pt>
                <c:pt idx="20">
                  <c:v>5.1529120463564605E-10</c:v>
                </c:pt>
                <c:pt idx="21">
                  <c:v>6.6814915093842095E-10</c:v>
                </c:pt>
                <c:pt idx="22">
                  <c:v>8.8406100913321904E-10</c:v>
                </c:pt>
                <c:pt idx="23">
                  <c:v>6.6604720288510995E-10</c:v>
                </c:pt>
                <c:pt idx="24">
                  <c:v>5.8611970716859301E-10</c:v>
                </c:pt>
                <c:pt idx="25">
                  <c:v>4.3424020476832302E-10</c:v>
                </c:pt>
                <c:pt idx="26">
                  <c:v>3.8182657244080302E-10</c:v>
                </c:pt>
                <c:pt idx="27">
                  <c:v>3.7292213053298599E-10</c:v>
                </c:pt>
                <c:pt idx="28">
                  <c:v>4.0947433337382098E-10</c:v>
                </c:pt>
                <c:pt idx="29">
                  <c:v>4.2537444364903198E-10</c:v>
                </c:pt>
                <c:pt idx="30">
                  <c:v>3.3617646604093302E-10</c:v>
                </c:pt>
                <c:pt idx="31">
                  <c:v>3.6202863176049598E-10</c:v>
                </c:pt>
                <c:pt idx="32">
                  <c:v>5.5160123399840004E-10</c:v>
                </c:pt>
                <c:pt idx="33">
                  <c:v>6.0404134311816401E-10</c:v>
                </c:pt>
                <c:pt idx="34">
                  <c:v>4.5900594760520299E-10</c:v>
                </c:pt>
                <c:pt idx="35">
                  <c:v>4.6460794079042198E-10</c:v>
                </c:pt>
                <c:pt idx="36">
                  <c:v>6.6496900461993103E-10</c:v>
                </c:pt>
                <c:pt idx="37">
                  <c:v>5.6304335255230795E-10</c:v>
                </c:pt>
                <c:pt idx="38">
                  <c:v>3.3192733722912098E-10</c:v>
                </c:pt>
                <c:pt idx="39">
                  <c:v>3.3981300122528198E-10</c:v>
                </c:pt>
                <c:pt idx="40">
                  <c:v>5.9749891916897197E-10</c:v>
                </c:pt>
                <c:pt idx="41">
                  <c:v>4.9117454685511605E-10</c:v>
                </c:pt>
                <c:pt idx="42">
                  <c:v>4.3201938664700999E-10</c:v>
                </c:pt>
                <c:pt idx="43">
                  <c:v>4.9142552613458E-10</c:v>
                </c:pt>
                <c:pt idx="44">
                  <c:v>3.36586100920068E-10</c:v>
                </c:pt>
                <c:pt idx="45">
                  <c:v>3.2487796769969299E-10</c:v>
                </c:pt>
                <c:pt idx="46">
                  <c:v>4.3302363931941802E-10</c:v>
                </c:pt>
                <c:pt idx="47">
                  <c:v>4.9935639501594296E-10</c:v>
                </c:pt>
                <c:pt idx="48">
                  <c:v>5.4693488119704999E-10</c:v>
                </c:pt>
                <c:pt idx="49">
                  <c:v>6.2229837965693897E-10</c:v>
                </c:pt>
                <c:pt idx="50">
                  <c:v>5.72337455465218E-10</c:v>
                </c:pt>
                <c:pt idx="51">
                  <c:v>4.6951422905553096E-10</c:v>
                </c:pt>
                <c:pt idx="52">
                  <c:v>4.7835593819346598E-10</c:v>
                </c:pt>
                <c:pt idx="53">
                  <c:v>3.7062344732674202E-10</c:v>
                </c:pt>
                <c:pt idx="54">
                  <c:v>2.4640797211936901E-10</c:v>
                </c:pt>
                <c:pt idx="55">
                  <c:v>2.5879797023507401E-10</c:v>
                </c:pt>
                <c:pt idx="56">
                  <c:v>3.2574195123283501E-10</c:v>
                </c:pt>
                <c:pt idx="57">
                  <c:v>3.87628032659233E-10</c:v>
                </c:pt>
                <c:pt idx="58">
                  <c:v>4.89366799657478E-10</c:v>
                </c:pt>
                <c:pt idx="59">
                  <c:v>1.38580466497013E-8</c:v>
                </c:pt>
                <c:pt idx="60" formatCode="General">
                  <c:v>5.5810267175125205E-4</c:v>
                </c:pt>
                <c:pt idx="61" formatCode="General">
                  <c:v>2.30725901968859E-3</c:v>
                </c:pt>
                <c:pt idx="62" formatCode="General">
                  <c:v>1.00295106012561E-3</c:v>
                </c:pt>
                <c:pt idx="63" formatCode="General">
                  <c:v>3.0019692886353901E-4</c:v>
                </c:pt>
                <c:pt idx="64" formatCode="General">
                  <c:v>5.1861207800330098E-4</c:v>
                </c:pt>
                <c:pt idx="65" formatCode="General">
                  <c:v>1.0531266020267699E-3</c:v>
                </c:pt>
                <c:pt idx="66" formatCode="General">
                  <c:v>7.1698376637975103E-4</c:v>
                </c:pt>
                <c:pt idx="67" formatCode="General">
                  <c:v>5.1341501153308496E-4</c:v>
                </c:pt>
                <c:pt idx="68" formatCode="General">
                  <c:v>3.6351370550483997E-4</c:v>
                </c:pt>
                <c:pt idx="69" formatCode="General">
                  <c:v>3.0147754661757399E-4</c:v>
                </c:pt>
                <c:pt idx="70" formatCode="General">
                  <c:v>2.1045785151038799E-4</c:v>
                </c:pt>
                <c:pt idx="71">
                  <c:v>8.5382289286336493E-5</c:v>
                </c:pt>
                <c:pt idx="72">
                  <c:v>3.5339869466431098E-5</c:v>
                </c:pt>
                <c:pt idx="73">
                  <c:v>2.7627215109462799E-5</c:v>
                </c:pt>
                <c:pt idx="74">
                  <c:v>1.37545459257828E-5</c:v>
                </c:pt>
                <c:pt idx="75">
                  <c:v>3.9840848125274297E-6</c:v>
                </c:pt>
                <c:pt idx="76">
                  <c:v>2.6842380066374601E-6</c:v>
                </c:pt>
                <c:pt idx="77">
                  <c:v>1.4058412218177401E-6</c:v>
                </c:pt>
                <c:pt idx="78">
                  <c:v>5.6447780454141204E-7</c:v>
                </c:pt>
                <c:pt idx="79">
                  <c:v>5.4522666378771696E-7</c:v>
                </c:pt>
                <c:pt idx="80">
                  <c:v>6.09978026661199E-7</c:v>
                </c:pt>
                <c:pt idx="81">
                  <c:v>4.60290903372103E-7</c:v>
                </c:pt>
                <c:pt idx="82">
                  <c:v>3.0123017056390899E-7</c:v>
                </c:pt>
                <c:pt idx="83">
                  <c:v>2.3196495809394001E-7</c:v>
                </c:pt>
                <c:pt idx="84">
                  <c:v>2.23014422514708E-7</c:v>
                </c:pt>
                <c:pt idx="85">
                  <c:v>1.72637766353315E-7</c:v>
                </c:pt>
                <c:pt idx="86">
                  <c:v>1.9534509780769699E-7</c:v>
                </c:pt>
                <c:pt idx="87">
                  <c:v>2.1541480276719E-7</c:v>
                </c:pt>
                <c:pt idx="88">
                  <c:v>1.33715456593602E-7</c:v>
                </c:pt>
                <c:pt idx="89">
                  <c:v>1.0094948792846299E-7</c:v>
                </c:pt>
                <c:pt idx="90">
                  <c:v>1.2465689326174701E-7</c:v>
                </c:pt>
                <c:pt idx="91">
                  <c:v>1.1480211508073799E-7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D45-43AE-B919-95E63F4C4B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1374511"/>
        <c:axId val="382721663"/>
      </c:scatterChart>
      <c:valAx>
        <c:axId val="54137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721663"/>
        <c:crosses val="autoZero"/>
        <c:crossBetween val="midCat"/>
      </c:valAx>
      <c:valAx>
        <c:axId val="38272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374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Amp</a:t>
            </a:r>
            <a:r>
              <a:rPr lang="en-US" baseline="0"/>
              <a:t> Over Time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storm2_results!$E$34:$E$125</c:f>
              <c:numCache>
                <c:formatCode>m/d/yyyy\ h:mm</c:formatCode>
                <c:ptCount val="92"/>
                <c:pt idx="0">
                  <c:v>44776.000694444447</c:v>
                </c:pt>
                <c:pt idx="1">
                  <c:v>44776.011111111111</c:v>
                </c:pt>
                <c:pt idx="2">
                  <c:v>44776.021527777775</c:v>
                </c:pt>
                <c:pt idx="3">
                  <c:v>44776.031944444447</c:v>
                </c:pt>
                <c:pt idx="4">
                  <c:v>44776.042361111111</c:v>
                </c:pt>
                <c:pt idx="5">
                  <c:v>44776.052777777775</c:v>
                </c:pt>
                <c:pt idx="6">
                  <c:v>44776.063194444447</c:v>
                </c:pt>
                <c:pt idx="7">
                  <c:v>44776.073611111111</c:v>
                </c:pt>
                <c:pt idx="8">
                  <c:v>44776.084027777775</c:v>
                </c:pt>
                <c:pt idx="9">
                  <c:v>44776.094444444447</c:v>
                </c:pt>
                <c:pt idx="10">
                  <c:v>44776.104861111111</c:v>
                </c:pt>
                <c:pt idx="11">
                  <c:v>44776.115277777775</c:v>
                </c:pt>
                <c:pt idx="12">
                  <c:v>44776.125694444447</c:v>
                </c:pt>
                <c:pt idx="13">
                  <c:v>44776.136111111111</c:v>
                </c:pt>
                <c:pt idx="14">
                  <c:v>44776.146527777775</c:v>
                </c:pt>
                <c:pt idx="15">
                  <c:v>44776.156944444447</c:v>
                </c:pt>
                <c:pt idx="16">
                  <c:v>44776.167361111111</c:v>
                </c:pt>
                <c:pt idx="17">
                  <c:v>44776.177777777775</c:v>
                </c:pt>
                <c:pt idx="18">
                  <c:v>44776.188194444447</c:v>
                </c:pt>
                <c:pt idx="19">
                  <c:v>44776.198611111111</c:v>
                </c:pt>
                <c:pt idx="20">
                  <c:v>44776.209027777775</c:v>
                </c:pt>
                <c:pt idx="21">
                  <c:v>44776.219444444447</c:v>
                </c:pt>
                <c:pt idx="22">
                  <c:v>44776.229861111111</c:v>
                </c:pt>
                <c:pt idx="23">
                  <c:v>44776.240277777775</c:v>
                </c:pt>
                <c:pt idx="24">
                  <c:v>44776.250694444447</c:v>
                </c:pt>
                <c:pt idx="25">
                  <c:v>44776.261111111111</c:v>
                </c:pt>
                <c:pt idx="26">
                  <c:v>44776.271527777775</c:v>
                </c:pt>
                <c:pt idx="27">
                  <c:v>44776.281944444447</c:v>
                </c:pt>
                <c:pt idx="28">
                  <c:v>44776.292361111111</c:v>
                </c:pt>
                <c:pt idx="29">
                  <c:v>44776.302777777775</c:v>
                </c:pt>
                <c:pt idx="30">
                  <c:v>44776.313194444447</c:v>
                </c:pt>
                <c:pt idx="31">
                  <c:v>44776.323611111111</c:v>
                </c:pt>
                <c:pt idx="32">
                  <c:v>44776.334027777775</c:v>
                </c:pt>
                <c:pt idx="33">
                  <c:v>44776.344444444447</c:v>
                </c:pt>
                <c:pt idx="34">
                  <c:v>44776.354861111111</c:v>
                </c:pt>
                <c:pt idx="35">
                  <c:v>44776.365277777775</c:v>
                </c:pt>
                <c:pt idx="36">
                  <c:v>44776.375694444447</c:v>
                </c:pt>
                <c:pt idx="37">
                  <c:v>44776.386111111111</c:v>
                </c:pt>
                <c:pt idx="38">
                  <c:v>44776.396527777775</c:v>
                </c:pt>
                <c:pt idx="39">
                  <c:v>44776.406944444447</c:v>
                </c:pt>
                <c:pt idx="40">
                  <c:v>44776.417361111111</c:v>
                </c:pt>
                <c:pt idx="41">
                  <c:v>44776.427777777775</c:v>
                </c:pt>
                <c:pt idx="42">
                  <c:v>44776.438194444447</c:v>
                </c:pt>
                <c:pt idx="43">
                  <c:v>44776.448611111111</c:v>
                </c:pt>
                <c:pt idx="44">
                  <c:v>44776.459027777775</c:v>
                </c:pt>
                <c:pt idx="45">
                  <c:v>44776.469444444447</c:v>
                </c:pt>
                <c:pt idx="46">
                  <c:v>44776.479861111111</c:v>
                </c:pt>
                <c:pt idx="47">
                  <c:v>44776.490277777775</c:v>
                </c:pt>
                <c:pt idx="48">
                  <c:v>44776.500694444447</c:v>
                </c:pt>
                <c:pt idx="49">
                  <c:v>44776.511111111111</c:v>
                </c:pt>
                <c:pt idx="50">
                  <c:v>44776.521527777775</c:v>
                </c:pt>
                <c:pt idx="51">
                  <c:v>44776.531944444447</c:v>
                </c:pt>
                <c:pt idx="52">
                  <c:v>44776.542361111111</c:v>
                </c:pt>
                <c:pt idx="53">
                  <c:v>44776.552777777775</c:v>
                </c:pt>
                <c:pt idx="54">
                  <c:v>44776.563194444447</c:v>
                </c:pt>
                <c:pt idx="55">
                  <c:v>44776.573611111111</c:v>
                </c:pt>
                <c:pt idx="56">
                  <c:v>44776.584027777775</c:v>
                </c:pt>
                <c:pt idx="57">
                  <c:v>44776.594444444447</c:v>
                </c:pt>
                <c:pt idx="58">
                  <c:v>44776.604861111111</c:v>
                </c:pt>
                <c:pt idx="59">
                  <c:v>44776.615277777775</c:v>
                </c:pt>
                <c:pt idx="60">
                  <c:v>44776.625694444447</c:v>
                </c:pt>
                <c:pt idx="61">
                  <c:v>44776.636111111111</c:v>
                </c:pt>
                <c:pt idx="62">
                  <c:v>44776.646527777775</c:v>
                </c:pt>
                <c:pt idx="63">
                  <c:v>44776.656944444447</c:v>
                </c:pt>
                <c:pt idx="64">
                  <c:v>44776.667361111111</c:v>
                </c:pt>
                <c:pt idx="65">
                  <c:v>44776.677777777775</c:v>
                </c:pt>
                <c:pt idx="66">
                  <c:v>44776.688194444447</c:v>
                </c:pt>
                <c:pt idx="67">
                  <c:v>44776.698611111111</c:v>
                </c:pt>
                <c:pt idx="68">
                  <c:v>44776.709027777775</c:v>
                </c:pt>
                <c:pt idx="69">
                  <c:v>44776.719444444447</c:v>
                </c:pt>
                <c:pt idx="70">
                  <c:v>44776.729861111111</c:v>
                </c:pt>
                <c:pt idx="71">
                  <c:v>44776.740277777775</c:v>
                </c:pt>
                <c:pt idx="72">
                  <c:v>44776.750694444447</c:v>
                </c:pt>
                <c:pt idx="73">
                  <c:v>44776.761111111111</c:v>
                </c:pt>
                <c:pt idx="74">
                  <c:v>44776.771527777775</c:v>
                </c:pt>
                <c:pt idx="75">
                  <c:v>44776.781944444447</c:v>
                </c:pt>
                <c:pt idx="76">
                  <c:v>44776.792361111111</c:v>
                </c:pt>
                <c:pt idx="77">
                  <c:v>44776.802777777775</c:v>
                </c:pt>
                <c:pt idx="78">
                  <c:v>44776.813194444447</c:v>
                </c:pt>
                <c:pt idx="79">
                  <c:v>44776.823611111111</c:v>
                </c:pt>
                <c:pt idx="80">
                  <c:v>44776.834027777775</c:v>
                </c:pt>
                <c:pt idx="81">
                  <c:v>44776.844444444447</c:v>
                </c:pt>
                <c:pt idx="82">
                  <c:v>44776.854861111111</c:v>
                </c:pt>
                <c:pt idx="83">
                  <c:v>44776.865277777775</c:v>
                </c:pt>
                <c:pt idx="84">
                  <c:v>44776.875694444447</c:v>
                </c:pt>
                <c:pt idx="85">
                  <c:v>44776.917361111111</c:v>
                </c:pt>
                <c:pt idx="86">
                  <c:v>44776.948611111111</c:v>
                </c:pt>
                <c:pt idx="87">
                  <c:v>44776.959027777775</c:v>
                </c:pt>
                <c:pt idx="88">
                  <c:v>44776.969444444447</c:v>
                </c:pt>
                <c:pt idx="89">
                  <c:v>44776.979861111111</c:v>
                </c:pt>
                <c:pt idx="90">
                  <c:v>44776.990277777775</c:v>
                </c:pt>
                <c:pt idx="91">
                  <c:v>44777.000694444447</c:v>
                </c:pt>
              </c:numCache>
            </c:numRef>
          </c:xVal>
          <c:yVal>
            <c:numRef>
              <c:f>storm2_results!$H$34:$H$125</c:f>
              <c:numCache>
                <c:formatCode>0.00E+00</c:formatCode>
                <c:ptCount val="92"/>
                <c:pt idx="0">
                  <c:v>6.6705963235866703E-10</c:v>
                </c:pt>
                <c:pt idx="1">
                  <c:v>7.8287815236245401E-10</c:v>
                </c:pt>
                <c:pt idx="2">
                  <c:v>7.8143387235638396E-10</c:v>
                </c:pt>
                <c:pt idx="3">
                  <c:v>7.0875576954331898E-10</c:v>
                </c:pt>
                <c:pt idx="4">
                  <c:v>4.2747369092617503E-10</c:v>
                </c:pt>
                <c:pt idx="5">
                  <c:v>4.45093909203132E-10</c:v>
                </c:pt>
                <c:pt idx="6">
                  <c:v>6.6392990013645499E-10</c:v>
                </c:pt>
                <c:pt idx="7">
                  <c:v>6.5978128215744202E-10</c:v>
                </c:pt>
                <c:pt idx="8">
                  <c:v>6.2250654971797597E-10</c:v>
                </c:pt>
                <c:pt idx="9">
                  <c:v>5.3286742621083799E-10</c:v>
                </c:pt>
                <c:pt idx="10">
                  <c:v>6.0535869958787201E-10</c:v>
                </c:pt>
                <c:pt idx="11">
                  <c:v>7.3707415853799905E-10</c:v>
                </c:pt>
                <c:pt idx="12">
                  <c:v>6.3212548690507896E-10</c:v>
                </c:pt>
                <c:pt idx="13">
                  <c:v>6.3424407303283705E-10</c:v>
                </c:pt>
                <c:pt idx="14">
                  <c:v>4.0384717270957802E-10</c:v>
                </c:pt>
                <c:pt idx="15">
                  <c:v>4.5209966933268698E-10</c:v>
                </c:pt>
                <c:pt idx="16">
                  <c:v>5.8212743970692898E-10</c:v>
                </c:pt>
                <c:pt idx="17">
                  <c:v>5.7397606382619397E-10</c:v>
                </c:pt>
                <c:pt idx="18">
                  <c:v>5.8515172826811804E-10</c:v>
                </c:pt>
                <c:pt idx="19">
                  <c:v>5.11387904601465E-10</c:v>
                </c:pt>
                <c:pt idx="20">
                  <c:v>4.9604013721892498E-10</c:v>
                </c:pt>
                <c:pt idx="21">
                  <c:v>6.6922468618957803E-10</c:v>
                </c:pt>
                <c:pt idx="22">
                  <c:v>8.5683742196982795E-10</c:v>
                </c:pt>
                <c:pt idx="23">
                  <c:v>6.48865689616417E-10</c:v>
                </c:pt>
                <c:pt idx="24">
                  <c:v>5.8022196753551605E-10</c:v>
                </c:pt>
                <c:pt idx="25">
                  <c:v>4.2592079278639002E-10</c:v>
                </c:pt>
                <c:pt idx="26">
                  <c:v>3.7585111632660001E-10</c:v>
                </c:pt>
                <c:pt idx="27">
                  <c:v>3.6676338273875602E-10</c:v>
                </c:pt>
                <c:pt idx="28">
                  <c:v>3.9646036096304999E-10</c:v>
                </c:pt>
                <c:pt idx="29">
                  <c:v>4.1509363568013599E-10</c:v>
                </c:pt>
                <c:pt idx="30">
                  <c:v>3.32905053105935E-10</c:v>
                </c:pt>
                <c:pt idx="31">
                  <c:v>3.5559226663422601E-10</c:v>
                </c:pt>
                <c:pt idx="32">
                  <c:v>5.4487477046016601E-10</c:v>
                </c:pt>
                <c:pt idx="33">
                  <c:v>5.8966330620128902E-10</c:v>
                </c:pt>
                <c:pt idx="34">
                  <c:v>4.40987573149627E-10</c:v>
                </c:pt>
                <c:pt idx="35">
                  <c:v>4.5915625771288198E-10</c:v>
                </c:pt>
                <c:pt idx="36">
                  <c:v>6.3493447019437199E-10</c:v>
                </c:pt>
                <c:pt idx="37">
                  <c:v>5.5045012158756103E-10</c:v>
                </c:pt>
                <c:pt idx="38">
                  <c:v>3.1403445702283099E-10</c:v>
                </c:pt>
                <c:pt idx="39">
                  <c:v>3.3049676507131203E-10</c:v>
                </c:pt>
                <c:pt idx="40">
                  <c:v>5.7387604940369601E-10</c:v>
                </c:pt>
                <c:pt idx="41">
                  <c:v>4.8591189854669703E-10</c:v>
                </c:pt>
                <c:pt idx="42">
                  <c:v>4.2364331779199299E-10</c:v>
                </c:pt>
                <c:pt idx="43">
                  <c:v>4.7921129578899002E-10</c:v>
                </c:pt>
                <c:pt idx="44">
                  <c:v>3.2110161961366301E-10</c:v>
                </c:pt>
                <c:pt idx="45">
                  <c:v>3.1234882234302598E-10</c:v>
                </c:pt>
                <c:pt idx="46">
                  <c:v>4.2005611076522498E-10</c:v>
                </c:pt>
                <c:pt idx="47">
                  <c:v>4.8157476699739597E-10</c:v>
                </c:pt>
                <c:pt idx="48">
                  <c:v>5.4129356190608701E-10</c:v>
                </c:pt>
                <c:pt idx="49">
                  <c:v>6.0296341797469096E-10</c:v>
                </c:pt>
                <c:pt idx="50">
                  <c:v>5.6222679339298403E-10</c:v>
                </c:pt>
                <c:pt idx="51">
                  <c:v>4.5207957754548799E-10</c:v>
                </c:pt>
                <c:pt idx="52">
                  <c:v>4.5925559701541398E-10</c:v>
                </c:pt>
                <c:pt idx="53">
                  <c:v>3.6105742678704099E-10</c:v>
                </c:pt>
                <c:pt idx="54">
                  <c:v>2.4415170671318801E-10</c:v>
                </c:pt>
                <c:pt idx="55">
                  <c:v>2.5964474180386499E-10</c:v>
                </c:pt>
                <c:pt idx="56">
                  <c:v>3.1320516852857797E-10</c:v>
                </c:pt>
                <c:pt idx="57">
                  <c:v>3.7411529757028501E-10</c:v>
                </c:pt>
                <c:pt idx="58">
                  <c:v>4.7535055831767803E-10</c:v>
                </c:pt>
                <c:pt idx="59">
                  <c:v>1.35726525047815E-8</c:v>
                </c:pt>
                <c:pt idx="60" formatCode="General">
                  <c:v>5.7102431065263301E-4</c:v>
                </c:pt>
                <c:pt idx="61" formatCode="General">
                  <c:v>2.27534202919115E-3</c:v>
                </c:pt>
                <c:pt idx="62" formatCode="General">
                  <c:v>9.900025355164409E-4</c:v>
                </c:pt>
                <c:pt idx="63" formatCode="General">
                  <c:v>2.9503740515731899E-4</c:v>
                </c:pt>
                <c:pt idx="64" formatCode="General">
                  <c:v>5.1401979061092601E-4</c:v>
                </c:pt>
                <c:pt idx="65" formatCode="General">
                  <c:v>1.0334830346720399E-3</c:v>
                </c:pt>
                <c:pt idx="66" formatCode="General">
                  <c:v>7.2361989397557304E-4</c:v>
                </c:pt>
                <c:pt idx="67" formatCode="General">
                  <c:v>5.0671515553957702E-4</c:v>
                </c:pt>
                <c:pt idx="68" formatCode="General">
                  <c:v>3.6292172178298298E-4</c:v>
                </c:pt>
                <c:pt idx="69" formatCode="General">
                  <c:v>2.98156228743596E-4</c:v>
                </c:pt>
                <c:pt idx="70" formatCode="General">
                  <c:v>2.0862225839116699E-4</c:v>
                </c:pt>
                <c:pt idx="71">
                  <c:v>8.5098354639134103E-5</c:v>
                </c:pt>
                <c:pt idx="72">
                  <c:v>3.4809136627914099E-5</c:v>
                </c:pt>
                <c:pt idx="73">
                  <c:v>2.7082074992085E-5</c:v>
                </c:pt>
                <c:pt idx="74">
                  <c:v>1.30656730647897E-5</c:v>
                </c:pt>
                <c:pt idx="75">
                  <c:v>3.8862209671067402E-6</c:v>
                </c:pt>
                <c:pt idx="76">
                  <c:v>2.6515503817109999E-6</c:v>
                </c:pt>
                <c:pt idx="77">
                  <c:v>1.3810199356689E-6</c:v>
                </c:pt>
                <c:pt idx="78">
                  <c:v>5.5071188114452805E-7</c:v>
                </c:pt>
                <c:pt idx="79">
                  <c:v>5.2540175849865201E-7</c:v>
                </c:pt>
                <c:pt idx="80">
                  <c:v>6.0747217409804298E-7</c:v>
                </c:pt>
                <c:pt idx="81">
                  <c:v>4.4720960232561898E-7</c:v>
                </c:pt>
                <c:pt idx="82">
                  <c:v>3.0172746386311302E-7</c:v>
                </c:pt>
                <c:pt idx="83">
                  <c:v>2.35107426414113E-7</c:v>
                </c:pt>
                <c:pt idx="84">
                  <c:v>2.2202552892917499E-7</c:v>
                </c:pt>
                <c:pt idx="85">
                  <c:v>1.6952885446824599E-7</c:v>
                </c:pt>
                <c:pt idx="86">
                  <c:v>1.8897250739057999E-7</c:v>
                </c:pt>
                <c:pt idx="87">
                  <c:v>2.1399739126332401E-7</c:v>
                </c:pt>
                <c:pt idx="88">
                  <c:v>1.3279940333071499E-7</c:v>
                </c:pt>
                <c:pt idx="89">
                  <c:v>1.00292044219874E-7</c:v>
                </c:pt>
                <c:pt idx="90">
                  <c:v>1.2059315237547099E-7</c:v>
                </c:pt>
                <c:pt idx="91">
                  <c:v>1.13534428409363E-7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25-45C8-8030-10BE2A3FA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1374511"/>
        <c:axId val="382721663"/>
      </c:scatterChart>
      <c:valAx>
        <c:axId val="54137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721663"/>
        <c:crosses val="autoZero"/>
        <c:crossBetween val="midCat"/>
      </c:valAx>
      <c:valAx>
        <c:axId val="38272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374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323851</xdr:colOff>
      <xdr:row>32</xdr:row>
      <xdr:rowOff>66675</xdr:rowOff>
    </xdr:from>
    <xdr:to>
      <xdr:col>18</xdr:col>
      <xdr:colOff>66675</xdr:colOff>
      <xdr:row>44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966E3D-9853-4B49-A6A6-21A8CEA7CB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314324</xdr:colOff>
      <xdr:row>45</xdr:row>
      <xdr:rowOff>9525</xdr:rowOff>
    </xdr:from>
    <xdr:to>
      <xdr:col>18</xdr:col>
      <xdr:colOff>95249</xdr:colOff>
      <xdr:row>57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98D7861-AC34-4E1C-8D9D-5EE6F31810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314324</xdr:colOff>
      <xdr:row>57</xdr:row>
      <xdr:rowOff>57150</xdr:rowOff>
    </xdr:from>
    <xdr:to>
      <xdr:col>18</xdr:col>
      <xdr:colOff>114299</xdr:colOff>
      <xdr:row>69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2844741-6BD0-4705-BBD7-69B1D1E3BE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C4130-64D5-42FE-8592-ED0ECA68F7E8}">
  <dimension ref="A1:CS129"/>
  <sheetViews>
    <sheetView tabSelected="1" topLeftCell="AP1" zoomScale="85" zoomScaleNormal="85" workbookViewId="0">
      <selection activeCell="BN21" sqref="BN21"/>
    </sheetView>
  </sheetViews>
  <sheetFormatPr defaultRowHeight="15" x14ac:dyDescent="0.25"/>
  <cols>
    <col min="1" max="1" width="15.28515625" customWidth="1"/>
    <col min="2" max="2" width="12.42578125" bestFit="1" customWidth="1"/>
    <col min="3" max="3" width="11.28515625" bestFit="1" customWidth="1"/>
    <col min="5" max="5" width="15.42578125" customWidth="1"/>
    <col min="20" max="20" width="12.7109375" customWidth="1"/>
    <col min="61" max="61" width="13.140625" customWidth="1"/>
    <col min="62" max="62" width="14" customWidth="1"/>
    <col min="63" max="63" width="16.85546875" customWidth="1"/>
  </cols>
  <sheetData>
    <row r="1" spans="1:97" x14ac:dyDescent="0.25">
      <c r="B1" s="1">
        <v>44776.000694444447</v>
      </c>
      <c r="C1" s="1">
        <v>44776.011111111111</v>
      </c>
      <c r="D1" s="1">
        <v>44776.021527777775</v>
      </c>
      <c r="E1" s="1">
        <v>44776.031944444447</v>
      </c>
      <c r="F1" s="1">
        <v>44776.042361111111</v>
      </c>
      <c r="G1" s="1">
        <v>44776.052777777775</v>
      </c>
      <c r="H1" s="1">
        <v>44776.063194444447</v>
      </c>
      <c r="I1" s="1">
        <v>44776.073611111111</v>
      </c>
      <c r="J1" s="1">
        <v>44776.084027777775</v>
      </c>
      <c r="K1" s="1">
        <v>44776.094444444447</v>
      </c>
      <c r="L1" s="1">
        <v>44776.104861111111</v>
      </c>
      <c r="M1" s="1">
        <v>44776.115277777775</v>
      </c>
      <c r="N1" s="1">
        <v>44776.125694444447</v>
      </c>
      <c r="O1" s="1">
        <v>44776.136111111111</v>
      </c>
      <c r="P1" s="1">
        <v>44776.146527777775</v>
      </c>
      <c r="Q1" s="1">
        <v>44776.156944444447</v>
      </c>
      <c r="R1" s="1">
        <v>44776.167361111111</v>
      </c>
      <c r="S1" s="1">
        <v>44776.177777777775</v>
      </c>
      <c r="T1" s="1">
        <v>44776.188194444447</v>
      </c>
      <c r="U1" s="1">
        <v>44776.198611111111</v>
      </c>
      <c r="V1" s="1">
        <v>44776.209027777775</v>
      </c>
      <c r="W1" s="1">
        <v>44776.219444444447</v>
      </c>
      <c r="X1" s="1">
        <v>44776.229861111111</v>
      </c>
      <c r="Y1" s="1">
        <v>44776.240277777775</v>
      </c>
      <c r="Z1" s="1">
        <v>44776.250694444447</v>
      </c>
      <c r="AA1" s="1">
        <v>44776.261111111111</v>
      </c>
      <c r="AB1" s="1">
        <v>44776.271527777775</v>
      </c>
      <c r="AC1" s="1">
        <v>44776.281944444447</v>
      </c>
      <c r="AD1" s="1">
        <v>44776.292361111111</v>
      </c>
      <c r="AE1" s="1">
        <v>44776.302777777775</v>
      </c>
      <c r="AF1" s="1">
        <v>44776.313194444447</v>
      </c>
      <c r="AG1" s="1">
        <v>44776.323611111111</v>
      </c>
      <c r="AH1" s="1">
        <v>44776.334027777775</v>
      </c>
      <c r="AI1" s="1">
        <v>44776.344444444447</v>
      </c>
      <c r="AJ1" s="1">
        <v>44776.354861111111</v>
      </c>
      <c r="AK1" s="1">
        <v>44776.365277777775</v>
      </c>
      <c r="AL1" s="1">
        <v>44776.375694444447</v>
      </c>
      <c r="AM1" s="1">
        <v>44776.386111111111</v>
      </c>
      <c r="AN1" s="1">
        <v>44776.396527777775</v>
      </c>
      <c r="AO1" s="1">
        <v>44776.406944444447</v>
      </c>
      <c r="AP1" s="1">
        <v>44776.417361111111</v>
      </c>
      <c r="AQ1" s="1">
        <v>44776.427777777775</v>
      </c>
      <c r="AR1" s="1">
        <v>44776.438194444447</v>
      </c>
      <c r="AS1" s="1">
        <v>44776.448611111111</v>
      </c>
      <c r="AT1" s="1">
        <v>44776.459027777775</v>
      </c>
      <c r="AU1" s="1">
        <v>44776.469444444447</v>
      </c>
      <c r="AV1" s="1">
        <v>44776.479861111111</v>
      </c>
      <c r="AW1" s="1">
        <v>44776.490277777775</v>
      </c>
      <c r="AX1" s="1">
        <v>44776.500694444447</v>
      </c>
      <c r="AY1" s="1">
        <v>44776.511111111111</v>
      </c>
      <c r="AZ1" s="1">
        <v>44776.521527777775</v>
      </c>
      <c r="BA1" s="1">
        <v>44776.531944444447</v>
      </c>
      <c r="BB1" s="1">
        <v>44776.542361111111</v>
      </c>
      <c r="BC1" s="1">
        <v>44776.552777777775</v>
      </c>
      <c r="BD1" s="1">
        <v>44776.563194444447</v>
      </c>
      <c r="BE1" s="1">
        <v>44776.573611111111</v>
      </c>
      <c r="BF1" s="1">
        <v>44776.584027777775</v>
      </c>
      <c r="BG1" s="1">
        <v>44776.594444444447</v>
      </c>
      <c r="BH1" s="1">
        <v>44776.604861111111</v>
      </c>
      <c r="BI1" s="1">
        <v>44776.615277777775</v>
      </c>
      <c r="BJ1" s="1">
        <v>44776.625694444447</v>
      </c>
      <c r="BK1" s="1">
        <v>44776.636111111111</v>
      </c>
      <c r="BL1" s="1">
        <v>44776.646527777775</v>
      </c>
      <c r="BM1" s="1">
        <v>44776.656944444447</v>
      </c>
      <c r="BN1" s="1">
        <v>44776.667361111111</v>
      </c>
      <c r="BO1" s="1">
        <v>44776.677777777775</v>
      </c>
      <c r="BP1" s="1">
        <v>44776.688194444447</v>
      </c>
      <c r="BQ1" s="1">
        <v>44776.698611111111</v>
      </c>
      <c r="BR1" s="1">
        <v>44776.709027777775</v>
      </c>
      <c r="BS1" s="1">
        <v>44776.719444444447</v>
      </c>
      <c r="BT1" s="1">
        <v>44776.729861111111</v>
      </c>
      <c r="BU1" s="1">
        <v>44776.740277777775</v>
      </c>
      <c r="BV1" s="1">
        <v>44776.750694444447</v>
      </c>
      <c r="BW1" s="1">
        <v>44776.761111111111</v>
      </c>
      <c r="BX1" s="1">
        <v>44776.771527777775</v>
      </c>
      <c r="BY1" s="1">
        <v>44776.781944444447</v>
      </c>
      <c r="BZ1" s="1">
        <v>44776.792361111111</v>
      </c>
      <c r="CA1" s="1">
        <v>44776.802777777775</v>
      </c>
      <c r="CB1" s="1">
        <v>44776.813194444447</v>
      </c>
      <c r="CC1" s="1">
        <v>44776.823611111111</v>
      </c>
      <c r="CD1" s="1">
        <v>44776.834027777775</v>
      </c>
      <c r="CE1" s="1">
        <v>44776.844444444447</v>
      </c>
      <c r="CF1" s="1">
        <v>44776.854861111111</v>
      </c>
      <c r="CG1" s="1">
        <v>44776.865277777775</v>
      </c>
      <c r="CH1" s="1">
        <v>44776.875694444447</v>
      </c>
      <c r="CI1" s="1">
        <v>44776.917361111111</v>
      </c>
      <c r="CJ1" s="1">
        <v>44776.948611111111</v>
      </c>
      <c r="CK1" s="1">
        <v>44776.959027777775</v>
      </c>
      <c r="CL1" s="1">
        <v>44776.969444444447</v>
      </c>
      <c r="CM1" s="1">
        <v>44776.979861111111</v>
      </c>
      <c r="CN1" s="1">
        <v>44776.990277777775</v>
      </c>
      <c r="CO1" s="1">
        <v>44777.000694444447</v>
      </c>
      <c r="CP1" s="1"/>
      <c r="CQ1" s="1"/>
      <c r="CR1" s="1"/>
      <c r="CS1" s="1"/>
    </row>
    <row r="2" spans="1:97" x14ac:dyDescent="0.25">
      <c r="A2" t="s">
        <v>0</v>
      </c>
      <c r="B2" s="2">
        <v>9.4170832457325001E-10</v>
      </c>
      <c r="C2" s="2">
        <v>1.19225420553501E-9</v>
      </c>
      <c r="D2" s="2">
        <v>1.13718472474984E-9</v>
      </c>
      <c r="E2" s="2">
        <v>1.0151142238303101E-9</v>
      </c>
      <c r="F2" s="2">
        <v>6.4398678510234201E-10</v>
      </c>
      <c r="G2" s="2">
        <v>6.2715093817983104E-10</v>
      </c>
      <c r="H2" s="2">
        <v>9.9990196305767197E-10</v>
      </c>
      <c r="I2" s="2">
        <v>1.02326911631512E-9</v>
      </c>
      <c r="J2" s="2">
        <v>9.5971722737034707E-10</v>
      </c>
      <c r="K2" s="2">
        <v>7.9877157460493596E-10</v>
      </c>
      <c r="L2" s="2">
        <v>9.7700202241142105E-10</v>
      </c>
      <c r="M2" s="2">
        <v>9.4746727011196394E-10</v>
      </c>
      <c r="N2" s="2">
        <v>9.9179274251827295E-10</v>
      </c>
      <c r="O2" s="2">
        <v>9.0412029372403197E-10</v>
      </c>
      <c r="P2" s="2">
        <v>6.1770763270172503E-10</v>
      </c>
      <c r="Q2" s="2">
        <v>6.6201536184373002E-10</v>
      </c>
      <c r="R2" s="2">
        <v>8.0323787221929904E-10</v>
      </c>
      <c r="S2" s="2">
        <v>8.9163950421949099E-10</v>
      </c>
      <c r="T2" s="2">
        <v>7.8059713555551002E-10</v>
      </c>
      <c r="U2" s="2">
        <v>8.1405890757249299E-10</v>
      </c>
      <c r="V2" s="2">
        <v>7.7083428546008703E-10</v>
      </c>
      <c r="W2" s="2">
        <v>9.9394579461837903E-10</v>
      </c>
      <c r="X2" s="2">
        <v>1.2167593713498799E-9</v>
      </c>
      <c r="Y2" s="2">
        <v>9.9761659609293507E-10</v>
      </c>
      <c r="Z2" s="2">
        <v>8.6240978978739599E-10</v>
      </c>
      <c r="AA2" s="2">
        <v>6.2067528552950298E-10</v>
      </c>
      <c r="AB2" s="2">
        <v>5.4594806038022402E-10</v>
      </c>
      <c r="AC2" s="2">
        <v>5.2090447587157199E-10</v>
      </c>
      <c r="AD2" s="2">
        <v>5.8306301614118296E-10</v>
      </c>
      <c r="AE2" s="2">
        <v>6.8948522561471099E-10</v>
      </c>
      <c r="AF2" s="2">
        <v>4.5233308144590302E-10</v>
      </c>
      <c r="AG2" s="2">
        <v>5.1388836432907001E-10</v>
      </c>
      <c r="AH2" s="2">
        <v>8.7150875242922001E-10</v>
      </c>
      <c r="AI2" s="2">
        <v>8.5961704616773898E-10</v>
      </c>
      <c r="AJ2" s="2">
        <v>6.8942732597906497E-10</v>
      </c>
      <c r="AK2" s="2">
        <v>6.2702083736231303E-10</v>
      </c>
      <c r="AL2" s="2">
        <v>8.5293857979288797E-10</v>
      </c>
      <c r="AM2" s="2">
        <v>8.1528735054230495E-10</v>
      </c>
      <c r="AN2" s="2">
        <v>5.0022108606043999E-10</v>
      </c>
      <c r="AO2" s="2">
        <v>4.6844564912095302E-10</v>
      </c>
      <c r="AP2" s="2">
        <v>9.4067720518393391E-10</v>
      </c>
      <c r="AQ2" s="2">
        <v>6.5682430527547602E-10</v>
      </c>
      <c r="AR2" s="2">
        <v>6.3892786223280001E-10</v>
      </c>
      <c r="AS2" s="2">
        <v>7.1708642457303E-10</v>
      </c>
      <c r="AT2" s="2">
        <v>4.5867702983181802E-10</v>
      </c>
      <c r="AU2" s="2">
        <v>5.3868177925949697E-10</v>
      </c>
      <c r="AV2" s="2">
        <v>6.1779634236488301E-10</v>
      </c>
      <c r="AW2" s="2">
        <v>7.3499520574830097E-10</v>
      </c>
      <c r="AX2" s="2">
        <v>9.4909688375402305E-10</v>
      </c>
      <c r="AY2" s="2">
        <v>8.8232007600894004E-10</v>
      </c>
      <c r="AZ2" s="2">
        <v>8.3121502177750504E-10</v>
      </c>
      <c r="BA2" s="2">
        <v>7.5270898989416299E-10</v>
      </c>
      <c r="BB2" s="2">
        <v>8.2191583823346199E-10</v>
      </c>
      <c r="BC2" s="2">
        <v>5.0678380596177797E-10</v>
      </c>
      <c r="BD2" s="2">
        <v>3.2699546023203698E-10</v>
      </c>
      <c r="BE2" s="2">
        <v>4.72004980013671E-10</v>
      </c>
      <c r="BF2" s="2">
        <v>5.4989495226542702E-10</v>
      </c>
      <c r="BG2" s="2">
        <v>6.6930170633289299E-10</v>
      </c>
      <c r="BH2" s="2">
        <v>1.0489946937872801E-9</v>
      </c>
      <c r="BI2" s="2">
        <v>2.3911052353288801E-8</v>
      </c>
      <c r="BJ2">
        <v>8.4256581576265999E-4</v>
      </c>
      <c r="BK2">
        <v>3.0194890839779602E-3</v>
      </c>
      <c r="BL2">
        <v>1.3419280710164001E-3</v>
      </c>
      <c r="BM2">
        <v>4.3902523980032999E-4</v>
      </c>
      <c r="BN2">
        <v>6.5939852060204699E-4</v>
      </c>
      <c r="BO2">
        <v>1.3813185597794501E-3</v>
      </c>
      <c r="BP2">
        <v>9.8204166941528396E-4</v>
      </c>
      <c r="BQ2">
        <v>6.8230783756815302E-4</v>
      </c>
      <c r="BR2">
        <v>4.8825608108944398E-4</v>
      </c>
      <c r="BS2">
        <v>4.0077653523385402E-4</v>
      </c>
      <c r="BT2">
        <v>2.8406229446980902E-4</v>
      </c>
      <c r="BU2">
        <v>1.15579019054127E-4</v>
      </c>
      <c r="BV2" s="2">
        <v>4.8066690553333703E-5</v>
      </c>
      <c r="BW2" s="2">
        <v>3.9194224418457197E-5</v>
      </c>
      <c r="BX2" s="2">
        <v>2.2204912325750299E-5</v>
      </c>
      <c r="BY2" s="2">
        <v>5.7209591914661297E-6</v>
      </c>
      <c r="BZ2" s="2">
        <v>4.6235635463227896E-6</v>
      </c>
      <c r="CA2" s="2">
        <v>2.0442095213971602E-6</v>
      </c>
      <c r="CB2" s="2">
        <v>8.4608754407049798E-7</v>
      </c>
      <c r="CC2" s="2">
        <v>7.9548858694861903E-7</v>
      </c>
      <c r="CD2" s="2">
        <v>9.2995385842568605E-7</v>
      </c>
      <c r="CE2" s="2">
        <v>7.1353611262290904E-7</v>
      </c>
      <c r="CF2" s="2">
        <v>4.4749196250294002E-7</v>
      </c>
      <c r="CG2" s="2">
        <v>2.97598488557786E-7</v>
      </c>
      <c r="CH2" s="2">
        <v>2.91656407736742E-7</v>
      </c>
      <c r="CI2" s="2">
        <v>2.38278498467708E-7</v>
      </c>
      <c r="CJ2" s="2">
        <v>2.7142588960351998E-7</v>
      </c>
      <c r="CK2" s="2">
        <v>2.8845317308508E-7</v>
      </c>
      <c r="CL2" s="2">
        <v>1.7803150855957199E-7</v>
      </c>
      <c r="CM2" s="2">
        <v>1.3568315097894001E-7</v>
      </c>
      <c r="CN2" s="2">
        <v>1.86896842999386E-7</v>
      </c>
      <c r="CO2" s="2">
        <v>1.5120622219659301E-7</v>
      </c>
    </row>
    <row r="3" spans="1:97" x14ac:dyDescent="0.25">
      <c r="A3" t="s">
        <v>1</v>
      </c>
      <c r="B3" s="2">
        <v>6.7817983640293597E-10</v>
      </c>
      <c r="C3" s="2">
        <v>7.9935488811814302E-10</v>
      </c>
      <c r="D3" s="2">
        <v>8.0473361940703399E-10</v>
      </c>
      <c r="E3" s="2">
        <v>7.2252814219493303E-10</v>
      </c>
      <c r="F3" s="2">
        <v>4.4567946577085499E-10</v>
      </c>
      <c r="G3" s="2">
        <v>4.6111146412390699E-10</v>
      </c>
      <c r="H3" s="2">
        <v>6.9556006144983501E-10</v>
      </c>
      <c r="I3" s="2">
        <v>6.7940669377925398E-10</v>
      </c>
      <c r="J3" s="2">
        <v>6.4767005517130501E-10</v>
      </c>
      <c r="K3" s="2">
        <v>5.4184663617276897E-10</v>
      </c>
      <c r="L3" s="2">
        <v>6.2835086765185102E-10</v>
      </c>
      <c r="M3" s="2">
        <v>7.4436162291078E-10</v>
      </c>
      <c r="N3" s="2">
        <v>6.45184550477534E-10</v>
      </c>
      <c r="O3" s="2">
        <v>6.5859411579469405E-10</v>
      </c>
      <c r="P3" s="2">
        <v>4.0783672234896999E-10</v>
      </c>
      <c r="Q3" s="2">
        <v>4.66962373632692E-10</v>
      </c>
      <c r="R3" s="2">
        <v>5.92647323868018E-10</v>
      </c>
      <c r="S3" s="2">
        <v>5.8876469747462296E-10</v>
      </c>
      <c r="T3" s="2">
        <v>5.88856603044077E-10</v>
      </c>
      <c r="U3" s="2">
        <v>5.1738292916028E-10</v>
      </c>
      <c r="V3" s="2">
        <v>5.1529120463564605E-10</v>
      </c>
      <c r="W3" s="2">
        <v>6.6814915093842095E-10</v>
      </c>
      <c r="X3" s="2">
        <v>8.8406100913321904E-10</v>
      </c>
      <c r="Y3" s="2">
        <v>6.6604720288510995E-10</v>
      </c>
      <c r="Z3" s="2">
        <v>5.8611970716859301E-10</v>
      </c>
      <c r="AA3" s="2">
        <v>4.3424020476832302E-10</v>
      </c>
      <c r="AB3" s="2">
        <v>3.8182657244080302E-10</v>
      </c>
      <c r="AC3" s="2">
        <v>3.7292213053298599E-10</v>
      </c>
      <c r="AD3" s="2">
        <v>4.0947433337382098E-10</v>
      </c>
      <c r="AE3" s="2">
        <v>4.2537444364903198E-10</v>
      </c>
      <c r="AF3" s="2">
        <v>3.3617646604093302E-10</v>
      </c>
      <c r="AG3" s="2">
        <v>3.6202863176049598E-10</v>
      </c>
      <c r="AH3" s="2">
        <v>5.5160123399840004E-10</v>
      </c>
      <c r="AI3" s="2">
        <v>6.0404134311816401E-10</v>
      </c>
      <c r="AJ3" s="2">
        <v>4.5900594760520299E-10</v>
      </c>
      <c r="AK3" s="2">
        <v>4.6460794079042198E-10</v>
      </c>
      <c r="AL3" s="2">
        <v>6.6496900461993103E-10</v>
      </c>
      <c r="AM3" s="2">
        <v>5.6304335255230795E-10</v>
      </c>
      <c r="AN3" s="2">
        <v>3.3192733722912098E-10</v>
      </c>
      <c r="AO3" s="2">
        <v>3.3981300122528198E-10</v>
      </c>
      <c r="AP3" s="2">
        <v>5.9749891916897197E-10</v>
      </c>
      <c r="AQ3" s="2">
        <v>4.9117454685511605E-10</v>
      </c>
      <c r="AR3" s="2">
        <v>4.3201938664700999E-10</v>
      </c>
      <c r="AS3" s="2">
        <v>4.9142552613458E-10</v>
      </c>
      <c r="AT3" s="2">
        <v>3.36586100920068E-10</v>
      </c>
      <c r="AU3" s="2">
        <v>3.2487796769969299E-10</v>
      </c>
      <c r="AV3" s="2">
        <v>4.3302363931941802E-10</v>
      </c>
      <c r="AW3" s="2">
        <v>4.9935639501594296E-10</v>
      </c>
      <c r="AX3" s="2">
        <v>5.4693488119704999E-10</v>
      </c>
      <c r="AY3" s="2">
        <v>6.2229837965693897E-10</v>
      </c>
      <c r="AZ3" s="2">
        <v>5.72337455465218E-10</v>
      </c>
      <c r="BA3" s="2">
        <v>4.6951422905553096E-10</v>
      </c>
      <c r="BB3" s="2">
        <v>4.7835593819346598E-10</v>
      </c>
      <c r="BC3" s="2">
        <v>3.7062344732674202E-10</v>
      </c>
      <c r="BD3" s="2">
        <v>2.4640797211936901E-10</v>
      </c>
      <c r="BE3" s="2">
        <v>2.5879797023507401E-10</v>
      </c>
      <c r="BF3" s="2">
        <v>3.2574195123283501E-10</v>
      </c>
      <c r="BG3" s="2">
        <v>3.87628032659233E-10</v>
      </c>
      <c r="BH3" s="2">
        <v>4.89366799657478E-10</v>
      </c>
      <c r="BI3" s="2">
        <v>1.38580466497013E-8</v>
      </c>
      <c r="BJ3">
        <v>5.5810267175125205E-4</v>
      </c>
      <c r="BK3">
        <v>2.30725901968859E-3</v>
      </c>
      <c r="BL3">
        <v>1.00295106012561E-3</v>
      </c>
      <c r="BM3">
        <v>3.0019692886353901E-4</v>
      </c>
      <c r="BN3">
        <v>5.1861207800330098E-4</v>
      </c>
      <c r="BO3">
        <v>1.0531266020267699E-3</v>
      </c>
      <c r="BP3">
        <v>7.1698376637975103E-4</v>
      </c>
      <c r="BQ3">
        <v>5.1341501153308496E-4</v>
      </c>
      <c r="BR3">
        <v>3.6351370550483997E-4</v>
      </c>
      <c r="BS3">
        <v>3.0147754661757399E-4</v>
      </c>
      <c r="BT3">
        <v>2.1045785151038799E-4</v>
      </c>
      <c r="BU3" s="2">
        <v>8.5382289286336493E-5</v>
      </c>
      <c r="BV3" s="2">
        <v>3.5339869466431098E-5</v>
      </c>
      <c r="BW3" s="2">
        <v>2.7627215109462799E-5</v>
      </c>
      <c r="BX3" s="2">
        <v>1.37545459257828E-5</v>
      </c>
      <c r="BY3" s="2">
        <v>3.9840848125274297E-6</v>
      </c>
      <c r="BZ3" s="2">
        <v>2.6842380066374601E-6</v>
      </c>
      <c r="CA3" s="2">
        <v>1.4058412218177401E-6</v>
      </c>
      <c r="CB3" s="2">
        <v>5.6447780454141204E-7</v>
      </c>
      <c r="CC3" s="2">
        <v>5.4522666378771696E-7</v>
      </c>
      <c r="CD3" s="2">
        <v>6.09978026661199E-7</v>
      </c>
      <c r="CE3" s="2">
        <v>4.60290903372103E-7</v>
      </c>
      <c r="CF3" s="2">
        <v>3.0123017056390899E-7</v>
      </c>
      <c r="CG3" s="2">
        <v>2.3196495809394001E-7</v>
      </c>
      <c r="CH3" s="2">
        <v>2.23014422514708E-7</v>
      </c>
      <c r="CI3" s="2">
        <v>1.72637766353315E-7</v>
      </c>
      <c r="CJ3" s="2">
        <v>1.9534509780769699E-7</v>
      </c>
      <c r="CK3" s="2">
        <v>2.1541480276719E-7</v>
      </c>
      <c r="CL3" s="2">
        <v>1.33715456593602E-7</v>
      </c>
      <c r="CM3" s="2">
        <v>1.0094948792846299E-7</v>
      </c>
      <c r="CN3" s="2">
        <v>1.2465689326174701E-7</v>
      </c>
      <c r="CO3" s="2">
        <v>1.1480211508073799E-7</v>
      </c>
    </row>
    <row r="4" spans="1:97" x14ac:dyDescent="0.25">
      <c r="A4" t="s">
        <v>2</v>
      </c>
      <c r="B4" s="2">
        <v>6.6705963235866703E-10</v>
      </c>
      <c r="C4" s="2">
        <v>7.8287815236245401E-10</v>
      </c>
      <c r="D4" s="2">
        <v>7.8143387235638396E-10</v>
      </c>
      <c r="E4" s="2">
        <v>7.0875576954331898E-10</v>
      </c>
      <c r="F4" s="2">
        <v>4.2747369092617503E-10</v>
      </c>
      <c r="G4" s="2">
        <v>4.45093909203132E-10</v>
      </c>
      <c r="H4" s="2">
        <v>6.6392990013645499E-10</v>
      </c>
      <c r="I4" s="2">
        <v>6.5978128215744202E-10</v>
      </c>
      <c r="J4" s="2">
        <v>6.2250654971797597E-10</v>
      </c>
      <c r="K4" s="2">
        <v>5.3286742621083799E-10</v>
      </c>
      <c r="L4" s="2">
        <v>6.0535869958787201E-10</v>
      </c>
      <c r="M4" s="2">
        <v>7.3707415853799905E-10</v>
      </c>
      <c r="N4" s="2">
        <v>6.3212548690507896E-10</v>
      </c>
      <c r="O4" s="2">
        <v>6.3424407303283705E-10</v>
      </c>
      <c r="P4" s="2">
        <v>4.0384717270957802E-10</v>
      </c>
      <c r="Q4" s="2">
        <v>4.5209966933268698E-10</v>
      </c>
      <c r="R4" s="2">
        <v>5.8212743970692898E-10</v>
      </c>
      <c r="S4" s="2">
        <v>5.7397606382619397E-10</v>
      </c>
      <c r="T4" s="2">
        <v>5.8515172826811804E-10</v>
      </c>
      <c r="U4" s="2">
        <v>5.11387904601465E-10</v>
      </c>
      <c r="V4" s="2">
        <v>4.9604013721892498E-10</v>
      </c>
      <c r="W4" s="2">
        <v>6.6922468618957803E-10</v>
      </c>
      <c r="X4" s="2">
        <v>8.5683742196982795E-10</v>
      </c>
      <c r="Y4" s="2">
        <v>6.48865689616417E-10</v>
      </c>
      <c r="Z4" s="2">
        <v>5.8022196753551605E-10</v>
      </c>
      <c r="AA4" s="2">
        <v>4.2592079278639002E-10</v>
      </c>
      <c r="AB4" s="2">
        <v>3.7585111632660001E-10</v>
      </c>
      <c r="AC4" s="2">
        <v>3.6676338273875602E-10</v>
      </c>
      <c r="AD4" s="2">
        <v>3.9646036096304999E-10</v>
      </c>
      <c r="AE4" s="2">
        <v>4.1509363568013599E-10</v>
      </c>
      <c r="AF4" s="2">
        <v>3.32905053105935E-10</v>
      </c>
      <c r="AG4" s="2">
        <v>3.5559226663422601E-10</v>
      </c>
      <c r="AH4" s="2">
        <v>5.4487477046016601E-10</v>
      </c>
      <c r="AI4" s="2">
        <v>5.8966330620128902E-10</v>
      </c>
      <c r="AJ4" s="2">
        <v>4.40987573149627E-10</v>
      </c>
      <c r="AK4" s="2">
        <v>4.5915625771288198E-10</v>
      </c>
      <c r="AL4" s="2">
        <v>6.3493447019437199E-10</v>
      </c>
      <c r="AM4" s="2">
        <v>5.5045012158756103E-10</v>
      </c>
      <c r="AN4" s="2">
        <v>3.1403445702283099E-10</v>
      </c>
      <c r="AO4" s="2">
        <v>3.3049676507131203E-10</v>
      </c>
      <c r="AP4" s="2">
        <v>5.7387604940369601E-10</v>
      </c>
      <c r="AQ4" s="2">
        <v>4.8591189854669703E-10</v>
      </c>
      <c r="AR4" s="2">
        <v>4.2364331779199299E-10</v>
      </c>
      <c r="AS4" s="2">
        <v>4.7921129578899002E-10</v>
      </c>
      <c r="AT4" s="2">
        <v>3.2110161961366301E-10</v>
      </c>
      <c r="AU4" s="2">
        <v>3.1234882234302598E-10</v>
      </c>
      <c r="AV4" s="2">
        <v>4.2005611076522498E-10</v>
      </c>
      <c r="AW4" s="2">
        <v>4.8157476699739597E-10</v>
      </c>
      <c r="AX4" s="2">
        <v>5.4129356190608701E-10</v>
      </c>
      <c r="AY4" s="2">
        <v>6.0296341797469096E-10</v>
      </c>
      <c r="AZ4" s="2">
        <v>5.6222679339298403E-10</v>
      </c>
      <c r="BA4" s="2">
        <v>4.5207957754548799E-10</v>
      </c>
      <c r="BB4" s="2">
        <v>4.5925559701541398E-10</v>
      </c>
      <c r="BC4" s="2">
        <v>3.6105742678704099E-10</v>
      </c>
      <c r="BD4" s="2">
        <v>2.4415170671318801E-10</v>
      </c>
      <c r="BE4" s="2">
        <v>2.5964474180386499E-10</v>
      </c>
      <c r="BF4" s="2">
        <v>3.1320516852857797E-10</v>
      </c>
      <c r="BG4" s="2">
        <v>3.7411529757028501E-10</v>
      </c>
      <c r="BH4" s="2">
        <v>4.7535055831767803E-10</v>
      </c>
      <c r="BI4" s="2">
        <v>1.35726525047815E-8</v>
      </c>
      <c r="BJ4">
        <v>5.7102431065263301E-4</v>
      </c>
      <c r="BK4">
        <v>2.27534202919115E-3</v>
      </c>
      <c r="BL4">
        <v>9.900025355164409E-4</v>
      </c>
      <c r="BM4">
        <v>2.9503740515731899E-4</v>
      </c>
      <c r="BN4">
        <v>5.1401979061092601E-4</v>
      </c>
      <c r="BO4">
        <v>1.0334830346720399E-3</v>
      </c>
      <c r="BP4">
        <v>7.2361989397557304E-4</v>
      </c>
      <c r="BQ4">
        <v>5.0671515553957702E-4</v>
      </c>
      <c r="BR4">
        <v>3.6292172178298298E-4</v>
      </c>
      <c r="BS4">
        <v>2.98156228743596E-4</v>
      </c>
      <c r="BT4">
        <v>2.0862225839116699E-4</v>
      </c>
      <c r="BU4" s="2">
        <v>8.5098354639134103E-5</v>
      </c>
      <c r="BV4" s="2">
        <v>3.4809136627914099E-5</v>
      </c>
      <c r="BW4" s="2">
        <v>2.7082074992085E-5</v>
      </c>
      <c r="BX4" s="2">
        <v>1.30656730647897E-5</v>
      </c>
      <c r="BY4" s="2">
        <v>3.8862209671067402E-6</v>
      </c>
      <c r="BZ4" s="2">
        <v>2.6515503817109999E-6</v>
      </c>
      <c r="CA4" s="2">
        <v>1.3810199356689E-6</v>
      </c>
      <c r="CB4" s="2">
        <v>5.5071188114452805E-7</v>
      </c>
      <c r="CC4" s="2">
        <v>5.2540175849865201E-7</v>
      </c>
      <c r="CD4" s="2">
        <v>6.0747217409804298E-7</v>
      </c>
      <c r="CE4" s="2">
        <v>4.4720960232561898E-7</v>
      </c>
      <c r="CF4" s="2">
        <v>3.0172746386311302E-7</v>
      </c>
      <c r="CG4" s="2">
        <v>2.35107426414113E-7</v>
      </c>
      <c r="CH4" s="2">
        <v>2.2202552892917499E-7</v>
      </c>
      <c r="CI4" s="2">
        <v>1.6952885446824599E-7</v>
      </c>
      <c r="CJ4" s="2">
        <v>1.8897250739057999E-7</v>
      </c>
      <c r="CK4" s="2">
        <v>2.1399739126332401E-7</v>
      </c>
      <c r="CL4" s="2">
        <v>1.3279940333071499E-7</v>
      </c>
      <c r="CM4" s="2">
        <v>1.00292044219874E-7</v>
      </c>
      <c r="CN4" s="2">
        <v>1.2059315237547099E-7</v>
      </c>
      <c r="CO4" s="2">
        <v>1.13534428409363E-7</v>
      </c>
    </row>
    <row r="5" spans="1:97" x14ac:dyDescent="0.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</row>
    <row r="6" spans="1:97" x14ac:dyDescent="0.2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</row>
    <row r="7" spans="1:97" x14ac:dyDescent="0.2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</row>
    <row r="8" spans="1:97" x14ac:dyDescent="0.2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8</v>
      </c>
      <c r="BK8">
        <v>26</v>
      </c>
      <c r="BL8">
        <v>1</v>
      </c>
      <c r="BM8">
        <v>0</v>
      </c>
      <c r="BN8">
        <v>0</v>
      </c>
      <c r="BO8">
        <v>0</v>
      </c>
      <c r="BP8">
        <v>2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</row>
    <row r="9" spans="1:97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163</v>
      </c>
      <c r="BK9">
        <v>1832</v>
      </c>
      <c r="BL9">
        <v>167</v>
      </c>
      <c r="BM9">
        <v>6</v>
      </c>
      <c r="BN9">
        <v>8</v>
      </c>
      <c r="BO9">
        <v>194</v>
      </c>
      <c r="BP9">
        <v>56</v>
      </c>
      <c r="BQ9">
        <v>19</v>
      </c>
      <c r="BR9">
        <v>7</v>
      </c>
      <c r="BS9">
        <v>7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</row>
    <row r="10" spans="1:97" x14ac:dyDescent="0.2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2424</v>
      </c>
      <c r="BK10">
        <v>30296</v>
      </c>
      <c r="BL10">
        <v>8176</v>
      </c>
      <c r="BM10">
        <v>277</v>
      </c>
      <c r="BN10">
        <v>1469</v>
      </c>
      <c r="BO10">
        <v>8461</v>
      </c>
      <c r="BP10">
        <v>3444</v>
      </c>
      <c r="BQ10">
        <v>1310</v>
      </c>
      <c r="BR10">
        <v>556</v>
      </c>
      <c r="BS10">
        <v>284</v>
      </c>
      <c r="BT10">
        <v>97</v>
      </c>
      <c r="BU10">
        <v>7</v>
      </c>
      <c r="BV10">
        <v>1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</row>
    <row r="11" spans="1:97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</row>
    <row r="12" spans="1:97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</row>
    <row r="13" spans="1:97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</row>
    <row r="14" spans="1:97" x14ac:dyDescent="0.25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</row>
    <row r="15" spans="1:97" x14ac:dyDescent="0.2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</row>
    <row r="16" spans="1:97" x14ac:dyDescent="0.2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</row>
    <row r="17" spans="1:97" x14ac:dyDescent="0.2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</row>
    <row r="18" spans="1:97" x14ac:dyDescent="0.2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</row>
    <row r="19" spans="1:97" x14ac:dyDescent="0.25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</row>
    <row r="20" spans="1:97" x14ac:dyDescent="0.25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4.8661422353356298E-2</v>
      </c>
      <c r="BK20">
        <v>0.169640190738721</v>
      </c>
      <c r="BL20">
        <v>5.9729332378454701E-2</v>
      </c>
      <c r="BM20">
        <v>0</v>
      </c>
      <c r="BN20">
        <v>0</v>
      </c>
      <c r="BO20">
        <v>0</v>
      </c>
      <c r="BP20">
        <v>4.4163694789676702E-2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</row>
    <row r="21" spans="1:97" x14ac:dyDescent="0.2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3.8901972608372498E-2</v>
      </c>
      <c r="BK21">
        <v>0.15434875599756201</v>
      </c>
      <c r="BL21">
        <v>5.9729332378454701E-2</v>
      </c>
      <c r="BM21">
        <v>0</v>
      </c>
      <c r="BN21">
        <v>0</v>
      </c>
      <c r="BO21">
        <v>0</v>
      </c>
      <c r="BP21">
        <v>4.4163694789676702E-2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</row>
    <row r="22" spans="1:97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4.0292512751549998E-2</v>
      </c>
      <c r="BK22">
        <v>0.15477545698098</v>
      </c>
      <c r="BL22">
        <v>5.9729332378454701E-2</v>
      </c>
      <c r="BM22">
        <v>0</v>
      </c>
      <c r="BN22">
        <v>0</v>
      </c>
      <c r="BO22">
        <v>0</v>
      </c>
      <c r="BP22">
        <v>4.4163694789676702E-2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</row>
    <row r="23" spans="1:97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0.21569684883524101</v>
      </c>
      <c r="BK23">
        <v>0.77298920549835903</v>
      </c>
      <c r="BL23">
        <v>0.34353358618019803</v>
      </c>
      <c r="BM23">
        <v>0.11239046138888401</v>
      </c>
      <c r="BN23">
        <v>0.16289348377490601</v>
      </c>
      <c r="BO23">
        <v>0.353617551303539</v>
      </c>
      <c r="BP23">
        <v>0.25140266737031203</v>
      </c>
      <c r="BQ23">
        <v>0.17467080641744701</v>
      </c>
      <c r="BR23">
        <v>0.113520007164127</v>
      </c>
      <c r="BS23">
        <v>9.4851262448767099E-2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</row>
    <row r="24" spans="1:97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0.152014740779194</v>
      </c>
      <c r="BK24">
        <v>0.59065830904028005</v>
      </c>
      <c r="BL24">
        <v>0.264615480869338</v>
      </c>
      <c r="BM24">
        <v>9.5808057468869806E-2</v>
      </c>
      <c r="BN24">
        <v>0.13887254061750701</v>
      </c>
      <c r="BO24">
        <v>0.27488808560690597</v>
      </c>
      <c r="BP24">
        <v>0.192078175601887</v>
      </c>
      <c r="BQ24">
        <v>0.14584713646547801</v>
      </c>
      <c r="BR24">
        <v>9.9201860181012694E-2</v>
      </c>
      <c r="BS24">
        <v>9.0628065782142594E-2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</row>
    <row r="25" spans="1:97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0.15032114789429099</v>
      </c>
      <c r="BK25">
        <v>0.58248755947293596</v>
      </c>
      <c r="BL25">
        <v>0.26004801512750098</v>
      </c>
      <c r="BM25">
        <v>9.16635888195622E-2</v>
      </c>
      <c r="BN25">
        <v>0.136267556673488</v>
      </c>
      <c r="BO25">
        <v>0.267185440969606</v>
      </c>
      <c r="BP25">
        <v>0.19109871725774799</v>
      </c>
      <c r="BQ25">
        <v>0.14665584107700899</v>
      </c>
      <c r="BR25">
        <v>9.8035599381146699E-2</v>
      </c>
      <c r="BS25">
        <v>9.0656416954964805E-2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</row>
    <row r="26" spans="1:97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0.86278739534096405</v>
      </c>
      <c r="BK26">
        <v>3.0919568219934299</v>
      </c>
      <c r="BL26">
        <v>1.3741343447207901</v>
      </c>
      <c r="BM26">
        <v>0.44956184555553802</v>
      </c>
      <c r="BN26">
        <v>0.67522408509649601</v>
      </c>
      <c r="BO26">
        <v>1.41447020521415</v>
      </c>
      <c r="BP26">
        <v>1.0056106694812501</v>
      </c>
      <c r="BQ26">
        <v>0.69868322566978902</v>
      </c>
      <c r="BR26">
        <v>0.49997422703559102</v>
      </c>
      <c r="BS26">
        <v>0.41039517207946702</v>
      </c>
      <c r="BT26">
        <v>0.29087978953708399</v>
      </c>
      <c r="BU26">
        <v>0.109001925687746</v>
      </c>
      <c r="BV26">
        <v>4.7176937956212202E-2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</row>
    <row r="27" spans="1:97" x14ac:dyDescent="0.25">
      <c r="A27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0.57149713587328199</v>
      </c>
      <c r="BK27">
        <v>2.3626332361611202</v>
      </c>
      <c r="BL27">
        <v>1.02702188556862</v>
      </c>
      <c r="BM27">
        <v>0.31140321678378102</v>
      </c>
      <c r="BN27">
        <v>0.53105876787537998</v>
      </c>
      <c r="BO27">
        <v>1.07840164047541</v>
      </c>
      <c r="BP27">
        <v>0.73419137677286495</v>
      </c>
      <c r="BQ27">
        <v>0.52573697180987999</v>
      </c>
      <c r="BR27">
        <v>0.37223803443695602</v>
      </c>
      <c r="BS27">
        <v>0.31068800013665299</v>
      </c>
      <c r="BT27">
        <v>0.21924704056951999</v>
      </c>
      <c r="BU27">
        <v>0.102183321984385</v>
      </c>
      <c r="BV27">
        <v>4.7176937956212202E-2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</row>
    <row r="28" spans="1:97" x14ac:dyDescent="0.25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0.58472889410829598</v>
      </c>
      <c r="BK28">
        <v>2.3299502378917398</v>
      </c>
      <c r="BL28">
        <v>1.0137625963688299</v>
      </c>
      <c r="BM28">
        <v>0.306071282366502</v>
      </c>
      <c r="BN28">
        <v>0.52635626558558801</v>
      </c>
      <c r="BO28">
        <v>1.05828662750417</v>
      </c>
      <c r="BP28">
        <v>0.74098677143098601</v>
      </c>
      <c r="BQ28">
        <v>0.51887631927252698</v>
      </c>
      <c r="BR28">
        <v>0.37163184310577502</v>
      </c>
      <c r="BS28">
        <v>0.30634777641139499</v>
      </c>
      <c r="BT28">
        <v>0.21474903018844099</v>
      </c>
      <c r="BU28">
        <v>0.102479103029744</v>
      </c>
      <c r="BV28">
        <v>4.7176937956212202E-2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</row>
    <row r="29" spans="1:97" x14ac:dyDescent="0.25">
      <c r="A29" t="s">
        <v>32</v>
      </c>
      <c r="B29">
        <v>0.76957219099999996</v>
      </c>
      <c r="C29">
        <v>0.771817164</v>
      </c>
      <c r="D29">
        <v>0.78552173950000004</v>
      </c>
      <c r="E29">
        <v>0.77333739349999997</v>
      </c>
      <c r="F29">
        <v>0.69855224699999996</v>
      </c>
      <c r="G29">
        <v>0.71226070049999901</v>
      </c>
      <c r="H29">
        <v>0.773592222</v>
      </c>
      <c r="I29">
        <v>0.76798645399999999</v>
      </c>
      <c r="J29">
        <v>0.7563906655</v>
      </c>
      <c r="K29">
        <v>0.72541048299999999</v>
      </c>
      <c r="L29">
        <v>0.74867457049999997</v>
      </c>
      <c r="M29">
        <v>0.77382161049999998</v>
      </c>
      <c r="N29">
        <v>0.75131557849999997</v>
      </c>
      <c r="O29">
        <v>0.75904434850000002</v>
      </c>
      <c r="P29">
        <v>0.67891565050000002</v>
      </c>
      <c r="Q29">
        <v>0.70024108200000001</v>
      </c>
      <c r="R29">
        <v>0.740701163</v>
      </c>
      <c r="S29">
        <v>0.74046465699999997</v>
      </c>
      <c r="T29">
        <v>0.74873955049999996</v>
      </c>
      <c r="U29">
        <v>0.73845619600000001</v>
      </c>
      <c r="V29">
        <v>0.726575334499999</v>
      </c>
      <c r="W29">
        <v>0.78202204350000004</v>
      </c>
      <c r="X29">
        <v>0.83594533650000002</v>
      </c>
      <c r="Y29">
        <v>0.78025976949999998</v>
      </c>
      <c r="Z29">
        <v>0.75657462549999999</v>
      </c>
      <c r="AA29">
        <v>0.70298291499999999</v>
      </c>
      <c r="AB29">
        <v>0.68254177999999999</v>
      </c>
      <c r="AC29">
        <v>0.684465781</v>
      </c>
      <c r="AD29">
        <v>0.69437548549999994</v>
      </c>
      <c r="AE29">
        <v>0.7037178785</v>
      </c>
      <c r="AF29">
        <v>0.672222341</v>
      </c>
      <c r="AG29">
        <v>0.67980481400000004</v>
      </c>
      <c r="AH29">
        <v>0.74230587949999904</v>
      </c>
      <c r="AI29">
        <v>0.76352864149999999</v>
      </c>
      <c r="AJ29">
        <v>0.72191215399999997</v>
      </c>
      <c r="AK29">
        <v>0.72191215399999997</v>
      </c>
      <c r="AL29">
        <v>0.77710206100000001</v>
      </c>
      <c r="AM29">
        <v>0.73831050949999999</v>
      </c>
      <c r="AN29">
        <v>0.65388842250000001</v>
      </c>
      <c r="AO29">
        <v>0.66321230600000003</v>
      </c>
      <c r="AP29">
        <v>0.73972780449999997</v>
      </c>
      <c r="AQ29">
        <v>0.72333429699999996</v>
      </c>
      <c r="AR29">
        <v>0.71002781749999999</v>
      </c>
      <c r="AS29">
        <v>0.72868923050000001</v>
      </c>
      <c r="AT29">
        <v>0.66863318549999995</v>
      </c>
      <c r="AU29">
        <v>0.65794700399999995</v>
      </c>
      <c r="AV29">
        <v>0.69552619199999999</v>
      </c>
      <c r="AW29">
        <v>0.73331566249999902</v>
      </c>
      <c r="AX29">
        <v>0.74682702999999995</v>
      </c>
      <c r="AY29">
        <v>0.76967573</v>
      </c>
      <c r="AZ29">
        <v>0.7477791265</v>
      </c>
      <c r="BA29">
        <v>0.71824162000000003</v>
      </c>
      <c r="BB29">
        <v>0.72944691949999996</v>
      </c>
      <c r="BC29">
        <v>0.68032893350000001</v>
      </c>
      <c r="BD29">
        <v>0.62184915699999999</v>
      </c>
      <c r="BE29">
        <v>0.63156217000000003</v>
      </c>
      <c r="BF29">
        <v>0.66496995749999999</v>
      </c>
      <c r="BG29">
        <v>0.67182250649999997</v>
      </c>
      <c r="BH29">
        <v>0.69815132099999999</v>
      </c>
      <c r="BI29">
        <v>1.3141996124999999</v>
      </c>
      <c r="BJ29">
        <v>12.6789259225</v>
      </c>
      <c r="BK29">
        <v>22.620213794999898</v>
      </c>
      <c r="BL29">
        <v>19.508647905</v>
      </c>
      <c r="BM29">
        <v>15.20489341</v>
      </c>
      <c r="BN29">
        <v>17.173613769999999</v>
      </c>
      <c r="BO29">
        <v>19.879890565</v>
      </c>
      <c r="BP29">
        <v>18.271869219999999</v>
      </c>
      <c r="BQ29">
        <v>17.106053899999999</v>
      </c>
      <c r="BR29">
        <v>15.6821315249999</v>
      </c>
      <c r="BS29">
        <v>15.17592808</v>
      </c>
      <c r="BT29">
        <v>14.28611474</v>
      </c>
      <c r="BU29">
        <v>11.657254006500001</v>
      </c>
      <c r="BV29">
        <v>9.6026396404999996</v>
      </c>
      <c r="BW29">
        <v>9.2022879035000003</v>
      </c>
      <c r="BX29">
        <v>7.7941709709999998</v>
      </c>
      <c r="BY29">
        <v>5.7733400259999996</v>
      </c>
      <c r="BZ29">
        <v>5.1560535449999998</v>
      </c>
      <c r="CA29">
        <v>4.4556949205</v>
      </c>
      <c r="CB29">
        <v>3.5644504299999999</v>
      </c>
      <c r="CC29">
        <v>3.44414985149999</v>
      </c>
      <c r="CD29">
        <v>3.4561308749999999</v>
      </c>
      <c r="CE29">
        <v>3.188326338</v>
      </c>
      <c r="CF29">
        <v>2.8661624744999998</v>
      </c>
      <c r="CG29">
        <v>2.6512377974999999</v>
      </c>
      <c r="CH29">
        <v>2.6445850609999999</v>
      </c>
      <c r="CI29">
        <v>2.3885584199999998</v>
      </c>
      <c r="CJ29">
        <v>2.4828400044999999</v>
      </c>
      <c r="CK29">
        <v>2.5050373965000001</v>
      </c>
      <c r="CL29">
        <v>2.248553292</v>
      </c>
      <c r="CM29">
        <v>2.1564305309999998</v>
      </c>
      <c r="CN29">
        <v>2.2236830264999998</v>
      </c>
      <c r="CO29">
        <v>2.2059633774999998</v>
      </c>
    </row>
    <row r="30" spans="1:97" x14ac:dyDescent="0.25">
      <c r="A30" t="s">
        <v>33</v>
      </c>
      <c r="B30" s="2">
        <v>2.2880339138783499E-6</v>
      </c>
      <c r="C30" s="2">
        <v>2.3166658998962598E-6</v>
      </c>
      <c r="D30" s="2">
        <v>2.4974510258016099E-6</v>
      </c>
      <c r="E30" s="2">
        <v>2.3362098770244698E-6</v>
      </c>
      <c r="F30" s="2">
        <v>1.51333953548655E-6</v>
      </c>
      <c r="G30" s="2">
        <v>1.6442568051698E-6</v>
      </c>
      <c r="H30" s="2">
        <v>2.3394982528216099E-6</v>
      </c>
      <c r="I30" s="2">
        <v>2.2679735908638599E-6</v>
      </c>
      <c r="J30" s="2">
        <v>2.1253429740066598E-6</v>
      </c>
      <c r="K30" s="2">
        <v>1.77782321947317E-6</v>
      </c>
      <c r="L30" s="2">
        <v>2.03431169361831E-6</v>
      </c>
      <c r="M30" s="2">
        <v>2.3424613742538201E-6</v>
      </c>
      <c r="N30" s="2">
        <v>2.06512615342148E-6</v>
      </c>
      <c r="O30" s="2">
        <v>2.1573598304823502E-6</v>
      </c>
      <c r="P30" s="2">
        <v>1.33989054137762E-6</v>
      </c>
      <c r="Q30" s="2">
        <v>1.5290213907509701E-6</v>
      </c>
      <c r="R30" s="2">
        <v>1.94341259619611E-6</v>
      </c>
      <c r="S30" s="2">
        <v>1.9407647415474302E-6</v>
      </c>
      <c r="T30" s="2">
        <v>2.0350656086627198E-6</v>
      </c>
      <c r="U30" s="2">
        <v>1.9183897587438199E-6</v>
      </c>
      <c r="V30" s="2">
        <v>1.7900432375371199E-6</v>
      </c>
      <c r="W30" s="2">
        <v>2.4502923017615601E-6</v>
      </c>
      <c r="X30" s="2">
        <v>3.25725725571424E-6</v>
      </c>
      <c r="Y30" s="2">
        <v>2.4268052233842101E-6</v>
      </c>
      <c r="Z30" s="2">
        <v>2.1275506513089701E-6</v>
      </c>
      <c r="AA30" s="2">
        <v>1.5547456400179199E-6</v>
      </c>
      <c r="AB30" s="2">
        <v>1.3707113453107E-6</v>
      </c>
      <c r="AC30" s="2">
        <v>1.38728352233035E-6</v>
      </c>
      <c r="AD30" s="2">
        <v>1.4750845909102401E-6</v>
      </c>
      <c r="AE30" s="2">
        <v>1.5616971506375101E-6</v>
      </c>
      <c r="AF30" s="2">
        <v>1.2843962919338499E-6</v>
      </c>
      <c r="AG30" s="2">
        <v>1.34739849351715E-6</v>
      </c>
      <c r="AH30" s="2">
        <v>1.96145169357832E-6</v>
      </c>
      <c r="AI30" s="2">
        <v>2.21230109360631E-6</v>
      </c>
      <c r="AJ30" s="2">
        <v>1.7415072660345899E-6</v>
      </c>
      <c r="AK30" s="2">
        <v>1.7415072660345899E-6</v>
      </c>
      <c r="AL30" s="2">
        <v>2.38515180286167E-6</v>
      </c>
      <c r="AM30" s="2">
        <v>1.9167744779342999E-6</v>
      </c>
      <c r="AN30" s="2">
        <v>1.1413734455688901E-6</v>
      </c>
      <c r="AO30" s="2">
        <v>1.21249339865022E-6</v>
      </c>
      <c r="AP30" s="2">
        <v>1.9325328565379001E-6</v>
      </c>
      <c r="AQ30" s="2">
        <v>1.75620123871448E-6</v>
      </c>
      <c r="AR30" s="2">
        <v>1.62236269293128E-6</v>
      </c>
      <c r="AS30" s="2">
        <v>1.81238349792874E-6</v>
      </c>
      <c r="AT30" s="2">
        <v>1.2553732186330101E-6</v>
      </c>
      <c r="AU30" s="2">
        <v>1.1719268588960001E-6</v>
      </c>
      <c r="AV30" s="2">
        <v>1.4855491306764301E-6</v>
      </c>
      <c r="AW30" s="2">
        <v>1.86202170728117E-6</v>
      </c>
      <c r="AX30" s="2">
        <v>2.01296537982452E-6</v>
      </c>
      <c r="AY30" s="2">
        <v>2.2893484400696301E-6</v>
      </c>
      <c r="AZ30" s="2">
        <v>2.0239442814575399E-6</v>
      </c>
      <c r="BA30" s="2">
        <v>1.7040172007631401E-6</v>
      </c>
      <c r="BB30" s="2">
        <v>1.82044272754136E-6</v>
      </c>
      <c r="BC30" s="2">
        <v>1.35183913922563E-6</v>
      </c>
      <c r="BD30" s="2">
        <v>9.2103815913760504E-7</v>
      </c>
      <c r="BE30" s="2">
        <v>9.8404403032751892E-7</v>
      </c>
      <c r="BF30" s="2">
        <v>1.22627175394725E-6</v>
      </c>
      <c r="BG30" s="2">
        <v>1.28113791916581E-6</v>
      </c>
      <c r="BH30" s="2">
        <v>1.50963485366586E-6</v>
      </c>
      <c r="BI30" s="2">
        <v>2.2474957371565198E-5</v>
      </c>
      <c r="BJ30">
        <v>0.35849904698993101</v>
      </c>
      <c r="BK30">
        <v>4.2447373637128996</v>
      </c>
      <c r="BL30">
        <v>2.25665360059635</v>
      </c>
      <c r="BM30">
        <v>0.77864533169816397</v>
      </c>
      <c r="BN30">
        <v>1.30946248135273</v>
      </c>
      <c r="BO30">
        <v>2.4457771587955301</v>
      </c>
      <c r="BP30">
        <v>1.7061928142740399</v>
      </c>
      <c r="BQ30">
        <v>1.2876108731227101</v>
      </c>
      <c r="BR30">
        <v>0.88846638096727104</v>
      </c>
      <c r="BS30">
        <v>0.77233228640824803</v>
      </c>
      <c r="BT30">
        <v>0.59672323935688598</v>
      </c>
      <c r="BU30">
        <v>0.25044793281140099</v>
      </c>
      <c r="BV30">
        <v>0.109450654368778</v>
      </c>
      <c r="BW30">
        <v>9.1255374022131297E-2</v>
      </c>
      <c r="BX30">
        <v>4.4908794177954202E-2</v>
      </c>
      <c r="BY30">
        <v>1.2469783504636201E-2</v>
      </c>
      <c r="BZ30">
        <v>7.6947549928068496E-3</v>
      </c>
      <c r="CA30">
        <v>4.1258435799812797E-3</v>
      </c>
      <c r="CB30">
        <v>1.5911823745653399E-3</v>
      </c>
      <c r="CC30">
        <v>1.37423937768449E-3</v>
      </c>
      <c r="CD30">
        <v>1.3947651725774799E-3</v>
      </c>
      <c r="CE30">
        <v>9.8845877283098909E-4</v>
      </c>
      <c r="CF30">
        <v>6.2726689798427301E-4</v>
      </c>
      <c r="CG30">
        <v>4.4970477699700899E-4</v>
      </c>
      <c r="CH30">
        <v>4.4490684436301301E-4</v>
      </c>
      <c r="CI30">
        <v>2.8805372821976203E-4</v>
      </c>
      <c r="CJ30">
        <v>3.3982292313158098E-4</v>
      </c>
      <c r="CK30">
        <v>3.5298444055644899E-4</v>
      </c>
      <c r="CL30">
        <v>2.2257598703003499E-4</v>
      </c>
      <c r="CM30">
        <v>1.86172225613053E-4</v>
      </c>
      <c r="CN30">
        <v>2.1225419931479299E-4</v>
      </c>
      <c r="CO30">
        <v>2.0512672887656701E-4</v>
      </c>
    </row>
    <row r="31" spans="1:97" x14ac:dyDescent="0.25">
      <c r="A31" t="s">
        <v>34</v>
      </c>
      <c r="B31" s="1">
        <v>44776.000694444447</v>
      </c>
      <c r="C31" s="1">
        <v>44776.011111111111</v>
      </c>
      <c r="D31" s="1">
        <v>44776.021527777775</v>
      </c>
      <c r="E31" s="1">
        <v>44776.031944444447</v>
      </c>
      <c r="F31" s="1">
        <v>44776.042361111111</v>
      </c>
      <c r="G31" s="1">
        <v>44776.052777777775</v>
      </c>
      <c r="H31" s="1">
        <v>44776.063194444447</v>
      </c>
      <c r="I31" s="1">
        <v>44776.073611111111</v>
      </c>
      <c r="J31" s="1">
        <v>44776.084027777775</v>
      </c>
      <c r="K31" s="1">
        <v>44776.094444444447</v>
      </c>
      <c r="L31" s="1">
        <v>44776.104861111111</v>
      </c>
      <c r="M31" s="1">
        <v>44776.115277777775</v>
      </c>
      <c r="N31" s="1">
        <v>44776.125694444447</v>
      </c>
      <c r="O31" s="1">
        <v>44776.136111111111</v>
      </c>
      <c r="P31" s="1">
        <v>44776.146527777775</v>
      </c>
      <c r="Q31" s="1">
        <v>44776.156944444447</v>
      </c>
      <c r="R31" s="1">
        <v>44776.167361111111</v>
      </c>
      <c r="S31" s="1">
        <v>44776.177777777775</v>
      </c>
      <c r="T31" s="1">
        <v>44776.188194444447</v>
      </c>
      <c r="U31" s="1">
        <v>44776.198611111111</v>
      </c>
      <c r="V31" s="1">
        <v>44776.209027777775</v>
      </c>
      <c r="W31" s="1">
        <v>44776.219444444447</v>
      </c>
      <c r="X31" s="1">
        <v>44776.229861111111</v>
      </c>
      <c r="Y31" s="1">
        <v>44776.240277777775</v>
      </c>
      <c r="Z31" s="1">
        <v>44776.250694444447</v>
      </c>
      <c r="AA31" s="1">
        <v>44776.261111111111</v>
      </c>
      <c r="AB31" s="1">
        <v>44776.271527777775</v>
      </c>
      <c r="AC31" s="1">
        <v>44776.281944444447</v>
      </c>
      <c r="AD31" s="1">
        <v>44776.292361111111</v>
      </c>
      <c r="AE31" s="1">
        <v>44776.302777777775</v>
      </c>
      <c r="AF31" s="1">
        <v>44776.313194444447</v>
      </c>
      <c r="AG31" s="1">
        <v>44776.323611111111</v>
      </c>
      <c r="AH31" s="1">
        <v>44776.334027777775</v>
      </c>
      <c r="AI31" s="1">
        <v>44776.344444444447</v>
      </c>
      <c r="AJ31" s="1">
        <v>44776.354861111111</v>
      </c>
      <c r="AK31" s="1">
        <v>44776.365277777775</v>
      </c>
      <c r="AL31" s="1">
        <v>44776.375694444447</v>
      </c>
      <c r="AM31" s="1">
        <v>44776.386111111111</v>
      </c>
      <c r="AN31" s="1">
        <v>44776.396527777775</v>
      </c>
      <c r="AO31" s="1">
        <v>44776.406944444447</v>
      </c>
      <c r="AP31" s="1">
        <v>44776.417361111111</v>
      </c>
      <c r="AQ31" s="1">
        <v>44776.427777777775</v>
      </c>
      <c r="AR31" s="1">
        <v>44776.438194444447</v>
      </c>
      <c r="AS31" s="1">
        <v>44776.448611111111</v>
      </c>
      <c r="AT31" s="1">
        <v>44776.459027777775</v>
      </c>
      <c r="AU31" s="1">
        <v>44776.469444444447</v>
      </c>
      <c r="AV31" s="1">
        <v>44776.479861111111</v>
      </c>
      <c r="AW31" s="1">
        <v>44776.490277777775</v>
      </c>
      <c r="AX31" s="1">
        <v>44776.500694444447</v>
      </c>
      <c r="AY31" s="1">
        <v>44776.511111111111</v>
      </c>
      <c r="AZ31" s="1">
        <v>44776.521527777775</v>
      </c>
      <c r="BA31" s="1">
        <v>44776.531944444447</v>
      </c>
      <c r="BB31" s="1">
        <v>44776.542361111111</v>
      </c>
      <c r="BC31" s="1">
        <v>44776.552777777775</v>
      </c>
      <c r="BD31" s="1">
        <v>44776.563194444447</v>
      </c>
      <c r="BE31" s="1">
        <v>44776.573611111111</v>
      </c>
      <c r="BF31" s="1">
        <v>44776.584027777775</v>
      </c>
      <c r="BG31" s="1">
        <v>44776.594444444447</v>
      </c>
      <c r="BH31" s="1">
        <v>44776.604861111111</v>
      </c>
      <c r="BI31" s="1">
        <v>44776.615277777775</v>
      </c>
      <c r="BJ31" s="1">
        <v>44776.625694444447</v>
      </c>
      <c r="BK31" s="1">
        <v>44776.636111111111</v>
      </c>
      <c r="BL31" s="1">
        <v>44776.646527777775</v>
      </c>
      <c r="BM31" s="1">
        <v>44776.656944444447</v>
      </c>
      <c r="BN31" s="1">
        <v>44776.667361111111</v>
      </c>
      <c r="BO31" s="1">
        <v>44776.677777777775</v>
      </c>
      <c r="BP31" s="1">
        <v>44776.688194444447</v>
      </c>
      <c r="BQ31" s="1">
        <v>44776.698611111111</v>
      </c>
      <c r="BR31" s="1">
        <v>44776.709027777775</v>
      </c>
      <c r="BS31" s="1">
        <v>44776.719444444447</v>
      </c>
      <c r="BT31" s="1">
        <v>44776.729861111111</v>
      </c>
      <c r="BU31" s="1">
        <v>44776.740277777775</v>
      </c>
      <c r="BV31" s="1">
        <v>44776.750694444447</v>
      </c>
      <c r="BW31" s="1">
        <v>44776.761111111111</v>
      </c>
      <c r="BX31" s="1">
        <v>44776.771527777775</v>
      </c>
      <c r="BY31" s="1">
        <v>44776.781944444447</v>
      </c>
      <c r="BZ31" s="1">
        <v>44776.792361111111</v>
      </c>
      <c r="CA31" s="1">
        <v>44776.802777777775</v>
      </c>
      <c r="CB31" s="1">
        <v>44776.813194444447</v>
      </c>
      <c r="CC31" s="1">
        <v>44776.823611111111</v>
      </c>
      <c r="CD31" s="1">
        <v>44776.834027777775</v>
      </c>
      <c r="CE31" s="1">
        <v>44776.844444444447</v>
      </c>
      <c r="CF31" s="1">
        <v>44776.854861111111</v>
      </c>
      <c r="CG31" s="1">
        <v>44776.865277777775</v>
      </c>
      <c r="CH31" s="1">
        <v>44776.875694444447</v>
      </c>
      <c r="CI31" s="1">
        <v>44776.917361111111</v>
      </c>
      <c r="CJ31" s="1">
        <v>44776.948611111111</v>
      </c>
      <c r="CK31" s="1">
        <v>44776.959027777775</v>
      </c>
      <c r="CL31" s="1">
        <v>44776.969444444447</v>
      </c>
      <c r="CM31" s="1">
        <v>44776.979861111111</v>
      </c>
      <c r="CN31" s="1">
        <v>44776.990277777775</v>
      </c>
      <c r="CO31" s="1">
        <v>44777.000694444447</v>
      </c>
      <c r="CP31" s="1"/>
      <c r="CQ31" s="1"/>
      <c r="CR31" s="1"/>
      <c r="CS31" s="1"/>
    </row>
    <row r="32" spans="1:97" x14ac:dyDescent="0.25">
      <c r="BK32" t="s">
        <v>46</v>
      </c>
    </row>
    <row r="33" spans="1:27" x14ac:dyDescent="0.25">
      <c r="C33" s="4" t="s">
        <v>27</v>
      </c>
      <c r="E33" t="s">
        <v>28</v>
      </c>
      <c r="F33" t="s">
        <v>29</v>
      </c>
      <c r="G33" t="s">
        <v>30</v>
      </c>
      <c r="H33" t="s">
        <v>31</v>
      </c>
    </row>
    <row r="34" spans="1:27" x14ac:dyDescent="0.25">
      <c r="A34" s="5" t="str">
        <f>A2</f>
        <v>max_amp</v>
      </c>
      <c r="B34" s="9">
        <f>MAX(B2:CS2)</f>
        <v>3.0194890839779602E-3</v>
      </c>
      <c r="C34" s="6">
        <f>_xlfn.XLOOKUP(MAX(B2:CS2), B2:CS2, $B$1:$CS$1)</f>
        <v>44776.636111111111</v>
      </c>
      <c r="E34" s="1">
        <v>44776.000694444447</v>
      </c>
      <c r="F34" s="2">
        <v>9.4170832457325001E-10</v>
      </c>
      <c r="G34" s="2">
        <v>6.7817983640293597E-10</v>
      </c>
      <c r="H34" s="2">
        <v>6.6705963235866703E-10</v>
      </c>
      <c r="V34" t="s">
        <v>45</v>
      </c>
    </row>
    <row r="35" spans="1:27" x14ac:dyDescent="0.25">
      <c r="A35" s="5" t="str">
        <f t="shared" ref="A35:A60" si="0">A3</f>
        <v>mean_amp</v>
      </c>
      <c r="B35" s="9">
        <f t="shared" ref="B35:B60" si="1">MAX(B3:CS3)</f>
        <v>2.30725901968859E-3</v>
      </c>
      <c r="C35" s="6">
        <f t="shared" ref="C35:C59" si="2">_xlfn.XLOOKUP(MAX(B3:CS3), B3:CS3, $B$1:$CS$1)</f>
        <v>44776.636111111111</v>
      </c>
      <c r="E35" s="1">
        <v>44776.011111111111</v>
      </c>
      <c r="F35" s="2">
        <v>1.19225420553501E-9</v>
      </c>
      <c r="G35" s="2">
        <v>7.9935488811814302E-10</v>
      </c>
      <c r="H35" s="2">
        <v>7.8287815236245401E-10</v>
      </c>
      <c r="T35" t="s">
        <v>0</v>
      </c>
      <c r="U35">
        <v>2.7100659833378001E-2</v>
      </c>
      <c r="V35">
        <v>2.69809798557826E-2</v>
      </c>
    </row>
    <row r="36" spans="1:27" x14ac:dyDescent="0.25">
      <c r="A36" s="5" t="str">
        <f t="shared" si="0"/>
        <v>median_amp</v>
      </c>
      <c r="B36" s="9">
        <f t="shared" si="1"/>
        <v>2.27534202919115E-3</v>
      </c>
      <c r="C36" s="6">
        <f t="shared" si="2"/>
        <v>44776.636111111111</v>
      </c>
      <c r="E36" s="1">
        <v>44776.021527777775</v>
      </c>
      <c r="F36" s="2">
        <v>1.13718472474984E-9</v>
      </c>
      <c r="G36" s="2">
        <v>8.0473361940703399E-10</v>
      </c>
      <c r="H36" s="2">
        <v>7.8143387235638396E-10</v>
      </c>
      <c r="T36" t="s">
        <v>1</v>
      </c>
      <c r="U36">
        <v>1.73415591077304E-2</v>
      </c>
      <c r="V36">
        <v>1.7871787179046798E-2</v>
      </c>
    </row>
    <row r="37" spans="1:27" x14ac:dyDescent="0.25">
      <c r="A37" t="str">
        <f t="shared" si="0"/>
        <v>impulses_ch6</v>
      </c>
      <c r="B37">
        <f t="shared" si="1"/>
        <v>0</v>
      </c>
      <c r="C37" s="3">
        <f>_xlfn.XLOOKUP(MAX(B5:CS5), B5:CS5, $B$1:$CS$1)</f>
        <v>44776.000694444447</v>
      </c>
      <c r="E37" s="1">
        <v>44776.031944444447</v>
      </c>
      <c r="F37" s="2">
        <v>1.0151142238303101E-9</v>
      </c>
      <c r="G37" s="2">
        <v>7.2252814219493303E-10</v>
      </c>
      <c r="H37" s="2">
        <v>7.0875576954331898E-10</v>
      </c>
      <c r="T37" t="s">
        <v>2</v>
      </c>
      <c r="U37">
        <v>1.75334302078048E-2</v>
      </c>
      <c r="V37">
        <v>1.82855690728208E-2</v>
      </c>
    </row>
    <row r="38" spans="1:27" x14ac:dyDescent="0.25">
      <c r="A38" t="str">
        <f t="shared" si="0"/>
        <v>impulses_ch5</v>
      </c>
      <c r="B38">
        <f t="shared" si="1"/>
        <v>0</v>
      </c>
      <c r="C38" s="3">
        <f t="shared" si="2"/>
        <v>44776.000694444447</v>
      </c>
      <c r="E38" s="1">
        <v>44776.042361111111</v>
      </c>
      <c r="F38" s="2">
        <v>6.4398678510234201E-10</v>
      </c>
      <c r="G38" s="2">
        <v>4.4567946577085499E-10</v>
      </c>
      <c r="H38" s="2">
        <v>4.2747369092617503E-10</v>
      </c>
      <c r="T38" t="s">
        <v>3</v>
      </c>
      <c r="U38">
        <v>0</v>
      </c>
      <c r="V38">
        <v>1</v>
      </c>
    </row>
    <row r="39" spans="1:27" x14ac:dyDescent="0.25">
      <c r="A39" t="str">
        <f t="shared" si="0"/>
        <v>impulses_ch4</v>
      </c>
      <c r="B39">
        <f t="shared" si="1"/>
        <v>0</v>
      </c>
      <c r="C39" s="3">
        <f t="shared" si="2"/>
        <v>44776.000694444447</v>
      </c>
      <c r="E39" s="1">
        <v>44776.052777777775</v>
      </c>
      <c r="F39" s="2">
        <v>6.2715093817983104E-10</v>
      </c>
      <c r="G39" s="2">
        <v>4.6111146412390699E-10</v>
      </c>
      <c r="H39" s="2">
        <v>4.45093909203132E-10</v>
      </c>
      <c r="T39" t="s">
        <v>4</v>
      </c>
      <c r="U39">
        <v>11</v>
      </c>
      <c r="V39">
        <v>42</v>
      </c>
    </row>
    <row r="40" spans="1:27" x14ac:dyDescent="0.25">
      <c r="A40" s="5" t="str">
        <f t="shared" si="0"/>
        <v>impulses_ch3</v>
      </c>
      <c r="B40" s="5">
        <f>MAX(B8:CO8)</f>
        <v>26</v>
      </c>
      <c r="C40" s="6">
        <f t="shared" si="2"/>
        <v>44776.636111111111</v>
      </c>
      <c r="E40" s="1">
        <v>44776.063194444447</v>
      </c>
      <c r="F40" s="2">
        <v>9.9990196305767197E-10</v>
      </c>
      <c r="G40" s="2">
        <v>6.9556006144983501E-10</v>
      </c>
      <c r="H40" s="2">
        <v>6.6392990013645499E-10</v>
      </c>
      <c r="T40" t="s">
        <v>5</v>
      </c>
      <c r="U40">
        <v>199</v>
      </c>
      <c r="V40">
        <v>644</v>
      </c>
    </row>
    <row r="41" spans="1:27" x14ac:dyDescent="0.25">
      <c r="A41" s="5" t="str">
        <f t="shared" si="0"/>
        <v>impulses_ch2</v>
      </c>
      <c r="B41" s="5">
        <f t="shared" ref="B41:B42" si="3">MAX(B9:CO9)</f>
        <v>1832</v>
      </c>
      <c r="C41" s="6">
        <f t="shared" si="2"/>
        <v>44776.636111111111</v>
      </c>
      <c r="E41" s="1">
        <v>44776.073611111111</v>
      </c>
      <c r="F41" s="2">
        <v>1.02326911631512E-9</v>
      </c>
      <c r="G41" s="2">
        <v>6.7940669377925398E-10</v>
      </c>
      <c r="H41" s="2">
        <v>6.5978128215744202E-10</v>
      </c>
      <c r="T41" t="s">
        <v>6</v>
      </c>
      <c r="U41">
        <v>2627</v>
      </c>
      <c r="V41">
        <v>7815</v>
      </c>
    </row>
    <row r="42" spans="1:27" x14ac:dyDescent="0.25">
      <c r="A42" s="5" t="str">
        <f t="shared" si="0"/>
        <v>impulses_ch1</v>
      </c>
      <c r="B42" s="5">
        <f t="shared" si="3"/>
        <v>30296</v>
      </c>
      <c r="C42" s="6">
        <f t="shared" si="2"/>
        <v>44776.636111111111</v>
      </c>
      <c r="E42" s="1">
        <v>44776.084027777775</v>
      </c>
      <c r="F42" s="2">
        <v>9.5971722737034707E-10</v>
      </c>
      <c r="G42" s="2">
        <v>6.4767005517130501E-10</v>
      </c>
      <c r="H42" s="2">
        <v>6.2250654971797597E-10</v>
      </c>
      <c r="T42" t="s">
        <v>7</v>
      </c>
      <c r="U42">
        <v>11852</v>
      </c>
      <c r="V42">
        <v>28605</v>
      </c>
    </row>
    <row r="43" spans="1:27" x14ac:dyDescent="0.25">
      <c r="A43" t="str">
        <f t="shared" si="0"/>
        <v>max_env_ch6</v>
      </c>
      <c r="B43">
        <f t="shared" si="1"/>
        <v>0</v>
      </c>
      <c r="C43" s="3">
        <f t="shared" si="2"/>
        <v>44776.000694444447</v>
      </c>
      <c r="E43" s="1">
        <v>44776.094444444447</v>
      </c>
      <c r="F43" s="2">
        <v>7.9877157460493596E-10</v>
      </c>
      <c r="G43" s="2">
        <v>5.4184663617276897E-10</v>
      </c>
      <c r="H43" s="2">
        <v>5.3286742621083799E-10</v>
      </c>
      <c r="T43" t="s">
        <v>8</v>
      </c>
      <c r="U43">
        <v>15119</v>
      </c>
      <c r="V43">
        <v>45929</v>
      </c>
    </row>
    <row r="44" spans="1:27" x14ac:dyDescent="0.25">
      <c r="A44" t="str">
        <f t="shared" si="0"/>
        <v>mean_env_ch6</v>
      </c>
      <c r="B44">
        <f t="shared" si="1"/>
        <v>0</v>
      </c>
      <c r="C44" s="3">
        <f t="shared" si="2"/>
        <v>44776.000694444447</v>
      </c>
      <c r="E44" s="1">
        <v>44776.104861111111</v>
      </c>
      <c r="F44" s="2">
        <v>9.7700202241142105E-10</v>
      </c>
      <c r="G44" s="2">
        <v>6.2835086765185102E-10</v>
      </c>
      <c r="H44" s="2">
        <v>6.0535869958787201E-10</v>
      </c>
    </row>
    <row r="45" spans="1:27" x14ac:dyDescent="0.25">
      <c r="A45" t="str">
        <f t="shared" si="0"/>
        <v>median_env_ch6</v>
      </c>
      <c r="B45">
        <f t="shared" si="1"/>
        <v>0</v>
      </c>
      <c r="C45" s="3">
        <f t="shared" si="2"/>
        <v>44776.000694444447</v>
      </c>
      <c r="E45" s="1">
        <v>44776.115277777775</v>
      </c>
      <c r="F45" s="2">
        <v>9.4746727011196394E-10</v>
      </c>
      <c r="G45" s="2">
        <v>7.4436162291078E-10</v>
      </c>
      <c r="H45" s="2">
        <v>7.3707415853799905E-10</v>
      </c>
      <c r="U45" t="s">
        <v>37</v>
      </c>
    </row>
    <row r="46" spans="1:27" x14ac:dyDescent="0.25">
      <c r="A46" t="str">
        <f t="shared" si="0"/>
        <v>max_env_ch5</v>
      </c>
      <c r="B46">
        <f t="shared" si="1"/>
        <v>0</v>
      </c>
      <c r="C46" s="3">
        <f t="shared" si="2"/>
        <v>44776.000694444447</v>
      </c>
      <c r="E46" s="1">
        <v>44776.125694444447</v>
      </c>
      <c r="F46" s="2">
        <v>9.9179274251827295E-10</v>
      </c>
      <c r="G46" s="2">
        <v>6.45184550477534E-10</v>
      </c>
      <c r="H46" s="2">
        <v>6.3212548690507896E-10</v>
      </c>
      <c r="U46" t="s">
        <v>35</v>
      </c>
      <c r="V46" t="s">
        <v>36</v>
      </c>
      <c r="W46" t="s">
        <v>38</v>
      </c>
      <c r="Y46" t="s">
        <v>35</v>
      </c>
      <c r="Z46" t="s">
        <v>36</v>
      </c>
      <c r="AA46" t="s">
        <v>38</v>
      </c>
    </row>
    <row r="47" spans="1:27" x14ac:dyDescent="0.25">
      <c r="A47" t="str">
        <f t="shared" si="0"/>
        <v>mean_env_ch5</v>
      </c>
      <c r="B47">
        <f t="shared" si="1"/>
        <v>0</v>
      </c>
      <c r="C47" s="3">
        <f t="shared" si="2"/>
        <v>44776.000694444447</v>
      </c>
      <c r="E47" s="1">
        <v>44776.136111111111</v>
      </c>
      <c r="F47" s="2">
        <v>9.0412029372403197E-10</v>
      </c>
      <c r="G47" s="2">
        <v>6.5859411579469405E-10</v>
      </c>
      <c r="H47" s="2">
        <v>6.3424407303283705E-10</v>
      </c>
      <c r="T47" t="s">
        <v>39</v>
      </c>
      <c r="U47" s="2">
        <f>B43</f>
        <v>0</v>
      </c>
      <c r="V47" s="2">
        <f>B44</f>
        <v>0</v>
      </c>
      <c r="W47" s="2">
        <f>B45</f>
        <v>0</v>
      </c>
      <c r="Y47">
        <v>0</v>
      </c>
      <c r="Z47">
        <v>0</v>
      </c>
      <c r="AA47">
        <v>0</v>
      </c>
    </row>
    <row r="48" spans="1:27" x14ac:dyDescent="0.25">
      <c r="A48" t="str">
        <f t="shared" si="0"/>
        <v>median_env_ch5</v>
      </c>
      <c r="B48">
        <f t="shared" si="1"/>
        <v>0</v>
      </c>
      <c r="C48" s="3">
        <f t="shared" si="2"/>
        <v>44776.000694444447</v>
      </c>
      <c r="E48" s="1">
        <v>44776.146527777775</v>
      </c>
      <c r="F48" s="2">
        <v>6.1770763270172503E-10</v>
      </c>
      <c r="G48" s="2">
        <v>4.0783672234896999E-10</v>
      </c>
      <c r="H48" s="2">
        <v>4.0384717270957802E-10</v>
      </c>
      <c r="T48" t="s">
        <v>40</v>
      </c>
      <c r="U48" s="2">
        <f>B46</f>
        <v>0</v>
      </c>
      <c r="V48" s="2">
        <f>B47</f>
        <v>0</v>
      </c>
      <c r="W48" s="2">
        <f>B48</f>
        <v>0</v>
      </c>
      <c r="Y48">
        <v>0.108402639333512</v>
      </c>
      <c r="Z48">
        <v>8.5195492688122099E-2</v>
      </c>
      <c r="AA48">
        <v>8.1549751061042799E-2</v>
      </c>
    </row>
    <row r="49" spans="1:27" x14ac:dyDescent="0.25">
      <c r="A49" t="str">
        <f t="shared" si="0"/>
        <v>max_env_ch4</v>
      </c>
      <c r="B49">
        <f t="shared" si="1"/>
        <v>0</v>
      </c>
      <c r="C49" s="3">
        <f t="shared" si="2"/>
        <v>44776.000694444447</v>
      </c>
      <c r="E49" s="1">
        <v>44776.156944444447</v>
      </c>
      <c r="F49" s="2">
        <v>6.6201536184373002E-10</v>
      </c>
      <c r="G49" s="2">
        <v>4.66962373632692E-10</v>
      </c>
      <c r="H49" s="2">
        <v>4.5209966933268698E-10</v>
      </c>
      <c r="T49" t="s">
        <v>41</v>
      </c>
      <c r="U49" s="2">
        <f>B49</f>
        <v>0</v>
      </c>
      <c r="V49" s="2">
        <f>B50</f>
        <v>0</v>
      </c>
      <c r="W49" s="2">
        <f>B51</f>
        <v>0</v>
      </c>
      <c r="Y49">
        <v>0.43361055733404802</v>
      </c>
      <c r="Z49">
        <v>0.283546008743847</v>
      </c>
      <c r="AA49">
        <v>0.28905210154241401</v>
      </c>
    </row>
    <row r="50" spans="1:27" x14ac:dyDescent="0.25">
      <c r="A50" t="str">
        <f t="shared" si="0"/>
        <v>mean_env_ch4</v>
      </c>
      <c r="B50">
        <f t="shared" si="1"/>
        <v>0</v>
      </c>
      <c r="C50" s="3">
        <f t="shared" si="2"/>
        <v>44776.000694444447</v>
      </c>
      <c r="E50" s="1">
        <v>44776.167361111111</v>
      </c>
      <c r="F50" s="2">
        <v>8.0323787221929904E-10</v>
      </c>
      <c r="G50" s="2">
        <v>5.92647323868018E-10</v>
      </c>
      <c r="H50" s="2">
        <v>5.8212743970692898E-10</v>
      </c>
      <c r="T50" t="s">
        <v>42</v>
      </c>
      <c r="U50" s="2">
        <f>B52</f>
        <v>0.169640190738721</v>
      </c>
      <c r="V50" s="2">
        <f>B53</f>
        <v>0.15434875599756201</v>
      </c>
      <c r="W50" s="2">
        <f>B54</f>
        <v>0.15477545698098</v>
      </c>
      <c r="Y50">
        <v>2.3259290609915499</v>
      </c>
      <c r="Z50">
        <v>2.2279108515780699</v>
      </c>
      <c r="AA50">
        <v>2.22823696464304</v>
      </c>
    </row>
    <row r="51" spans="1:27" x14ac:dyDescent="0.25">
      <c r="A51" t="str">
        <f t="shared" si="0"/>
        <v>median_env_ch4</v>
      </c>
      <c r="B51">
        <f t="shared" si="1"/>
        <v>0</v>
      </c>
      <c r="C51" s="3">
        <f t="shared" si="2"/>
        <v>44776.000694444447</v>
      </c>
      <c r="E51" s="1">
        <v>44776.177777777775</v>
      </c>
      <c r="F51" s="2">
        <v>8.9163950421949099E-10</v>
      </c>
      <c r="G51" s="2">
        <v>5.8876469747462296E-10</v>
      </c>
      <c r="H51" s="2">
        <v>5.7397606382619397E-10</v>
      </c>
      <c r="T51" t="s">
        <v>43</v>
      </c>
      <c r="U51" s="2">
        <f>B55</f>
        <v>0.77298920549835903</v>
      </c>
      <c r="V51" s="2">
        <f>B56</f>
        <v>0.59065830904028005</v>
      </c>
      <c r="W51" s="2">
        <f>B57</f>
        <v>0.58248755947293596</v>
      </c>
      <c r="Y51">
        <v>9.3037162439662104</v>
      </c>
      <c r="Z51">
        <v>8.9116434063122991</v>
      </c>
      <c r="AA51">
        <v>8.9129478585721706</v>
      </c>
    </row>
    <row r="52" spans="1:27" x14ac:dyDescent="0.25">
      <c r="A52" s="5" t="str">
        <f t="shared" si="0"/>
        <v>max_env_ch3</v>
      </c>
      <c r="B52" s="5">
        <f t="shared" si="1"/>
        <v>0.169640190738721</v>
      </c>
      <c r="C52" s="6">
        <f t="shared" si="2"/>
        <v>44776.636111111111</v>
      </c>
      <c r="E52" s="1">
        <v>44776.188194444447</v>
      </c>
      <c r="F52" s="2">
        <v>7.8059713555551002E-10</v>
      </c>
      <c r="G52" s="2">
        <v>5.88856603044077E-10</v>
      </c>
      <c r="H52" s="2">
        <v>5.8515172826811804E-10</v>
      </c>
      <c r="T52" t="s">
        <v>44</v>
      </c>
      <c r="U52" s="2">
        <f>B58</f>
        <v>3.0919568219934299</v>
      </c>
      <c r="V52" s="2">
        <f>B59</f>
        <v>2.3626332361611202</v>
      </c>
      <c r="W52" s="2">
        <f>B60</f>
        <v>2.3299502378917398</v>
      </c>
      <c r="Y52">
        <v>37.214864975864799</v>
      </c>
      <c r="Z52">
        <v>35.646573625249196</v>
      </c>
      <c r="AA52">
        <v>35.651791434288697</v>
      </c>
    </row>
    <row r="53" spans="1:27" x14ac:dyDescent="0.25">
      <c r="A53" s="5" t="str">
        <f t="shared" si="0"/>
        <v>mean_env_ch3</v>
      </c>
      <c r="B53" s="5">
        <f t="shared" si="1"/>
        <v>0.15434875599756201</v>
      </c>
      <c r="C53" s="6">
        <f t="shared" si="2"/>
        <v>44776.636111111111</v>
      </c>
      <c r="E53" s="1">
        <v>44776.198611111111</v>
      </c>
      <c r="F53" s="2">
        <v>8.1405890757249299E-10</v>
      </c>
      <c r="G53" s="2">
        <v>5.1738292916028E-10</v>
      </c>
      <c r="H53" s="2">
        <v>5.11387904601465E-10</v>
      </c>
    </row>
    <row r="54" spans="1:27" x14ac:dyDescent="0.25">
      <c r="A54" s="5" t="str">
        <f t="shared" si="0"/>
        <v>median_env_ch3</v>
      </c>
      <c r="B54" s="5">
        <f t="shared" si="1"/>
        <v>0.15477545698098</v>
      </c>
      <c r="C54" s="6">
        <f t="shared" si="2"/>
        <v>44776.636111111111</v>
      </c>
      <c r="E54" s="1">
        <v>44776.209027777775</v>
      </c>
      <c r="F54" s="2">
        <v>7.7083428546008703E-10</v>
      </c>
      <c r="G54" s="2">
        <v>5.1529120463564605E-10</v>
      </c>
      <c r="H54" s="2">
        <v>4.9604013721892498E-10</v>
      </c>
    </row>
    <row r="55" spans="1:27" x14ac:dyDescent="0.25">
      <c r="A55" s="5" t="str">
        <f t="shared" si="0"/>
        <v>max_env_ch2</v>
      </c>
      <c r="B55" s="5">
        <f t="shared" si="1"/>
        <v>0.77298920549835903</v>
      </c>
      <c r="C55" s="6">
        <f t="shared" si="2"/>
        <v>44776.636111111111</v>
      </c>
      <c r="E55" s="1">
        <v>44776.219444444447</v>
      </c>
      <c r="F55" s="2">
        <v>9.9394579461837903E-10</v>
      </c>
      <c r="G55" s="2">
        <v>6.6814915093842095E-10</v>
      </c>
      <c r="H55" s="2">
        <v>6.6922468618957803E-10</v>
      </c>
    </row>
    <row r="56" spans="1:27" x14ac:dyDescent="0.25">
      <c r="A56" s="5" t="str">
        <f t="shared" si="0"/>
        <v>mean_env_ch2</v>
      </c>
      <c r="B56" s="5">
        <f t="shared" si="1"/>
        <v>0.59065830904028005</v>
      </c>
      <c r="C56" s="6">
        <f t="shared" si="2"/>
        <v>44776.636111111111</v>
      </c>
      <c r="E56" s="1">
        <v>44776.229861111111</v>
      </c>
      <c r="F56" s="2">
        <v>1.2167593713498799E-9</v>
      </c>
      <c r="G56" s="2">
        <v>8.8406100913321904E-10</v>
      </c>
      <c r="H56" s="2">
        <v>8.5683742196982795E-10</v>
      </c>
    </row>
    <row r="57" spans="1:27" x14ac:dyDescent="0.25">
      <c r="A57" s="5" t="str">
        <f t="shared" si="0"/>
        <v>median_env_ch2</v>
      </c>
      <c r="B57" s="5">
        <f t="shared" si="1"/>
        <v>0.58248755947293596</v>
      </c>
      <c r="C57" s="6">
        <f t="shared" si="2"/>
        <v>44776.636111111111</v>
      </c>
      <c r="E57" s="1">
        <v>44776.240277777775</v>
      </c>
      <c r="F57" s="2">
        <v>9.9761659609293507E-10</v>
      </c>
      <c r="G57" s="2">
        <v>6.6604720288510995E-10</v>
      </c>
      <c r="H57" s="2">
        <v>6.48865689616417E-10</v>
      </c>
    </row>
    <row r="58" spans="1:27" x14ac:dyDescent="0.25">
      <c r="A58" s="5" t="str">
        <f t="shared" si="0"/>
        <v>max_env_ch1</v>
      </c>
      <c r="B58" s="5">
        <f t="shared" si="1"/>
        <v>3.0919568219934299</v>
      </c>
      <c r="C58" s="6">
        <f t="shared" si="2"/>
        <v>44776.636111111111</v>
      </c>
      <c r="E58" s="1">
        <v>44776.250694444447</v>
      </c>
      <c r="F58" s="2">
        <v>8.6240978978739599E-10</v>
      </c>
      <c r="G58" s="2">
        <v>5.8611970716859301E-10</v>
      </c>
      <c r="H58" s="2">
        <v>5.8022196753551605E-10</v>
      </c>
    </row>
    <row r="59" spans="1:27" x14ac:dyDescent="0.25">
      <c r="A59" s="5" t="str">
        <f t="shared" si="0"/>
        <v>mean_env_ch1</v>
      </c>
      <c r="B59" s="5">
        <f t="shared" si="1"/>
        <v>2.3626332361611202</v>
      </c>
      <c r="C59" s="6">
        <f t="shared" si="2"/>
        <v>44776.636111111111</v>
      </c>
      <c r="E59" s="1">
        <v>44776.261111111111</v>
      </c>
      <c r="F59" s="2">
        <v>6.2067528552950298E-10</v>
      </c>
      <c r="G59" s="2">
        <v>4.3424020476832302E-10</v>
      </c>
      <c r="H59" s="2">
        <v>4.2592079278639002E-10</v>
      </c>
    </row>
    <row r="60" spans="1:27" x14ac:dyDescent="0.25">
      <c r="A60" s="5" t="str">
        <f t="shared" si="0"/>
        <v>median_env_ch1</v>
      </c>
      <c r="B60" s="5">
        <f t="shared" si="1"/>
        <v>2.3299502378917398</v>
      </c>
      <c r="C60" s="6">
        <f>_xlfn.XLOOKUP(MAX(B28:CS28), B28:CS28, $B$1:$CS$1)</f>
        <v>44776.636111111111</v>
      </c>
      <c r="E60" s="1">
        <v>44776.271527777775</v>
      </c>
      <c r="F60" s="2">
        <v>5.4594806038022402E-10</v>
      </c>
      <c r="G60" s="2">
        <v>3.8182657244080302E-10</v>
      </c>
      <c r="H60" s="2">
        <v>3.7585111632660001E-10</v>
      </c>
    </row>
    <row r="61" spans="1:27" x14ac:dyDescent="0.25">
      <c r="A61" t="s">
        <v>32</v>
      </c>
      <c r="B61" s="7">
        <f>MAX(B29:CS29)</f>
        <v>22.620213794999898</v>
      </c>
      <c r="C61" s="6">
        <f t="shared" ref="C61:C62" si="4">_xlfn.XLOOKUP(MAX(B29:CS29), B29:CS29, $B$1:$CS$1)</f>
        <v>44776.636111111111</v>
      </c>
      <c r="E61" s="1">
        <v>44776.281944444447</v>
      </c>
      <c r="F61" s="2">
        <v>5.2090447587157199E-10</v>
      </c>
      <c r="G61" s="2">
        <v>3.7292213053298599E-10</v>
      </c>
      <c r="H61" s="2">
        <v>3.6676338273875602E-10</v>
      </c>
    </row>
    <row r="62" spans="1:27" x14ac:dyDescent="0.25">
      <c r="A62" t="s">
        <v>33</v>
      </c>
      <c r="B62" s="7">
        <f>MAX(B30:CS30)</f>
        <v>4.2447373637128996</v>
      </c>
      <c r="C62" s="6">
        <f t="shared" si="4"/>
        <v>44776.636111111111</v>
      </c>
      <c r="E62" s="1">
        <v>44776.292361111111</v>
      </c>
      <c r="F62" s="2">
        <v>5.8306301614118296E-10</v>
      </c>
      <c r="G62" s="2">
        <v>4.0947433337382098E-10</v>
      </c>
      <c r="H62" s="2">
        <v>3.9646036096304999E-10</v>
      </c>
    </row>
    <row r="63" spans="1:27" x14ac:dyDescent="0.25">
      <c r="B63" s="8"/>
      <c r="C63" s="3"/>
      <c r="E63" s="1">
        <v>44776.302777777775</v>
      </c>
      <c r="F63" s="2">
        <v>6.8948522561471099E-10</v>
      </c>
      <c r="G63" s="2">
        <v>4.2537444364903198E-10</v>
      </c>
      <c r="H63" s="2">
        <v>4.1509363568013599E-10</v>
      </c>
    </row>
    <row r="64" spans="1:27" x14ac:dyDescent="0.25">
      <c r="E64" s="1">
        <v>44776.313194444447</v>
      </c>
      <c r="F64" s="2">
        <v>4.5233308144590302E-10</v>
      </c>
      <c r="G64" s="2">
        <v>3.3617646604093302E-10</v>
      </c>
      <c r="H64" s="2">
        <v>3.32905053105935E-10</v>
      </c>
    </row>
    <row r="65" spans="5:8" x14ac:dyDescent="0.25">
      <c r="E65" s="1">
        <v>44776.323611111111</v>
      </c>
      <c r="F65" s="2">
        <v>5.1388836432907001E-10</v>
      </c>
      <c r="G65" s="2">
        <v>3.6202863176049598E-10</v>
      </c>
      <c r="H65" s="2">
        <v>3.5559226663422601E-10</v>
      </c>
    </row>
    <row r="66" spans="5:8" x14ac:dyDescent="0.25">
      <c r="E66" s="1">
        <v>44776.334027777775</v>
      </c>
      <c r="F66" s="2">
        <v>8.7150875242922001E-10</v>
      </c>
      <c r="G66" s="2">
        <v>5.5160123399840004E-10</v>
      </c>
      <c r="H66" s="2">
        <v>5.4487477046016601E-10</v>
      </c>
    </row>
    <row r="67" spans="5:8" x14ac:dyDescent="0.25">
      <c r="E67" s="1">
        <v>44776.344444444447</v>
      </c>
      <c r="F67" s="2">
        <v>8.5961704616773898E-10</v>
      </c>
      <c r="G67" s="2">
        <v>6.0404134311816401E-10</v>
      </c>
      <c r="H67" s="2">
        <v>5.8966330620128902E-10</v>
      </c>
    </row>
    <row r="68" spans="5:8" x14ac:dyDescent="0.25">
      <c r="E68" s="1">
        <v>44776.354861111111</v>
      </c>
      <c r="F68" s="2">
        <v>6.8942732597906497E-10</v>
      </c>
      <c r="G68" s="2">
        <v>4.5900594760520299E-10</v>
      </c>
      <c r="H68" s="2">
        <v>4.40987573149627E-10</v>
      </c>
    </row>
    <row r="69" spans="5:8" x14ac:dyDescent="0.25">
      <c r="E69" s="1">
        <v>44776.365277777775</v>
      </c>
      <c r="F69" s="2">
        <v>6.2702083736231303E-10</v>
      </c>
      <c r="G69" s="2">
        <v>4.6460794079042198E-10</v>
      </c>
      <c r="H69" s="2">
        <v>4.5915625771288198E-10</v>
      </c>
    </row>
    <row r="70" spans="5:8" x14ac:dyDescent="0.25">
      <c r="E70" s="1">
        <v>44776.375694444447</v>
      </c>
      <c r="F70" s="2">
        <v>8.5293857979288797E-10</v>
      </c>
      <c r="G70" s="2">
        <v>6.6496900461993103E-10</v>
      </c>
      <c r="H70" s="2">
        <v>6.3493447019437199E-10</v>
      </c>
    </row>
    <row r="71" spans="5:8" x14ac:dyDescent="0.25">
      <c r="E71" s="1">
        <v>44776.386111111111</v>
      </c>
      <c r="F71" s="2">
        <v>8.1528735054230495E-10</v>
      </c>
      <c r="G71" s="2">
        <v>5.6304335255230795E-10</v>
      </c>
      <c r="H71" s="2">
        <v>5.5045012158756103E-10</v>
      </c>
    </row>
    <row r="72" spans="5:8" x14ac:dyDescent="0.25">
      <c r="E72" s="1">
        <v>44776.396527777775</v>
      </c>
      <c r="F72" s="2">
        <v>5.0022108606043999E-10</v>
      </c>
      <c r="G72" s="2">
        <v>3.3192733722912098E-10</v>
      </c>
      <c r="H72" s="2">
        <v>3.1403445702283099E-10</v>
      </c>
    </row>
    <row r="73" spans="5:8" x14ac:dyDescent="0.25">
      <c r="E73" s="1">
        <v>44776.406944444447</v>
      </c>
      <c r="F73" s="2">
        <v>4.6844564912095302E-10</v>
      </c>
      <c r="G73" s="2">
        <v>3.3981300122528198E-10</v>
      </c>
      <c r="H73" s="2">
        <v>3.3049676507131203E-10</v>
      </c>
    </row>
    <row r="74" spans="5:8" x14ac:dyDescent="0.25">
      <c r="E74" s="1">
        <v>44776.417361111111</v>
      </c>
      <c r="F74" s="2">
        <v>9.4067720518393391E-10</v>
      </c>
      <c r="G74" s="2">
        <v>5.9749891916897197E-10</v>
      </c>
      <c r="H74" s="2">
        <v>5.7387604940369601E-10</v>
      </c>
    </row>
    <row r="75" spans="5:8" x14ac:dyDescent="0.25">
      <c r="E75" s="1">
        <v>44776.427777777775</v>
      </c>
      <c r="F75" s="2">
        <v>6.5682430527547602E-10</v>
      </c>
      <c r="G75" s="2">
        <v>4.9117454685511605E-10</v>
      </c>
      <c r="H75" s="2">
        <v>4.8591189854669703E-10</v>
      </c>
    </row>
    <row r="76" spans="5:8" x14ac:dyDescent="0.25">
      <c r="E76" s="1">
        <v>44776.438194444447</v>
      </c>
      <c r="F76" s="2">
        <v>6.3892786223280001E-10</v>
      </c>
      <c r="G76" s="2">
        <v>4.3201938664700999E-10</v>
      </c>
      <c r="H76" s="2">
        <v>4.2364331779199299E-10</v>
      </c>
    </row>
    <row r="77" spans="5:8" x14ac:dyDescent="0.25">
      <c r="E77" s="1">
        <v>44776.448611111111</v>
      </c>
      <c r="F77" s="2">
        <v>7.1708642457303E-10</v>
      </c>
      <c r="G77" s="2">
        <v>4.9142552613458E-10</v>
      </c>
      <c r="H77" s="2">
        <v>4.7921129578899002E-10</v>
      </c>
    </row>
    <row r="78" spans="5:8" x14ac:dyDescent="0.25">
      <c r="E78" s="1">
        <v>44776.459027777775</v>
      </c>
      <c r="F78" s="2">
        <v>4.5867702983181802E-10</v>
      </c>
      <c r="G78" s="2">
        <v>3.36586100920068E-10</v>
      </c>
      <c r="H78" s="2">
        <v>3.2110161961366301E-10</v>
      </c>
    </row>
    <row r="79" spans="5:8" x14ac:dyDescent="0.25">
      <c r="E79" s="1">
        <v>44776.469444444447</v>
      </c>
      <c r="F79" s="2">
        <v>5.3868177925949697E-10</v>
      </c>
      <c r="G79" s="2">
        <v>3.2487796769969299E-10</v>
      </c>
      <c r="H79" s="2">
        <v>3.1234882234302598E-10</v>
      </c>
    </row>
    <row r="80" spans="5:8" x14ac:dyDescent="0.25">
      <c r="E80" s="1">
        <v>44776.479861111111</v>
      </c>
      <c r="F80" s="2">
        <v>6.1779634236488301E-10</v>
      </c>
      <c r="G80" s="2">
        <v>4.3302363931941802E-10</v>
      </c>
      <c r="H80" s="2">
        <v>4.2005611076522498E-10</v>
      </c>
    </row>
    <row r="81" spans="5:8" x14ac:dyDescent="0.25">
      <c r="E81" s="1">
        <v>44776.490277777775</v>
      </c>
      <c r="F81" s="2">
        <v>7.3499520574830097E-10</v>
      </c>
      <c r="G81" s="2">
        <v>4.9935639501594296E-10</v>
      </c>
      <c r="H81" s="2">
        <v>4.8157476699739597E-10</v>
      </c>
    </row>
    <row r="82" spans="5:8" x14ac:dyDescent="0.25">
      <c r="E82" s="1">
        <v>44776.500694444447</v>
      </c>
      <c r="F82" s="2">
        <v>9.4909688375402305E-10</v>
      </c>
      <c r="G82" s="2">
        <v>5.4693488119704999E-10</v>
      </c>
      <c r="H82" s="2">
        <v>5.4129356190608701E-10</v>
      </c>
    </row>
    <row r="83" spans="5:8" x14ac:dyDescent="0.25">
      <c r="E83" s="1">
        <v>44776.511111111111</v>
      </c>
      <c r="F83" s="2">
        <v>8.8232007600894004E-10</v>
      </c>
      <c r="G83" s="2">
        <v>6.2229837965693897E-10</v>
      </c>
      <c r="H83" s="2">
        <v>6.0296341797469096E-10</v>
      </c>
    </row>
    <row r="84" spans="5:8" x14ac:dyDescent="0.25">
      <c r="E84" s="1">
        <v>44776.521527777775</v>
      </c>
      <c r="F84" s="2">
        <v>8.3121502177750504E-10</v>
      </c>
      <c r="G84" s="2">
        <v>5.72337455465218E-10</v>
      </c>
      <c r="H84" s="2">
        <v>5.6222679339298403E-10</v>
      </c>
    </row>
    <row r="85" spans="5:8" x14ac:dyDescent="0.25">
      <c r="E85" s="1">
        <v>44776.531944444447</v>
      </c>
      <c r="F85" s="2">
        <v>7.5270898989416299E-10</v>
      </c>
      <c r="G85" s="2">
        <v>4.6951422905553096E-10</v>
      </c>
      <c r="H85" s="2">
        <v>4.5207957754548799E-10</v>
      </c>
    </row>
    <row r="86" spans="5:8" x14ac:dyDescent="0.25">
      <c r="E86" s="1">
        <v>44776.542361111111</v>
      </c>
      <c r="F86" s="2">
        <v>8.2191583823346199E-10</v>
      </c>
      <c r="G86" s="2">
        <v>4.7835593819346598E-10</v>
      </c>
      <c r="H86" s="2">
        <v>4.5925559701541398E-10</v>
      </c>
    </row>
    <row r="87" spans="5:8" x14ac:dyDescent="0.25">
      <c r="E87" s="1">
        <v>44776.552777777775</v>
      </c>
      <c r="F87" s="2">
        <v>5.0678380596177797E-10</v>
      </c>
      <c r="G87" s="2">
        <v>3.7062344732674202E-10</v>
      </c>
      <c r="H87" s="2">
        <v>3.6105742678704099E-10</v>
      </c>
    </row>
    <row r="88" spans="5:8" x14ac:dyDescent="0.25">
      <c r="E88" s="1">
        <v>44776.563194444447</v>
      </c>
      <c r="F88" s="2">
        <v>3.2699546023203698E-10</v>
      </c>
      <c r="G88" s="2">
        <v>2.4640797211936901E-10</v>
      </c>
      <c r="H88" s="2">
        <v>2.4415170671318801E-10</v>
      </c>
    </row>
    <row r="89" spans="5:8" x14ac:dyDescent="0.25">
      <c r="E89" s="1">
        <v>44776.573611111111</v>
      </c>
      <c r="F89" s="2">
        <v>4.72004980013671E-10</v>
      </c>
      <c r="G89" s="2">
        <v>2.5879797023507401E-10</v>
      </c>
      <c r="H89" s="2">
        <v>2.5964474180386499E-10</v>
      </c>
    </row>
    <row r="90" spans="5:8" x14ac:dyDescent="0.25">
      <c r="E90" s="1">
        <v>44776.584027777775</v>
      </c>
      <c r="F90" s="2">
        <v>5.4989495226542702E-10</v>
      </c>
      <c r="G90" s="2">
        <v>3.2574195123283501E-10</v>
      </c>
      <c r="H90" s="2">
        <v>3.1320516852857797E-10</v>
      </c>
    </row>
    <row r="91" spans="5:8" x14ac:dyDescent="0.25">
      <c r="E91" s="1">
        <v>44776.594444444447</v>
      </c>
      <c r="F91" s="2">
        <v>6.6930170633289299E-10</v>
      </c>
      <c r="G91" s="2">
        <v>3.87628032659233E-10</v>
      </c>
      <c r="H91" s="2">
        <v>3.7411529757028501E-10</v>
      </c>
    </row>
    <row r="92" spans="5:8" x14ac:dyDescent="0.25">
      <c r="E92" s="1">
        <v>44776.604861111111</v>
      </c>
      <c r="F92" s="2">
        <v>1.0489946937872801E-9</v>
      </c>
      <c r="G92" s="2">
        <v>4.89366799657478E-10</v>
      </c>
      <c r="H92" s="2">
        <v>4.7535055831767803E-10</v>
      </c>
    </row>
    <row r="93" spans="5:8" x14ac:dyDescent="0.25">
      <c r="E93" s="1">
        <v>44776.615277777775</v>
      </c>
      <c r="F93" s="2">
        <v>2.3911052353288801E-8</v>
      </c>
      <c r="G93" s="2">
        <v>1.38580466497013E-8</v>
      </c>
      <c r="H93" s="2">
        <v>1.35726525047815E-8</v>
      </c>
    </row>
    <row r="94" spans="5:8" x14ac:dyDescent="0.25">
      <c r="E94" s="1">
        <v>44776.625694444447</v>
      </c>
      <c r="F94">
        <v>8.4256581576265999E-4</v>
      </c>
      <c r="G94">
        <v>5.5810267175125205E-4</v>
      </c>
      <c r="H94">
        <v>5.7102431065263301E-4</v>
      </c>
    </row>
    <row r="95" spans="5:8" x14ac:dyDescent="0.25">
      <c r="E95" s="1">
        <v>44776.636111111111</v>
      </c>
      <c r="F95">
        <v>3.0194890839779602E-3</v>
      </c>
      <c r="G95">
        <v>2.30725901968859E-3</v>
      </c>
      <c r="H95">
        <v>2.27534202919115E-3</v>
      </c>
    </row>
    <row r="96" spans="5:8" x14ac:dyDescent="0.25">
      <c r="E96" s="1">
        <v>44776.646527777775</v>
      </c>
      <c r="F96">
        <v>1.3419280710164001E-3</v>
      </c>
      <c r="G96">
        <v>1.00295106012561E-3</v>
      </c>
      <c r="H96">
        <v>9.900025355164409E-4</v>
      </c>
    </row>
    <row r="97" spans="5:8" x14ac:dyDescent="0.25">
      <c r="E97" s="1">
        <v>44776.656944444447</v>
      </c>
      <c r="F97">
        <v>4.3902523980032999E-4</v>
      </c>
      <c r="G97">
        <v>3.0019692886353901E-4</v>
      </c>
      <c r="H97">
        <v>2.9503740515731899E-4</v>
      </c>
    </row>
    <row r="98" spans="5:8" x14ac:dyDescent="0.25">
      <c r="E98" s="1">
        <v>44776.667361111111</v>
      </c>
      <c r="F98">
        <v>6.5939852060204699E-4</v>
      </c>
      <c r="G98">
        <v>5.1861207800330098E-4</v>
      </c>
      <c r="H98">
        <v>5.1401979061092601E-4</v>
      </c>
    </row>
    <row r="99" spans="5:8" x14ac:dyDescent="0.25">
      <c r="E99" s="1">
        <v>44776.677777777775</v>
      </c>
      <c r="F99">
        <v>1.3813185597794501E-3</v>
      </c>
      <c r="G99">
        <v>1.0531266020267699E-3</v>
      </c>
      <c r="H99">
        <v>1.0334830346720399E-3</v>
      </c>
    </row>
    <row r="100" spans="5:8" x14ac:dyDescent="0.25">
      <c r="E100" s="1">
        <v>44776.688194444447</v>
      </c>
      <c r="F100">
        <v>9.8204166941528396E-4</v>
      </c>
      <c r="G100">
        <v>7.1698376637975103E-4</v>
      </c>
      <c r="H100">
        <v>7.2361989397557304E-4</v>
      </c>
    </row>
    <row r="101" spans="5:8" x14ac:dyDescent="0.25">
      <c r="E101" s="1">
        <v>44776.698611111111</v>
      </c>
      <c r="F101">
        <v>6.8230783756815302E-4</v>
      </c>
      <c r="G101">
        <v>5.1341501153308496E-4</v>
      </c>
      <c r="H101">
        <v>5.0671515553957702E-4</v>
      </c>
    </row>
    <row r="102" spans="5:8" x14ac:dyDescent="0.25">
      <c r="E102" s="1">
        <v>44776.709027777775</v>
      </c>
      <c r="F102">
        <v>4.8825608108944398E-4</v>
      </c>
      <c r="G102">
        <v>3.6351370550483997E-4</v>
      </c>
      <c r="H102">
        <v>3.6292172178298298E-4</v>
      </c>
    </row>
    <row r="103" spans="5:8" x14ac:dyDescent="0.25">
      <c r="E103" s="1">
        <v>44776.719444444447</v>
      </c>
      <c r="F103">
        <v>4.0077653523385402E-4</v>
      </c>
      <c r="G103">
        <v>3.0147754661757399E-4</v>
      </c>
      <c r="H103">
        <v>2.98156228743596E-4</v>
      </c>
    </row>
    <row r="104" spans="5:8" x14ac:dyDescent="0.25">
      <c r="E104" s="1">
        <v>44776.729861111111</v>
      </c>
      <c r="F104">
        <v>2.8406229446980902E-4</v>
      </c>
      <c r="G104">
        <v>2.1045785151038799E-4</v>
      </c>
      <c r="H104">
        <v>2.0862225839116699E-4</v>
      </c>
    </row>
    <row r="105" spans="5:8" x14ac:dyDescent="0.25">
      <c r="E105" s="1">
        <v>44776.740277777775</v>
      </c>
      <c r="F105">
        <v>1.15579019054127E-4</v>
      </c>
      <c r="G105" s="2">
        <v>8.5382289286336493E-5</v>
      </c>
      <c r="H105" s="2">
        <v>8.5098354639134103E-5</v>
      </c>
    </row>
    <row r="106" spans="5:8" x14ac:dyDescent="0.25">
      <c r="E106" s="1">
        <v>44776.750694444447</v>
      </c>
      <c r="F106" s="2">
        <v>4.8066690553333703E-5</v>
      </c>
      <c r="G106" s="2">
        <v>3.5339869466431098E-5</v>
      </c>
      <c r="H106" s="2">
        <v>3.4809136627914099E-5</v>
      </c>
    </row>
    <row r="107" spans="5:8" x14ac:dyDescent="0.25">
      <c r="E107" s="1">
        <v>44776.761111111111</v>
      </c>
      <c r="F107" s="2">
        <v>3.9194224418457197E-5</v>
      </c>
      <c r="G107" s="2">
        <v>2.7627215109462799E-5</v>
      </c>
      <c r="H107" s="2">
        <v>2.7082074992085E-5</v>
      </c>
    </row>
    <row r="108" spans="5:8" x14ac:dyDescent="0.25">
      <c r="E108" s="1">
        <v>44776.771527777775</v>
      </c>
      <c r="F108" s="2">
        <v>2.2204912325750299E-5</v>
      </c>
      <c r="G108" s="2">
        <v>1.37545459257828E-5</v>
      </c>
      <c r="H108" s="2">
        <v>1.30656730647897E-5</v>
      </c>
    </row>
    <row r="109" spans="5:8" x14ac:dyDescent="0.25">
      <c r="E109" s="1">
        <v>44776.781944444447</v>
      </c>
      <c r="F109" s="2">
        <v>5.7209591914661297E-6</v>
      </c>
      <c r="G109" s="2">
        <v>3.9840848125274297E-6</v>
      </c>
      <c r="H109" s="2">
        <v>3.8862209671067402E-6</v>
      </c>
    </row>
    <row r="110" spans="5:8" x14ac:dyDescent="0.25">
      <c r="E110" s="1">
        <v>44776.792361111111</v>
      </c>
      <c r="F110" s="2">
        <v>4.6235635463227896E-6</v>
      </c>
      <c r="G110" s="2">
        <v>2.6842380066374601E-6</v>
      </c>
      <c r="H110" s="2">
        <v>2.6515503817109999E-6</v>
      </c>
    </row>
    <row r="111" spans="5:8" x14ac:dyDescent="0.25">
      <c r="E111" s="1">
        <v>44776.802777777775</v>
      </c>
      <c r="F111" s="2">
        <v>2.0442095213971602E-6</v>
      </c>
      <c r="G111" s="2">
        <v>1.4058412218177401E-6</v>
      </c>
      <c r="H111" s="2">
        <v>1.3810199356689E-6</v>
      </c>
    </row>
    <row r="112" spans="5:8" x14ac:dyDescent="0.25">
      <c r="E112" s="1">
        <v>44776.813194444447</v>
      </c>
      <c r="F112" s="2">
        <v>8.4608754407049798E-7</v>
      </c>
      <c r="G112" s="2">
        <v>5.6447780454141204E-7</v>
      </c>
      <c r="H112" s="2">
        <v>5.5071188114452805E-7</v>
      </c>
    </row>
    <row r="113" spans="5:8" x14ac:dyDescent="0.25">
      <c r="E113" s="1">
        <v>44776.823611111111</v>
      </c>
      <c r="F113" s="2">
        <v>7.9548858694861903E-7</v>
      </c>
      <c r="G113" s="2">
        <v>5.4522666378771696E-7</v>
      </c>
      <c r="H113" s="2">
        <v>5.2540175849865201E-7</v>
      </c>
    </row>
    <row r="114" spans="5:8" x14ac:dyDescent="0.25">
      <c r="E114" s="1">
        <v>44776.834027777775</v>
      </c>
      <c r="F114" s="2">
        <v>9.2995385842568605E-7</v>
      </c>
      <c r="G114" s="2">
        <v>6.09978026661199E-7</v>
      </c>
      <c r="H114" s="2">
        <v>6.0747217409804298E-7</v>
      </c>
    </row>
    <row r="115" spans="5:8" x14ac:dyDescent="0.25">
      <c r="E115" s="1">
        <v>44776.844444444447</v>
      </c>
      <c r="F115" s="2">
        <v>7.1353611262290904E-7</v>
      </c>
      <c r="G115" s="2">
        <v>4.60290903372103E-7</v>
      </c>
      <c r="H115" s="2">
        <v>4.4720960232561898E-7</v>
      </c>
    </row>
    <row r="116" spans="5:8" x14ac:dyDescent="0.25">
      <c r="E116" s="1">
        <v>44776.854861111111</v>
      </c>
      <c r="F116" s="2">
        <v>4.4749196250294002E-7</v>
      </c>
      <c r="G116" s="2">
        <v>3.0123017056390899E-7</v>
      </c>
      <c r="H116" s="2">
        <v>3.0172746386311302E-7</v>
      </c>
    </row>
    <row r="117" spans="5:8" x14ac:dyDescent="0.25">
      <c r="E117" s="1">
        <v>44776.865277777775</v>
      </c>
      <c r="F117" s="2">
        <v>2.97598488557786E-7</v>
      </c>
      <c r="G117" s="2">
        <v>2.3196495809394001E-7</v>
      </c>
      <c r="H117" s="2">
        <v>2.35107426414113E-7</v>
      </c>
    </row>
    <row r="118" spans="5:8" x14ac:dyDescent="0.25">
      <c r="E118" s="1">
        <v>44776.875694444447</v>
      </c>
      <c r="F118" s="2">
        <v>2.91656407736742E-7</v>
      </c>
      <c r="G118" s="2">
        <v>2.23014422514708E-7</v>
      </c>
      <c r="H118" s="2">
        <v>2.2202552892917499E-7</v>
      </c>
    </row>
    <row r="119" spans="5:8" x14ac:dyDescent="0.25">
      <c r="E119" s="1">
        <v>44776.917361111111</v>
      </c>
      <c r="F119" s="2">
        <v>2.38278498467708E-7</v>
      </c>
      <c r="G119" s="2">
        <v>1.72637766353315E-7</v>
      </c>
      <c r="H119" s="2">
        <v>1.6952885446824599E-7</v>
      </c>
    </row>
    <row r="120" spans="5:8" x14ac:dyDescent="0.25">
      <c r="E120" s="1">
        <v>44776.948611111111</v>
      </c>
      <c r="F120" s="2">
        <v>2.7142588960351998E-7</v>
      </c>
      <c r="G120" s="2">
        <v>1.9534509780769699E-7</v>
      </c>
      <c r="H120" s="2">
        <v>1.8897250739057999E-7</v>
      </c>
    </row>
    <row r="121" spans="5:8" x14ac:dyDescent="0.25">
      <c r="E121" s="1">
        <v>44776.959027777775</v>
      </c>
      <c r="F121" s="2">
        <v>2.8845317308508E-7</v>
      </c>
      <c r="G121" s="2">
        <v>2.1541480276719E-7</v>
      </c>
      <c r="H121" s="2">
        <v>2.1399739126332401E-7</v>
      </c>
    </row>
    <row r="122" spans="5:8" x14ac:dyDescent="0.25">
      <c r="E122" s="1">
        <v>44776.969444444447</v>
      </c>
      <c r="F122" s="2">
        <v>1.7803150855957199E-7</v>
      </c>
      <c r="G122" s="2">
        <v>1.33715456593602E-7</v>
      </c>
      <c r="H122" s="2">
        <v>1.3279940333071499E-7</v>
      </c>
    </row>
    <row r="123" spans="5:8" x14ac:dyDescent="0.25">
      <c r="E123" s="1">
        <v>44776.979861111111</v>
      </c>
      <c r="F123" s="2">
        <v>1.3568315097894001E-7</v>
      </c>
      <c r="G123" s="2">
        <v>1.0094948792846299E-7</v>
      </c>
      <c r="H123" s="2">
        <v>1.00292044219874E-7</v>
      </c>
    </row>
    <row r="124" spans="5:8" x14ac:dyDescent="0.25">
      <c r="E124" s="1">
        <v>44776.990277777775</v>
      </c>
      <c r="F124" s="2">
        <v>1.86896842999386E-7</v>
      </c>
      <c r="G124" s="2">
        <v>1.2465689326174701E-7</v>
      </c>
      <c r="H124" s="2">
        <v>1.2059315237547099E-7</v>
      </c>
    </row>
    <row r="125" spans="5:8" x14ac:dyDescent="0.25">
      <c r="E125" s="1">
        <v>44777.000694444447</v>
      </c>
      <c r="F125" s="2">
        <v>1.5120622219659301E-7</v>
      </c>
      <c r="G125" s="2">
        <v>1.1480211508073799E-7</v>
      </c>
      <c r="H125" s="2">
        <v>1.13534428409363E-7</v>
      </c>
    </row>
    <row r="126" spans="5:8" x14ac:dyDescent="0.25">
      <c r="E126" s="1"/>
    </row>
    <row r="127" spans="5:8" x14ac:dyDescent="0.25">
      <c r="E127" s="1"/>
    </row>
    <row r="128" spans="5:8" x14ac:dyDescent="0.25">
      <c r="E128" s="1"/>
    </row>
    <row r="129" spans="5:5" x14ac:dyDescent="0.25">
      <c r="E129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storm2_results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Hucke Nunez, Nicole (huck4481@vandals.uidaho.edu)</cp:lastModifiedBy>
  <dcterms:created xsi:type="dcterms:W3CDTF">2025-10-23T17:38:48Z</dcterms:created>
  <dcterms:modified xsi:type="dcterms:W3CDTF">2025-12-11T00:49:26Z</dcterms:modified>
</cp:coreProperties>
</file>