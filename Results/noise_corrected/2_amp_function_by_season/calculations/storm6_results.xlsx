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52C65432-1CFC-48EF-ADF4-B0A5F9E21295}" xr6:coauthVersionLast="47" xr6:coauthVersionMax="47" xr10:uidLastSave="{00000000-0000-0000-0000-000000000000}"/>
  <bookViews>
    <workbookView xWindow="-120" yWindow="-120" windowWidth="29040" windowHeight="15720" xr2:uid="{AEBCD194-AFA8-49EE-8674-E5A4097E31D1}"/>
  </bookViews>
  <sheets>
    <sheet name="storm6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C63" i="1"/>
  <c r="B62" i="1"/>
  <c r="C62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C35" i="1"/>
  <c r="A35" i="1"/>
</calcChain>
</file>

<file path=xl/sharedStrings.xml><?xml version="1.0" encoding="utf-8"?>
<sst xmlns="http://schemas.openxmlformats.org/spreadsheetml/2006/main" count="66" uniqueCount="46">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</sst>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storm6_results!$F$35:$F$131</c:f>
              <c:numCache>
                <c:formatCode>0.00E+00</c:formatCode>
                <c:ptCount val="97"/>
                <c:pt idx="0">
                  <c:v>9.7553810238347697E-6</c:v>
                </c:pt>
                <c:pt idx="1">
                  <c:v>2.4695589075050502E-5</c:v>
                </c:pt>
                <c:pt idx="2">
                  <c:v>1.4471964858986599E-5</c:v>
                </c:pt>
                <c:pt idx="3">
                  <c:v>2.4671793873086299E-5</c:v>
                </c:pt>
                <c:pt idx="4">
                  <c:v>2.0341430722728199E-5</c:v>
                </c:pt>
                <c:pt idx="5">
                  <c:v>2.28595360719212E-5</c:v>
                </c:pt>
                <c:pt idx="6">
                  <c:v>1.46631578519305E-5</c:v>
                </c:pt>
                <c:pt idx="7">
                  <c:v>1.9773813077619801E-5</c:v>
                </c:pt>
                <c:pt idx="8">
                  <c:v>2.0288002389877399E-5</c:v>
                </c:pt>
                <c:pt idx="9">
                  <c:v>1.31558770432652E-5</c:v>
                </c:pt>
                <c:pt idx="10">
                  <c:v>1.21644338808749E-5</c:v>
                </c:pt>
                <c:pt idx="11">
                  <c:v>1.43823754188934E-5</c:v>
                </c:pt>
                <c:pt idx="12">
                  <c:v>9.1598783279553193E-6</c:v>
                </c:pt>
                <c:pt idx="13">
                  <c:v>1.15015745984313E-5</c:v>
                </c:pt>
                <c:pt idx="14">
                  <c:v>1.8816589878213699E-5</c:v>
                </c:pt>
                <c:pt idx="15">
                  <c:v>1.66192506653383E-5</c:v>
                </c:pt>
                <c:pt idx="16">
                  <c:v>8.4015891124582495E-6</c:v>
                </c:pt>
                <c:pt idx="17">
                  <c:v>1.8695380559631699E-5</c:v>
                </c:pt>
                <c:pt idx="18">
                  <c:v>1.2946619042287199E-5</c:v>
                </c:pt>
                <c:pt idx="19">
                  <c:v>1.65125434031626E-5</c:v>
                </c:pt>
                <c:pt idx="20">
                  <c:v>1.4069007595954001E-5</c:v>
                </c:pt>
                <c:pt idx="21">
                  <c:v>2.3279379224370299E-5</c:v>
                </c:pt>
                <c:pt idx="22">
                  <c:v>2.4032354730021402E-5</c:v>
                </c:pt>
                <c:pt idx="23">
                  <c:v>1.7642357137767901E-5</c:v>
                </c:pt>
                <c:pt idx="24">
                  <c:v>1.3703232698260599E-5</c:v>
                </c:pt>
                <c:pt idx="25">
                  <c:v>9.0546177550336202E-6</c:v>
                </c:pt>
                <c:pt idx="26">
                  <c:v>1.7113267161572199E-5</c:v>
                </c:pt>
                <c:pt idx="27">
                  <c:v>1.5043949977078801E-5</c:v>
                </c:pt>
                <c:pt idx="28">
                  <c:v>1.2161431861909201E-5</c:v>
                </c:pt>
                <c:pt idx="29">
                  <c:v>8.9819595236041898E-6</c:v>
                </c:pt>
                <c:pt idx="30">
                  <c:v>1.64226926600943E-5</c:v>
                </c:pt>
                <c:pt idx="31">
                  <c:v>2.7469586729197902E-5</c:v>
                </c:pt>
                <c:pt idx="32">
                  <c:v>1.6198124879905699E-5</c:v>
                </c:pt>
                <c:pt idx="33">
                  <c:v>2.4246367869673201E-5</c:v>
                </c:pt>
                <c:pt idx="34">
                  <c:v>1.19986539889451E-5</c:v>
                </c:pt>
                <c:pt idx="35">
                  <c:v>1.5801484044808799E-5</c:v>
                </c:pt>
                <c:pt idx="36">
                  <c:v>1.1064989854383301E-5</c:v>
                </c:pt>
                <c:pt idx="37">
                  <c:v>2.1652829355114599E-5</c:v>
                </c:pt>
                <c:pt idx="38">
                  <c:v>1.70088066808248E-5</c:v>
                </c:pt>
                <c:pt idx="39">
                  <c:v>9.0068157888797098E-6</c:v>
                </c:pt>
                <c:pt idx="40">
                  <c:v>1.63807473605101E-5</c:v>
                </c:pt>
                <c:pt idx="41">
                  <c:v>1.6171265310508201E-5</c:v>
                </c:pt>
                <c:pt idx="42">
                  <c:v>1.88908041307188E-5</c:v>
                </c:pt>
                <c:pt idx="43">
                  <c:v>2.3954878351072802E-5</c:v>
                </c:pt>
                <c:pt idx="44">
                  <c:v>2.46720611997203E-5</c:v>
                </c:pt>
                <c:pt idx="45">
                  <c:v>1.30746645583374E-5</c:v>
                </c:pt>
                <c:pt idx="46">
                  <c:v>1.28906385563234E-5</c:v>
                </c:pt>
                <c:pt idx="47">
                  <c:v>2.3072166822292398E-5</c:v>
                </c:pt>
                <c:pt idx="48">
                  <c:v>1.40208629648499E-5</c:v>
                </c:pt>
                <c:pt idx="49" formatCode="General">
                  <c:v>1.0750210509432401E-3</c:v>
                </c:pt>
                <c:pt idx="50" formatCode="General">
                  <c:v>4.5673812797558297E-4</c:v>
                </c:pt>
                <c:pt idx="51" formatCode="General">
                  <c:v>4.2534713314167799E-4</c:v>
                </c:pt>
                <c:pt idx="52" formatCode="General">
                  <c:v>3.7895210768732602E-4</c:v>
                </c:pt>
                <c:pt idx="53" formatCode="General">
                  <c:v>2.6241110356951602E-4</c:v>
                </c:pt>
                <c:pt idx="54" formatCode="General">
                  <c:v>6.5097091374688096E-4</c:v>
                </c:pt>
                <c:pt idx="55" formatCode="General">
                  <c:v>3.0132357673727202E-4</c:v>
                </c:pt>
                <c:pt idx="56" formatCode="General">
                  <c:v>3.4948342491081101E-4</c:v>
                </c:pt>
                <c:pt idx="57" formatCode="General">
                  <c:v>3.7080606067121501E-4</c:v>
                </c:pt>
                <c:pt idx="58" formatCode="General">
                  <c:v>4.6855468669220498E-4</c:v>
                </c:pt>
                <c:pt idx="59" formatCode="General">
                  <c:v>2.7411117250122598E-4</c:v>
                </c:pt>
                <c:pt idx="60" formatCode="General">
                  <c:v>1.6340162912242899E-4</c:v>
                </c:pt>
                <c:pt idx="61" formatCode="General">
                  <c:v>1.3211201996537301E-4</c:v>
                </c:pt>
                <c:pt idx="62" formatCode="General">
                  <c:v>2.0455220765261899E-4</c:v>
                </c:pt>
                <c:pt idx="63" formatCode="General">
                  <c:v>1.3832966176240301E-4</c:v>
                </c:pt>
                <c:pt idx="64">
                  <c:v>6.7233320745294702E-5</c:v>
                </c:pt>
                <c:pt idx="65">
                  <c:v>5.7242264718325099E-5</c:v>
                </c:pt>
                <c:pt idx="66">
                  <c:v>8.2432301819617394E-5</c:v>
                </c:pt>
                <c:pt idx="67">
                  <c:v>6.6835766441826095E-5</c:v>
                </c:pt>
                <c:pt idx="68">
                  <c:v>6.3342658012071295E-5</c:v>
                </c:pt>
                <c:pt idx="69">
                  <c:v>5.8821851953617603E-5</c:v>
                </c:pt>
                <c:pt idx="70">
                  <c:v>2.8480017348643499E-5</c:v>
                </c:pt>
                <c:pt idx="71">
                  <c:v>3.3200992545768699E-5</c:v>
                </c:pt>
                <c:pt idx="72">
                  <c:v>2.57421216879668E-5</c:v>
                </c:pt>
                <c:pt idx="73">
                  <c:v>3.8364063302338002E-5</c:v>
                </c:pt>
                <c:pt idx="74">
                  <c:v>5.5121427124719697E-5</c:v>
                </c:pt>
                <c:pt idx="75">
                  <c:v>3.5054365385647899E-5</c:v>
                </c:pt>
                <c:pt idx="76">
                  <c:v>4.2552530734628699E-5</c:v>
                </c:pt>
                <c:pt idx="77">
                  <c:v>5.8273387060576498E-5</c:v>
                </c:pt>
                <c:pt idx="78">
                  <c:v>3.6837945820144901E-5</c:v>
                </c:pt>
                <c:pt idx="79">
                  <c:v>2.0783434715109E-5</c:v>
                </c:pt>
                <c:pt idx="80">
                  <c:v>5.9712146218263097E-5</c:v>
                </c:pt>
                <c:pt idx="81">
                  <c:v>2.9110014111693599E-5</c:v>
                </c:pt>
                <c:pt idx="82">
                  <c:v>3.2209523911566199E-5</c:v>
                </c:pt>
                <c:pt idx="83">
                  <c:v>3.6023721543075299E-5</c:v>
                </c:pt>
                <c:pt idx="84">
                  <c:v>2.99115569270013E-5</c:v>
                </c:pt>
                <c:pt idx="85">
                  <c:v>2.5616182481731199E-5</c:v>
                </c:pt>
                <c:pt idx="86">
                  <c:v>2.4702625537585901E-5</c:v>
                </c:pt>
                <c:pt idx="87">
                  <c:v>2.0860000535585401E-5</c:v>
                </c:pt>
                <c:pt idx="88">
                  <c:v>2.7405090210068402E-5</c:v>
                </c:pt>
                <c:pt idx="89">
                  <c:v>2.0382987300069101E-5</c:v>
                </c:pt>
                <c:pt idx="90">
                  <c:v>1.6305312739751299E-5</c:v>
                </c:pt>
                <c:pt idx="91">
                  <c:v>3.0736602092188903E-5</c:v>
                </c:pt>
                <c:pt idx="92">
                  <c:v>2.90590200705692E-5</c:v>
                </c:pt>
                <c:pt idx="93">
                  <c:v>1.8795014164232299E-5</c:v>
                </c:pt>
                <c:pt idx="94">
                  <c:v>2.5526786590298399E-5</c:v>
                </c:pt>
                <c:pt idx="95">
                  <c:v>2.8572947311885599E-5</c:v>
                </c:pt>
                <c:pt idx="96">
                  <c:v>1.9309454578144899E-5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BA-4011-A5EC-683C6DEC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storm6_results!$G$35:$G$131</c:f>
              <c:numCache>
                <c:formatCode>0.00E+00</c:formatCode>
                <c:ptCount val="97"/>
                <c:pt idx="0">
                  <c:v>5.92756450796335E-6</c:v>
                </c:pt>
                <c:pt idx="1">
                  <c:v>1.6939492269991001E-5</c:v>
                </c:pt>
                <c:pt idx="2">
                  <c:v>9.9251829891859096E-6</c:v>
                </c:pt>
                <c:pt idx="3">
                  <c:v>1.25540673956655E-5</c:v>
                </c:pt>
                <c:pt idx="4">
                  <c:v>1.2397363224047101E-5</c:v>
                </c:pt>
                <c:pt idx="5">
                  <c:v>1.46708500223187E-5</c:v>
                </c:pt>
                <c:pt idx="6">
                  <c:v>9.7808172899162397E-6</c:v>
                </c:pt>
                <c:pt idx="7">
                  <c:v>1.36675490878913E-5</c:v>
                </c:pt>
                <c:pt idx="8">
                  <c:v>1.31956159413164E-5</c:v>
                </c:pt>
                <c:pt idx="9">
                  <c:v>8.3998873406317401E-6</c:v>
                </c:pt>
                <c:pt idx="10">
                  <c:v>8.4977589047074599E-6</c:v>
                </c:pt>
                <c:pt idx="11">
                  <c:v>8.4681295033777897E-6</c:v>
                </c:pt>
                <c:pt idx="12">
                  <c:v>6.5819954531926002E-6</c:v>
                </c:pt>
                <c:pt idx="13">
                  <c:v>6.6186759599394497E-6</c:v>
                </c:pt>
                <c:pt idx="14">
                  <c:v>1.2176307251152301E-5</c:v>
                </c:pt>
                <c:pt idx="15">
                  <c:v>1.00909032824621E-5</c:v>
                </c:pt>
                <c:pt idx="16">
                  <c:v>4.6954432111254999E-6</c:v>
                </c:pt>
                <c:pt idx="17">
                  <c:v>1.2824763710893401E-5</c:v>
                </c:pt>
                <c:pt idx="18">
                  <c:v>8.3493095512851607E-6</c:v>
                </c:pt>
                <c:pt idx="19">
                  <c:v>9.9031751572578706E-6</c:v>
                </c:pt>
                <c:pt idx="20">
                  <c:v>9.9342098411788198E-6</c:v>
                </c:pt>
                <c:pt idx="21">
                  <c:v>1.4216809533821201E-5</c:v>
                </c:pt>
                <c:pt idx="22">
                  <c:v>1.5719492461176899E-5</c:v>
                </c:pt>
                <c:pt idx="23">
                  <c:v>1.24661279341078E-5</c:v>
                </c:pt>
                <c:pt idx="24">
                  <c:v>7.6169489318380701E-6</c:v>
                </c:pt>
                <c:pt idx="25">
                  <c:v>6.2493661830079897E-6</c:v>
                </c:pt>
                <c:pt idx="26">
                  <c:v>1.03078490890008E-5</c:v>
                </c:pt>
                <c:pt idx="27">
                  <c:v>9.8859887528308103E-6</c:v>
                </c:pt>
                <c:pt idx="28">
                  <c:v>6.4938746143684401E-6</c:v>
                </c:pt>
                <c:pt idx="29">
                  <c:v>5.1809441256602898E-6</c:v>
                </c:pt>
                <c:pt idx="30">
                  <c:v>7.7574010708964195E-6</c:v>
                </c:pt>
                <c:pt idx="31">
                  <c:v>1.58464511375325E-5</c:v>
                </c:pt>
                <c:pt idx="32">
                  <c:v>1.06279764800516E-5</c:v>
                </c:pt>
                <c:pt idx="33">
                  <c:v>1.48770014638873E-5</c:v>
                </c:pt>
                <c:pt idx="34">
                  <c:v>7.1987518013655298E-6</c:v>
                </c:pt>
                <c:pt idx="35">
                  <c:v>9.6445135282160202E-6</c:v>
                </c:pt>
                <c:pt idx="36">
                  <c:v>7.1035867197037301E-6</c:v>
                </c:pt>
                <c:pt idx="37">
                  <c:v>1.4443472000190699E-5</c:v>
                </c:pt>
                <c:pt idx="38">
                  <c:v>1.01736698115723E-5</c:v>
                </c:pt>
                <c:pt idx="39">
                  <c:v>6.2806780045956498E-6</c:v>
                </c:pt>
                <c:pt idx="40">
                  <c:v>1.0025951672939101E-5</c:v>
                </c:pt>
                <c:pt idx="41">
                  <c:v>1.01656471923265E-5</c:v>
                </c:pt>
                <c:pt idx="42">
                  <c:v>1.44569782942092E-5</c:v>
                </c:pt>
                <c:pt idx="43">
                  <c:v>1.5123892250493E-5</c:v>
                </c:pt>
                <c:pt idx="44">
                  <c:v>1.5619687817441899E-5</c:v>
                </c:pt>
                <c:pt idx="45">
                  <c:v>9.5247621212201997E-6</c:v>
                </c:pt>
                <c:pt idx="46">
                  <c:v>9.6200210590251099E-6</c:v>
                </c:pt>
                <c:pt idx="47">
                  <c:v>1.5210887410547899E-5</c:v>
                </c:pt>
                <c:pt idx="48">
                  <c:v>8.2632414473978099E-6</c:v>
                </c:pt>
                <c:pt idx="49" formatCode="General">
                  <c:v>6.8135642210139598E-4</c:v>
                </c:pt>
                <c:pt idx="50" formatCode="General">
                  <c:v>3.25734596259831E-4</c:v>
                </c:pt>
                <c:pt idx="51" formatCode="General">
                  <c:v>2.5978205830019401E-4</c:v>
                </c:pt>
                <c:pt idx="52" formatCode="General">
                  <c:v>2.42532247158388E-4</c:v>
                </c:pt>
                <c:pt idx="53" formatCode="General">
                  <c:v>1.7903645040002401E-4</c:v>
                </c:pt>
                <c:pt idx="54" formatCode="General">
                  <c:v>5.1559915470239298E-4</c:v>
                </c:pt>
                <c:pt idx="55" formatCode="General">
                  <c:v>1.98755509910385E-4</c:v>
                </c:pt>
                <c:pt idx="56" formatCode="General">
                  <c:v>2.6775671113723999E-4</c:v>
                </c:pt>
                <c:pt idx="57" formatCode="General">
                  <c:v>2.5376894292727199E-4</c:v>
                </c:pt>
                <c:pt idx="58" formatCode="General">
                  <c:v>3.5363413124816302E-4</c:v>
                </c:pt>
                <c:pt idx="59" formatCode="General">
                  <c:v>2.0299135276290401E-4</c:v>
                </c:pt>
                <c:pt idx="60" formatCode="General">
                  <c:v>1.12891414393195E-4</c:v>
                </c:pt>
                <c:pt idx="61">
                  <c:v>8.9954119930707793E-5</c:v>
                </c:pt>
                <c:pt idx="62" formatCode="General">
                  <c:v>1.4782147073835701E-4</c:v>
                </c:pt>
                <c:pt idx="63">
                  <c:v>8.8170670487006103E-5</c:v>
                </c:pt>
                <c:pt idx="64">
                  <c:v>4.6997856866020098E-5</c:v>
                </c:pt>
                <c:pt idx="65">
                  <c:v>3.3181660365596298E-5</c:v>
                </c:pt>
                <c:pt idx="66">
                  <c:v>5.87373305557101E-5</c:v>
                </c:pt>
                <c:pt idx="67">
                  <c:v>4.5530835539192399E-5</c:v>
                </c:pt>
                <c:pt idx="68">
                  <c:v>4.44947278793909E-5</c:v>
                </c:pt>
                <c:pt idx="69">
                  <c:v>3.71979975151851E-5</c:v>
                </c:pt>
                <c:pt idx="70">
                  <c:v>2.0072211090657398E-5</c:v>
                </c:pt>
                <c:pt idx="71">
                  <c:v>2.3361204635100002E-5</c:v>
                </c:pt>
                <c:pt idx="72">
                  <c:v>1.7885117346553399E-5</c:v>
                </c:pt>
                <c:pt idx="73">
                  <c:v>2.55096713461974E-5</c:v>
                </c:pt>
                <c:pt idx="74">
                  <c:v>3.54787470547822E-5</c:v>
                </c:pt>
                <c:pt idx="75">
                  <c:v>2.65885866089397E-5</c:v>
                </c:pt>
                <c:pt idx="76">
                  <c:v>2.9852704973968401E-5</c:v>
                </c:pt>
                <c:pt idx="77">
                  <c:v>3.83261592267911E-5</c:v>
                </c:pt>
                <c:pt idx="78">
                  <c:v>2.6895706410671199E-5</c:v>
                </c:pt>
                <c:pt idx="79">
                  <c:v>1.46074077688415E-5</c:v>
                </c:pt>
                <c:pt idx="80">
                  <c:v>3.8117988676458703E-5</c:v>
                </c:pt>
                <c:pt idx="81">
                  <c:v>2.0782257905341101E-5</c:v>
                </c:pt>
                <c:pt idx="82">
                  <c:v>2.0555585988355999E-5</c:v>
                </c:pt>
                <c:pt idx="83">
                  <c:v>2.1104169041235399E-5</c:v>
                </c:pt>
                <c:pt idx="84">
                  <c:v>2.0253750369532501E-5</c:v>
                </c:pt>
                <c:pt idx="85">
                  <c:v>1.6303770002898898E-5</c:v>
                </c:pt>
                <c:pt idx="86">
                  <c:v>1.6835927237024501E-5</c:v>
                </c:pt>
                <c:pt idx="87">
                  <c:v>1.1605796525083301E-5</c:v>
                </c:pt>
                <c:pt idx="88">
                  <c:v>1.3716523329195001E-5</c:v>
                </c:pt>
                <c:pt idx="89">
                  <c:v>1.19161263336258E-5</c:v>
                </c:pt>
                <c:pt idx="90">
                  <c:v>9.1492892932851399E-6</c:v>
                </c:pt>
                <c:pt idx="91">
                  <c:v>1.8426855405125899E-5</c:v>
                </c:pt>
                <c:pt idx="92">
                  <c:v>1.8113478685784402E-5</c:v>
                </c:pt>
                <c:pt idx="93">
                  <c:v>1.30991786579686E-5</c:v>
                </c:pt>
                <c:pt idx="94">
                  <c:v>1.2713712426391899E-5</c:v>
                </c:pt>
                <c:pt idx="95">
                  <c:v>1.6953823033100401E-5</c:v>
                </c:pt>
                <c:pt idx="96">
                  <c:v>1.31455737573118E-5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3-447A-9C96-1400F4449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storm6_results!$H$35:$H$131</c:f>
              <c:numCache>
                <c:formatCode>0.00E+00</c:formatCode>
                <c:ptCount val="97"/>
                <c:pt idx="0">
                  <c:v>5.7139307151814999E-6</c:v>
                </c:pt>
                <c:pt idx="1">
                  <c:v>1.6499222264927799E-5</c:v>
                </c:pt>
                <c:pt idx="2">
                  <c:v>9.6995761191154808E-6</c:v>
                </c:pt>
                <c:pt idx="3">
                  <c:v>1.19112053101664E-5</c:v>
                </c:pt>
                <c:pt idx="4">
                  <c:v>1.2195814207406599E-5</c:v>
                </c:pt>
                <c:pt idx="5">
                  <c:v>1.44353677055045E-5</c:v>
                </c:pt>
                <c:pt idx="6">
                  <c:v>9.7636690095366199E-6</c:v>
                </c:pt>
                <c:pt idx="7">
                  <c:v>1.33062302983594E-5</c:v>
                </c:pt>
                <c:pt idx="8">
                  <c:v>1.31576504215091E-5</c:v>
                </c:pt>
                <c:pt idx="9">
                  <c:v>8.2894278000622898E-6</c:v>
                </c:pt>
                <c:pt idx="10">
                  <c:v>8.38709794358452E-6</c:v>
                </c:pt>
                <c:pt idx="11">
                  <c:v>8.1720554189600101E-6</c:v>
                </c:pt>
                <c:pt idx="12">
                  <c:v>6.4774008610407301E-6</c:v>
                </c:pt>
                <c:pt idx="13">
                  <c:v>6.2571829080500201E-6</c:v>
                </c:pt>
                <c:pt idx="14">
                  <c:v>1.19449505740728E-5</c:v>
                </c:pt>
                <c:pt idx="15">
                  <c:v>1.00962312919772E-5</c:v>
                </c:pt>
                <c:pt idx="16">
                  <c:v>4.4613231105597703E-6</c:v>
                </c:pt>
                <c:pt idx="17">
                  <c:v>1.2531407410952901E-5</c:v>
                </c:pt>
                <c:pt idx="18">
                  <c:v>8.0680020482168594E-6</c:v>
                </c:pt>
                <c:pt idx="19">
                  <c:v>9.7775469710039897E-6</c:v>
                </c:pt>
                <c:pt idx="20">
                  <c:v>9.6957262892974697E-6</c:v>
                </c:pt>
                <c:pt idx="21">
                  <c:v>1.38773657330807E-5</c:v>
                </c:pt>
                <c:pt idx="22">
                  <c:v>1.55231048071612E-5</c:v>
                </c:pt>
                <c:pt idx="23">
                  <c:v>1.24175029132137E-5</c:v>
                </c:pt>
                <c:pt idx="24">
                  <c:v>7.2145885002916399E-6</c:v>
                </c:pt>
                <c:pt idx="25">
                  <c:v>6.2984858221777003E-6</c:v>
                </c:pt>
                <c:pt idx="26">
                  <c:v>1.0186837783781301E-5</c:v>
                </c:pt>
                <c:pt idx="27">
                  <c:v>9.4777492879302697E-6</c:v>
                </c:pt>
                <c:pt idx="28">
                  <c:v>6.3862103150050002E-6</c:v>
                </c:pt>
                <c:pt idx="29">
                  <c:v>5.0069581280553403E-6</c:v>
                </c:pt>
                <c:pt idx="30">
                  <c:v>7.5175387303978202E-6</c:v>
                </c:pt>
                <c:pt idx="31">
                  <c:v>1.5310728284796901E-5</c:v>
                </c:pt>
                <c:pt idx="32">
                  <c:v>1.0183282957960099E-5</c:v>
                </c:pt>
                <c:pt idx="33">
                  <c:v>1.3783869519108199E-5</c:v>
                </c:pt>
                <c:pt idx="34">
                  <c:v>6.74082303802902E-6</c:v>
                </c:pt>
                <c:pt idx="35">
                  <c:v>9.4615966712722606E-6</c:v>
                </c:pt>
                <c:pt idx="36">
                  <c:v>6.87228343099598E-6</c:v>
                </c:pt>
                <c:pt idx="37">
                  <c:v>1.4533554172511201E-5</c:v>
                </c:pt>
                <c:pt idx="38">
                  <c:v>9.8596156157272405E-6</c:v>
                </c:pt>
                <c:pt idx="39">
                  <c:v>6.08870245353198E-6</c:v>
                </c:pt>
                <c:pt idx="40">
                  <c:v>1.00186182499114E-5</c:v>
                </c:pt>
                <c:pt idx="41">
                  <c:v>9.8701563440397606E-6</c:v>
                </c:pt>
                <c:pt idx="42">
                  <c:v>1.4617399836042101E-5</c:v>
                </c:pt>
                <c:pt idx="43">
                  <c:v>1.51120959903415E-5</c:v>
                </c:pt>
                <c:pt idx="44">
                  <c:v>1.52196512897706E-5</c:v>
                </c:pt>
                <c:pt idx="45">
                  <c:v>9.5662265349910606E-6</c:v>
                </c:pt>
                <c:pt idx="46">
                  <c:v>9.6224272157266693E-6</c:v>
                </c:pt>
                <c:pt idx="47">
                  <c:v>1.50557193224341E-5</c:v>
                </c:pt>
                <c:pt idx="48">
                  <c:v>7.9296620681536998E-6</c:v>
                </c:pt>
                <c:pt idx="49" formatCode="General">
                  <c:v>6.6387213263375297E-4</c:v>
                </c:pt>
                <c:pt idx="50" formatCode="General">
                  <c:v>3.2221038518619898E-4</c:v>
                </c:pt>
                <c:pt idx="51" formatCode="General">
                  <c:v>2.49572236077777E-4</c:v>
                </c:pt>
                <c:pt idx="52" formatCode="General">
                  <c:v>2.41677628007315E-4</c:v>
                </c:pt>
                <c:pt idx="53" formatCode="General">
                  <c:v>1.7406676544725699E-4</c:v>
                </c:pt>
                <c:pt idx="54" formatCode="General">
                  <c:v>5.1122168363904497E-4</c:v>
                </c:pt>
                <c:pt idx="55" formatCode="General">
                  <c:v>1.92449184601041E-4</c:v>
                </c:pt>
                <c:pt idx="56" formatCode="General">
                  <c:v>2.6369812419674E-4</c:v>
                </c:pt>
                <c:pt idx="57" formatCode="General">
                  <c:v>2.4867948851089701E-4</c:v>
                </c:pt>
                <c:pt idx="58" formatCode="General">
                  <c:v>3.47354899542922E-4</c:v>
                </c:pt>
                <c:pt idx="59" formatCode="General">
                  <c:v>2.00588273473152E-4</c:v>
                </c:pt>
                <c:pt idx="60" formatCode="General">
                  <c:v>1.11148320105988E-4</c:v>
                </c:pt>
                <c:pt idx="61">
                  <c:v>8.7872460496983998E-5</c:v>
                </c:pt>
                <c:pt idx="62" formatCode="General">
                  <c:v>1.4812615381709101E-4</c:v>
                </c:pt>
                <c:pt idx="63">
                  <c:v>8.7696967090047904E-5</c:v>
                </c:pt>
                <c:pt idx="64">
                  <c:v>4.59786911509227E-5</c:v>
                </c:pt>
                <c:pt idx="65">
                  <c:v>3.1536108020385399E-5</c:v>
                </c:pt>
                <c:pt idx="66">
                  <c:v>5.8748554220705401E-5</c:v>
                </c:pt>
                <c:pt idx="67">
                  <c:v>4.44280610163631E-5</c:v>
                </c:pt>
                <c:pt idx="68">
                  <c:v>4.3111095997870597E-5</c:v>
                </c:pt>
                <c:pt idx="69">
                  <c:v>3.5848547811445999E-5</c:v>
                </c:pt>
                <c:pt idx="70">
                  <c:v>1.9964655795377299E-5</c:v>
                </c:pt>
                <c:pt idx="71">
                  <c:v>2.2765689395809499E-5</c:v>
                </c:pt>
                <c:pt idx="72">
                  <c:v>1.7687218975568799E-5</c:v>
                </c:pt>
                <c:pt idx="73">
                  <c:v>2.4715855488524201E-5</c:v>
                </c:pt>
                <c:pt idx="74">
                  <c:v>3.5225072191967399E-5</c:v>
                </c:pt>
                <c:pt idx="75">
                  <c:v>2.6799530834552302E-5</c:v>
                </c:pt>
                <c:pt idx="76">
                  <c:v>2.9566681262376401E-5</c:v>
                </c:pt>
                <c:pt idx="77">
                  <c:v>3.7468695040185502E-5</c:v>
                </c:pt>
                <c:pt idx="78">
                  <c:v>2.5902126474867499E-5</c:v>
                </c:pt>
                <c:pt idx="79">
                  <c:v>1.41581854109421E-5</c:v>
                </c:pt>
                <c:pt idx="80">
                  <c:v>3.726853644437E-5</c:v>
                </c:pt>
                <c:pt idx="81">
                  <c:v>2.0633781577003699E-5</c:v>
                </c:pt>
                <c:pt idx="82">
                  <c:v>2.01848567950935E-5</c:v>
                </c:pt>
                <c:pt idx="83">
                  <c:v>2.0697651344991599E-5</c:v>
                </c:pt>
                <c:pt idx="84">
                  <c:v>2.0066176385074299E-5</c:v>
                </c:pt>
                <c:pt idx="85">
                  <c:v>1.6171145683767599E-5</c:v>
                </c:pt>
                <c:pt idx="86">
                  <c:v>1.64930700754088E-5</c:v>
                </c:pt>
                <c:pt idx="87">
                  <c:v>1.13776467209141E-5</c:v>
                </c:pt>
                <c:pt idx="88">
                  <c:v>1.34466926586265E-5</c:v>
                </c:pt>
                <c:pt idx="89">
                  <c:v>1.1863593840648199E-5</c:v>
                </c:pt>
                <c:pt idx="90">
                  <c:v>8.7265871981260003E-6</c:v>
                </c:pt>
                <c:pt idx="91">
                  <c:v>1.7863858619309398E-5</c:v>
                </c:pt>
                <c:pt idx="92">
                  <c:v>1.8277217558815101E-5</c:v>
                </c:pt>
                <c:pt idx="93">
                  <c:v>1.2707200865007601E-5</c:v>
                </c:pt>
                <c:pt idx="94">
                  <c:v>1.20621989743255E-5</c:v>
                </c:pt>
                <c:pt idx="95">
                  <c:v>1.6575487744229299E-5</c:v>
                </c:pt>
                <c:pt idx="96">
                  <c:v>1.31931983616038E-5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5-426F-8852-D8F3940B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33</xdr:row>
      <xdr:rowOff>0</xdr:rowOff>
    </xdr:from>
    <xdr:to>
      <xdr:col>18</xdr:col>
      <xdr:colOff>209550</xdr:colOff>
      <xdr:row>46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7CA97-8AE6-44A9-B36B-6E841DFD2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46</xdr:row>
      <xdr:rowOff>57150</xdr:rowOff>
    </xdr:from>
    <xdr:to>
      <xdr:col>18</xdr:col>
      <xdr:colOff>219075</xdr:colOff>
      <xdr:row>59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A18A9-49A4-43AF-9F8E-7FB59C694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59</xdr:row>
      <xdr:rowOff>133350</xdr:rowOff>
    </xdr:from>
    <xdr:to>
      <xdr:col>18</xdr:col>
      <xdr:colOff>228600</xdr:colOff>
      <xdr:row>72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5C713-E198-4D5A-98C5-8838E6913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72BC-2145-4BC2-9E63-F3002A8B6AEE}">
  <dimension ref="A1:CT131"/>
  <sheetViews>
    <sheetView tabSelected="1" topLeftCell="A19" workbookViewId="0">
      <selection activeCell="G29" sqref="G29"/>
    </sheetView>
  </sheetViews>
  <sheetFormatPr defaultRowHeight="15" x14ac:dyDescent="0.25"/>
  <cols>
    <col min="1" max="1" width="19.7109375" customWidth="1"/>
    <col min="3" max="3" width="11.7109375" customWidth="1"/>
    <col min="5" max="5" width="13.7109375" customWidth="1"/>
    <col min="50" max="50" width="7.28515625" customWidth="1"/>
    <col min="51" max="51" width="15.42578125" customWidth="1"/>
    <col min="85" max="85" width="15.85546875" customWidth="1"/>
  </cols>
  <sheetData>
    <row r="1" spans="1:98" x14ac:dyDescent="0.25">
      <c r="B1" s="1">
        <v>45166</v>
      </c>
      <c r="C1" s="1">
        <v>45166.010416666664</v>
      </c>
      <c r="D1" s="1">
        <v>45166.020833333336</v>
      </c>
      <c r="E1" s="1">
        <v>45166.03125</v>
      </c>
      <c r="F1" s="1">
        <v>45166.041666666664</v>
      </c>
      <c r="G1" s="1">
        <v>45166.052083333336</v>
      </c>
      <c r="H1" s="1">
        <v>45166.0625</v>
      </c>
      <c r="I1" s="1">
        <v>45166.072916666664</v>
      </c>
      <c r="J1" s="1">
        <v>45166.083333333336</v>
      </c>
      <c r="K1" s="1">
        <v>45166.09375</v>
      </c>
      <c r="L1" s="1">
        <v>45166.104166666664</v>
      </c>
      <c r="M1" s="1">
        <v>45166.114583333336</v>
      </c>
      <c r="N1" s="1">
        <v>45166.125</v>
      </c>
      <c r="O1" s="1">
        <v>45166.135416666664</v>
      </c>
      <c r="P1" s="1">
        <v>45166.145833333336</v>
      </c>
      <c r="Q1" s="1">
        <v>45166.15625</v>
      </c>
      <c r="R1" s="1">
        <v>45166.166666666664</v>
      </c>
      <c r="S1" s="1">
        <v>45166.177083333336</v>
      </c>
      <c r="T1" s="1">
        <v>45166.1875</v>
      </c>
      <c r="U1" s="1">
        <v>45166.197916666664</v>
      </c>
      <c r="V1" s="1">
        <v>45166.208333333336</v>
      </c>
      <c r="W1" s="1">
        <v>45166.21875</v>
      </c>
      <c r="X1" s="1">
        <v>45166.229166666664</v>
      </c>
      <c r="Y1" s="1">
        <v>45166.239583333336</v>
      </c>
      <c r="Z1" s="1">
        <v>45166.25</v>
      </c>
      <c r="AA1" s="1">
        <v>45166.260416666664</v>
      </c>
      <c r="AB1" s="1">
        <v>45166.270833333336</v>
      </c>
      <c r="AC1" s="1">
        <v>45166.28125</v>
      </c>
      <c r="AD1" s="1">
        <v>45166.291666666664</v>
      </c>
      <c r="AE1" s="1">
        <v>45166.302083333336</v>
      </c>
      <c r="AF1" s="1">
        <v>45166.3125</v>
      </c>
      <c r="AG1" s="1">
        <v>45166.322916666664</v>
      </c>
      <c r="AH1" s="1">
        <v>45166.333333333336</v>
      </c>
      <c r="AI1" s="1">
        <v>45166.34375</v>
      </c>
      <c r="AJ1" s="1">
        <v>45166.354166666664</v>
      </c>
      <c r="AK1" s="1">
        <v>45166.364583333336</v>
      </c>
      <c r="AL1" s="1">
        <v>45166.375</v>
      </c>
      <c r="AM1" s="1">
        <v>45166.385416666664</v>
      </c>
      <c r="AN1" s="1">
        <v>45166.395833333336</v>
      </c>
      <c r="AO1" s="1">
        <v>45166.40625</v>
      </c>
      <c r="AP1" s="1">
        <v>45166.416666666664</v>
      </c>
      <c r="AQ1" s="1">
        <v>45166.427083333336</v>
      </c>
      <c r="AR1" s="1">
        <v>45166.4375</v>
      </c>
      <c r="AS1" s="1">
        <v>45166.447916666664</v>
      </c>
      <c r="AT1" s="1">
        <v>45166.458333333336</v>
      </c>
      <c r="AU1" s="1">
        <v>45166.46875</v>
      </c>
      <c r="AV1" s="1">
        <v>45166.479166666664</v>
      </c>
      <c r="AW1" s="1">
        <v>45166.489583333336</v>
      </c>
      <c r="AX1" s="1">
        <v>45166.5</v>
      </c>
      <c r="AY1" s="1">
        <v>45166.510416666664</v>
      </c>
      <c r="AZ1" s="1">
        <v>45166.520833333336</v>
      </c>
      <c r="BA1" s="1">
        <v>45166.53125</v>
      </c>
      <c r="BB1" s="1">
        <v>45166.541666666664</v>
      </c>
      <c r="BC1" s="1">
        <v>45166.552083333336</v>
      </c>
      <c r="BD1" s="1">
        <v>45166.5625</v>
      </c>
      <c r="BE1" s="1">
        <v>45166.572916666664</v>
      </c>
      <c r="BF1" s="1">
        <v>45166.583333333336</v>
      </c>
      <c r="BG1" s="1">
        <v>45166.59375</v>
      </c>
      <c r="BH1" s="1">
        <v>45166.604166666664</v>
      </c>
      <c r="BI1" s="1">
        <v>45166.614583333336</v>
      </c>
      <c r="BJ1" s="1">
        <v>45166.625</v>
      </c>
      <c r="BK1" s="1">
        <v>45166.635416666664</v>
      </c>
      <c r="BL1" s="1">
        <v>45166.645833333336</v>
      </c>
      <c r="BM1" s="1">
        <v>45166.65625</v>
      </c>
      <c r="BN1" s="1">
        <v>45166.666666666664</v>
      </c>
      <c r="BO1" s="1">
        <v>45166.677083333336</v>
      </c>
      <c r="BP1" s="1">
        <v>45166.6875</v>
      </c>
      <c r="BQ1" s="1">
        <v>45166.697916666664</v>
      </c>
      <c r="BR1" s="1">
        <v>45166.708333333336</v>
      </c>
      <c r="BS1" s="1">
        <v>45166.71875</v>
      </c>
      <c r="BT1" s="1">
        <v>45166.729166666664</v>
      </c>
      <c r="BU1" s="1">
        <v>45166.739583333336</v>
      </c>
      <c r="BV1" s="1">
        <v>45166.75</v>
      </c>
      <c r="BW1" s="1">
        <v>45166.760416666664</v>
      </c>
      <c r="BX1" s="1">
        <v>45166.770833333336</v>
      </c>
      <c r="BY1" s="1">
        <v>45166.78125</v>
      </c>
      <c r="BZ1" s="1">
        <v>45166.791666666664</v>
      </c>
      <c r="CA1" s="1">
        <v>45166.802083333336</v>
      </c>
      <c r="CB1" s="1">
        <v>45166.8125</v>
      </c>
      <c r="CC1" s="1">
        <v>45166.822916666664</v>
      </c>
      <c r="CD1" s="1">
        <v>45166.833333333336</v>
      </c>
      <c r="CE1" s="1">
        <v>45166.84375</v>
      </c>
      <c r="CF1" s="1">
        <v>45166.854166666664</v>
      </c>
      <c r="CG1" s="1">
        <v>45166.864583333336</v>
      </c>
      <c r="CH1" s="1">
        <v>45166.875</v>
      </c>
      <c r="CI1" s="1">
        <v>45166.885416666664</v>
      </c>
      <c r="CJ1" s="1">
        <v>45166.895833333336</v>
      </c>
      <c r="CK1" s="1">
        <v>45166.90625</v>
      </c>
      <c r="CL1" s="1">
        <v>45166.916666666664</v>
      </c>
      <c r="CM1" s="1">
        <v>45166.927083333336</v>
      </c>
      <c r="CN1" s="1">
        <v>45166.9375</v>
      </c>
      <c r="CO1" s="1">
        <v>45166.947916666664</v>
      </c>
      <c r="CP1" s="1">
        <v>45166.958333333336</v>
      </c>
      <c r="CQ1" s="1">
        <v>45166.96875</v>
      </c>
      <c r="CR1" s="1">
        <v>45166.979166666664</v>
      </c>
      <c r="CS1" s="1">
        <v>45166.989583333336</v>
      </c>
      <c r="CT1" s="1">
        <v>45167</v>
      </c>
    </row>
    <row r="2" spans="1:98" x14ac:dyDescent="0.25">
      <c r="A2" t="s">
        <v>0</v>
      </c>
      <c r="B2" s="4">
        <v>9.7553810238347697E-6</v>
      </c>
      <c r="C2" s="4">
        <v>2.4695589075050502E-5</v>
      </c>
      <c r="D2" s="4">
        <v>1.4471964858986599E-5</v>
      </c>
      <c r="E2" s="4">
        <v>2.4671793873086299E-5</v>
      </c>
      <c r="F2" s="4">
        <v>2.0341430722728199E-5</v>
      </c>
      <c r="G2" s="4">
        <v>2.28595360719212E-5</v>
      </c>
      <c r="H2" s="4">
        <v>1.46631578519305E-5</v>
      </c>
      <c r="I2" s="4">
        <v>1.9773813077619801E-5</v>
      </c>
      <c r="J2" s="4">
        <v>2.0288002389877399E-5</v>
      </c>
      <c r="K2" s="4">
        <v>1.31558770432652E-5</v>
      </c>
      <c r="L2" s="4">
        <v>1.21644338808749E-5</v>
      </c>
      <c r="M2" s="4">
        <v>1.43823754188934E-5</v>
      </c>
      <c r="N2" s="4">
        <v>9.1598783279553193E-6</v>
      </c>
      <c r="O2" s="4">
        <v>1.15015745984313E-5</v>
      </c>
      <c r="P2" s="4">
        <v>1.8816589878213699E-5</v>
      </c>
      <c r="Q2" s="4">
        <v>1.66192506653383E-5</v>
      </c>
      <c r="R2" s="4">
        <v>8.4015891124582495E-6</v>
      </c>
      <c r="S2" s="4">
        <v>1.8695380559631699E-5</v>
      </c>
      <c r="T2" s="4">
        <v>1.2946619042287199E-5</v>
      </c>
      <c r="U2" s="4">
        <v>1.65125434031626E-5</v>
      </c>
      <c r="V2" s="4">
        <v>1.4069007595954001E-5</v>
      </c>
      <c r="W2" s="4">
        <v>2.3279379224370299E-5</v>
      </c>
      <c r="X2" s="4">
        <v>2.4032354730021402E-5</v>
      </c>
      <c r="Y2" s="4">
        <v>1.7642357137767901E-5</v>
      </c>
      <c r="Z2" s="4">
        <v>1.3703232698260599E-5</v>
      </c>
      <c r="AA2" s="4">
        <v>9.0546177550336202E-6</v>
      </c>
      <c r="AB2" s="4">
        <v>1.7113267161572199E-5</v>
      </c>
      <c r="AC2" s="4">
        <v>1.5043949977078801E-5</v>
      </c>
      <c r="AD2" s="4">
        <v>1.2161431861909201E-5</v>
      </c>
      <c r="AE2" s="4">
        <v>8.9819595236041898E-6</v>
      </c>
      <c r="AF2" s="4">
        <v>1.64226926600943E-5</v>
      </c>
      <c r="AG2" s="4">
        <v>2.7469586729197902E-5</v>
      </c>
      <c r="AH2" s="4">
        <v>1.6198124879905699E-5</v>
      </c>
      <c r="AI2" s="4">
        <v>2.4246367869673201E-5</v>
      </c>
      <c r="AJ2" s="4">
        <v>1.19986539889451E-5</v>
      </c>
      <c r="AK2" s="4">
        <v>1.5801484044808799E-5</v>
      </c>
      <c r="AL2" s="4">
        <v>1.1064989854383301E-5</v>
      </c>
      <c r="AM2" s="4">
        <v>2.1652829355114599E-5</v>
      </c>
      <c r="AN2" s="4">
        <v>1.70088066808248E-5</v>
      </c>
      <c r="AO2" s="4">
        <v>9.0068157888797098E-6</v>
      </c>
      <c r="AP2" s="4">
        <v>1.63807473605101E-5</v>
      </c>
      <c r="AQ2" s="4">
        <v>1.6171265310508201E-5</v>
      </c>
      <c r="AR2" s="4">
        <v>1.88908041307188E-5</v>
      </c>
      <c r="AS2" s="4">
        <v>2.3954878351072802E-5</v>
      </c>
      <c r="AT2" s="4">
        <v>2.46720611997203E-5</v>
      </c>
      <c r="AU2" s="4">
        <v>1.30746645583374E-5</v>
      </c>
      <c r="AV2" s="4">
        <v>1.28906385563234E-5</v>
      </c>
      <c r="AW2" s="4">
        <v>2.3072166822292398E-5</v>
      </c>
      <c r="AX2" s="4">
        <v>1.40208629648499E-5</v>
      </c>
      <c r="AY2">
        <v>1.0750210509432401E-3</v>
      </c>
      <c r="AZ2">
        <v>4.5673812797558297E-4</v>
      </c>
      <c r="BA2">
        <v>4.2534713314167799E-4</v>
      </c>
      <c r="BB2">
        <v>3.7895210768732602E-4</v>
      </c>
      <c r="BC2">
        <v>2.6241110356951602E-4</v>
      </c>
      <c r="BD2">
        <v>6.5097091374688096E-4</v>
      </c>
      <c r="BE2">
        <v>3.0132357673727202E-4</v>
      </c>
      <c r="BF2">
        <v>3.4948342491081101E-4</v>
      </c>
      <c r="BG2">
        <v>3.7080606067121501E-4</v>
      </c>
      <c r="BH2">
        <v>4.6855468669220498E-4</v>
      </c>
      <c r="BI2">
        <v>2.7411117250122598E-4</v>
      </c>
      <c r="BJ2">
        <v>1.6340162912242899E-4</v>
      </c>
      <c r="BK2">
        <v>1.3211201996537301E-4</v>
      </c>
      <c r="BL2">
        <v>2.0455220765261899E-4</v>
      </c>
      <c r="BM2">
        <v>1.3832966176240301E-4</v>
      </c>
      <c r="BN2" s="4">
        <v>6.7233320745294702E-5</v>
      </c>
      <c r="BO2" s="4">
        <v>5.7242264718325099E-5</v>
      </c>
      <c r="BP2" s="4">
        <v>8.2432301819617394E-5</v>
      </c>
      <c r="BQ2" s="4">
        <v>6.6835766441826095E-5</v>
      </c>
      <c r="BR2" s="4">
        <v>6.3342658012071295E-5</v>
      </c>
      <c r="BS2" s="4">
        <v>5.8821851953617603E-5</v>
      </c>
      <c r="BT2" s="4">
        <v>2.8480017348643499E-5</v>
      </c>
      <c r="BU2" s="4">
        <v>3.3200992545768699E-5</v>
      </c>
      <c r="BV2" s="4">
        <v>2.57421216879668E-5</v>
      </c>
      <c r="BW2" s="4">
        <v>3.8364063302338002E-5</v>
      </c>
      <c r="BX2" s="4">
        <v>5.5121427124719697E-5</v>
      </c>
      <c r="BY2" s="4">
        <v>3.5054365385647899E-5</v>
      </c>
      <c r="BZ2" s="4">
        <v>4.2552530734628699E-5</v>
      </c>
      <c r="CA2" s="4">
        <v>5.8273387060576498E-5</v>
      </c>
      <c r="CB2" s="4">
        <v>3.6837945820144901E-5</v>
      </c>
      <c r="CC2" s="4">
        <v>2.0783434715109E-5</v>
      </c>
      <c r="CD2" s="4">
        <v>5.9712146218263097E-5</v>
      </c>
      <c r="CE2" s="4">
        <v>2.9110014111693599E-5</v>
      </c>
      <c r="CF2" s="4">
        <v>3.2209523911566199E-5</v>
      </c>
      <c r="CG2" s="4">
        <v>3.6023721543075299E-5</v>
      </c>
      <c r="CH2" s="4">
        <v>2.99115569270013E-5</v>
      </c>
      <c r="CI2" s="4">
        <v>2.5616182481731199E-5</v>
      </c>
      <c r="CJ2" s="4">
        <v>2.4702625537585901E-5</v>
      </c>
      <c r="CK2" s="4">
        <v>2.0860000535585401E-5</v>
      </c>
      <c r="CL2" s="4">
        <v>2.7405090210068402E-5</v>
      </c>
      <c r="CM2" s="4">
        <v>2.0382987300069101E-5</v>
      </c>
      <c r="CN2" s="4">
        <v>1.6305312739751299E-5</v>
      </c>
      <c r="CO2" s="4">
        <v>3.0736602092188903E-5</v>
      </c>
      <c r="CP2" s="4">
        <v>2.90590200705692E-5</v>
      </c>
      <c r="CQ2" s="4">
        <v>1.8795014164232299E-5</v>
      </c>
      <c r="CR2" s="4">
        <v>2.5526786590298399E-5</v>
      </c>
      <c r="CS2" s="4">
        <v>2.8572947311885599E-5</v>
      </c>
      <c r="CT2" s="4">
        <v>1.9309454578144899E-5</v>
      </c>
    </row>
    <row r="3" spans="1:98" x14ac:dyDescent="0.25">
      <c r="A3" t="s">
        <v>1</v>
      </c>
      <c r="B3" s="4">
        <v>5.92756450796335E-6</v>
      </c>
      <c r="C3" s="4">
        <v>1.6939492269991001E-5</v>
      </c>
      <c r="D3" s="4">
        <v>9.9251829891859096E-6</v>
      </c>
      <c r="E3" s="4">
        <v>1.25540673956655E-5</v>
      </c>
      <c r="F3" s="4">
        <v>1.2397363224047101E-5</v>
      </c>
      <c r="G3" s="4">
        <v>1.46708500223187E-5</v>
      </c>
      <c r="H3" s="4">
        <v>9.7808172899162397E-6</v>
      </c>
      <c r="I3" s="4">
        <v>1.36675490878913E-5</v>
      </c>
      <c r="J3" s="4">
        <v>1.31956159413164E-5</v>
      </c>
      <c r="K3" s="4">
        <v>8.3998873406317401E-6</v>
      </c>
      <c r="L3" s="4">
        <v>8.4977589047074599E-6</v>
      </c>
      <c r="M3" s="4">
        <v>8.4681295033777897E-6</v>
      </c>
      <c r="N3" s="4">
        <v>6.5819954531926002E-6</v>
      </c>
      <c r="O3" s="4">
        <v>6.6186759599394497E-6</v>
      </c>
      <c r="P3" s="4">
        <v>1.2176307251152301E-5</v>
      </c>
      <c r="Q3" s="4">
        <v>1.00909032824621E-5</v>
      </c>
      <c r="R3" s="4">
        <v>4.6954432111254999E-6</v>
      </c>
      <c r="S3" s="4">
        <v>1.2824763710893401E-5</v>
      </c>
      <c r="T3" s="4">
        <v>8.3493095512851607E-6</v>
      </c>
      <c r="U3" s="4">
        <v>9.9031751572578706E-6</v>
      </c>
      <c r="V3" s="4">
        <v>9.9342098411788198E-6</v>
      </c>
      <c r="W3" s="4">
        <v>1.4216809533821201E-5</v>
      </c>
      <c r="X3" s="4">
        <v>1.5719492461176899E-5</v>
      </c>
      <c r="Y3" s="4">
        <v>1.24661279341078E-5</v>
      </c>
      <c r="Z3" s="4">
        <v>7.6169489318380701E-6</v>
      </c>
      <c r="AA3" s="4">
        <v>6.2493661830079897E-6</v>
      </c>
      <c r="AB3" s="4">
        <v>1.03078490890008E-5</v>
      </c>
      <c r="AC3" s="4">
        <v>9.8859887528308103E-6</v>
      </c>
      <c r="AD3" s="4">
        <v>6.4938746143684401E-6</v>
      </c>
      <c r="AE3" s="4">
        <v>5.1809441256602898E-6</v>
      </c>
      <c r="AF3" s="4">
        <v>7.7574010708964195E-6</v>
      </c>
      <c r="AG3" s="4">
        <v>1.58464511375325E-5</v>
      </c>
      <c r="AH3" s="4">
        <v>1.06279764800516E-5</v>
      </c>
      <c r="AI3" s="4">
        <v>1.48770014638873E-5</v>
      </c>
      <c r="AJ3" s="4">
        <v>7.1987518013655298E-6</v>
      </c>
      <c r="AK3" s="4">
        <v>9.6445135282160202E-6</v>
      </c>
      <c r="AL3" s="4">
        <v>7.1035867197037301E-6</v>
      </c>
      <c r="AM3" s="4">
        <v>1.4443472000190699E-5</v>
      </c>
      <c r="AN3" s="4">
        <v>1.01736698115723E-5</v>
      </c>
      <c r="AO3" s="4">
        <v>6.2806780045956498E-6</v>
      </c>
      <c r="AP3" s="4">
        <v>1.0025951672939101E-5</v>
      </c>
      <c r="AQ3" s="4">
        <v>1.01656471923265E-5</v>
      </c>
      <c r="AR3" s="4">
        <v>1.44569782942092E-5</v>
      </c>
      <c r="AS3" s="4">
        <v>1.5123892250493E-5</v>
      </c>
      <c r="AT3" s="4">
        <v>1.5619687817441899E-5</v>
      </c>
      <c r="AU3" s="4">
        <v>9.5247621212201997E-6</v>
      </c>
      <c r="AV3" s="4">
        <v>9.6200210590251099E-6</v>
      </c>
      <c r="AW3" s="4">
        <v>1.5210887410547899E-5</v>
      </c>
      <c r="AX3" s="4">
        <v>8.2632414473978099E-6</v>
      </c>
      <c r="AY3">
        <v>6.8135642210139598E-4</v>
      </c>
      <c r="AZ3">
        <v>3.25734596259831E-4</v>
      </c>
      <c r="BA3">
        <v>2.5978205830019401E-4</v>
      </c>
      <c r="BB3">
        <v>2.42532247158388E-4</v>
      </c>
      <c r="BC3">
        <v>1.7903645040002401E-4</v>
      </c>
      <c r="BD3">
        <v>5.1559915470239298E-4</v>
      </c>
      <c r="BE3">
        <v>1.98755509910385E-4</v>
      </c>
      <c r="BF3">
        <v>2.6775671113723999E-4</v>
      </c>
      <c r="BG3">
        <v>2.5376894292727199E-4</v>
      </c>
      <c r="BH3">
        <v>3.5363413124816302E-4</v>
      </c>
      <c r="BI3">
        <v>2.0299135276290401E-4</v>
      </c>
      <c r="BJ3">
        <v>1.12891414393195E-4</v>
      </c>
      <c r="BK3" s="4">
        <v>8.9954119930707793E-5</v>
      </c>
      <c r="BL3">
        <v>1.4782147073835701E-4</v>
      </c>
      <c r="BM3" s="4">
        <v>8.8170670487006103E-5</v>
      </c>
      <c r="BN3" s="4">
        <v>4.6997856866020098E-5</v>
      </c>
      <c r="BO3" s="4">
        <v>3.3181660365596298E-5</v>
      </c>
      <c r="BP3" s="4">
        <v>5.87373305557101E-5</v>
      </c>
      <c r="BQ3" s="4">
        <v>4.5530835539192399E-5</v>
      </c>
      <c r="BR3" s="4">
        <v>4.44947278793909E-5</v>
      </c>
      <c r="BS3" s="4">
        <v>3.71979975151851E-5</v>
      </c>
      <c r="BT3" s="4">
        <v>2.0072211090657398E-5</v>
      </c>
      <c r="BU3" s="4">
        <v>2.3361204635100002E-5</v>
      </c>
      <c r="BV3" s="4">
        <v>1.7885117346553399E-5</v>
      </c>
      <c r="BW3" s="4">
        <v>2.55096713461974E-5</v>
      </c>
      <c r="BX3" s="4">
        <v>3.54787470547822E-5</v>
      </c>
      <c r="BY3" s="4">
        <v>2.65885866089397E-5</v>
      </c>
      <c r="BZ3" s="4">
        <v>2.9852704973968401E-5</v>
      </c>
      <c r="CA3" s="4">
        <v>3.83261592267911E-5</v>
      </c>
      <c r="CB3" s="4">
        <v>2.6895706410671199E-5</v>
      </c>
      <c r="CC3" s="4">
        <v>1.46074077688415E-5</v>
      </c>
      <c r="CD3" s="4">
        <v>3.8117988676458703E-5</v>
      </c>
      <c r="CE3" s="4">
        <v>2.0782257905341101E-5</v>
      </c>
      <c r="CF3" s="4">
        <v>2.0555585988355999E-5</v>
      </c>
      <c r="CG3" s="4">
        <v>2.1104169041235399E-5</v>
      </c>
      <c r="CH3" s="4">
        <v>2.0253750369532501E-5</v>
      </c>
      <c r="CI3" s="4">
        <v>1.6303770002898898E-5</v>
      </c>
      <c r="CJ3" s="4">
        <v>1.6835927237024501E-5</v>
      </c>
      <c r="CK3" s="4">
        <v>1.1605796525083301E-5</v>
      </c>
      <c r="CL3" s="4">
        <v>1.3716523329195001E-5</v>
      </c>
      <c r="CM3" s="4">
        <v>1.19161263336258E-5</v>
      </c>
      <c r="CN3" s="4">
        <v>9.1492892932851399E-6</v>
      </c>
      <c r="CO3" s="4">
        <v>1.8426855405125899E-5</v>
      </c>
      <c r="CP3" s="4">
        <v>1.8113478685784402E-5</v>
      </c>
      <c r="CQ3" s="4">
        <v>1.30991786579686E-5</v>
      </c>
      <c r="CR3" s="4">
        <v>1.2713712426391899E-5</v>
      </c>
      <c r="CS3" s="4">
        <v>1.6953823033100401E-5</v>
      </c>
      <c r="CT3" s="4">
        <v>1.31455737573118E-5</v>
      </c>
    </row>
    <row r="4" spans="1:98" x14ac:dyDescent="0.25">
      <c r="A4" t="s">
        <v>2</v>
      </c>
      <c r="B4" s="4">
        <v>5.7139307151814999E-6</v>
      </c>
      <c r="C4" s="4">
        <v>1.6499222264927799E-5</v>
      </c>
      <c r="D4" s="4">
        <v>9.6995761191154808E-6</v>
      </c>
      <c r="E4" s="4">
        <v>1.19112053101664E-5</v>
      </c>
      <c r="F4" s="4">
        <v>1.2195814207406599E-5</v>
      </c>
      <c r="G4" s="4">
        <v>1.44353677055045E-5</v>
      </c>
      <c r="H4" s="4">
        <v>9.7636690095366199E-6</v>
      </c>
      <c r="I4" s="4">
        <v>1.33062302983594E-5</v>
      </c>
      <c r="J4" s="4">
        <v>1.31576504215091E-5</v>
      </c>
      <c r="K4" s="4">
        <v>8.2894278000622898E-6</v>
      </c>
      <c r="L4" s="4">
        <v>8.38709794358452E-6</v>
      </c>
      <c r="M4" s="4">
        <v>8.1720554189600101E-6</v>
      </c>
      <c r="N4" s="4">
        <v>6.4774008610407301E-6</v>
      </c>
      <c r="O4" s="4">
        <v>6.2571829080500201E-6</v>
      </c>
      <c r="P4" s="4">
        <v>1.19449505740728E-5</v>
      </c>
      <c r="Q4" s="4">
        <v>1.00962312919772E-5</v>
      </c>
      <c r="R4" s="4">
        <v>4.4613231105597703E-6</v>
      </c>
      <c r="S4" s="4">
        <v>1.2531407410952901E-5</v>
      </c>
      <c r="T4" s="4">
        <v>8.0680020482168594E-6</v>
      </c>
      <c r="U4" s="4">
        <v>9.7775469710039897E-6</v>
      </c>
      <c r="V4" s="4">
        <v>9.6957262892974697E-6</v>
      </c>
      <c r="W4" s="4">
        <v>1.38773657330807E-5</v>
      </c>
      <c r="X4" s="4">
        <v>1.55231048071612E-5</v>
      </c>
      <c r="Y4" s="4">
        <v>1.24175029132137E-5</v>
      </c>
      <c r="Z4" s="4">
        <v>7.2145885002916399E-6</v>
      </c>
      <c r="AA4" s="4">
        <v>6.2984858221777003E-6</v>
      </c>
      <c r="AB4" s="4">
        <v>1.0186837783781301E-5</v>
      </c>
      <c r="AC4" s="4">
        <v>9.4777492879302697E-6</v>
      </c>
      <c r="AD4" s="4">
        <v>6.3862103150050002E-6</v>
      </c>
      <c r="AE4" s="4">
        <v>5.0069581280553403E-6</v>
      </c>
      <c r="AF4" s="4">
        <v>7.5175387303978202E-6</v>
      </c>
      <c r="AG4" s="4">
        <v>1.5310728284796901E-5</v>
      </c>
      <c r="AH4" s="4">
        <v>1.0183282957960099E-5</v>
      </c>
      <c r="AI4" s="4">
        <v>1.3783869519108199E-5</v>
      </c>
      <c r="AJ4" s="4">
        <v>6.74082303802902E-6</v>
      </c>
      <c r="AK4" s="4">
        <v>9.4615966712722606E-6</v>
      </c>
      <c r="AL4" s="4">
        <v>6.87228343099598E-6</v>
      </c>
      <c r="AM4" s="4">
        <v>1.4533554172511201E-5</v>
      </c>
      <c r="AN4" s="4">
        <v>9.8596156157272405E-6</v>
      </c>
      <c r="AO4" s="4">
        <v>6.08870245353198E-6</v>
      </c>
      <c r="AP4" s="4">
        <v>1.00186182499114E-5</v>
      </c>
      <c r="AQ4" s="4">
        <v>9.8701563440397606E-6</v>
      </c>
      <c r="AR4" s="4">
        <v>1.4617399836042101E-5</v>
      </c>
      <c r="AS4" s="4">
        <v>1.51120959903415E-5</v>
      </c>
      <c r="AT4" s="4">
        <v>1.52196512897706E-5</v>
      </c>
      <c r="AU4" s="4">
        <v>9.5662265349910606E-6</v>
      </c>
      <c r="AV4" s="4">
        <v>9.6224272157266693E-6</v>
      </c>
      <c r="AW4" s="4">
        <v>1.50557193224341E-5</v>
      </c>
      <c r="AX4" s="4">
        <v>7.9296620681536998E-6</v>
      </c>
      <c r="AY4">
        <v>6.6387213263375297E-4</v>
      </c>
      <c r="AZ4">
        <v>3.2221038518619898E-4</v>
      </c>
      <c r="BA4">
        <v>2.49572236077777E-4</v>
      </c>
      <c r="BB4">
        <v>2.41677628007315E-4</v>
      </c>
      <c r="BC4">
        <v>1.7406676544725699E-4</v>
      </c>
      <c r="BD4">
        <v>5.1122168363904497E-4</v>
      </c>
      <c r="BE4">
        <v>1.92449184601041E-4</v>
      </c>
      <c r="BF4">
        <v>2.6369812419674E-4</v>
      </c>
      <c r="BG4">
        <v>2.4867948851089701E-4</v>
      </c>
      <c r="BH4">
        <v>3.47354899542922E-4</v>
      </c>
      <c r="BI4">
        <v>2.00588273473152E-4</v>
      </c>
      <c r="BJ4">
        <v>1.11148320105988E-4</v>
      </c>
      <c r="BK4" s="4">
        <v>8.7872460496983998E-5</v>
      </c>
      <c r="BL4">
        <v>1.4812615381709101E-4</v>
      </c>
      <c r="BM4" s="4">
        <v>8.7696967090047904E-5</v>
      </c>
      <c r="BN4" s="4">
        <v>4.59786911509227E-5</v>
      </c>
      <c r="BO4" s="4">
        <v>3.1536108020385399E-5</v>
      </c>
      <c r="BP4" s="4">
        <v>5.8748554220705401E-5</v>
      </c>
      <c r="BQ4" s="4">
        <v>4.44280610163631E-5</v>
      </c>
      <c r="BR4" s="4">
        <v>4.3111095997870597E-5</v>
      </c>
      <c r="BS4" s="4">
        <v>3.5848547811445999E-5</v>
      </c>
      <c r="BT4" s="4">
        <v>1.9964655795377299E-5</v>
      </c>
      <c r="BU4" s="4">
        <v>2.2765689395809499E-5</v>
      </c>
      <c r="BV4" s="4">
        <v>1.7687218975568799E-5</v>
      </c>
      <c r="BW4" s="4">
        <v>2.4715855488524201E-5</v>
      </c>
      <c r="BX4" s="4">
        <v>3.5225072191967399E-5</v>
      </c>
      <c r="BY4" s="4">
        <v>2.6799530834552302E-5</v>
      </c>
      <c r="BZ4" s="4">
        <v>2.9566681262376401E-5</v>
      </c>
      <c r="CA4" s="4">
        <v>3.7468695040185502E-5</v>
      </c>
      <c r="CB4" s="4">
        <v>2.5902126474867499E-5</v>
      </c>
      <c r="CC4" s="4">
        <v>1.41581854109421E-5</v>
      </c>
      <c r="CD4" s="4">
        <v>3.726853644437E-5</v>
      </c>
      <c r="CE4" s="4">
        <v>2.0633781577003699E-5</v>
      </c>
      <c r="CF4" s="4">
        <v>2.01848567950935E-5</v>
      </c>
      <c r="CG4" s="4">
        <v>2.0697651344991599E-5</v>
      </c>
      <c r="CH4" s="4">
        <v>2.0066176385074299E-5</v>
      </c>
      <c r="CI4" s="4">
        <v>1.6171145683767599E-5</v>
      </c>
      <c r="CJ4" s="4">
        <v>1.64930700754088E-5</v>
      </c>
      <c r="CK4" s="4">
        <v>1.13776467209141E-5</v>
      </c>
      <c r="CL4" s="4">
        <v>1.34466926586265E-5</v>
      </c>
      <c r="CM4" s="4">
        <v>1.1863593840648199E-5</v>
      </c>
      <c r="CN4" s="4">
        <v>8.7265871981260003E-6</v>
      </c>
      <c r="CO4" s="4">
        <v>1.7863858619309398E-5</v>
      </c>
      <c r="CP4" s="4">
        <v>1.8277217558815101E-5</v>
      </c>
      <c r="CQ4" s="4">
        <v>1.2707200865007601E-5</v>
      </c>
      <c r="CR4" s="4">
        <v>1.20621989743255E-5</v>
      </c>
      <c r="CS4" s="4">
        <v>1.6575487744229299E-5</v>
      </c>
      <c r="CT4" s="4">
        <v>1.31931983616038E-5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53</v>
      </c>
      <c r="AZ9">
        <v>3</v>
      </c>
      <c r="BA9">
        <v>2</v>
      </c>
      <c r="BB9">
        <v>0</v>
      </c>
      <c r="BC9">
        <v>0</v>
      </c>
      <c r="BD9">
        <v>9</v>
      </c>
      <c r="BE9">
        <v>1</v>
      </c>
      <c r="BF9">
        <v>0</v>
      </c>
      <c r="BG9">
        <v>3</v>
      </c>
      <c r="BH9">
        <v>3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1607</v>
      </c>
      <c r="AZ10">
        <v>206</v>
      </c>
      <c r="BA10">
        <v>98</v>
      </c>
      <c r="BB10">
        <v>90</v>
      </c>
      <c r="BC10">
        <v>48</v>
      </c>
      <c r="BD10">
        <v>641</v>
      </c>
      <c r="BE10">
        <v>50</v>
      </c>
      <c r="BF10">
        <v>126</v>
      </c>
      <c r="BG10">
        <v>71</v>
      </c>
      <c r="BH10">
        <v>273</v>
      </c>
      <c r="BI10">
        <v>36</v>
      </c>
      <c r="BJ10">
        <v>7</v>
      </c>
      <c r="BK10">
        <v>5</v>
      </c>
      <c r="BL10">
        <v>28</v>
      </c>
      <c r="BM10">
        <v>3</v>
      </c>
      <c r="BN10">
        <v>0</v>
      </c>
      <c r="BO10">
        <v>0</v>
      </c>
      <c r="BP10">
        <v>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5.4935528067489497E-2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5.4935528067489497E-2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5.4935528067489497E-2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0.27520538904147102</v>
      </c>
      <c r="AZ23">
        <v>0.11692496076174901</v>
      </c>
      <c r="BA23">
        <v>0.108888866084269</v>
      </c>
      <c r="BB23">
        <v>0</v>
      </c>
      <c r="BC23">
        <v>0</v>
      </c>
      <c r="BD23">
        <v>0.166648553919201</v>
      </c>
      <c r="BE23">
        <v>7.7138835644741693E-2</v>
      </c>
      <c r="BF23">
        <v>0</v>
      </c>
      <c r="BG23">
        <v>9.0623304142336797E-2</v>
      </c>
      <c r="BH23">
        <v>0.118353259197244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0.19006671728897701</v>
      </c>
      <c r="AZ24">
        <v>9.9583123069774696E-2</v>
      </c>
      <c r="BA24">
        <v>9.2950592795479903E-2</v>
      </c>
      <c r="BB24">
        <v>0</v>
      </c>
      <c r="BC24">
        <v>0</v>
      </c>
      <c r="BD24">
        <v>0.153777941901138</v>
      </c>
      <c r="BE24">
        <v>7.7138835644741693E-2</v>
      </c>
      <c r="BF24">
        <v>0</v>
      </c>
      <c r="BG24">
        <v>9.0623304142336797E-2</v>
      </c>
      <c r="BH24">
        <v>0.108548037500605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0.18360000188901901</v>
      </c>
      <c r="AZ25">
        <v>9.4538531327124101E-2</v>
      </c>
      <c r="BA25">
        <v>9.2950592795479903E-2</v>
      </c>
      <c r="BB25">
        <v>0</v>
      </c>
      <c r="BC25">
        <v>0</v>
      </c>
      <c r="BD25">
        <v>0.157985423084648</v>
      </c>
      <c r="BE25">
        <v>7.7138835644741693E-2</v>
      </c>
      <c r="BF25">
        <v>0</v>
      </c>
      <c r="BG25">
        <v>9.0623304142336797E-2</v>
      </c>
      <c r="BH25">
        <v>0.104281391340049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1.1008215561658801</v>
      </c>
      <c r="AZ26">
        <v>0.46769984304699702</v>
      </c>
      <c r="BA26">
        <v>0.43555546433707898</v>
      </c>
      <c r="BB26">
        <v>0.38804695827182201</v>
      </c>
      <c r="BC26">
        <v>0.26870897005518402</v>
      </c>
      <c r="BD26">
        <v>0.66659421567680599</v>
      </c>
      <c r="BE26">
        <v>0.308555342578966</v>
      </c>
      <c r="BF26">
        <v>0.35787102710867102</v>
      </c>
      <c r="BG26">
        <v>0.37970540612732401</v>
      </c>
      <c r="BH26">
        <v>0.47979999917281801</v>
      </c>
      <c r="BI26">
        <v>0.28068984064125502</v>
      </c>
      <c r="BJ26">
        <v>0.16732326822136701</v>
      </c>
      <c r="BK26">
        <v>0.118985060712505</v>
      </c>
      <c r="BL26">
        <v>0.20946146063628199</v>
      </c>
      <c r="BM26">
        <v>0.128849271667662</v>
      </c>
      <c r="BN26">
        <v>0</v>
      </c>
      <c r="BO26">
        <v>0</v>
      </c>
      <c r="BP26">
        <v>7.5266937493094294E-2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0.69770897623182904</v>
      </c>
      <c r="AZ27">
        <v>0.34103785079754501</v>
      </c>
      <c r="BA27">
        <v>0.28527816750756002</v>
      </c>
      <c r="BB27">
        <v>0.26599804945372901</v>
      </c>
      <c r="BC27">
        <v>0.20115906301206499</v>
      </c>
      <c r="BD27">
        <v>0.52797353441525097</v>
      </c>
      <c r="BE27">
        <v>0.23081584461354199</v>
      </c>
      <c r="BF27">
        <v>0.28221035325674898</v>
      </c>
      <c r="BG27">
        <v>0.27923564035241399</v>
      </c>
      <c r="BH27">
        <v>0.36690224790468901</v>
      </c>
      <c r="BI27">
        <v>0.228343710424388</v>
      </c>
      <c r="BJ27">
        <v>0.140359910059522</v>
      </c>
      <c r="BK27">
        <v>0.10685709020936</v>
      </c>
      <c r="BL27">
        <v>0.17419526571191599</v>
      </c>
      <c r="BM27">
        <v>0.114812710757642</v>
      </c>
      <c r="BN27">
        <v>0</v>
      </c>
      <c r="BO27">
        <v>0</v>
      </c>
      <c r="BP27">
        <v>7.5266937493094294E-2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  <row r="28" spans="1:9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0.67980506381696304</v>
      </c>
      <c r="AZ28">
        <v>0.33505159259117601</v>
      </c>
      <c r="BA28">
        <v>0.27516506030326998</v>
      </c>
      <c r="BB28">
        <v>0.25042579614251798</v>
      </c>
      <c r="BC28">
        <v>0.19436584157682801</v>
      </c>
      <c r="BD28">
        <v>0.52349100404638205</v>
      </c>
      <c r="BE28">
        <v>0.22566949776414599</v>
      </c>
      <c r="BF28">
        <v>0.283738370968668</v>
      </c>
      <c r="BG28">
        <v>0.275524798619661</v>
      </c>
      <c r="BH28">
        <v>0.36105655916224599</v>
      </c>
      <c r="BI28">
        <v>0.22966750654938201</v>
      </c>
      <c r="BJ28">
        <v>0.13431377192862001</v>
      </c>
      <c r="BK28">
        <v>0.11316001851874399</v>
      </c>
      <c r="BL28">
        <v>0.173975505787827</v>
      </c>
      <c r="BM28">
        <v>0.114812710757642</v>
      </c>
      <c r="BN28">
        <v>0</v>
      </c>
      <c r="BO28">
        <v>0</v>
      </c>
      <c r="BP28">
        <v>7.5266937493094294E-2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</row>
    <row r="29" spans="1:98" x14ac:dyDescent="0.25">
      <c r="A29" t="s">
        <v>32</v>
      </c>
      <c r="B29">
        <v>0.31440712500000001</v>
      </c>
      <c r="C29">
        <v>0.50323377899999999</v>
      </c>
      <c r="D29">
        <v>0.376777213</v>
      </c>
      <c r="E29">
        <v>0.42386643899999998</v>
      </c>
      <c r="F29">
        <v>0.42386643899999998</v>
      </c>
      <c r="G29">
        <v>0.44894941300000002</v>
      </c>
      <c r="H29">
        <v>0.376777213</v>
      </c>
      <c r="I29">
        <v>0.44894941300000002</v>
      </c>
      <c r="J29">
        <v>0.44894941300000002</v>
      </c>
      <c r="K29">
        <v>0.35506608000000001</v>
      </c>
      <c r="L29">
        <v>0.35506608000000001</v>
      </c>
      <c r="M29">
        <v>0.35506608000000001</v>
      </c>
      <c r="N29">
        <v>0.314737561</v>
      </c>
      <c r="O29">
        <v>0.314737561</v>
      </c>
      <c r="P29">
        <v>0.42386643899999998</v>
      </c>
      <c r="Q29">
        <v>0.377160934</v>
      </c>
      <c r="R29">
        <v>0.26113539299999999</v>
      </c>
      <c r="S29">
        <v>0.42386643899999998</v>
      </c>
      <c r="T29">
        <v>0.35506608000000001</v>
      </c>
      <c r="U29">
        <v>0.376777213</v>
      </c>
      <c r="V29">
        <v>0.376777213</v>
      </c>
      <c r="W29">
        <v>0.44894941300000002</v>
      </c>
      <c r="X29">
        <v>0.44894941300000002</v>
      </c>
      <c r="Y29">
        <v>0.42386643899999998</v>
      </c>
      <c r="Z29">
        <v>0.33405227900000001</v>
      </c>
      <c r="AA29">
        <v>0.31440712500000001</v>
      </c>
      <c r="AB29">
        <v>0.376777213</v>
      </c>
      <c r="AC29">
        <v>0.376777213</v>
      </c>
      <c r="AD29">
        <v>0.31440712500000001</v>
      </c>
      <c r="AE29">
        <v>0.27800180299999999</v>
      </c>
      <c r="AF29">
        <v>0.33439968599999997</v>
      </c>
      <c r="AG29">
        <v>0.44939223900000003</v>
      </c>
      <c r="AH29">
        <v>0.377160934</v>
      </c>
      <c r="AI29">
        <v>0.44939223900000003</v>
      </c>
      <c r="AJ29">
        <v>0.33439968599999997</v>
      </c>
      <c r="AK29">
        <v>0.377160934</v>
      </c>
      <c r="AL29">
        <v>0.33439968599999997</v>
      </c>
      <c r="AM29">
        <v>0.44939223900000003</v>
      </c>
      <c r="AN29">
        <v>0.377160934</v>
      </c>
      <c r="AO29">
        <v>0.314737561</v>
      </c>
      <c r="AP29">
        <v>0.377160934</v>
      </c>
      <c r="AQ29">
        <v>0.377160934</v>
      </c>
      <c r="AR29">
        <v>0.44939223900000003</v>
      </c>
      <c r="AS29">
        <v>0.44939223900000003</v>
      </c>
      <c r="AT29">
        <v>0.44939223900000003</v>
      </c>
      <c r="AU29">
        <v>0.377160934</v>
      </c>
      <c r="AV29">
        <v>0.377160934</v>
      </c>
      <c r="AW29">
        <v>0.44939223900000003</v>
      </c>
      <c r="AX29">
        <v>0.33439968599999997</v>
      </c>
      <c r="AY29">
        <v>2.247064306</v>
      </c>
      <c r="AZ29">
        <v>2.0619739560000001</v>
      </c>
      <c r="BA29">
        <v>1.8086265969999999</v>
      </c>
      <c r="BB29">
        <v>1.8086265969999999</v>
      </c>
      <c r="BC29">
        <v>1.5821856839999999</v>
      </c>
      <c r="BD29">
        <v>2.5487565000000001</v>
      </c>
      <c r="BE29">
        <v>1.729502407</v>
      </c>
      <c r="BF29">
        <v>1.9734137430000001</v>
      </c>
      <c r="BG29">
        <v>1.9734137430000001</v>
      </c>
      <c r="BH29">
        <v>2.1522282119999998</v>
      </c>
      <c r="BI29">
        <v>1.729502407</v>
      </c>
      <c r="BJ29">
        <v>1.317101139</v>
      </c>
      <c r="BK29">
        <v>1.200201638</v>
      </c>
      <c r="BL29">
        <v>1.511415151</v>
      </c>
      <c r="BM29">
        <v>1.200201638</v>
      </c>
      <c r="BN29">
        <v>0.89859415399999998</v>
      </c>
      <c r="BO29">
        <v>0.77321039300000005</v>
      </c>
      <c r="BP29">
        <v>1.0404225359999999</v>
      </c>
      <c r="BQ29">
        <v>0.89859415399999998</v>
      </c>
      <c r="BR29">
        <v>0.89859415399999998</v>
      </c>
      <c r="BS29">
        <v>0.81307424100000003</v>
      </c>
      <c r="BT29">
        <v>0.66228851600000005</v>
      </c>
      <c r="BU29">
        <v>0.69769667099999999</v>
      </c>
      <c r="BV29">
        <v>0.59425534599999996</v>
      </c>
      <c r="BW29">
        <v>0.69769667099999999</v>
      </c>
      <c r="BX29">
        <v>0.81307424100000003</v>
      </c>
      <c r="BY29">
        <v>0.69769667099999999</v>
      </c>
      <c r="BZ29">
        <v>0.69769667099999999</v>
      </c>
      <c r="CA29">
        <v>0.77321039300000005</v>
      </c>
      <c r="CB29">
        <v>0.66228851600000005</v>
      </c>
      <c r="CC29">
        <v>0.50323377899999999</v>
      </c>
      <c r="CD29">
        <v>0.77321039300000005</v>
      </c>
      <c r="CE29">
        <v>0.59425534599999996</v>
      </c>
      <c r="CF29">
        <v>0.59425534599999996</v>
      </c>
      <c r="CG29">
        <v>0.59425534599999996</v>
      </c>
      <c r="CH29">
        <v>0.59425534599999996</v>
      </c>
      <c r="CI29">
        <v>0.53251963199999997</v>
      </c>
      <c r="CJ29">
        <v>0.53251963199999997</v>
      </c>
      <c r="CK29">
        <v>0.44939223900000003</v>
      </c>
      <c r="CL29">
        <v>0.475692385</v>
      </c>
      <c r="CM29">
        <v>0.44894941300000002</v>
      </c>
      <c r="CN29">
        <v>0.399936554</v>
      </c>
      <c r="CO29">
        <v>0.562700329</v>
      </c>
      <c r="CP29">
        <v>0.562700329</v>
      </c>
      <c r="CQ29">
        <v>0.475692385</v>
      </c>
      <c r="CR29">
        <v>0.475692385</v>
      </c>
      <c r="CS29">
        <v>0.53201108200000002</v>
      </c>
      <c r="CT29">
        <v>0.475692385</v>
      </c>
    </row>
    <row r="30" spans="1:98" x14ac:dyDescent="0.25">
      <c r="A30" t="s">
        <v>33</v>
      </c>
      <c r="B30">
        <v>1.6000191877459601E-3</v>
      </c>
      <c r="C30">
        <v>4.4398296332680198E-3</v>
      </c>
      <c r="D30">
        <v>2.3694887709665401E-3</v>
      </c>
      <c r="E30">
        <v>3.0593402335921602E-3</v>
      </c>
      <c r="F30">
        <v>3.0593402335921602E-3</v>
      </c>
      <c r="G30">
        <v>3.4658053051485099E-3</v>
      </c>
      <c r="H30">
        <v>2.3694887709665401E-3</v>
      </c>
      <c r="I30">
        <v>3.4658053051485099E-3</v>
      </c>
      <c r="J30">
        <v>3.4658053051485099E-3</v>
      </c>
      <c r="K30">
        <v>2.0831814362716602E-3</v>
      </c>
      <c r="L30">
        <v>2.0831814362716602E-3</v>
      </c>
      <c r="M30">
        <v>2.0831814362716602E-3</v>
      </c>
      <c r="N30">
        <v>1.60367014522996E-3</v>
      </c>
      <c r="O30">
        <v>1.60367014522996E-3</v>
      </c>
      <c r="P30">
        <v>3.0593402335921602E-3</v>
      </c>
      <c r="Q30">
        <v>2.3747279584052398E-3</v>
      </c>
      <c r="R30">
        <v>1.06950176183989E-3</v>
      </c>
      <c r="S30">
        <v>3.0593402335921602E-3</v>
      </c>
      <c r="T30">
        <v>2.0831814362716602E-3</v>
      </c>
      <c r="U30">
        <v>2.3694887709665401E-3</v>
      </c>
      <c r="V30">
        <v>2.3694887709665401E-3</v>
      </c>
      <c r="W30">
        <v>3.4658053051485099E-3</v>
      </c>
      <c r="X30">
        <v>3.4658053051485099E-3</v>
      </c>
      <c r="Y30">
        <v>3.0593402335921602E-3</v>
      </c>
      <c r="Z30">
        <v>1.8248988431067701E-3</v>
      </c>
      <c r="AA30">
        <v>1.6000191877459601E-3</v>
      </c>
      <c r="AB30">
        <v>2.3694887709665401E-3</v>
      </c>
      <c r="AC30">
        <v>2.3694887709665401E-3</v>
      </c>
      <c r="AD30">
        <v>1.6000191877459601E-3</v>
      </c>
      <c r="AE30">
        <v>1.22506952357946E-3</v>
      </c>
      <c r="AF30">
        <v>1.8290193129110301E-3</v>
      </c>
      <c r="AG30">
        <v>3.4732271191609001E-3</v>
      </c>
      <c r="AH30">
        <v>2.3747279584052398E-3</v>
      </c>
      <c r="AI30">
        <v>3.4732271191609001E-3</v>
      </c>
      <c r="AJ30">
        <v>1.8290193129110301E-3</v>
      </c>
      <c r="AK30">
        <v>2.3747279584052398E-3</v>
      </c>
      <c r="AL30">
        <v>1.8290193129110301E-3</v>
      </c>
      <c r="AM30">
        <v>3.4732271191609001E-3</v>
      </c>
      <c r="AN30">
        <v>2.3747279584052398E-3</v>
      </c>
      <c r="AO30">
        <v>1.60367014522996E-3</v>
      </c>
      <c r="AP30">
        <v>2.3747279584052398E-3</v>
      </c>
      <c r="AQ30">
        <v>2.3747279584052398E-3</v>
      </c>
      <c r="AR30">
        <v>3.4732271191609001E-3</v>
      </c>
      <c r="AS30">
        <v>3.4732271191609001E-3</v>
      </c>
      <c r="AT30">
        <v>3.4732271191609001E-3</v>
      </c>
      <c r="AU30">
        <v>2.3747279584052398E-3</v>
      </c>
      <c r="AV30">
        <v>2.3747279584052398E-3</v>
      </c>
      <c r="AW30">
        <v>3.4732271191609001E-3</v>
      </c>
      <c r="AX30">
        <v>1.8290193129110301E-3</v>
      </c>
      <c r="AY30">
        <v>0.114130452867147</v>
      </c>
      <c r="AZ30">
        <v>9.4710441371718995E-2</v>
      </c>
      <c r="BA30">
        <v>7.1262638466387501E-2</v>
      </c>
      <c r="BB30">
        <v>7.1262638466387501E-2</v>
      </c>
      <c r="BC30">
        <v>5.3310780692690699E-2</v>
      </c>
      <c r="BD30">
        <v>0.150009053930409</v>
      </c>
      <c r="BE30">
        <v>6.4670703081851993E-2</v>
      </c>
      <c r="BF30">
        <v>8.6105434862889699E-2</v>
      </c>
      <c r="BG30">
        <v>8.6105434862889699E-2</v>
      </c>
      <c r="BH30">
        <v>0.10393631205102299</v>
      </c>
      <c r="BI30">
        <v>6.4670703081851993E-2</v>
      </c>
      <c r="BJ30">
        <v>3.5810946872218898E-2</v>
      </c>
      <c r="BK30">
        <v>2.92706267784997E-2</v>
      </c>
      <c r="BL30">
        <v>4.8271759981750102E-2</v>
      </c>
      <c r="BM30">
        <v>2.92706267784997E-2</v>
      </c>
      <c r="BN30">
        <v>1.5620988090553199E-2</v>
      </c>
      <c r="BO30">
        <v>1.12744285461413E-2</v>
      </c>
      <c r="BP30">
        <v>2.14688085463672E-2</v>
      </c>
      <c r="BQ30">
        <v>1.5620988090553199E-2</v>
      </c>
      <c r="BR30">
        <v>1.5620988090553199E-2</v>
      </c>
      <c r="BS30">
        <v>1.25738055354073E-2</v>
      </c>
      <c r="BT30">
        <v>8.0570209681228907E-3</v>
      </c>
      <c r="BU30">
        <v>9.0209884139080196E-3</v>
      </c>
      <c r="BV30">
        <v>6.3684398738599298E-3</v>
      </c>
      <c r="BW30">
        <v>9.0209884139080196E-3</v>
      </c>
      <c r="BX30">
        <v>1.25738055354073E-2</v>
      </c>
      <c r="BY30">
        <v>9.0209884139080196E-3</v>
      </c>
      <c r="BZ30">
        <v>9.0209884139080196E-3</v>
      </c>
      <c r="CA30">
        <v>1.12744285461413E-2</v>
      </c>
      <c r="CB30">
        <v>8.0570209681228907E-3</v>
      </c>
      <c r="CC30">
        <v>4.4398296332680198E-3</v>
      </c>
      <c r="CD30">
        <v>1.12744285461413E-2</v>
      </c>
      <c r="CE30">
        <v>6.3684398738599298E-3</v>
      </c>
      <c r="CF30">
        <v>6.3684398738599298E-3</v>
      </c>
      <c r="CG30">
        <v>6.3684398738599298E-3</v>
      </c>
      <c r="CH30">
        <v>6.3684398738599298E-3</v>
      </c>
      <c r="CI30">
        <v>5.0196017427424702E-3</v>
      </c>
      <c r="CJ30">
        <v>5.0196017427424702E-3</v>
      </c>
      <c r="CK30">
        <v>3.4732271191609001E-3</v>
      </c>
      <c r="CL30">
        <v>3.9294214644375099E-3</v>
      </c>
      <c r="CM30">
        <v>3.4658053051485099E-3</v>
      </c>
      <c r="CN30">
        <v>2.6969103840659E-3</v>
      </c>
      <c r="CO30">
        <v>5.6574096593357201E-3</v>
      </c>
      <c r="CP30">
        <v>5.6574096593357201E-3</v>
      </c>
      <c r="CQ30">
        <v>3.9294214644375099E-3</v>
      </c>
      <c r="CR30">
        <v>3.9294214644375099E-3</v>
      </c>
      <c r="CS30">
        <v>5.0092062671747099E-3</v>
      </c>
      <c r="CT30">
        <v>3.9294214644375099E-3</v>
      </c>
    </row>
    <row r="31" spans="1:98" x14ac:dyDescent="0.25">
      <c r="A31" t="s">
        <v>34</v>
      </c>
      <c r="B31" s="1">
        <v>45166</v>
      </c>
      <c r="C31" s="1">
        <v>45166.010416666664</v>
      </c>
      <c r="D31" s="1">
        <v>45166.020833333336</v>
      </c>
      <c r="E31" s="1">
        <v>45166.03125</v>
      </c>
      <c r="F31" s="1">
        <v>45166.041666666664</v>
      </c>
      <c r="G31" s="1">
        <v>45166.052083333336</v>
      </c>
      <c r="H31" s="1">
        <v>45166.0625</v>
      </c>
      <c r="I31" s="1">
        <v>45166.072916666664</v>
      </c>
      <c r="J31" s="1">
        <v>45166.083333333336</v>
      </c>
      <c r="K31" s="1">
        <v>45166.09375</v>
      </c>
      <c r="L31" s="1">
        <v>45166.104166666664</v>
      </c>
      <c r="M31" s="1">
        <v>45166.114583333336</v>
      </c>
      <c r="N31" s="1">
        <v>45166.125</v>
      </c>
      <c r="O31" s="1">
        <v>45166.135416666664</v>
      </c>
      <c r="P31" s="1">
        <v>45166.145833333336</v>
      </c>
      <c r="Q31" s="1">
        <v>45166.15625</v>
      </c>
      <c r="R31" s="1">
        <v>45166.166666666664</v>
      </c>
      <c r="S31" s="1">
        <v>45166.177083333336</v>
      </c>
      <c r="T31" s="1">
        <v>45166.1875</v>
      </c>
      <c r="U31" s="1">
        <v>45166.197916666664</v>
      </c>
      <c r="V31" s="1">
        <v>45166.208333333336</v>
      </c>
      <c r="W31" s="1">
        <v>45166.21875</v>
      </c>
      <c r="X31" s="1">
        <v>45166.229166666664</v>
      </c>
      <c r="Y31" s="1">
        <v>45166.239583333336</v>
      </c>
      <c r="Z31" s="1">
        <v>45166.25</v>
      </c>
      <c r="AA31" s="1">
        <v>45166.260416666664</v>
      </c>
      <c r="AB31" s="1">
        <v>45166.270833333336</v>
      </c>
      <c r="AC31" s="1">
        <v>45166.28125</v>
      </c>
      <c r="AD31" s="1">
        <v>45166.291666666664</v>
      </c>
      <c r="AE31" s="1">
        <v>45166.302083333336</v>
      </c>
      <c r="AF31" s="1">
        <v>45166.3125</v>
      </c>
      <c r="AG31" s="1">
        <v>45166.322916666664</v>
      </c>
      <c r="AH31" s="1">
        <v>45166.333333333336</v>
      </c>
      <c r="AI31" s="1">
        <v>45166.34375</v>
      </c>
      <c r="AJ31" s="1">
        <v>45166.354166666664</v>
      </c>
      <c r="AK31" s="1">
        <v>45166.364583333336</v>
      </c>
      <c r="AL31" s="1">
        <v>45166.375</v>
      </c>
      <c r="AM31" s="1">
        <v>45166.385416666664</v>
      </c>
      <c r="AN31" s="1">
        <v>45166.395833333336</v>
      </c>
      <c r="AO31" s="1">
        <v>45166.40625</v>
      </c>
      <c r="AP31" s="1">
        <v>45166.416666666664</v>
      </c>
      <c r="AQ31" s="1">
        <v>45166.427083333336</v>
      </c>
      <c r="AR31" s="1">
        <v>45166.4375</v>
      </c>
      <c r="AS31" s="1">
        <v>45166.447916666664</v>
      </c>
      <c r="AT31" s="1">
        <v>45166.458333333336</v>
      </c>
      <c r="AU31" s="1">
        <v>45166.46875</v>
      </c>
      <c r="AV31" s="1">
        <v>45166.479166666664</v>
      </c>
      <c r="AW31" s="1">
        <v>45166.489583333336</v>
      </c>
      <c r="AX31" s="1">
        <v>45166.5</v>
      </c>
      <c r="AY31" s="1">
        <v>45166.510416666664</v>
      </c>
      <c r="AZ31" s="1">
        <v>45166.520833333336</v>
      </c>
      <c r="BA31" s="1">
        <v>45166.53125</v>
      </c>
      <c r="BB31" s="1">
        <v>45166.541666666664</v>
      </c>
      <c r="BC31" s="1">
        <v>45166.552083333336</v>
      </c>
      <c r="BD31" s="1">
        <v>45166.5625</v>
      </c>
      <c r="BE31" s="1">
        <v>45166.572916666664</v>
      </c>
      <c r="BF31" s="1">
        <v>45166.583333333336</v>
      </c>
      <c r="BG31" s="1">
        <v>45166.59375</v>
      </c>
      <c r="BH31" s="1">
        <v>45166.604166666664</v>
      </c>
      <c r="BI31" s="1">
        <v>45166.614583333336</v>
      </c>
      <c r="BJ31" s="1">
        <v>45166.625</v>
      </c>
      <c r="BK31" s="1">
        <v>45166.635416666664</v>
      </c>
      <c r="BL31" s="1">
        <v>45166.645833333336</v>
      </c>
      <c r="BM31" s="1">
        <v>45166.65625</v>
      </c>
      <c r="BN31" s="1">
        <v>45166.666666666664</v>
      </c>
      <c r="BO31" s="1">
        <v>45166.677083333336</v>
      </c>
      <c r="BP31" s="1">
        <v>45166.6875</v>
      </c>
      <c r="BQ31" s="1">
        <v>45166.697916666664</v>
      </c>
      <c r="BR31" s="1">
        <v>45166.708333333336</v>
      </c>
      <c r="BS31" s="1">
        <v>45166.71875</v>
      </c>
      <c r="BT31" s="1">
        <v>45166.729166666664</v>
      </c>
      <c r="BU31" s="1">
        <v>45166.739583333336</v>
      </c>
      <c r="BV31" s="1">
        <v>45166.75</v>
      </c>
      <c r="BW31" s="1">
        <v>45166.760416666664</v>
      </c>
      <c r="BX31" s="1">
        <v>45166.770833333336</v>
      </c>
      <c r="BY31" s="1">
        <v>45166.78125</v>
      </c>
      <c r="BZ31" s="1">
        <v>45166.791666666664</v>
      </c>
      <c r="CA31" s="1">
        <v>45166.802083333336</v>
      </c>
      <c r="CB31" s="1">
        <v>45166.8125</v>
      </c>
      <c r="CC31" s="1">
        <v>45166.822916666664</v>
      </c>
      <c r="CD31" s="1">
        <v>45166.833333333336</v>
      </c>
      <c r="CE31" s="1">
        <v>45166.84375</v>
      </c>
      <c r="CF31" s="1">
        <v>45166.854166666664</v>
      </c>
      <c r="CG31" s="1">
        <v>45166.864583333336</v>
      </c>
      <c r="CH31" s="1">
        <v>45166.875</v>
      </c>
      <c r="CI31" s="1">
        <v>45166.885416666664</v>
      </c>
      <c r="CJ31" s="1">
        <v>45166.895833333336</v>
      </c>
      <c r="CK31" s="1">
        <v>45166.90625</v>
      </c>
      <c r="CL31" s="1">
        <v>45166.916666666664</v>
      </c>
      <c r="CM31" s="1">
        <v>45166.927083333336</v>
      </c>
      <c r="CN31" s="1">
        <v>45166.9375</v>
      </c>
      <c r="CO31" s="1">
        <v>45166.947916666664</v>
      </c>
      <c r="CP31" s="1">
        <v>45166.958333333336</v>
      </c>
      <c r="CQ31" s="1">
        <v>45166.96875</v>
      </c>
      <c r="CR31" s="1">
        <v>45166.979166666664</v>
      </c>
      <c r="CS31" s="1">
        <v>45166.989583333336</v>
      </c>
      <c r="CT31" s="1">
        <v>45167</v>
      </c>
    </row>
    <row r="32" spans="1:98" x14ac:dyDescent="0.25">
      <c r="AY32" t="s">
        <v>45</v>
      </c>
    </row>
    <row r="34" spans="1:28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2" t="str">
        <f>A2</f>
        <v>max_amp</v>
      </c>
      <c r="B35" s="2">
        <f>MAX(B2:CT2)</f>
        <v>1.0750210509432401E-3</v>
      </c>
      <c r="C35" s="3">
        <f>_xlfn.XLOOKUP(MAX(B2:CT2), B2:CT2, $B$1:$CT$1)</f>
        <v>45166.510416666664</v>
      </c>
      <c r="E35" s="1">
        <v>45166</v>
      </c>
      <c r="F35" s="4">
        <v>9.7553810238347697E-6</v>
      </c>
      <c r="G35" s="4">
        <v>5.92756450796335E-6</v>
      </c>
      <c r="H35" s="4">
        <v>5.7139307151814999E-6</v>
      </c>
      <c r="T35" t="s">
        <v>0</v>
      </c>
      <c r="U35" s="2">
        <v>5.6741231058604902E-2</v>
      </c>
    </row>
    <row r="36" spans="1:28" x14ac:dyDescent="0.25">
      <c r="A36" s="2" t="str">
        <f t="shared" ref="A36:A61" si="0">A3</f>
        <v>mean_amp</v>
      </c>
      <c r="B36" s="2">
        <f t="shared" ref="B36:B61" si="1">MAX(B3:CT3)</f>
        <v>6.8135642210139598E-4</v>
      </c>
      <c r="C36" s="3">
        <f t="shared" ref="C36:C61" si="2">_xlfn.XLOOKUP(MAX(B3:CT3), B3:CT3, $B$1:$CT$1)</f>
        <v>45166.510416666664</v>
      </c>
      <c r="E36" s="1">
        <v>45166.010416666664</v>
      </c>
      <c r="F36" s="4">
        <v>2.4695589075050502E-5</v>
      </c>
      <c r="G36" s="4">
        <v>1.6939492269991001E-5</v>
      </c>
      <c r="H36" s="4">
        <v>1.6499222264927799E-5</v>
      </c>
      <c r="T36" t="s">
        <v>1</v>
      </c>
      <c r="U36" s="2">
        <v>3.5270738108725101E-2</v>
      </c>
    </row>
    <row r="37" spans="1:28" x14ac:dyDescent="0.25">
      <c r="A37" s="2" t="str">
        <f t="shared" si="0"/>
        <v>median_amp</v>
      </c>
      <c r="B37" s="2">
        <f t="shared" si="1"/>
        <v>6.6387213263375297E-4</v>
      </c>
      <c r="C37" s="3">
        <f t="shared" si="2"/>
        <v>45166.510416666664</v>
      </c>
      <c r="E37" s="1">
        <v>45166.020833333336</v>
      </c>
      <c r="F37" s="4">
        <v>1.4471964858986599E-5</v>
      </c>
      <c r="G37" s="4">
        <v>9.9251829891859096E-6</v>
      </c>
      <c r="H37" s="4">
        <v>9.6995761191154808E-6</v>
      </c>
      <c r="T37" t="s">
        <v>2</v>
      </c>
      <c r="U37" s="2">
        <v>3.4439974703429702E-2</v>
      </c>
    </row>
    <row r="38" spans="1:28" x14ac:dyDescent="0.25">
      <c r="A38" s="2" t="str">
        <f t="shared" si="0"/>
        <v>impulses_ch6</v>
      </c>
      <c r="B38" s="2">
        <f t="shared" si="1"/>
        <v>0</v>
      </c>
      <c r="C38" s="3">
        <f t="shared" si="2"/>
        <v>45166</v>
      </c>
      <c r="E38" s="1">
        <v>45166.03125</v>
      </c>
      <c r="F38" s="4">
        <v>2.4671793873086299E-5</v>
      </c>
      <c r="G38" s="4">
        <v>1.25540673956655E-5</v>
      </c>
      <c r="H38" s="4">
        <v>1.19112053101664E-5</v>
      </c>
      <c r="T38" t="s">
        <v>3</v>
      </c>
      <c r="U38" s="2">
        <v>1</v>
      </c>
    </row>
    <row r="39" spans="1:28" x14ac:dyDescent="0.25">
      <c r="A39" s="2" t="str">
        <f t="shared" si="0"/>
        <v>impulses_ch5</v>
      </c>
      <c r="B39" s="2">
        <f t="shared" si="1"/>
        <v>0</v>
      </c>
      <c r="C39" s="3">
        <f t="shared" si="2"/>
        <v>45166</v>
      </c>
      <c r="E39" s="1">
        <v>45166.041666666664</v>
      </c>
      <c r="F39" s="4">
        <v>2.0341430722728199E-5</v>
      </c>
      <c r="G39" s="4">
        <v>1.2397363224047101E-5</v>
      </c>
      <c r="H39" s="4">
        <v>1.2195814207406599E-5</v>
      </c>
      <c r="T39" t="s">
        <v>4</v>
      </c>
      <c r="U39" s="2">
        <v>28</v>
      </c>
    </row>
    <row r="40" spans="1:28" x14ac:dyDescent="0.25">
      <c r="A40" s="2" t="str">
        <f t="shared" si="0"/>
        <v>impulses_ch4</v>
      </c>
      <c r="B40" s="2">
        <f t="shared" si="1"/>
        <v>0</v>
      </c>
      <c r="C40" s="3">
        <f t="shared" si="2"/>
        <v>45166</v>
      </c>
      <c r="E40" s="1">
        <v>45166.052083333336</v>
      </c>
      <c r="F40" s="4">
        <v>2.28595360719212E-5</v>
      </c>
      <c r="G40" s="4">
        <v>1.46708500223187E-5</v>
      </c>
      <c r="H40" s="4">
        <v>1.44353677055045E-5</v>
      </c>
      <c r="T40" t="s">
        <v>5</v>
      </c>
      <c r="U40" s="2">
        <v>646</v>
      </c>
    </row>
    <row r="41" spans="1:28" x14ac:dyDescent="0.25">
      <c r="A41" s="2" t="str">
        <f t="shared" si="0"/>
        <v>impulses_ch3</v>
      </c>
      <c r="B41" s="2">
        <f t="shared" si="1"/>
        <v>3</v>
      </c>
      <c r="C41" s="3">
        <f t="shared" si="2"/>
        <v>45166.510416666664</v>
      </c>
      <c r="E41" s="1">
        <v>45166.0625</v>
      </c>
      <c r="F41" s="4">
        <v>1.46631578519305E-5</v>
      </c>
      <c r="G41" s="4">
        <v>9.7808172899162397E-6</v>
      </c>
      <c r="H41" s="4">
        <v>9.7636690095366199E-6</v>
      </c>
      <c r="T41" t="s">
        <v>6</v>
      </c>
      <c r="U41" s="2">
        <v>7213</v>
      </c>
    </row>
    <row r="42" spans="1:28" x14ac:dyDescent="0.25">
      <c r="A42" s="2" t="str">
        <f t="shared" si="0"/>
        <v>impulses_ch2</v>
      </c>
      <c r="B42" s="2">
        <f t="shared" si="1"/>
        <v>53</v>
      </c>
      <c r="C42" s="3">
        <f t="shared" si="2"/>
        <v>45166.510416666664</v>
      </c>
      <c r="E42" s="1">
        <v>45166.072916666664</v>
      </c>
      <c r="F42" s="4">
        <v>1.9773813077619801E-5</v>
      </c>
      <c r="G42" s="4">
        <v>1.36675490878913E-5</v>
      </c>
      <c r="H42" s="4">
        <v>1.33062302983594E-5</v>
      </c>
      <c r="T42" t="s">
        <v>7</v>
      </c>
      <c r="U42" s="2">
        <v>10382</v>
      </c>
    </row>
    <row r="43" spans="1:28" x14ac:dyDescent="0.25">
      <c r="A43" s="2" t="str">
        <f t="shared" si="0"/>
        <v>impulses_ch1</v>
      </c>
      <c r="B43" s="2">
        <f t="shared" si="1"/>
        <v>1607</v>
      </c>
      <c r="C43" s="3">
        <f t="shared" si="2"/>
        <v>45166.510416666664</v>
      </c>
      <c r="E43" s="1">
        <v>45166.083333333336</v>
      </c>
      <c r="F43" s="4">
        <v>2.0288002389877399E-5</v>
      </c>
      <c r="G43" s="4">
        <v>1.31956159413164E-5</v>
      </c>
      <c r="H43" s="4">
        <v>1.31576504215091E-5</v>
      </c>
      <c r="T43" t="s">
        <v>8</v>
      </c>
      <c r="U43" s="2">
        <v>8381</v>
      </c>
    </row>
    <row r="44" spans="1:28" x14ac:dyDescent="0.25">
      <c r="A44" s="2" t="str">
        <f t="shared" si="0"/>
        <v>max_env_ch6</v>
      </c>
      <c r="B44" s="2">
        <f t="shared" si="1"/>
        <v>0</v>
      </c>
      <c r="C44" s="3">
        <f t="shared" si="2"/>
        <v>45166</v>
      </c>
      <c r="E44" s="1">
        <v>45166.09375</v>
      </c>
      <c r="F44" s="4">
        <v>1.31558770432652E-5</v>
      </c>
      <c r="G44" s="4">
        <v>8.3998873406317401E-6</v>
      </c>
      <c r="H44" s="4">
        <v>8.2894278000622898E-6</v>
      </c>
    </row>
    <row r="45" spans="1:28" x14ac:dyDescent="0.25">
      <c r="A45" s="2" t="str">
        <f t="shared" si="0"/>
        <v>mean_env_ch6</v>
      </c>
      <c r="B45" s="2">
        <f t="shared" si="1"/>
        <v>0</v>
      </c>
      <c r="C45" s="3">
        <f t="shared" si="2"/>
        <v>45166</v>
      </c>
      <c r="E45" s="1">
        <v>45166.104166666664</v>
      </c>
      <c r="F45" s="4">
        <v>1.21644338808749E-5</v>
      </c>
      <c r="G45" s="4">
        <v>8.4977589047074599E-6</v>
      </c>
      <c r="H45" s="4">
        <v>8.38709794358452E-6</v>
      </c>
    </row>
    <row r="46" spans="1:28" x14ac:dyDescent="0.25">
      <c r="A46" s="2" t="str">
        <f t="shared" si="0"/>
        <v>median_env_ch6</v>
      </c>
      <c r="B46" s="2">
        <f t="shared" si="1"/>
        <v>0</v>
      </c>
      <c r="C46" s="3">
        <f t="shared" si="2"/>
        <v>45166</v>
      </c>
      <c r="E46" s="1">
        <v>45166.114583333336</v>
      </c>
      <c r="F46" s="4">
        <v>1.43823754188934E-5</v>
      </c>
      <c r="G46" s="4">
        <v>8.4681295033777897E-6</v>
      </c>
      <c r="H46" s="4">
        <v>8.1720554189600101E-6</v>
      </c>
      <c r="U46" t="s">
        <v>35</v>
      </c>
    </row>
    <row r="47" spans="1:28" x14ac:dyDescent="0.25">
      <c r="A47" s="2" t="str">
        <f t="shared" si="0"/>
        <v>max_env_ch5</v>
      </c>
      <c r="B47" s="2">
        <f t="shared" si="1"/>
        <v>0</v>
      </c>
      <c r="C47" s="3">
        <f t="shared" si="2"/>
        <v>45166</v>
      </c>
      <c r="E47" s="1">
        <v>45166.125</v>
      </c>
      <c r="F47" s="4">
        <v>9.1598783279553193E-6</v>
      </c>
      <c r="G47" s="4">
        <v>6.5819954531926002E-6</v>
      </c>
      <c r="H47" s="4">
        <v>6.4774008610407301E-6</v>
      </c>
      <c r="U47" t="s">
        <v>36</v>
      </c>
      <c r="V47" t="s">
        <v>37</v>
      </c>
      <c r="W47" t="s">
        <v>38</v>
      </c>
      <c r="Z47" t="s">
        <v>36</v>
      </c>
      <c r="AA47" t="s">
        <v>37</v>
      </c>
      <c r="AB47" t="s">
        <v>38</v>
      </c>
    </row>
    <row r="48" spans="1:28" x14ac:dyDescent="0.25">
      <c r="A48" s="2" t="str">
        <f t="shared" si="0"/>
        <v>mean_env_ch5</v>
      </c>
      <c r="B48" s="2">
        <f t="shared" si="1"/>
        <v>0</v>
      </c>
      <c r="C48" s="3">
        <f t="shared" si="2"/>
        <v>45166</v>
      </c>
      <c r="E48" s="1">
        <v>45166.135416666664</v>
      </c>
      <c r="F48" s="4">
        <v>1.15015745984313E-5</v>
      </c>
      <c r="G48" s="4">
        <v>6.6186759599394497E-6</v>
      </c>
      <c r="H48" s="4">
        <v>6.2571829080500201E-6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 t="s">
        <v>39</v>
      </c>
      <c r="Z48">
        <v>4.4300089970899799E-2</v>
      </c>
      <c r="AA48">
        <v>4.4300089970899799E-2</v>
      </c>
      <c r="AB48">
        <v>4.4300089970899799E-2</v>
      </c>
    </row>
    <row r="49" spans="1:28" x14ac:dyDescent="0.25">
      <c r="A49" s="2" t="str">
        <f t="shared" si="0"/>
        <v>median_env_ch5</v>
      </c>
      <c r="B49" s="2">
        <f t="shared" si="1"/>
        <v>0</v>
      </c>
      <c r="C49" s="3">
        <f t="shared" si="2"/>
        <v>45166</v>
      </c>
      <c r="E49" s="1">
        <v>45166.145833333336</v>
      </c>
      <c r="F49" s="4">
        <v>1.8816589878213699E-5</v>
      </c>
      <c r="G49" s="4">
        <v>1.2176307251152301E-5</v>
      </c>
      <c r="H49" s="4">
        <v>1.19449505740728E-5</v>
      </c>
      <c r="T49" t="s">
        <v>40</v>
      </c>
      <c r="U49" s="4">
        <f>B47</f>
        <v>0</v>
      </c>
      <c r="V49" s="4">
        <f>B48</f>
        <v>0</v>
      </c>
      <c r="W49" s="4">
        <f>B49</f>
        <v>0</v>
      </c>
      <c r="Y49" t="s">
        <v>40</v>
      </c>
      <c r="Z49">
        <v>0.22561108157867499</v>
      </c>
      <c r="AA49">
        <v>0.15225238482678499</v>
      </c>
      <c r="AB49">
        <v>0.14915841719692599</v>
      </c>
    </row>
    <row r="50" spans="1:28" x14ac:dyDescent="0.25">
      <c r="A50" s="2" t="str">
        <f t="shared" si="0"/>
        <v>max_env_ch4</v>
      </c>
      <c r="B50" s="2">
        <f t="shared" si="1"/>
        <v>0</v>
      </c>
      <c r="C50" s="3">
        <f t="shared" si="2"/>
        <v>45166</v>
      </c>
      <c r="E50" s="1">
        <v>45166.15625</v>
      </c>
      <c r="F50" s="4">
        <v>1.66192506653383E-5</v>
      </c>
      <c r="G50" s="4">
        <v>1.00909032824621E-5</v>
      </c>
      <c r="H50" s="4">
        <v>1.00962312919772E-5</v>
      </c>
      <c r="T50" t="s">
        <v>41</v>
      </c>
      <c r="U50" s="4">
        <f>B50</f>
        <v>0</v>
      </c>
      <c r="V50" s="4">
        <f>B51</f>
        <v>0</v>
      </c>
      <c r="W50" s="4">
        <f>B52</f>
        <v>0</v>
      </c>
      <c r="Y50" t="s">
        <v>41</v>
      </c>
      <c r="Z50">
        <v>0.90785969693767898</v>
      </c>
      <c r="AA50">
        <v>0.56433180973960195</v>
      </c>
      <c r="AB50">
        <v>0.551039595254876</v>
      </c>
    </row>
    <row r="51" spans="1:28" x14ac:dyDescent="0.25">
      <c r="A51" s="2" t="str">
        <f t="shared" si="0"/>
        <v>mean_env_ch4</v>
      </c>
      <c r="B51" s="2">
        <f t="shared" si="1"/>
        <v>0</v>
      </c>
      <c r="C51" s="3">
        <f t="shared" si="2"/>
        <v>45166</v>
      </c>
      <c r="E51" s="1">
        <v>45166.166666666664</v>
      </c>
      <c r="F51" s="4">
        <v>8.4015891124582495E-6</v>
      </c>
      <c r="G51" s="4">
        <v>4.6954432111254999E-6</v>
      </c>
      <c r="H51" s="4">
        <v>4.4613231105597703E-6</v>
      </c>
      <c r="T51" t="s">
        <v>42</v>
      </c>
      <c r="U51" s="4">
        <f>B53</f>
        <v>5.4935528067489497E-2</v>
      </c>
      <c r="V51" s="4">
        <f>B54</f>
        <v>5.4935528067489497E-2</v>
      </c>
      <c r="W51" s="4">
        <f>B55</f>
        <v>5.4935528067489497E-2</v>
      </c>
      <c r="Y51" t="s">
        <v>42</v>
      </c>
      <c r="Z51">
        <v>3.6314387877507102</v>
      </c>
      <c r="AA51">
        <v>2.25732723895841</v>
      </c>
      <c r="AB51">
        <v>2.2041583810195</v>
      </c>
    </row>
    <row r="52" spans="1:28" x14ac:dyDescent="0.25">
      <c r="A52" s="2" t="str">
        <f t="shared" si="0"/>
        <v>median_env_ch4</v>
      </c>
      <c r="B52" s="2">
        <f t="shared" si="1"/>
        <v>0</v>
      </c>
      <c r="C52" s="3">
        <f t="shared" si="2"/>
        <v>45166</v>
      </c>
      <c r="E52" s="1">
        <v>45166.177083333336</v>
      </c>
      <c r="F52" s="4">
        <v>1.8695380559631699E-5</v>
      </c>
      <c r="G52" s="4">
        <v>1.2824763710893401E-5</v>
      </c>
      <c r="H52" s="4">
        <v>1.2531407410952901E-5</v>
      </c>
      <c r="T52" t="s">
        <v>43</v>
      </c>
      <c r="U52" s="4">
        <f>B56</f>
        <v>0.27520538904147102</v>
      </c>
      <c r="V52" s="4">
        <f>B57</f>
        <v>0.19006671728897701</v>
      </c>
      <c r="W52" s="4">
        <f>B58</f>
        <v>0.18360000188901901</v>
      </c>
      <c r="Y52" t="s">
        <v>43</v>
      </c>
      <c r="Z52">
        <v>14.5257551510028</v>
      </c>
      <c r="AA52">
        <v>9.0293089558336401</v>
      </c>
      <c r="AB52">
        <v>8.8166335240780196</v>
      </c>
    </row>
    <row r="53" spans="1:28" x14ac:dyDescent="0.25">
      <c r="A53" s="2" t="str">
        <f t="shared" si="0"/>
        <v>max_env_ch3</v>
      </c>
      <c r="B53" s="2">
        <f t="shared" si="1"/>
        <v>5.4935528067489497E-2</v>
      </c>
      <c r="C53" s="3">
        <f t="shared" si="2"/>
        <v>45166.510416666664</v>
      </c>
      <c r="E53" s="1">
        <v>45166.1875</v>
      </c>
      <c r="F53" s="4">
        <v>1.2946619042287199E-5</v>
      </c>
      <c r="G53" s="4">
        <v>8.3493095512851607E-6</v>
      </c>
      <c r="H53" s="4">
        <v>8.0680020482168594E-6</v>
      </c>
      <c r="T53" t="s">
        <v>44</v>
      </c>
      <c r="U53" s="4">
        <f>B59</f>
        <v>1.1008215561658801</v>
      </c>
      <c r="V53" s="4">
        <f>B60</f>
        <v>0.69770897623182904</v>
      </c>
      <c r="W53" s="4">
        <f>B61</f>
        <v>0.67980506381696304</v>
      </c>
      <c r="Y53" t="s">
        <v>44</v>
      </c>
      <c r="Z53">
        <v>58.103020604011398</v>
      </c>
      <c r="AA53">
        <v>36.117235823334497</v>
      </c>
      <c r="AB53">
        <v>35.2665340963121</v>
      </c>
    </row>
    <row r="54" spans="1:28" x14ac:dyDescent="0.25">
      <c r="A54" s="2" t="str">
        <f t="shared" si="0"/>
        <v>mean_env_ch3</v>
      </c>
      <c r="B54" s="2">
        <f t="shared" si="1"/>
        <v>5.4935528067489497E-2</v>
      </c>
      <c r="C54" s="3">
        <f t="shared" si="2"/>
        <v>45166.510416666664</v>
      </c>
      <c r="E54" s="1">
        <v>45166.197916666664</v>
      </c>
      <c r="F54" s="4">
        <v>1.65125434031626E-5</v>
      </c>
      <c r="G54" s="4">
        <v>9.9031751572578706E-6</v>
      </c>
      <c r="H54" s="4">
        <v>9.7775469710039897E-6</v>
      </c>
    </row>
    <row r="55" spans="1:28" x14ac:dyDescent="0.25">
      <c r="A55" s="2" t="str">
        <f t="shared" si="0"/>
        <v>median_env_ch3</v>
      </c>
      <c r="B55" s="2">
        <f t="shared" si="1"/>
        <v>5.4935528067489497E-2</v>
      </c>
      <c r="C55" s="3">
        <f t="shared" si="2"/>
        <v>45166.510416666664</v>
      </c>
      <c r="E55" s="1">
        <v>45166.208333333336</v>
      </c>
      <c r="F55" s="4">
        <v>1.4069007595954001E-5</v>
      </c>
      <c r="G55" s="4">
        <v>9.9342098411788198E-6</v>
      </c>
      <c r="H55" s="4">
        <v>9.6957262892974697E-6</v>
      </c>
    </row>
    <row r="56" spans="1:28" x14ac:dyDescent="0.25">
      <c r="A56" s="2" t="str">
        <f t="shared" si="0"/>
        <v>max_env_ch2</v>
      </c>
      <c r="B56" s="2">
        <f t="shared" si="1"/>
        <v>0.27520538904147102</v>
      </c>
      <c r="C56" s="3">
        <f t="shared" si="2"/>
        <v>45166.510416666664</v>
      </c>
      <c r="E56" s="1">
        <v>45166.21875</v>
      </c>
      <c r="F56" s="4">
        <v>2.3279379224370299E-5</v>
      </c>
      <c r="G56" s="4">
        <v>1.4216809533821201E-5</v>
      </c>
      <c r="H56" s="4">
        <v>1.38773657330807E-5</v>
      </c>
    </row>
    <row r="57" spans="1:28" x14ac:dyDescent="0.25">
      <c r="A57" s="2" t="str">
        <f t="shared" si="0"/>
        <v>mean_env_ch2</v>
      </c>
      <c r="B57" s="2">
        <f t="shared" si="1"/>
        <v>0.19006671728897701</v>
      </c>
      <c r="C57" s="3">
        <f t="shared" si="2"/>
        <v>45166.510416666664</v>
      </c>
      <c r="E57" s="1">
        <v>45166.229166666664</v>
      </c>
      <c r="F57" s="4">
        <v>2.4032354730021402E-5</v>
      </c>
      <c r="G57" s="4">
        <v>1.5719492461176899E-5</v>
      </c>
      <c r="H57" s="4">
        <v>1.55231048071612E-5</v>
      </c>
    </row>
    <row r="58" spans="1:28" x14ac:dyDescent="0.25">
      <c r="A58" s="2" t="str">
        <f t="shared" si="0"/>
        <v>median_env_ch2</v>
      </c>
      <c r="B58" s="2">
        <f t="shared" si="1"/>
        <v>0.18360000188901901</v>
      </c>
      <c r="C58" s="3">
        <f t="shared" si="2"/>
        <v>45166.510416666664</v>
      </c>
      <c r="E58" s="1">
        <v>45166.239583333336</v>
      </c>
      <c r="F58" s="4">
        <v>1.7642357137767901E-5</v>
      </c>
      <c r="G58" s="4">
        <v>1.24661279341078E-5</v>
      </c>
      <c r="H58" s="4">
        <v>1.24175029132137E-5</v>
      </c>
    </row>
    <row r="59" spans="1:28" x14ac:dyDescent="0.25">
      <c r="A59" s="2" t="str">
        <f t="shared" si="0"/>
        <v>max_env_ch1</v>
      </c>
      <c r="B59" s="2">
        <f t="shared" si="1"/>
        <v>1.1008215561658801</v>
      </c>
      <c r="C59" s="3">
        <f t="shared" si="2"/>
        <v>45166.510416666664</v>
      </c>
      <c r="E59" s="1">
        <v>45166.25</v>
      </c>
      <c r="F59" s="4">
        <v>1.3703232698260599E-5</v>
      </c>
      <c r="G59" s="4">
        <v>7.6169489318380701E-6</v>
      </c>
      <c r="H59" s="4">
        <v>7.2145885002916399E-6</v>
      </c>
    </row>
    <row r="60" spans="1:28" x14ac:dyDescent="0.25">
      <c r="A60" s="2" t="str">
        <f t="shared" si="0"/>
        <v>mean_env_ch1</v>
      </c>
      <c r="B60" s="2">
        <f t="shared" si="1"/>
        <v>0.69770897623182904</v>
      </c>
      <c r="C60" s="3">
        <f t="shared" si="2"/>
        <v>45166.510416666664</v>
      </c>
      <c r="E60" s="1">
        <v>45166.260416666664</v>
      </c>
      <c r="F60" s="4">
        <v>9.0546177550336202E-6</v>
      </c>
      <c r="G60" s="4">
        <v>6.2493661830079897E-6</v>
      </c>
      <c r="H60" s="4">
        <v>6.2984858221777003E-6</v>
      </c>
    </row>
    <row r="61" spans="1:28" x14ac:dyDescent="0.25">
      <c r="A61" s="2" t="str">
        <f t="shared" si="0"/>
        <v>median_env_ch1</v>
      </c>
      <c r="B61" s="2">
        <f t="shared" si="1"/>
        <v>0.67980506381696304</v>
      </c>
      <c r="C61" s="3">
        <f t="shared" si="2"/>
        <v>45166.510416666664</v>
      </c>
      <c r="E61" s="1">
        <v>45166.270833333336</v>
      </c>
      <c r="F61" s="4">
        <v>1.7113267161572199E-5</v>
      </c>
      <c r="G61" s="4">
        <v>1.03078490890008E-5</v>
      </c>
      <c r="H61" s="4">
        <v>1.0186837783781301E-5</v>
      </c>
    </row>
    <row r="62" spans="1:28" x14ac:dyDescent="0.25">
      <c r="A62" t="s">
        <v>32</v>
      </c>
      <c r="B62" s="2">
        <f t="shared" ref="B62:B63" si="3">MAX(B29:CT29)</f>
        <v>2.5487565000000001</v>
      </c>
      <c r="C62" s="3">
        <f t="shared" ref="C62:C63" si="4">_xlfn.XLOOKUP(MAX(B29:CT29), B29:CT29, $B$1:$CT$1)</f>
        <v>45166.5625</v>
      </c>
      <c r="E62" s="1">
        <v>45166.28125</v>
      </c>
      <c r="F62" s="4">
        <v>1.5043949977078801E-5</v>
      </c>
      <c r="G62" s="4">
        <v>9.8859887528308103E-6</v>
      </c>
      <c r="H62" s="4">
        <v>9.4777492879302697E-6</v>
      </c>
    </row>
    <row r="63" spans="1:28" x14ac:dyDescent="0.25">
      <c r="A63" t="s">
        <v>33</v>
      </c>
      <c r="B63" s="2">
        <f t="shared" si="3"/>
        <v>0.150009053930409</v>
      </c>
      <c r="C63" s="3">
        <f t="shared" si="4"/>
        <v>45166.5625</v>
      </c>
      <c r="E63" s="1">
        <v>45166.291666666664</v>
      </c>
      <c r="F63" s="4">
        <v>1.2161431861909201E-5</v>
      </c>
      <c r="G63" s="4">
        <v>6.4938746143684401E-6</v>
      </c>
      <c r="H63" s="4">
        <v>6.3862103150050002E-6</v>
      </c>
    </row>
    <row r="64" spans="1:28" x14ac:dyDescent="0.25">
      <c r="A64" s="2"/>
      <c r="E64" s="1">
        <v>45166.302083333336</v>
      </c>
      <c r="F64" s="4">
        <v>8.9819595236041898E-6</v>
      </c>
      <c r="G64" s="4">
        <v>5.1809441256602898E-6</v>
      </c>
      <c r="H64" s="4">
        <v>5.0069581280553403E-6</v>
      </c>
    </row>
    <row r="65" spans="1:8" x14ac:dyDescent="0.25">
      <c r="A65" s="2"/>
      <c r="E65" s="1">
        <v>45166.3125</v>
      </c>
      <c r="F65" s="4">
        <v>1.64226926600943E-5</v>
      </c>
      <c r="G65" s="4">
        <v>7.7574010708964195E-6</v>
      </c>
      <c r="H65" s="4">
        <v>7.5175387303978202E-6</v>
      </c>
    </row>
    <row r="66" spans="1:8" x14ac:dyDescent="0.25">
      <c r="A66" s="2"/>
      <c r="E66" s="1">
        <v>45166.322916666664</v>
      </c>
      <c r="F66" s="4">
        <v>2.7469586729197902E-5</v>
      </c>
      <c r="G66" s="4">
        <v>1.58464511375325E-5</v>
      </c>
      <c r="H66" s="4">
        <v>1.5310728284796901E-5</v>
      </c>
    </row>
    <row r="67" spans="1:8" x14ac:dyDescent="0.25">
      <c r="A67" s="2"/>
      <c r="E67" s="1">
        <v>45166.333333333336</v>
      </c>
      <c r="F67" s="4">
        <v>1.6198124879905699E-5</v>
      </c>
      <c r="G67" s="4">
        <v>1.06279764800516E-5</v>
      </c>
      <c r="H67" s="4">
        <v>1.0183282957960099E-5</v>
      </c>
    </row>
    <row r="68" spans="1:8" x14ac:dyDescent="0.25">
      <c r="A68" s="2"/>
      <c r="E68" s="1">
        <v>45166.34375</v>
      </c>
      <c r="F68" s="4">
        <v>2.4246367869673201E-5</v>
      </c>
      <c r="G68" s="4">
        <v>1.48770014638873E-5</v>
      </c>
      <c r="H68" s="4">
        <v>1.3783869519108199E-5</v>
      </c>
    </row>
    <row r="69" spans="1:8" x14ac:dyDescent="0.25">
      <c r="A69" s="2"/>
      <c r="E69" s="1">
        <v>45166.354166666664</v>
      </c>
      <c r="F69" s="4">
        <v>1.19986539889451E-5</v>
      </c>
      <c r="G69" s="4">
        <v>7.1987518013655298E-6</v>
      </c>
      <c r="H69" s="4">
        <v>6.74082303802902E-6</v>
      </c>
    </row>
    <row r="70" spans="1:8" x14ac:dyDescent="0.25">
      <c r="A70" s="2"/>
      <c r="E70" s="1">
        <v>45166.364583333336</v>
      </c>
      <c r="F70" s="4">
        <v>1.5801484044808799E-5</v>
      </c>
      <c r="G70" s="4">
        <v>9.6445135282160202E-6</v>
      </c>
      <c r="H70" s="4">
        <v>9.4615966712722606E-6</v>
      </c>
    </row>
    <row r="71" spans="1:8" x14ac:dyDescent="0.25">
      <c r="A71" s="2"/>
      <c r="E71" s="1">
        <v>45166.375</v>
      </c>
      <c r="F71" s="4">
        <v>1.1064989854383301E-5</v>
      </c>
      <c r="G71" s="4">
        <v>7.1035867197037301E-6</v>
      </c>
      <c r="H71" s="4">
        <v>6.87228343099598E-6</v>
      </c>
    </row>
    <row r="72" spans="1:8" x14ac:dyDescent="0.25">
      <c r="A72" s="2"/>
      <c r="E72" s="1">
        <v>45166.385416666664</v>
      </c>
      <c r="F72" s="4">
        <v>2.1652829355114599E-5</v>
      </c>
      <c r="G72" s="4">
        <v>1.4443472000190699E-5</v>
      </c>
      <c r="H72" s="4">
        <v>1.4533554172511201E-5</v>
      </c>
    </row>
    <row r="73" spans="1:8" x14ac:dyDescent="0.25">
      <c r="A73" s="2"/>
      <c r="E73" s="1">
        <v>45166.395833333336</v>
      </c>
      <c r="F73" s="4">
        <v>1.70088066808248E-5</v>
      </c>
      <c r="G73" s="4">
        <v>1.01736698115723E-5</v>
      </c>
      <c r="H73" s="4">
        <v>9.8596156157272405E-6</v>
      </c>
    </row>
    <row r="74" spans="1:8" x14ac:dyDescent="0.25">
      <c r="A74" s="2"/>
      <c r="E74" s="1">
        <v>45166.40625</v>
      </c>
      <c r="F74" s="4">
        <v>9.0068157888797098E-6</v>
      </c>
      <c r="G74" s="4">
        <v>6.2806780045956498E-6</v>
      </c>
      <c r="H74" s="4">
        <v>6.08870245353198E-6</v>
      </c>
    </row>
    <row r="75" spans="1:8" x14ac:dyDescent="0.25">
      <c r="E75" s="1">
        <v>45166.416666666664</v>
      </c>
      <c r="F75" s="4">
        <v>1.63807473605101E-5</v>
      </c>
      <c r="G75" s="4">
        <v>1.0025951672939101E-5</v>
      </c>
      <c r="H75" s="4">
        <v>1.00186182499114E-5</v>
      </c>
    </row>
    <row r="76" spans="1:8" x14ac:dyDescent="0.25">
      <c r="E76" s="1">
        <v>45166.427083333336</v>
      </c>
      <c r="F76" s="4">
        <v>1.6171265310508201E-5</v>
      </c>
      <c r="G76" s="4">
        <v>1.01656471923265E-5</v>
      </c>
      <c r="H76" s="4">
        <v>9.8701563440397606E-6</v>
      </c>
    </row>
    <row r="77" spans="1:8" x14ac:dyDescent="0.25">
      <c r="E77" s="1">
        <v>45166.4375</v>
      </c>
      <c r="F77" s="4">
        <v>1.88908041307188E-5</v>
      </c>
      <c r="G77" s="4">
        <v>1.44569782942092E-5</v>
      </c>
      <c r="H77" s="4">
        <v>1.4617399836042101E-5</v>
      </c>
    </row>
    <row r="78" spans="1:8" x14ac:dyDescent="0.25">
      <c r="E78" s="1">
        <v>45166.447916666664</v>
      </c>
      <c r="F78" s="4">
        <v>2.3954878351072802E-5</v>
      </c>
      <c r="G78" s="4">
        <v>1.5123892250493E-5</v>
      </c>
      <c r="H78" s="4">
        <v>1.51120959903415E-5</v>
      </c>
    </row>
    <row r="79" spans="1:8" x14ac:dyDescent="0.25">
      <c r="E79" s="1">
        <v>45166.458333333336</v>
      </c>
      <c r="F79" s="4">
        <v>2.46720611997203E-5</v>
      </c>
      <c r="G79" s="4">
        <v>1.5619687817441899E-5</v>
      </c>
      <c r="H79" s="4">
        <v>1.52196512897706E-5</v>
      </c>
    </row>
    <row r="80" spans="1:8" x14ac:dyDescent="0.25">
      <c r="E80" s="1">
        <v>45166.46875</v>
      </c>
      <c r="F80" s="4">
        <v>1.30746645583374E-5</v>
      </c>
      <c r="G80" s="4">
        <v>9.5247621212201997E-6</v>
      </c>
      <c r="H80" s="4">
        <v>9.5662265349910606E-6</v>
      </c>
    </row>
    <row r="81" spans="5:8" x14ac:dyDescent="0.25">
      <c r="E81" s="1">
        <v>45166.479166666664</v>
      </c>
      <c r="F81" s="4">
        <v>1.28906385563234E-5</v>
      </c>
      <c r="G81" s="4">
        <v>9.6200210590251099E-6</v>
      </c>
      <c r="H81" s="4">
        <v>9.6224272157266693E-6</v>
      </c>
    </row>
    <row r="82" spans="5:8" x14ac:dyDescent="0.25">
      <c r="E82" s="1">
        <v>45166.489583333336</v>
      </c>
      <c r="F82" s="4">
        <v>2.3072166822292398E-5</v>
      </c>
      <c r="G82" s="4">
        <v>1.5210887410547899E-5</v>
      </c>
      <c r="H82" s="4">
        <v>1.50557193224341E-5</v>
      </c>
    </row>
    <row r="83" spans="5:8" x14ac:dyDescent="0.25">
      <c r="E83" s="1">
        <v>45166.5</v>
      </c>
      <c r="F83" s="4">
        <v>1.40208629648499E-5</v>
      </c>
      <c r="G83" s="4">
        <v>8.2632414473978099E-6</v>
      </c>
      <c r="H83" s="4">
        <v>7.9296620681536998E-6</v>
      </c>
    </row>
    <row r="84" spans="5:8" x14ac:dyDescent="0.25">
      <c r="E84" s="1">
        <v>45166.510416666664</v>
      </c>
      <c r="F84">
        <v>1.0750210509432401E-3</v>
      </c>
      <c r="G84">
        <v>6.8135642210139598E-4</v>
      </c>
      <c r="H84">
        <v>6.6387213263375297E-4</v>
      </c>
    </row>
    <row r="85" spans="5:8" x14ac:dyDescent="0.25">
      <c r="E85" s="1">
        <v>45166.520833333336</v>
      </c>
      <c r="F85">
        <v>4.5673812797558297E-4</v>
      </c>
      <c r="G85">
        <v>3.25734596259831E-4</v>
      </c>
      <c r="H85">
        <v>3.2221038518619898E-4</v>
      </c>
    </row>
    <row r="86" spans="5:8" x14ac:dyDescent="0.25">
      <c r="E86" s="1">
        <v>45166.53125</v>
      </c>
      <c r="F86">
        <v>4.2534713314167799E-4</v>
      </c>
      <c r="G86">
        <v>2.5978205830019401E-4</v>
      </c>
      <c r="H86">
        <v>2.49572236077777E-4</v>
      </c>
    </row>
    <row r="87" spans="5:8" x14ac:dyDescent="0.25">
      <c r="E87" s="1">
        <v>45166.541666666664</v>
      </c>
      <c r="F87">
        <v>3.7895210768732602E-4</v>
      </c>
      <c r="G87">
        <v>2.42532247158388E-4</v>
      </c>
      <c r="H87">
        <v>2.41677628007315E-4</v>
      </c>
    </row>
    <row r="88" spans="5:8" x14ac:dyDescent="0.25">
      <c r="E88" s="1">
        <v>45166.552083333336</v>
      </c>
      <c r="F88">
        <v>2.6241110356951602E-4</v>
      </c>
      <c r="G88">
        <v>1.7903645040002401E-4</v>
      </c>
      <c r="H88">
        <v>1.7406676544725699E-4</v>
      </c>
    </row>
    <row r="89" spans="5:8" x14ac:dyDescent="0.25">
      <c r="E89" s="1">
        <v>45166.5625</v>
      </c>
      <c r="F89">
        <v>6.5097091374688096E-4</v>
      </c>
      <c r="G89">
        <v>5.1559915470239298E-4</v>
      </c>
      <c r="H89">
        <v>5.1122168363904497E-4</v>
      </c>
    </row>
    <row r="90" spans="5:8" x14ac:dyDescent="0.25">
      <c r="E90" s="1">
        <v>45166.572916666664</v>
      </c>
      <c r="F90">
        <v>3.0132357673727202E-4</v>
      </c>
      <c r="G90">
        <v>1.98755509910385E-4</v>
      </c>
      <c r="H90">
        <v>1.92449184601041E-4</v>
      </c>
    </row>
    <row r="91" spans="5:8" x14ac:dyDescent="0.25">
      <c r="E91" s="1">
        <v>45166.583333333336</v>
      </c>
      <c r="F91">
        <v>3.4948342491081101E-4</v>
      </c>
      <c r="G91">
        <v>2.6775671113723999E-4</v>
      </c>
      <c r="H91">
        <v>2.6369812419674E-4</v>
      </c>
    </row>
    <row r="92" spans="5:8" x14ac:dyDescent="0.25">
      <c r="E92" s="1">
        <v>45166.59375</v>
      </c>
      <c r="F92">
        <v>3.7080606067121501E-4</v>
      </c>
      <c r="G92">
        <v>2.5376894292727199E-4</v>
      </c>
      <c r="H92">
        <v>2.4867948851089701E-4</v>
      </c>
    </row>
    <row r="93" spans="5:8" x14ac:dyDescent="0.25">
      <c r="E93" s="1">
        <v>45166.604166666664</v>
      </c>
      <c r="F93">
        <v>4.6855468669220498E-4</v>
      </c>
      <c r="G93">
        <v>3.5363413124816302E-4</v>
      </c>
      <c r="H93">
        <v>3.47354899542922E-4</v>
      </c>
    </row>
    <row r="94" spans="5:8" x14ac:dyDescent="0.25">
      <c r="E94" s="1">
        <v>45166.614583333336</v>
      </c>
      <c r="F94">
        <v>2.7411117250122598E-4</v>
      </c>
      <c r="G94">
        <v>2.0299135276290401E-4</v>
      </c>
      <c r="H94">
        <v>2.00588273473152E-4</v>
      </c>
    </row>
    <row r="95" spans="5:8" x14ac:dyDescent="0.25">
      <c r="E95" s="1">
        <v>45166.625</v>
      </c>
      <c r="F95">
        <v>1.6340162912242899E-4</v>
      </c>
      <c r="G95">
        <v>1.12891414393195E-4</v>
      </c>
      <c r="H95">
        <v>1.11148320105988E-4</v>
      </c>
    </row>
    <row r="96" spans="5:8" x14ac:dyDescent="0.25">
      <c r="E96" s="1">
        <v>45166.635416666664</v>
      </c>
      <c r="F96">
        <v>1.3211201996537301E-4</v>
      </c>
      <c r="G96" s="4">
        <v>8.9954119930707793E-5</v>
      </c>
      <c r="H96" s="4">
        <v>8.7872460496983998E-5</v>
      </c>
    </row>
    <row r="97" spans="5:8" x14ac:dyDescent="0.25">
      <c r="E97" s="1">
        <v>45166.645833333336</v>
      </c>
      <c r="F97">
        <v>2.0455220765261899E-4</v>
      </c>
      <c r="G97">
        <v>1.4782147073835701E-4</v>
      </c>
      <c r="H97">
        <v>1.4812615381709101E-4</v>
      </c>
    </row>
    <row r="98" spans="5:8" x14ac:dyDescent="0.25">
      <c r="E98" s="1">
        <v>45166.65625</v>
      </c>
      <c r="F98">
        <v>1.3832966176240301E-4</v>
      </c>
      <c r="G98" s="4">
        <v>8.8170670487006103E-5</v>
      </c>
      <c r="H98" s="4">
        <v>8.7696967090047904E-5</v>
      </c>
    </row>
    <row r="99" spans="5:8" x14ac:dyDescent="0.25">
      <c r="E99" s="1">
        <v>45166.666666666664</v>
      </c>
      <c r="F99" s="4">
        <v>6.7233320745294702E-5</v>
      </c>
      <c r="G99" s="4">
        <v>4.6997856866020098E-5</v>
      </c>
      <c r="H99" s="4">
        <v>4.59786911509227E-5</v>
      </c>
    </row>
    <row r="100" spans="5:8" x14ac:dyDescent="0.25">
      <c r="E100" s="1">
        <v>45166.677083333336</v>
      </c>
      <c r="F100" s="4">
        <v>5.7242264718325099E-5</v>
      </c>
      <c r="G100" s="4">
        <v>3.3181660365596298E-5</v>
      </c>
      <c r="H100" s="4">
        <v>3.1536108020385399E-5</v>
      </c>
    </row>
    <row r="101" spans="5:8" x14ac:dyDescent="0.25">
      <c r="E101" s="1">
        <v>45166.6875</v>
      </c>
      <c r="F101" s="4">
        <v>8.2432301819617394E-5</v>
      </c>
      <c r="G101" s="4">
        <v>5.87373305557101E-5</v>
      </c>
      <c r="H101" s="4">
        <v>5.8748554220705401E-5</v>
      </c>
    </row>
    <row r="102" spans="5:8" x14ac:dyDescent="0.25">
      <c r="E102" s="1">
        <v>45166.697916666664</v>
      </c>
      <c r="F102" s="4">
        <v>6.6835766441826095E-5</v>
      </c>
      <c r="G102" s="4">
        <v>4.5530835539192399E-5</v>
      </c>
      <c r="H102" s="4">
        <v>4.44280610163631E-5</v>
      </c>
    </row>
    <row r="103" spans="5:8" x14ac:dyDescent="0.25">
      <c r="E103" s="1">
        <v>45166.708333333336</v>
      </c>
      <c r="F103" s="4">
        <v>6.3342658012071295E-5</v>
      </c>
      <c r="G103" s="4">
        <v>4.44947278793909E-5</v>
      </c>
      <c r="H103" s="4">
        <v>4.3111095997870597E-5</v>
      </c>
    </row>
    <row r="104" spans="5:8" x14ac:dyDescent="0.25">
      <c r="E104" s="1">
        <v>45166.71875</v>
      </c>
      <c r="F104" s="4">
        <v>5.8821851953617603E-5</v>
      </c>
      <c r="G104" s="4">
        <v>3.71979975151851E-5</v>
      </c>
      <c r="H104" s="4">
        <v>3.5848547811445999E-5</v>
      </c>
    </row>
    <row r="105" spans="5:8" x14ac:dyDescent="0.25">
      <c r="E105" s="1">
        <v>45166.729166666664</v>
      </c>
      <c r="F105" s="4">
        <v>2.8480017348643499E-5</v>
      </c>
      <c r="G105" s="4">
        <v>2.0072211090657398E-5</v>
      </c>
      <c r="H105" s="4">
        <v>1.9964655795377299E-5</v>
      </c>
    </row>
    <row r="106" spans="5:8" x14ac:dyDescent="0.25">
      <c r="E106" s="1">
        <v>45166.739583333336</v>
      </c>
      <c r="F106" s="4">
        <v>3.3200992545768699E-5</v>
      </c>
      <c r="G106" s="4">
        <v>2.3361204635100002E-5</v>
      </c>
      <c r="H106" s="4">
        <v>2.2765689395809499E-5</v>
      </c>
    </row>
    <row r="107" spans="5:8" x14ac:dyDescent="0.25">
      <c r="E107" s="1">
        <v>45166.75</v>
      </c>
      <c r="F107" s="4">
        <v>2.57421216879668E-5</v>
      </c>
      <c r="G107" s="4">
        <v>1.7885117346553399E-5</v>
      </c>
      <c r="H107" s="4">
        <v>1.7687218975568799E-5</v>
      </c>
    </row>
    <row r="108" spans="5:8" x14ac:dyDescent="0.25">
      <c r="E108" s="1">
        <v>45166.760416666664</v>
      </c>
      <c r="F108" s="4">
        <v>3.8364063302338002E-5</v>
      </c>
      <c r="G108" s="4">
        <v>2.55096713461974E-5</v>
      </c>
      <c r="H108" s="4">
        <v>2.4715855488524201E-5</v>
      </c>
    </row>
    <row r="109" spans="5:8" x14ac:dyDescent="0.25">
      <c r="E109" s="1">
        <v>45166.770833333336</v>
      </c>
      <c r="F109" s="4">
        <v>5.5121427124719697E-5</v>
      </c>
      <c r="G109" s="4">
        <v>3.54787470547822E-5</v>
      </c>
      <c r="H109" s="4">
        <v>3.5225072191967399E-5</v>
      </c>
    </row>
    <row r="110" spans="5:8" x14ac:dyDescent="0.25">
      <c r="E110" s="1">
        <v>45166.78125</v>
      </c>
      <c r="F110" s="4">
        <v>3.5054365385647899E-5</v>
      </c>
      <c r="G110" s="4">
        <v>2.65885866089397E-5</v>
      </c>
      <c r="H110" s="4">
        <v>2.6799530834552302E-5</v>
      </c>
    </row>
    <row r="111" spans="5:8" x14ac:dyDescent="0.25">
      <c r="E111" s="1">
        <v>45166.791666666664</v>
      </c>
      <c r="F111" s="4">
        <v>4.2552530734628699E-5</v>
      </c>
      <c r="G111" s="4">
        <v>2.9852704973968401E-5</v>
      </c>
      <c r="H111" s="4">
        <v>2.9566681262376401E-5</v>
      </c>
    </row>
    <row r="112" spans="5:8" x14ac:dyDescent="0.25">
      <c r="E112" s="1">
        <v>45166.802083333336</v>
      </c>
      <c r="F112" s="4">
        <v>5.8273387060576498E-5</v>
      </c>
      <c r="G112" s="4">
        <v>3.83261592267911E-5</v>
      </c>
      <c r="H112" s="4">
        <v>3.7468695040185502E-5</v>
      </c>
    </row>
    <row r="113" spans="5:8" x14ac:dyDescent="0.25">
      <c r="E113" s="1">
        <v>45166.8125</v>
      </c>
      <c r="F113" s="4">
        <v>3.6837945820144901E-5</v>
      </c>
      <c r="G113" s="4">
        <v>2.6895706410671199E-5</v>
      </c>
      <c r="H113" s="4">
        <v>2.5902126474867499E-5</v>
      </c>
    </row>
    <row r="114" spans="5:8" x14ac:dyDescent="0.25">
      <c r="E114" s="1">
        <v>45166.822916666664</v>
      </c>
      <c r="F114" s="4">
        <v>2.0783434715109E-5</v>
      </c>
      <c r="G114" s="4">
        <v>1.46074077688415E-5</v>
      </c>
      <c r="H114" s="4">
        <v>1.41581854109421E-5</v>
      </c>
    </row>
    <row r="115" spans="5:8" x14ac:dyDescent="0.25">
      <c r="E115" s="1">
        <v>45166.833333333336</v>
      </c>
      <c r="F115" s="4">
        <v>5.9712146218263097E-5</v>
      </c>
      <c r="G115" s="4">
        <v>3.8117988676458703E-5</v>
      </c>
      <c r="H115" s="4">
        <v>3.726853644437E-5</v>
      </c>
    </row>
    <row r="116" spans="5:8" x14ac:dyDescent="0.25">
      <c r="E116" s="1">
        <v>45166.84375</v>
      </c>
      <c r="F116" s="4">
        <v>2.9110014111693599E-5</v>
      </c>
      <c r="G116" s="4">
        <v>2.0782257905341101E-5</v>
      </c>
      <c r="H116" s="4">
        <v>2.0633781577003699E-5</v>
      </c>
    </row>
    <row r="117" spans="5:8" x14ac:dyDescent="0.25">
      <c r="E117" s="1">
        <v>45166.854166666664</v>
      </c>
      <c r="F117" s="4">
        <v>3.2209523911566199E-5</v>
      </c>
      <c r="G117" s="4">
        <v>2.0555585988355999E-5</v>
      </c>
      <c r="H117" s="4">
        <v>2.01848567950935E-5</v>
      </c>
    </row>
    <row r="118" spans="5:8" x14ac:dyDescent="0.25">
      <c r="E118" s="1">
        <v>45166.864583333336</v>
      </c>
      <c r="F118" s="4">
        <v>3.6023721543075299E-5</v>
      </c>
      <c r="G118" s="4">
        <v>2.1104169041235399E-5</v>
      </c>
      <c r="H118" s="4">
        <v>2.0697651344991599E-5</v>
      </c>
    </row>
    <row r="119" spans="5:8" x14ac:dyDescent="0.25">
      <c r="E119" s="1">
        <v>45166.875</v>
      </c>
      <c r="F119" s="4">
        <v>2.99115569270013E-5</v>
      </c>
      <c r="G119" s="4">
        <v>2.0253750369532501E-5</v>
      </c>
      <c r="H119" s="4">
        <v>2.0066176385074299E-5</v>
      </c>
    </row>
    <row r="120" spans="5:8" x14ac:dyDescent="0.25">
      <c r="E120" s="1">
        <v>45166.885416666664</v>
      </c>
      <c r="F120" s="4">
        <v>2.5616182481731199E-5</v>
      </c>
      <c r="G120" s="4">
        <v>1.6303770002898898E-5</v>
      </c>
      <c r="H120" s="4">
        <v>1.6171145683767599E-5</v>
      </c>
    </row>
    <row r="121" spans="5:8" x14ac:dyDescent="0.25">
      <c r="E121" s="1">
        <v>45166.895833333336</v>
      </c>
      <c r="F121" s="4">
        <v>2.4702625537585901E-5</v>
      </c>
      <c r="G121" s="4">
        <v>1.6835927237024501E-5</v>
      </c>
      <c r="H121" s="4">
        <v>1.64930700754088E-5</v>
      </c>
    </row>
    <row r="122" spans="5:8" x14ac:dyDescent="0.25">
      <c r="E122" s="1">
        <v>45166.90625</v>
      </c>
      <c r="F122" s="4">
        <v>2.0860000535585401E-5</v>
      </c>
      <c r="G122" s="4">
        <v>1.1605796525083301E-5</v>
      </c>
      <c r="H122" s="4">
        <v>1.13776467209141E-5</v>
      </c>
    </row>
    <row r="123" spans="5:8" x14ac:dyDescent="0.25">
      <c r="E123" s="1">
        <v>45166.916666666664</v>
      </c>
      <c r="F123" s="4">
        <v>2.7405090210068402E-5</v>
      </c>
      <c r="G123" s="4">
        <v>1.3716523329195001E-5</v>
      </c>
      <c r="H123" s="4">
        <v>1.34466926586265E-5</v>
      </c>
    </row>
    <row r="124" spans="5:8" x14ac:dyDescent="0.25">
      <c r="E124" s="1">
        <v>45166.927083333336</v>
      </c>
      <c r="F124" s="4">
        <v>2.0382987300069101E-5</v>
      </c>
      <c r="G124" s="4">
        <v>1.19161263336258E-5</v>
      </c>
      <c r="H124" s="4">
        <v>1.1863593840648199E-5</v>
      </c>
    </row>
    <row r="125" spans="5:8" x14ac:dyDescent="0.25">
      <c r="E125" s="1">
        <v>45166.9375</v>
      </c>
      <c r="F125" s="4">
        <v>1.6305312739751299E-5</v>
      </c>
      <c r="G125" s="4">
        <v>9.1492892932851399E-6</v>
      </c>
      <c r="H125" s="4">
        <v>8.7265871981260003E-6</v>
      </c>
    </row>
    <row r="126" spans="5:8" x14ac:dyDescent="0.25">
      <c r="E126" s="1">
        <v>45166.947916666664</v>
      </c>
      <c r="F126" s="4">
        <v>3.0736602092188903E-5</v>
      </c>
      <c r="G126" s="4">
        <v>1.8426855405125899E-5</v>
      </c>
      <c r="H126" s="4">
        <v>1.7863858619309398E-5</v>
      </c>
    </row>
    <row r="127" spans="5:8" x14ac:dyDescent="0.25">
      <c r="E127" s="1">
        <v>45166.958333333336</v>
      </c>
      <c r="F127" s="4">
        <v>2.90590200705692E-5</v>
      </c>
      <c r="G127" s="4">
        <v>1.8113478685784402E-5</v>
      </c>
      <c r="H127" s="4">
        <v>1.8277217558815101E-5</v>
      </c>
    </row>
    <row r="128" spans="5:8" x14ac:dyDescent="0.25">
      <c r="E128" s="1">
        <v>45166.96875</v>
      </c>
      <c r="F128" s="4">
        <v>1.8795014164232299E-5</v>
      </c>
      <c r="G128" s="4">
        <v>1.30991786579686E-5</v>
      </c>
      <c r="H128" s="4">
        <v>1.2707200865007601E-5</v>
      </c>
    </row>
    <row r="129" spans="5:8" x14ac:dyDescent="0.25">
      <c r="E129" s="1">
        <v>45166.979166666664</v>
      </c>
      <c r="F129" s="4">
        <v>2.5526786590298399E-5</v>
      </c>
      <c r="G129" s="4">
        <v>1.2713712426391899E-5</v>
      </c>
      <c r="H129" s="4">
        <v>1.20621989743255E-5</v>
      </c>
    </row>
    <row r="130" spans="5:8" x14ac:dyDescent="0.25">
      <c r="E130" s="1">
        <v>45166.989583333336</v>
      </c>
      <c r="F130" s="4">
        <v>2.8572947311885599E-5</v>
      </c>
      <c r="G130" s="4">
        <v>1.6953823033100401E-5</v>
      </c>
      <c r="H130" s="4">
        <v>1.6575487744229299E-5</v>
      </c>
    </row>
    <row r="131" spans="5:8" x14ac:dyDescent="0.25">
      <c r="E131" s="1">
        <v>45167</v>
      </c>
      <c r="F131" s="4">
        <v>1.9309454578144899E-5</v>
      </c>
      <c r="G131" s="4">
        <v>1.31455737573118E-5</v>
      </c>
      <c r="H131" s="4">
        <v>1.31931983616038E-5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2025-10-23T21:37:37Z</dcterms:created>
  <dcterms:modified xsi:type="dcterms:W3CDTF">2025-12-11T01:01:21Z</dcterms:modified>
</cp:coreProperties>
</file>