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ck4481\Documents\GitHub\La_Jara\Hydrophones\Results\noise_corrected\calculations\"/>
    </mc:Choice>
  </mc:AlternateContent>
  <xr:revisionPtr revIDLastSave="0" documentId="13_ncr:1_{5AFDAC65-1328-4790-8199-40F6DE1E8C64}" xr6:coauthVersionLast="47" xr6:coauthVersionMax="47" xr10:uidLastSave="{00000000-0000-0000-0000-000000000000}"/>
  <bookViews>
    <workbookView xWindow="-25320" yWindow="360" windowWidth="25440" windowHeight="15270" xr2:uid="{867F3169-A9A3-4AE6-89E2-304587BC45FE}"/>
  </bookViews>
  <sheets>
    <sheet name="storm2_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1" i="1" l="1"/>
  <c r="B42" i="1"/>
  <c r="B40" i="1"/>
  <c r="B34" i="1"/>
  <c r="C61" i="1"/>
  <c r="C62" i="1"/>
  <c r="C60" i="1"/>
  <c r="C34" i="1"/>
  <c r="B61" i="1"/>
  <c r="B62" i="1"/>
  <c r="C35" i="1" l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B35" i="1"/>
  <c r="B36" i="1"/>
  <c r="B37" i="1"/>
  <c r="B38" i="1"/>
  <c r="B39" i="1"/>
  <c r="B43" i="1"/>
  <c r="U47" i="1" s="1"/>
  <c r="B44" i="1"/>
  <c r="V47" i="1" s="1"/>
  <c r="B45" i="1"/>
  <c r="W47" i="1" s="1"/>
  <c r="B46" i="1"/>
  <c r="U48" i="1" s="1"/>
  <c r="B47" i="1"/>
  <c r="V48" i="1" s="1"/>
  <c r="B48" i="1"/>
  <c r="W48" i="1" s="1"/>
  <c r="B49" i="1"/>
  <c r="U49" i="1" s="1"/>
  <c r="B50" i="1"/>
  <c r="V49" i="1" s="1"/>
  <c r="B51" i="1"/>
  <c r="W49" i="1" s="1"/>
  <c r="B52" i="1"/>
  <c r="U50" i="1" s="1"/>
  <c r="B53" i="1"/>
  <c r="V50" i="1" s="1"/>
  <c r="B54" i="1"/>
  <c r="W50" i="1" s="1"/>
  <c r="B55" i="1"/>
  <c r="U51" i="1" s="1"/>
  <c r="B56" i="1"/>
  <c r="V51" i="1" s="1"/>
  <c r="B57" i="1"/>
  <c r="W51" i="1" s="1"/>
  <c r="B58" i="1"/>
  <c r="U52" i="1" s="1"/>
  <c r="B59" i="1"/>
  <c r="V52" i="1" s="1"/>
  <c r="B60" i="1"/>
  <c r="W52" i="1" s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34" i="1"/>
</calcChain>
</file>

<file path=xl/sharedStrings.xml><?xml version="1.0" encoding="utf-8"?>
<sst xmlns="http://schemas.openxmlformats.org/spreadsheetml/2006/main" count="59" uniqueCount="45">
  <si>
    <t>max_amp</t>
  </si>
  <si>
    <t>mean_amp</t>
  </si>
  <si>
    <t>median_amp</t>
  </si>
  <si>
    <t>impulses_ch6</t>
  </si>
  <si>
    <t>impulses_ch5</t>
  </si>
  <si>
    <t>impulses_ch4</t>
  </si>
  <si>
    <t>impulses_ch3</t>
  </si>
  <si>
    <t>impulses_ch2</t>
  </si>
  <si>
    <t>impulses_ch1</t>
  </si>
  <si>
    <t>max_env_ch6</t>
  </si>
  <si>
    <t>mean_env_ch6</t>
  </si>
  <si>
    <t>median_env_ch6</t>
  </si>
  <si>
    <t>max_env_ch5</t>
  </si>
  <si>
    <t>mean_env_ch5</t>
  </si>
  <si>
    <t>median_env_ch5</t>
  </si>
  <si>
    <t>max_env_ch4</t>
  </si>
  <si>
    <t>mean_env_ch4</t>
  </si>
  <si>
    <t>median_env_ch4</t>
  </si>
  <si>
    <t>max_env_ch3</t>
  </si>
  <si>
    <t>mean_env_ch3</t>
  </si>
  <si>
    <t>median_env_ch3</t>
  </si>
  <si>
    <t>max_env_ch2</t>
  </si>
  <si>
    <t>mean_env_ch2</t>
  </si>
  <si>
    <t>median_env_ch2</t>
  </si>
  <si>
    <t>max_env_ch1</t>
  </si>
  <si>
    <t>mean_env_ch1</t>
  </si>
  <si>
    <t>median_env_ch1</t>
  </si>
  <si>
    <t>when</t>
  </si>
  <si>
    <t xml:space="preserve">Time </t>
  </si>
  <si>
    <t>Max Amp</t>
  </si>
  <si>
    <t>Mean Amp</t>
  </si>
  <si>
    <t>Med Amp</t>
  </si>
  <si>
    <t>tau</t>
  </si>
  <si>
    <t>amp_factor</t>
  </si>
  <si>
    <t>timestamp</t>
  </si>
  <si>
    <t>max</t>
  </si>
  <si>
    <t>mean</t>
  </si>
  <si>
    <t>impulses</t>
  </si>
  <si>
    <t>med</t>
  </si>
  <si>
    <t>ch6</t>
  </si>
  <si>
    <t>ch5</t>
  </si>
  <si>
    <t>ch4</t>
  </si>
  <si>
    <t>ch3</t>
  </si>
  <si>
    <t>ch2</t>
  </si>
  <si>
    <t>ch1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</si>
</sst>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0.00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22" fontId="0" fillId="0" borderId="0" xfId="0" applyNumberFormat="1"/>
    <xf numFmtId="11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/>
    </xf>
    <xf numFmtId="0" fontId="0" fillId="33" borderId="0" xfId="0" applyFill="1"/>
    <xf numFmtId="164" fontId="0" fillId="33" borderId="0" xfId="0" applyNumberFormat="1" applyFill="1"/>
    <xf numFmtId="0" fontId="0" fillId="33" borderId="0" xfId="0" applyFill="1" applyAlignment="1">
      <alignment horizontal="center"/>
    </xf>
    <xf numFmtId="22" fontId="0" fillId="0" borderId="0" xfId="0" applyNumberFormat="1" applyAlignment="1">
      <alignment horizontal="center"/>
    </xf>
    <xf numFmtId="165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 Amp</a:t>
            </a:r>
            <a:r>
              <a:rPr lang="en-US" baseline="0"/>
              <a:t> Over Time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storm2_results!$E$34:$E$125</c:f>
              <c:numCache>
                <c:formatCode>m/d/yyyy\ h:mm</c:formatCode>
                <c:ptCount val="92"/>
                <c:pt idx="0">
                  <c:v>44776.000694444447</c:v>
                </c:pt>
                <c:pt idx="1">
                  <c:v>44776.011111111111</c:v>
                </c:pt>
                <c:pt idx="2">
                  <c:v>44776.021527777775</c:v>
                </c:pt>
                <c:pt idx="3">
                  <c:v>44776.031944444447</c:v>
                </c:pt>
                <c:pt idx="4">
                  <c:v>44776.042361111111</c:v>
                </c:pt>
                <c:pt idx="5">
                  <c:v>44776.052777777775</c:v>
                </c:pt>
                <c:pt idx="6">
                  <c:v>44776.063194444447</c:v>
                </c:pt>
                <c:pt idx="7">
                  <c:v>44776.073611111111</c:v>
                </c:pt>
                <c:pt idx="8">
                  <c:v>44776.084027777775</c:v>
                </c:pt>
                <c:pt idx="9">
                  <c:v>44776.094444444447</c:v>
                </c:pt>
                <c:pt idx="10">
                  <c:v>44776.104861111111</c:v>
                </c:pt>
                <c:pt idx="11">
                  <c:v>44776.115277777775</c:v>
                </c:pt>
                <c:pt idx="12">
                  <c:v>44776.125694444447</c:v>
                </c:pt>
                <c:pt idx="13">
                  <c:v>44776.136111111111</c:v>
                </c:pt>
                <c:pt idx="14">
                  <c:v>44776.146527777775</c:v>
                </c:pt>
                <c:pt idx="15">
                  <c:v>44776.156944444447</c:v>
                </c:pt>
                <c:pt idx="16">
                  <c:v>44776.167361111111</c:v>
                </c:pt>
                <c:pt idx="17">
                  <c:v>44776.177777777775</c:v>
                </c:pt>
                <c:pt idx="18">
                  <c:v>44776.188194444447</c:v>
                </c:pt>
                <c:pt idx="19">
                  <c:v>44776.198611111111</c:v>
                </c:pt>
                <c:pt idx="20">
                  <c:v>44776.209027777775</c:v>
                </c:pt>
                <c:pt idx="21">
                  <c:v>44776.219444444447</c:v>
                </c:pt>
                <c:pt idx="22">
                  <c:v>44776.229861111111</c:v>
                </c:pt>
                <c:pt idx="23">
                  <c:v>44776.240277777775</c:v>
                </c:pt>
                <c:pt idx="24">
                  <c:v>44776.250694444447</c:v>
                </c:pt>
                <c:pt idx="25">
                  <c:v>44776.261111111111</c:v>
                </c:pt>
                <c:pt idx="26">
                  <c:v>44776.271527777775</c:v>
                </c:pt>
                <c:pt idx="27">
                  <c:v>44776.281944444447</c:v>
                </c:pt>
                <c:pt idx="28">
                  <c:v>44776.292361111111</c:v>
                </c:pt>
                <c:pt idx="29">
                  <c:v>44776.302777777775</c:v>
                </c:pt>
                <c:pt idx="30">
                  <c:v>44776.313194444447</c:v>
                </c:pt>
                <c:pt idx="31">
                  <c:v>44776.323611111111</c:v>
                </c:pt>
                <c:pt idx="32">
                  <c:v>44776.334027777775</c:v>
                </c:pt>
                <c:pt idx="33">
                  <c:v>44776.344444444447</c:v>
                </c:pt>
                <c:pt idx="34">
                  <c:v>44776.354861111111</c:v>
                </c:pt>
                <c:pt idx="35">
                  <c:v>44776.365277777775</c:v>
                </c:pt>
                <c:pt idx="36">
                  <c:v>44776.375694444447</c:v>
                </c:pt>
                <c:pt idx="37">
                  <c:v>44776.386111111111</c:v>
                </c:pt>
                <c:pt idx="38">
                  <c:v>44776.396527777775</c:v>
                </c:pt>
                <c:pt idx="39">
                  <c:v>44776.406944444447</c:v>
                </c:pt>
                <c:pt idx="40">
                  <c:v>44776.417361111111</c:v>
                </c:pt>
                <c:pt idx="41">
                  <c:v>44776.427777777775</c:v>
                </c:pt>
                <c:pt idx="42">
                  <c:v>44776.438194444447</c:v>
                </c:pt>
                <c:pt idx="43">
                  <c:v>44776.448611111111</c:v>
                </c:pt>
                <c:pt idx="44">
                  <c:v>44776.459027777775</c:v>
                </c:pt>
                <c:pt idx="45">
                  <c:v>44776.469444444447</c:v>
                </c:pt>
                <c:pt idx="46">
                  <c:v>44776.479861111111</c:v>
                </c:pt>
                <c:pt idx="47">
                  <c:v>44776.490277777775</c:v>
                </c:pt>
                <c:pt idx="48">
                  <c:v>44776.500694444447</c:v>
                </c:pt>
                <c:pt idx="49">
                  <c:v>44776.511111111111</c:v>
                </c:pt>
                <c:pt idx="50">
                  <c:v>44776.521527777775</c:v>
                </c:pt>
                <c:pt idx="51">
                  <c:v>44776.531944444447</c:v>
                </c:pt>
                <c:pt idx="52">
                  <c:v>44776.542361111111</c:v>
                </c:pt>
                <c:pt idx="53">
                  <c:v>44776.552777777775</c:v>
                </c:pt>
                <c:pt idx="54">
                  <c:v>44776.563194444447</c:v>
                </c:pt>
                <c:pt idx="55">
                  <c:v>44776.573611111111</c:v>
                </c:pt>
                <c:pt idx="56">
                  <c:v>44776.584027777775</c:v>
                </c:pt>
                <c:pt idx="57">
                  <c:v>44776.594444444447</c:v>
                </c:pt>
                <c:pt idx="58">
                  <c:v>44776.604861111111</c:v>
                </c:pt>
                <c:pt idx="59">
                  <c:v>44776.615277777775</c:v>
                </c:pt>
                <c:pt idx="60">
                  <c:v>44776.625694444447</c:v>
                </c:pt>
                <c:pt idx="61">
                  <c:v>44776.636111111111</c:v>
                </c:pt>
                <c:pt idx="62">
                  <c:v>44776.646527777775</c:v>
                </c:pt>
                <c:pt idx="63">
                  <c:v>44776.656944444447</c:v>
                </c:pt>
                <c:pt idx="64">
                  <c:v>44776.667361111111</c:v>
                </c:pt>
                <c:pt idx="65">
                  <c:v>44776.677777777775</c:v>
                </c:pt>
                <c:pt idx="66">
                  <c:v>44776.688194444447</c:v>
                </c:pt>
                <c:pt idx="67">
                  <c:v>44776.698611111111</c:v>
                </c:pt>
                <c:pt idx="68">
                  <c:v>44776.709027777775</c:v>
                </c:pt>
                <c:pt idx="69">
                  <c:v>44776.719444444447</c:v>
                </c:pt>
                <c:pt idx="70">
                  <c:v>44776.729861111111</c:v>
                </c:pt>
                <c:pt idx="71">
                  <c:v>44776.740277777775</c:v>
                </c:pt>
                <c:pt idx="72">
                  <c:v>44776.750694444447</c:v>
                </c:pt>
                <c:pt idx="73">
                  <c:v>44776.761111111111</c:v>
                </c:pt>
                <c:pt idx="74">
                  <c:v>44776.771527777775</c:v>
                </c:pt>
                <c:pt idx="75">
                  <c:v>44776.781944444447</c:v>
                </c:pt>
                <c:pt idx="76">
                  <c:v>44776.792361111111</c:v>
                </c:pt>
                <c:pt idx="77">
                  <c:v>44776.802777777775</c:v>
                </c:pt>
                <c:pt idx="78">
                  <c:v>44776.813194444447</c:v>
                </c:pt>
                <c:pt idx="79">
                  <c:v>44776.823611111111</c:v>
                </c:pt>
                <c:pt idx="80">
                  <c:v>44776.834027777775</c:v>
                </c:pt>
                <c:pt idx="81">
                  <c:v>44776.844444444447</c:v>
                </c:pt>
                <c:pt idx="82">
                  <c:v>44776.854861111111</c:v>
                </c:pt>
                <c:pt idx="83">
                  <c:v>44776.865277777775</c:v>
                </c:pt>
                <c:pt idx="84">
                  <c:v>44776.875694444447</c:v>
                </c:pt>
                <c:pt idx="85">
                  <c:v>44776.917361111111</c:v>
                </c:pt>
                <c:pt idx="86">
                  <c:v>44776.948611111111</c:v>
                </c:pt>
                <c:pt idx="87">
                  <c:v>44776.959027777775</c:v>
                </c:pt>
                <c:pt idx="88">
                  <c:v>44776.969444444447</c:v>
                </c:pt>
                <c:pt idx="89">
                  <c:v>44776.979861111111</c:v>
                </c:pt>
                <c:pt idx="90">
                  <c:v>44776.990277777775</c:v>
                </c:pt>
                <c:pt idx="91">
                  <c:v>44777.000694444447</c:v>
                </c:pt>
              </c:numCache>
            </c:numRef>
          </c:xVal>
          <c:yVal>
            <c:numRef>
              <c:f>storm2_results!$F$34:$F$125</c:f>
              <c:numCache>
                <c:formatCode>General</c:formatCode>
                <c:ptCount val="92"/>
                <c:pt idx="0">
                  <c:v>1.4955602719514201E-3</c:v>
                </c:pt>
                <c:pt idx="1">
                  <c:v>1.8309745607605499E-3</c:v>
                </c:pt>
                <c:pt idx="2">
                  <c:v>1.9109347783652299E-3</c:v>
                </c:pt>
                <c:pt idx="3">
                  <c:v>1.68743229133343E-3</c:v>
                </c:pt>
                <c:pt idx="4">
                  <c:v>1.72438646685688E-3</c:v>
                </c:pt>
                <c:pt idx="5">
                  <c:v>1.4704661606273399E-3</c:v>
                </c:pt>
                <c:pt idx="6">
                  <c:v>1.6665107529161901E-3</c:v>
                </c:pt>
                <c:pt idx="7">
                  <c:v>1.83290314890138E-3</c:v>
                </c:pt>
                <c:pt idx="8">
                  <c:v>1.6837174444085899E-3</c:v>
                </c:pt>
                <c:pt idx="9">
                  <c:v>1.7097107206537E-3</c:v>
                </c:pt>
                <c:pt idx="10">
                  <c:v>1.7989273872607099E-3</c:v>
                </c:pt>
                <c:pt idx="11">
                  <c:v>1.7040234354624699E-3</c:v>
                </c:pt>
                <c:pt idx="12">
                  <c:v>2.1815395347090601E-3</c:v>
                </c:pt>
                <c:pt idx="13">
                  <c:v>1.66382600606423E-3</c:v>
                </c:pt>
                <c:pt idx="14">
                  <c:v>1.5966931489887E-3</c:v>
                </c:pt>
                <c:pt idx="15">
                  <c:v>1.4900711813125101E-3</c:v>
                </c:pt>
                <c:pt idx="16">
                  <c:v>1.5743544098570301E-3</c:v>
                </c:pt>
                <c:pt idx="17">
                  <c:v>1.7356257073646499E-3</c:v>
                </c:pt>
                <c:pt idx="18">
                  <c:v>1.47959596568332E-3</c:v>
                </c:pt>
                <c:pt idx="19">
                  <c:v>1.5884123237744599E-3</c:v>
                </c:pt>
                <c:pt idx="20">
                  <c:v>1.58726559516091E-3</c:v>
                </c:pt>
                <c:pt idx="21">
                  <c:v>1.80429829327259E-3</c:v>
                </c:pt>
                <c:pt idx="22">
                  <c:v>1.7821104159901099E-3</c:v>
                </c:pt>
                <c:pt idx="23">
                  <c:v>1.5586168093157399E-3</c:v>
                </c:pt>
                <c:pt idx="24">
                  <c:v>1.5338057626346599E-3</c:v>
                </c:pt>
                <c:pt idx="25">
                  <c:v>1.7430859968627201E-3</c:v>
                </c:pt>
                <c:pt idx="26">
                  <c:v>1.4722945166709999E-3</c:v>
                </c:pt>
                <c:pt idx="27">
                  <c:v>1.4342019579008599E-3</c:v>
                </c:pt>
                <c:pt idx="28">
                  <c:v>1.5663141121691E-3</c:v>
                </c:pt>
                <c:pt idx="29">
                  <c:v>1.6060107812522E-3</c:v>
                </c:pt>
                <c:pt idx="30">
                  <c:v>1.4228156633069001E-3</c:v>
                </c:pt>
                <c:pt idx="31">
                  <c:v>1.62495919365844E-3</c:v>
                </c:pt>
                <c:pt idx="32">
                  <c:v>2.0374389063300999E-3</c:v>
                </c:pt>
                <c:pt idx="33">
                  <c:v>1.78875307502596E-3</c:v>
                </c:pt>
                <c:pt idx="34">
                  <c:v>1.47752317105199E-3</c:v>
                </c:pt>
                <c:pt idx="35">
                  <c:v>1.5269880596736601E-3</c:v>
                </c:pt>
                <c:pt idx="36">
                  <c:v>1.6185400832467E-3</c:v>
                </c:pt>
                <c:pt idx="37">
                  <c:v>1.9699526705927099E-3</c:v>
                </c:pt>
                <c:pt idx="38">
                  <c:v>1.67916379384027E-3</c:v>
                </c:pt>
                <c:pt idx="39">
                  <c:v>1.52336149363826E-3</c:v>
                </c:pt>
                <c:pt idx="40">
                  <c:v>1.83348655117861E-3</c:v>
                </c:pt>
                <c:pt idx="41">
                  <c:v>1.53863608572197E-3</c:v>
                </c:pt>
                <c:pt idx="42">
                  <c:v>1.5323471590504799E-3</c:v>
                </c:pt>
                <c:pt idx="43">
                  <c:v>1.8349051903074399E-3</c:v>
                </c:pt>
                <c:pt idx="44">
                  <c:v>1.3362125891374899E-3</c:v>
                </c:pt>
                <c:pt idx="45">
                  <c:v>1.57749098484379E-3</c:v>
                </c:pt>
                <c:pt idx="46">
                  <c:v>1.88072315721025E-3</c:v>
                </c:pt>
                <c:pt idx="47">
                  <c:v>1.49764535066663E-3</c:v>
                </c:pt>
                <c:pt idx="48">
                  <c:v>1.44990757909898E-3</c:v>
                </c:pt>
                <c:pt idx="49">
                  <c:v>1.6445534406063201E-3</c:v>
                </c:pt>
                <c:pt idx="50">
                  <c:v>1.49849804631073E-3</c:v>
                </c:pt>
                <c:pt idx="51">
                  <c:v>1.75272505335628E-3</c:v>
                </c:pt>
                <c:pt idx="52">
                  <c:v>1.7477777618441E-3</c:v>
                </c:pt>
                <c:pt idx="53">
                  <c:v>1.4017038497322401E-3</c:v>
                </c:pt>
                <c:pt idx="54">
                  <c:v>1.3574561634927399E-3</c:v>
                </c:pt>
                <c:pt idx="55">
                  <c:v>1.81593059069755E-3</c:v>
                </c:pt>
                <c:pt idx="56">
                  <c:v>1.4856138179010099E-3</c:v>
                </c:pt>
                <c:pt idx="57">
                  <c:v>1.5163016537163899E-3</c:v>
                </c:pt>
                <c:pt idx="58">
                  <c:v>2.1448380105844999E-3</c:v>
                </c:pt>
                <c:pt idx="59">
                  <c:v>6.3360207758395102E-3</c:v>
                </c:pt>
                <c:pt idx="60">
                  <c:v>2.7100659833378001E-2</c:v>
                </c:pt>
                <c:pt idx="61">
                  <c:v>1.24645744986261E-2</c:v>
                </c:pt>
                <c:pt idx="62">
                  <c:v>1.0060327126060999E-2</c:v>
                </c:pt>
                <c:pt idx="63">
                  <c:v>8.5108884807833796E-3</c:v>
                </c:pt>
                <c:pt idx="64">
                  <c:v>8.7778912773804098E-3</c:v>
                </c:pt>
                <c:pt idx="65">
                  <c:v>8.7982744717244495E-3</c:v>
                </c:pt>
                <c:pt idx="66">
                  <c:v>9.82229610596351E-3</c:v>
                </c:pt>
                <c:pt idx="67">
                  <c:v>8.4297547627244195E-3</c:v>
                </c:pt>
                <c:pt idx="68">
                  <c:v>9.8801195227675997E-3</c:v>
                </c:pt>
                <c:pt idx="69">
                  <c:v>8.1641440752267397E-3</c:v>
                </c:pt>
                <c:pt idx="70">
                  <c:v>7.1229805188118799E-3</c:v>
                </c:pt>
                <c:pt idx="71">
                  <c:v>7.6671431334010198E-3</c:v>
                </c:pt>
                <c:pt idx="72">
                  <c:v>6.5316394382562201E-3</c:v>
                </c:pt>
                <c:pt idx="73">
                  <c:v>7.1146443776370196E-3</c:v>
                </c:pt>
                <c:pt idx="74">
                  <c:v>6.7227076636487701E-3</c:v>
                </c:pt>
                <c:pt idx="75">
                  <c:v>4.8378525919520604E-3</c:v>
                </c:pt>
                <c:pt idx="76">
                  <c:v>4.9265829371615104E-3</c:v>
                </c:pt>
                <c:pt idx="77">
                  <c:v>5.0058445530102901E-3</c:v>
                </c:pt>
                <c:pt idx="78">
                  <c:v>5.6579143068844996E-3</c:v>
                </c:pt>
                <c:pt idx="79">
                  <c:v>5.4040963983280899E-3</c:v>
                </c:pt>
                <c:pt idx="80">
                  <c:v>5.9553863651619597E-3</c:v>
                </c:pt>
                <c:pt idx="81">
                  <c:v>5.9124241501536303E-3</c:v>
                </c:pt>
                <c:pt idx="82">
                  <c:v>5.5729355060811997E-3</c:v>
                </c:pt>
                <c:pt idx="83">
                  <c:v>5.7235491201370198E-3</c:v>
                </c:pt>
                <c:pt idx="84">
                  <c:v>5.3205317134202602E-3</c:v>
                </c:pt>
                <c:pt idx="85">
                  <c:v>6.6042492000304301E-3</c:v>
                </c:pt>
                <c:pt idx="86">
                  <c:v>7.3344477715992298E-3</c:v>
                </c:pt>
                <c:pt idx="87">
                  <c:v>7.64757278088736E-3</c:v>
                </c:pt>
                <c:pt idx="88">
                  <c:v>6.5381733318855299E-3</c:v>
                </c:pt>
                <c:pt idx="89">
                  <c:v>6.5848300189003898E-3</c:v>
                </c:pt>
                <c:pt idx="90">
                  <c:v>8.1282455529692495E-3</c:v>
                </c:pt>
                <c:pt idx="91">
                  <c:v>6.3385999173041297E-3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24A-42D0-9EB5-E2CE575604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1374511"/>
        <c:axId val="382721663"/>
      </c:scatterChart>
      <c:valAx>
        <c:axId val="541374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2721663"/>
        <c:crosses val="autoZero"/>
        <c:crossBetween val="midCat"/>
      </c:valAx>
      <c:valAx>
        <c:axId val="382721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3745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 Amp</a:t>
            </a:r>
            <a:r>
              <a:rPr lang="en-US" baseline="0"/>
              <a:t> Over Time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storm2_results!$E$34:$E$125</c:f>
              <c:numCache>
                <c:formatCode>m/d/yyyy\ h:mm</c:formatCode>
                <c:ptCount val="92"/>
                <c:pt idx="0">
                  <c:v>44776.000694444447</c:v>
                </c:pt>
                <c:pt idx="1">
                  <c:v>44776.011111111111</c:v>
                </c:pt>
                <c:pt idx="2">
                  <c:v>44776.021527777775</c:v>
                </c:pt>
                <c:pt idx="3">
                  <c:v>44776.031944444447</c:v>
                </c:pt>
                <c:pt idx="4">
                  <c:v>44776.042361111111</c:v>
                </c:pt>
                <c:pt idx="5">
                  <c:v>44776.052777777775</c:v>
                </c:pt>
                <c:pt idx="6">
                  <c:v>44776.063194444447</c:v>
                </c:pt>
                <c:pt idx="7">
                  <c:v>44776.073611111111</c:v>
                </c:pt>
                <c:pt idx="8">
                  <c:v>44776.084027777775</c:v>
                </c:pt>
                <c:pt idx="9">
                  <c:v>44776.094444444447</c:v>
                </c:pt>
                <c:pt idx="10">
                  <c:v>44776.104861111111</c:v>
                </c:pt>
                <c:pt idx="11">
                  <c:v>44776.115277777775</c:v>
                </c:pt>
                <c:pt idx="12">
                  <c:v>44776.125694444447</c:v>
                </c:pt>
                <c:pt idx="13">
                  <c:v>44776.136111111111</c:v>
                </c:pt>
                <c:pt idx="14">
                  <c:v>44776.146527777775</c:v>
                </c:pt>
                <c:pt idx="15">
                  <c:v>44776.156944444447</c:v>
                </c:pt>
                <c:pt idx="16">
                  <c:v>44776.167361111111</c:v>
                </c:pt>
                <c:pt idx="17">
                  <c:v>44776.177777777775</c:v>
                </c:pt>
                <c:pt idx="18">
                  <c:v>44776.188194444447</c:v>
                </c:pt>
                <c:pt idx="19">
                  <c:v>44776.198611111111</c:v>
                </c:pt>
                <c:pt idx="20">
                  <c:v>44776.209027777775</c:v>
                </c:pt>
                <c:pt idx="21">
                  <c:v>44776.219444444447</c:v>
                </c:pt>
                <c:pt idx="22">
                  <c:v>44776.229861111111</c:v>
                </c:pt>
                <c:pt idx="23">
                  <c:v>44776.240277777775</c:v>
                </c:pt>
                <c:pt idx="24">
                  <c:v>44776.250694444447</c:v>
                </c:pt>
                <c:pt idx="25">
                  <c:v>44776.261111111111</c:v>
                </c:pt>
                <c:pt idx="26">
                  <c:v>44776.271527777775</c:v>
                </c:pt>
                <c:pt idx="27">
                  <c:v>44776.281944444447</c:v>
                </c:pt>
                <c:pt idx="28">
                  <c:v>44776.292361111111</c:v>
                </c:pt>
                <c:pt idx="29">
                  <c:v>44776.302777777775</c:v>
                </c:pt>
                <c:pt idx="30">
                  <c:v>44776.313194444447</c:v>
                </c:pt>
                <c:pt idx="31">
                  <c:v>44776.323611111111</c:v>
                </c:pt>
                <c:pt idx="32">
                  <c:v>44776.334027777775</c:v>
                </c:pt>
                <c:pt idx="33">
                  <c:v>44776.344444444447</c:v>
                </c:pt>
                <c:pt idx="34">
                  <c:v>44776.354861111111</c:v>
                </c:pt>
                <c:pt idx="35">
                  <c:v>44776.365277777775</c:v>
                </c:pt>
                <c:pt idx="36">
                  <c:v>44776.375694444447</c:v>
                </c:pt>
                <c:pt idx="37">
                  <c:v>44776.386111111111</c:v>
                </c:pt>
                <c:pt idx="38">
                  <c:v>44776.396527777775</c:v>
                </c:pt>
                <c:pt idx="39">
                  <c:v>44776.406944444447</c:v>
                </c:pt>
                <c:pt idx="40">
                  <c:v>44776.417361111111</c:v>
                </c:pt>
                <c:pt idx="41">
                  <c:v>44776.427777777775</c:v>
                </c:pt>
                <c:pt idx="42">
                  <c:v>44776.438194444447</c:v>
                </c:pt>
                <c:pt idx="43">
                  <c:v>44776.448611111111</c:v>
                </c:pt>
                <c:pt idx="44">
                  <c:v>44776.459027777775</c:v>
                </c:pt>
                <c:pt idx="45">
                  <c:v>44776.469444444447</c:v>
                </c:pt>
                <c:pt idx="46">
                  <c:v>44776.479861111111</c:v>
                </c:pt>
                <c:pt idx="47">
                  <c:v>44776.490277777775</c:v>
                </c:pt>
                <c:pt idx="48">
                  <c:v>44776.500694444447</c:v>
                </c:pt>
                <c:pt idx="49">
                  <c:v>44776.511111111111</c:v>
                </c:pt>
                <c:pt idx="50">
                  <c:v>44776.521527777775</c:v>
                </c:pt>
                <c:pt idx="51">
                  <c:v>44776.531944444447</c:v>
                </c:pt>
                <c:pt idx="52">
                  <c:v>44776.542361111111</c:v>
                </c:pt>
                <c:pt idx="53">
                  <c:v>44776.552777777775</c:v>
                </c:pt>
                <c:pt idx="54">
                  <c:v>44776.563194444447</c:v>
                </c:pt>
                <c:pt idx="55">
                  <c:v>44776.573611111111</c:v>
                </c:pt>
                <c:pt idx="56">
                  <c:v>44776.584027777775</c:v>
                </c:pt>
                <c:pt idx="57">
                  <c:v>44776.594444444447</c:v>
                </c:pt>
                <c:pt idx="58">
                  <c:v>44776.604861111111</c:v>
                </c:pt>
                <c:pt idx="59">
                  <c:v>44776.615277777775</c:v>
                </c:pt>
                <c:pt idx="60">
                  <c:v>44776.625694444447</c:v>
                </c:pt>
                <c:pt idx="61">
                  <c:v>44776.636111111111</c:v>
                </c:pt>
                <c:pt idx="62">
                  <c:v>44776.646527777775</c:v>
                </c:pt>
                <c:pt idx="63">
                  <c:v>44776.656944444447</c:v>
                </c:pt>
                <c:pt idx="64">
                  <c:v>44776.667361111111</c:v>
                </c:pt>
                <c:pt idx="65">
                  <c:v>44776.677777777775</c:v>
                </c:pt>
                <c:pt idx="66">
                  <c:v>44776.688194444447</c:v>
                </c:pt>
                <c:pt idx="67">
                  <c:v>44776.698611111111</c:v>
                </c:pt>
                <c:pt idx="68">
                  <c:v>44776.709027777775</c:v>
                </c:pt>
                <c:pt idx="69">
                  <c:v>44776.719444444447</c:v>
                </c:pt>
                <c:pt idx="70">
                  <c:v>44776.729861111111</c:v>
                </c:pt>
                <c:pt idx="71">
                  <c:v>44776.740277777775</c:v>
                </c:pt>
                <c:pt idx="72">
                  <c:v>44776.750694444447</c:v>
                </c:pt>
                <c:pt idx="73">
                  <c:v>44776.761111111111</c:v>
                </c:pt>
                <c:pt idx="74">
                  <c:v>44776.771527777775</c:v>
                </c:pt>
                <c:pt idx="75">
                  <c:v>44776.781944444447</c:v>
                </c:pt>
                <c:pt idx="76">
                  <c:v>44776.792361111111</c:v>
                </c:pt>
                <c:pt idx="77">
                  <c:v>44776.802777777775</c:v>
                </c:pt>
                <c:pt idx="78">
                  <c:v>44776.813194444447</c:v>
                </c:pt>
                <c:pt idx="79">
                  <c:v>44776.823611111111</c:v>
                </c:pt>
                <c:pt idx="80">
                  <c:v>44776.834027777775</c:v>
                </c:pt>
                <c:pt idx="81">
                  <c:v>44776.844444444447</c:v>
                </c:pt>
                <c:pt idx="82">
                  <c:v>44776.854861111111</c:v>
                </c:pt>
                <c:pt idx="83">
                  <c:v>44776.865277777775</c:v>
                </c:pt>
                <c:pt idx="84">
                  <c:v>44776.875694444447</c:v>
                </c:pt>
                <c:pt idx="85">
                  <c:v>44776.917361111111</c:v>
                </c:pt>
                <c:pt idx="86">
                  <c:v>44776.948611111111</c:v>
                </c:pt>
                <c:pt idx="87">
                  <c:v>44776.959027777775</c:v>
                </c:pt>
                <c:pt idx="88">
                  <c:v>44776.969444444447</c:v>
                </c:pt>
                <c:pt idx="89">
                  <c:v>44776.979861111111</c:v>
                </c:pt>
                <c:pt idx="90">
                  <c:v>44776.990277777775</c:v>
                </c:pt>
                <c:pt idx="91">
                  <c:v>44777.000694444447</c:v>
                </c:pt>
              </c:numCache>
            </c:numRef>
          </c:xVal>
          <c:yVal>
            <c:numRef>
              <c:f>storm2_results!$G$34:$G$125</c:f>
              <c:numCache>
                <c:formatCode>General</c:formatCode>
                <c:ptCount val="92"/>
                <c:pt idx="0">
                  <c:v>1.1437127206880701E-3</c:v>
                </c:pt>
                <c:pt idx="1">
                  <c:v>1.1849316044833999E-3</c:v>
                </c:pt>
                <c:pt idx="2">
                  <c:v>1.25018717908892E-3</c:v>
                </c:pt>
                <c:pt idx="3">
                  <c:v>1.3053348072256899E-3</c:v>
                </c:pt>
                <c:pt idx="4">
                  <c:v>1.18017452623748E-3</c:v>
                </c:pt>
                <c:pt idx="5">
                  <c:v>1.0925614772622899E-3</c:v>
                </c:pt>
                <c:pt idx="6">
                  <c:v>1.16031754111188E-3</c:v>
                </c:pt>
                <c:pt idx="7">
                  <c:v>1.2289139288872101E-3</c:v>
                </c:pt>
                <c:pt idx="8">
                  <c:v>1.24679403789504E-3</c:v>
                </c:pt>
                <c:pt idx="9">
                  <c:v>1.2213201419337999E-3</c:v>
                </c:pt>
                <c:pt idx="10">
                  <c:v>1.1966042346025899E-3</c:v>
                </c:pt>
                <c:pt idx="11">
                  <c:v>1.2083973112576301E-3</c:v>
                </c:pt>
                <c:pt idx="12">
                  <c:v>1.17222133740963E-3</c:v>
                </c:pt>
                <c:pt idx="13">
                  <c:v>1.1580636400546601E-3</c:v>
                </c:pt>
                <c:pt idx="14">
                  <c:v>1.00974954341798E-3</c:v>
                </c:pt>
                <c:pt idx="15">
                  <c:v>1.0144472498856E-3</c:v>
                </c:pt>
                <c:pt idx="16">
                  <c:v>1.06117533746699E-3</c:v>
                </c:pt>
                <c:pt idx="17">
                  <c:v>1.0824893917180201E-3</c:v>
                </c:pt>
                <c:pt idx="18">
                  <c:v>1.0827473468178501E-3</c:v>
                </c:pt>
                <c:pt idx="19">
                  <c:v>1.04200761559237E-3</c:v>
                </c:pt>
                <c:pt idx="20">
                  <c:v>1.0822369453516399E-3</c:v>
                </c:pt>
                <c:pt idx="21">
                  <c:v>1.1100168324352101E-3</c:v>
                </c:pt>
                <c:pt idx="22">
                  <c:v>1.2190451745914899E-3</c:v>
                </c:pt>
                <c:pt idx="23">
                  <c:v>1.1300108309794199E-3</c:v>
                </c:pt>
                <c:pt idx="24">
                  <c:v>1.06394265243172E-3</c:v>
                </c:pt>
                <c:pt idx="25">
                  <c:v>1.07051307534728E-3</c:v>
                </c:pt>
                <c:pt idx="26">
                  <c:v>1.03972179723355E-3</c:v>
                </c:pt>
                <c:pt idx="27">
                  <c:v>1.0125764444577699E-3</c:v>
                </c:pt>
                <c:pt idx="28">
                  <c:v>1.00640569000145E-3</c:v>
                </c:pt>
                <c:pt idx="29">
                  <c:v>1.06522085640999E-3</c:v>
                </c:pt>
                <c:pt idx="30">
                  <c:v>9.5948849180747104E-4</c:v>
                </c:pt>
                <c:pt idx="31">
                  <c:v>1.0048861337458299E-3</c:v>
                </c:pt>
                <c:pt idx="32">
                  <c:v>1.1269803661458301E-3</c:v>
                </c:pt>
                <c:pt idx="33">
                  <c:v>1.13515305795827E-3</c:v>
                </c:pt>
                <c:pt idx="34">
                  <c:v>1.0248348082812599E-3</c:v>
                </c:pt>
                <c:pt idx="35">
                  <c:v>1.05608767089269E-3</c:v>
                </c:pt>
                <c:pt idx="36">
                  <c:v>1.1341115910043699E-3</c:v>
                </c:pt>
                <c:pt idx="37">
                  <c:v>1.0996250520123501E-3</c:v>
                </c:pt>
                <c:pt idx="38">
                  <c:v>1.1178947215649E-3</c:v>
                </c:pt>
                <c:pt idx="39">
                  <c:v>1.0507880654452701E-3</c:v>
                </c:pt>
                <c:pt idx="40">
                  <c:v>1.1559236020883101E-3</c:v>
                </c:pt>
                <c:pt idx="41">
                  <c:v>1.0691822336061699E-3</c:v>
                </c:pt>
                <c:pt idx="42">
                  <c:v>1.0430672143762101E-3</c:v>
                </c:pt>
                <c:pt idx="43">
                  <c:v>1.06816801237793E-3</c:v>
                </c:pt>
                <c:pt idx="44">
                  <c:v>9.9080517867649502E-4</c:v>
                </c:pt>
                <c:pt idx="45">
                  <c:v>9.8538503623421991E-4</c:v>
                </c:pt>
                <c:pt idx="46">
                  <c:v>1.08380541547588E-3</c:v>
                </c:pt>
                <c:pt idx="47">
                  <c:v>1.0399158030962999E-3</c:v>
                </c:pt>
                <c:pt idx="48">
                  <c:v>1.07068488043492E-3</c:v>
                </c:pt>
                <c:pt idx="49">
                  <c:v>1.0928159278623399E-3</c:v>
                </c:pt>
                <c:pt idx="50">
                  <c:v>1.0923208810086401E-3</c:v>
                </c:pt>
                <c:pt idx="51">
                  <c:v>1.0543365080269199E-3</c:v>
                </c:pt>
                <c:pt idx="52">
                  <c:v>1.06280428002083E-3</c:v>
                </c:pt>
                <c:pt idx="53">
                  <c:v>1.00541687745604E-3</c:v>
                </c:pt>
                <c:pt idx="54">
                  <c:v>9.2044874896626296E-4</c:v>
                </c:pt>
                <c:pt idx="55">
                  <c:v>9.3213517397716195E-4</c:v>
                </c:pt>
                <c:pt idx="56">
                  <c:v>9.6755380945194602E-4</c:v>
                </c:pt>
                <c:pt idx="57">
                  <c:v>1.0643091260125999E-3</c:v>
                </c:pt>
                <c:pt idx="58">
                  <c:v>1.1816506125130199E-3</c:v>
                </c:pt>
                <c:pt idx="59">
                  <c:v>3.5034695792361199E-3</c:v>
                </c:pt>
                <c:pt idx="60">
                  <c:v>1.73415591077304E-2</c:v>
                </c:pt>
                <c:pt idx="61">
                  <c:v>8.7732511398933392E-3</c:v>
                </c:pt>
                <c:pt idx="62">
                  <c:v>7.2940252171190597E-3</c:v>
                </c:pt>
                <c:pt idx="63">
                  <c:v>6.0184539737866199E-3</c:v>
                </c:pt>
                <c:pt idx="64">
                  <c:v>6.4892442121546297E-3</c:v>
                </c:pt>
                <c:pt idx="65">
                  <c:v>7.0542054236052698E-3</c:v>
                </c:pt>
                <c:pt idx="66">
                  <c:v>6.7403450210649597E-3</c:v>
                </c:pt>
                <c:pt idx="67">
                  <c:v>6.44231446877326E-3</c:v>
                </c:pt>
                <c:pt idx="68">
                  <c:v>6.5191823419279401E-3</c:v>
                </c:pt>
                <c:pt idx="69">
                  <c:v>6.2064660680208302E-3</c:v>
                </c:pt>
                <c:pt idx="70">
                  <c:v>5.5158948583627198E-3</c:v>
                </c:pt>
                <c:pt idx="71">
                  <c:v>5.1110928912059001E-3</c:v>
                </c:pt>
                <c:pt idx="72">
                  <c:v>4.6323092197396096E-3</c:v>
                </c:pt>
                <c:pt idx="73">
                  <c:v>4.10336690857063E-3</c:v>
                </c:pt>
                <c:pt idx="74">
                  <c:v>3.8494217464620198E-3</c:v>
                </c:pt>
                <c:pt idx="75">
                  <c:v>3.5892743023233399E-3</c:v>
                </c:pt>
                <c:pt idx="76">
                  <c:v>3.7627582685674402E-3</c:v>
                </c:pt>
                <c:pt idx="77">
                  <c:v>3.52465983924252E-3</c:v>
                </c:pt>
                <c:pt idx="78">
                  <c:v>3.2747447598388702E-3</c:v>
                </c:pt>
                <c:pt idx="79">
                  <c:v>3.5452474775090601E-3</c:v>
                </c:pt>
                <c:pt idx="80">
                  <c:v>3.9345504818117201E-3</c:v>
                </c:pt>
                <c:pt idx="81">
                  <c:v>4.1257857118724497E-3</c:v>
                </c:pt>
                <c:pt idx="82">
                  <c:v>4.0328615629782903E-3</c:v>
                </c:pt>
                <c:pt idx="83">
                  <c:v>4.1889350795283999E-3</c:v>
                </c:pt>
                <c:pt idx="84">
                  <c:v>3.9800871627992699E-3</c:v>
                </c:pt>
                <c:pt idx="85">
                  <c:v>4.6082400419298003E-3</c:v>
                </c:pt>
                <c:pt idx="86">
                  <c:v>4.48453947451733E-3</c:v>
                </c:pt>
                <c:pt idx="87">
                  <c:v>4.7902412826712898E-3</c:v>
                </c:pt>
                <c:pt idx="88">
                  <c:v>4.6899360043215002E-3</c:v>
                </c:pt>
                <c:pt idx="89">
                  <c:v>4.3327453890085396E-3</c:v>
                </c:pt>
                <c:pt idx="90">
                  <c:v>4.7213340720148001E-3</c:v>
                </c:pt>
                <c:pt idx="91">
                  <c:v>4.4831709177640504E-3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D45-43AE-B919-95E63F4C4B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1374511"/>
        <c:axId val="382721663"/>
      </c:scatterChart>
      <c:valAx>
        <c:axId val="541374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2721663"/>
        <c:crosses val="autoZero"/>
        <c:crossBetween val="midCat"/>
      </c:valAx>
      <c:valAx>
        <c:axId val="382721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3745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Median Amp</a:t>
            </a:r>
            <a:r>
              <a:rPr lang="en-US" baseline="0"/>
              <a:t> Over Time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storm2_results!$E$34:$E$125</c:f>
              <c:numCache>
                <c:formatCode>m/d/yyyy\ h:mm</c:formatCode>
                <c:ptCount val="92"/>
                <c:pt idx="0">
                  <c:v>44776.000694444447</c:v>
                </c:pt>
                <c:pt idx="1">
                  <c:v>44776.011111111111</c:v>
                </c:pt>
                <c:pt idx="2">
                  <c:v>44776.021527777775</c:v>
                </c:pt>
                <c:pt idx="3">
                  <c:v>44776.031944444447</c:v>
                </c:pt>
                <c:pt idx="4">
                  <c:v>44776.042361111111</c:v>
                </c:pt>
                <c:pt idx="5">
                  <c:v>44776.052777777775</c:v>
                </c:pt>
                <c:pt idx="6">
                  <c:v>44776.063194444447</c:v>
                </c:pt>
                <c:pt idx="7">
                  <c:v>44776.073611111111</c:v>
                </c:pt>
                <c:pt idx="8">
                  <c:v>44776.084027777775</c:v>
                </c:pt>
                <c:pt idx="9">
                  <c:v>44776.094444444447</c:v>
                </c:pt>
                <c:pt idx="10">
                  <c:v>44776.104861111111</c:v>
                </c:pt>
                <c:pt idx="11">
                  <c:v>44776.115277777775</c:v>
                </c:pt>
                <c:pt idx="12">
                  <c:v>44776.125694444447</c:v>
                </c:pt>
                <c:pt idx="13">
                  <c:v>44776.136111111111</c:v>
                </c:pt>
                <c:pt idx="14">
                  <c:v>44776.146527777775</c:v>
                </c:pt>
                <c:pt idx="15">
                  <c:v>44776.156944444447</c:v>
                </c:pt>
                <c:pt idx="16">
                  <c:v>44776.167361111111</c:v>
                </c:pt>
                <c:pt idx="17">
                  <c:v>44776.177777777775</c:v>
                </c:pt>
                <c:pt idx="18">
                  <c:v>44776.188194444447</c:v>
                </c:pt>
                <c:pt idx="19">
                  <c:v>44776.198611111111</c:v>
                </c:pt>
                <c:pt idx="20">
                  <c:v>44776.209027777775</c:v>
                </c:pt>
                <c:pt idx="21">
                  <c:v>44776.219444444447</c:v>
                </c:pt>
                <c:pt idx="22">
                  <c:v>44776.229861111111</c:v>
                </c:pt>
                <c:pt idx="23">
                  <c:v>44776.240277777775</c:v>
                </c:pt>
                <c:pt idx="24">
                  <c:v>44776.250694444447</c:v>
                </c:pt>
                <c:pt idx="25">
                  <c:v>44776.261111111111</c:v>
                </c:pt>
                <c:pt idx="26">
                  <c:v>44776.271527777775</c:v>
                </c:pt>
                <c:pt idx="27">
                  <c:v>44776.281944444447</c:v>
                </c:pt>
                <c:pt idx="28">
                  <c:v>44776.292361111111</c:v>
                </c:pt>
                <c:pt idx="29">
                  <c:v>44776.302777777775</c:v>
                </c:pt>
                <c:pt idx="30">
                  <c:v>44776.313194444447</c:v>
                </c:pt>
                <c:pt idx="31">
                  <c:v>44776.323611111111</c:v>
                </c:pt>
                <c:pt idx="32">
                  <c:v>44776.334027777775</c:v>
                </c:pt>
                <c:pt idx="33">
                  <c:v>44776.344444444447</c:v>
                </c:pt>
                <c:pt idx="34">
                  <c:v>44776.354861111111</c:v>
                </c:pt>
                <c:pt idx="35">
                  <c:v>44776.365277777775</c:v>
                </c:pt>
                <c:pt idx="36">
                  <c:v>44776.375694444447</c:v>
                </c:pt>
                <c:pt idx="37">
                  <c:v>44776.386111111111</c:v>
                </c:pt>
                <c:pt idx="38">
                  <c:v>44776.396527777775</c:v>
                </c:pt>
                <c:pt idx="39">
                  <c:v>44776.406944444447</c:v>
                </c:pt>
                <c:pt idx="40">
                  <c:v>44776.417361111111</c:v>
                </c:pt>
                <c:pt idx="41">
                  <c:v>44776.427777777775</c:v>
                </c:pt>
                <c:pt idx="42">
                  <c:v>44776.438194444447</c:v>
                </c:pt>
                <c:pt idx="43">
                  <c:v>44776.448611111111</c:v>
                </c:pt>
                <c:pt idx="44">
                  <c:v>44776.459027777775</c:v>
                </c:pt>
                <c:pt idx="45">
                  <c:v>44776.469444444447</c:v>
                </c:pt>
                <c:pt idx="46">
                  <c:v>44776.479861111111</c:v>
                </c:pt>
                <c:pt idx="47">
                  <c:v>44776.490277777775</c:v>
                </c:pt>
                <c:pt idx="48">
                  <c:v>44776.500694444447</c:v>
                </c:pt>
                <c:pt idx="49">
                  <c:v>44776.511111111111</c:v>
                </c:pt>
                <c:pt idx="50">
                  <c:v>44776.521527777775</c:v>
                </c:pt>
                <c:pt idx="51">
                  <c:v>44776.531944444447</c:v>
                </c:pt>
                <c:pt idx="52">
                  <c:v>44776.542361111111</c:v>
                </c:pt>
                <c:pt idx="53">
                  <c:v>44776.552777777775</c:v>
                </c:pt>
                <c:pt idx="54">
                  <c:v>44776.563194444447</c:v>
                </c:pt>
                <c:pt idx="55">
                  <c:v>44776.573611111111</c:v>
                </c:pt>
                <c:pt idx="56">
                  <c:v>44776.584027777775</c:v>
                </c:pt>
                <c:pt idx="57">
                  <c:v>44776.594444444447</c:v>
                </c:pt>
                <c:pt idx="58">
                  <c:v>44776.604861111111</c:v>
                </c:pt>
                <c:pt idx="59">
                  <c:v>44776.615277777775</c:v>
                </c:pt>
                <c:pt idx="60">
                  <c:v>44776.625694444447</c:v>
                </c:pt>
                <c:pt idx="61">
                  <c:v>44776.636111111111</c:v>
                </c:pt>
                <c:pt idx="62">
                  <c:v>44776.646527777775</c:v>
                </c:pt>
                <c:pt idx="63">
                  <c:v>44776.656944444447</c:v>
                </c:pt>
                <c:pt idx="64">
                  <c:v>44776.667361111111</c:v>
                </c:pt>
                <c:pt idx="65">
                  <c:v>44776.677777777775</c:v>
                </c:pt>
                <c:pt idx="66">
                  <c:v>44776.688194444447</c:v>
                </c:pt>
                <c:pt idx="67">
                  <c:v>44776.698611111111</c:v>
                </c:pt>
                <c:pt idx="68">
                  <c:v>44776.709027777775</c:v>
                </c:pt>
                <c:pt idx="69">
                  <c:v>44776.719444444447</c:v>
                </c:pt>
                <c:pt idx="70">
                  <c:v>44776.729861111111</c:v>
                </c:pt>
                <c:pt idx="71">
                  <c:v>44776.740277777775</c:v>
                </c:pt>
                <c:pt idx="72">
                  <c:v>44776.750694444447</c:v>
                </c:pt>
                <c:pt idx="73">
                  <c:v>44776.761111111111</c:v>
                </c:pt>
                <c:pt idx="74">
                  <c:v>44776.771527777775</c:v>
                </c:pt>
                <c:pt idx="75">
                  <c:v>44776.781944444447</c:v>
                </c:pt>
                <c:pt idx="76">
                  <c:v>44776.792361111111</c:v>
                </c:pt>
                <c:pt idx="77">
                  <c:v>44776.802777777775</c:v>
                </c:pt>
                <c:pt idx="78">
                  <c:v>44776.813194444447</c:v>
                </c:pt>
                <c:pt idx="79">
                  <c:v>44776.823611111111</c:v>
                </c:pt>
                <c:pt idx="80">
                  <c:v>44776.834027777775</c:v>
                </c:pt>
                <c:pt idx="81">
                  <c:v>44776.844444444447</c:v>
                </c:pt>
                <c:pt idx="82">
                  <c:v>44776.854861111111</c:v>
                </c:pt>
                <c:pt idx="83">
                  <c:v>44776.865277777775</c:v>
                </c:pt>
                <c:pt idx="84">
                  <c:v>44776.875694444447</c:v>
                </c:pt>
                <c:pt idx="85">
                  <c:v>44776.917361111111</c:v>
                </c:pt>
                <c:pt idx="86">
                  <c:v>44776.948611111111</c:v>
                </c:pt>
                <c:pt idx="87">
                  <c:v>44776.959027777775</c:v>
                </c:pt>
                <c:pt idx="88">
                  <c:v>44776.969444444447</c:v>
                </c:pt>
                <c:pt idx="89">
                  <c:v>44776.979861111111</c:v>
                </c:pt>
                <c:pt idx="90">
                  <c:v>44776.990277777775</c:v>
                </c:pt>
                <c:pt idx="91">
                  <c:v>44777.000694444447</c:v>
                </c:pt>
              </c:numCache>
            </c:numRef>
          </c:xVal>
          <c:yVal>
            <c:numRef>
              <c:f>storm2_results!$H$34:$H$125</c:f>
              <c:numCache>
                <c:formatCode>General</c:formatCode>
                <c:ptCount val="92"/>
                <c:pt idx="0">
                  <c:v>1.1436345611438401E-3</c:v>
                </c:pt>
                <c:pt idx="1">
                  <c:v>1.1764744765793199E-3</c:v>
                </c:pt>
                <c:pt idx="2">
                  <c:v>1.1795714321142701E-3</c:v>
                </c:pt>
                <c:pt idx="3">
                  <c:v>1.3093094545250201E-3</c:v>
                </c:pt>
                <c:pt idx="4">
                  <c:v>1.1717231041799101E-3</c:v>
                </c:pt>
                <c:pt idx="5">
                  <c:v>1.0583638884939699E-3</c:v>
                </c:pt>
                <c:pt idx="6">
                  <c:v>1.1295767702875199E-3</c:v>
                </c:pt>
                <c:pt idx="7">
                  <c:v>1.18845561687996E-3</c:v>
                </c:pt>
                <c:pt idx="8">
                  <c:v>1.2497820202688999E-3</c:v>
                </c:pt>
                <c:pt idx="9">
                  <c:v>1.2325070246042801E-3</c:v>
                </c:pt>
                <c:pt idx="10">
                  <c:v>1.1910235861908799E-3</c:v>
                </c:pt>
                <c:pt idx="11">
                  <c:v>1.19472527855818E-3</c:v>
                </c:pt>
                <c:pt idx="12">
                  <c:v>1.1668965148128E-3</c:v>
                </c:pt>
                <c:pt idx="13">
                  <c:v>1.1107093190954899E-3</c:v>
                </c:pt>
                <c:pt idx="14">
                  <c:v>9.7603851144315598E-4</c:v>
                </c:pt>
                <c:pt idx="15">
                  <c:v>1.0038832724210401E-3</c:v>
                </c:pt>
                <c:pt idx="16">
                  <c:v>1.02352353712286E-3</c:v>
                </c:pt>
                <c:pt idx="17">
                  <c:v>1.06138843708966E-3</c:v>
                </c:pt>
                <c:pt idx="18">
                  <c:v>1.06949481929412E-3</c:v>
                </c:pt>
                <c:pt idx="19">
                  <c:v>1.0305436725238299E-3</c:v>
                </c:pt>
                <c:pt idx="20">
                  <c:v>1.0377398287727199E-3</c:v>
                </c:pt>
                <c:pt idx="21">
                  <c:v>1.0728361839633699E-3</c:v>
                </c:pt>
                <c:pt idx="22">
                  <c:v>1.1846582217678501E-3</c:v>
                </c:pt>
                <c:pt idx="23">
                  <c:v>1.1212864378066401E-3</c:v>
                </c:pt>
                <c:pt idx="24">
                  <c:v>1.0395297295836101E-3</c:v>
                </c:pt>
                <c:pt idx="25">
                  <c:v>1.02810890086106E-3</c:v>
                </c:pt>
                <c:pt idx="26">
                  <c:v>1.0133414653294001E-3</c:v>
                </c:pt>
                <c:pt idx="27">
                  <c:v>9.8614296329667893E-4</c:v>
                </c:pt>
                <c:pt idx="28">
                  <c:v>9.8910727351951295E-4</c:v>
                </c:pt>
                <c:pt idx="29">
                  <c:v>1.0536967830358599E-3</c:v>
                </c:pt>
                <c:pt idx="30">
                  <c:v>9.4614612437591097E-4</c:v>
                </c:pt>
                <c:pt idx="31">
                  <c:v>9.8135471632758908E-4</c:v>
                </c:pt>
                <c:pt idx="32">
                  <c:v>1.07807176830749E-3</c:v>
                </c:pt>
                <c:pt idx="33">
                  <c:v>1.1072419051458E-3</c:v>
                </c:pt>
                <c:pt idx="34">
                  <c:v>9.9114736863285292E-4</c:v>
                </c:pt>
                <c:pt idx="35">
                  <c:v>1.0462226564441101E-3</c:v>
                </c:pt>
                <c:pt idx="36">
                  <c:v>1.1513169333076799E-3</c:v>
                </c:pt>
                <c:pt idx="37">
                  <c:v>1.0770342166494E-3</c:v>
                </c:pt>
                <c:pt idx="38">
                  <c:v>1.0712238148423299E-3</c:v>
                </c:pt>
                <c:pt idx="39">
                  <c:v>1.0195399827929901E-3</c:v>
                </c:pt>
                <c:pt idx="40">
                  <c:v>1.1344427931889E-3</c:v>
                </c:pt>
                <c:pt idx="41">
                  <c:v>1.0414733354334701E-3</c:v>
                </c:pt>
                <c:pt idx="42">
                  <c:v>1.0037098827362801E-3</c:v>
                </c:pt>
                <c:pt idx="43">
                  <c:v>1.02791949163569E-3</c:v>
                </c:pt>
                <c:pt idx="44">
                  <c:v>9.9825405342777399E-4</c:v>
                </c:pt>
                <c:pt idx="45">
                  <c:v>9.4887125642554595E-4</c:v>
                </c:pt>
                <c:pt idx="46">
                  <c:v>1.05099645024146E-3</c:v>
                </c:pt>
                <c:pt idx="47">
                  <c:v>1.00948075285766E-3</c:v>
                </c:pt>
                <c:pt idx="48">
                  <c:v>1.07182311286298E-3</c:v>
                </c:pt>
                <c:pt idx="49">
                  <c:v>1.0509275927451101E-3</c:v>
                </c:pt>
                <c:pt idx="50">
                  <c:v>1.0926787071569399E-3</c:v>
                </c:pt>
                <c:pt idx="51">
                  <c:v>1.0486880456861401E-3</c:v>
                </c:pt>
                <c:pt idx="52">
                  <c:v>1.0543445868463599E-3</c:v>
                </c:pt>
                <c:pt idx="53">
                  <c:v>9.8508514586136305E-4</c:v>
                </c:pt>
                <c:pt idx="54">
                  <c:v>8.8287150520387203E-4</c:v>
                </c:pt>
                <c:pt idx="55">
                  <c:v>9.0546170486898695E-4</c:v>
                </c:pt>
                <c:pt idx="56">
                  <c:v>9.3097239710275602E-4</c:v>
                </c:pt>
                <c:pt idx="57">
                  <c:v>1.0300427529562001E-3</c:v>
                </c:pt>
                <c:pt idx="58">
                  <c:v>1.1486350012296E-3</c:v>
                </c:pt>
                <c:pt idx="59">
                  <c:v>3.4714095344445701E-3</c:v>
                </c:pt>
                <c:pt idx="60">
                  <c:v>1.75334302078048E-2</c:v>
                </c:pt>
                <c:pt idx="61">
                  <c:v>8.5845597620685804E-3</c:v>
                </c:pt>
                <c:pt idx="62">
                  <c:v>7.1856920987369496E-3</c:v>
                </c:pt>
                <c:pt idx="63">
                  <c:v>5.8973369504331996E-3</c:v>
                </c:pt>
                <c:pt idx="64">
                  <c:v>6.3662882750105598E-3</c:v>
                </c:pt>
                <c:pt idx="65">
                  <c:v>6.9222261570562101E-3</c:v>
                </c:pt>
                <c:pt idx="66">
                  <c:v>6.6763023484132404E-3</c:v>
                </c:pt>
                <c:pt idx="67">
                  <c:v>6.3506866788911502E-3</c:v>
                </c:pt>
                <c:pt idx="68">
                  <c:v>6.3339837820662404E-3</c:v>
                </c:pt>
                <c:pt idx="69">
                  <c:v>6.0722568630377904E-3</c:v>
                </c:pt>
                <c:pt idx="70">
                  <c:v>5.3444370260387203E-3</c:v>
                </c:pt>
                <c:pt idx="71">
                  <c:v>5.1291876867848099E-3</c:v>
                </c:pt>
                <c:pt idx="72">
                  <c:v>4.6586292430657403E-3</c:v>
                </c:pt>
                <c:pt idx="73">
                  <c:v>4.04883096950499E-3</c:v>
                </c:pt>
                <c:pt idx="74">
                  <c:v>3.7056802996919698E-3</c:v>
                </c:pt>
                <c:pt idx="75">
                  <c:v>3.5302169556103999E-3</c:v>
                </c:pt>
                <c:pt idx="76">
                  <c:v>3.7220113753614701E-3</c:v>
                </c:pt>
                <c:pt idx="77">
                  <c:v>3.4852342129506001E-3</c:v>
                </c:pt>
                <c:pt idx="78">
                  <c:v>3.2737774328031898E-3</c:v>
                </c:pt>
                <c:pt idx="79">
                  <c:v>3.4710913636846002E-3</c:v>
                </c:pt>
                <c:pt idx="80">
                  <c:v>3.8033189995797302E-3</c:v>
                </c:pt>
                <c:pt idx="81">
                  <c:v>4.00657306095088E-3</c:v>
                </c:pt>
                <c:pt idx="82">
                  <c:v>3.9968204636400499E-3</c:v>
                </c:pt>
                <c:pt idx="83">
                  <c:v>4.1434726623004996E-3</c:v>
                </c:pt>
                <c:pt idx="84">
                  <c:v>4.0803281963972598E-3</c:v>
                </c:pt>
                <c:pt idx="85">
                  <c:v>4.3726557686547497E-3</c:v>
                </c:pt>
                <c:pt idx="86">
                  <c:v>4.3410444696009298E-3</c:v>
                </c:pt>
                <c:pt idx="87">
                  <c:v>4.7314393154342304E-3</c:v>
                </c:pt>
                <c:pt idx="88">
                  <c:v>4.6559160128222298E-3</c:v>
                </c:pt>
                <c:pt idx="89">
                  <c:v>4.3608673574917402E-3</c:v>
                </c:pt>
                <c:pt idx="90">
                  <c:v>4.47147154487208E-3</c:v>
                </c:pt>
                <c:pt idx="91">
                  <c:v>4.33979892746463E-3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825-45C8-8030-10BE2A3FA3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1374511"/>
        <c:axId val="382721663"/>
      </c:scatterChart>
      <c:valAx>
        <c:axId val="541374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2721663"/>
        <c:crosses val="autoZero"/>
        <c:crossBetween val="midCat"/>
      </c:valAx>
      <c:valAx>
        <c:axId val="382721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3745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323851</xdr:colOff>
      <xdr:row>32</xdr:row>
      <xdr:rowOff>66675</xdr:rowOff>
    </xdr:from>
    <xdr:to>
      <xdr:col>18</xdr:col>
      <xdr:colOff>66675</xdr:colOff>
      <xdr:row>44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9966E3D-9853-4B49-A6A6-21A8CEA7CB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314324</xdr:colOff>
      <xdr:row>45</xdr:row>
      <xdr:rowOff>9525</xdr:rowOff>
    </xdr:from>
    <xdr:to>
      <xdr:col>18</xdr:col>
      <xdr:colOff>95249</xdr:colOff>
      <xdr:row>57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98D7861-AC34-4E1C-8D9D-5EE6F31810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314324</xdr:colOff>
      <xdr:row>57</xdr:row>
      <xdr:rowOff>57150</xdr:rowOff>
    </xdr:from>
    <xdr:to>
      <xdr:col>18</xdr:col>
      <xdr:colOff>114299</xdr:colOff>
      <xdr:row>69</xdr:row>
      <xdr:rowOff>161925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2844741-6BD0-4705-BBD7-69B1D1E3BE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C4130-64D5-42FE-8592-ED0ECA68F7E8}">
  <dimension ref="A1:CS129"/>
  <sheetViews>
    <sheetView tabSelected="1" topLeftCell="A22" zoomScale="85" zoomScaleNormal="85" workbookViewId="0">
      <selection activeCell="Z41" sqref="Z41"/>
    </sheetView>
  </sheetViews>
  <sheetFormatPr defaultRowHeight="15" x14ac:dyDescent="0.25"/>
  <cols>
    <col min="1" max="1" width="15.28515625" customWidth="1"/>
    <col min="2" max="2" width="12.42578125" bestFit="1" customWidth="1"/>
    <col min="3" max="3" width="11.28515625" bestFit="1" customWidth="1"/>
    <col min="5" max="5" width="15.42578125" customWidth="1"/>
  </cols>
  <sheetData>
    <row r="1" spans="1:97" x14ac:dyDescent="0.25">
      <c r="B1" s="1">
        <v>44776.000694444447</v>
      </c>
      <c r="C1" s="1">
        <v>44776.011111111111</v>
      </c>
      <c r="D1" s="1">
        <v>44776.021527777775</v>
      </c>
      <c r="E1" s="1">
        <v>44776.031944444447</v>
      </c>
      <c r="F1" s="1">
        <v>44776.042361111111</v>
      </c>
      <c r="G1" s="1">
        <v>44776.052777777775</v>
      </c>
      <c r="H1" s="1">
        <v>44776.063194444447</v>
      </c>
      <c r="I1" s="1">
        <v>44776.073611111111</v>
      </c>
      <c r="J1" s="1">
        <v>44776.084027777775</v>
      </c>
      <c r="K1" s="1">
        <v>44776.094444444447</v>
      </c>
      <c r="L1" s="1">
        <v>44776.104861111111</v>
      </c>
      <c r="M1" s="1">
        <v>44776.115277777775</v>
      </c>
      <c r="N1" s="1">
        <v>44776.125694444447</v>
      </c>
      <c r="O1" s="1">
        <v>44776.136111111111</v>
      </c>
      <c r="P1" s="1">
        <v>44776.146527777775</v>
      </c>
      <c r="Q1" s="1">
        <v>44776.156944444447</v>
      </c>
      <c r="R1" s="1">
        <v>44776.167361111111</v>
      </c>
      <c r="S1" s="1">
        <v>44776.177777777775</v>
      </c>
      <c r="T1" s="1">
        <v>44776.188194444447</v>
      </c>
      <c r="U1" s="1">
        <v>44776.198611111111</v>
      </c>
      <c r="V1" s="1">
        <v>44776.209027777775</v>
      </c>
      <c r="W1" s="1">
        <v>44776.219444444447</v>
      </c>
      <c r="X1" s="1">
        <v>44776.229861111111</v>
      </c>
      <c r="Y1" s="1">
        <v>44776.240277777775</v>
      </c>
      <c r="Z1" s="1">
        <v>44776.250694444447</v>
      </c>
      <c r="AA1" s="1">
        <v>44776.261111111111</v>
      </c>
      <c r="AB1" s="1">
        <v>44776.271527777775</v>
      </c>
      <c r="AC1" s="1">
        <v>44776.281944444447</v>
      </c>
      <c r="AD1" s="1">
        <v>44776.292361111111</v>
      </c>
      <c r="AE1" s="1">
        <v>44776.302777777775</v>
      </c>
      <c r="AF1" s="1">
        <v>44776.313194444447</v>
      </c>
      <c r="AG1" s="1">
        <v>44776.323611111111</v>
      </c>
      <c r="AH1" s="1">
        <v>44776.334027777775</v>
      </c>
      <c r="AI1" s="1">
        <v>44776.344444444447</v>
      </c>
      <c r="AJ1" s="1">
        <v>44776.354861111111</v>
      </c>
      <c r="AK1" s="1">
        <v>44776.365277777775</v>
      </c>
      <c r="AL1" s="1">
        <v>44776.375694444447</v>
      </c>
      <c r="AM1" s="1">
        <v>44776.386111111111</v>
      </c>
      <c r="AN1" s="1">
        <v>44776.396527777775</v>
      </c>
      <c r="AO1" s="1">
        <v>44776.406944444447</v>
      </c>
      <c r="AP1" s="1">
        <v>44776.417361111111</v>
      </c>
      <c r="AQ1" s="1">
        <v>44776.427777777775</v>
      </c>
      <c r="AR1" s="1">
        <v>44776.438194444447</v>
      </c>
      <c r="AS1" s="1">
        <v>44776.448611111111</v>
      </c>
      <c r="AT1" s="1">
        <v>44776.459027777775</v>
      </c>
      <c r="AU1" s="1">
        <v>44776.469444444447</v>
      </c>
      <c r="AV1" s="1">
        <v>44776.479861111111</v>
      </c>
      <c r="AW1" s="1">
        <v>44776.490277777775</v>
      </c>
      <c r="AX1" s="1">
        <v>44776.500694444447</v>
      </c>
      <c r="AY1" s="1">
        <v>44776.511111111111</v>
      </c>
      <c r="AZ1" s="1">
        <v>44776.521527777775</v>
      </c>
      <c r="BA1" s="1">
        <v>44776.531944444447</v>
      </c>
      <c r="BB1" s="1">
        <v>44776.542361111111</v>
      </c>
      <c r="BC1" s="1">
        <v>44776.552777777775</v>
      </c>
      <c r="BD1" s="1">
        <v>44776.563194444447</v>
      </c>
      <c r="BE1" s="1">
        <v>44776.573611111111</v>
      </c>
      <c r="BF1" s="1">
        <v>44776.584027777775</v>
      </c>
      <c r="BG1" s="1">
        <v>44776.594444444447</v>
      </c>
      <c r="BH1" s="1">
        <v>44776.604861111111</v>
      </c>
      <c r="BI1" s="1">
        <v>44776.615277777775</v>
      </c>
      <c r="BJ1" s="1">
        <v>44776.625694444447</v>
      </c>
      <c r="BK1" s="1">
        <v>44776.636111111111</v>
      </c>
      <c r="BL1" s="1">
        <v>44776.646527777775</v>
      </c>
      <c r="BM1" s="1">
        <v>44776.656944444447</v>
      </c>
      <c r="BN1" s="1">
        <v>44776.667361111111</v>
      </c>
      <c r="BO1" s="1">
        <v>44776.677777777775</v>
      </c>
      <c r="BP1" s="1">
        <v>44776.688194444447</v>
      </c>
      <c r="BQ1" s="1">
        <v>44776.698611111111</v>
      </c>
      <c r="BR1" s="1">
        <v>44776.709027777775</v>
      </c>
      <c r="BS1" s="1">
        <v>44776.719444444447</v>
      </c>
      <c r="BT1" s="1">
        <v>44776.729861111111</v>
      </c>
      <c r="BU1" s="1">
        <v>44776.740277777775</v>
      </c>
      <c r="BV1" s="1">
        <v>44776.750694444447</v>
      </c>
      <c r="BW1" s="1">
        <v>44776.761111111111</v>
      </c>
      <c r="BX1" s="1">
        <v>44776.771527777775</v>
      </c>
      <c r="BY1" s="1">
        <v>44776.781944444447</v>
      </c>
      <c r="BZ1" s="1">
        <v>44776.792361111111</v>
      </c>
      <c r="CA1" s="1">
        <v>44776.802777777775</v>
      </c>
      <c r="CB1" s="1">
        <v>44776.813194444447</v>
      </c>
      <c r="CC1" s="1">
        <v>44776.823611111111</v>
      </c>
      <c r="CD1" s="1">
        <v>44776.834027777775</v>
      </c>
      <c r="CE1" s="1">
        <v>44776.844444444447</v>
      </c>
      <c r="CF1" s="1">
        <v>44776.854861111111</v>
      </c>
      <c r="CG1" s="1">
        <v>44776.865277777775</v>
      </c>
      <c r="CH1" s="1">
        <v>44776.875694444447</v>
      </c>
      <c r="CI1" s="1">
        <v>44776.917361111111</v>
      </c>
      <c r="CJ1" s="1">
        <v>44776.948611111111</v>
      </c>
      <c r="CK1" s="1">
        <v>44776.959027777775</v>
      </c>
      <c r="CL1" s="1">
        <v>44776.969444444447</v>
      </c>
      <c r="CM1" s="1">
        <v>44776.979861111111</v>
      </c>
      <c r="CN1" s="1">
        <v>44776.990277777775</v>
      </c>
      <c r="CO1" s="1">
        <v>44777.000694444447</v>
      </c>
      <c r="CP1" s="1"/>
      <c r="CQ1" s="1"/>
      <c r="CR1" s="1"/>
      <c r="CS1" s="1"/>
    </row>
    <row r="2" spans="1:97" x14ac:dyDescent="0.25">
      <c r="A2" t="s">
        <v>0</v>
      </c>
      <c r="B2">
        <v>1.4955602719514201E-3</v>
      </c>
      <c r="C2">
        <v>1.8309745607605499E-3</v>
      </c>
      <c r="D2">
        <v>1.9109347783652299E-3</v>
      </c>
      <c r="E2">
        <v>1.68743229133343E-3</v>
      </c>
      <c r="F2">
        <v>1.72438646685688E-3</v>
      </c>
      <c r="G2">
        <v>1.4704661606273399E-3</v>
      </c>
      <c r="H2">
        <v>1.6665107529161901E-3</v>
      </c>
      <c r="I2">
        <v>1.83290314890138E-3</v>
      </c>
      <c r="J2">
        <v>1.6837174444085899E-3</v>
      </c>
      <c r="K2">
        <v>1.7097107206537E-3</v>
      </c>
      <c r="L2">
        <v>1.7989273872607099E-3</v>
      </c>
      <c r="M2">
        <v>1.7040234354624699E-3</v>
      </c>
      <c r="N2">
        <v>2.1815395347090601E-3</v>
      </c>
      <c r="O2">
        <v>1.66382600606423E-3</v>
      </c>
      <c r="P2">
        <v>1.5966931489887E-3</v>
      </c>
      <c r="Q2">
        <v>1.4900711813125101E-3</v>
      </c>
      <c r="R2">
        <v>1.5743544098570301E-3</v>
      </c>
      <c r="S2">
        <v>1.7356257073646499E-3</v>
      </c>
      <c r="T2">
        <v>1.47959596568332E-3</v>
      </c>
      <c r="U2">
        <v>1.5884123237744599E-3</v>
      </c>
      <c r="V2">
        <v>1.58726559516091E-3</v>
      </c>
      <c r="W2">
        <v>1.80429829327259E-3</v>
      </c>
      <c r="X2">
        <v>1.7821104159901099E-3</v>
      </c>
      <c r="Y2">
        <v>1.5586168093157399E-3</v>
      </c>
      <c r="Z2">
        <v>1.5338057626346599E-3</v>
      </c>
      <c r="AA2">
        <v>1.7430859968627201E-3</v>
      </c>
      <c r="AB2">
        <v>1.4722945166709999E-3</v>
      </c>
      <c r="AC2">
        <v>1.4342019579008599E-3</v>
      </c>
      <c r="AD2">
        <v>1.5663141121691E-3</v>
      </c>
      <c r="AE2">
        <v>1.6060107812522E-3</v>
      </c>
      <c r="AF2">
        <v>1.4228156633069001E-3</v>
      </c>
      <c r="AG2">
        <v>1.62495919365844E-3</v>
      </c>
      <c r="AH2">
        <v>2.0374389063300999E-3</v>
      </c>
      <c r="AI2">
        <v>1.78875307502596E-3</v>
      </c>
      <c r="AJ2">
        <v>1.47752317105199E-3</v>
      </c>
      <c r="AK2">
        <v>1.5269880596736601E-3</v>
      </c>
      <c r="AL2">
        <v>1.6185400832467E-3</v>
      </c>
      <c r="AM2">
        <v>1.9699526705927099E-3</v>
      </c>
      <c r="AN2">
        <v>1.67916379384027E-3</v>
      </c>
      <c r="AO2">
        <v>1.52336149363826E-3</v>
      </c>
      <c r="AP2">
        <v>1.83348655117861E-3</v>
      </c>
      <c r="AQ2">
        <v>1.53863608572197E-3</v>
      </c>
      <c r="AR2">
        <v>1.5323471590504799E-3</v>
      </c>
      <c r="AS2">
        <v>1.8349051903074399E-3</v>
      </c>
      <c r="AT2">
        <v>1.3362125891374899E-3</v>
      </c>
      <c r="AU2">
        <v>1.57749098484379E-3</v>
      </c>
      <c r="AV2">
        <v>1.88072315721025E-3</v>
      </c>
      <c r="AW2">
        <v>1.49764535066663E-3</v>
      </c>
      <c r="AX2">
        <v>1.44990757909898E-3</v>
      </c>
      <c r="AY2">
        <v>1.6445534406063201E-3</v>
      </c>
      <c r="AZ2">
        <v>1.49849804631073E-3</v>
      </c>
      <c r="BA2">
        <v>1.75272505335628E-3</v>
      </c>
      <c r="BB2">
        <v>1.7477777618441E-3</v>
      </c>
      <c r="BC2">
        <v>1.4017038497322401E-3</v>
      </c>
      <c r="BD2">
        <v>1.3574561634927399E-3</v>
      </c>
      <c r="BE2">
        <v>1.81593059069755E-3</v>
      </c>
      <c r="BF2">
        <v>1.4856138179010099E-3</v>
      </c>
      <c r="BG2">
        <v>1.5163016537163899E-3</v>
      </c>
      <c r="BH2">
        <v>2.1448380105844999E-3</v>
      </c>
      <c r="BI2">
        <v>6.3360207758395102E-3</v>
      </c>
      <c r="BJ2">
        <v>2.7100659833378001E-2</v>
      </c>
      <c r="BK2">
        <v>1.24645744986261E-2</v>
      </c>
      <c r="BL2">
        <v>1.0060327126060999E-2</v>
      </c>
      <c r="BM2">
        <v>8.5108884807833796E-3</v>
      </c>
      <c r="BN2">
        <v>8.7778912773804098E-3</v>
      </c>
      <c r="BO2">
        <v>8.7982744717244495E-3</v>
      </c>
      <c r="BP2">
        <v>9.82229610596351E-3</v>
      </c>
      <c r="BQ2">
        <v>8.4297547627244195E-3</v>
      </c>
      <c r="BR2">
        <v>9.8801195227675997E-3</v>
      </c>
      <c r="BS2">
        <v>8.1641440752267397E-3</v>
      </c>
      <c r="BT2">
        <v>7.1229805188118799E-3</v>
      </c>
      <c r="BU2">
        <v>7.6671431334010198E-3</v>
      </c>
      <c r="BV2">
        <v>6.5316394382562201E-3</v>
      </c>
      <c r="BW2">
        <v>7.1146443776370196E-3</v>
      </c>
      <c r="BX2">
        <v>6.7227076636487701E-3</v>
      </c>
      <c r="BY2">
        <v>4.8378525919520604E-3</v>
      </c>
      <c r="BZ2">
        <v>4.9265829371615104E-3</v>
      </c>
      <c r="CA2">
        <v>5.0058445530102901E-3</v>
      </c>
      <c r="CB2">
        <v>5.6579143068844996E-3</v>
      </c>
      <c r="CC2">
        <v>5.4040963983280899E-3</v>
      </c>
      <c r="CD2">
        <v>5.9553863651619597E-3</v>
      </c>
      <c r="CE2">
        <v>5.9124241501536303E-3</v>
      </c>
      <c r="CF2">
        <v>5.5729355060811997E-3</v>
      </c>
      <c r="CG2">
        <v>5.7235491201370198E-3</v>
      </c>
      <c r="CH2">
        <v>5.3205317134202602E-3</v>
      </c>
      <c r="CI2">
        <v>6.6042492000304301E-3</v>
      </c>
      <c r="CJ2">
        <v>7.3344477715992298E-3</v>
      </c>
      <c r="CK2">
        <v>7.64757278088736E-3</v>
      </c>
      <c r="CL2">
        <v>6.5381733318855299E-3</v>
      </c>
      <c r="CM2">
        <v>6.5848300189003898E-3</v>
      </c>
      <c r="CN2">
        <v>8.1282455529692495E-3</v>
      </c>
      <c r="CO2">
        <v>6.3385999173041297E-3</v>
      </c>
    </row>
    <row r="3" spans="1:97" x14ac:dyDescent="0.25">
      <c r="A3" t="s">
        <v>1</v>
      </c>
      <c r="B3">
        <v>1.1437127206880701E-3</v>
      </c>
      <c r="C3">
        <v>1.1849316044833999E-3</v>
      </c>
      <c r="D3">
        <v>1.25018717908892E-3</v>
      </c>
      <c r="E3">
        <v>1.3053348072256899E-3</v>
      </c>
      <c r="F3">
        <v>1.18017452623748E-3</v>
      </c>
      <c r="G3">
        <v>1.0925614772622899E-3</v>
      </c>
      <c r="H3">
        <v>1.16031754111188E-3</v>
      </c>
      <c r="I3">
        <v>1.2289139288872101E-3</v>
      </c>
      <c r="J3">
        <v>1.24679403789504E-3</v>
      </c>
      <c r="K3">
        <v>1.2213201419337999E-3</v>
      </c>
      <c r="L3">
        <v>1.1966042346025899E-3</v>
      </c>
      <c r="M3">
        <v>1.2083973112576301E-3</v>
      </c>
      <c r="N3">
        <v>1.17222133740963E-3</v>
      </c>
      <c r="O3">
        <v>1.1580636400546601E-3</v>
      </c>
      <c r="P3">
        <v>1.00974954341798E-3</v>
      </c>
      <c r="Q3">
        <v>1.0144472498856E-3</v>
      </c>
      <c r="R3">
        <v>1.06117533746699E-3</v>
      </c>
      <c r="S3">
        <v>1.0824893917180201E-3</v>
      </c>
      <c r="T3">
        <v>1.0827473468178501E-3</v>
      </c>
      <c r="U3">
        <v>1.04200761559237E-3</v>
      </c>
      <c r="V3">
        <v>1.0822369453516399E-3</v>
      </c>
      <c r="W3">
        <v>1.1100168324352101E-3</v>
      </c>
      <c r="X3">
        <v>1.2190451745914899E-3</v>
      </c>
      <c r="Y3">
        <v>1.1300108309794199E-3</v>
      </c>
      <c r="Z3">
        <v>1.06394265243172E-3</v>
      </c>
      <c r="AA3">
        <v>1.07051307534728E-3</v>
      </c>
      <c r="AB3">
        <v>1.03972179723355E-3</v>
      </c>
      <c r="AC3">
        <v>1.0125764444577699E-3</v>
      </c>
      <c r="AD3">
        <v>1.00640569000145E-3</v>
      </c>
      <c r="AE3">
        <v>1.06522085640999E-3</v>
      </c>
      <c r="AF3">
        <v>9.5948849180747104E-4</v>
      </c>
      <c r="AG3">
        <v>1.0048861337458299E-3</v>
      </c>
      <c r="AH3">
        <v>1.1269803661458301E-3</v>
      </c>
      <c r="AI3">
        <v>1.13515305795827E-3</v>
      </c>
      <c r="AJ3">
        <v>1.0248348082812599E-3</v>
      </c>
      <c r="AK3">
        <v>1.05608767089269E-3</v>
      </c>
      <c r="AL3">
        <v>1.1341115910043699E-3</v>
      </c>
      <c r="AM3">
        <v>1.0996250520123501E-3</v>
      </c>
      <c r="AN3">
        <v>1.1178947215649E-3</v>
      </c>
      <c r="AO3">
        <v>1.0507880654452701E-3</v>
      </c>
      <c r="AP3">
        <v>1.1559236020883101E-3</v>
      </c>
      <c r="AQ3">
        <v>1.0691822336061699E-3</v>
      </c>
      <c r="AR3">
        <v>1.0430672143762101E-3</v>
      </c>
      <c r="AS3">
        <v>1.06816801237793E-3</v>
      </c>
      <c r="AT3">
        <v>9.9080517867649502E-4</v>
      </c>
      <c r="AU3">
        <v>9.8538503623421991E-4</v>
      </c>
      <c r="AV3">
        <v>1.08380541547588E-3</v>
      </c>
      <c r="AW3">
        <v>1.0399158030962999E-3</v>
      </c>
      <c r="AX3">
        <v>1.07068488043492E-3</v>
      </c>
      <c r="AY3">
        <v>1.0928159278623399E-3</v>
      </c>
      <c r="AZ3">
        <v>1.0923208810086401E-3</v>
      </c>
      <c r="BA3">
        <v>1.0543365080269199E-3</v>
      </c>
      <c r="BB3">
        <v>1.06280428002083E-3</v>
      </c>
      <c r="BC3">
        <v>1.00541687745604E-3</v>
      </c>
      <c r="BD3">
        <v>9.2044874896626296E-4</v>
      </c>
      <c r="BE3">
        <v>9.3213517397716195E-4</v>
      </c>
      <c r="BF3">
        <v>9.6755380945194602E-4</v>
      </c>
      <c r="BG3">
        <v>1.0643091260125999E-3</v>
      </c>
      <c r="BH3">
        <v>1.1816506125130199E-3</v>
      </c>
      <c r="BI3">
        <v>3.5034695792361199E-3</v>
      </c>
      <c r="BJ3">
        <v>1.73415591077304E-2</v>
      </c>
      <c r="BK3">
        <v>8.7732511398933392E-3</v>
      </c>
      <c r="BL3">
        <v>7.2940252171190597E-3</v>
      </c>
      <c r="BM3">
        <v>6.0184539737866199E-3</v>
      </c>
      <c r="BN3">
        <v>6.4892442121546297E-3</v>
      </c>
      <c r="BO3">
        <v>7.0542054236052698E-3</v>
      </c>
      <c r="BP3">
        <v>6.7403450210649597E-3</v>
      </c>
      <c r="BQ3">
        <v>6.44231446877326E-3</v>
      </c>
      <c r="BR3">
        <v>6.5191823419279401E-3</v>
      </c>
      <c r="BS3">
        <v>6.2064660680208302E-3</v>
      </c>
      <c r="BT3">
        <v>5.5158948583627198E-3</v>
      </c>
      <c r="BU3">
        <v>5.1110928912059001E-3</v>
      </c>
      <c r="BV3">
        <v>4.6323092197396096E-3</v>
      </c>
      <c r="BW3">
        <v>4.10336690857063E-3</v>
      </c>
      <c r="BX3">
        <v>3.8494217464620198E-3</v>
      </c>
      <c r="BY3">
        <v>3.5892743023233399E-3</v>
      </c>
      <c r="BZ3">
        <v>3.7627582685674402E-3</v>
      </c>
      <c r="CA3">
        <v>3.52465983924252E-3</v>
      </c>
      <c r="CB3">
        <v>3.2747447598388702E-3</v>
      </c>
      <c r="CC3">
        <v>3.5452474775090601E-3</v>
      </c>
      <c r="CD3">
        <v>3.9345504818117201E-3</v>
      </c>
      <c r="CE3">
        <v>4.1257857118724497E-3</v>
      </c>
      <c r="CF3">
        <v>4.0328615629782903E-3</v>
      </c>
      <c r="CG3">
        <v>4.1889350795283999E-3</v>
      </c>
      <c r="CH3">
        <v>3.9800871627992699E-3</v>
      </c>
      <c r="CI3">
        <v>4.6082400419298003E-3</v>
      </c>
      <c r="CJ3">
        <v>4.48453947451733E-3</v>
      </c>
      <c r="CK3">
        <v>4.7902412826712898E-3</v>
      </c>
      <c r="CL3">
        <v>4.6899360043215002E-3</v>
      </c>
      <c r="CM3">
        <v>4.3327453890085396E-3</v>
      </c>
      <c r="CN3">
        <v>4.7213340720148001E-3</v>
      </c>
      <c r="CO3">
        <v>4.4831709177640504E-3</v>
      </c>
    </row>
    <row r="4" spans="1:97" x14ac:dyDescent="0.25">
      <c r="A4" t="s">
        <v>2</v>
      </c>
      <c r="B4">
        <v>1.1436345611438401E-3</v>
      </c>
      <c r="C4">
        <v>1.1764744765793199E-3</v>
      </c>
      <c r="D4">
        <v>1.1795714321142701E-3</v>
      </c>
      <c r="E4">
        <v>1.3093094545250201E-3</v>
      </c>
      <c r="F4">
        <v>1.1717231041799101E-3</v>
      </c>
      <c r="G4">
        <v>1.0583638884939699E-3</v>
      </c>
      <c r="H4">
        <v>1.1295767702875199E-3</v>
      </c>
      <c r="I4">
        <v>1.18845561687996E-3</v>
      </c>
      <c r="J4">
        <v>1.2497820202688999E-3</v>
      </c>
      <c r="K4">
        <v>1.2325070246042801E-3</v>
      </c>
      <c r="L4">
        <v>1.1910235861908799E-3</v>
      </c>
      <c r="M4">
        <v>1.19472527855818E-3</v>
      </c>
      <c r="N4">
        <v>1.1668965148128E-3</v>
      </c>
      <c r="O4">
        <v>1.1107093190954899E-3</v>
      </c>
      <c r="P4">
        <v>9.7603851144315598E-4</v>
      </c>
      <c r="Q4">
        <v>1.0038832724210401E-3</v>
      </c>
      <c r="R4">
        <v>1.02352353712286E-3</v>
      </c>
      <c r="S4">
        <v>1.06138843708966E-3</v>
      </c>
      <c r="T4">
        <v>1.06949481929412E-3</v>
      </c>
      <c r="U4">
        <v>1.0305436725238299E-3</v>
      </c>
      <c r="V4">
        <v>1.0377398287727199E-3</v>
      </c>
      <c r="W4">
        <v>1.0728361839633699E-3</v>
      </c>
      <c r="X4">
        <v>1.1846582217678501E-3</v>
      </c>
      <c r="Y4">
        <v>1.1212864378066401E-3</v>
      </c>
      <c r="Z4">
        <v>1.0395297295836101E-3</v>
      </c>
      <c r="AA4">
        <v>1.02810890086106E-3</v>
      </c>
      <c r="AB4">
        <v>1.0133414653294001E-3</v>
      </c>
      <c r="AC4">
        <v>9.8614296329667893E-4</v>
      </c>
      <c r="AD4">
        <v>9.8910727351951295E-4</v>
      </c>
      <c r="AE4">
        <v>1.0536967830358599E-3</v>
      </c>
      <c r="AF4">
        <v>9.4614612437591097E-4</v>
      </c>
      <c r="AG4">
        <v>9.8135471632758908E-4</v>
      </c>
      <c r="AH4">
        <v>1.07807176830749E-3</v>
      </c>
      <c r="AI4">
        <v>1.1072419051458E-3</v>
      </c>
      <c r="AJ4">
        <v>9.9114736863285292E-4</v>
      </c>
      <c r="AK4">
        <v>1.0462226564441101E-3</v>
      </c>
      <c r="AL4">
        <v>1.1513169333076799E-3</v>
      </c>
      <c r="AM4">
        <v>1.0770342166494E-3</v>
      </c>
      <c r="AN4">
        <v>1.0712238148423299E-3</v>
      </c>
      <c r="AO4">
        <v>1.0195399827929901E-3</v>
      </c>
      <c r="AP4">
        <v>1.1344427931889E-3</v>
      </c>
      <c r="AQ4">
        <v>1.0414733354334701E-3</v>
      </c>
      <c r="AR4">
        <v>1.0037098827362801E-3</v>
      </c>
      <c r="AS4">
        <v>1.02791949163569E-3</v>
      </c>
      <c r="AT4">
        <v>9.9825405342777399E-4</v>
      </c>
      <c r="AU4">
        <v>9.4887125642554595E-4</v>
      </c>
      <c r="AV4">
        <v>1.05099645024146E-3</v>
      </c>
      <c r="AW4">
        <v>1.00948075285766E-3</v>
      </c>
      <c r="AX4">
        <v>1.07182311286298E-3</v>
      </c>
      <c r="AY4">
        <v>1.0509275927451101E-3</v>
      </c>
      <c r="AZ4">
        <v>1.0926787071569399E-3</v>
      </c>
      <c r="BA4">
        <v>1.0486880456861401E-3</v>
      </c>
      <c r="BB4">
        <v>1.0543445868463599E-3</v>
      </c>
      <c r="BC4">
        <v>9.8508514586136305E-4</v>
      </c>
      <c r="BD4">
        <v>8.8287150520387203E-4</v>
      </c>
      <c r="BE4">
        <v>9.0546170486898695E-4</v>
      </c>
      <c r="BF4">
        <v>9.3097239710275602E-4</v>
      </c>
      <c r="BG4">
        <v>1.0300427529562001E-3</v>
      </c>
      <c r="BH4">
        <v>1.1486350012296E-3</v>
      </c>
      <c r="BI4">
        <v>3.4714095344445701E-3</v>
      </c>
      <c r="BJ4">
        <v>1.75334302078048E-2</v>
      </c>
      <c r="BK4">
        <v>8.5845597620685804E-3</v>
      </c>
      <c r="BL4">
        <v>7.1856920987369496E-3</v>
      </c>
      <c r="BM4">
        <v>5.8973369504331996E-3</v>
      </c>
      <c r="BN4">
        <v>6.3662882750105598E-3</v>
      </c>
      <c r="BO4">
        <v>6.9222261570562101E-3</v>
      </c>
      <c r="BP4">
        <v>6.6763023484132404E-3</v>
      </c>
      <c r="BQ4">
        <v>6.3506866788911502E-3</v>
      </c>
      <c r="BR4">
        <v>6.3339837820662404E-3</v>
      </c>
      <c r="BS4">
        <v>6.0722568630377904E-3</v>
      </c>
      <c r="BT4">
        <v>5.3444370260387203E-3</v>
      </c>
      <c r="BU4">
        <v>5.1291876867848099E-3</v>
      </c>
      <c r="BV4">
        <v>4.6586292430657403E-3</v>
      </c>
      <c r="BW4">
        <v>4.04883096950499E-3</v>
      </c>
      <c r="BX4">
        <v>3.7056802996919698E-3</v>
      </c>
      <c r="BY4">
        <v>3.5302169556103999E-3</v>
      </c>
      <c r="BZ4">
        <v>3.7220113753614701E-3</v>
      </c>
      <c r="CA4">
        <v>3.4852342129506001E-3</v>
      </c>
      <c r="CB4">
        <v>3.2737774328031898E-3</v>
      </c>
      <c r="CC4">
        <v>3.4710913636846002E-3</v>
      </c>
      <c r="CD4">
        <v>3.8033189995797302E-3</v>
      </c>
      <c r="CE4">
        <v>4.00657306095088E-3</v>
      </c>
      <c r="CF4">
        <v>3.9968204636400499E-3</v>
      </c>
      <c r="CG4">
        <v>4.1434726623004996E-3</v>
      </c>
      <c r="CH4">
        <v>4.0803281963972598E-3</v>
      </c>
      <c r="CI4">
        <v>4.3726557686547497E-3</v>
      </c>
      <c r="CJ4">
        <v>4.3410444696009298E-3</v>
      </c>
      <c r="CK4">
        <v>4.7314393154342304E-3</v>
      </c>
      <c r="CL4">
        <v>4.6559160128222298E-3</v>
      </c>
      <c r="CM4">
        <v>4.3608673574917402E-3</v>
      </c>
      <c r="CN4">
        <v>4.47147154487208E-3</v>
      </c>
      <c r="CO4">
        <v>4.33979892746463E-3</v>
      </c>
    </row>
    <row r="5" spans="1:97" x14ac:dyDescent="0.25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</row>
    <row r="6" spans="1:97" x14ac:dyDescent="0.25">
      <c r="A6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1</v>
      </c>
      <c r="BJ6">
        <v>11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</row>
    <row r="7" spans="1:97" x14ac:dyDescent="0.25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4</v>
      </c>
      <c r="BJ7">
        <v>199</v>
      </c>
      <c r="BK7">
        <v>2</v>
      </c>
      <c r="BL7">
        <v>4</v>
      </c>
      <c r="BM7">
        <v>1</v>
      </c>
      <c r="BN7">
        <v>3</v>
      </c>
      <c r="BO7">
        <v>3</v>
      </c>
      <c r="BP7">
        <v>3</v>
      </c>
      <c r="BQ7">
        <v>3</v>
      </c>
      <c r="BR7">
        <v>4</v>
      </c>
      <c r="BS7">
        <v>1</v>
      </c>
      <c r="BT7">
        <v>0</v>
      </c>
      <c r="BU7">
        <v>2</v>
      </c>
      <c r="BV7">
        <v>3</v>
      </c>
      <c r="BW7">
        <v>1</v>
      </c>
      <c r="BX7">
        <v>0</v>
      </c>
      <c r="BY7">
        <v>0</v>
      </c>
      <c r="BZ7">
        <v>0</v>
      </c>
      <c r="CA7">
        <v>0</v>
      </c>
      <c r="CB7">
        <v>0</v>
      </c>
      <c r="CC7">
        <v>1</v>
      </c>
      <c r="CD7">
        <v>3</v>
      </c>
      <c r="CE7">
        <v>0</v>
      </c>
      <c r="CF7">
        <v>0</v>
      </c>
      <c r="CG7">
        <v>1</v>
      </c>
      <c r="CH7">
        <v>0</v>
      </c>
      <c r="CI7">
        <v>3</v>
      </c>
      <c r="CJ7">
        <v>1</v>
      </c>
      <c r="CK7">
        <v>1</v>
      </c>
      <c r="CL7">
        <v>3</v>
      </c>
      <c r="CM7">
        <v>0</v>
      </c>
      <c r="CN7">
        <v>1</v>
      </c>
      <c r="CO7">
        <v>2</v>
      </c>
    </row>
    <row r="8" spans="1:97" x14ac:dyDescent="0.25">
      <c r="A8" t="s">
        <v>6</v>
      </c>
      <c r="B8">
        <v>0</v>
      </c>
      <c r="C8">
        <v>2</v>
      </c>
      <c r="D8">
        <v>0</v>
      </c>
      <c r="E8">
        <v>2</v>
      </c>
      <c r="F8">
        <v>1</v>
      </c>
      <c r="G8">
        <v>1</v>
      </c>
      <c r="H8">
        <v>5</v>
      </c>
      <c r="I8">
        <v>3</v>
      </c>
      <c r="J8">
        <v>3</v>
      </c>
      <c r="K8">
        <v>0</v>
      </c>
      <c r="L8">
        <v>3</v>
      </c>
      <c r="M8">
        <v>1</v>
      </c>
      <c r="N8">
        <v>3</v>
      </c>
      <c r="O8">
        <v>3</v>
      </c>
      <c r="P8">
        <v>0</v>
      </c>
      <c r="Q8">
        <v>0</v>
      </c>
      <c r="R8">
        <v>2</v>
      </c>
      <c r="S8">
        <v>2</v>
      </c>
      <c r="T8">
        <v>2</v>
      </c>
      <c r="U8">
        <v>0</v>
      </c>
      <c r="V8">
        <v>5</v>
      </c>
      <c r="W8">
        <v>1</v>
      </c>
      <c r="X8">
        <v>3</v>
      </c>
      <c r="Y8">
        <v>1</v>
      </c>
      <c r="Z8">
        <v>0</v>
      </c>
      <c r="AA8">
        <v>2</v>
      </c>
      <c r="AB8">
        <v>1</v>
      </c>
      <c r="AC8">
        <v>2</v>
      </c>
      <c r="AD8">
        <v>3</v>
      </c>
      <c r="AE8">
        <v>2</v>
      </c>
      <c r="AF8">
        <v>0</v>
      </c>
      <c r="AG8">
        <v>2</v>
      </c>
      <c r="AH8">
        <v>2</v>
      </c>
      <c r="AI8">
        <v>1</v>
      </c>
      <c r="AJ8">
        <v>0</v>
      </c>
      <c r="AK8">
        <v>1</v>
      </c>
      <c r="AL8">
        <v>4</v>
      </c>
      <c r="AM8">
        <v>1</v>
      </c>
      <c r="AN8">
        <v>1</v>
      </c>
      <c r="AO8">
        <v>1</v>
      </c>
      <c r="AP8">
        <v>0</v>
      </c>
      <c r="AQ8">
        <v>1</v>
      </c>
      <c r="AR8">
        <v>2</v>
      </c>
      <c r="AS8">
        <v>2</v>
      </c>
      <c r="AT8">
        <v>2</v>
      </c>
      <c r="AU8">
        <v>2</v>
      </c>
      <c r="AV8">
        <v>2</v>
      </c>
      <c r="AW8">
        <v>0</v>
      </c>
      <c r="AX8">
        <v>0</v>
      </c>
      <c r="AY8">
        <v>0</v>
      </c>
      <c r="AZ8">
        <v>0</v>
      </c>
      <c r="BA8">
        <v>6</v>
      </c>
      <c r="BB8">
        <v>3</v>
      </c>
      <c r="BC8">
        <v>1</v>
      </c>
      <c r="BD8">
        <v>1</v>
      </c>
      <c r="BE8">
        <v>3</v>
      </c>
      <c r="BF8">
        <v>1</v>
      </c>
      <c r="BG8">
        <v>7</v>
      </c>
      <c r="BH8">
        <v>14</v>
      </c>
      <c r="BI8">
        <v>118</v>
      </c>
      <c r="BJ8">
        <v>2627</v>
      </c>
      <c r="BK8">
        <v>597</v>
      </c>
      <c r="BL8">
        <v>361</v>
      </c>
      <c r="BM8">
        <v>194</v>
      </c>
      <c r="BN8">
        <v>296</v>
      </c>
      <c r="BO8">
        <v>311</v>
      </c>
      <c r="BP8">
        <v>270</v>
      </c>
      <c r="BQ8">
        <v>276</v>
      </c>
      <c r="BR8">
        <v>279</v>
      </c>
      <c r="BS8">
        <v>239</v>
      </c>
      <c r="BT8">
        <v>149</v>
      </c>
      <c r="BU8">
        <v>134</v>
      </c>
      <c r="BV8">
        <v>138</v>
      </c>
      <c r="BW8">
        <v>72</v>
      </c>
      <c r="BX8">
        <v>83</v>
      </c>
      <c r="BY8">
        <v>81</v>
      </c>
      <c r="BZ8">
        <v>80</v>
      </c>
      <c r="CA8">
        <v>64</v>
      </c>
      <c r="CB8">
        <v>47</v>
      </c>
      <c r="CC8">
        <v>76</v>
      </c>
      <c r="CD8">
        <v>112</v>
      </c>
      <c r="CE8">
        <v>103</v>
      </c>
      <c r="CF8">
        <v>117</v>
      </c>
      <c r="CG8">
        <v>144</v>
      </c>
      <c r="CH8">
        <v>128</v>
      </c>
      <c r="CI8">
        <v>137</v>
      </c>
      <c r="CJ8">
        <v>130</v>
      </c>
      <c r="CK8">
        <v>169</v>
      </c>
      <c r="CL8">
        <v>188</v>
      </c>
      <c r="CM8">
        <v>122</v>
      </c>
      <c r="CN8">
        <v>195</v>
      </c>
      <c r="CO8">
        <v>130</v>
      </c>
    </row>
    <row r="9" spans="1:97" x14ac:dyDescent="0.25">
      <c r="A9" t="s">
        <v>7</v>
      </c>
      <c r="B9">
        <v>157</v>
      </c>
      <c r="C9">
        <v>166</v>
      </c>
      <c r="D9">
        <v>156</v>
      </c>
      <c r="E9">
        <v>140</v>
      </c>
      <c r="F9">
        <v>158</v>
      </c>
      <c r="G9">
        <v>143</v>
      </c>
      <c r="H9">
        <v>148</v>
      </c>
      <c r="I9">
        <v>159</v>
      </c>
      <c r="J9">
        <v>156</v>
      </c>
      <c r="K9">
        <v>144</v>
      </c>
      <c r="L9">
        <v>135</v>
      </c>
      <c r="M9">
        <v>156</v>
      </c>
      <c r="N9">
        <v>134</v>
      </c>
      <c r="O9">
        <v>145</v>
      </c>
      <c r="P9">
        <v>92</v>
      </c>
      <c r="Q9">
        <v>94</v>
      </c>
      <c r="R9">
        <v>137</v>
      </c>
      <c r="S9">
        <v>114</v>
      </c>
      <c r="T9">
        <v>125</v>
      </c>
      <c r="U9">
        <v>104</v>
      </c>
      <c r="V9">
        <v>120</v>
      </c>
      <c r="W9">
        <v>99</v>
      </c>
      <c r="X9">
        <v>173</v>
      </c>
      <c r="Y9">
        <v>131</v>
      </c>
      <c r="Z9">
        <v>99</v>
      </c>
      <c r="AA9">
        <v>125</v>
      </c>
      <c r="AB9">
        <v>126</v>
      </c>
      <c r="AC9">
        <v>118</v>
      </c>
      <c r="AD9">
        <v>104</v>
      </c>
      <c r="AE9">
        <v>106</v>
      </c>
      <c r="AF9">
        <v>96</v>
      </c>
      <c r="AG9">
        <v>102</v>
      </c>
      <c r="AH9">
        <v>125</v>
      </c>
      <c r="AI9">
        <v>171</v>
      </c>
      <c r="AJ9">
        <v>128</v>
      </c>
      <c r="AK9">
        <v>147</v>
      </c>
      <c r="AL9">
        <v>150</v>
      </c>
      <c r="AM9">
        <v>154</v>
      </c>
      <c r="AN9">
        <v>115</v>
      </c>
      <c r="AO9">
        <v>116</v>
      </c>
      <c r="AP9">
        <v>134</v>
      </c>
      <c r="AQ9">
        <v>127</v>
      </c>
      <c r="AR9">
        <v>100</v>
      </c>
      <c r="AS9">
        <v>121</v>
      </c>
      <c r="AT9">
        <v>95</v>
      </c>
      <c r="AU9">
        <v>89</v>
      </c>
      <c r="AV9">
        <v>127</v>
      </c>
      <c r="AW9">
        <v>110</v>
      </c>
      <c r="AX9">
        <v>128</v>
      </c>
      <c r="AY9">
        <v>131</v>
      </c>
      <c r="AZ9">
        <v>146</v>
      </c>
      <c r="BA9">
        <v>101</v>
      </c>
      <c r="BB9">
        <v>127</v>
      </c>
      <c r="BC9">
        <v>102</v>
      </c>
      <c r="BD9">
        <v>89</v>
      </c>
      <c r="BE9">
        <v>83</v>
      </c>
      <c r="BF9">
        <v>102</v>
      </c>
      <c r="BG9">
        <v>183</v>
      </c>
      <c r="BH9">
        <v>217</v>
      </c>
      <c r="BI9">
        <v>1822</v>
      </c>
      <c r="BJ9">
        <v>10683</v>
      </c>
      <c r="BK9">
        <v>11852</v>
      </c>
      <c r="BL9">
        <v>9885</v>
      </c>
      <c r="BM9">
        <v>7309</v>
      </c>
      <c r="BN9">
        <v>8052</v>
      </c>
      <c r="BO9">
        <v>9082</v>
      </c>
      <c r="BP9">
        <v>8482</v>
      </c>
      <c r="BQ9">
        <v>8252</v>
      </c>
      <c r="BR9">
        <v>7834</v>
      </c>
      <c r="BS9">
        <v>7480</v>
      </c>
      <c r="BT9">
        <v>6277</v>
      </c>
      <c r="BU9">
        <v>5135</v>
      </c>
      <c r="BV9">
        <v>4187</v>
      </c>
      <c r="BW9">
        <v>3381</v>
      </c>
      <c r="BX9">
        <v>2729</v>
      </c>
      <c r="BY9">
        <v>2494</v>
      </c>
      <c r="BZ9">
        <v>2465</v>
      </c>
      <c r="CA9">
        <v>2271</v>
      </c>
      <c r="CB9">
        <v>1829</v>
      </c>
      <c r="CC9">
        <v>2115</v>
      </c>
      <c r="CD9">
        <v>2596</v>
      </c>
      <c r="CE9">
        <v>2773</v>
      </c>
      <c r="CF9">
        <v>2782</v>
      </c>
      <c r="CG9">
        <v>2888</v>
      </c>
      <c r="CH9">
        <v>2991</v>
      </c>
      <c r="CI9">
        <v>3768</v>
      </c>
      <c r="CJ9">
        <v>3550</v>
      </c>
      <c r="CK9">
        <v>3885</v>
      </c>
      <c r="CL9">
        <v>3633</v>
      </c>
      <c r="CM9">
        <v>3267</v>
      </c>
      <c r="CN9">
        <v>3685</v>
      </c>
      <c r="CO9">
        <v>3563</v>
      </c>
    </row>
    <row r="10" spans="1:97" x14ac:dyDescent="0.25">
      <c r="A10" t="s">
        <v>8</v>
      </c>
      <c r="B10">
        <v>3356</v>
      </c>
      <c r="C10">
        <v>3468</v>
      </c>
      <c r="D10">
        <v>3799</v>
      </c>
      <c r="E10">
        <v>4630</v>
      </c>
      <c r="F10">
        <v>3524</v>
      </c>
      <c r="G10">
        <v>2905</v>
      </c>
      <c r="H10">
        <v>3115</v>
      </c>
      <c r="I10">
        <v>3665</v>
      </c>
      <c r="J10">
        <v>4033</v>
      </c>
      <c r="K10">
        <v>3995</v>
      </c>
      <c r="L10">
        <v>3569</v>
      </c>
      <c r="M10">
        <v>3544</v>
      </c>
      <c r="N10">
        <v>3174</v>
      </c>
      <c r="O10">
        <v>3123</v>
      </c>
      <c r="P10">
        <v>2383</v>
      </c>
      <c r="Q10">
        <v>2580</v>
      </c>
      <c r="R10">
        <v>2841</v>
      </c>
      <c r="S10">
        <v>2979</v>
      </c>
      <c r="T10">
        <v>2812</v>
      </c>
      <c r="U10">
        <v>2770</v>
      </c>
      <c r="V10">
        <v>2766</v>
      </c>
      <c r="W10">
        <v>3080</v>
      </c>
      <c r="X10">
        <v>3615</v>
      </c>
      <c r="Y10">
        <v>3103</v>
      </c>
      <c r="Z10">
        <v>2846</v>
      </c>
      <c r="AA10">
        <v>3061</v>
      </c>
      <c r="AB10">
        <v>2582</v>
      </c>
      <c r="AC10">
        <v>2533</v>
      </c>
      <c r="AD10">
        <v>2390</v>
      </c>
      <c r="AE10">
        <v>2678</v>
      </c>
      <c r="AF10">
        <v>2246</v>
      </c>
      <c r="AG10">
        <v>2401</v>
      </c>
      <c r="AH10">
        <v>3004</v>
      </c>
      <c r="AI10">
        <v>2898</v>
      </c>
      <c r="AJ10">
        <v>2513</v>
      </c>
      <c r="AK10">
        <v>2573</v>
      </c>
      <c r="AL10">
        <v>2794</v>
      </c>
      <c r="AM10">
        <v>2939</v>
      </c>
      <c r="AN10">
        <v>2872</v>
      </c>
      <c r="AO10">
        <v>2609</v>
      </c>
      <c r="AP10">
        <v>3284</v>
      </c>
      <c r="AQ10">
        <v>2615</v>
      </c>
      <c r="AR10">
        <v>2627</v>
      </c>
      <c r="AS10">
        <v>2644</v>
      </c>
      <c r="AT10">
        <v>2350</v>
      </c>
      <c r="AU10">
        <v>2261</v>
      </c>
      <c r="AV10">
        <v>2790</v>
      </c>
      <c r="AW10">
        <v>2488</v>
      </c>
      <c r="AX10">
        <v>2684</v>
      </c>
      <c r="AY10">
        <v>2742</v>
      </c>
      <c r="AZ10">
        <v>2707</v>
      </c>
      <c r="BA10">
        <v>2456</v>
      </c>
      <c r="BB10">
        <v>2536</v>
      </c>
      <c r="BC10">
        <v>2435</v>
      </c>
      <c r="BD10">
        <v>1943</v>
      </c>
      <c r="BE10">
        <v>1972</v>
      </c>
      <c r="BF10">
        <v>2174</v>
      </c>
      <c r="BG10">
        <v>2530</v>
      </c>
      <c r="BH10">
        <v>2945</v>
      </c>
      <c r="BI10">
        <v>9804</v>
      </c>
      <c r="BJ10">
        <v>6136</v>
      </c>
      <c r="BK10">
        <v>8458</v>
      </c>
      <c r="BL10">
        <v>10356</v>
      </c>
      <c r="BM10">
        <v>11925</v>
      </c>
      <c r="BN10">
        <v>11249</v>
      </c>
      <c r="BO10">
        <v>10317</v>
      </c>
      <c r="BP10">
        <v>10823</v>
      </c>
      <c r="BQ10">
        <v>11076</v>
      </c>
      <c r="BR10">
        <v>11059</v>
      </c>
      <c r="BS10">
        <v>11612</v>
      </c>
      <c r="BT10">
        <v>12247</v>
      </c>
      <c r="BU10">
        <v>12776</v>
      </c>
      <c r="BV10">
        <v>13643</v>
      </c>
      <c r="BW10">
        <v>14254</v>
      </c>
      <c r="BX10">
        <v>14433</v>
      </c>
      <c r="BY10">
        <v>14809</v>
      </c>
      <c r="BZ10">
        <v>14734</v>
      </c>
      <c r="CA10">
        <v>15119</v>
      </c>
      <c r="CB10">
        <v>14712</v>
      </c>
      <c r="CC10">
        <v>14612</v>
      </c>
      <c r="CD10">
        <v>14145</v>
      </c>
      <c r="CE10">
        <v>13804</v>
      </c>
      <c r="CF10">
        <v>13440</v>
      </c>
      <c r="CG10">
        <v>12446</v>
      </c>
      <c r="CH10">
        <v>12587</v>
      </c>
      <c r="CI10">
        <v>12927</v>
      </c>
      <c r="CJ10">
        <v>12555</v>
      </c>
      <c r="CK10">
        <v>12494</v>
      </c>
      <c r="CL10">
        <v>12474</v>
      </c>
      <c r="CM10">
        <v>12684</v>
      </c>
      <c r="CN10">
        <v>12659</v>
      </c>
      <c r="CO10">
        <v>12637</v>
      </c>
    </row>
    <row r="11" spans="1:97" x14ac:dyDescent="0.25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</row>
    <row r="12" spans="1:97" x14ac:dyDescent="0.2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</row>
    <row r="13" spans="1:97" x14ac:dyDescent="0.25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</row>
    <row r="14" spans="1:97" x14ac:dyDescent="0.25">
      <c r="A14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2.5344083103357999E-2</v>
      </c>
      <c r="BJ14">
        <v>0.108402639333512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</row>
    <row r="15" spans="1:97" x14ac:dyDescent="0.25">
      <c r="A15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2.5344083103357999E-2</v>
      </c>
      <c r="BJ15">
        <v>8.5195492688122099E-2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</row>
    <row r="16" spans="1:97" x14ac:dyDescent="0.25">
      <c r="A16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2.5344083103357999E-2</v>
      </c>
      <c r="BJ16">
        <v>8.1549751061042799E-2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</row>
    <row r="17" spans="1:97" x14ac:dyDescent="0.25">
      <c r="A17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0.101376332413432</v>
      </c>
      <c r="BJ17">
        <v>0.43361055733404802</v>
      </c>
      <c r="BK17">
        <v>0.15893956583734201</v>
      </c>
      <c r="BL17">
        <v>0.16096523401697599</v>
      </c>
      <c r="BM17">
        <v>0.118870902327499</v>
      </c>
      <c r="BN17">
        <v>0.140446260438086</v>
      </c>
      <c r="BO17">
        <v>0.13988382867001301</v>
      </c>
      <c r="BP17">
        <v>0.15715673769541599</v>
      </c>
      <c r="BQ17">
        <v>0.13487607620358999</v>
      </c>
      <c r="BR17">
        <v>0.14619442628211099</v>
      </c>
      <c r="BS17">
        <v>0.124814531837183</v>
      </c>
      <c r="BT17">
        <v>0</v>
      </c>
      <c r="BU17">
        <v>0.116600893543406</v>
      </c>
      <c r="BV17">
        <v>9.8423931438507598E-2</v>
      </c>
      <c r="BW17">
        <v>0.11383431004219199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8.6182213136810196E-2</v>
      </c>
      <c r="CD17">
        <v>9.5286181842591494E-2</v>
      </c>
      <c r="CE17">
        <v>0</v>
      </c>
      <c r="CF17">
        <v>0</v>
      </c>
      <c r="CG17">
        <v>8.3740991638738799E-2</v>
      </c>
      <c r="CH17">
        <v>0</v>
      </c>
      <c r="CI17">
        <v>0.10566798720048701</v>
      </c>
      <c r="CJ17">
        <v>0.101758715108709</v>
      </c>
      <c r="CK17">
        <v>0.122361164494197</v>
      </c>
      <c r="CL17">
        <v>9.8503737358123095E-2</v>
      </c>
      <c r="CM17">
        <v>0</v>
      </c>
      <c r="CN17">
        <v>7.5822205467142995E-2</v>
      </c>
      <c r="CO17">
        <v>8.3854042377042901E-2</v>
      </c>
    </row>
    <row r="18" spans="1:97" x14ac:dyDescent="0.25">
      <c r="A18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7.6273374983454198E-2</v>
      </c>
      <c r="BJ18">
        <v>0.283546008743847</v>
      </c>
      <c r="BK18">
        <v>0.15697958783728699</v>
      </c>
      <c r="BL18">
        <v>0.14174128806027</v>
      </c>
      <c r="BM18">
        <v>0.118870902327499</v>
      </c>
      <c r="BN18">
        <v>0.12609749587479399</v>
      </c>
      <c r="BO18">
        <v>0.129341892722802</v>
      </c>
      <c r="BP18">
        <v>0.140070262024618</v>
      </c>
      <c r="BQ18">
        <v>0.12976920775224701</v>
      </c>
      <c r="BR18">
        <v>0.120837471498635</v>
      </c>
      <c r="BS18">
        <v>0.124814531837183</v>
      </c>
      <c r="BT18">
        <v>0</v>
      </c>
      <c r="BU18">
        <v>0.112325051897618</v>
      </c>
      <c r="BV18">
        <v>9.54989240242579E-2</v>
      </c>
      <c r="BW18">
        <v>0.11383431004219199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8.6182213136810196E-2</v>
      </c>
      <c r="CD18">
        <v>8.1727236183115906E-2</v>
      </c>
      <c r="CE18">
        <v>0</v>
      </c>
      <c r="CF18">
        <v>0</v>
      </c>
      <c r="CG18">
        <v>8.3740991638738799E-2</v>
      </c>
      <c r="CH18">
        <v>0</v>
      </c>
      <c r="CI18">
        <v>9.6386756324060602E-2</v>
      </c>
      <c r="CJ18">
        <v>0.101758715108709</v>
      </c>
      <c r="CK18">
        <v>0.122361164494197</v>
      </c>
      <c r="CL18">
        <v>9.3821249239783799E-2</v>
      </c>
      <c r="CM18">
        <v>0</v>
      </c>
      <c r="CN18">
        <v>7.5822205467142995E-2</v>
      </c>
      <c r="CO18">
        <v>7.9411307859004798E-2</v>
      </c>
    </row>
    <row r="19" spans="1:97" x14ac:dyDescent="0.25">
      <c r="A19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7.2229232727843304E-2</v>
      </c>
      <c r="BJ19">
        <v>0.28905210154241401</v>
      </c>
      <c r="BK19">
        <v>0.15697958783728699</v>
      </c>
      <c r="BL19">
        <v>0.13656814142461501</v>
      </c>
      <c r="BM19">
        <v>0.118870902327499</v>
      </c>
      <c r="BN19">
        <v>0.139344115961197</v>
      </c>
      <c r="BO19">
        <v>0.13082190163870799</v>
      </c>
      <c r="BP19">
        <v>0.131874154083121</v>
      </c>
      <c r="BQ19">
        <v>0.12976920775224701</v>
      </c>
      <c r="BR19">
        <v>0.114821668827623</v>
      </c>
      <c r="BS19">
        <v>0.124814531837183</v>
      </c>
      <c r="BT19">
        <v>0</v>
      </c>
      <c r="BU19">
        <v>0.112325051897618</v>
      </c>
      <c r="BV19">
        <v>9.5702890962683196E-2</v>
      </c>
      <c r="BW19">
        <v>0.11383431004219199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8.6182213136810196E-2</v>
      </c>
      <c r="CD19">
        <v>8.0578495137296896E-2</v>
      </c>
      <c r="CE19">
        <v>0</v>
      </c>
      <c r="CF19">
        <v>0</v>
      </c>
      <c r="CG19">
        <v>8.3740991638738799E-2</v>
      </c>
      <c r="CH19">
        <v>0</v>
      </c>
      <c r="CI19">
        <v>9.6677116727047693E-2</v>
      </c>
      <c r="CJ19">
        <v>0.101758715108709</v>
      </c>
      <c r="CK19">
        <v>0.122361164494197</v>
      </c>
      <c r="CL19">
        <v>9.3821249239783799E-2</v>
      </c>
      <c r="CM19">
        <v>0</v>
      </c>
      <c r="CN19">
        <v>7.5822205467142995E-2</v>
      </c>
      <c r="CO19">
        <v>7.9411307859004798E-2</v>
      </c>
    </row>
    <row r="20" spans="1:97" x14ac:dyDescent="0.25">
      <c r="A20" t="s">
        <v>18</v>
      </c>
      <c r="B20">
        <v>0</v>
      </c>
      <c r="C20">
        <v>0.117182371888675</v>
      </c>
      <c r="D20">
        <v>0</v>
      </c>
      <c r="E20">
        <v>0.10799566664533999</v>
      </c>
      <c r="F20">
        <v>8.4402137506057295E-2</v>
      </c>
      <c r="G20">
        <v>7.7900776777383898E-2</v>
      </c>
      <c r="H20">
        <v>0.10289930869962</v>
      </c>
      <c r="I20">
        <v>0.117305801529688</v>
      </c>
      <c r="J20">
        <v>0.106549271152893</v>
      </c>
      <c r="K20">
        <v>0</v>
      </c>
      <c r="L20">
        <v>0.115131352784685</v>
      </c>
      <c r="M20">
        <v>8.0449296106553006E-2</v>
      </c>
      <c r="N20">
        <v>0.13961853022137899</v>
      </c>
      <c r="O20">
        <v>0.10648486438811</v>
      </c>
      <c r="P20">
        <v>0</v>
      </c>
      <c r="Q20">
        <v>0</v>
      </c>
      <c r="R20">
        <v>8.8224048276799694E-2</v>
      </c>
      <c r="S20">
        <v>0.111080045271337</v>
      </c>
      <c r="T20">
        <v>9.0854858507597794E-2</v>
      </c>
      <c r="U20">
        <v>0</v>
      </c>
      <c r="V20">
        <v>0.101584998090298</v>
      </c>
      <c r="W20">
        <v>0.115475090769446</v>
      </c>
      <c r="X20">
        <v>0.11405506662336699</v>
      </c>
      <c r="Y20">
        <v>8.6433814271341697E-2</v>
      </c>
      <c r="Z20">
        <v>0</v>
      </c>
      <c r="AA20">
        <v>0.111557503799214</v>
      </c>
      <c r="AB20">
        <v>9.3493028313677201E-2</v>
      </c>
      <c r="AC20">
        <v>8.2832922087422697E-2</v>
      </c>
      <c r="AD20">
        <v>0.100244103178822</v>
      </c>
      <c r="AE20">
        <v>9.3213660432335102E-2</v>
      </c>
      <c r="AF20">
        <v>0</v>
      </c>
      <c r="AG20">
        <v>0.10399738839413999</v>
      </c>
      <c r="AH20">
        <v>0.130396090005126</v>
      </c>
      <c r="AI20">
        <v>8.7989351478610603E-2</v>
      </c>
      <c r="AJ20">
        <v>0</v>
      </c>
      <c r="AK20">
        <v>9.4035527650578696E-2</v>
      </c>
      <c r="AL20">
        <v>9.8537132921906495E-2</v>
      </c>
      <c r="AM20">
        <v>0.12607697091793299</v>
      </c>
      <c r="AN20">
        <v>9.8340110990653998E-2</v>
      </c>
      <c r="AO20">
        <v>9.2017186449363603E-2</v>
      </c>
      <c r="AP20">
        <v>0</v>
      </c>
      <c r="AQ20">
        <v>9.8472709486206594E-2</v>
      </c>
      <c r="AR20">
        <v>9.0772085838490904E-2</v>
      </c>
      <c r="AS20">
        <v>8.6025579318206993E-2</v>
      </c>
      <c r="AT20">
        <v>7.7658133532019599E-2</v>
      </c>
      <c r="AU20">
        <v>0.10095942303000199</v>
      </c>
      <c r="AV20">
        <v>0.120366282061456</v>
      </c>
      <c r="AW20">
        <v>0</v>
      </c>
      <c r="AX20">
        <v>0</v>
      </c>
      <c r="AY20">
        <v>0</v>
      </c>
      <c r="AZ20">
        <v>0</v>
      </c>
      <c r="BA20">
        <v>0.10047511136357699</v>
      </c>
      <c r="BB20">
        <v>0.111857776758022</v>
      </c>
      <c r="BC20">
        <v>7.8301918989393093E-2</v>
      </c>
      <c r="BD20">
        <v>7.8737025487699994E-2</v>
      </c>
      <c r="BE20">
        <v>0.11621955780464301</v>
      </c>
      <c r="BF20">
        <v>7.7581553595072197E-2</v>
      </c>
      <c r="BG20">
        <v>9.3247683974438597E-2</v>
      </c>
      <c r="BH20">
        <v>0.13726963267740799</v>
      </c>
      <c r="BI20">
        <v>0.40550532965372799</v>
      </c>
      <c r="BJ20">
        <v>1.7344422293361901</v>
      </c>
      <c r="BK20">
        <v>0.79773276791207004</v>
      </c>
      <c r="BL20">
        <v>0.64386093606790695</v>
      </c>
      <c r="BM20">
        <v>0.54469686277013596</v>
      </c>
      <c r="BN20">
        <v>0.561785041752346</v>
      </c>
      <c r="BO20">
        <v>0.56308956619036499</v>
      </c>
      <c r="BP20">
        <v>0.62862695078166397</v>
      </c>
      <c r="BQ20">
        <v>0.53950430481436296</v>
      </c>
      <c r="BR20">
        <v>0.63232764945712605</v>
      </c>
      <c r="BS20">
        <v>0.52250522081451101</v>
      </c>
      <c r="BT20">
        <v>0.45587075320395998</v>
      </c>
      <c r="BU20">
        <v>0.49069716053766499</v>
      </c>
      <c r="BV20">
        <v>0.41802492404839797</v>
      </c>
      <c r="BW20">
        <v>0.45533724016876898</v>
      </c>
      <c r="BX20">
        <v>0.43025329047352101</v>
      </c>
      <c r="BY20">
        <v>0.30962256588493098</v>
      </c>
      <c r="BZ20">
        <v>0.315301307978337</v>
      </c>
      <c r="CA20">
        <v>0.32037405139265801</v>
      </c>
      <c r="CB20">
        <v>0.36210651564060797</v>
      </c>
      <c r="CC20">
        <v>0.34586216949299797</v>
      </c>
      <c r="CD20">
        <v>0.38114472737036598</v>
      </c>
      <c r="CE20">
        <v>0.37839514560983201</v>
      </c>
      <c r="CF20">
        <v>0.356667872389197</v>
      </c>
      <c r="CG20">
        <v>0.36630714368876899</v>
      </c>
      <c r="CH20">
        <v>0.34051402965889599</v>
      </c>
      <c r="CI20">
        <v>0.42267194880194803</v>
      </c>
      <c r="CJ20">
        <v>0.46940465738235099</v>
      </c>
      <c r="CK20">
        <v>0.48944465797679099</v>
      </c>
      <c r="CL20">
        <v>0.41844309324067402</v>
      </c>
      <c r="CM20">
        <v>0.421429121209625</v>
      </c>
      <c r="CN20">
        <v>0.52020771539003197</v>
      </c>
      <c r="CO20">
        <v>0.40567039470746402</v>
      </c>
    </row>
    <row r="21" spans="1:97" x14ac:dyDescent="0.25">
      <c r="A21" t="s">
        <v>19</v>
      </c>
      <c r="B21">
        <v>0</v>
      </c>
      <c r="C21">
        <v>0.117168336808375</v>
      </c>
      <c r="D21">
        <v>0</v>
      </c>
      <c r="E21">
        <v>0.106629534651212</v>
      </c>
      <c r="F21">
        <v>8.4402137506057295E-2</v>
      </c>
      <c r="G21">
        <v>7.7900776777383898E-2</v>
      </c>
      <c r="H21">
        <v>9.1268791591273504E-2</v>
      </c>
      <c r="I21">
        <v>0.106594147736417</v>
      </c>
      <c r="J21">
        <v>9.8551961098077095E-2</v>
      </c>
      <c r="K21">
        <v>0</v>
      </c>
      <c r="L21">
        <v>0.100579957276294</v>
      </c>
      <c r="M21">
        <v>8.0449296106553006E-2</v>
      </c>
      <c r="N21">
        <v>0.13961853022137899</v>
      </c>
      <c r="O21">
        <v>9.4313781998187907E-2</v>
      </c>
      <c r="P21">
        <v>0</v>
      </c>
      <c r="Q21">
        <v>0</v>
      </c>
      <c r="R21">
        <v>8.4433315022057406E-2</v>
      </c>
      <c r="S21">
        <v>0.109056239596514</v>
      </c>
      <c r="T21">
        <v>9.0854858507597794E-2</v>
      </c>
      <c r="U21">
        <v>0</v>
      </c>
      <c r="V21">
        <v>8.7200496818779602E-2</v>
      </c>
      <c r="W21">
        <v>0.115475090769446</v>
      </c>
      <c r="X21">
        <v>0.104818955901401</v>
      </c>
      <c r="Y21">
        <v>8.6433814271341697E-2</v>
      </c>
      <c r="Z21">
        <v>0</v>
      </c>
      <c r="AA21">
        <v>0.103687636765146</v>
      </c>
      <c r="AB21">
        <v>9.3493028313677201E-2</v>
      </c>
      <c r="AC21">
        <v>7.9194345453832998E-2</v>
      </c>
      <c r="AD21">
        <v>8.93795768957934E-2</v>
      </c>
      <c r="AE21">
        <v>9.1367729537631295E-2</v>
      </c>
      <c r="AF21">
        <v>0</v>
      </c>
      <c r="AG21">
        <v>0.10399738839413999</v>
      </c>
      <c r="AH21">
        <v>0.11350208121305599</v>
      </c>
      <c r="AI21">
        <v>8.7989351478610603E-2</v>
      </c>
      <c r="AJ21">
        <v>0</v>
      </c>
      <c r="AK21">
        <v>9.4035527650578696E-2</v>
      </c>
      <c r="AL21">
        <v>8.3001262512248195E-2</v>
      </c>
      <c r="AM21">
        <v>0.12607697091793299</v>
      </c>
      <c r="AN21">
        <v>9.8340110990653998E-2</v>
      </c>
      <c r="AO21">
        <v>9.2017186449363603E-2</v>
      </c>
      <c r="AP21">
        <v>0</v>
      </c>
      <c r="AQ21">
        <v>9.8472709486206594E-2</v>
      </c>
      <c r="AR21">
        <v>9.0267447626459094E-2</v>
      </c>
      <c r="AS21">
        <v>8.5484782684154395E-2</v>
      </c>
      <c r="AT21">
        <v>7.2860129057124801E-2</v>
      </c>
      <c r="AU21">
        <v>8.9234625225225295E-2</v>
      </c>
      <c r="AV21">
        <v>0.10568194271119</v>
      </c>
      <c r="AW21">
        <v>0</v>
      </c>
      <c r="AX21">
        <v>0</v>
      </c>
      <c r="AY21">
        <v>0</v>
      </c>
      <c r="AZ21">
        <v>0</v>
      </c>
      <c r="BA21">
        <v>9.2315754337973704E-2</v>
      </c>
      <c r="BB21">
        <v>0.10391135234870599</v>
      </c>
      <c r="BC21">
        <v>7.8301918989393093E-2</v>
      </c>
      <c r="BD21">
        <v>7.8737025487699994E-2</v>
      </c>
      <c r="BE21">
        <v>9.1626604599783307E-2</v>
      </c>
      <c r="BF21">
        <v>7.7581553595072197E-2</v>
      </c>
      <c r="BG21">
        <v>7.8882320276852894E-2</v>
      </c>
      <c r="BH21">
        <v>0.10118860056078401</v>
      </c>
      <c r="BI21">
        <v>0.231162677579378</v>
      </c>
      <c r="BJ21">
        <v>1.1098597828947401</v>
      </c>
      <c r="BK21">
        <v>0.56148807295317404</v>
      </c>
      <c r="BL21">
        <v>0.47140226687294801</v>
      </c>
      <c r="BM21">
        <v>0.39512516263295799</v>
      </c>
      <c r="BN21">
        <v>0.42480574459104398</v>
      </c>
      <c r="BO21">
        <v>0.455534962196809</v>
      </c>
      <c r="BP21">
        <v>0.43669419798805398</v>
      </c>
      <c r="BQ21">
        <v>0.41673816321061202</v>
      </c>
      <c r="BR21">
        <v>0.42683922577640498</v>
      </c>
      <c r="BS21">
        <v>0.404154288142417</v>
      </c>
      <c r="BT21">
        <v>0.36345877852650899</v>
      </c>
      <c r="BU21">
        <v>0.34422532689244201</v>
      </c>
      <c r="BV21">
        <v>0.31402176451768399</v>
      </c>
      <c r="BW21">
        <v>0.28511567247198399</v>
      </c>
      <c r="BX21">
        <v>0.25936138714840301</v>
      </c>
      <c r="BY21">
        <v>0.23897026768045301</v>
      </c>
      <c r="BZ21">
        <v>0.25393052060294502</v>
      </c>
      <c r="CA21">
        <v>0.24303304911479401</v>
      </c>
      <c r="CB21">
        <v>0.23166023068153399</v>
      </c>
      <c r="CC21">
        <v>0.24715515740247301</v>
      </c>
      <c r="CD21">
        <v>0.26604174406855102</v>
      </c>
      <c r="CE21">
        <v>0.278569611543596</v>
      </c>
      <c r="CF21">
        <v>0.275674879215484</v>
      </c>
      <c r="CG21">
        <v>0.27840116621442001</v>
      </c>
      <c r="CH21">
        <v>0.26705419283915299</v>
      </c>
      <c r="CI21">
        <v>0.30712638903714901</v>
      </c>
      <c r="CJ21">
        <v>0.30147474083153603</v>
      </c>
      <c r="CK21">
        <v>0.32231932292120402</v>
      </c>
      <c r="CL21">
        <v>0.30876425968904803</v>
      </c>
      <c r="CM21">
        <v>0.291615093894322</v>
      </c>
      <c r="CN21">
        <v>0.318133864536502</v>
      </c>
      <c r="CO21">
        <v>0.29748097307454302</v>
      </c>
    </row>
    <row r="22" spans="1:97" x14ac:dyDescent="0.25">
      <c r="A22" t="s">
        <v>20</v>
      </c>
      <c r="B22">
        <v>0</v>
      </c>
      <c r="C22">
        <v>0.117168336808375</v>
      </c>
      <c r="D22">
        <v>0</v>
      </c>
      <c r="E22">
        <v>0.106629534651212</v>
      </c>
      <c r="F22">
        <v>8.4402137506057295E-2</v>
      </c>
      <c r="G22">
        <v>7.7900776777383898E-2</v>
      </c>
      <c r="H22">
        <v>9.0157172379434006E-2</v>
      </c>
      <c r="I22">
        <v>0.103964771891508</v>
      </c>
      <c r="J22">
        <v>0.10616070233175399</v>
      </c>
      <c r="K22">
        <v>0</v>
      </c>
      <c r="L22">
        <v>0.100579957276294</v>
      </c>
      <c r="M22">
        <v>8.0449296106553006E-2</v>
      </c>
      <c r="N22">
        <v>0.13961853022137899</v>
      </c>
      <c r="O22">
        <v>9.4313781998187907E-2</v>
      </c>
      <c r="P22">
        <v>0</v>
      </c>
      <c r="Q22">
        <v>0</v>
      </c>
      <c r="R22">
        <v>8.4433315022057406E-2</v>
      </c>
      <c r="S22">
        <v>0.109056239596514</v>
      </c>
      <c r="T22">
        <v>9.0854858507597794E-2</v>
      </c>
      <c r="U22">
        <v>0</v>
      </c>
      <c r="V22">
        <v>8.8003625783747999E-2</v>
      </c>
      <c r="W22">
        <v>0.115475090769446</v>
      </c>
      <c r="X22">
        <v>0.101807130138824</v>
      </c>
      <c r="Y22">
        <v>8.6433814271341697E-2</v>
      </c>
      <c r="Z22">
        <v>0</v>
      </c>
      <c r="AA22">
        <v>0.103687636765146</v>
      </c>
      <c r="AB22">
        <v>9.3493028313677201E-2</v>
      </c>
      <c r="AC22">
        <v>7.9194345453832998E-2</v>
      </c>
      <c r="AD22">
        <v>8.93795768957934E-2</v>
      </c>
      <c r="AE22">
        <v>9.1367729537631295E-2</v>
      </c>
      <c r="AF22">
        <v>0</v>
      </c>
      <c r="AG22">
        <v>0.10399738839413999</v>
      </c>
      <c r="AH22">
        <v>0.11350208121305599</v>
      </c>
      <c r="AI22">
        <v>8.7989351478610603E-2</v>
      </c>
      <c r="AJ22">
        <v>0</v>
      </c>
      <c r="AK22">
        <v>9.4035527650578696E-2</v>
      </c>
      <c r="AL22">
        <v>7.8884405108012298E-2</v>
      </c>
      <c r="AM22">
        <v>0.12607697091793299</v>
      </c>
      <c r="AN22">
        <v>9.8340110990653998E-2</v>
      </c>
      <c r="AO22">
        <v>9.2017186449363603E-2</v>
      </c>
      <c r="AP22">
        <v>0</v>
      </c>
      <c r="AQ22">
        <v>9.8472709486206594E-2</v>
      </c>
      <c r="AR22">
        <v>9.0267447626459094E-2</v>
      </c>
      <c r="AS22">
        <v>8.5484782684154395E-2</v>
      </c>
      <c r="AT22">
        <v>7.2860129057124801E-2</v>
      </c>
      <c r="AU22">
        <v>8.9234625225225295E-2</v>
      </c>
      <c r="AV22">
        <v>0.10568194271119</v>
      </c>
      <c r="AW22">
        <v>0</v>
      </c>
      <c r="AX22">
        <v>0</v>
      </c>
      <c r="AY22">
        <v>0</v>
      </c>
      <c r="AZ22">
        <v>0</v>
      </c>
      <c r="BA22">
        <v>9.2315754337973704E-2</v>
      </c>
      <c r="BB22">
        <v>0.11132855001945199</v>
      </c>
      <c r="BC22">
        <v>7.8301918989393093E-2</v>
      </c>
      <c r="BD22">
        <v>7.8737025487699994E-2</v>
      </c>
      <c r="BE22">
        <v>9.1626604599783307E-2</v>
      </c>
      <c r="BF22">
        <v>7.7581553595072197E-2</v>
      </c>
      <c r="BG22">
        <v>7.7650971636647401E-2</v>
      </c>
      <c r="BH22">
        <v>0.104986584312075</v>
      </c>
      <c r="BI22">
        <v>0.22708580986350099</v>
      </c>
      <c r="BJ22">
        <v>1.1221395332995101</v>
      </c>
      <c r="BK22">
        <v>0.54941182477238903</v>
      </c>
      <c r="BL22">
        <v>0.46821724432094602</v>
      </c>
      <c r="BM22">
        <v>0.38298903274417101</v>
      </c>
      <c r="BN22">
        <v>0.41980964486731698</v>
      </c>
      <c r="BO22">
        <v>0.44758899635440302</v>
      </c>
      <c r="BP22">
        <v>0.43092820041763202</v>
      </c>
      <c r="BQ22">
        <v>0.41130218559854598</v>
      </c>
      <c r="BR22">
        <v>0.42739622307039599</v>
      </c>
      <c r="BS22">
        <v>0.39111539925321798</v>
      </c>
      <c r="BT22">
        <v>0.35421845217749998</v>
      </c>
      <c r="BU22">
        <v>0.33440762931914803</v>
      </c>
      <c r="BV22">
        <v>0.30946402557480501</v>
      </c>
      <c r="BW22">
        <v>0.27607151619678499</v>
      </c>
      <c r="BX22">
        <v>0.25256663864581502</v>
      </c>
      <c r="BY22">
        <v>0.234921764076712</v>
      </c>
      <c r="BZ22">
        <v>0.25882468388793201</v>
      </c>
      <c r="CA22">
        <v>0.23472040614286399</v>
      </c>
      <c r="CB22">
        <v>0.22547755064254299</v>
      </c>
      <c r="CC22">
        <v>0.239775830551654</v>
      </c>
      <c r="CD22">
        <v>0.25384878815121198</v>
      </c>
      <c r="CE22">
        <v>0.265976542219097</v>
      </c>
      <c r="CF22">
        <v>0.280094574641157</v>
      </c>
      <c r="CG22">
        <v>0.27967859187613803</v>
      </c>
      <c r="CH22">
        <v>0.26486852987548498</v>
      </c>
      <c r="CI22">
        <v>0.29919739103686399</v>
      </c>
      <c r="CJ22">
        <v>0.29047194820775801</v>
      </c>
      <c r="CK22">
        <v>0.32022786845526102</v>
      </c>
      <c r="CL22">
        <v>0.30499792336484999</v>
      </c>
      <c r="CM22">
        <v>0.29148366557943201</v>
      </c>
      <c r="CN22">
        <v>0.299735690043338</v>
      </c>
      <c r="CO22">
        <v>0.285269908796973</v>
      </c>
    </row>
    <row r="23" spans="1:97" x14ac:dyDescent="0.25">
      <c r="A23" t="s">
        <v>21</v>
      </c>
      <c r="B23">
        <v>0.38286342961956399</v>
      </c>
      <c r="C23">
        <v>0.46872948755470201</v>
      </c>
      <c r="D23">
        <v>0.48919930326149902</v>
      </c>
      <c r="E23">
        <v>0.43198266658135998</v>
      </c>
      <c r="F23">
        <v>0.44144293551536101</v>
      </c>
      <c r="G23">
        <v>0.37643933712059902</v>
      </c>
      <c r="H23">
        <v>0.42662675274654699</v>
      </c>
      <c r="I23">
        <v>0.46922320611875301</v>
      </c>
      <c r="J23">
        <v>0.43103166576859903</v>
      </c>
      <c r="K23">
        <v>0.43768594448734699</v>
      </c>
      <c r="L23">
        <v>0.46052541113874301</v>
      </c>
      <c r="M23">
        <v>0.43622999947839303</v>
      </c>
      <c r="N23">
        <v>0.55847412088551895</v>
      </c>
      <c r="O23">
        <v>0.425939457552443</v>
      </c>
      <c r="P23">
        <v>0.40875344614110898</v>
      </c>
      <c r="Q23">
        <v>0.38145822241600502</v>
      </c>
      <c r="R23">
        <v>0.40303472892340197</v>
      </c>
      <c r="S23">
        <v>0.44432018108535098</v>
      </c>
      <c r="T23">
        <v>0.37877656721493103</v>
      </c>
      <c r="U23">
        <v>0.40663355488626202</v>
      </c>
      <c r="V23">
        <v>0.406339992361194</v>
      </c>
      <c r="W23">
        <v>0.46190036307778398</v>
      </c>
      <c r="X23">
        <v>0.45622026649346897</v>
      </c>
      <c r="Y23">
        <v>0.39900590318482998</v>
      </c>
      <c r="Z23">
        <v>0.39265427523447199</v>
      </c>
      <c r="AA23">
        <v>0.44623001519685601</v>
      </c>
      <c r="AB23">
        <v>0.37690739626777597</v>
      </c>
      <c r="AC23">
        <v>0.36715570122261998</v>
      </c>
      <c r="AD23">
        <v>0.400976412715291</v>
      </c>
      <c r="AE23">
        <v>0.41113876000056399</v>
      </c>
      <c r="AF23">
        <v>0.36424080980656698</v>
      </c>
      <c r="AG23">
        <v>0.41598955357656098</v>
      </c>
      <c r="AH23">
        <v>0.52158436002050601</v>
      </c>
      <c r="AI23">
        <v>0.45792078720664697</v>
      </c>
      <c r="AJ23">
        <v>0.37824593178930999</v>
      </c>
      <c r="AK23">
        <v>0.39090894327645698</v>
      </c>
      <c r="AL23">
        <v>0.41434626131115498</v>
      </c>
      <c r="AM23">
        <v>0.50430788367173496</v>
      </c>
      <c r="AN23">
        <v>0.42986593122311001</v>
      </c>
      <c r="AO23">
        <v>0.38998054237139601</v>
      </c>
      <c r="AP23">
        <v>0.46937255710172499</v>
      </c>
      <c r="AQ23">
        <v>0.39389083794482599</v>
      </c>
      <c r="AR23">
        <v>0.39228087271692302</v>
      </c>
      <c r="AS23">
        <v>0.469735728718705</v>
      </c>
      <c r="AT23">
        <v>0.34207042281919697</v>
      </c>
      <c r="AU23">
        <v>0.40383769212001103</v>
      </c>
      <c r="AV23">
        <v>0.48146512824582499</v>
      </c>
      <c r="AW23">
        <v>0.383397209770657</v>
      </c>
      <c r="AX23">
        <v>0.37117634024933899</v>
      </c>
      <c r="AY23">
        <v>0.42100568079521999</v>
      </c>
      <c r="AZ23">
        <v>0.38361549985554699</v>
      </c>
      <c r="BA23">
        <v>0.44869761365920802</v>
      </c>
      <c r="BB23">
        <v>0.44743110703208899</v>
      </c>
      <c r="BC23">
        <v>0.35883618553145502</v>
      </c>
      <c r="BD23">
        <v>0.34750877785414303</v>
      </c>
      <c r="BE23">
        <v>0.46487823121857202</v>
      </c>
      <c r="BF23">
        <v>0.38031713738265999</v>
      </c>
      <c r="BG23">
        <v>0.38817322335139798</v>
      </c>
      <c r="BH23">
        <v>0.54907853070963197</v>
      </c>
      <c r="BI23">
        <v>1.6220213186149099</v>
      </c>
      <c r="BJ23">
        <v>6.9377689173447701</v>
      </c>
      <c r="BK23">
        <v>3.1909310716482802</v>
      </c>
      <c r="BL23">
        <v>2.5754437442716198</v>
      </c>
      <c r="BM23">
        <v>2.1787874510805398</v>
      </c>
      <c r="BN23">
        <v>2.24714016700938</v>
      </c>
      <c r="BO23">
        <v>2.2523582647614599</v>
      </c>
      <c r="BP23">
        <v>2.5145078031266501</v>
      </c>
      <c r="BQ23">
        <v>2.15801721925745</v>
      </c>
      <c r="BR23">
        <v>2.5293105978285002</v>
      </c>
      <c r="BS23">
        <v>2.09002088325804</v>
      </c>
      <c r="BT23">
        <v>1.8234830128158399</v>
      </c>
      <c r="BU23">
        <v>1.96278864215066</v>
      </c>
      <c r="BV23">
        <v>1.6720996961935899</v>
      </c>
      <c r="BW23">
        <v>1.8213489606750699</v>
      </c>
      <c r="BX23">
        <v>1.72101316189408</v>
      </c>
      <c r="BY23">
        <v>1.2384902635397199</v>
      </c>
      <c r="BZ23">
        <v>1.26120523191334</v>
      </c>
      <c r="CA23">
        <v>1.28149620557063</v>
      </c>
      <c r="CB23">
        <v>1.4484260625624299</v>
      </c>
      <c r="CC23">
        <v>1.3834486779719899</v>
      </c>
      <c r="CD23">
        <v>1.5245789094814599</v>
      </c>
      <c r="CE23">
        <v>1.51358058243933</v>
      </c>
      <c r="CF23">
        <v>1.42667148955678</v>
      </c>
      <c r="CG23">
        <v>1.46522857475507</v>
      </c>
      <c r="CH23">
        <v>1.36205611863558</v>
      </c>
      <c r="CI23">
        <v>1.6906877952077899</v>
      </c>
      <c r="CJ23">
        <v>1.8776186295294</v>
      </c>
      <c r="CK23">
        <v>1.9577786319071599</v>
      </c>
      <c r="CL23">
        <v>1.6737723729626901</v>
      </c>
      <c r="CM23">
        <v>1.6857164848385</v>
      </c>
      <c r="CN23">
        <v>2.0808308615601199</v>
      </c>
      <c r="CO23">
        <v>1.6226815788298501</v>
      </c>
    </row>
    <row r="24" spans="1:97" x14ac:dyDescent="0.25">
      <c r="A24" t="s">
        <v>22</v>
      </c>
      <c r="B24">
        <v>0.30231485863739899</v>
      </c>
      <c r="C24">
        <v>0.315991711991575</v>
      </c>
      <c r="D24">
        <v>0.32889429016479399</v>
      </c>
      <c r="E24">
        <v>0.34476024899408197</v>
      </c>
      <c r="F24">
        <v>0.30867903817338099</v>
      </c>
      <c r="G24">
        <v>0.288813282543673</v>
      </c>
      <c r="H24">
        <v>0.31278431265988199</v>
      </c>
      <c r="I24">
        <v>0.32879123877488198</v>
      </c>
      <c r="J24">
        <v>0.329690834508858</v>
      </c>
      <c r="K24">
        <v>0.32803943380045603</v>
      </c>
      <c r="L24">
        <v>0.31872494053889799</v>
      </c>
      <c r="M24">
        <v>0.32041089240847498</v>
      </c>
      <c r="N24">
        <v>0.314107280770621</v>
      </c>
      <c r="O24">
        <v>0.30937368844383201</v>
      </c>
      <c r="P24">
        <v>0.27685315470758098</v>
      </c>
      <c r="Q24">
        <v>0.27011332100345098</v>
      </c>
      <c r="R24">
        <v>0.28484743984161398</v>
      </c>
      <c r="S24">
        <v>0.28394046282435098</v>
      </c>
      <c r="T24">
        <v>0.288842342598983</v>
      </c>
      <c r="U24">
        <v>0.28420347559539599</v>
      </c>
      <c r="V24">
        <v>0.29001765098820198</v>
      </c>
      <c r="W24">
        <v>0.293020943270621</v>
      </c>
      <c r="X24">
        <v>0.32423545266716303</v>
      </c>
      <c r="Y24">
        <v>0.29497395051991598</v>
      </c>
      <c r="Z24">
        <v>0.28893771147014002</v>
      </c>
      <c r="AA24">
        <v>0.28879622036205799</v>
      </c>
      <c r="AB24">
        <v>0.27460783525665999</v>
      </c>
      <c r="AC24">
        <v>0.267322409239313</v>
      </c>
      <c r="AD24">
        <v>0.270061256631489</v>
      </c>
      <c r="AE24">
        <v>0.28385311374649702</v>
      </c>
      <c r="AF24">
        <v>0.262984714263018</v>
      </c>
      <c r="AG24">
        <v>0.26523680693814</v>
      </c>
      <c r="AH24">
        <v>0.30495184187964097</v>
      </c>
      <c r="AI24">
        <v>0.29756317728201798</v>
      </c>
      <c r="AJ24">
        <v>0.27441369290156797</v>
      </c>
      <c r="AK24">
        <v>0.277097921265613</v>
      </c>
      <c r="AL24">
        <v>0.30070003017909602</v>
      </c>
      <c r="AM24">
        <v>0.290858808575432</v>
      </c>
      <c r="AN24">
        <v>0.30548473936350601</v>
      </c>
      <c r="AO24">
        <v>0.27809212865842597</v>
      </c>
      <c r="AP24">
        <v>0.30725452792440999</v>
      </c>
      <c r="AQ24">
        <v>0.28910521022311703</v>
      </c>
      <c r="AR24">
        <v>0.27566380598829499</v>
      </c>
      <c r="AS24">
        <v>0.284817518918561</v>
      </c>
      <c r="AT24">
        <v>0.27242224490626699</v>
      </c>
      <c r="AU24">
        <v>0.27196919295635402</v>
      </c>
      <c r="AV24">
        <v>0.28529526270101702</v>
      </c>
      <c r="AW24">
        <v>0.27657390784501201</v>
      </c>
      <c r="AX24">
        <v>0.28444401825865301</v>
      </c>
      <c r="AY24">
        <v>0.292635639365602</v>
      </c>
      <c r="AZ24">
        <v>0.29409011282513797</v>
      </c>
      <c r="BA24">
        <v>0.28725241385128603</v>
      </c>
      <c r="BB24">
        <v>0.28974950051522202</v>
      </c>
      <c r="BC24">
        <v>0.28019357764561897</v>
      </c>
      <c r="BD24">
        <v>0.258121937006552</v>
      </c>
      <c r="BE24">
        <v>0.25024345327362202</v>
      </c>
      <c r="BF24">
        <v>0.25608688809785102</v>
      </c>
      <c r="BG24">
        <v>0.27651356248315101</v>
      </c>
      <c r="BH24">
        <v>0.31876035718454199</v>
      </c>
      <c r="BI24">
        <v>0.89688821228444804</v>
      </c>
      <c r="BJ24">
        <v>4.4394391315789896</v>
      </c>
      <c r="BK24">
        <v>2.24595229181269</v>
      </c>
      <c r="BL24">
        <v>1.8672704555824799</v>
      </c>
      <c r="BM24">
        <v>1.54072421728937</v>
      </c>
      <c r="BN24">
        <v>1.6612465183115801</v>
      </c>
      <c r="BO24">
        <v>1.80587658844295</v>
      </c>
      <c r="BP24">
        <v>1.7255283253926299</v>
      </c>
      <c r="BQ24">
        <v>1.6492325040059499</v>
      </c>
      <c r="BR24">
        <v>1.66891067953355</v>
      </c>
      <c r="BS24">
        <v>1.5888553134133301</v>
      </c>
      <c r="BT24">
        <v>1.4120690837408501</v>
      </c>
      <c r="BU24">
        <v>1.30843978014871</v>
      </c>
      <c r="BV24">
        <v>1.1858711602533401</v>
      </c>
      <c r="BW24">
        <v>1.0504619285940799</v>
      </c>
      <c r="BX24">
        <v>0.98545196709427696</v>
      </c>
      <c r="BY24">
        <v>0.91885422139477502</v>
      </c>
      <c r="BZ24">
        <v>0.96326611675326601</v>
      </c>
      <c r="CA24">
        <v>0.902312918846085</v>
      </c>
      <c r="CB24">
        <v>0.838334658518752</v>
      </c>
      <c r="CC24">
        <v>0.90758335424232095</v>
      </c>
      <c r="CD24">
        <v>1.0072449233437999</v>
      </c>
      <c r="CE24">
        <v>1.05620114223934</v>
      </c>
      <c r="CF24">
        <v>1.0324125601224401</v>
      </c>
      <c r="CG24">
        <v>1.0723673803592699</v>
      </c>
      <c r="CH24">
        <v>1.01890231367661</v>
      </c>
      <c r="CI24">
        <v>1.17970945073403</v>
      </c>
      <c r="CJ24">
        <v>1.14804210547643</v>
      </c>
      <c r="CK24">
        <v>1.22630176836385</v>
      </c>
      <c r="CL24">
        <v>1.2006236171063001</v>
      </c>
      <c r="CM24">
        <v>1.1091828195861799</v>
      </c>
      <c r="CN24">
        <v>1.20866152243578</v>
      </c>
      <c r="CO24">
        <v>1.14769175494759</v>
      </c>
    </row>
    <row r="25" spans="1:97" x14ac:dyDescent="0.25">
      <c r="A25" t="s">
        <v>23</v>
      </c>
      <c r="B25">
        <v>0.30152765026217798</v>
      </c>
      <c r="C25">
        <v>0.30839612534016603</v>
      </c>
      <c r="D25">
        <v>0.304610394226702</v>
      </c>
      <c r="E25">
        <v>0.34322858350079499</v>
      </c>
      <c r="F25">
        <v>0.30667174779760398</v>
      </c>
      <c r="G25">
        <v>0.28700122205054701</v>
      </c>
      <c r="H25">
        <v>0.30435090968825101</v>
      </c>
      <c r="I25">
        <v>0.316257160458214</v>
      </c>
      <c r="J25">
        <v>0.33079334229660001</v>
      </c>
      <c r="K25">
        <v>0.32601310502306502</v>
      </c>
      <c r="L25">
        <v>0.321156618721542</v>
      </c>
      <c r="M25">
        <v>0.31593042530308402</v>
      </c>
      <c r="N25">
        <v>0.30820625925649198</v>
      </c>
      <c r="O25">
        <v>0.30242969051183399</v>
      </c>
      <c r="P25">
        <v>0.25668177201742898</v>
      </c>
      <c r="Q25">
        <v>0.27118058053692601</v>
      </c>
      <c r="R25">
        <v>0.26832661506983901</v>
      </c>
      <c r="S25">
        <v>0.27644447813537198</v>
      </c>
      <c r="T25">
        <v>0.28226689737425398</v>
      </c>
      <c r="U25">
        <v>0.27722854729243601</v>
      </c>
      <c r="V25">
        <v>0.28302392254185099</v>
      </c>
      <c r="W25">
        <v>0.27744144504304902</v>
      </c>
      <c r="X25">
        <v>0.314485546936631</v>
      </c>
      <c r="Y25">
        <v>0.29170537123796703</v>
      </c>
      <c r="Z25">
        <v>0.282022118334185</v>
      </c>
      <c r="AA25">
        <v>0.27077116846550803</v>
      </c>
      <c r="AB25">
        <v>0.27210146375167399</v>
      </c>
      <c r="AC25">
        <v>0.266241263604231</v>
      </c>
      <c r="AD25">
        <v>0.26292128297281703</v>
      </c>
      <c r="AE25">
        <v>0.280124490146269</v>
      </c>
      <c r="AF25">
        <v>0.25223116619868202</v>
      </c>
      <c r="AG25">
        <v>0.254097238653266</v>
      </c>
      <c r="AH25">
        <v>0.29804738306794398</v>
      </c>
      <c r="AI25">
        <v>0.29061863388070402</v>
      </c>
      <c r="AJ25">
        <v>0.26509416679376702</v>
      </c>
      <c r="AK25">
        <v>0.27465078147067201</v>
      </c>
      <c r="AL25">
        <v>0.298853822584359</v>
      </c>
      <c r="AM25">
        <v>0.29140010381138598</v>
      </c>
      <c r="AN25">
        <v>0.30789626016978999</v>
      </c>
      <c r="AO25">
        <v>0.271740512473028</v>
      </c>
      <c r="AP25">
        <v>0.29471015619683899</v>
      </c>
      <c r="AQ25">
        <v>0.28620291614804599</v>
      </c>
      <c r="AR25">
        <v>0.26502502410185602</v>
      </c>
      <c r="AS25">
        <v>0.27793944391494202</v>
      </c>
      <c r="AT25">
        <v>0.27026534081221598</v>
      </c>
      <c r="AU25">
        <v>0.26376017518762201</v>
      </c>
      <c r="AV25">
        <v>0.28349104722359503</v>
      </c>
      <c r="AW25">
        <v>0.26661880132413801</v>
      </c>
      <c r="AX25">
        <v>0.280712892407181</v>
      </c>
      <c r="AY25">
        <v>0.27847835096639401</v>
      </c>
      <c r="AZ25">
        <v>0.292053741601973</v>
      </c>
      <c r="BA25">
        <v>0.28060608068319298</v>
      </c>
      <c r="BB25">
        <v>0.27756026126668598</v>
      </c>
      <c r="BC25">
        <v>0.28054353714413299</v>
      </c>
      <c r="BD25">
        <v>0.25634075802197798</v>
      </c>
      <c r="BE25">
        <v>0.238186634141168</v>
      </c>
      <c r="BF25">
        <v>0.24810107489775901</v>
      </c>
      <c r="BG25">
        <v>0.267605152051685</v>
      </c>
      <c r="BH25">
        <v>0.307706732702476</v>
      </c>
      <c r="BI25">
        <v>0.88868084081781196</v>
      </c>
      <c r="BJ25">
        <v>4.4885581331980502</v>
      </c>
      <c r="BK25">
        <v>2.1976472990895499</v>
      </c>
      <c r="BL25">
        <v>1.83953717727666</v>
      </c>
      <c r="BM25">
        <v>1.5097182593109</v>
      </c>
      <c r="BN25">
        <v>1.6297697984027</v>
      </c>
      <c r="BO25">
        <v>1.77208989620639</v>
      </c>
      <c r="BP25">
        <v>1.70913340119379</v>
      </c>
      <c r="BQ25">
        <v>1.62577578979613</v>
      </c>
      <c r="BR25">
        <v>1.62149984820895</v>
      </c>
      <c r="BS25">
        <v>1.5544977569376699</v>
      </c>
      <c r="BT25">
        <v>1.36817587866591</v>
      </c>
      <c r="BU25">
        <v>1.31307204781691</v>
      </c>
      <c r="BV25">
        <v>1.19260908622483</v>
      </c>
      <c r="BW25">
        <v>1.0365007281932701</v>
      </c>
      <c r="BX25">
        <v>0.94865415672114495</v>
      </c>
      <c r="BY25">
        <v>0.90373554063626305</v>
      </c>
      <c r="BZ25">
        <v>0.95283491209253601</v>
      </c>
      <c r="CA25">
        <v>0.89221995851535496</v>
      </c>
      <c r="CB25">
        <v>0.83808702279761704</v>
      </c>
      <c r="CC25">
        <v>0.88859938910325698</v>
      </c>
      <c r="CD25">
        <v>0.97364966389241103</v>
      </c>
      <c r="CE25">
        <v>1.02568270360342</v>
      </c>
      <c r="CF25">
        <v>1.0231860386918501</v>
      </c>
      <c r="CG25">
        <v>1.0607290015489199</v>
      </c>
      <c r="CH25">
        <v>1.0445640182776901</v>
      </c>
      <c r="CI25">
        <v>1.1193998767756099</v>
      </c>
      <c r="CJ25">
        <v>1.11130738421783</v>
      </c>
      <c r="CK25">
        <v>1.2112484647511601</v>
      </c>
      <c r="CL25">
        <v>1.1919144992824899</v>
      </c>
      <c r="CM25">
        <v>1.11638204351788</v>
      </c>
      <c r="CN25">
        <v>1.14469671548725</v>
      </c>
      <c r="CO25">
        <v>1.11098852543094</v>
      </c>
    </row>
    <row r="26" spans="1:97" x14ac:dyDescent="0.25">
      <c r="A26" t="s">
        <v>24</v>
      </c>
      <c r="B26">
        <v>1.53145371847825</v>
      </c>
      <c r="C26">
        <v>1.8749179502188</v>
      </c>
      <c r="D26">
        <v>1.9567972130459901</v>
      </c>
      <c r="E26">
        <v>1.7279306663254399</v>
      </c>
      <c r="F26">
        <v>1.7657717420614401</v>
      </c>
      <c r="G26">
        <v>1.5057573484823901</v>
      </c>
      <c r="H26">
        <v>1.70650701098618</v>
      </c>
      <c r="I26">
        <v>1.87689282447501</v>
      </c>
      <c r="J26">
        <v>1.7241266630743901</v>
      </c>
      <c r="K26">
        <v>1.75074377794939</v>
      </c>
      <c r="L26">
        <v>1.8421016445549701</v>
      </c>
      <c r="M26">
        <v>1.7449199979135701</v>
      </c>
      <c r="N26">
        <v>2.23389648354207</v>
      </c>
      <c r="O26">
        <v>1.70375783020977</v>
      </c>
      <c r="P26">
        <v>1.6350137845644299</v>
      </c>
      <c r="Q26">
        <v>1.5258328896640201</v>
      </c>
      <c r="R26">
        <v>1.6121389156935999</v>
      </c>
      <c r="S26">
        <v>1.7772807243413999</v>
      </c>
      <c r="T26">
        <v>1.5151062688597201</v>
      </c>
      <c r="U26">
        <v>1.6265342195450401</v>
      </c>
      <c r="V26">
        <v>1.62535996944477</v>
      </c>
      <c r="W26">
        <v>1.8476014523111299</v>
      </c>
      <c r="X26">
        <v>1.8248810659738699</v>
      </c>
      <c r="Y26">
        <v>1.5960236127393199</v>
      </c>
      <c r="Z26">
        <v>1.57061710093789</v>
      </c>
      <c r="AA26">
        <v>1.78492006078742</v>
      </c>
      <c r="AB26">
        <v>1.5076295850710999</v>
      </c>
      <c r="AC26">
        <v>1.4686228048904799</v>
      </c>
      <c r="AD26">
        <v>1.60390565086116</v>
      </c>
      <c r="AE26">
        <v>1.6445550400022499</v>
      </c>
      <c r="AF26">
        <v>1.4569632392262699</v>
      </c>
      <c r="AG26">
        <v>1.6639582143062399</v>
      </c>
      <c r="AH26">
        <v>2.08633744008202</v>
      </c>
      <c r="AI26">
        <v>1.8316831488265799</v>
      </c>
      <c r="AJ26">
        <v>1.5129837271572399</v>
      </c>
      <c r="AK26">
        <v>1.5636357731058199</v>
      </c>
      <c r="AL26">
        <v>1.6573850452446199</v>
      </c>
      <c r="AM26">
        <v>2.0172315346869398</v>
      </c>
      <c r="AN26">
        <v>1.71946372489244</v>
      </c>
      <c r="AO26">
        <v>1.55992216948558</v>
      </c>
      <c r="AP26">
        <v>1.8774902284068999</v>
      </c>
      <c r="AQ26">
        <v>1.5755633517793</v>
      </c>
      <c r="AR26">
        <v>1.5691234908676901</v>
      </c>
      <c r="AS26">
        <v>1.87894291487482</v>
      </c>
      <c r="AT26">
        <v>1.3682816912767899</v>
      </c>
      <c r="AU26">
        <v>1.6153507684800399</v>
      </c>
      <c r="AV26">
        <v>1.9258605129833</v>
      </c>
      <c r="AW26">
        <v>1.53358883908263</v>
      </c>
      <c r="AX26">
        <v>1.48470536099735</v>
      </c>
      <c r="AY26">
        <v>1.68402272318088</v>
      </c>
      <c r="AZ26">
        <v>1.53446199942219</v>
      </c>
      <c r="BA26">
        <v>1.7947904546368301</v>
      </c>
      <c r="BB26">
        <v>1.78972442812835</v>
      </c>
      <c r="BC26">
        <v>1.4353447421258201</v>
      </c>
      <c r="BD26">
        <v>1.3900351114165701</v>
      </c>
      <c r="BE26">
        <v>1.8595129248742901</v>
      </c>
      <c r="BF26">
        <v>1.5212685495306399</v>
      </c>
      <c r="BG26">
        <v>1.5526928934055899</v>
      </c>
      <c r="BH26">
        <v>2.1963141228385199</v>
      </c>
      <c r="BI26">
        <v>6.4880852744596602</v>
      </c>
      <c r="BJ26">
        <v>27.751075669378999</v>
      </c>
      <c r="BK26">
        <v>12.763724286593099</v>
      </c>
      <c r="BL26">
        <v>10.301774977086501</v>
      </c>
      <c r="BM26">
        <v>8.7151498043221807</v>
      </c>
      <c r="BN26">
        <v>8.9885606680375396</v>
      </c>
      <c r="BO26">
        <v>9.0094330590458398</v>
      </c>
      <c r="BP26">
        <v>10.0580312125066</v>
      </c>
      <c r="BQ26">
        <v>8.6320688770298108</v>
      </c>
      <c r="BR26">
        <v>10.117242391314001</v>
      </c>
      <c r="BS26">
        <v>8.3600835330321797</v>
      </c>
      <c r="BT26">
        <v>7.2939320512633596</v>
      </c>
      <c r="BU26">
        <v>7.8511545686026398</v>
      </c>
      <c r="BV26">
        <v>6.6883987847743702</v>
      </c>
      <c r="BW26">
        <v>7.2853958427003098</v>
      </c>
      <c r="BX26">
        <v>6.8840526475763397</v>
      </c>
      <c r="BY26">
        <v>4.9539610541589099</v>
      </c>
      <c r="BZ26">
        <v>5.0448209276533902</v>
      </c>
      <c r="CA26">
        <v>5.1259848222825397</v>
      </c>
      <c r="CB26">
        <v>5.7937042502497196</v>
      </c>
      <c r="CC26">
        <v>5.5337947118879702</v>
      </c>
      <c r="CD26">
        <v>6.0983156379258503</v>
      </c>
      <c r="CE26">
        <v>6.0543223297573201</v>
      </c>
      <c r="CF26">
        <v>5.7066859582271503</v>
      </c>
      <c r="CG26">
        <v>5.86091429902031</v>
      </c>
      <c r="CH26">
        <v>5.44822447454235</v>
      </c>
      <c r="CI26">
        <v>6.7627511808311596</v>
      </c>
      <c r="CJ26">
        <v>7.5104745181176096</v>
      </c>
      <c r="CK26">
        <v>7.8311145276286602</v>
      </c>
      <c r="CL26">
        <v>6.69508949185078</v>
      </c>
      <c r="CM26">
        <v>6.742865939354</v>
      </c>
      <c r="CN26">
        <v>8.3233234462405097</v>
      </c>
      <c r="CO26">
        <v>6.4907263153194297</v>
      </c>
    </row>
    <row r="27" spans="1:97" x14ac:dyDescent="0.25">
      <c r="A27" t="s">
        <v>25</v>
      </c>
      <c r="B27">
        <v>1.17116182598458</v>
      </c>
      <c r="C27">
        <v>1.213369962991</v>
      </c>
      <c r="D27">
        <v>1.28019167138706</v>
      </c>
      <c r="E27">
        <v>1.3366628425991101</v>
      </c>
      <c r="F27">
        <v>1.20849871486718</v>
      </c>
      <c r="G27">
        <v>1.11878295271658</v>
      </c>
      <c r="H27">
        <v>1.18816516209856</v>
      </c>
      <c r="I27">
        <v>1.2584078631805</v>
      </c>
      <c r="J27">
        <v>1.2767170948045301</v>
      </c>
      <c r="K27">
        <v>1.25063182534021</v>
      </c>
      <c r="L27">
        <v>1.2253227362330501</v>
      </c>
      <c r="M27">
        <v>1.2373988467278101</v>
      </c>
      <c r="N27">
        <v>1.20035464950746</v>
      </c>
      <c r="O27">
        <v>1.1858571674159799</v>
      </c>
      <c r="P27">
        <v>1.03398353246001</v>
      </c>
      <c r="Q27">
        <v>1.0387939838828499</v>
      </c>
      <c r="R27">
        <v>1.08664354556619</v>
      </c>
      <c r="S27">
        <v>1.1084691371192501</v>
      </c>
      <c r="T27">
        <v>1.10873328314147</v>
      </c>
      <c r="U27">
        <v>1.06701579836659</v>
      </c>
      <c r="V27">
        <v>1.10821063204008</v>
      </c>
      <c r="W27">
        <v>1.13665723641365</v>
      </c>
      <c r="X27">
        <v>1.2483022587816901</v>
      </c>
      <c r="Y27">
        <v>1.15713109092293</v>
      </c>
      <c r="Z27">
        <v>1.0894772760900799</v>
      </c>
      <c r="AA27">
        <v>1.09620538915562</v>
      </c>
      <c r="AB27">
        <v>1.0646751203671601</v>
      </c>
      <c r="AC27">
        <v>1.0368782791247599</v>
      </c>
      <c r="AD27">
        <v>1.0305594265614799</v>
      </c>
      <c r="AE27">
        <v>1.09078615696383</v>
      </c>
      <c r="AF27">
        <v>0.98251621561085101</v>
      </c>
      <c r="AG27">
        <v>1.0290034009557301</v>
      </c>
      <c r="AH27">
        <v>1.15402789493333</v>
      </c>
      <c r="AI27">
        <v>1.16239673134927</v>
      </c>
      <c r="AJ27">
        <v>1.0494308436800099</v>
      </c>
      <c r="AK27">
        <v>1.0814337749941201</v>
      </c>
      <c r="AL27">
        <v>1.1613302691884799</v>
      </c>
      <c r="AM27">
        <v>1.12601605326064</v>
      </c>
      <c r="AN27">
        <v>1.14472419488245</v>
      </c>
      <c r="AO27">
        <v>1.0760069790159601</v>
      </c>
      <c r="AP27">
        <v>1.18366576853843</v>
      </c>
      <c r="AQ27">
        <v>1.09484260721272</v>
      </c>
      <c r="AR27">
        <v>1.06810082752124</v>
      </c>
      <c r="AS27">
        <v>1.0938040446750099</v>
      </c>
      <c r="AT27">
        <v>1.01458450296473</v>
      </c>
      <c r="AU27">
        <v>1.0090342771038401</v>
      </c>
      <c r="AV27">
        <v>1.1098167454473</v>
      </c>
      <c r="AW27">
        <v>1.06487378237061</v>
      </c>
      <c r="AX27">
        <v>1.0963813175653601</v>
      </c>
      <c r="AY27">
        <v>1.1190435101310401</v>
      </c>
      <c r="AZ27">
        <v>1.1185365821528399</v>
      </c>
      <c r="BA27">
        <v>1.07964058421957</v>
      </c>
      <c r="BB27">
        <v>1.0883115827413301</v>
      </c>
      <c r="BC27">
        <v>1.0295468825149801</v>
      </c>
      <c r="BD27">
        <v>0.94253951894145305</v>
      </c>
      <c r="BE27">
        <v>0.95450641815261394</v>
      </c>
      <c r="BF27">
        <v>0.99077510087879195</v>
      </c>
      <c r="BG27">
        <v>1.0898525450369001</v>
      </c>
      <c r="BH27">
        <v>1.21001022721333</v>
      </c>
      <c r="BI27">
        <v>3.5875528491377899</v>
      </c>
      <c r="BJ27">
        <v>17.757756526315902</v>
      </c>
      <c r="BK27">
        <v>8.9838091672507794</v>
      </c>
      <c r="BL27">
        <v>7.4690818223299198</v>
      </c>
      <c r="BM27">
        <v>6.1628968691574899</v>
      </c>
      <c r="BN27">
        <v>6.6449860732463399</v>
      </c>
      <c r="BO27">
        <v>7.2235063537717998</v>
      </c>
      <c r="BP27">
        <v>6.9021133015705196</v>
      </c>
      <c r="BQ27">
        <v>6.59693001602382</v>
      </c>
      <c r="BR27">
        <v>6.6756427181342097</v>
      </c>
      <c r="BS27">
        <v>6.3554212536533301</v>
      </c>
      <c r="BT27">
        <v>5.6482763349634197</v>
      </c>
      <c r="BU27">
        <v>5.2337591205948399</v>
      </c>
      <c r="BV27">
        <v>4.7434846410133602</v>
      </c>
      <c r="BW27">
        <v>4.2018477143763198</v>
      </c>
      <c r="BX27">
        <v>3.9418078683771101</v>
      </c>
      <c r="BY27">
        <v>3.6754168855791001</v>
      </c>
      <c r="BZ27">
        <v>3.85306446701306</v>
      </c>
      <c r="CA27">
        <v>3.60925167538434</v>
      </c>
      <c r="CB27">
        <v>3.353338634075</v>
      </c>
      <c r="CC27">
        <v>3.6303334169692798</v>
      </c>
      <c r="CD27">
        <v>4.0289796933751996</v>
      </c>
      <c r="CE27">
        <v>4.2248045689573903</v>
      </c>
      <c r="CF27">
        <v>4.1296502404897701</v>
      </c>
      <c r="CG27">
        <v>4.2894695214370797</v>
      </c>
      <c r="CH27">
        <v>4.0756092547064497</v>
      </c>
      <c r="CI27">
        <v>4.71883780293612</v>
      </c>
      <c r="CJ27">
        <v>4.5921684219057504</v>
      </c>
      <c r="CK27">
        <v>4.9052070734553999</v>
      </c>
      <c r="CL27">
        <v>4.8024944684252198</v>
      </c>
      <c r="CM27">
        <v>4.4367312783447499</v>
      </c>
      <c r="CN27">
        <v>4.83464608974315</v>
      </c>
      <c r="CO27">
        <v>4.5907670197903903</v>
      </c>
    </row>
    <row r="28" spans="1:97" x14ac:dyDescent="0.25">
      <c r="A28" t="s">
        <v>26</v>
      </c>
      <c r="B28">
        <v>1.17108179061129</v>
      </c>
      <c r="C28">
        <v>1.20470986401722</v>
      </c>
      <c r="D28">
        <v>1.2078811464850101</v>
      </c>
      <c r="E28">
        <v>1.3407328814336199</v>
      </c>
      <c r="F28">
        <v>1.1998444586802299</v>
      </c>
      <c r="G28">
        <v>1.0837646218178301</v>
      </c>
      <c r="H28">
        <v>1.15668661277442</v>
      </c>
      <c r="I28">
        <v>1.21697855168508</v>
      </c>
      <c r="J28">
        <v>1.2797767887553599</v>
      </c>
      <c r="K28">
        <v>1.2620871931947899</v>
      </c>
      <c r="L28">
        <v>1.21960815225946</v>
      </c>
      <c r="M28">
        <v>1.2233986852435801</v>
      </c>
      <c r="N28">
        <v>1.1949020311683101</v>
      </c>
      <c r="O28">
        <v>1.1373663427537799</v>
      </c>
      <c r="P28">
        <v>0.99946343571779195</v>
      </c>
      <c r="Q28">
        <v>1.0279764709591499</v>
      </c>
      <c r="R28">
        <v>1.04808810201381</v>
      </c>
      <c r="S28">
        <v>1.08686175957981</v>
      </c>
      <c r="T28">
        <v>1.09516269495718</v>
      </c>
      <c r="U28">
        <v>1.0552767206644</v>
      </c>
      <c r="V28">
        <v>1.0626455846632601</v>
      </c>
      <c r="W28">
        <v>1.0985842523785001</v>
      </c>
      <c r="X28">
        <v>1.21309001909028</v>
      </c>
      <c r="Y28">
        <v>1.1481973123139899</v>
      </c>
      <c r="Z28">
        <v>1.0644784430936201</v>
      </c>
      <c r="AA28">
        <v>1.0527835144817299</v>
      </c>
      <c r="AB28">
        <v>1.0376616604973099</v>
      </c>
      <c r="AC28">
        <v>1.0098103944157999</v>
      </c>
      <c r="AD28">
        <v>1.0128458480839799</v>
      </c>
      <c r="AE28">
        <v>1.0789855058287201</v>
      </c>
      <c r="AF28">
        <v>0.96885363136093305</v>
      </c>
      <c r="AG28">
        <v>1.0049072295194501</v>
      </c>
      <c r="AH28">
        <v>1.10394549074687</v>
      </c>
      <c r="AI28">
        <v>1.1338157108693001</v>
      </c>
      <c r="AJ28">
        <v>1.0149349054800401</v>
      </c>
      <c r="AK28">
        <v>1.0713320001987701</v>
      </c>
      <c r="AL28">
        <v>1.17894853970706</v>
      </c>
      <c r="AM28">
        <v>1.10288303784899</v>
      </c>
      <c r="AN28">
        <v>1.0969331863985501</v>
      </c>
      <c r="AO28">
        <v>1.0440089423800201</v>
      </c>
      <c r="AP28">
        <v>1.1616694202254301</v>
      </c>
      <c r="AQ28">
        <v>1.06646869548387</v>
      </c>
      <c r="AR28">
        <v>1.0277989199219499</v>
      </c>
      <c r="AS28">
        <v>1.0525895594349399</v>
      </c>
      <c r="AT28">
        <v>1.0222121507100399</v>
      </c>
      <c r="AU28">
        <v>0.97164416657975905</v>
      </c>
      <c r="AV28">
        <v>1.0762203650472599</v>
      </c>
      <c r="AW28">
        <v>1.0337082909262401</v>
      </c>
      <c r="AX28">
        <v>1.09754686757169</v>
      </c>
      <c r="AY28">
        <v>1.076149854971</v>
      </c>
      <c r="AZ28">
        <v>1.1189029961287</v>
      </c>
      <c r="BA28">
        <v>1.0738565587826101</v>
      </c>
      <c r="BB28">
        <v>1.0796488569306699</v>
      </c>
      <c r="BC28">
        <v>1.00872718936203</v>
      </c>
      <c r="BD28">
        <v>0.90406042132876496</v>
      </c>
      <c r="BE28">
        <v>0.92719278578584297</v>
      </c>
      <c r="BF28">
        <v>0.95331573463322195</v>
      </c>
      <c r="BG28">
        <v>1.05476377902715</v>
      </c>
      <c r="BH28">
        <v>1.17620224125911</v>
      </c>
      <c r="BI28">
        <v>3.5547233632712398</v>
      </c>
      <c r="BJ28">
        <v>17.954232532792201</v>
      </c>
      <c r="BK28">
        <v>8.7905891963582299</v>
      </c>
      <c r="BL28">
        <v>7.35814870910664</v>
      </c>
      <c r="BM28">
        <v>6.0388730372435999</v>
      </c>
      <c r="BN28">
        <v>6.5190791936108097</v>
      </c>
      <c r="BO28">
        <v>7.0883595848255601</v>
      </c>
      <c r="BP28">
        <v>6.8365336047751599</v>
      </c>
      <c r="BQ28">
        <v>6.5031031591845299</v>
      </c>
      <c r="BR28">
        <v>6.4859993928358302</v>
      </c>
      <c r="BS28">
        <v>6.2179910277507</v>
      </c>
      <c r="BT28">
        <v>5.4727035146636496</v>
      </c>
      <c r="BU28">
        <v>5.25228819126764</v>
      </c>
      <c r="BV28">
        <v>4.7704363448993199</v>
      </c>
      <c r="BW28">
        <v>4.1460029127731097</v>
      </c>
      <c r="BX28">
        <v>3.7946166268845798</v>
      </c>
      <c r="BY28">
        <v>3.61494216254505</v>
      </c>
      <c r="BZ28">
        <v>3.8113396483701401</v>
      </c>
      <c r="CA28">
        <v>3.5688798340614198</v>
      </c>
      <c r="CB28">
        <v>3.3523480911904602</v>
      </c>
      <c r="CC28">
        <v>3.5543975564130301</v>
      </c>
      <c r="CD28">
        <v>3.8945986555696401</v>
      </c>
      <c r="CE28">
        <v>4.1027308144137002</v>
      </c>
      <c r="CF28">
        <v>4.0927441547674102</v>
      </c>
      <c r="CG28">
        <v>4.2429160061957099</v>
      </c>
      <c r="CH28">
        <v>4.1782560731107896</v>
      </c>
      <c r="CI28">
        <v>4.4775995071024601</v>
      </c>
      <c r="CJ28">
        <v>4.4452295368713504</v>
      </c>
      <c r="CK28">
        <v>4.8449938590046502</v>
      </c>
      <c r="CL28">
        <v>4.7676579971299597</v>
      </c>
      <c r="CM28">
        <v>4.4655281740715402</v>
      </c>
      <c r="CN28">
        <v>4.57878686194901</v>
      </c>
      <c r="CO28">
        <v>4.44395410172379</v>
      </c>
    </row>
    <row r="29" spans="1:97" x14ac:dyDescent="0.25">
      <c r="A29" t="s">
        <v>32</v>
      </c>
      <c r="B29">
        <v>0.76957219099999996</v>
      </c>
      <c r="C29">
        <v>0.771817164</v>
      </c>
      <c r="D29">
        <v>0.78552173950000004</v>
      </c>
      <c r="E29">
        <v>0.77333739349999997</v>
      </c>
      <c r="F29">
        <v>0.69855224699999996</v>
      </c>
      <c r="G29">
        <v>0.71226070049999901</v>
      </c>
      <c r="H29">
        <v>0.773592222</v>
      </c>
      <c r="I29">
        <v>0.76798645399999999</v>
      </c>
      <c r="J29">
        <v>0.7563906655</v>
      </c>
      <c r="K29">
        <v>0.72541048299999999</v>
      </c>
      <c r="L29">
        <v>0.74867457049999997</v>
      </c>
      <c r="M29">
        <v>0.77382161049999998</v>
      </c>
      <c r="N29">
        <v>0.75131557849999997</v>
      </c>
      <c r="O29">
        <v>0.75904434850000002</v>
      </c>
      <c r="P29">
        <v>0.67891565050000002</v>
      </c>
      <c r="Q29">
        <v>0.70024108200000001</v>
      </c>
      <c r="R29">
        <v>0.740701163</v>
      </c>
      <c r="S29">
        <v>0.74046465699999997</v>
      </c>
      <c r="T29">
        <v>0.74873955049999996</v>
      </c>
      <c r="U29">
        <v>0.73845619600000001</v>
      </c>
      <c r="V29">
        <v>0.726575334499999</v>
      </c>
      <c r="W29">
        <v>0.78202204350000004</v>
      </c>
      <c r="X29">
        <v>0.83594533650000002</v>
      </c>
      <c r="Y29">
        <v>0.78025976949999998</v>
      </c>
      <c r="Z29">
        <v>0.75657462549999999</v>
      </c>
      <c r="AA29">
        <v>0.70298291499999999</v>
      </c>
      <c r="AB29">
        <v>0.68254177999999999</v>
      </c>
      <c r="AC29">
        <v>0.684465781</v>
      </c>
      <c r="AD29">
        <v>0.69437548549999994</v>
      </c>
      <c r="AE29">
        <v>0.7037178785</v>
      </c>
      <c r="AF29">
        <v>0.672222341</v>
      </c>
      <c r="AG29">
        <v>0.67980481400000004</v>
      </c>
      <c r="AH29">
        <v>0.74230587949999904</v>
      </c>
      <c r="AI29">
        <v>0.76352864149999999</v>
      </c>
      <c r="AJ29">
        <v>0.72191215399999997</v>
      </c>
      <c r="AK29">
        <v>0.72191215399999997</v>
      </c>
      <c r="AL29">
        <v>0.77710206100000001</v>
      </c>
      <c r="AM29">
        <v>0.73831050949999999</v>
      </c>
      <c r="AN29">
        <v>0.65388842250000001</v>
      </c>
      <c r="AO29">
        <v>0.66321230600000003</v>
      </c>
      <c r="AP29">
        <v>0.73972780449999997</v>
      </c>
      <c r="AQ29">
        <v>0.72333429699999996</v>
      </c>
      <c r="AR29">
        <v>0.71002781749999999</v>
      </c>
      <c r="AS29">
        <v>0.72868923050000001</v>
      </c>
      <c r="AT29">
        <v>0.66863318549999995</v>
      </c>
      <c r="AU29">
        <v>0.65794700399999995</v>
      </c>
      <c r="AV29">
        <v>0.69552619199999999</v>
      </c>
      <c r="AW29">
        <v>0.73331566249999902</v>
      </c>
      <c r="AX29">
        <v>0.74682702999999995</v>
      </c>
      <c r="AY29">
        <v>0.76967573</v>
      </c>
      <c r="AZ29">
        <v>0.7477791265</v>
      </c>
      <c r="BA29">
        <v>0.71824162000000003</v>
      </c>
      <c r="BB29">
        <v>0.72944691949999996</v>
      </c>
      <c r="BC29">
        <v>0.68032893350000001</v>
      </c>
      <c r="BD29">
        <v>0.62184915699999999</v>
      </c>
      <c r="BE29">
        <v>0.63156217000000003</v>
      </c>
      <c r="BF29">
        <v>0.66496995749999999</v>
      </c>
      <c r="BG29">
        <v>0.67182250649999997</v>
      </c>
      <c r="BH29">
        <v>0.69815132099999999</v>
      </c>
      <c r="BI29">
        <v>1.3141996124999999</v>
      </c>
      <c r="BJ29">
        <v>12.6789259225</v>
      </c>
      <c r="BK29">
        <v>22.620213794999898</v>
      </c>
      <c r="BL29">
        <v>19.508647905</v>
      </c>
      <c r="BM29">
        <v>15.20489341</v>
      </c>
      <c r="BN29">
        <v>17.173613769999999</v>
      </c>
      <c r="BO29">
        <v>19.879890565</v>
      </c>
      <c r="BP29">
        <v>18.271869219999999</v>
      </c>
      <c r="BQ29">
        <v>17.106053899999999</v>
      </c>
      <c r="BR29">
        <v>15.6821315249999</v>
      </c>
      <c r="BS29">
        <v>15.17592808</v>
      </c>
      <c r="BT29">
        <v>14.28611474</v>
      </c>
      <c r="BU29">
        <v>11.657254006500001</v>
      </c>
      <c r="BV29">
        <v>9.6026396404999996</v>
      </c>
      <c r="BW29">
        <v>9.2022879035000003</v>
      </c>
      <c r="BX29">
        <v>7.7941709709999998</v>
      </c>
      <c r="BY29">
        <v>5.7733400259999996</v>
      </c>
      <c r="BZ29">
        <v>5.1560535449999998</v>
      </c>
      <c r="CA29">
        <v>4.4556949205</v>
      </c>
      <c r="CB29">
        <v>3.5644504299999999</v>
      </c>
      <c r="CC29">
        <v>3.44414985149999</v>
      </c>
      <c r="CD29">
        <v>3.4561308749999999</v>
      </c>
      <c r="CE29">
        <v>3.188326338</v>
      </c>
      <c r="CF29">
        <v>2.8661624744999998</v>
      </c>
      <c r="CG29">
        <v>2.6512377974999999</v>
      </c>
      <c r="CH29">
        <v>2.6445850609999999</v>
      </c>
      <c r="CI29">
        <v>2.3885584199999998</v>
      </c>
      <c r="CJ29">
        <v>2.4828400044999999</v>
      </c>
      <c r="CK29">
        <v>2.5050373965000001</v>
      </c>
      <c r="CL29">
        <v>2.248553292</v>
      </c>
      <c r="CM29">
        <v>2.1564305309999998</v>
      </c>
      <c r="CN29">
        <v>2.2236830264999998</v>
      </c>
      <c r="CO29">
        <v>2.2059633774999998</v>
      </c>
    </row>
    <row r="30" spans="1:97" x14ac:dyDescent="0.25">
      <c r="A30" t="s">
        <v>33</v>
      </c>
      <c r="B30">
        <v>6.7252556992799297</v>
      </c>
      <c r="C30">
        <v>6.73873088309076</v>
      </c>
      <c r="D30">
        <v>6.8201505441449699</v>
      </c>
      <c r="E30">
        <v>6.7478336410019804</v>
      </c>
      <c r="F30">
        <v>6.2773442226425296</v>
      </c>
      <c r="G30">
        <v>6.3672460085430398</v>
      </c>
      <c r="H30">
        <v>6.7493577396291604</v>
      </c>
      <c r="I30">
        <v>6.7157137907658004</v>
      </c>
      <c r="J30">
        <v>6.6453333689958702</v>
      </c>
      <c r="K30">
        <v>6.4518725782340001</v>
      </c>
      <c r="L30">
        <v>6.5979002513490199</v>
      </c>
      <c r="M30">
        <v>6.7507292553626899</v>
      </c>
      <c r="N30">
        <v>6.6141901125067699</v>
      </c>
      <c r="O30">
        <v>6.66153459173667</v>
      </c>
      <c r="P30">
        <v>6.1454427100283198</v>
      </c>
      <c r="Q30">
        <v>6.2885146426669101</v>
      </c>
      <c r="R30">
        <v>6.5483689817727404</v>
      </c>
      <c r="S30">
        <v>6.5468916633651304</v>
      </c>
      <c r="T30">
        <v>6.5983017401235404</v>
      </c>
      <c r="U30">
        <v>6.5343268986191196</v>
      </c>
      <c r="V30">
        <v>6.45929497056055</v>
      </c>
      <c r="W30">
        <v>6.7994945079045204</v>
      </c>
      <c r="X30">
        <v>7.1079575535839696</v>
      </c>
      <c r="Y30">
        <v>6.7890581283552498</v>
      </c>
      <c r="Z30">
        <v>6.6464583108160902</v>
      </c>
      <c r="AA30">
        <v>6.3065926339598297</v>
      </c>
      <c r="AB30">
        <v>6.1700847066949196</v>
      </c>
      <c r="AC30">
        <v>6.1831064847113302</v>
      </c>
      <c r="AD30">
        <v>6.2496015678622197</v>
      </c>
      <c r="AE30">
        <v>6.3114265566761301</v>
      </c>
      <c r="AF30">
        <v>6.0996094890997696</v>
      </c>
      <c r="AG30">
        <v>6.1514973342805401</v>
      </c>
      <c r="AH30">
        <v>6.5583802915151201</v>
      </c>
      <c r="AI30">
        <v>6.6887837279489402</v>
      </c>
      <c r="AJ30">
        <v>6.4295094906172903</v>
      </c>
      <c r="AK30">
        <v>6.4295094906172903</v>
      </c>
      <c r="AL30">
        <v>6.7702987376305002</v>
      </c>
      <c r="AM30">
        <v>6.5334141671109203</v>
      </c>
      <c r="AN30">
        <v>5.9716893882631199</v>
      </c>
      <c r="AO30">
        <v>6.0371862855985903</v>
      </c>
      <c r="AP30">
        <v>6.54228593804869</v>
      </c>
      <c r="AQ30">
        <v>6.4386135927402801</v>
      </c>
      <c r="AR30">
        <v>6.3527210719871103</v>
      </c>
      <c r="AS30">
        <v>6.4727342997506199</v>
      </c>
      <c r="AT30">
        <v>6.0748439977101896</v>
      </c>
      <c r="AU30">
        <v>6.0003134939139704</v>
      </c>
      <c r="AV30">
        <v>6.2572613463507096</v>
      </c>
      <c r="AW30">
        <v>6.5020118294938296</v>
      </c>
      <c r="AX30">
        <v>6.58647033820393</v>
      </c>
      <c r="AY30">
        <v>6.7258780440084003</v>
      </c>
      <c r="AZ30">
        <v>6.5923640634312797</v>
      </c>
      <c r="BA30">
        <v>6.4059287767277402</v>
      </c>
      <c r="BB30">
        <v>6.4775419024281504</v>
      </c>
      <c r="BC30">
        <v>6.1550625379694699</v>
      </c>
      <c r="BD30">
        <v>5.7392829478863998</v>
      </c>
      <c r="BE30">
        <v>5.8109805568281203</v>
      </c>
      <c r="BF30">
        <v>6.0494299374058498</v>
      </c>
      <c r="BG30">
        <v>6.0968571487221404</v>
      </c>
      <c r="BH30">
        <v>6.2746884211261102</v>
      </c>
      <c r="BI30">
        <v>9.2008518982131005</v>
      </c>
      <c r="BJ30">
        <v>19.686668171585499</v>
      </c>
      <c r="BK30">
        <v>22.364671984258202</v>
      </c>
      <c r="BL30">
        <v>21.6800884121024</v>
      </c>
      <c r="BM30">
        <v>20.527101680272999</v>
      </c>
      <c r="BN30">
        <v>21.090348691931698</v>
      </c>
      <c r="BO30">
        <v>21.767292429706401</v>
      </c>
      <c r="BP30">
        <v>21.3771077394012</v>
      </c>
      <c r="BQ30">
        <v>21.0721144216186</v>
      </c>
      <c r="BR30">
        <v>20.670066516541901</v>
      </c>
      <c r="BS30">
        <v>20.518280743207601</v>
      </c>
      <c r="BT30">
        <v>20.238766604140299</v>
      </c>
      <c r="BU30">
        <v>19.298025924448002</v>
      </c>
      <c r="BV30">
        <v>18.401087895464698</v>
      </c>
      <c r="BW30">
        <v>18.204085591780402</v>
      </c>
      <c r="BX30">
        <v>17.435818037096599</v>
      </c>
      <c r="BY30">
        <v>16.047438079151799</v>
      </c>
      <c r="BZ30">
        <v>15.524333220272601</v>
      </c>
      <c r="CA30">
        <v>14.8489907217712</v>
      </c>
      <c r="CB30">
        <v>13.816591727547699</v>
      </c>
      <c r="CC30">
        <v>13.657768248443301</v>
      </c>
      <c r="CD30">
        <v>13.6738326007805</v>
      </c>
      <c r="CE30">
        <v>13.3007290519569</v>
      </c>
      <c r="CF30">
        <v>12.8079578078883</v>
      </c>
      <c r="CG30">
        <v>12.4473731641977</v>
      </c>
      <c r="CH30">
        <v>12.4357505793567</v>
      </c>
      <c r="CI30">
        <v>11.9647119974279</v>
      </c>
      <c r="CJ30">
        <v>12.143798592950199</v>
      </c>
      <c r="CK30">
        <v>12.184972745814701</v>
      </c>
      <c r="CL30">
        <v>11.6852877919066</v>
      </c>
      <c r="CM30">
        <v>11.491769697340199</v>
      </c>
      <c r="CN30">
        <v>11.6338365599018</v>
      </c>
      <c r="CO30">
        <v>11.596826141446799</v>
      </c>
    </row>
    <row r="31" spans="1:97" x14ac:dyDescent="0.25">
      <c r="A31" t="s">
        <v>34</v>
      </c>
      <c r="B31" s="1">
        <v>44776.000694444447</v>
      </c>
      <c r="C31" s="1">
        <v>44776.011111111111</v>
      </c>
      <c r="D31" s="1">
        <v>44776.021527777775</v>
      </c>
      <c r="E31" s="1">
        <v>44776.031944444447</v>
      </c>
      <c r="F31" s="1">
        <v>44776.042361111111</v>
      </c>
      <c r="G31" s="1">
        <v>44776.052777777775</v>
      </c>
      <c r="H31" s="1">
        <v>44776.063194444447</v>
      </c>
      <c r="I31" s="1">
        <v>44776.073611111111</v>
      </c>
      <c r="J31" s="1">
        <v>44776.084027777775</v>
      </c>
      <c r="K31" s="1">
        <v>44776.094444444447</v>
      </c>
      <c r="L31" s="1">
        <v>44776.104861111111</v>
      </c>
      <c r="M31" s="1">
        <v>44776.115277777775</v>
      </c>
      <c r="N31" s="1">
        <v>44776.125694444447</v>
      </c>
      <c r="O31" s="1">
        <v>44776.136111111111</v>
      </c>
      <c r="P31" s="1">
        <v>44776.146527777775</v>
      </c>
      <c r="Q31" s="1">
        <v>44776.156944444447</v>
      </c>
      <c r="R31" s="1">
        <v>44776.167361111111</v>
      </c>
      <c r="S31" s="1">
        <v>44776.177777777775</v>
      </c>
      <c r="T31" s="1">
        <v>44776.188194444447</v>
      </c>
      <c r="U31" s="1">
        <v>44776.198611111111</v>
      </c>
      <c r="V31" s="1">
        <v>44776.209027777775</v>
      </c>
      <c r="W31" s="1">
        <v>44776.219444444447</v>
      </c>
      <c r="X31" s="1">
        <v>44776.229861111111</v>
      </c>
      <c r="Y31" s="1">
        <v>44776.240277777775</v>
      </c>
      <c r="Z31" s="1">
        <v>44776.250694444447</v>
      </c>
      <c r="AA31" s="1">
        <v>44776.261111111111</v>
      </c>
      <c r="AB31" s="1">
        <v>44776.271527777775</v>
      </c>
      <c r="AC31" s="1">
        <v>44776.281944444447</v>
      </c>
      <c r="AD31" s="1">
        <v>44776.292361111111</v>
      </c>
      <c r="AE31" s="1">
        <v>44776.302777777775</v>
      </c>
      <c r="AF31" s="1">
        <v>44776.313194444447</v>
      </c>
      <c r="AG31" s="1">
        <v>44776.323611111111</v>
      </c>
      <c r="AH31" s="1">
        <v>44776.334027777775</v>
      </c>
      <c r="AI31" s="1">
        <v>44776.344444444447</v>
      </c>
      <c r="AJ31" s="1">
        <v>44776.354861111111</v>
      </c>
      <c r="AK31" s="1">
        <v>44776.365277777775</v>
      </c>
      <c r="AL31" s="1">
        <v>44776.375694444447</v>
      </c>
      <c r="AM31" s="1">
        <v>44776.386111111111</v>
      </c>
      <c r="AN31" s="1">
        <v>44776.396527777775</v>
      </c>
      <c r="AO31" s="1">
        <v>44776.406944444447</v>
      </c>
      <c r="AP31" s="1">
        <v>44776.417361111111</v>
      </c>
      <c r="AQ31" s="1">
        <v>44776.427777777775</v>
      </c>
      <c r="AR31" s="1">
        <v>44776.438194444447</v>
      </c>
      <c r="AS31" s="1">
        <v>44776.448611111111</v>
      </c>
      <c r="AT31" s="1">
        <v>44776.459027777775</v>
      </c>
      <c r="AU31" s="1">
        <v>44776.469444444447</v>
      </c>
      <c r="AV31" s="1">
        <v>44776.479861111111</v>
      </c>
      <c r="AW31" s="1">
        <v>44776.490277777775</v>
      </c>
      <c r="AX31" s="1">
        <v>44776.500694444447</v>
      </c>
      <c r="AY31" s="1">
        <v>44776.511111111111</v>
      </c>
      <c r="AZ31" s="1">
        <v>44776.521527777775</v>
      </c>
      <c r="BA31" s="1">
        <v>44776.531944444447</v>
      </c>
      <c r="BB31" s="1">
        <v>44776.542361111111</v>
      </c>
      <c r="BC31" s="1">
        <v>44776.552777777775</v>
      </c>
      <c r="BD31" s="1">
        <v>44776.563194444447</v>
      </c>
      <c r="BE31" s="1">
        <v>44776.573611111111</v>
      </c>
      <c r="BF31" s="1">
        <v>44776.584027777775</v>
      </c>
      <c r="BG31" s="1">
        <v>44776.594444444447</v>
      </c>
      <c r="BH31" s="1">
        <v>44776.604861111111</v>
      </c>
      <c r="BI31" s="1">
        <v>44776.615277777775</v>
      </c>
      <c r="BJ31" s="1">
        <v>44776.625694444447</v>
      </c>
      <c r="BK31" s="1">
        <v>44776.636111111111</v>
      </c>
      <c r="BL31" s="1">
        <v>44776.646527777775</v>
      </c>
      <c r="BM31" s="1">
        <v>44776.656944444447</v>
      </c>
      <c r="BN31" s="1">
        <v>44776.667361111111</v>
      </c>
      <c r="BO31" s="1">
        <v>44776.677777777775</v>
      </c>
      <c r="BP31" s="1">
        <v>44776.688194444447</v>
      </c>
      <c r="BQ31" s="1">
        <v>44776.698611111111</v>
      </c>
      <c r="BR31" s="1">
        <v>44776.709027777775</v>
      </c>
      <c r="BS31" s="1">
        <v>44776.719444444447</v>
      </c>
      <c r="BT31" s="1">
        <v>44776.729861111111</v>
      </c>
      <c r="BU31" s="1">
        <v>44776.740277777775</v>
      </c>
      <c r="BV31" s="1">
        <v>44776.750694444447</v>
      </c>
      <c r="BW31" s="1">
        <v>44776.761111111111</v>
      </c>
      <c r="BX31" s="1">
        <v>44776.771527777775</v>
      </c>
      <c r="BY31" s="1">
        <v>44776.781944444447</v>
      </c>
      <c r="BZ31" s="1">
        <v>44776.792361111111</v>
      </c>
      <c r="CA31" s="1">
        <v>44776.802777777775</v>
      </c>
      <c r="CB31" s="1">
        <v>44776.813194444447</v>
      </c>
      <c r="CC31" s="1">
        <v>44776.823611111111</v>
      </c>
      <c r="CD31" s="1">
        <v>44776.834027777775</v>
      </c>
      <c r="CE31" s="1">
        <v>44776.844444444447</v>
      </c>
      <c r="CF31" s="1">
        <v>44776.854861111111</v>
      </c>
      <c r="CG31" s="1">
        <v>44776.865277777775</v>
      </c>
      <c r="CH31" s="1">
        <v>44776.875694444447</v>
      </c>
      <c r="CI31" s="1">
        <v>44776.917361111111</v>
      </c>
      <c r="CJ31" s="1">
        <v>44776.948611111111</v>
      </c>
      <c r="CK31" s="1">
        <v>44776.959027777775</v>
      </c>
      <c r="CL31" s="1">
        <v>44776.969444444447</v>
      </c>
      <c r="CM31" s="1">
        <v>44776.979861111111</v>
      </c>
      <c r="CN31" s="1">
        <v>44776.990277777775</v>
      </c>
      <c r="CO31" s="1">
        <v>44777.000694444447</v>
      </c>
      <c r="CP31" s="1"/>
      <c r="CQ31" s="1"/>
      <c r="CR31" s="1"/>
      <c r="CS31" s="1"/>
    </row>
    <row r="33" spans="1:27" x14ac:dyDescent="0.25">
      <c r="C33" s="4" t="s">
        <v>27</v>
      </c>
      <c r="E33" t="s">
        <v>28</v>
      </c>
      <c r="F33" t="s">
        <v>29</v>
      </c>
      <c r="G33" t="s">
        <v>30</v>
      </c>
      <c r="H33" t="s">
        <v>31</v>
      </c>
    </row>
    <row r="34" spans="1:27" x14ac:dyDescent="0.25">
      <c r="A34" s="5" t="str">
        <f>A2</f>
        <v>max_amp</v>
      </c>
      <c r="B34" s="9">
        <f>MAX(B2:CS2)</f>
        <v>2.7100659833378001E-2</v>
      </c>
      <c r="C34" s="6">
        <f>_xlfn.XLOOKUP(MAX(B2:CS2), B2:CS2, $B$1:$CS$1)</f>
        <v>44776.625694444447</v>
      </c>
      <c r="E34" s="1">
        <v>44776.000694444447</v>
      </c>
      <c r="F34">
        <v>1.4955602719514201E-3</v>
      </c>
      <c r="G34">
        <v>1.1437127206880701E-3</v>
      </c>
      <c r="H34">
        <v>1.1436345611438401E-3</v>
      </c>
    </row>
    <row r="35" spans="1:27" x14ac:dyDescent="0.25">
      <c r="A35" s="5" t="str">
        <f t="shared" ref="A35:A60" si="0">A3</f>
        <v>mean_amp</v>
      </c>
      <c r="B35" s="9">
        <f t="shared" ref="B35:B60" si="1">MAX(B3:CS3)</f>
        <v>1.73415591077304E-2</v>
      </c>
      <c r="C35" s="6">
        <f t="shared" ref="C35:C59" si="2">_xlfn.XLOOKUP(MAX(B3:CS3), B3:CS3, $B$1:$CS$1)</f>
        <v>44776.625694444447</v>
      </c>
      <c r="E35" s="1">
        <v>44776.011111111111</v>
      </c>
      <c r="F35">
        <v>1.8309745607605499E-3</v>
      </c>
      <c r="G35">
        <v>1.1849316044833999E-3</v>
      </c>
      <c r="H35">
        <v>1.1764744765793199E-3</v>
      </c>
      <c r="T35" t="s">
        <v>0</v>
      </c>
      <c r="U35">
        <v>2.7100659833378001E-2</v>
      </c>
    </row>
    <row r="36" spans="1:27" x14ac:dyDescent="0.25">
      <c r="A36" s="5" t="str">
        <f t="shared" si="0"/>
        <v>median_amp</v>
      </c>
      <c r="B36" s="9">
        <f t="shared" si="1"/>
        <v>1.75334302078048E-2</v>
      </c>
      <c r="C36" s="6">
        <f t="shared" si="2"/>
        <v>44776.625694444447</v>
      </c>
      <c r="E36" s="1">
        <v>44776.021527777775</v>
      </c>
      <c r="F36">
        <v>1.9109347783652299E-3</v>
      </c>
      <c r="G36">
        <v>1.25018717908892E-3</v>
      </c>
      <c r="H36">
        <v>1.1795714321142701E-3</v>
      </c>
      <c r="T36" t="s">
        <v>1</v>
      </c>
      <c r="U36">
        <v>1.73415591077304E-2</v>
      </c>
    </row>
    <row r="37" spans="1:27" x14ac:dyDescent="0.25">
      <c r="A37" t="str">
        <f t="shared" si="0"/>
        <v>impulses_ch6</v>
      </c>
      <c r="B37">
        <f t="shared" si="1"/>
        <v>0</v>
      </c>
      <c r="C37" s="3">
        <f t="shared" si="2"/>
        <v>44776.000694444447</v>
      </c>
      <c r="E37" s="1">
        <v>44776.031944444447</v>
      </c>
      <c r="F37">
        <v>1.68743229133343E-3</v>
      </c>
      <c r="G37">
        <v>1.3053348072256899E-3</v>
      </c>
      <c r="H37">
        <v>1.3093094545250201E-3</v>
      </c>
      <c r="T37" t="s">
        <v>2</v>
      </c>
      <c r="U37">
        <v>1.75334302078048E-2</v>
      </c>
    </row>
    <row r="38" spans="1:27" x14ac:dyDescent="0.25">
      <c r="A38" t="str">
        <f t="shared" si="0"/>
        <v>impulses_ch5</v>
      </c>
      <c r="B38">
        <f t="shared" si="1"/>
        <v>11</v>
      </c>
      <c r="C38" s="3">
        <f t="shared" si="2"/>
        <v>44776.625694444447</v>
      </c>
      <c r="E38" s="1">
        <v>44776.042361111111</v>
      </c>
      <c r="F38">
        <v>1.72438646685688E-3</v>
      </c>
      <c r="G38">
        <v>1.18017452623748E-3</v>
      </c>
      <c r="H38">
        <v>1.1717231041799101E-3</v>
      </c>
      <c r="T38" t="s">
        <v>3</v>
      </c>
      <c r="U38">
        <v>0</v>
      </c>
    </row>
    <row r="39" spans="1:27" x14ac:dyDescent="0.25">
      <c r="A39" t="str">
        <f t="shared" si="0"/>
        <v>impulses_ch4</v>
      </c>
      <c r="B39">
        <f t="shared" si="1"/>
        <v>199</v>
      </c>
      <c r="C39" s="3">
        <f t="shared" si="2"/>
        <v>44776.625694444447</v>
      </c>
      <c r="E39" s="1">
        <v>44776.052777777775</v>
      </c>
      <c r="F39">
        <v>1.4704661606273399E-3</v>
      </c>
      <c r="G39">
        <v>1.0925614772622899E-3</v>
      </c>
      <c r="H39">
        <v>1.0583638884939699E-3</v>
      </c>
      <c r="T39" t="s">
        <v>4</v>
      </c>
      <c r="U39">
        <v>11</v>
      </c>
    </row>
    <row r="40" spans="1:27" x14ac:dyDescent="0.25">
      <c r="A40" s="5" t="str">
        <f t="shared" si="0"/>
        <v>impulses_ch3</v>
      </c>
      <c r="B40" s="5">
        <f>MAX(B8:CO8)</f>
        <v>2627</v>
      </c>
      <c r="C40" s="6">
        <f t="shared" si="2"/>
        <v>44776.625694444447</v>
      </c>
      <c r="E40" s="1">
        <v>44776.063194444447</v>
      </c>
      <c r="F40">
        <v>1.6665107529161901E-3</v>
      </c>
      <c r="G40">
        <v>1.16031754111188E-3</v>
      </c>
      <c r="H40">
        <v>1.1295767702875199E-3</v>
      </c>
      <c r="T40" t="s">
        <v>5</v>
      </c>
      <c r="U40">
        <v>199</v>
      </c>
    </row>
    <row r="41" spans="1:27" x14ac:dyDescent="0.25">
      <c r="A41" s="5" t="str">
        <f t="shared" si="0"/>
        <v>impulses_ch2</v>
      </c>
      <c r="B41" s="5">
        <f t="shared" ref="B41:B42" si="3">MAX(B9:CO9)</f>
        <v>11852</v>
      </c>
      <c r="C41" s="6">
        <f t="shared" si="2"/>
        <v>44776.636111111111</v>
      </c>
      <c r="E41" s="1">
        <v>44776.073611111111</v>
      </c>
      <c r="F41">
        <v>1.83290314890138E-3</v>
      </c>
      <c r="G41">
        <v>1.2289139288872101E-3</v>
      </c>
      <c r="H41">
        <v>1.18845561687996E-3</v>
      </c>
      <c r="T41" t="s">
        <v>6</v>
      </c>
      <c r="U41">
        <v>2627</v>
      </c>
    </row>
    <row r="42" spans="1:27" x14ac:dyDescent="0.25">
      <c r="A42" s="5" t="str">
        <f t="shared" si="0"/>
        <v>impulses_ch1</v>
      </c>
      <c r="B42" s="5">
        <f t="shared" si="3"/>
        <v>15119</v>
      </c>
      <c r="C42" s="6">
        <f t="shared" si="2"/>
        <v>44776.802777777775</v>
      </c>
      <c r="E42" s="1">
        <v>44776.084027777775</v>
      </c>
      <c r="F42">
        <v>1.6837174444085899E-3</v>
      </c>
      <c r="G42">
        <v>1.24679403789504E-3</v>
      </c>
      <c r="H42">
        <v>1.2497820202688999E-3</v>
      </c>
      <c r="T42" t="s">
        <v>7</v>
      </c>
      <c r="U42">
        <v>11852</v>
      </c>
    </row>
    <row r="43" spans="1:27" x14ac:dyDescent="0.25">
      <c r="A43" t="str">
        <f t="shared" si="0"/>
        <v>max_env_ch6</v>
      </c>
      <c r="B43">
        <f t="shared" si="1"/>
        <v>0</v>
      </c>
      <c r="C43" s="3">
        <f t="shared" si="2"/>
        <v>44776.000694444447</v>
      </c>
      <c r="E43" s="1">
        <v>44776.094444444447</v>
      </c>
      <c r="F43">
        <v>1.7097107206537E-3</v>
      </c>
      <c r="G43">
        <v>1.2213201419337999E-3</v>
      </c>
      <c r="H43">
        <v>1.2325070246042801E-3</v>
      </c>
      <c r="T43" t="s">
        <v>8</v>
      </c>
      <c r="U43">
        <v>15119</v>
      </c>
    </row>
    <row r="44" spans="1:27" x14ac:dyDescent="0.25">
      <c r="A44" t="str">
        <f t="shared" si="0"/>
        <v>mean_env_ch6</v>
      </c>
      <c r="B44">
        <f t="shared" si="1"/>
        <v>0</v>
      </c>
      <c r="C44" s="3">
        <f t="shared" si="2"/>
        <v>44776.000694444447</v>
      </c>
      <c r="E44" s="1">
        <v>44776.104861111111</v>
      </c>
      <c r="F44">
        <v>1.7989273872607099E-3</v>
      </c>
      <c r="G44">
        <v>1.1966042346025899E-3</v>
      </c>
      <c r="H44">
        <v>1.1910235861908799E-3</v>
      </c>
    </row>
    <row r="45" spans="1:27" x14ac:dyDescent="0.25">
      <c r="A45" t="str">
        <f t="shared" si="0"/>
        <v>median_env_ch6</v>
      </c>
      <c r="B45">
        <f t="shared" si="1"/>
        <v>0</v>
      </c>
      <c r="C45" s="3">
        <f t="shared" si="2"/>
        <v>44776.000694444447</v>
      </c>
      <c r="E45" s="1">
        <v>44776.115277777775</v>
      </c>
      <c r="F45">
        <v>1.7040234354624699E-3</v>
      </c>
      <c r="G45">
        <v>1.2083973112576301E-3</v>
      </c>
      <c r="H45">
        <v>1.19472527855818E-3</v>
      </c>
      <c r="U45" t="s">
        <v>37</v>
      </c>
    </row>
    <row r="46" spans="1:27" x14ac:dyDescent="0.25">
      <c r="A46" t="str">
        <f t="shared" si="0"/>
        <v>max_env_ch5</v>
      </c>
      <c r="B46">
        <f t="shared" si="1"/>
        <v>0.108402639333512</v>
      </c>
      <c r="C46" s="3">
        <f t="shared" si="2"/>
        <v>44776.625694444447</v>
      </c>
      <c r="E46" s="1">
        <v>44776.125694444447</v>
      </c>
      <c r="F46">
        <v>2.1815395347090601E-3</v>
      </c>
      <c r="G46">
        <v>1.17222133740963E-3</v>
      </c>
      <c r="H46">
        <v>1.1668965148128E-3</v>
      </c>
      <c r="U46" t="s">
        <v>35</v>
      </c>
      <c r="V46" t="s">
        <v>36</v>
      </c>
      <c r="W46" t="s">
        <v>38</v>
      </c>
      <c r="Y46" t="s">
        <v>35</v>
      </c>
      <c r="Z46" t="s">
        <v>36</v>
      </c>
      <c r="AA46" t="s">
        <v>38</v>
      </c>
    </row>
    <row r="47" spans="1:27" x14ac:dyDescent="0.25">
      <c r="A47" t="str">
        <f t="shared" si="0"/>
        <v>mean_env_ch5</v>
      </c>
      <c r="B47">
        <f t="shared" si="1"/>
        <v>8.5195492688122099E-2</v>
      </c>
      <c r="C47" s="3">
        <f t="shared" si="2"/>
        <v>44776.625694444447</v>
      </c>
      <c r="E47" s="1">
        <v>44776.136111111111</v>
      </c>
      <c r="F47">
        <v>1.66382600606423E-3</v>
      </c>
      <c r="G47">
        <v>1.1580636400546601E-3</v>
      </c>
      <c r="H47">
        <v>1.1107093190954899E-3</v>
      </c>
      <c r="T47" t="s">
        <v>39</v>
      </c>
      <c r="U47" s="2">
        <f>B43</f>
        <v>0</v>
      </c>
      <c r="V47" s="2">
        <f>B44</f>
        <v>0</v>
      </c>
      <c r="W47" s="2">
        <f>B45</f>
        <v>0</v>
      </c>
      <c r="Y47">
        <v>0</v>
      </c>
      <c r="Z47">
        <v>0</v>
      </c>
      <c r="AA47">
        <v>0</v>
      </c>
    </row>
    <row r="48" spans="1:27" x14ac:dyDescent="0.25">
      <c r="A48" t="str">
        <f t="shared" si="0"/>
        <v>median_env_ch5</v>
      </c>
      <c r="B48">
        <f t="shared" si="1"/>
        <v>8.1549751061042799E-2</v>
      </c>
      <c r="C48" s="3">
        <f t="shared" si="2"/>
        <v>44776.625694444447</v>
      </c>
      <c r="E48" s="1">
        <v>44776.146527777775</v>
      </c>
      <c r="F48">
        <v>1.5966931489887E-3</v>
      </c>
      <c r="G48">
        <v>1.00974954341798E-3</v>
      </c>
      <c r="H48">
        <v>9.7603851144315598E-4</v>
      </c>
      <c r="T48" t="s">
        <v>40</v>
      </c>
      <c r="U48" s="2">
        <f>B46</f>
        <v>0.108402639333512</v>
      </c>
      <c r="V48" s="2">
        <f>B47</f>
        <v>8.5195492688122099E-2</v>
      </c>
      <c r="W48" s="2">
        <f>B48</f>
        <v>8.1549751061042799E-2</v>
      </c>
      <c r="Y48">
        <v>0.108402639333512</v>
      </c>
      <c r="Z48">
        <v>8.5195492688122099E-2</v>
      </c>
      <c r="AA48">
        <v>8.1549751061042799E-2</v>
      </c>
    </row>
    <row r="49" spans="1:27" x14ac:dyDescent="0.25">
      <c r="A49" t="str">
        <f t="shared" si="0"/>
        <v>max_env_ch4</v>
      </c>
      <c r="B49">
        <f t="shared" si="1"/>
        <v>0.43361055733404802</v>
      </c>
      <c r="C49" s="3">
        <f t="shared" si="2"/>
        <v>44776.625694444447</v>
      </c>
      <c r="E49" s="1">
        <v>44776.156944444447</v>
      </c>
      <c r="F49">
        <v>1.4900711813125101E-3</v>
      </c>
      <c r="G49">
        <v>1.0144472498856E-3</v>
      </c>
      <c r="H49">
        <v>1.0038832724210401E-3</v>
      </c>
      <c r="T49" t="s">
        <v>41</v>
      </c>
      <c r="U49" s="2">
        <f>B49</f>
        <v>0.43361055733404802</v>
      </c>
      <c r="V49" s="2">
        <f>B50</f>
        <v>0.283546008743847</v>
      </c>
      <c r="W49" s="2">
        <f>B51</f>
        <v>0.28905210154241401</v>
      </c>
      <c r="Y49">
        <v>0.43361055733404802</v>
      </c>
      <c r="Z49">
        <v>0.283546008743847</v>
      </c>
      <c r="AA49">
        <v>0.28905210154241401</v>
      </c>
    </row>
    <row r="50" spans="1:27" x14ac:dyDescent="0.25">
      <c r="A50" t="str">
        <f t="shared" si="0"/>
        <v>mean_env_ch4</v>
      </c>
      <c r="B50">
        <f t="shared" si="1"/>
        <v>0.283546008743847</v>
      </c>
      <c r="C50" s="3">
        <f t="shared" si="2"/>
        <v>44776.625694444447</v>
      </c>
      <c r="E50" s="1">
        <v>44776.167361111111</v>
      </c>
      <c r="F50">
        <v>1.5743544098570301E-3</v>
      </c>
      <c r="G50">
        <v>1.06117533746699E-3</v>
      </c>
      <c r="H50">
        <v>1.02352353712286E-3</v>
      </c>
      <c r="T50" t="s">
        <v>42</v>
      </c>
      <c r="U50" s="2">
        <f>B52</f>
        <v>1.7344422293361901</v>
      </c>
      <c r="V50" s="2">
        <f>B53</f>
        <v>1.1098597828947401</v>
      </c>
      <c r="W50" s="2">
        <f>B54</f>
        <v>1.1221395332995101</v>
      </c>
      <c r="Y50">
        <v>2.3259290609915499</v>
      </c>
      <c r="Z50">
        <v>2.2279108515780699</v>
      </c>
      <c r="AA50">
        <v>2.22823696464304</v>
      </c>
    </row>
    <row r="51" spans="1:27" x14ac:dyDescent="0.25">
      <c r="A51" t="str">
        <f t="shared" si="0"/>
        <v>median_env_ch4</v>
      </c>
      <c r="B51">
        <f t="shared" si="1"/>
        <v>0.28905210154241401</v>
      </c>
      <c r="C51" s="3">
        <f t="shared" si="2"/>
        <v>44776.625694444447</v>
      </c>
      <c r="E51" s="1">
        <v>44776.177777777775</v>
      </c>
      <c r="F51">
        <v>1.7356257073646499E-3</v>
      </c>
      <c r="G51">
        <v>1.0824893917180201E-3</v>
      </c>
      <c r="H51">
        <v>1.06138843708966E-3</v>
      </c>
      <c r="T51" t="s">
        <v>43</v>
      </c>
      <c r="U51" s="2">
        <f>B55</f>
        <v>6.9377689173447701</v>
      </c>
      <c r="V51" s="2">
        <f>B56</f>
        <v>4.4394391315789896</v>
      </c>
      <c r="W51" s="2">
        <f>B57</f>
        <v>4.4885581331980502</v>
      </c>
      <c r="Y51">
        <v>9.3037162439662104</v>
      </c>
      <c r="Z51">
        <v>8.9116434063122991</v>
      </c>
      <c r="AA51">
        <v>8.9129478585721706</v>
      </c>
    </row>
    <row r="52" spans="1:27" x14ac:dyDescent="0.25">
      <c r="A52" s="5" t="str">
        <f t="shared" si="0"/>
        <v>max_env_ch3</v>
      </c>
      <c r="B52" s="5">
        <f t="shared" si="1"/>
        <v>1.7344422293361901</v>
      </c>
      <c r="C52" s="6">
        <f t="shared" si="2"/>
        <v>44776.625694444447</v>
      </c>
      <c r="E52" s="1">
        <v>44776.188194444447</v>
      </c>
      <c r="F52">
        <v>1.47959596568332E-3</v>
      </c>
      <c r="G52">
        <v>1.0827473468178501E-3</v>
      </c>
      <c r="H52">
        <v>1.06949481929412E-3</v>
      </c>
      <c r="T52" t="s">
        <v>44</v>
      </c>
      <c r="U52" s="2">
        <f>B58</f>
        <v>27.751075669378999</v>
      </c>
      <c r="V52" s="2">
        <f>B59</f>
        <v>17.757756526315902</v>
      </c>
      <c r="W52" s="2">
        <f>B60</f>
        <v>17.954232532792201</v>
      </c>
      <c r="Y52">
        <v>37.214864975864799</v>
      </c>
      <c r="Z52">
        <v>35.646573625249196</v>
      </c>
      <c r="AA52">
        <v>35.651791434288697</v>
      </c>
    </row>
    <row r="53" spans="1:27" x14ac:dyDescent="0.25">
      <c r="A53" s="5" t="str">
        <f t="shared" si="0"/>
        <v>mean_env_ch3</v>
      </c>
      <c r="B53" s="5">
        <f t="shared" si="1"/>
        <v>1.1098597828947401</v>
      </c>
      <c r="C53" s="6">
        <f t="shared" si="2"/>
        <v>44776.625694444447</v>
      </c>
      <c r="E53" s="1">
        <v>44776.198611111111</v>
      </c>
      <c r="F53">
        <v>1.5884123237744599E-3</v>
      </c>
      <c r="G53">
        <v>1.04200761559237E-3</v>
      </c>
      <c r="H53">
        <v>1.0305436725238299E-3</v>
      </c>
    </row>
    <row r="54" spans="1:27" x14ac:dyDescent="0.25">
      <c r="A54" s="5" t="str">
        <f t="shared" si="0"/>
        <v>median_env_ch3</v>
      </c>
      <c r="B54" s="5">
        <f t="shared" si="1"/>
        <v>1.1221395332995101</v>
      </c>
      <c r="C54" s="6">
        <f t="shared" si="2"/>
        <v>44776.625694444447</v>
      </c>
      <c r="E54" s="1">
        <v>44776.209027777775</v>
      </c>
      <c r="F54">
        <v>1.58726559516091E-3</v>
      </c>
      <c r="G54">
        <v>1.0822369453516399E-3</v>
      </c>
      <c r="H54">
        <v>1.0377398287727199E-3</v>
      </c>
    </row>
    <row r="55" spans="1:27" x14ac:dyDescent="0.25">
      <c r="A55" s="5" t="str">
        <f t="shared" si="0"/>
        <v>max_env_ch2</v>
      </c>
      <c r="B55" s="5">
        <f t="shared" si="1"/>
        <v>6.9377689173447701</v>
      </c>
      <c r="C55" s="6">
        <f t="shared" si="2"/>
        <v>44776.625694444447</v>
      </c>
      <c r="E55" s="1">
        <v>44776.219444444447</v>
      </c>
      <c r="F55">
        <v>1.80429829327259E-3</v>
      </c>
      <c r="G55">
        <v>1.1100168324352101E-3</v>
      </c>
      <c r="H55">
        <v>1.0728361839633699E-3</v>
      </c>
    </row>
    <row r="56" spans="1:27" x14ac:dyDescent="0.25">
      <c r="A56" s="5" t="str">
        <f t="shared" si="0"/>
        <v>mean_env_ch2</v>
      </c>
      <c r="B56" s="5">
        <f t="shared" si="1"/>
        <v>4.4394391315789896</v>
      </c>
      <c r="C56" s="6">
        <f t="shared" si="2"/>
        <v>44776.625694444447</v>
      </c>
      <c r="E56" s="1">
        <v>44776.229861111111</v>
      </c>
      <c r="F56">
        <v>1.7821104159901099E-3</v>
      </c>
      <c r="G56">
        <v>1.2190451745914899E-3</v>
      </c>
      <c r="H56">
        <v>1.1846582217678501E-3</v>
      </c>
    </row>
    <row r="57" spans="1:27" x14ac:dyDescent="0.25">
      <c r="A57" s="5" t="str">
        <f t="shared" si="0"/>
        <v>median_env_ch2</v>
      </c>
      <c r="B57" s="5">
        <f t="shared" si="1"/>
        <v>4.4885581331980502</v>
      </c>
      <c r="C57" s="6">
        <f t="shared" si="2"/>
        <v>44776.625694444447</v>
      </c>
      <c r="E57" s="1">
        <v>44776.240277777775</v>
      </c>
      <c r="F57">
        <v>1.5586168093157399E-3</v>
      </c>
      <c r="G57">
        <v>1.1300108309794199E-3</v>
      </c>
      <c r="H57">
        <v>1.1212864378066401E-3</v>
      </c>
    </row>
    <row r="58" spans="1:27" x14ac:dyDescent="0.25">
      <c r="A58" s="5" t="str">
        <f t="shared" si="0"/>
        <v>max_env_ch1</v>
      </c>
      <c r="B58" s="5">
        <f t="shared" si="1"/>
        <v>27.751075669378999</v>
      </c>
      <c r="C58" s="6">
        <f t="shared" si="2"/>
        <v>44776.625694444447</v>
      </c>
      <c r="E58" s="1">
        <v>44776.250694444447</v>
      </c>
      <c r="F58">
        <v>1.5338057626346599E-3</v>
      </c>
      <c r="G58">
        <v>1.06394265243172E-3</v>
      </c>
      <c r="H58">
        <v>1.0395297295836101E-3</v>
      </c>
    </row>
    <row r="59" spans="1:27" x14ac:dyDescent="0.25">
      <c r="A59" s="5" t="str">
        <f t="shared" si="0"/>
        <v>mean_env_ch1</v>
      </c>
      <c r="B59" s="5">
        <f t="shared" si="1"/>
        <v>17.757756526315902</v>
      </c>
      <c r="C59" s="6">
        <f t="shared" si="2"/>
        <v>44776.625694444447</v>
      </c>
      <c r="E59" s="1">
        <v>44776.261111111111</v>
      </c>
      <c r="F59">
        <v>1.7430859968627201E-3</v>
      </c>
      <c r="G59">
        <v>1.07051307534728E-3</v>
      </c>
      <c r="H59">
        <v>1.02810890086106E-3</v>
      </c>
    </row>
    <row r="60" spans="1:27" x14ac:dyDescent="0.25">
      <c r="A60" s="5" t="str">
        <f t="shared" si="0"/>
        <v>median_env_ch1</v>
      </c>
      <c r="B60" s="5">
        <f t="shared" si="1"/>
        <v>17.954232532792201</v>
      </c>
      <c r="C60" s="6">
        <f>_xlfn.XLOOKUP(MAX(B28:CS28), B28:CS28, $B$1:$CS$1)</f>
        <v>44776.625694444447</v>
      </c>
      <c r="E60" s="1">
        <v>44776.271527777775</v>
      </c>
      <c r="F60">
        <v>1.4722945166709999E-3</v>
      </c>
      <c r="G60">
        <v>1.03972179723355E-3</v>
      </c>
      <c r="H60">
        <v>1.0133414653294001E-3</v>
      </c>
    </row>
    <row r="61" spans="1:27" x14ac:dyDescent="0.25">
      <c r="A61" t="s">
        <v>32</v>
      </c>
      <c r="B61" s="7">
        <f>MAX(B29:CS29)</f>
        <v>22.620213794999898</v>
      </c>
      <c r="C61" s="6">
        <f t="shared" ref="C61:C62" si="4">_xlfn.XLOOKUP(MAX(B29:CS29), B29:CS29, $B$1:$CS$1)</f>
        <v>44776.636111111111</v>
      </c>
      <c r="E61" s="1">
        <v>44776.281944444447</v>
      </c>
      <c r="F61">
        <v>1.4342019579008599E-3</v>
      </c>
      <c r="G61">
        <v>1.0125764444577699E-3</v>
      </c>
      <c r="H61">
        <v>9.8614296329667893E-4</v>
      </c>
    </row>
    <row r="62" spans="1:27" x14ac:dyDescent="0.25">
      <c r="A62" t="s">
        <v>33</v>
      </c>
      <c r="B62" s="7">
        <f>MAX(B30:CS30)</f>
        <v>22.364671984258202</v>
      </c>
      <c r="C62" s="6">
        <f t="shared" si="4"/>
        <v>44776.636111111111</v>
      </c>
      <c r="E62" s="1">
        <v>44776.292361111111</v>
      </c>
      <c r="F62">
        <v>1.5663141121691E-3</v>
      </c>
      <c r="G62">
        <v>1.00640569000145E-3</v>
      </c>
      <c r="H62">
        <v>9.8910727351951295E-4</v>
      </c>
    </row>
    <row r="63" spans="1:27" x14ac:dyDescent="0.25">
      <c r="B63" s="8"/>
      <c r="C63" s="3"/>
      <c r="E63" s="1">
        <v>44776.302777777775</v>
      </c>
      <c r="F63">
        <v>1.6060107812522E-3</v>
      </c>
      <c r="G63">
        <v>1.06522085640999E-3</v>
      </c>
      <c r="H63">
        <v>1.0536967830358599E-3</v>
      </c>
    </row>
    <row r="64" spans="1:27" x14ac:dyDescent="0.25">
      <c r="E64" s="1">
        <v>44776.313194444447</v>
      </c>
      <c r="F64">
        <v>1.4228156633069001E-3</v>
      </c>
      <c r="G64">
        <v>9.5948849180747104E-4</v>
      </c>
      <c r="H64">
        <v>9.4614612437591097E-4</v>
      </c>
    </row>
    <row r="65" spans="5:8" x14ac:dyDescent="0.25">
      <c r="E65" s="1">
        <v>44776.323611111111</v>
      </c>
      <c r="F65">
        <v>1.62495919365844E-3</v>
      </c>
      <c r="G65">
        <v>1.0048861337458299E-3</v>
      </c>
      <c r="H65">
        <v>9.8135471632758908E-4</v>
      </c>
    </row>
    <row r="66" spans="5:8" x14ac:dyDescent="0.25">
      <c r="E66" s="1">
        <v>44776.334027777775</v>
      </c>
      <c r="F66">
        <v>2.0374389063300999E-3</v>
      </c>
      <c r="G66">
        <v>1.1269803661458301E-3</v>
      </c>
      <c r="H66">
        <v>1.07807176830749E-3</v>
      </c>
    </row>
    <row r="67" spans="5:8" x14ac:dyDescent="0.25">
      <c r="E67" s="1">
        <v>44776.344444444447</v>
      </c>
      <c r="F67">
        <v>1.78875307502596E-3</v>
      </c>
      <c r="G67">
        <v>1.13515305795827E-3</v>
      </c>
      <c r="H67">
        <v>1.1072419051458E-3</v>
      </c>
    </row>
    <row r="68" spans="5:8" x14ac:dyDescent="0.25">
      <c r="E68" s="1">
        <v>44776.354861111111</v>
      </c>
      <c r="F68">
        <v>1.47752317105199E-3</v>
      </c>
      <c r="G68">
        <v>1.0248348082812599E-3</v>
      </c>
      <c r="H68">
        <v>9.9114736863285292E-4</v>
      </c>
    </row>
    <row r="69" spans="5:8" x14ac:dyDescent="0.25">
      <c r="E69" s="1">
        <v>44776.365277777775</v>
      </c>
      <c r="F69">
        <v>1.5269880596736601E-3</v>
      </c>
      <c r="G69">
        <v>1.05608767089269E-3</v>
      </c>
      <c r="H69">
        <v>1.0462226564441101E-3</v>
      </c>
    </row>
    <row r="70" spans="5:8" x14ac:dyDescent="0.25">
      <c r="E70" s="1">
        <v>44776.375694444447</v>
      </c>
      <c r="F70">
        <v>1.6185400832467E-3</v>
      </c>
      <c r="G70">
        <v>1.1341115910043699E-3</v>
      </c>
      <c r="H70">
        <v>1.1513169333076799E-3</v>
      </c>
    </row>
    <row r="71" spans="5:8" x14ac:dyDescent="0.25">
      <c r="E71" s="1">
        <v>44776.386111111111</v>
      </c>
      <c r="F71">
        <v>1.9699526705927099E-3</v>
      </c>
      <c r="G71">
        <v>1.0996250520123501E-3</v>
      </c>
      <c r="H71">
        <v>1.0770342166494E-3</v>
      </c>
    </row>
    <row r="72" spans="5:8" x14ac:dyDescent="0.25">
      <c r="E72" s="1">
        <v>44776.396527777775</v>
      </c>
      <c r="F72">
        <v>1.67916379384027E-3</v>
      </c>
      <c r="G72">
        <v>1.1178947215649E-3</v>
      </c>
      <c r="H72">
        <v>1.0712238148423299E-3</v>
      </c>
    </row>
    <row r="73" spans="5:8" x14ac:dyDescent="0.25">
      <c r="E73" s="1">
        <v>44776.406944444447</v>
      </c>
      <c r="F73">
        <v>1.52336149363826E-3</v>
      </c>
      <c r="G73">
        <v>1.0507880654452701E-3</v>
      </c>
      <c r="H73">
        <v>1.0195399827929901E-3</v>
      </c>
    </row>
    <row r="74" spans="5:8" x14ac:dyDescent="0.25">
      <c r="E74" s="1">
        <v>44776.417361111111</v>
      </c>
      <c r="F74">
        <v>1.83348655117861E-3</v>
      </c>
      <c r="G74">
        <v>1.1559236020883101E-3</v>
      </c>
      <c r="H74">
        <v>1.1344427931889E-3</v>
      </c>
    </row>
    <row r="75" spans="5:8" x14ac:dyDescent="0.25">
      <c r="E75" s="1">
        <v>44776.427777777775</v>
      </c>
      <c r="F75">
        <v>1.53863608572197E-3</v>
      </c>
      <c r="G75">
        <v>1.0691822336061699E-3</v>
      </c>
      <c r="H75">
        <v>1.0414733354334701E-3</v>
      </c>
    </row>
    <row r="76" spans="5:8" x14ac:dyDescent="0.25">
      <c r="E76" s="1">
        <v>44776.438194444447</v>
      </c>
      <c r="F76">
        <v>1.5323471590504799E-3</v>
      </c>
      <c r="G76">
        <v>1.0430672143762101E-3</v>
      </c>
      <c r="H76">
        <v>1.0037098827362801E-3</v>
      </c>
    </row>
    <row r="77" spans="5:8" x14ac:dyDescent="0.25">
      <c r="E77" s="1">
        <v>44776.448611111111</v>
      </c>
      <c r="F77">
        <v>1.8349051903074399E-3</v>
      </c>
      <c r="G77">
        <v>1.06816801237793E-3</v>
      </c>
      <c r="H77">
        <v>1.02791949163569E-3</v>
      </c>
    </row>
    <row r="78" spans="5:8" x14ac:dyDescent="0.25">
      <c r="E78" s="1">
        <v>44776.459027777775</v>
      </c>
      <c r="F78">
        <v>1.3362125891374899E-3</v>
      </c>
      <c r="G78">
        <v>9.9080517867649502E-4</v>
      </c>
      <c r="H78">
        <v>9.9825405342777399E-4</v>
      </c>
    </row>
    <row r="79" spans="5:8" x14ac:dyDescent="0.25">
      <c r="E79" s="1">
        <v>44776.469444444447</v>
      </c>
      <c r="F79">
        <v>1.57749098484379E-3</v>
      </c>
      <c r="G79">
        <v>9.8538503623421991E-4</v>
      </c>
      <c r="H79">
        <v>9.4887125642554595E-4</v>
      </c>
    </row>
    <row r="80" spans="5:8" x14ac:dyDescent="0.25">
      <c r="E80" s="1">
        <v>44776.479861111111</v>
      </c>
      <c r="F80">
        <v>1.88072315721025E-3</v>
      </c>
      <c r="G80">
        <v>1.08380541547588E-3</v>
      </c>
      <c r="H80">
        <v>1.05099645024146E-3</v>
      </c>
    </row>
    <row r="81" spans="5:8" x14ac:dyDescent="0.25">
      <c r="E81" s="1">
        <v>44776.490277777775</v>
      </c>
      <c r="F81">
        <v>1.49764535066663E-3</v>
      </c>
      <c r="G81">
        <v>1.0399158030962999E-3</v>
      </c>
      <c r="H81">
        <v>1.00948075285766E-3</v>
      </c>
    </row>
    <row r="82" spans="5:8" x14ac:dyDescent="0.25">
      <c r="E82" s="1">
        <v>44776.500694444447</v>
      </c>
      <c r="F82">
        <v>1.44990757909898E-3</v>
      </c>
      <c r="G82">
        <v>1.07068488043492E-3</v>
      </c>
      <c r="H82">
        <v>1.07182311286298E-3</v>
      </c>
    </row>
    <row r="83" spans="5:8" x14ac:dyDescent="0.25">
      <c r="E83" s="1">
        <v>44776.511111111111</v>
      </c>
      <c r="F83">
        <v>1.6445534406063201E-3</v>
      </c>
      <c r="G83">
        <v>1.0928159278623399E-3</v>
      </c>
      <c r="H83">
        <v>1.0509275927451101E-3</v>
      </c>
    </row>
    <row r="84" spans="5:8" x14ac:dyDescent="0.25">
      <c r="E84" s="1">
        <v>44776.521527777775</v>
      </c>
      <c r="F84">
        <v>1.49849804631073E-3</v>
      </c>
      <c r="G84">
        <v>1.0923208810086401E-3</v>
      </c>
      <c r="H84">
        <v>1.0926787071569399E-3</v>
      </c>
    </row>
    <row r="85" spans="5:8" x14ac:dyDescent="0.25">
      <c r="E85" s="1">
        <v>44776.531944444447</v>
      </c>
      <c r="F85">
        <v>1.75272505335628E-3</v>
      </c>
      <c r="G85">
        <v>1.0543365080269199E-3</v>
      </c>
      <c r="H85">
        <v>1.0486880456861401E-3</v>
      </c>
    </row>
    <row r="86" spans="5:8" x14ac:dyDescent="0.25">
      <c r="E86" s="1">
        <v>44776.542361111111</v>
      </c>
      <c r="F86">
        <v>1.7477777618441E-3</v>
      </c>
      <c r="G86">
        <v>1.06280428002083E-3</v>
      </c>
      <c r="H86">
        <v>1.0543445868463599E-3</v>
      </c>
    </row>
    <row r="87" spans="5:8" x14ac:dyDescent="0.25">
      <c r="E87" s="1">
        <v>44776.552777777775</v>
      </c>
      <c r="F87">
        <v>1.4017038497322401E-3</v>
      </c>
      <c r="G87">
        <v>1.00541687745604E-3</v>
      </c>
      <c r="H87">
        <v>9.8508514586136305E-4</v>
      </c>
    </row>
    <row r="88" spans="5:8" x14ac:dyDescent="0.25">
      <c r="E88" s="1">
        <v>44776.563194444447</v>
      </c>
      <c r="F88">
        <v>1.3574561634927399E-3</v>
      </c>
      <c r="G88">
        <v>9.2044874896626296E-4</v>
      </c>
      <c r="H88">
        <v>8.8287150520387203E-4</v>
      </c>
    </row>
    <row r="89" spans="5:8" x14ac:dyDescent="0.25">
      <c r="E89" s="1">
        <v>44776.573611111111</v>
      </c>
      <c r="F89">
        <v>1.81593059069755E-3</v>
      </c>
      <c r="G89">
        <v>9.3213517397716195E-4</v>
      </c>
      <c r="H89">
        <v>9.0546170486898695E-4</v>
      </c>
    </row>
    <row r="90" spans="5:8" x14ac:dyDescent="0.25">
      <c r="E90" s="1">
        <v>44776.584027777775</v>
      </c>
      <c r="F90">
        <v>1.4856138179010099E-3</v>
      </c>
      <c r="G90">
        <v>9.6755380945194602E-4</v>
      </c>
      <c r="H90">
        <v>9.3097239710275602E-4</v>
      </c>
    </row>
    <row r="91" spans="5:8" x14ac:dyDescent="0.25">
      <c r="E91" s="1">
        <v>44776.594444444447</v>
      </c>
      <c r="F91">
        <v>1.5163016537163899E-3</v>
      </c>
      <c r="G91">
        <v>1.0643091260125999E-3</v>
      </c>
      <c r="H91">
        <v>1.0300427529562001E-3</v>
      </c>
    </row>
    <row r="92" spans="5:8" x14ac:dyDescent="0.25">
      <c r="E92" s="1">
        <v>44776.604861111111</v>
      </c>
      <c r="F92">
        <v>2.1448380105844999E-3</v>
      </c>
      <c r="G92">
        <v>1.1816506125130199E-3</v>
      </c>
      <c r="H92">
        <v>1.1486350012296E-3</v>
      </c>
    </row>
    <row r="93" spans="5:8" x14ac:dyDescent="0.25">
      <c r="E93" s="1">
        <v>44776.615277777775</v>
      </c>
      <c r="F93">
        <v>6.3360207758395102E-3</v>
      </c>
      <c r="G93">
        <v>3.5034695792361199E-3</v>
      </c>
      <c r="H93">
        <v>3.4714095344445701E-3</v>
      </c>
    </row>
    <row r="94" spans="5:8" x14ac:dyDescent="0.25">
      <c r="E94" s="1">
        <v>44776.625694444447</v>
      </c>
      <c r="F94">
        <v>2.7100659833378001E-2</v>
      </c>
      <c r="G94">
        <v>1.73415591077304E-2</v>
      </c>
      <c r="H94">
        <v>1.75334302078048E-2</v>
      </c>
    </row>
    <row r="95" spans="5:8" x14ac:dyDescent="0.25">
      <c r="E95" s="1">
        <v>44776.636111111111</v>
      </c>
      <c r="F95">
        <v>1.24645744986261E-2</v>
      </c>
      <c r="G95">
        <v>8.7732511398933392E-3</v>
      </c>
      <c r="H95">
        <v>8.5845597620685804E-3</v>
      </c>
    </row>
    <row r="96" spans="5:8" x14ac:dyDescent="0.25">
      <c r="E96" s="1">
        <v>44776.646527777775</v>
      </c>
      <c r="F96">
        <v>1.0060327126060999E-2</v>
      </c>
      <c r="G96">
        <v>7.2940252171190597E-3</v>
      </c>
      <c r="H96">
        <v>7.1856920987369496E-3</v>
      </c>
    </row>
    <row r="97" spans="5:8" x14ac:dyDescent="0.25">
      <c r="E97" s="1">
        <v>44776.656944444447</v>
      </c>
      <c r="F97">
        <v>8.5108884807833796E-3</v>
      </c>
      <c r="G97">
        <v>6.0184539737866199E-3</v>
      </c>
      <c r="H97">
        <v>5.8973369504331996E-3</v>
      </c>
    </row>
    <row r="98" spans="5:8" x14ac:dyDescent="0.25">
      <c r="E98" s="1">
        <v>44776.667361111111</v>
      </c>
      <c r="F98">
        <v>8.7778912773804098E-3</v>
      </c>
      <c r="G98">
        <v>6.4892442121546297E-3</v>
      </c>
      <c r="H98">
        <v>6.3662882750105598E-3</v>
      </c>
    </row>
    <row r="99" spans="5:8" x14ac:dyDescent="0.25">
      <c r="E99" s="1">
        <v>44776.677777777775</v>
      </c>
      <c r="F99">
        <v>8.7982744717244495E-3</v>
      </c>
      <c r="G99">
        <v>7.0542054236052698E-3</v>
      </c>
      <c r="H99">
        <v>6.9222261570562101E-3</v>
      </c>
    </row>
    <row r="100" spans="5:8" x14ac:dyDescent="0.25">
      <c r="E100" s="1">
        <v>44776.688194444447</v>
      </c>
      <c r="F100">
        <v>9.82229610596351E-3</v>
      </c>
      <c r="G100">
        <v>6.7403450210649597E-3</v>
      </c>
      <c r="H100">
        <v>6.6763023484132404E-3</v>
      </c>
    </row>
    <row r="101" spans="5:8" x14ac:dyDescent="0.25">
      <c r="E101" s="1">
        <v>44776.698611111111</v>
      </c>
      <c r="F101">
        <v>8.4297547627244195E-3</v>
      </c>
      <c r="G101">
        <v>6.44231446877326E-3</v>
      </c>
      <c r="H101">
        <v>6.3506866788911502E-3</v>
      </c>
    </row>
    <row r="102" spans="5:8" x14ac:dyDescent="0.25">
      <c r="E102" s="1">
        <v>44776.709027777775</v>
      </c>
      <c r="F102">
        <v>9.8801195227675997E-3</v>
      </c>
      <c r="G102">
        <v>6.5191823419279401E-3</v>
      </c>
      <c r="H102">
        <v>6.3339837820662404E-3</v>
      </c>
    </row>
    <row r="103" spans="5:8" x14ac:dyDescent="0.25">
      <c r="E103" s="1">
        <v>44776.719444444447</v>
      </c>
      <c r="F103">
        <v>8.1641440752267397E-3</v>
      </c>
      <c r="G103">
        <v>6.2064660680208302E-3</v>
      </c>
      <c r="H103">
        <v>6.0722568630377904E-3</v>
      </c>
    </row>
    <row r="104" spans="5:8" x14ac:dyDescent="0.25">
      <c r="E104" s="1">
        <v>44776.729861111111</v>
      </c>
      <c r="F104">
        <v>7.1229805188118799E-3</v>
      </c>
      <c r="G104">
        <v>5.5158948583627198E-3</v>
      </c>
      <c r="H104">
        <v>5.3444370260387203E-3</v>
      </c>
    </row>
    <row r="105" spans="5:8" x14ac:dyDescent="0.25">
      <c r="E105" s="1">
        <v>44776.740277777775</v>
      </c>
      <c r="F105">
        <v>7.6671431334010198E-3</v>
      </c>
      <c r="G105">
        <v>5.1110928912059001E-3</v>
      </c>
      <c r="H105">
        <v>5.1291876867848099E-3</v>
      </c>
    </row>
    <row r="106" spans="5:8" x14ac:dyDescent="0.25">
      <c r="E106" s="1">
        <v>44776.750694444447</v>
      </c>
      <c r="F106">
        <v>6.5316394382562201E-3</v>
      </c>
      <c r="G106">
        <v>4.6323092197396096E-3</v>
      </c>
      <c r="H106">
        <v>4.6586292430657403E-3</v>
      </c>
    </row>
    <row r="107" spans="5:8" x14ac:dyDescent="0.25">
      <c r="E107" s="1">
        <v>44776.761111111111</v>
      </c>
      <c r="F107">
        <v>7.1146443776370196E-3</v>
      </c>
      <c r="G107">
        <v>4.10336690857063E-3</v>
      </c>
      <c r="H107">
        <v>4.04883096950499E-3</v>
      </c>
    </row>
    <row r="108" spans="5:8" x14ac:dyDescent="0.25">
      <c r="E108" s="1">
        <v>44776.771527777775</v>
      </c>
      <c r="F108">
        <v>6.7227076636487701E-3</v>
      </c>
      <c r="G108">
        <v>3.8494217464620198E-3</v>
      </c>
      <c r="H108">
        <v>3.7056802996919698E-3</v>
      </c>
    </row>
    <row r="109" spans="5:8" x14ac:dyDescent="0.25">
      <c r="E109" s="1">
        <v>44776.781944444447</v>
      </c>
      <c r="F109">
        <v>4.8378525919520604E-3</v>
      </c>
      <c r="G109">
        <v>3.5892743023233399E-3</v>
      </c>
      <c r="H109">
        <v>3.5302169556103999E-3</v>
      </c>
    </row>
    <row r="110" spans="5:8" x14ac:dyDescent="0.25">
      <c r="E110" s="1">
        <v>44776.792361111111</v>
      </c>
      <c r="F110">
        <v>4.9265829371615104E-3</v>
      </c>
      <c r="G110">
        <v>3.7627582685674402E-3</v>
      </c>
      <c r="H110">
        <v>3.7220113753614701E-3</v>
      </c>
    </row>
    <row r="111" spans="5:8" x14ac:dyDescent="0.25">
      <c r="E111" s="1">
        <v>44776.802777777775</v>
      </c>
      <c r="F111">
        <v>5.0058445530102901E-3</v>
      </c>
      <c r="G111">
        <v>3.52465983924252E-3</v>
      </c>
      <c r="H111">
        <v>3.4852342129506001E-3</v>
      </c>
    </row>
    <row r="112" spans="5:8" x14ac:dyDescent="0.25">
      <c r="E112" s="1">
        <v>44776.813194444447</v>
      </c>
      <c r="F112">
        <v>5.6579143068844996E-3</v>
      </c>
      <c r="G112">
        <v>3.2747447598388702E-3</v>
      </c>
      <c r="H112">
        <v>3.2737774328031898E-3</v>
      </c>
    </row>
    <row r="113" spans="5:8" x14ac:dyDescent="0.25">
      <c r="E113" s="1">
        <v>44776.823611111111</v>
      </c>
      <c r="F113">
        <v>5.4040963983280899E-3</v>
      </c>
      <c r="G113">
        <v>3.5452474775090601E-3</v>
      </c>
      <c r="H113">
        <v>3.4710913636846002E-3</v>
      </c>
    </row>
    <row r="114" spans="5:8" x14ac:dyDescent="0.25">
      <c r="E114" s="1">
        <v>44776.834027777775</v>
      </c>
      <c r="F114">
        <v>5.9553863651619597E-3</v>
      </c>
      <c r="G114">
        <v>3.9345504818117201E-3</v>
      </c>
      <c r="H114">
        <v>3.8033189995797302E-3</v>
      </c>
    </row>
    <row r="115" spans="5:8" x14ac:dyDescent="0.25">
      <c r="E115" s="1">
        <v>44776.844444444447</v>
      </c>
      <c r="F115">
        <v>5.9124241501536303E-3</v>
      </c>
      <c r="G115">
        <v>4.1257857118724497E-3</v>
      </c>
      <c r="H115">
        <v>4.00657306095088E-3</v>
      </c>
    </row>
    <row r="116" spans="5:8" x14ac:dyDescent="0.25">
      <c r="E116" s="1">
        <v>44776.854861111111</v>
      </c>
      <c r="F116">
        <v>5.5729355060811997E-3</v>
      </c>
      <c r="G116">
        <v>4.0328615629782903E-3</v>
      </c>
      <c r="H116">
        <v>3.9968204636400499E-3</v>
      </c>
    </row>
    <row r="117" spans="5:8" x14ac:dyDescent="0.25">
      <c r="E117" s="1">
        <v>44776.865277777775</v>
      </c>
      <c r="F117">
        <v>5.7235491201370198E-3</v>
      </c>
      <c r="G117">
        <v>4.1889350795283999E-3</v>
      </c>
      <c r="H117">
        <v>4.1434726623004996E-3</v>
      </c>
    </row>
    <row r="118" spans="5:8" x14ac:dyDescent="0.25">
      <c r="E118" s="1">
        <v>44776.875694444447</v>
      </c>
      <c r="F118">
        <v>5.3205317134202602E-3</v>
      </c>
      <c r="G118">
        <v>3.9800871627992699E-3</v>
      </c>
      <c r="H118">
        <v>4.0803281963972598E-3</v>
      </c>
    </row>
    <row r="119" spans="5:8" x14ac:dyDescent="0.25">
      <c r="E119" s="1">
        <v>44776.917361111111</v>
      </c>
      <c r="F119">
        <v>6.6042492000304301E-3</v>
      </c>
      <c r="G119">
        <v>4.6082400419298003E-3</v>
      </c>
      <c r="H119">
        <v>4.3726557686547497E-3</v>
      </c>
    </row>
    <row r="120" spans="5:8" x14ac:dyDescent="0.25">
      <c r="E120" s="1">
        <v>44776.948611111111</v>
      </c>
      <c r="F120">
        <v>7.3344477715992298E-3</v>
      </c>
      <c r="G120">
        <v>4.48453947451733E-3</v>
      </c>
      <c r="H120">
        <v>4.3410444696009298E-3</v>
      </c>
    </row>
    <row r="121" spans="5:8" x14ac:dyDescent="0.25">
      <c r="E121" s="1">
        <v>44776.959027777775</v>
      </c>
      <c r="F121">
        <v>7.64757278088736E-3</v>
      </c>
      <c r="G121">
        <v>4.7902412826712898E-3</v>
      </c>
      <c r="H121">
        <v>4.7314393154342304E-3</v>
      </c>
    </row>
    <row r="122" spans="5:8" x14ac:dyDescent="0.25">
      <c r="E122" s="1">
        <v>44776.969444444447</v>
      </c>
      <c r="F122">
        <v>6.5381733318855299E-3</v>
      </c>
      <c r="G122">
        <v>4.6899360043215002E-3</v>
      </c>
      <c r="H122">
        <v>4.6559160128222298E-3</v>
      </c>
    </row>
    <row r="123" spans="5:8" x14ac:dyDescent="0.25">
      <c r="E123" s="1">
        <v>44776.979861111111</v>
      </c>
      <c r="F123">
        <v>6.5848300189003898E-3</v>
      </c>
      <c r="G123">
        <v>4.3327453890085396E-3</v>
      </c>
      <c r="H123">
        <v>4.3608673574917402E-3</v>
      </c>
    </row>
    <row r="124" spans="5:8" x14ac:dyDescent="0.25">
      <c r="E124" s="1">
        <v>44776.990277777775</v>
      </c>
      <c r="F124">
        <v>8.1282455529692495E-3</v>
      </c>
      <c r="G124">
        <v>4.7213340720148001E-3</v>
      </c>
      <c r="H124">
        <v>4.47147154487208E-3</v>
      </c>
    </row>
    <row r="125" spans="5:8" x14ac:dyDescent="0.25">
      <c r="E125" s="1">
        <v>44777.000694444447</v>
      </c>
      <c r="F125">
        <v>6.3385999173041297E-3</v>
      </c>
      <c r="G125">
        <v>4.4831709177640504E-3</v>
      </c>
      <c r="H125">
        <v>4.33979892746463E-3</v>
      </c>
    </row>
    <row r="126" spans="5:8" x14ac:dyDescent="0.25">
      <c r="E126" s="1"/>
    </row>
    <row r="127" spans="5:8" x14ac:dyDescent="0.25">
      <c r="E127" s="1"/>
    </row>
    <row r="128" spans="5:8" x14ac:dyDescent="0.25">
      <c r="E128" s="1"/>
    </row>
    <row r="129" spans="5:5" x14ac:dyDescent="0.25">
      <c r="E129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storm2_results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Hucke Nunez, Nicole (huck4481@vandals.uidaho.edu)</cp:lastModifiedBy>
  <dcterms:created xsi:type="dcterms:W3CDTF">2025-10-23T17:38:48Z</dcterms:created>
  <dcterms:modified xsi:type="dcterms:W3CDTF">2025-11-19T01:06:42Z</dcterms:modified>
</cp:coreProperties>
</file>