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Results\noise_corrected\1_amp_factor_by_season\calculations\"/>
    </mc:Choice>
  </mc:AlternateContent>
  <xr:revisionPtr revIDLastSave="0" documentId="13_ncr:1_{39FD6CDC-A26F-4735-A534-80B0BB2A5A3A}" xr6:coauthVersionLast="47" xr6:coauthVersionMax="47" xr10:uidLastSave="{00000000-0000-0000-0000-000000000000}"/>
  <bookViews>
    <workbookView xWindow="-120" yWindow="-120" windowWidth="29040" windowHeight="15720" xr2:uid="{867F3169-A9A3-4AE6-89E2-304587BC45FE}"/>
  </bookViews>
  <sheets>
    <sheet name="storm2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  <c r="B41" i="1" l="1"/>
  <c r="B42" i="1"/>
  <c r="B40" i="1"/>
  <c r="B34" i="1"/>
  <c r="C61" i="1"/>
  <c r="C62" i="1"/>
  <c r="C60" i="1"/>
  <c r="C34" i="1"/>
  <c r="B61" i="1"/>
  <c r="B62" i="1"/>
  <c r="C35" i="1" l="1"/>
  <c r="C36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B35" i="1"/>
  <c r="B36" i="1"/>
  <c r="B37" i="1"/>
  <c r="B38" i="1"/>
  <c r="B39" i="1"/>
  <c r="B43" i="1"/>
  <c r="U47" i="1" s="1"/>
  <c r="B44" i="1"/>
  <c r="V47" i="1" s="1"/>
  <c r="B45" i="1"/>
  <c r="W47" i="1" s="1"/>
  <c r="B46" i="1"/>
  <c r="U48" i="1" s="1"/>
  <c r="B47" i="1"/>
  <c r="V48" i="1" s="1"/>
  <c r="B48" i="1"/>
  <c r="W48" i="1" s="1"/>
  <c r="B49" i="1"/>
  <c r="U49" i="1" s="1"/>
  <c r="B50" i="1"/>
  <c r="V49" i="1" s="1"/>
  <c r="B51" i="1"/>
  <c r="W49" i="1" s="1"/>
  <c r="B52" i="1"/>
  <c r="U50" i="1" s="1"/>
  <c r="B53" i="1"/>
  <c r="V50" i="1" s="1"/>
  <c r="B54" i="1"/>
  <c r="W50" i="1" s="1"/>
  <c r="B55" i="1"/>
  <c r="U51" i="1" s="1"/>
  <c r="B56" i="1"/>
  <c r="V51" i="1" s="1"/>
  <c r="B57" i="1"/>
  <c r="W51" i="1" s="1"/>
  <c r="B58" i="1"/>
  <c r="U52" i="1" s="1"/>
  <c r="B59" i="1"/>
  <c r="V52" i="1" s="1"/>
  <c r="B60" i="1"/>
  <c r="W52" i="1" s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34" i="1"/>
</calcChain>
</file>

<file path=xl/sharedStrings.xml><?xml version="1.0" encoding="utf-8"?>
<sst xmlns="http://schemas.openxmlformats.org/spreadsheetml/2006/main" count="60" uniqueCount="46">
  <si>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</si>
  <si>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</si>
  <si>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</si>
  <si>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</si>
  <si>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</si>
  <si>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</si>
  <si>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</si>
  <si>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</si>
  <si>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</si>
  <si>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</si>
  <si>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</si>
  <si>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</si>
  <si>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</si>
  <si>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</si>
  <si>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</si>
  <si>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</si>
  <si>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</si>
  <si>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</si>
  <si>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</si>
  <si>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</si>
  <si>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</si>
  <si>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</si>
  <si>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</si>
  <si>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</si>
  <si>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</si>
  <si>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</si>
  <si>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</si>
  <si>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</si>
  <si>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</si>
  <si>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</si>
  <si>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</si>
  <si>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</si>
  <si>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</si>
  <si>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</si>
  <si>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</si>
  <si>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max</t>
  </si>
  <si>
    <t>mean</t>
  </si>
  <si>
    <t>impulses</t>
  </si>
  <si>
    <t>med</t>
  </si>
  <si>
    <t>ch6</t>
  </si>
  <si>
    <t>ch5</t>
  </si>
  <si>
    <t>ch4</t>
  </si>
  <si>
    <t>ch3</t>
  </si>
  <si>
    <t>ch2</t>
  </si>
  <si>
    <t>ch1</t>
  </si>
  <si>
    <t>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</si>
</sst>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22" fontId="0" fillId="0" borderId="0" xfId="0" applyNumberFormat="1"/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0" fillId="33" borderId="0" xfId="0" applyFill="1"/>
    <xf numFmtId="164" fontId="0" fillId="33" borderId="0" xfId="0" applyNumberFormat="1" applyFill="1"/>
    <xf numFmtId="0" fontId="0" fillId="33" borderId="0" xfId="0" applyFill="1" applyAlignment="1">
      <alignment horizontal="center"/>
    </xf>
    <xf numFmtId="22" fontId="0" fillId="0" borderId="0" xfId="0" applyNumberFormat="1" applyAlignment="1">
      <alignment horizontal="center"/>
    </xf>
    <xf numFmtId="165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</a:t>
            </a:r>
            <a:r>
              <a:rPr lang="en-US" baseline="0"/>
              <a:t> Over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storm2_results!$E$34:$E$125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storm2_results!$F$34:$F$125</c:f>
              <c:numCache>
                <c:formatCode>General</c:formatCode>
                <c:ptCount val="92"/>
                <c:pt idx="0">
                  <c:v>4.72493501979047E-3</c:v>
                </c:pt>
                <c:pt idx="1">
                  <c:v>5.9080932990375999E-3</c:v>
                </c:pt>
                <c:pt idx="2">
                  <c:v>5.2272819387848401E-3</c:v>
                </c:pt>
                <c:pt idx="3">
                  <c:v>4.9882124907063901E-3</c:v>
                </c:pt>
                <c:pt idx="4">
                  <c:v>4.8852013177561803E-3</c:v>
                </c:pt>
                <c:pt idx="5">
                  <c:v>4.3786911798838202E-3</c:v>
                </c:pt>
                <c:pt idx="6">
                  <c:v>4.9065540109016698E-3</c:v>
                </c:pt>
                <c:pt idx="7">
                  <c:v>5.1795706540441197E-3</c:v>
                </c:pt>
                <c:pt idx="8">
                  <c:v>5.1838945078037397E-3</c:v>
                </c:pt>
                <c:pt idx="9">
                  <c:v>5.1579356013428598E-3</c:v>
                </c:pt>
                <c:pt idx="10">
                  <c:v>5.5134044859722203E-3</c:v>
                </c:pt>
                <c:pt idx="11">
                  <c:v>4.6433740083373599E-3</c:v>
                </c:pt>
                <c:pt idx="12">
                  <c:v>5.5133584286502198E-3</c:v>
                </c:pt>
                <c:pt idx="13">
                  <c:v>4.8111125577186397E-3</c:v>
                </c:pt>
                <c:pt idx="14">
                  <c:v>5.2924350194823002E-3</c:v>
                </c:pt>
                <c:pt idx="15">
                  <c:v>4.97045783663132E-3</c:v>
                </c:pt>
                <c:pt idx="16">
                  <c:v>4.7448343141915997E-3</c:v>
                </c:pt>
                <c:pt idx="17">
                  <c:v>5.2742206663421503E-3</c:v>
                </c:pt>
                <c:pt idx="18">
                  <c:v>4.4034232006958801E-3</c:v>
                </c:pt>
                <c:pt idx="19">
                  <c:v>4.8714794355731103E-3</c:v>
                </c:pt>
                <c:pt idx="20">
                  <c:v>4.9435552234350696E-3</c:v>
                </c:pt>
                <c:pt idx="21">
                  <c:v>4.6567904220333797E-3</c:v>
                </c:pt>
                <c:pt idx="22">
                  <c:v>4.2883924990982604E-3</c:v>
                </c:pt>
                <c:pt idx="23">
                  <c:v>4.7192244406869298E-3</c:v>
                </c:pt>
                <c:pt idx="24">
                  <c:v>4.6534564902612104E-3</c:v>
                </c:pt>
                <c:pt idx="25">
                  <c:v>4.5829697763156499E-3</c:v>
                </c:pt>
                <c:pt idx="26">
                  <c:v>4.5724315002559999E-3</c:v>
                </c:pt>
                <c:pt idx="27">
                  <c:v>4.31057046868969E-3</c:v>
                </c:pt>
                <c:pt idx="28">
                  <c:v>4.53774886294896E-3</c:v>
                </c:pt>
                <c:pt idx="29">
                  <c:v>5.0683901080002501E-3</c:v>
                </c:pt>
                <c:pt idx="30">
                  <c:v>4.0429763053656202E-3</c:v>
                </c:pt>
                <c:pt idx="31">
                  <c:v>4.3783917311043998E-3</c:v>
                </c:pt>
                <c:pt idx="32">
                  <c:v>5.1007733254776599E-3</c:v>
                </c:pt>
                <c:pt idx="33">
                  <c:v>4.4606964750532998E-3</c:v>
                </c:pt>
                <c:pt idx="34">
                  <c:v>4.54469863922224E-3</c:v>
                </c:pt>
                <c:pt idx="35">
                  <c:v>4.1333156360686199E-3</c:v>
                </c:pt>
                <c:pt idx="36">
                  <c:v>4.1052879251853996E-3</c:v>
                </c:pt>
                <c:pt idx="37">
                  <c:v>4.8829420946174696E-3</c:v>
                </c:pt>
                <c:pt idx="38">
                  <c:v>5.0312525583238298E-3</c:v>
                </c:pt>
                <c:pt idx="39">
                  <c:v>4.4352868707535102E-3</c:v>
                </c:pt>
                <c:pt idx="40">
                  <c:v>5.58799001976282E-3</c:v>
                </c:pt>
                <c:pt idx="41">
                  <c:v>4.2935529585714704E-3</c:v>
                </c:pt>
                <c:pt idx="42">
                  <c:v>4.5211171894376E-3</c:v>
                </c:pt>
                <c:pt idx="43">
                  <c:v>4.54216900762073E-3</c:v>
                </c:pt>
                <c:pt idx="44">
                  <c:v>4.1944596429758603E-3</c:v>
                </c:pt>
                <c:pt idx="45">
                  <c:v>5.2768368426459296E-3</c:v>
                </c:pt>
                <c:pt idx="46">
                  <c:v>4.77419552405283E-3</c:v>
                </c:pt>
                <c:pt idx="47">
                  <c:v>4.5314965604311497E-3</c:v>
                </c:pt>
                <c:pt idx="48">
                  <c:v>5.4127270815357703E-3</c:v>
                </c:pt>
                <c:pt idx="49">
                  <c:v>4.4244180113223799E-3</c:v>
                </c:pt>
                <c:pt idx="50">
                  <c:v>4.7147288279489902E-3</c:v>
                </c:pt>
                <c:pt idx="51">
                  <c:v>5.0710164192992197E-3</c:v>
                </c:pt>
                <c:pt idx="52">
                  <c:v>5.18313137787485E-3</c:v>
                </c:pt>
                <c:pt idx="53">
                  <c:v>4.3036763203625397E-3</c:v>
                </c:pt>
                <c:pt idx="54">
                  <c:v>4.0757354581132197E-3</c:v>
                </c:pt>
                <c:pt idx="55">
                  <c:v>5.5064783724160203E-3</c:v>
                </c:pt>
                <c:pt idx="56">
                  <c:v>5.1479568307285697E-3</c:v>
                </c:pt>
                <c:pt idx="57">
                  <c:v>5.9974679335504499E-3</c:v>
                </c:pt>
                <c:pt idx="58">
                  <c:v>7.9770674714478799E-3</c:v>
                </c:pt>
                <c:pt idx="59">
                  <c:v>1.22135440117466E-2</c:v>
                </c:pt>
                <c:pt idx="60">
                  <c:v>2.69809798557826E-2</c:v>
                </c:pt>
                <c:pt idx="61">
                  <c:v>8.1662849105745405E-3</c:v>
                </c:pt>
                <c:pt idx="62">
                  <c:v>6.8266278223056099E-3</c:v>
                </c:pt>
                <c:pt idx="63">
                  <c:v>6.4727926153022204E-3</c:v>
                </c:pt>
                <c:pt idx="64">
                  <c:v>5.7809178378487999E-3</c:v>
                </c:pt>
                <c:pt idx="65">
                  <c:v>6.4836393656067396E-3</c:v>
                </c:pt>
                <c:pt idx="66">
                  <c:v>6.6075992529795102E-3</c:v>
                </c:pt>
                <c:pt idx="67">
                  <c:v>6.0832772841109203E-3</c:v>
                </c:pt>
                <c:pt idx="68">
                  <c:v>6.3088260072390497E-3</c:v>
                </c:pt>
                <c:pt idx="69">
                  <c:v>5.9571698677248304E-3</c:v>
                </c:pt>
                <c:pt idx="70">
                  <c:v>5.4649038706699703E-3</c:v>
                </c:pt>
                <c:pt idx="71">
                  <c:v>5.2978961488506201E-3</c:v>
                </c:pt>
                <c:pt idx="72">
                  <c:v>5.0415925855331802E-3</c:v>
                </c:pt>
                <c:pt idx="73">
                  <c:v>4.9306651923876899E-3</c:v>
                </c:pt>
                <c:pt idx="74">
                  <c:v>5.6762244045783497E-3</c:v>
                </c:pt>
                <c:pt idx="75">
                  <c:v>5.2668606067838401E-3</c:v>
                </c:pt>
                <c:pt idx="76">
                  <c:v>6.89801164039052E-3</c:v>
                </c:pt>
                <c:pt idx="77">
                  <c:v>5.6879338373121199E-3</c:v>
                </c:pt>
                <c:pt idx="78">
                  <c:v>6.1043191283339801E-3</c:v>
                </c:pt>
                <c:pt idx="79">
                  <c:v>6.64528256623947E-3</c:v>
                </c:pt>
                <c:pt idx="80">
                  <c:v>7.6542420936653198E-3</c:v>
                </c:pt>
                <c:pt idx="81">
                  <c:v>8.2870371510959696E-3</c:v>
                </c:pt>
                <c:pt idx="82">
                  <c:v>8.1898275615383005E-3</c:v>
                </c:pt>
                <c:pt idx="83">
                  <c:v>7.5970521627335098E-3</c:v>
                </c:pt>
                <c:pt idx="84">
                  <c:v>7.5256553215716903E-3</c:v>
                </c:pt>
                <c:pt idx="85">
                  <c:v>9.4962741129965104E-3</c:v>
                </c:pt>
                <c:pt idx="86">
                  <c:v>9.1693908812204294E-3</c:v>
                </c:pt>
                <c:pt idx="87">
                  <c:v>9.3812702388779007E-3</c:v>
                </c:pt>
                <c:pt idx="88">
                  <c:v>9.1824897445934705E-3</c:v>
                </c:pt>
                <c:pt idx="89">
                  <c:v>8.3666753626787903E-3</c:v>
                </c:pt>
                <c:pt idx="90">
                  <c:v>1.0108519711296501E-2</c:v>
                </c:pt>
                <c:pt idx="91">
                  <c:v>8.4623171262878001E-3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4A-42D0-9EB5-E2CE57560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1374511"/>
        <c:axId val="382721663"/>
      </c:scatterChart>
      <c:valAx>
        <c:axId val="54137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721663"/>
        <c:crosses val="autoZero"/>
        <c:crossBetween val="midCat"/>
      </c:valAx>
      <c:valAx>
        <c:axId val="38272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37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</a:t>
            </a:r>
            <a:r>
              <a:rPr lang="en-US" baseline="0"/>
              <a:t> Over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storm2_results!$E$34:$E$125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storm2_results!$G$34:$G$125</c:f>
              <c:numCache>
                <c:formatCode>General</c:formatCode>
                <c:ptCount val="92"/>
                <c:pt idx="0">
                  <c:v>3.4027050362627001E-3</c:v>
                </c:pt>
                <c:pt idx="1">
                  <c:v>3.9611210731770501E-3</c:v>
                </c:pt>
                <c:pt idx="2">
                  <c:v>3.69910835302871E-3</c:v>
                </c:pt>
                <c:pt idx="3">
                  <c:v>3.5504614349576402E-3</c:v>
                </c:pt>
                <c:pt idx="4">
                  <c:v>3.3808673777508099E-3</c:v>
                </c:pt>
                <c:pt idx="5">
                  <c:v>3.2194238707095001E-3</c:v>
                </c:pt>
                <c:pt idx="6">
                  <c:v>3.4131376229053498E-3</c:v>
                </c:pt>
                <c:pt idx="7">
                  <c:v>3.4390121984034798E-3</c:v>
                </c:pt>
                <c:pt idx="8">
                  <c:v>3.4983775909583001E-3</c:v>
                </c:pt>
                <c:pt idx="9">
                  <c:v>3.4988852182378598E-3</c:v>
                </c:pt>
                <c:pt idx="10">
                  <c:v>3.5459010451820401E-3</c:v>
                </c:pt>
                <c:pt idx="11">
                  <c:v>3.6479881909463E-3</c:v>
                </c:pt>
                <c:pt idx="12">
                  <c:v>3.5865695793972298E-3</c:v>
                </c:pt>
                <c:pt idx="13">
                  <c:v>3.50458942567698E-3</c:v>
                </c:pt>
                <c:pt idx="14">
                  <c:v>3.4942895915686602E-3</c:v>
                </c:pt>
                <c:pt idx="15">
                  <c:v>3.5059863005916102E-3</c:v>
                </c:pt>
                <c:pt idx="16">
                  <c:v>3.5008475767212398E-3</c:v>
                </c:pt>
                <c:pt idx="17">
                  <c:v>3.4826574196849401E-3</c:v>
                </c:pt>
                <c:pt idx="18">
                  <c:v>3.3217964935261602E-3</c:v>
                </c:pt>
                <c:pt idx="19">
                  <c:v>3.09611537472214E-3</c:v>
                </c:pt>
                <c:pt idx="20">
                  <c:v>3.3046928170169399E-3</c:v>
                </c:pt>
                <c:pt idx="21">
                  <c:v>3.1303825454828799E-3</c:v>
                </c:pt>
                <c:pt idx="22">
                  <c:v>3.1158178762494999E-3</c:v>
                </c:pt>
                <c:pt idx="23">
                  <c:v>3.1507357143545898E-3</c:v>
                </c:pt>
                <c:pt idx="24">
                  <c:v>3.1626293992731498E-3</c:v>
                </c:pt>
                <c:pt idx="25">
                  <c:v>3.2063621356524402E-3</c:v>
                </c:pt>
                <c:pt idx="26">
                  <c:v>3.1978790185081302E-3</c:v>
                </c:pt>
                <c:pt idx="27">
                  <c:v>3.0859921491242E-3</c:v>
                </c:pt>
                <c:pt idx="28">
                  <c:v>3.1867767964473899E-3</c:v>
                </c:pt>
                <c:pt idx="29">
                  <c:v>3.1269177965095899E-3</c:v>
                </c:pt>
                <c:pt idx="30">
                  <c:v>3.0047625132307498E-3</c:v>
                </c:pt>
                <c:pt idx="31">
                  <c:v>3.0845282317074701E-3</c:v>
                </c:pt>
                <c:pt idx="32">
                  <c:v>3.2284160690873001E-3</c:v>
                </c:pt>
                <c:pt idx="33">
                  <c:v>3.1344714510352801E-3</c:v>
                </c:pt>
                <c:pt idx="34">
                  <c:v>3.0257630164769499E-3</c:v>
                </c:pt>
                <c:pt idx="35">
                  <c:v>3.06269130441822E-3</c:v>
                </c:pt>
                <c:pt idx="36">
                  <c:v>3.2005695251267601E-3</c:v>
                </c:pt>
                <c:pt idx="37">
                  <c:v>3.3721951965185299E-3</c:v>
                </c:pt>
                <c:pt idx="38">
                  <c:v>3.3385443179660699E-3</c:v>
                </c:pt>
                <c:pt idx="39">
                  <c:v>3.2173810252622099E-3</c:v>
                </c:pt>
                <c:pt idx="40">
                  <c:v>3.54937695823704E-3</c:v>
                </c:pt>
                <c:pt idx="41">
                  <c:v>3.2107276054655701E-3</c:v>
                </c:pt>
                <c:pt idx="42">
                  <c:v>3.0570122083748699E-3</c:v>
                </c:pt>
                <c:pt idx="43">
                  <c:v>3.11278768895464E-3</c:v>
                </c:pt>
                <c:pt idx="44">
                  <c:v>3.0779758411350199E-3</c:v>
                </c:pt>
                <c:pt idx="45">
                  <c:v>3.18245037297609E-3</c:v>
                </c:pt>
                <c:pt idx="46">
                  <c:v>3.3463123344295099E-3</c:v>
                </c:pt>
                <c:pt idx="47">
                  <c:v>3.0787027843648899E-3</c:v>
                </c:pt>
                <c:pt idx="48">
                  <c:v>3.1191855056651599E-3</c:v>
                </c:pt>
                <c:pt idx="49">
                  <c:v>3.1205321450327602E-3</c:v>
                </c:pt>
                <c:pt idx="50">
                  <c:v>3.24635122069543E-3</c:v>
                </c:pt>
                <c:pt idx="51">
                  <c:v>3.16312731298356E-3</c:v>
                </c:pt>
                <c:pt idx="52">
                  <c:v>3.0165882658100499E-3</c:v>
                </c:pt>
                <c:pt idx="53">
                  <c:v>3.1473842203838501E-3</c:v>
                </c:pt>
                <c:pt idx="54">
                  <c:v>3.0712772232709398E-3</c:v>
                </c:pt>
                <c:pt idx="55">
                  <c:v>3.0191745559431998E-3</c:v>
                </c:pt>
                <c:pt idx="56">
                  <c:v>3.04950153839622E-3</c:v>
                </c:pt>
                <c:pt idx="57">
                  <c:v>3.4734510222078799E-3</c:v>
                </c:pt>
                <c:pt idx="58">
                  <c:v>3.7213839137504E-3</c:v>
                </c:pt>
                <c:pt idx="59">
                  <c:v>7.0785618369847599E-3</c:v>
                </c:pt>
                <c:pt idx="60">
                  <c:v>1.7871787179046798E-2</c:v>
                </c:pt>
                <c:pt idx="61">
                  <c:v>6.2400406140930703E-3</c:v>
                </c:pt>
                <c:pt idx="62">
                  <c:v>5.1021912122990298E-3</c:v>
                </c:pt>
                <c:pt idx="63">
                  <c:v>4.4259698261189997E-3</c:v>
                </c:pt>
                <c:pt idx="64">
                  <c:v>4.5466492856802597E-3</c:v>
                </c:pt>
                <c:pt idx="65">
                  <c:v>4.9431704551744201E-3</c:v>
                </c:pt>
                <c:pt idx="66">
                  <c:v>4.82417553818895E-3</c:v>
                </c:pt>
                <c:pt idx="67">
                  <c:v>4.5774732533160299E-3</c:v>
                </c:pt>
                <c:pt idx="68">
                  <c:v>4.6970120970140699E-3</c:v>
                </c:pt>
                <c:pt idx="69">
                  <c:v>4.4811829002478201E-3</c:v>
                </c:pt>
                <c:pt idx="70">
                  <c:v>4.0488722006508304E-3</c:v>
                </c:pt>
                <c:pt idx="71">
                  <c:v>3.9137423495688804E-3</c:v>
                </c:pt>
                <c:pt idx="72">
                  <c:v>3.70670877951339E-3</c:v>
                </c:pt>
                <c:pt idx="73">
                  <c:v>3.4755260482236898E-3</c:v>
                </c:pt>
                <c:pt idx="74">
                  <c:v>3.51606383823224E-3</c:v>
                </c:pt>
                <c:pt idx="75">
                  <c:v>3.6678498572765201E-3</c:v>
                </c:pt>
                <c:pt idx="76">
                  <c:v>4.0046827150365298E-3</c:v>
                </c:pt>
                <c:pt idx="77">
                  <c:v>3.9116987625904204E-3</c:v>
                </c:pt>
                <c:pt idx="78">
                  <c:v>4.0725722580348296E-3</c:v>
                </c:pt>
                <c:pt idx="79">
                  <c:v>4.5546665318697502E-3</c:v>
                </c:pt>
                <c:pt idx="80">
                  <c:v>5.0205926300222296E-3</c:v>
                </c:pt>
                <c:pt idx="81">
                  <c:v>5.3458370909438297E-3</c:v>
                </c:pt>
                <c:pt idx="82">
                  <c:v>5.5129999194580498E-3</c:v>
                </c:pt>
                <c:pt idx="83">
                  <c:v>5.9215686715830603E-3</c:v>
                </c:pt>
                <c:pt idx="84">
                  <c:v>5.7544755782348604E-3</c:v>
                </c:pt>
                <c:pt idx="85">
                  <c:v>6.8802496325147599E-3</c:v>
                </c:pt>
                <c:pt idx="86">
                  <c:v>6.5992067344057799E-3</c:v>
                </c:pt>
                <c:pt idx="87">
                  <c:v>7.0058666944694701E-3</c:v>
                </c:pt>
                <c:pt idx="88">
                  <c:v>6.8967612462587403E-3</c:v>
                </c:pt>
                <c:pt idx="89">
                  <c:v>6.2248819210360901E-3</c:v>
                </c:pt>
                <c:pt idx="90">
                  <c:v>6.7422041083178997E-3</c:v>
                </c:pt>
                <c:pt idx="91">
                  <c:v>6.4249466090640604E-3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45-43AE-B919-95E63F4C4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1374511"/>
        <c:axId val="382721663"/>
      </c:scatterChart>
      <c:valAx>
        <c:axId val="54137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721663"/>
        <c:crosses val="autoZero"/>
        <c:crossBetween val="midCat"/>
      </c:valAx>
      <c:valAx>
        <c:axId val="38272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37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</a:t>
            </a:r>
            <a:r>
              <a:rPr lang="en-US" baseline="0"/>
              <a:t> Over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storm2_results!$E$34:$E$125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storm2_results!$H$34:$H$125</c:f>
              <c:numCache>
                <c:formatCode>General</c:formatCode>
                <c:ptCount val="92"/>
                <c:pt idx="0">
                  <c:v>3.3469104339062801E-3</c:v>
                </c:pt>
                <c:pt idx="1">
                  <c:v>3.8794723008982201E-3</c:v>
                </c:pt>
                <c:pt idx="2">
                  <c:v>3.5920067148059501E-3</c:v>
                </c:pt>
                <c:pt idx="3">
                  <c:v>3.4827847935612198E-3</c:v>
                </c:pt>
                <c:pt idx="4">
                  <c:v>3.24276070019261E-3</c:v>
                </c:pt>
                <c:pt idx="5">
                  <c:v>3.1075912604558299E-3</c:v>
                </c:pt>
                <c:pt idx="6">
                  <c:v>3.25792731171826E-3</c:v>
                </c:pt>
                <c:pt idx="7">
                  <c:v>3.3396725385032898E-3</c:v>
                </c:pt>
                <c:pt idx="8">
                  <c:v>3.3624573907033101E-3</c:v>
                </c:pt>
                <c:pt idx="9">
                  <c:v>3.4409034519958101E-3</c:v>
                </c:pt>
                <c:pt idx="10">
                  <c:v>3.41615195599492E-3</c:v>
                </c:pt>
                <c:pt idx="11">
                  <c:v>3.6122735824117998E-3</c:v>
                </c:pt>
                <c:pt idx="12">
                  <c:v>3.5139744744154102E-3</c:v>
                </c:pt>
                <c:pt idx="13">
                  <c:v>3.3750150788126199E-3</c:v>
                </c:pt>
                <c:pt idx="14">
                  <c:v>3.4601076726499102E-3</c:v>
                </c:pt>
                <c:pt idx="15">
                  <c:v>3.3943960727518198E-3</c:v>
                </c:pt>
                <c:pt idx="16">
                  <c:v>3.43870520388699E-3</c:v>
                </c:pt>
                <c:pt idx="17">
                  <c:v>3.3951797823228002E-3</c:v>
                </c:pt>
                <c:pt idx="18">
                  <c:v>3.3008969401031301E-3</c:v>
                </c:pt>
                <c:pt idx="19">
                  <c:v>3.06024003622932E-3</c:v>
                </c:pt>
                <c:pt idx="20">
                  <c:v>3.1812308528858298E-3</c:v>
                </c:pt>
                <c:pt idx="21">
                  <c:v>3.1354215951794398E-3</c:v>
                </c:pt>
                <c:pt idx="22">
                  <c:v>3.0198700416013699E-3</c:v>
                </c:pt>
                <c:pt idx="23">
                  <c:v>3.0694585807306799E-3</c:v>
                </c:pt>
                <c:pt idx="24">
                  <c:v>3.1308059261487401E-3</c:v>
                </c:pt>
                <c:pt idx="25">
                  <c:v>3.1449328915076199E-3</c:v>
                </c:pt>
                <c:pt idx="26">
                  <c:v>3.1478332985176499E-3</c:v>
                </c:pt>
                <c:pt idx="27">
                  <c:v>3.0350274951524698E-3</c:v>
                </c:pt>
                <c:pt idx="28">
                  <c:v>3.08549419599279E-3</c:v>
                </c:pt>
                <c:pt idx="29">
                  <c:v>3.05134381252405E-3</c:v>
                </c:pt>
                <c:pt idx="30">
                  <c:v>2.97552245648292E-3</c:v>
                </c:pt>
                <c:pt idx="31">
                  <c:v>3.0296896134415401E-3</c:v>
                </c:pt>
                <c:pt idx="32">
                  <c:v>3.1890473700073702E-3</c:v>
                </c:pt>
                <c:pt idx="33">
                  <c:v>3.0598614152375098E-3</c:v>
                </c:pt>
                <c:pt idx="34">
                  <c:v>2.9069860565559898E-3</c:v>
                </c:pt>
                <c:pt idx="35">
                  <c:v>3.0267538592852398E-3</c:v>
                </c:pt>
                <c:pt idx="36">
                  <c:v>3.0560099818895698E-3</c:v>
                </c:pt>
                <c:pt idx="37">
                  <c:v>3.2967714609020201E-3</c:v>
                </c:pt>
                <c:pt idx="38">
                  <c:v>3.1585766960186301E-3</c:v>
                </c:pt>
                <c:pt idx="39">
                  <c:v>3.12917403694868E-3</c:v>
                </c:pt>
                <c:pt idx="40">
                  <c:v>3.4090478849179602E-3</c:v>
                </c:pt>
                <c:pt idx="41">
                  <c:v>3.1763265350402401E-3</c:v>
                </c:pt>
                <c:pt idx="42">
                  <c:v>2.9977423109186501E-3</c:v>
                </c:pt>
                <c:pt idx="43">
                  <c:v>3.03542030804248E-3</c:v>
                </c:pt>
                <c:pt idx="44">
                  <c:v>2.9363750464641799E-3</c:v>
                </c:pt>
                <c:pt idx="45">
                  <c:v>3.05971695531379E-3</c:v>
                </c:pt>
                <c:pt idx="46">
                  <c:v>3.2461020992476199E-3</c:v>
                </c:pt>
                <c:pt idx="47">
                  <c:v>2.9690729724176201E-3</c:v>
                </c:pt>
                <c:pt idx="48">
                  <c:v>3.0870128979799201E-3</c:v>
                </c:pt>
                <c:pt idx="49">
                  <c:v>3.0235764539403298E-3</c:v>
                </c:pt>
                <c:pt idx="50">
                  <c:v>3.1890026060680302E-3</c:v>
                </c:pt>
                <c:pt idx="51">
                  <c:v>3.0456696961983498E-3</c:v>
                </c:pt>
                <c:pt idx="52">
                  <c:v>2.8961384909367799E-3</c:v>
                </c:pt>
                <c:pt idx="53">
                  <c:v>3.0661482858841201E-3</c:v>
                </c:pt>
                <c:pt idx="54">
                  <c:v>3.0431546893969299E-3</c:v>
                </c:pt>
                <c:pt idx="55">
                  <c:v>3.0290531155669899E-3</c:v>
                </c:pt>
                <c:pt idx="56">
                  <c:v>2.9321358199564901E-3</c:v>
                </c:pt>
                <c:pt idx="57">
                  <c:v>3.3523663235753699E-3</c:v>
                </c:pt>
                <c:pt idx="58">
                  <c:v>3.6147975758465001E-3</c:v>
                </c:pt>
                <c:pt idx="59">
                  <c:v>6.9327851518867899E-3</c:v>
                </c:pt>
                <c:pt idx="60">
                  <c:v>1.82855690728208E-2</c:v>
                </c:pt>
                <c:pt idx="61">
                  <c:v>6.15372030279042E-3</c:v>
                </c:pt>
                <c:pt idx="62">
                  <c:v>5.0363197543876401E-3</c:v>
                </c:pt>
                <c:pt idx="63">
                  <c:v>4.34990010647795E-3</c:v>
                </c:pt>
                <c:pt idx="64">
                  <c:v>4.5063889039995697E-3</c:v>
                </c:pt>
                <c:pt idx="65">
                  <c:v>4.8509673890584802E-3</c:v>
                </c:pt>
                <c:pt idx="66">
                  <c:v>4.8688262623181001E-3</c:v>
                </c:pt>
                <c:pt idx="67">
                  <c:v>4.51773909882965E-3</c:v>
                </c:pt>
                <c:pt idx="68">
                  <c:v>4.6893629915007798E-3</c:v>
                </c:pt>
                <c:pt idx="69">
                  <c:v>4.4318146038943001E-3</c:v>
                </c:pt>
                <c:pt idx="70">
                  <c:v>4.0135583271381598E-3</c:v>
                </c:pt>
                <c:pt idx="71">
                  <c:v>3.9007273898934102E-3</c:v>
                </c:pt>
                <c:pt idx="72">
                  <c:v>3.6510415656582302E-3</c:v>
                </c:pt>
                <c:pt idx="73">
                  <c:v>3.4069469797236799E-3</c:v>
                </c:pt>
                <c:pt idx="74">
                  <c:v>3.3399678064806298E-3</c:v>
                </c:pt>
                <c:pt idx="75">
                  <c:v>3.5777539109062601E-3</c:v>
                </c:pt>
                <c:pt idx="76">
                  <c:v>3.9559152189762702E-3</c:v>
                </c:pt>
                <c:pt idx="77">
                  <c:v>3.8426344949460201E-3</c:v>
                </c:pt>
                <c:pt idx="78">
                  <c:v>3.9732544154585598E-3</c:v>
                </c:pt>
                <c:pt idx="79">
                  <c:v>4.3890549823030504E-3</c:v>
                </c:pt>
                <c:pt idx="80">
                  <c:v>4.9999675183426198E-3</c:v>
                </c:pt>
                <c:pt idx="81">
                  <c:v>5.1939103337743696E-3</c:v>
                </c:pt>
                <c:pt idx="82">
                  <c:v>5.5221011923079601E-3</c:v>
                </c:pt>
                <c:pt idx="83">
                  <c:v>6.0017891587935404E-3</c:v>
                </c:pt>
                <c:pt idx="84">
                  <c:v>5.7289590045294797E-3</c:v>
                </c:pt>
                <c:pt idx="85">
                  <c:v>6.7563480651220897E-3</c:v>
                </c:pt>
                <c:pt idx="86">
                  <c:v>6.3839259719051904E-3</c:v>
                </c:pt>
                <c:pt idx="87">
                  <c:v>6.9597686736329401E-3</c:v>
                </c:pt>
                <c:pt idx="88">
                  <c:v>6.8495131508452796E-3</c:v>
                </c:pt>
                <c:pt idx="89">
                  <c:v>6.1843417504239698E-3</c:v>
                </c:pt>
                <c:pt idx="90">
                  <c:v>6.5224122478399101E-3</c:v>
                </c:pt>
                <c:pt idx="91">
                  <c:v>6.3540000138908696E-3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25-45C8-8030-10BE2A3FA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1374511"/>
        <c:axId val="382721663"/>
      </c:scatterChart>
      <c:valAx>
        <c:axId val="54137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721663"/>
        <c:crosses val="autoZero"/>
        <c:crossBetween val="midCat"/>
      </c:valAx>
      <c:valAx>
        <c:axId val="38272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37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323851</xdr:colOff>
      <xdr:row>32</xdr:row>
      <xdr:rowOff>66675</xdr:rowOff>
    </xdr:from>
    <xdr:to>
      <xdr:col>18</xdr:col>
      <xdr:colOff>66675</xdr:colOff>
      <xdr:row>44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966E3D-9853-4B49-A6A6-21A8CEA7CB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314324</xdr:colOff>
      <xdr:row>45</xdr:row>
      <xdr:rowOff>9525</xdr:rowOff>
    </xdr:from>
    <xdr:to>
      <xdr:col>18</xdr:col>
      <xdr:colOff>95249</xdr:colOff>
      <xdr:row>57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8D7861-AC34-4E1C-8D9D-5EE6F31810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314324</xdr:colOff>
      <xdr:row>57</xdr:row>
      <xdr:rowOff>57150</xdr:rowOff>
    </xdr:from>
    <xdr:to>
      <xdr:col>18</xdr:col>
      <xdr:colOff>114299</xdr:colOff>
      <xdr:row>69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2844741-6BD0-4705-BBD7-69B1D1E3BE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C4130-64D5-42FE-8592-ED0ECA68F7E8}">
  <dimension ref="A1:CS129"/>
  <sheetViews>
    <sheetView tabSelected="1" zoomScale="85" zoomScaleNormal="85" workbookViewId="0">
      <selection activeCell="A42" sqref="A42"/>
    </sheetView>
  </sheetViews>
  <sheetFormatPr defaultRowHeight="15" x14ac:dyDescent="0.25"/>
  <cols>
    <col min="1" max="1" width="15.28515625" customWidth="1"/>
    <col min="2" max="2" width="12.42578125" bestFit="1" customWidth="1"/>
    <col min="3" max="3" width="11.28515625" bestFit="1" customWidth="1"/>
    <col min="5" max="5" width="15.42578125" customWidth="1"/>
    <col min="20" max="20" width="12.7109375" customWidth="1"/>
    <col min="61" max="61" width="13.140625" customWidth="1"/>
    <col min="62" max="62" width="14" customWidth="1"/>
  </cols>
  <sheetData>
    <row r="1" spans="1:97" x14ac:dyDescent="0.25">
      <c r="B1" s="1">
        <v>44776.000694444447</v>
      </c>
      <c r="C1" s="1">
        <v>44776.011111111111</v>
      </c>
      <c r="D1" s="1">
        <v>44776.021527777775</v>
      </c>
      <c r="E1" s="1">
        <v>44776.031944444447</v>
      </c>
      <c r="F1" s="1">
        <v>44776.042361111111</v>
      </c>
      <c r="G1" s="1">
        <v>44776.052777777775</v>
      </c>
      <c r="H1" s="1">
        <v>44776.063194444447</v>
      </c>
      <c r="I1" s="1">
        <v>44776.073611111111</v>
      </c>
      <c r="J1" s="1">
        <v>44776.084027777775</v>
      </c>
      <c r="K1" s="1">
        <v>44776.094444444447</v>
      </c>
      <c r="L1" s="1">
        <v>44776.104861111111</v>
      </c>
      <c r="M1" s="1">
        <v>44776.115277777775</v>
      </c>
      <c r="N1" s="1">
        <v>44776.125694444447</v>
      </c>
      <c r="O1" s="1">
        <v>44776.136111111111</v>
      </c>
      <c r="P1" s="1">
        <v>44776.146527777775</v>
      </c>
      <c r="Q1" s="1">
        <v>44776.156944444447</v>
      </c>
      <c r="R1" s="1">
        <v>44776.167361111111</v>
      </c>
      <c r="S1" s="1">
        <v>44776.177777777775</v>
      </c>
      <c r="T1" s="1">
        <v>44776.188194444447</v>
      </c>
      <c r="U1" s="1">
        <v>44776.198611111111</v>
      </c>
      <c r="V1" s="1">
        <v>44776.209027777775</v>
      </c>
      <c r="W1" s="1">
        <v>44776.219444444447</v>
      </c>
      <c r="X1" s="1">
        <v>44776.229861111111</v>
      </c>
      <c r="Y1" s="1">
        <v>44776.240277777775</v>
      </c>
      <c r="Z1" s="1">
        <v>44776.250694444447</v>
      </c>
      <c r="AA1" s="1">
        <v>44776.261111111111</v>
      </c>
      <c r="AB1" s="1">
        <v>44776.271527777775</v>
      </c>
      <c r="AC1" s="1">
        <v>44776.281944444447</v>
      </c>
      <c r="AD1" s="1">
        <v>44776.292361111111</v>
      </c>
      <c r="AE1" s="1">
        <v>44776.302777777775</v>
      </c>
      <c r="AF1" s="1">
        <v>44776.313194444447</v>
      </c>
      <c r="AG1" s="1">
        <v>44776.323611111111</v>
      </c>
      <c r="AH1" s="1">
        <v>44776.334027777775</v>
      </c>
      <c r="AI1" s="1">
        <v>44776.344444444447</v>
      </c>
      <c r="AJ1" s="1">
        <v>44776.354861111111</v>
      </c>
      <c r="AK1" s="1">
        <v>44776.365277777775</v>
      </c>
      <c r="AL1" s="1">
        <v>44776.375694444447</v>
      </c>
      <c r="AM1" s="1">
        <v>44776.386111111111</v>
      </c>
      <c r="AN1" s="1">
        <v>44776.396527777775</v>
      </c>
      <c r="AO1" s="1">
        <v>44776.406944444447</v>
      </c>
      <c r="AP1" s="1">
        <v>44776.417361111111</v>
      </c>
      <c r="AQ1" s="1">
        <v>44776.427777777775</v>
      </c>
      <c r="AR1" s="1">
        <v>44776.438194444447</v>
      </c>
      <c r="AS1" s="1">
        <v>44776.448611111111</v>
      </c>
      <c r="AT1" s="1">
        <v>44776.459027777775</v>
      </c>
      <c r="AU1" s="1">
        <v>44776.469444444447</v>
      </c>
      <c r="AV1" s="1">
        <v>44776.479861111111</v>
      </c>
      <c r="AW1" s="1">
        <v>44776.490277777775</v>
      </c>
      <c r="AX1" s="1">
        <v>44776.500694444447</v>
      </c>
      <c r="AY1" s="1">
        <v>44776.511111111111</v>
      </c>
      <c r="AZ1" s="1">
        <v>44776.521527777775</v>
      </c>
      <c r="BA1" s="1">
        <v>44776.531944444447</v>
      </c>
      <c r="BB1" s="1">
        <v>44776.542361111111</v>
      </c>
      <c r="BC1" s="1">
        <v>44776.552777777775</v>
      </c>
      <c r="BD1" s="1">
        <v>44776.563194444447</v>
      </c>
      <c r="BE1" s="1">
        <v>44776.573611111111</v>
      </c>
      <c r="BF1" s="1">
        <v>44776.584027777775</v>
      </c>
      <c r="BG1" s="1">
        <v>44776.594444444447</v>
      </c>
      <c r="BH1" s="1">
        <v>44776.604861111111</v>
      </c>
      <c r="BI1" s="1">
        <v>44776.615277777775</v>
      </c>
      <c r="BJ1" s="1">
        <v>44776.625694444447</v>
      </c>
      <c r="BK1" s="1">
        <v>44776.636111111111</v>
      </c>
      <c r="BL1" s="1">
        <v>44776.646527777775</v>
      </c>
      <c r="BM1" s="1">
        <v>44776.656944444447</v>
      </c>
      <c r="BN1" s="1">
        <v>44776.667361111111</v>
      </c>
      <c r="BO1" s="1">
        <v>44776.677777777775</v>
      </c>
      <c r="BP1" s="1">
        <v>44776.688194444447</v>
      </c>
      <c r="BQ1" s="1">
        <v>44776.698611111111</v>
      </c>
      <c r="BR1" s="1">
        <v>44776.709027777775</v>
      </c>
      <c r="BS1" s="1">
        <v>44776.719444444447</v>
      </c>
      <c r="BT1" s="1">
        <v>44776.729861111111</v>
      </c>
      <c r="BU1" s="1">
        <v>44776.740277777775</v>
      </c>
      <c r="BV1" s="1">
        <v>44776.750694444447</v>
      </c>
      <c r="BW1" s="1">
        <v>44776.761111111111</v>
      </c>
      <c r="BX1" s="1">
        <v>44776.771527777775</v>
      </c>
      <c r="BY1" s="1">
        <v>44776.781944444447</v>
      </c>
      <c r="BZ1" s="1">
        <v>44776.792361111111</v>
      </c>
      <c r="CA1" s="1">
        <v>44776.802777777775</v>
      </c>
      <c r="CB1" s="1">
        <v>44776.813194444447</v>
      </c>
      <c r="CC1" s="1">
        <v>44776.823611111111</v>
      </c>
      <c r="CD1" s="1">
        <v>44776.834027777775</v>
      </c>
      <c r="CE1" s="1">
        <v>44776.844444444447</v>
      </c>
      <c r="CF1" s="1">
        <v>44776.854861111111</v>
      </c>
      <c r="CG1" s="1">
        <v>44776.865277777775</v>
      </c>
      <c r="CH1" s="1">
        <v>44776.875694444447</v>
      </c>
      <c r="CI1" s="1">
        <v>44776.917361111111</v>
      </c>
      <c r="CJ1" s="1">
        <v>44776.948611111111</v>
      </c>
      <c r="CK1" s="1">
        <v>44776.959027777775</v>
      </c>
      <c r="CL1" s="1">
        <v>44776.969444444447</v>
      </c>
      <c r="CM1" s="1">
        <v>44776.979861111111</v>
      </c>
      <c r="CN1" s="1">
        <v>44776.990277777775</v>
      </c>
      <c r="CO1" s="1">
        <v>44777.000694444447</v>
      </c>
      <c r="CP1" s="1"/>
      <c r="CQ1" s="1"/>
      <c r="CR1" s="1"/>
      <c r="CS1" s="1"/>
    </row>
    <row r="2" spans="1:97" x14ac:dyDescent="0.25">
      <c r="A2" t="s">
        <v>0</v>
      </c>
      <c r="B2">
        <v>4.72493501979047E-3</v>
      </c>
      <c r="C2">
        <v>5.9080932990375999E-3</v>
      </c>
      <c r="D2">
        <v>5.2272819387848401E-3</v>
      </c>
      <c r="E2">
        <v>4.9882124907063901E-3</v>
      </c>
      <c r="F2">
        <v>4.8852013177561803E-3</v>
      </c>
      <c r="G2">
        <v>4.3786911798838202E-3</v>
      </c>
      <c r="H2">
        <v>4.9065540109016698E-3</v>
      </c>
      <c r="I2">
        <v>5.1795706540441197E-3</v>
      </c>
      <c r="J2">
        <v>5.1838945078037397E-3</v>
      </c>
      <c r="K2">
        <v>5.1579356013428598E-3</v>
      </c>
      <c r="L2">
        <v>5.5134044859722203E-3</v>
      </c>
      <c r="M2">
        <v>4.6433740083373599E-3</v>
      </c>
      <c r="N2">
        <v>5.5133584286502198E-3</v>
      </c>
      <c r="O2">
        <v>4.8111125577186397E-3</v>
      </c>
      <c r="P2">
        <v>5.2924350194823002E-3</v>
      </c>
      <c r="Q2">
        <v>4.97045783663132E-3</v>
      </c>
      <c r="R2">
        <v>4.7448343141915997E-3</v>
      </c>
      <c r="S2">
        <v>5.2742206663421503E-3</v>
      </c>
      <c r="T2">
        <v>4.4034232006958801E-3</v>
      </c>
      <c r="U2">
        <v>4.8714794355731103E-3</v>
      </c>
      <c r="V2">
        <v>4.9435552234350696E-3</v>
      </c>
      <c r="W2">
        <v>4.6567904220333797E-3</v>
      </c>
      <c r="X2">
        <v>4.2883924990982604E-3</v>
      </c>
      <c r="Y2">
        <v>4.7192244406869298E-3</v>
      </c>
      <c r="Z2">
        <v>4.6534564902612104E-3</v>
      </c>
      <c r="AA2">
        <v>4.5829697763156499E-3</v>
      </c>
      <c r="AB2">
        <v>4.5724315002559999E-3</v>
      </c>
      <c r="AC2">
        <v>4.31057046868969E-3</v>
      </c>
      <c r="AD2">
        <v>4.53774886294896E-3</v>
      </c>
      <c r="AE2">
        <v>5.0683901080002501E-3</v>
      </c>
      <c r="AF2">
        <v>4.0429763053656202E-3</v>
      </c>
      <c r="AG2">
        <v>4.3783917311043998E-3</v>
      </c>
      <c r="AH2">
        <v>5.1007733254776599E-3</v>
      </c>
      <c r="AI2">
        <v>4.4606964750532998E-3</v>
      </c>
      <c r="AJ2">
        <v>4.54469863922224E-3</v>
      </c>
      <c r="AK2">
        <v>4.1333156360686199E-3</v>
      </c>
      <c r="AL2">
        <v>4.1052879251853996E-3</v>
      </c>
      <c r="AM2">
        <v>4.8829420946174696E-3</v>
      </c>
      <c r="AN2">
        <v>5.0312525583238298E-3</v>
      </c>
      <c r="AO2">
        <v>4.4352868707535102E-3</v>
      </c>
      <c r="AP2">
        <v>5.58799001976282E-3</v>
      </c>
      <c r="AQ2">
        <v>4.2935529585714704E-3</v>
      </c>
      <c r="AR2">
        <v>4.5211171894376E-3</v>
      </c>
      <c r="AS2">
        <v>4.54216900762073E-3</v>
      </c>
      <c r="AT2">
        <v>4.1944596429758603E-3</v>
      </c>
      <c r="AU2">
        <v>5.2768368426459296E-3</v>
      </c>
      <c r="AV2">
        <v>4.77419552405283E-3</v>
      </c>
      <c r="AW2">
        <v>4.5314965604311497E-3</v>
      </c>
      <c r="AX2">
        <v>5.4127270815357703E-3</v>
      </c>
      <c r="AY2">
        <v>4.4244180113223799E-3</v>
      </c>
      <c r="AZ2">
        <v>4.7147288279489902E-3</v>
      </c>
      <c r="BA2">
        <v>5.0710164192992197E-3</v>
      </c>
      <c r="BB2">
        <v>5.18313137787485E-3</v>
      </c>
      <c r="BC2">
        <v>4.3036763203625397E-3</v>
      </c>
      <c r="BD2">
        <v>4.0757354581132197E-3</v>
      </c>
      <c r="BE2">
        <v>5.5064783724160203E-3</v>
      </c>
      <c r="BF2">
        <v>5.1479568307285697E-3</v>
      </c>
      <c r="BG2">
        <v>5.9974679335504499E-3</v>
      </c>
      <c r="BH2">
        <v>7.9770674714478799E-3</v>
      </c>
      <c r="BI2">
        <v>1.22135440117466E-2</v>
      </c>
      <c r="BJ2">
        <v>2.69809798557826E-2</v>
      </c>
      <c r="BK2">
        <v>8.1662849105745405E-3</v>
      </c>
      <c r="BL2">
        <v>6.8266278223056099E-3</v>
      </c>
      <c r="BM2">
        <v>6.4727926153022204E-3</v>
      </c>
      <c r="BN2">
        <v>5.7809178378487999E-3</v>
      </c>
      <c r="BO2">
        <v>6.4836393656067396E-3</v>
      </c>
      <c r="BP2">
        <v>6.6075992529795102E-3</v>
      </c>
      <c r="BQ2">
        <v>6.0832772841109203E-3</v>
      </c>
      <c r="BR2">
        <v>6.3088260072390497E-3</v>
      </c>
      <c r="BS2">
        <v>5.9571698677248304E-3</v>
      </c>
      <c r="BT2">
        <v>5.4649038706699703E-3</v>
      </c>
      <c r="BU2">
        <v>5.2978961488506201E-3</v>
      </c>
      <c r="BV2">
        <v>5.0415925855331802E-3</v>
      </c>
      <c r="BW2">
        <v>4.9306651923876899E-3</v>
      </c>
      <c r="BX2">
        <v>5.6762244045783497E-3</v>
      </c>
      <c r="BY2">
        <v>5.2668606067838401E-3</v>
      </c>
      <c r="BZ2">
        <v>6.89801164039052E-3</v>
      </c>
      <c r="CA2">
        <v>5.6879338373121199E-3</v>
      </c>
      <c r="CB2">
        <v>6.1043191283339801E-3</v>
      </c>
      <c r="CC2">
        <v>6.64528256623947E-3</v>
      </c>
      <c r="CD2">
        <v>7.6542420936653198E-3</v>
      </c>
      <c r="CE2">
        <v>8.2870371510959696E-3</v>
      </c>
      <c r="CF2">
        <v>8.1898275615383005E-3</v>
      </c>
      <c r="CG2">
        <v>7.5970521627335098E-3</v>
      </c>
      <c r="CH2">
        <v>7.5256553215716903E-3</v>
      </c>
      <c r="CI2">
        <v>9.4962741129965104E-3</v>
      </c>
      <c r="CJ2">
        <v>9.1693908812204294E-3</v>
      </c>
      <c r="CK2">
        <v>9.3812702388779007E-3</v>
      </c>
      <c r="CL2">
        <v>9.1824897445934705E-3</v>
      </c>
      <c r="CM2">
        <v>8.3666753626787903E-3</v>
      </c>
      <c r="CN2">
        <v>1.0108519711296501E-2</v>
      </c>
      <c r="CO2">
        <v>8.4623171262878001E-3</v>
      </c>
    </row>
    <row r="3" spans="1:97" x14ac:dyDescent="0.25">
      <c r="A3" t="s">
        <v>1</v>
      </c>
      <c r="B3">
        <v>3.4027050362627001E-3</v>
      </c>
      <c r="C3">
        <v>3.9611210731770501E-3</v>
      </c>
      <c r="D3">
        <v>3.69910835302871E-3</v>
      </c>
      <c r="E3">
        <v>3.5504614349576402E-3</v>
      </c>
      <c r="F3">
        <v>3.3808673777508099E-3</v>
      </c>
      <c r="G3">
        <v>3.2194238707095001E-3</v>
      </c>
      <c r="H3">
        <v>3.4131376229053498E-3</v>
      </c>
      <c r="I3">
        <v>3.4390121984034798E-3</v>
      </c>
      <c r="J3">
        <v>3.4983775909583001E-3</v>
      </c>
      <c r="K3">
        <v>3.4988852182378598E-3</v>
      </c>
      <c r="L3">
        <v>3.5459010451820401E-3</v>
      </c>
      <c r="M3">
        <v>3.6479881909463E-3</v>
      </c>
      <c r="N3">
        <v>3.5865695793972298E-3</v>
      </c>
      <c r="O3">
        <v>3.50458942567698E-3</v>
      </c>
      <c r="P3">
        <v>3.4942895915686602E-3</v>
      </c>
      <c r="Q3">
        <v>3.5059863005916102E-3</v>
      </c>
      <c r="R3">
        <v>3.5008475767212398E-3</v>
      </c>
      <c r="S3">
        <v>3.4826574196849401E-3</v>
      </c>
      <c r="T3">
        <v>3.3217964935261602E-3</v>
      </c>
      <c r="U3">
        <v>3.09611537472214E-3</v>
      </c>
      <c r="V3">
        <v>3.3046928170169399E-3</v>
      </c>
      <c r="W3">
        <v>3.1303825454828799E-3</v>
      </c>
      <c r="X3">
        <v>3.1158178762494999E-3</v>
      </c>
      <c r="Y3">
        <v>3.1507357143545898E-3</v>
      </c>
      <c r="Z3">
        <v>3.1626293992731498E-3</v>
      </c>
      <c r="AA3">
        <v>3.2063621356524402E-3</v>
      </c>
      <c r="AB3">
        <v>3.1978790185081302E-3</v>
      </c>
      <c r="AC3">
        <v>3.0859921491242E-3</v>
      </c>
      <c r="AD3">
        <v>3.1867767964473899E-3</v>
      </c>
      <c r="AE3">
        <v>3.1269177965095899E-3</v>
      </c>
      <c r="AF3">
        <v>3.0047625132307498E-3</v>
      </c>
      <c r="AG3">
        <v>3.0845282317074701E-3</v>
      </c>
      <c r="AH3">
        <v>3.2284160690873001E-3</v>
      </c>
      <c r="AI3">
        <v>3.1344714510352801E-3</v>
      </c>
      <c r="AJ3">
        <v>3.0257630164769499E-3</v>
      </c>
      <c r="AK3">
        <v>3.06269130441822E-3</v>
      </c>
      <c r="AL3">
        <v>3.2005695251267601E-3</v>
      </c>
      <c r="AM3">
        <v>3.3721951965185299E-3</v>
      </c>
      <c r="AN3">
        <v>3.3385443179660699E-3</v>
      </c>
      <c r="AO3">
        <v>3.2173810252622099E-3</v>
      </c>
      <c r="AP3">
        <v>3.54937695823704E-3</v>
      </c>
      <c r="AQ3">
        <v>3.2107276054655701E-3</v>
      </c>
      <c r="AR3">
        <v>3.0570122083748699E-3</v>
      </c>
      <c r="AS3">
        <v>3.11278768895464E-3</v>
      </c>
      <c r="AT3">
        <v>3.0779758411350199E-3</v>
      </c>
      <c r="AU3">
        <v>3.18245037297609E-3</v>
      </c>
      <c r="AV3">
        <v>3.3463123344295099E-3</v>
      </c>
      <c r="AW3">
        <v>3.0787027843648899E-3</v>
      </c>
      <c r="AX3">
        <v>3.1191855056651599E-3</v>
      </c>
      <c r="AY3">
        <v>3.1205321450327602E-3</v>
      </c>
      <c r="AZ3">
        <v>3.24635122069543E-3</v>
      </c>
      <c r="BA3">
        <v>3.16312731298356E-3</v>
      </c>
      <c r="BB3">
        <v>3.0165882658100499E-3</v>
      </c>
      <c r="BC3">
        <v>3.1473842203838501E-3</v>
      </c>
      <c r="BD3">
        <v>3.0712772232709398E-3</v>
      </c>
      <c r="BE3">
        <v>3.0191745559431998E-3</v>
      </c>
      <c r="BF3">
        <v>3.04950153839622E-3</v>
      </c>
      <c r="BG3">
        <v>3.4734510222078799E-3</v>
      </c>
      <c r="BH3">
        <v>3.7213839137504E-3</v>
      </c>
      <c r="BI3">
        <v>7.0785618369847599E-3</v>
      </c>
      <c r="BJ3">
        <v>1.7871787179046798E-2</v>
      </c>
      <c r="BK3">
        <v>6.2400406140930703E-3</v>
      </c>
      <c r="BL3">
        <v>5.1021912122990298E-3</v>
      </c>
      <c r="BM3">
        <v>4.4259698261189997E-3</v>
      </c>
      <c r="BN3">
        <v>4.5466492856802597E-3</v>
      </c>
      <c r="BO3">
        <v>4.9431704551744201E-3</v>
      </c>
      <c r="BP3">
        <v>4.82417553818895E-3</v>
      </c>
      <c r="BQ3">
        <v>4.5774732533160299E-3</v>
      </c>
      <c r="BR3">
        <v>4.6970120970140699E-3</v>
      </c>
      <c r="BS3">
        <v>4.4811829002478201E-3</v>
      </c>
      <c r="BT3">
        <v>4.0488722006508304E-3</v>
      </c>
      <c r="BU3">
        <v>3.9137423495688804E-3</v>
      </c>
      <c r="BV3">
        <v>3.70670877951339E-3</v>
      </c>
      <c r="BW3">
        <v>3.4755260482236898E-3</v>
      </c>
      <c r="BX3">
        <v>3.51606383823224E-3</v>
      </c>
      <c r="BY3">
        <v>3.6678498572765201E-3</v>
      </c>
      <c r="BZ3">
        <v>4.0046827150365298E-3</v>
      </c>
      <c r="CA3">
        <v>3.9116987625904204E-3</v>
      </c>
      <c r="CB3">
        <v>4.0725722580348296E-3</v>
      </c>
      <c r="CC3">
        <v>4.5546665318697502E-3</v>
      </c>
      <c r="CD3">
        <v>5.0205926300222296E-3</v>
      </c>
      <c r="CE3">
        <v>5.3458370909438297E-3</v>
      </c>
      <c r="CF3">
        <v>5.5129999194580498E-3</v>
      </c>
      <c r="CG3">
        <v>5.9215686715830603E-3</v>
      </c>
      <c r="CH3">
        <v>5.7544755782348604E-3</v>
      </c>
      <c r="CI3">
        <v>6.8802496325147599E-3</v>
      </c>
      <c r="CJ3">
        <v>6.5992067344057799E-3</v>
      </c>
      <c r="CK3">
        <v>7.0058666944694701E-3</v>
      </c>
      <c r="CL3">
        <v>6.8967612462587403E-3</v>
      </c>
      <c r="CM3">
        <v>6.2248819210360901E-3</v>
      </c>
      <c r="CN3">
        <v>6.7422041083178997E-3</v>
      </c>
      <c r="CO3">
        <v>6.4249466090640604E-3</v>
      </c>
    </row>
    <row r="4" spans="1:97" x14ac:dyDescent="0.25">
      <c r="A4" t="s">
        <v>2</v>
      </c>
      <c r="B4">
        <v>3.3469104339062801E-3</v>
      </c>
      <c r="C4">
        <v>3.8794723008982201E-3</v>
      </c>
      <c r="D4">
        <v>3.5920067148059501E-3</v>
      </c>
      <c r="E4">
        <v>3.4827847935612198E-3</v>
      </c>
      <c r="F4">
        <v>3.24276070019261E-3</v>
      </c>
      <c r="G4">
        <v>3.1075912604558299E-3</v>
      </c>
      <c r="H4">
        <v>3.25792731171826E-3</v>
      </c>
      <c r="I4">
        <v>3.3396725385032898E-3</v>
      </c>
      <c r="J4">
        <v>3.3624573907033101E-3</v>
      </c>
      <c r="K4">
        <v>3.4409034519958101E-3</v>
      </c>
      <c r="L4">
        <v>3.41615195599492E-3</v>
      </c>
      <c r="M4">
        <v>3.6122735824117998E-3</v>
      </c>
      <c r="N4">
        <v>3.5139744744154102E-3</v>
      </c>
      <c r="O4">
        <v>3.3750150788126199E-3</v>
      </c>
      <c r="P4">
        <v>3.4601076726499102E-3</v>
      </c>
      <c r="Q4">
        <v>3.3943960727518198E-3</v>
      </c>
      <c r="R4">
        <v>3.43870520388699E-3</v>
      </c>
      <c r="S4">
        <v>3.3951797823228002E-3</v>
      </c>
      <c r="T4">
        <v>3.3008969401031301E-3</v>
      </c>
      <c r="U4">
        <v>3.06024003622932E-3</v>
      </c>
      <c r="V4">
        <v>3.1812308528858298E-3</v>
      </c>
      <c r="W4">
        <v>3.1354215951794398E-3</v>
      </c>
      <c r="X4">
        <v>3.0198700416013699E-3</v>
      </c>
      <c r="Y4">
        <v>3.0694585807306799E-3</v>
      </c>
      <c r="Z4">
        <v>3.1308059261487401E-3</v>
      </c>
      <c r="AA4">
        <v>3.1449328915076199E-3</v>
      </c>
      <c r="AB4">
        <v>3.1478332985176499E-3</v>
      </c>
      <c r="AC4">
        <v>3.0350274951524698E-3</v>
      </c>
      <c r="AD4">
        <v>3.08549419599279E-3</v>
      </c>
      <c r="AE4">
        <v>3.05134381252405E-3</v>
      </c>
      <c r="AF4">
        <v>2.97552245648292E-3</v>
      </c>
      <c r="AG4">
        <v>3.0296896134415401E-3</v>
      </c>
      <c r="AH4">
        <v>3.1890473700073702E-3</v>
      </c>
      <c r="AI4">
        <v>3.0598614152375098E-3</v>
      </c>
      <c r="AJ4">
        <v>2.9069860565559898E-3</v>
      </c>
      <c r="AK4">
        <v>3.0267538592852398E-3</v>
      </c>
      <c r="AL4">
        <v>3.0560099818895698E-3</v>
      </c>
      <c r="AM4">
        <v>3.2967714609020201E-3</v>
      </c>
      <c r="AN4">
        <v>3.1585766960186301E-3</v>
      </c>
      <c r="AO4">
        <v>3.12917403694868E-3</v>
      </c>
      <c r="AP4">
        <v>3.4090478849179602E-3</v>
      </c>
      <c r="AQ4">
        <v>3.1763265350402401E-3</v>
      </c>
      <c r="AR4">
        <v>2.9977423109186501E-3</v>
      </c>
      <c r="AS4">
        <v>3.03542030804248E-3</v>
      </c>
      <c r="AT4">
        <v>2.9363750464641799E-3</v>
      </c>
      <c r="AU4">
        <v>3.05971695531379E-3</v>
      </c>
      <c r="AV4">
        <v>3.2461020992476199E-3</v>
      </c>
      <c r="AW4">
        <v>2.9690729724176201E-3</v>
      </c>
      <c r="AX4">
        <v>3.0870128979799201E-3</v>
      </c>
      <c r="AY4">
        <v>3.0235764539403298E-3</v>
      </c>
      <c r="AZ4">
        <v>3.1890026060680302E-3</v>
      </c>
      <c r="BA4">
        <v>3.0456696961983498E-3</v>
      </c>
      <c r="BB4">
        <v>2.8961384909367799E-3</v>
      </c>
      <c r="BC4">
        <v>3.0661482858841201E-3</v>
      </c>
      <c r="BD4">
        <v>3.0431546893969299E-3</v>
      </c>
      <c r="BE4">
        <v>3.0290531155669899E-3</v>
      </c>
      <c r="BF4">
        <v>2.9321358199564901E-3</v>
      </c>
      <c r="BG4">
        <v>3.3523663235753699E-3</v>
      </c>
      <c r="BH4">
        <v>3.6147975758465001E-3</v>
      </c>
      <c r="BI4">
        <v>6.9327851518867899E-3</v>
      </c>
      <c r="BJ4">
        <v>1.82855690728208E-2</v>
      </c>
      <c r="BK4">
        <v>6.15372030279042E-3</v>
      </c>
      <c r="BL4">
        <v>5.0363197543876401E-3</v>
      </c>
      <c r="BM4">
        <v>4.34990010647795E-3</v>
      </c>
      <c r="BN4">
        <v>4.5063889039995697E-3</v>
      </c>
      <c r="BO4">
        <v>4.8509673890584802E-3</v>
      </c>
      <c r="BP4">
        <v>4.8688262623181001E-3</v>
      </c>
      <c r="BQ4">
        <v>4.51773909882965E-3</v>
      </c>
      <c r="BR4">
        <v>4.6893629915007798E-3</v>
      </c>
      <c r="BS4">
        <v>4.4318146038943001E-3</v>
      </c>
      <c r="BT4">
        <v>4.0135583271381598E-3</v>
      </c>
      <c r="BU4">
        <v>3.9007273898934102E-3</v>
      </c>
      <c r="BV4">
        <v>3.6510415656582302E-3</v>
      </c>
      <c r="BW4">
        <v>3.4069469797236799E-3</v>
      </c>
      <c r="BX4">
        <v>3.3399678064806298E-3</v>
      </c>
      <c r="BY4">
        <v>3.5777539109062601E-3</v>
      </c>
      <c r="BZ4">
        <v>3.9559152189762702E-3</v>
      </c>
      <c r="CA4">
        <v>3.8426344949460201E-3</v>
      </c>
      <c r="CB4">
        <v>3.9732544154585598E-3</v>
      </c>
      <c r="CC4">
        <v>4.3890549823030504E-3</v>
      </c>
      <c r="CD4">
        <v>4.9999675183426198E-3</v>
      </c>
      <c r="CE4">
        <v>5.1939103337743696E-3</v>
      </c>
      <c r="CF4">
        <v>5.5221011923079601E-3</v>
      </c>
      <c r="CG4">
        <v>6.0017891587935404E-3</v>
      </c>
      <c r="CH4">
        <v>5.7289590045294797E-3</v>
      </c>
      <c r="CI4">
        <v>6.7563480651220897E-3</v>
      </c>
      <c r="CJ4">
        <v>6.3839259719051904E-3</v>
      </c>
      <c r="CK4">
        <v>6.9597686736329401E-3</v>
      </c>
      <c r="CL4">
        <v>6.8495131508452796E-3</v>
      </c>
      <c r="CM4">
        <v>6.1843417504239698E-3</v>
      </c>
      <c r="CN4">
        <v>6.5224122478399101E-3</v>
      </c>
      <c r="CO4">
        <v>6.3540000138908696E-3</v>
      </c>
    </row>
    <row r="5" spans="1:97" x14ac:dyDescent="0.2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1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</row>
    <row r="6" spans="1:97" x14ac:dyDescent="0.25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1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1</v>
      </c>
      <c r="BI6">
        <v>6</v>
      </c>
      <c r="BJ6">
        <v>42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2</v>
      </c>
      <c r="CL6">
        <v>0</v>
      </c>
      <c r="CM6">
        <v>0</v>
      </c>
      <c r="CN6">
        <v>0</v>
      </c>
      <c r="CO6">
        <v>0</v>
      </c>
    </row>
    <row r="7" spans="1:97" x14ac:dyDescent="0.25">
      <c r="A7" t="s">
        <v>5</v>
      </c>
      <c r="B7">
        <v>3</v>
      </c>
      <c r="C7">
        <v>5</v>
      </c>
      <c r="D7">
        <v>6</v>
      </c>
      <c r="E7">
        <v>3</v>
      </c>
      <c r="F7">
        <v>9</v>
      </c>
      <c r="G7">
        <v>4</v>
      </c>
      <c r="H7">
        <v>7</v>
      </c>
      <c r="I7">
        <v>9</v>
      </c>
      <c r="J7">
        <v>6</v>
      </c>
      <c r="K7">
        <v>4</v>
      </c>
      <c r="L7">
        <v>9</v>
      </c>
      <c r="M7">
        <v>2</v>
      </c>
      <c r="N7">
        <v>1</v>
      </c>
      <c r="O7">
        <v>3</v>
      </c>
      <c r="P7">
        <v>3</v>
      </c>
      <c r="Q7">
        <v>4</v>
      </c>
      <c r="R7">
        <v>6</v>
      </c>
      <c r="S7">
        <v>11</v>
      </c>
      <c r="T7">
        <v>3</v>
      </c>
      <c r="U7">
        <v>1</v>
      </c>
      <c r="V7">
        <v>8</v>
      </c>
      <c r="W7">
        <v>4</v>
      </c>
      <c r="X7">
        <v>1</v>
      </c>
      <c r="Y7">
        <v>3</v>
      </c>
      <c r="Z7">
        <v>7</v>
      </c>
      <c r="AA7">
        <v>2</v>
      </c>
      <c r="AB7">
        <v>1</v>
      </c>
      <c r="AC7">
        <v>4</v>
      </c>
      <c r="AD7">
        <v>4</v>
      </c>
      <c r="AE7">
        <v>5</v>
      </c>
      <c r="AF7">
        <v>1</v>
      </c>
      <c r="AG7">
        <v>4</v>
      </c>
      <c r="AH7">
        <v>4</v>
      </c>
      <c r="AI7">
        <v>0</v>
      </c>
      <c r="AJ7">
        <v>4</v>
      </c>
      <c r="AK7">
        <v>5</v>
      </c>
      <c r="AL7">
        <v>3</v>
      </c>
      <c r="AM7">
        <v>3</v>
      </c>
      <c r="AN7">
        <v>3</v>
      </c>
      <c r="AO7">
        <v>1</v>
      </c>
      <c r="AP7">
        <v>8</v>
      </c>
      <c r="AQ7">
        <v>0</v>
      </c>
      <c r="AR7">
        <v>3</v>
      </c>
      <c r="AS7">
        <v>2</v>
      </c>
      <c r="AT7">
        <v>2</v>
      </c>
      <c r="AU7">
        <v>4</v>
      </c>
      <c r="AV7">
        <v>7</v>
      </c>
      <c r="AW7">
        <v>0</v>
      </c>
      <c r="AX7">
        <v>6</v>
      </c>
      <c r="AY7">
        <v>2</v>
      </c>
      <c r="AZ7">
        <v>3</v>
      </c>
      <c r="BA7">
        <v>5</v>
      </c>
      <c r="BB7">
        <v>1</v>
      </c>
      <c r="BC7">
        <v>3</v>
      </c>
      <c r="BD7">
        <v>1</v>
      </c>
      <c r="BE7">
        <v>7</v>
      </c>
      <c r="BF7">
        <v>3</v>
      </c>
      <c r="BG7">
        <v>16</v>
      </c>
      <c r="BH7">
        <v>30</v>
      </c>
      <c r="BI7">
        <v>113</v>
      </c>
      <c r="BJ7">
        <v>644</v>
      </c>
      <c r="BK7">
        <v>6</v>
      </c>
      <c r="BL7">
        <v>2</v>
      </c>
      <c r="BM7">
        <v>5</v>
      </c>
      <c r="BN7">
        <v>1</v>
      </c>
      <c r="BO7">
        <v>0</v>
      </c>
      <c r="BP7">
        <v>1</v>
      </c>
      <c r="BQ7">
        <v>3</v>
      </c>
      <c r="BR7">
        <v>2</v>
      </c>
      <c r="BS7">
        <v>5</v>
      </c>
      <c r="BT7">
        <v>0</v>
      </c>
      <c r="BU7">
        <v>1</v>
      </c>
      <c r="BV7">
        <v>2</v>
      </c>
      <c r="BW7">
        <v>4</v>
      </c>
      <c r="BX7">
        <v>3</v>
      </c>
      <c r="BY7">
        <v>2</v>
      </c>
      <c r="BZ7">
        <v>10</v>
      </c>
      <c r="CA7">
        <v>3</v>
      </c>
      <c r="CB7">
        <v>5</v>
      </c>
      <c r="CC7">
        <v>9</v>
      </c>
      <c r="CD7">
        <v>15</v>
      </c>
      <c r="CE7">
        <v>10</v>
      </c>
      <c r="CF7">
        <v>10</v>
      </c>
      <c r="CG7">
        <v>16</v>
      </c>
      <c r="CH7">
        <v>11</v>
      </c>
      <c r="CI7">
        <v>15</v>
      </c>
      <c r="CJ7">
        <v>23</v>
      </c>
      <c r="CK7">
        <v>17</v>
      </c>
      <c r="CL7">
        <v>18</v>
      </c>
      <c r="CM7">
        <v>6</v>
      </c>
      <c r="CN7">
        <v>16</v>
      </c>
      <c r="CO7">
        <v>8</v>
      </c>
    </row>
    <row r="8" spans="1:97" x14ac:dyDescent="0.25">
      <c r="A8" t="s">
        <v>6</v>
      </c>
      <c r="B8">
        <v>154</v>
      </c>
      <c r="C8">
        <v>271</v>
      </c>
      <c r="D8">
        <v>232</v>
      </c>
      <c r="E8">
        <v>226</v>
      </c>
      <c r="F8">
        <v>198</v>
      </c>
      <c r="G8">
        <v>200</v>
      </c>
      <c r="H8">
        <v>259</v>
      </c>
      <c r="I8">
        <v>231</v>
      </c>
      <c r="J8">
        <v>202</v>
      </c>
      <c r="K8">
        <v>206</v>
      </c>
      <c r="L8">
        <v>200</v>
      </c>
      <c r="M8">
        <v>217</v>
      </c>
      <c r="N8">
        <v>183</v>
      </c>
      <c r="O8">
        <v>166</v>
      </c>
      <c r="P8">
        <v>178</v>
      </c>
      <c r="Q8">
        <v>200</v>
      </c>
      <c r="R8">
        <v>184</v>
      </c>
      <c r="S8">
        <v>206</v>
      </c>
      <c r="T8">
        <v>174</v>
      </c>
      <c r="U8">
        <v>112</v>
      </c>
      <c r="V8">
        <v>195</v>
      </c>
      <c r="W8">
        <v>156</v>
      </c>
      <c r="X8">
        <v>145</v>
      </c>
      <c r="Y8">
        <v>139</v>
      </c>
      <c r="Z8">
        <v>145</v>
      </c>
      <c r="AA8">
        <v>191</v>
      </c>
      <c r="AB8">
        <v>203</v>
      </c>
      <c r="AC8">
        <v>150</v>
      </c>
      <c r="AD8">
        <v>179</v>
      </c>
      <c r="AE8">
        <v>126</v>
      </c>
      <c r="AF8">
        <v>190</v>
      </c>
      <c r="AG8">
        <v>152</v>
      </c>
      <c r="AH8">
        <v>174</v>
      </c>
      <c r="AI8">
        <v>151</v>
      </c>
      <c r="AJ8">
        <v>142</v>
      </c>
      <c r="AK8">
        <v>154</v>
      </c>
      <c r="AL8">
        <v>201</v>
      </c>
      <c r="AM8">
        <v>149</v>
      </c>
      <c r="AN8">
        <v>138</v>
      </c>
      <c r="AO8">
        <v>165</v>
      </c>
      <c r="AP8">
        <v>175</v>
      </c>
      <c r="AQ8">
        <v>166</v>
      </c>
      <c r="AR8">
        <v>132</v>
      </c>
      <c r="AS8">
        <v>159</v>
      </c>
      <c r="AT8">
        <v>161</v>
      </c>
      <c r="AU8">
        <v>192</v>
      </c>
      <c r="AV8">
        <v>196</v>
      </c>
      <c r="AW8">
        <v>160</v>
      </c>
      <c r="AX8">
        <v>146</v>
      </c>
      <c r="AY8">
        <v>146</v>
      </c>
      <c r="AZ8">
        <v>174</v>
      </c>
      <c r="BA8">
        <v>202</v>
      </c>
      <c r="BB8">
        <v>175</v>
      </c>
      <c r="BC8">
        <v>168</v>
      </c>
      <c r="BD8">
        <v>159</v>
      </c>
      <c r="BE8">
        <v>145</v>
      </c>
      <c r="BF8">
        <v>125</v>
      </c>
      <c r="BG8">
        <v>307</v>
      </c>
      <c r="BH8">
        <v>376</v>
      </c>
      <c r="BI8">
        <v>1707</v>
      </c>
      <c r="BJ8">
        <v>7815</v>
      </c>
      <c r="BK8">
        <v>558</v>
      </c>
      <c r="BL8">
        <v>339</v>
      </c>
      <c r="BM8">
        <v>207</v>
      </c>
      <c r="BN8">
        <v>217</v>
      </c>
      <c r="BO8">
        <v>334</v>
      </c>
      <c r="BP8">
        <v>287</v>
      </c>
      <c r="BQ8">
        <v>221</v>
      </c>
      <c r="BR8">
        <v>312</v>
      </c>
      <c r="BS8">
        <v>222</v>
      </c>
      <c r="BT8">
        <v>181</v>
      </c>
      <c r="BU8">
        <v>163</v>
      </c>
      <c r="BV8">
        <v>134</v>
      </c>
      <c r="BW8">
        <v>124</v>
      </c>
      <c r="BX8">
        <v>167</v>
      </c>
      <c r="BY8">
        <v>146</v>
      </c>
      <c r="BZ8">
        <v>272</v>
      </c>
      <c r="CA8">
        <v>270</v>
      </c>
      <c r="CB8">
        <v>265</v>
      </c>
      <c r="CC8">
        <v>424</v>
      </c>
      <c r="CD8">
        <v>527</v>
      </c>
      <c r="CE8">
        <v>633</v>
      </c>
      <c r="CF8">
        <v>682</v>
      </c>
      <c r="CG8">
        <v>831</v>
      </c>
      <c r="CH8">
        <v>792</v>
      </c>
      <c r="CI8">
        <v>1011</v>
      </c>
      <c r="CJ8">
        <v>1020</v>
      </c>
      <c r="CK8">
        <v>1086</v>
      </c>
      <c r="CL8">
        <v>1064</v>
      </c>
      <c r="CM8">
        <v>733</v>
      </c>
      <c r="CN8">
        <v>977</v>
      </c>
      <c r="CO8">
        <v>821</v>
      </c>
    </row>
    <row r="9" spans="1:97" x14ac:dyDescent="0.25">
      <c r="A9" t="s">
        <v>7</v>
      </c>
      <c r="B9">
        <v>4224</v>
      </c>
      <c r="C9">
        <v>5311</v>
      </c>
      <c r="D9">
        <v>4229</v>
      </c>
      <c r="E9">
        <v>4153</v>
      </c>
      <c r="F9">
        <v>3495</v>
      </c>
      <c r="G9">
        <v>3406</v>
      </c>
      <c r="H9">
        <v>3528</v>
      </c>
      <c r="I9">
        <v>3601</v>
      </c>
      <c r="J9">
        <v>3900</v>
      </c>
      <c r="K9">
        <v>3864</v>
      </c>
      <c r="L9">
        <v>3931</v>
      </c>
      <c r="M9">
        <v>4120</v>
      </c>
      <c r="N9">
        <v>4312</v>
      </c>
      <c r="O9">
        <v>4270</v>
      </c>
      <c r="P9">
        <v>3763</v>
      </c>
      <c r="Q9">
        <v>3908</v>
      </c>
      <c r="R9">
        <v>3889</v>
      </c>
      <c r="S9">
        <v>3934</v>
      </c>
      <c r="T9">
        <v>3844</v>
      </c>
      <c r="U9">
        <v>3590</v>
      </c>
      <c r="V9">
        <v>3412</v>
      </c>
      <c r="W9">
        <v>3161</v>
      </c>
      <c r="X9">
        <v>3291</v>
      </c>
      <c r="Y9">
        <v>3448</v>
      </c>
      <c r="Z9">
        <v>3132</v>
      </c>
      <c r="AA9">
        <v>3409</v>
      </c>
      <c r="AB9">
        <v>3579</v>
      </c>
      <c r="AC9">
        <v>3275</v>
      </c>
      <c r="AD9">
        <v>3227</v>
      </c>
      <c r="AE9">
        <v>3142</v>
      </c>
      <c r="AF9">
        <v>2880</v>
      </c>
      <c r="AG9">
        <v>2997</v>
      </c>
      <c r="AH9">
        <v>3319</v>
      </c>
      <c r="AI9">
        <v>3236</v>
      </c>
      <c r="AJ9">
        <v>3013</v>
      </c>
      <c r="AK9">
        <v>3063</v>
      </c>
      <c r="AL9">
        <v>3210</v>
      </c>
      <c r="AM9">
        <v>3414</v>
      </c>
      <c r="AN9">
        <v>3405</v>
      </c>
      <c r="AO9">
        <v>3206</v>
      </c>
      <c r="AP9">
        <v>3582</v>
      </c>
      <c r="AQ9">
        <v>3669</v>
      </c>
      <c r="AR9">
        <v>3234</v>
      </c>
      <c r="AS9">
        <v>3118</v>
      </c>
      <c r="AT9">
        <v>3181</v>
      </c>
      <c r="AU9">
        <v>3157</v>
      </c>
      <c r="AV9">
        <v>3356</v>
      </c>
      <c r="AW9">
        <v>2954</v>
      </c>
      <c r="AX9">
        <v>2970</v>
      </c>
      <c r="AY9">
        <v>3093</v>
      </c>
      <c r="AZ9">
        <v>3350</v>
      </c>
      <c r="BA9">
        <v>3042</v>
      </c>
      <c r="BB9">
        <v>2882</v>
      </c>
      <c r="BC9">
        <v>3019</v>
      </c>
      <c r="BD9">
        <v>2831</v>
      </c>
      <c r="BE9">
        <v>2800</v>
      </c>
      <c r="BF9">
        <v>2809</v>
      </c>
      <c r="BG9">
        <v>3589</v>
      </c>
      <c r="BH9">
        <v>4050</v>
      </c>
      <c r="BI9">
        <v>13123</v>
      </c>
      <c r="BJ9">
        <v>28605</v>
      </c>
      <c r="BK9">
        <v>19344</v>
      </c>
      <c r="BL9">
        <v>13659</v>
      </c>
      <c r="BM9">
        <v>9461</v>
      </c>
      <c r="BN9">
        <v>10397</v>
      </c>
      <c r="BO9">
        <v>11939</v>
      </c>
      <c r="BP9">
        <v>11825</v>
      </c>
      <c r="BQ9">
        <v>10744</v>
      </c>
      <c r="BR9">
        <v>10541</v>
      </c>
      <c r="BS9">
        <v>9906</v>
      </c>
      <c r="BT9">
        <v>7863</v>
      </c>
      <c r="BU9">
        <v>7030</v>
      </c>
      <c r="BV9">
        <v>6000</v>
      </c>
      <c r="BW9">
        <v>5310</v>
      </c>
      <c r="BX9">
        <v>4903</v>
      </c>
      <c r="BY9">
        <v>5480</v>
      </c>
      <c r="BZ9">
        <v>5837</v>
      </c>
      <c r="CA9">
        <v>5691</v>
      </c>
      <c r="CB9">
        <v>6333</v>
      </c>
      <c r="CC9">
        <v>7179</v>
      </c>
      <c r="CD9">
        <v>8869</v>
      </c>
      <c r="CE9">
        <v>10174</v>
      </c>
      <c r="CF9">
        <v>10842</v>
      </c>
      <c r="CG9">
        <v>11789</v>
      </c>
      <c r="CH9">
        <v>11990</v>
      </c>
      <c r="CI9">
        <v>16520</v>
      </c>
      <c r="CJ9">
        <v>15830</v>
      </c>
      <c r="CK9">
        <v>15938</v>
      </c>
      <c r="CL9">
        <v>15766</v>
      </c>
      <c r="CM9">
        <v>13828</v>
      </c>
      <c r="CN9">
        <v>14551</v>
      </c>
      <c r="CO9">
        <v>14410</v>
      </c>
    </row>
    <row r="10" spans="1:97" x14ac:dyDescent="0.25">
      <c r="A10" t="s">
        <v>8</v>
      </c>
      <c r="B10">
        <v>43689</v>
      </c>
      <c r="C10">
        <v>39299</v>
      </c>
      <c r="D10">
        <v>37004</v>
      </c>
      <c r="E10">
        <v>39851</v>
      </c>
      <c r="F10">
        <v>38579</v>
      </c>
      <c r="G10">
        <v>36110</v>
      </c>
      <c r="H10">
        <v>35803</v>
      </c>
      <c r="I10">
        <v>37521</v>
      </c>
      <c r="J10">
        <v>38286</v>
      </c>
      <c r="K10">
        <v>39517</v>
      </c>
      <c r="L10">
        <v>37328</v>
      </c>
      <c r="M10">
        <v>37140</v>
      </c>
      <c r="N10">
        <v>40132</v>
      </c>
      <c r="O10">
        <v>41050</v>
      </c>
      <c r="P10">
        <v>41747</v>
      </c>
      <c r="Q10">
        <v>41601</v>
      </c>
      <c r="R10">
        <v>43517</v>
      </c>
      <c r="S10">
        <v>45929</v>
      </c>
      <c r="T10">
        <v>44516</v>
      </c>
      <c r="U10">
        <v>42950</v>
      </c>
      <c r="V10">
        <v>37320</v>
      </c>
      <c r="W10">
        <v>36438</v>
      </c>
      <c r="X10">
        <v>37623</v>
      </c>
      <c r="Y10">
        <v>36495</v>
      </c>
      <c r="Z10">
        <v>37217</v>
      </c>
      <c r="AA10">
        <v>37240</v>
      </c>
      <c r="AB10">
        <v>35504</v>
      </c>
      <c r="AC10">
        <v>36758</v>
      </c>
      <c r="AD10">
        <v>36652</v>
      </c>
      <c r="AE10">
        <v>36869</v>
      </c>
      <c r="AF10">
        <v>36627</v>
      </c>
      <c r="AG10">
        <v>35633</v>
      </c>
      <c r="AH10">
        <v>35894</v>
      </c>
      <c r="AI10">
        <v>36540</v>
      </c>
      <c r="AJ10">
        <v>35041</v>
      </c>
      <c r="AK10">
        <v>35386</v>
      </c>
      <c r="AL10">
        <v>37964</v>
      </c>
      <c r="AM10">
        <v>39199</v>
      </c>
      <c r="AN10">
        <v>38886</v>
      </c>
      <c r="AO10">
        <v>37840</v>
      </c>
      <c r="AP10">
        <v>37586</v>
      </c>
      <c r="AQ10">
        <v>39962</v>
      </c>
      <c r="AR10">
        <v>34817</v>
      </c>
      <c r="AS10">
        <v>36063</v>
      </c>
      <c r="AT10">
        <v>35156</v>
      </c>
      <c r="AU10">
        <v>35942</v>
      </c>
      <c r="AV10">
        <v>35891</v>
      </c>
      <c r="AW10">
        <v>36548</v>
      </c>
      <c r="AX10">
        <v>36603</v>
      </c>
      <c r="AY10">
        <v>35822</v>
      </c>
      <c r="AZ10">
        <v>34932</v>
      </c>
      <c r="BA10">
        <v>35958</v>
      </c>
      <c r="BB10">
        <v>36235</v>
      </c>
      <c r="BC10">
        <v>36747</v>
      </c>
      <c r="BD10">
        <v>36561</v>
      </c>
      <c r="BE10">
        <v>36317</v>
      </c>
      <c r="BF10">
        <v>36103</v>
      </c>
      <c r="BG10">
        <v>35009</v>
      </c>
      <c r="BH10">
        <v>35596</v>
      </c>
      <c r="BI10">
        <v>30416</v>
      </c>
      <c r="BJ10">
        <v>17245</v>
      </c>
      <c r="BK10">
        <v>28534</v>
      </c>
      <c r="BL10">
        <v>33386</v>
      </c>
      <c r="BM10">
        <v>35572</v>
      </c>
      <c r="BN10">
        <v>35152</v>
      </c>
      <c r="BO10">
        <v>33225</v>
      </c>
      <c r="BP10">
        <v>33849</v>
      </c>
      <c r="BQ10">
        <v>34572</v>
      </c>
      <c r="BR10">
        <v>34693</v>
      </c>
      <c r="BS10">
        <v>34991</v>
      </c>
      <c r="BT10">
        <v>37040</v>
      </c>
      <c r="BU10">
        <v>37484</v>
      </c>
      <c r="BV10">
        <v>38469</v>
      </c>
      <c r="BW10">
        <v>41818</v>
      </c>
      <c r="BX10">
        <v>42722</v>
      </c>
      <c r="BY10">
        <v>42282</v>
      </c>
      <c r="BZ10">
        <v>37494</v>
      </c>
      <c r="CA10">
        <v>37094</v>
      </c>
      <c r="CB10">
        <v>36275</v>
      </c>
      <c r="CC10">
        <v>35060</v>
      </c>
      <c r="CD10">
        <v>33676</v>
      </c>
      <c r="CE10">
        <v>34275</v>
      </c>
      <c r="CF10">
        <v>33463</v>
      </c>
      <c r="CG10">
        <v>31601</v>
      </c>
      <c r="CH10">
        <v>32097</v>
      </c>
      <c r="CI10">
        <v>27583</v>
      </c>
      <c r="CJ10">
        <v>31424</v>
      </c>
      <c r="CK10">
        <v>28689</v>
      </c>
      <c r="CL10">
        <v>27942</v>
      </c>
      <c r="CM10">
        <v>28699</v>
      </c>
      <c r="CN10">
        <v>27765</v>
      </c>
      <c r="CO10">
        <v>27733</v>
      </c>
    </row>
    <row r="11" spans="1:97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1.22135440117466E-2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</row>
    <row r="12" spans="1:97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1.22135440117466E-2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</row>
    <row r="13" spans="1:97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1.22135440117466E-2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</row>
    <row r="14" spans="1:97" x14ac:dyDescent="0.25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2.1650908326143099E-2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3.1908269885791499E-2</v>
      </c>
      <c r="BI14">
        <v>4.8854176046986497E-2</v>
      </c>
      <c r="BJ14">
        <v>0.104970511363137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3.6760911563338397E-2</v>
      </c>
      <c r="CL14">
        <v>0</v>
      </c>
      <c r="CM14">
        <v>0</v>
      </c>
      <c r="CN14">
        <v>0</v>
      </c>
      <c r="CO14">
        <v>0</v>
      </c>
    </row>
    <row r="15" spans="1:97" x14ac:dyDescent="0.2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2.1650908326143099E-2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3.1908269885791499E-2</v>
      </c>
      <c r="BI15">
        <v>3.8194580492342603E-2</v>
      </c>
      <c r="BJ15">
        <v>7.8956717589716105E-2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3.6760911563338397E-2</v>
      </c>
      <c r="CL15">
        <v>0</v>
      </c>
      <c r="CM15">
        <v>0</v>
      </c>
      <c r="CN15">
        <v>0</v>
      </c>
      <c r="CO15">
        <v>0</v>
      </c>
    </row>
    <row r="16" spans="1:97" x14ac:dyDescent="0.2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2.1650908326143099E-2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3.1908269885791499E-2</v>
      </c>
      <c r="BI16">
        <v>3.80464401471549E-2</v>
      </c>
      <c r="BJ16">
        <v>7.9113906782364796E-2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3.6760911563338397E-2</v>
      </c>
      <c r="CL16">
        <v>0</v>
      </c>
      <c r="CM16">
        <v>0</v>
      </c>
      <c r="CN16">
        <v>0</v>
      </c>
      <c r="CO16">
        <v>0</v>
      </c>
    </row>
    <row r="17" spans="1:97" x14ac:dyDescent="0.25">
      <c r="A17" t="s">
        <v>15</v>
      </c>
      <c r="B17">
        <v>7.5598960316647507E-2</v>
      </c>
      <c r="C17">
        <v>9.4529492784601599E-2</v>
      </c>
      <c r="D17">
        <v>7.4325925608719604E-2</v>
      </c>
      <c r="E17">
        <v>7.4793218859359994E-2</v>
      </c>
      <c r="F17">
        <v>7.8163221084098997E-2</v>
      </c>
      <c r="G17">
        <v>7.0059058878141095E-2</v>
      </c>
      <c r="H17">
        <v>7.8504864174426703E-2</v>
      </c>
      <c r="I17">
        <v>8.2873130464705999E-2</v>
      </c>
      <c r="J17">
        <v>8.2942312124859793E-2</v>
      </c>
      <c r="K17">
        <v>8.2526969621485896E-2</v>
      </c>
      <c r="L17">
        <v>8.8214471775555497E-2</v>
      </c>
      <c r="M17">
        <v>6.7493355157698498E-2</v>
      </c>
      <c r="N17">
        <v>7.6024381302392197E-2</v>
      </c>
      <c r="O17">
        <v>7.6977800923498305E-2</v>
      </c>
      <c r="P17">
        <v>6.7754845882762205E-2</v>
      </c>
      <c r="Q17">
        <v>6.5328683946597493E-2</v>
      </c>
      <c r="R17">
        <v>7.5917349027065706E-2</v>
      </c>
      <c r="S17">
        <v>8.4387530661474405E-2</v>
      </c>
      <c r="T17">
        <v>7.0454771211134096E-2</v>
      </c>
      <c r="U17">
        <v>7.7943670969169904E-2</v>
      </c>
      <c r="V17">
        <v>7.9096883574961196E-2</v>
      </c>
      <c r="W17">
        <v>6.0582624108480601E-2</v>
      </c>
      <c r="X17">
        <v>6.0579363132708897E-2</v>
      </c>
      <c r="Y17">
        <v>7.5507591050991002E-2</v>
      </c>
      <c r="Z17">
        <v>6.6131861593427405E-2</v>
      </c>
      <c r="AA17">
        <v>6.8113406704472398E-2</v>
      </c>
      <c r="AB17">
        <v>6.5341850483942004E-2</v>
      </c>
      <c r="AC17">
        <v>6.4348971483164402E-2</v>
      </c>
      <c r="AD17">
        <v>7.2344132585443796E-2</v>
      </c>
      <c r="AE17">
        <v>8.1094241728004002E-2</v>
      </c>
      <c r="AF17">
        <v>6.4094237628488301E-2</v>
      </c>
      <c r="AG17">
        <v>6.3011778788512801E-2</v>
      </c>
      <c r="AH17">
        <v>8.16123732076426E-2</v>
      </c>
      <c r="AI17">
        <v>0</v>
      </c>
      <c r="AJ17">
        <v>7.0959830661753404E-2</v>
      </c>
      <c r="AK17">
        <v>6.2240011570278003E-2</v>
      </c>
      <c r="AL17">
        <v>6.2832411000683902E-2</v>
      </c>
      <c r="AM17">
        <v>7.8127073513879597E-2</v>
      </c>
      <c r="AN17">
        <v>8.0500040933181194E-2</v>
      </c>
      <c r="AO17">
        <v>5.7275408652156197E-2</v>
      </c>
      <c r="AP17">
        <v>8.9407840316205203E-2</v>
      </c>
      <c r="AQ17">
        <v>0</v>
      </c>
      <c r="AR17">
        <v>6.03434565504153E-2</v>
      </c>
      <c r="AS17">
        <v>6.3261188559044196E-2</v>
      </c>
      <c r="AT17">
        <v>5.8958357780643102E-2</v>
      </c>
      <c r="AU17">
        <v>7.0978643618860499E-2</v>
      </c>
      <c r="AV17">
        <v>7.6100921658659601E-2</v>
      </c>
      <c r="AW17">
        <v>0</v>
      </c>
      <c r="AX17">
        <v>8.6603633304572394E-2</v>
      </c>
      <c r="AY17">
        <v>6.2779395530181595E-2</v>
      </c>
      <c r="AZ17">
        <v>7.5435661247183802E-2</v>
      </c>
      <c r="BA17">
        <v>7.0019389595099096E-2</v>
      </c>
      <c r="BB17">
        <v>8.29301020459976E-2</v>
      </c>
      <c r="BC17">
        <v>6.3449303954601702E-2</v>
      </c>
      <c r="BD17">
        <v>6.1728105000550502E-2</v>
      </c>
      <c r="BE17">
        <v>8.8103653958656394E-2</v>
      </c>
      <c r="BF17">
        <v>8.2367309291657101E-2</v>
      </c>
      <c r="BG17">
        <v>9.5959486936807295E-2</v>
      </c>
      <c r="BH17">
        <v>0.12763307954316599</v>
      </c>
      <c r="BI17">
        <v>0.19541670418794599</v>
      </c>
      <c r="BJ17">
        <v>0.43169567769252098</v>
      </c>
      <c r="BK17">
        <v>0.114699051012795</v>
      </c>
      <c r="BL17">
        <v>9.4047653800068798E-2</v>
      </c>
      <c r="BM17">
        <v>0.103564681844835</v>
      </c>
      <c r="BN17">
        <v>7.3351235430284795E-2</v>
      </c>
      <c r="BO17">
        <v>0</v>
      </c>
      <c r="BP17">
        <v>7.42880892404576E-2</v>
      </c>
      <c r="BQ17">
        <v>9.7332436545774795E-2</v>
      </c>
      <c r="BR17">
        <v>7.6739668978184503E-2</v>
      </c>
      <c r="BS17">
        <v>8.8117228821885399E-2</v>
      </c>
      <c r="BT17">
        <v>0</v>
      </c>
      <c r="BU17">
        <v>7.8069003005963394E-2</v>
      </c>
      <c r="BV17">
        <v>7.7316698512845797E-2</v>
      </c>
      <c r="BW17">
        <v>7.4032094424804906E-2</v>
      </c>
      <c r="BX17">
        <v>6.3524012359705201E-2</v>
      </c>
      <c r="BY17">
        <v>8.42697697085414E-2</v>
      </c>
      <c r="BZ17">
        <v>0.110368186246248</v>
      </c>
      <c r="CA17">
        <v>7.8145777942112596E-2</v>
      </c>
      <c r="CB17">
        <v>9.7669106053343696E-2</v>
      </c>
      <c r="CC17">
        <v>0.101699518171648</v>
      </c>
      <c r="CD17">
        <v>0.105165137331811</v>
      </c>
      <c r="CE17">
        <v>0.13259259441753499</v>
      </c>
      <c r="CF17">
        <v>0.131037240984612</v>
      </c>
      <c r="CG17">
        <v>0.121219244827868</v>
      </c>
      <c r="CH17">
        <v>0.109936630082554</v>
      </c>
      <c r="CI17">
        <v>0.151940385807944</v>
      </c>
      <c r="CJ17">
        <v>0.14671025409952601</v>
      </c>
      <c r="CK17">
        <v>0.149924607492183</v>
      </c>
      <c r="CL17">
        <v>0.146919835913495</v>
      </c>
      <c r="CM17">
        <v>0.13386680580286001</v>
      </c>
      <c r="CN17">
        <v>0.15916754446210499</v>
      </c>
      <c r="CO17">
        <v>0.135397074020604</v>
      </c>
    </row>
    <row r="18" spans="1:97" x14ac:dyDescent="0.25">
      <c r="A18" t="s">
        <v>16</v>
      </c>
      <c r="B18">
        <v>6.8381831709975596E-2</v>
      </c>
      <c r="C18">
        <v>8.6290398981992297E-2</v>
      </c>
      <c r="D18">
        <v>6.8969103102712204E-2</v>
      </c>
      <c r="E18">
        <v>6.4718403958878901E-2</v>
      </c>
      <c r="F18">
        <v>6.9366811900890696E-2</v>
      </c>
      <c r="G18">
        <v>6.78401228752432E-2</v>
      </c>
      <c r="H18">
        <v>7.1988428396946594E-2</v>
      </c>
      <c r="I18">
        <v>6.7329016863020702E-2</v>
      </c>
      <c r="J18">
        <v>7.9356498978759002E-2</v>
      </c>
      <c r="K18">
        <v>6.3227142616746904E-2</v>
      </c>
      <c r="L18">
        <v>7.1796125988783197E-2</v>
      </c>
      <c r="M18">
        <v>6.6227662578580301E-2</v>
      </c>
      <c r="N18">
        <v>7.6024381302392197E-2</v>
      </c>
      <c r="O18">
        <v>6.6730546143300998E-2</v>
      </c>
      <c r="P18">
        <v>6.6749841026316606E-2</v>
      </c>
      <c r="Q18">
        <v>5.9256666934212401E-2</v>
      </c>
      <c r="R18">
        <v>6.9117543454892696E-2</v>
      </c>
      <c r="S18">
        <v>6.5361697653788006E-2</v>
      </c>
      <c r="T18">
        <v>6.4615343694779406E-2</v>
      </c>
      <c r="U18">
        <v>7.7943670969169904E-2</v>
      </c>
      <c r="V18">
        <v>6.5993823037564306E-2</v>
      </c>
      <c r="W18">
        <v>5.5430178633043399E-2</v>
      </c>
      <c r="X18">
        <v>6.0579363132708897E-2</v>
      </c>
      <c r="Y18">
        <v>6.5847130190413106E-2</v>
      </c>
      <c r="Z18">
        <v>6.1525194043573601E-2</v>
      </c>
      <c r="AA18">
        <v>6.3145845651235502E-2</v>
      </c>
      <c r="AB18">
        <v>6.5341850483942004E-2</v>
      </c>
      <c r="AC18">
        <v>5.9883325780668802E-2</v>
      </c>
      <c r="AD18">
        <v>6.6516334397871205E-2</v>
      </c>
      <c r="AE18">
        <v>6.9624268252360594E-2</v>
      </c>
      <c r="AF18">
        <v>6.4094237628488301E-2</v>
      </c>
      <c r="AG18">
        <v>5.9338843286035198E-2</v>
      </c>
      <c r="AH18">
        <v>6.09628791909088E-2</v>
      </c>
      <c r="AI18">
        <v>0</v>
      </c>
      <c r="AJ18">
        <v>5.99796015867263E-2</v>
      </c>
      <c r="AK18">
        <v>5.48121580522693E-2</v>
      </c>
      <c r="AL18">
        <v>6.0594353336455201E-2</v>
      </c>
      <c r="AM18">
        <v>7.1885252444713596E-2</v>
      </c>
      <c r="AN18">
        <v>7.2144604426457301E-2</v>
      </c>
      <c r="AO18">
        <v>5.7275408652156197E-2</v>
      </c>
      <c r="AP18">
        <v>7.1248408883094999E-2</v>
      </c>
      <c r="AQ18">
        <v>0</v>
      </c>
      <c r="AR18">
        <v>5.9119930501088699E-2</v>
      </c>
      <c r="AS18">
        <v>5.57218038379469E-2</v>
      </c>
      <c r="AT18">
        <v>5.8722583178070303E-2</v>
      </c>
      <c r="AU18">
        <v>6.4857282495638005E-2</v>
      </c>
      <c r="AV18">
        <v>6.3639967298192199E-2</v>
      </c>
      <c r="AW18">
        <v>0</v>
      </c>
      <c r="AX18">
        <v>6.5148989589094194E-2</v>
      </c>
      <c r="AY18">
        <v>6.2192564521087103E-2</v>
      </c>
      <c r="AZ18">
        <v>6.41972426673761E-2</v>
      </c>
      <c r="BA18">
        <v>6.1807970546595897E-2</v>
      </c>
      <c r="BB18">
        <v>8.29301020459976E-2</v>
      </c>
      <c r="BC18">
        <v>5.9986974206975498E-2</v>
      </c>
      <c r="BD18">
        <v>6.1728105000550502E-2</v>
      </c>
      <c r="BE18">
        <v>6.5231610959247593E-2</v>
      </c>
      <c r="BF18">
        <v>7.9027249020917401E-2</v>
      </c>
      <c r="BG18">
        <v>6.8257695902392695E-2</v>
      </c>
      <c r="BH18">
        <v>7.1466226325450202E-2</v>
      </c>
      <c r="BI18">
        <v>0.120633837660654</v>
      </c>
      <c r="BJ18">
        <v>0.29028287574845502</v>
      </c>
      <c r="BK18">
        <v>0.108539618495022</v>
      </c>
      <c r="BL18">
        <v>8.5005549898930097E-2</v>
      </c>
      <c r="BM18">
        <v>8.8864160851790094E-2</v>
      </c>
      <c r="BN18">
        <v>7.3351235430284795E-2</v>
      </c>
      <c r="BO18">
        <v>0</v>
      </c>
      <c r="BP18">
        <v>7.42880892404576E-2</v>
      </c>
      <c r="BQ18">
        <v>9.3891212972567306E-2</v>
      </c>
      <c r="BR18">
        <v>7.3586500987959297E-2</v>
      </c>
      <c r="BS18">
        <v>8.4180691859412501E-2</v>
      </c>
      <c r="BT18">
        <v>0</v>
      </c>
      <c r="BU18">
        <v>7.8069003005963394E-2</v>
      </c>
      <c r="BV18">
        <v>7.3045398991350693E-2</v>
      </c>
      <c r="BW18">
        <v>7.01071903952738E-2</v>
      </c>
      <c r="BX18">
        <v>6.2409672114235003E-2</v>
      </c>
      <c r="BY18">
        <v>7.7271753912737995E-2</v>
      </c>
      <c r="BZ18">
        <v>7.8301133669732306E-2</v>
      </c>
      <c r="CA18">
        <v>7.0666832146296196E-2</v>
      </c>
      <c r="CB18">
        <v>8.2944202233001404E-2</v>
      </c>
      <c r="CC18">
        <v>9.0035995941090796E-2</v>
      </c>
      <c r="CD18">
        <v>8.9996157891807302E-2</v>
      </c>
      <c r="CE18">
        <v>9.5836995599896904E-2</v>
      </c>
      <c r="CF18">
        <v>0.103665602848365</v>
      </c>
      <c r="CG18">
        <v>0.10666672502701301</v>
      </c>
      <c r="CH18">
        <v>0.101340465892341</v>
      </c>
      <c r="CI18">
        <v>0.121109876155375</v>
      </c>
      <c r="CJ18">
        <v>0.12163242004100699</v>
      </c>
      <c r="CK18">
        <v>0.127086924860006</v>
      </c>
      <c r="CL18">
        <v>0.123908005981212</v>
      </c>
      <c r="CM18">
        <v>0.11533718428629799</v>
      </c>
      <c r="CN18">
        <v>0.11893650869663799</v>
      </c>
      <c r="CO18">
        <v>0.114361540011914</v>
      </c>
    </row>
    <row r="19" spans="1:97" x14ac:dyDescent="0.25">
      <c r="A19" t="s">
        <v>17</v>
      </c>
      <c r="B19">
        <v>6.9125240323005502E-2</v>
      </c>
      <c r="C19">
        <v>8.94533784322529E-2</v>
      </c>
      <c r="D19">
        <v>6.8265884863019002E-2</v>
      </c>
      <c r="E19">
        <v>6.22602499972989E-2</v>
      </c>
      <c r="F19">
        <v>6.9751323243260901E-2</v>
      </c>
      <c r="G19">
        <v>6.78401228752432E-2</v>
      </c>
      <c r="H19">
        <v>7.3345362995480695E-2</v>
      </c>
      <c r="I19">
        <v>6.50740597417689E-2</v>
      </c>
      <c r="J19">
        <v>8.2772006859096706E-2</v>
      </c>
      <c r="K19">
        <v>5.8517476221910801E-2</v>
      </c>
      <c r="L19">
        <v>7.0045325418266802E-2</v>
      </c>
      <c r="M19">
        <v>6.6227662578580301E-2</v>
      </c>
      <c r="N19">
        <v>7.6024381302392197E-2</v>
      </c>
      <c r="O19">
        <v>6.5081504418847594E-2</v>
      </c>
      <c r="P19">
        <v>6.6749841026316606E-2</v>
      </c>
      <c r="Q19">
        <v>6.1605846505875E-2</v>
      </c>
      <c r="R19">
        <v>7.3730293426280305E-2</v>
      </c>
      <c r="S19">
        <v>6.5460181197699099E-2</v>
      </c>
      <c r="T19">
        <v>6.4940381523138996E-2</v>
      </c>
      <c r="U19">
        <v>7.7943670969169904E-2</v>
      </c>
      <c r="V19">
        <v>6.7795907166365396E-2</v>
      </c>
      <c r="W19">
        <v>5.6052460188994402E-2</v>
      </c>
      <c r="X19">
        <v>6.0579363132708897E-2</v>
      </c>
      <c r="Y19">
        <v>6.3460263556093494E-2</v>
      </c>
      <c r="Z19">
        <v>6.07382611120156E-2</v>
      </c>
      <c r="AA19">
        <v>6.3145845651235502E-2</v>
      </c>
      <c r="AB19">
        <v>6.5341850483942004E-2</v>
      </c>
      <c r="AC19">
        <v>6.0767859546302101E-2</v>
      </c>
      <c r="AD19">
        <v>6.7780263369838001E-2</v>
      </c>
      <c r="AE19">
        <v>7.0108206044803806E-2</v>
      </c>
      <c r="AF19">
        <v>6.4094237628488301E-2</v>
      </c>
      <c r="AG19">
        <v>5.9028412614108003E-2</v>
      </c>
      <c r="AH19">
        <v>5.6285773493167102E-2</v>
      </c>
      <c r="AI19">
        <v>0</v>
      </c>
      <c r="AJ19">
        <v>5.7943755369108001E-2</v>
      </c>
      <c r="AK19">
        <v>5.2995773634152102E-2</v>
      </c>
      <c r="AL19">
        <v>6.1716653043537802E-2</v>
      </c>
      <c r="AM19">
        <v>7.1756621902569401E-2</v>
      </c>
      <c r="AN19">
        <v>7.3847155985836299E-2</v>
      </c>
      <c r="AO19">
        <v>5.7275408652156197E-2</v>
      </c>
      <c r="AP19">
        <v>6.8622450870294199E-2</v>
      </c>
      <c r="AQ19">
        <v>0</v>
      </c>
      <c r="AR19">
        <v>5.8820326949863597E-2</v>
      </c>
      <c r="AS19">
        <v>5.57218038379469E-2</v>
      </c>
      <c r="AT19">
        <v>5.8722583178070303E-2</v>
      </c>
      <c r="AU19">
        <v>6.3434965353129105E-2</v>
      </c>
      <c r="AV19">
        <v>6.5617180540409006E-2</v>
      </c>
      <c r="AW19">
        <v>0</v>
      </c>
      <c r="AX19">
        <v>6.2997219764506202E-2</v>
      </c>
      <c r="AY19">
        <v>6.2192564521087103E-2</v>
      </c>
      <c r="AZ19">
        <v>6.5141554143289607E-2</v>
      </c>
      <c r="BA19">
        <v>6.2511062117733204E-2</v>
      </c>
      <c r="BB19">
        <v>8.29301020459976E-2</v>
      </c>
      <c r="BC19">
        <v>6.3150275654875798E-2</v>
      </c>
      <c r="BD19">
        <v>6.1728105000550502E-2</v>
      </c>
      <c r="BE19">
        <v>6.3999237391682506E-2</v>
      </c>
      <c r="BF19">
        <v>7.9027249020917401E-2</v>
      </c>
      <c r="BG19">
        <v>6.7368122915816994E-2</v>
      </c>
      <c r="BH19">
        <v>6.8422556395132797E-2</v>
      </c>
      <c r="BI19">
        <v>0.115779868599103</v>
      </c>
      <c r="BJ19">
        <v>0.29581774882894402</v>
      </c>
      <c r="BK19">
        <v>0.111905810821333</v>
      </c>
      <c r="BL19">
        <v>8.5005549898930097E-2</v>
      </c>
      <c r="BM19">
        <v>8.4112649261333799E-2</v>
      </c>
      <c r="BN19">
        <v>7.3351235430284795E-2</v>
      </c>
      <c r="BO19">
        <v>0</v>
      </c>
      <c r="BP19">
        <v>7.42880892404576E-2</v>
      </c>
      <c r="BQ19">
        <v>9.3891212972567306E-2</v>
      </c>
      <c r="BR19">
        <v>7.3586500987959297E-2</v>
      </c>
      <c r="BS19">
        <v>8.4180691859412501E-2</v>
      </c>
      <c r="BT19">
        <v>0</v>
      </c>
      <c r="BU19">
        <v>7.8069003005963394E-2</v>
      </c>
      <c r="BV19">
        <v>7.3045398991350693E-2</v>
      </c>
      <c r="BW19">
        <v>7.01071903952738E-2</v>
      </c>
      <c r="BX19">
        <v>6.2703928414028998E-2</v>
      </c>
      <c r="BY19">
        <v>7.7271753912737995E-2</v>
      </c>
      <c r="BZ19">
        <v>7.6003461833680799E-2</v>
      </c>
      <c r="CA19">
        <v>7.1442833439337397E-2</v>
      </c>
      <c r="CB19">
        <v>7.9099844582114998E-2</v>
      </c>
      <c r="CC19">
        <v>8.9211683966547495E-2</v>
      </c>
      <c r="CD19">
        <v>9.0787614478421194E-2</v>
      </c>
      <c r="CE19">
        <v>9.0278069767191493E-2</v>
      </c>
      <c r="CF19">
        <v>0.101145508537292</v>
      </c>
      <c r="CG19">
        <v>0.108438611914907</v>
      </c>
      <c r="CH19">
        <v>0.10499847608787601</v>
      </c>
      <c r="CI19">
        <v>0.120580734725907</v>
      </c>
      <c r="CJ19">
        <v>0.118575664860125</v>
      </c>
      <c r="CK19">
        <v>0.125348343621905</v>
      </c>
      <c r="CL19">
        <v>0.13044025177372701</v>
      </c>
      <c r="CM19">
        <v>0.117336880855977</v>
      </c>
      <c r="CN19">
        <v>0.108734516221849</v>
      </c>
      <c r="CO19">
        <v>0.11677024261541499</v>
      </c>
    </row>
    <row r="20" spans="1:97" x14ac:dyDescent="0.25">
      <c r="A20" t="s">
        <v>18</v>
      </c>
      <c r="B20">
        <v>0.30239584126659003</v>
      </c>
      <c r="C20">
        <v>0.37811797113840601</v>
      </c>
      <c r="D20">
        <v>0.33454604408222999</v>
      </c>
      <c r="E20">
        <v>0.31924559940520902</v>
      </c>
      <c r="F20">
        <v>0.31265288433639599</v>
      </c>
      <c r="G20">
        <v>0.28023623551256399</v>
      </c>
      <c r="H20">
        <v>0.31401945669770698</v>
      </c>
      <c r="I20">
        <v>0.331492521858824</v>
      </c>
      <c r="J20">
        <v>0.33176924849943901</v>
      </c>
      <c r="K20">
        <v>0.33010787848594297</v>
      </c>
      <c r="L20">
        <v>0.35285788710222199</v>
      </c>
      <c r="M20">
        <v>0.29717593653359098</v>
      </c>
      <c r="N20">
        <v>0.35285493943361401</v>
      </c>
      <c r="O20">
        <v>0.307911203693993</v>
      </c>
      <c r="P20">
        <v>0.33871584124686699</v>
      </c>
      <c r="Q20">
        <v>0.31810930154440398</v>
      </c>
      <c r="R20">
        <v>0.30366939610826199</v>
      </c>
      <c r="S20">
        <v>0.33755012264589701</v>
      </c>
      <c r="T20">
        <v>0.28181908484453599</v>
      </c>
      <c r="U20">
        <v>0.311774683876679</v>
      </c>
      <c r="V20">
        <v>0.31638753429984401</v>
      </c>
      <c r="W20">
        <v>0.29803458701013602</v>
      </c>
      <c r="X20">
        <v>0.274457119942289</v>
      </c>
      <c r="Y20">
        <v>0.30203036420396401</v>
      </c>
      <c r="Z20">
        <v>0.29782121537671702</v>
      </c>
      <c r="AA20">
        <v>0.29331006568420198</v>
      </c>
      <c r="AB20">
        <v>0.29263561601638399</v>
      </c>
      <c r="AC20">
        <v>0.27587650999614</v>
      </c>
      <c r="AD20">
        <v>0.290415927228733</v>
      </c>
      <c r="AE20">
        <v>0.32437696691201601</v>
      </c>
      <c r="AF20">
        <v>0.25875048354340002</v>
      </c>
      <c r="AG20">
        <v>0.28021707079068098</v>
      </c>
      <c r="AH20">
        <v>0.32644949283057001</v>
      </c>
      <c r="AI20">
        <v>0.28548457440341102</v>
      </c>
      <c r="AJ20">
        <v>0.29086071291022297</v>
      </c>
      <c r="AK20">
        <v>0.26453220070839101</v>
      </c>
      <c r="AL20">
        <v>0.26273842721186502</v>
      </c>
      <c r="AM20">
        <v>0.312508294055518</v>
      </c>
      <c r="AN20">
        <v>0.322000163732725</v>
      </c>
      <c r="AO20">
        <v>0.28385835972822498</v>
      </c>
      <c r="AP20">
        <v>0.35763136126482098</v>
      </c>
      <c r="AQ20">
        <v>0.274787389348574</v>
      </c>
      <c r="AR20">
        <v>0.28935150012400601</v>
      </c>
      <c r="AS20">
        <v>0.290698816487726</v>
      </c>
      <c r="AT20">
        <v>0.268445417150455</v>
      </c>
      <c r="AU20">
        <v>0.337717557929339</v>
      </c>
      <c r="AV20">
        <v>0.30554851353938101</v>
      </c>
      <c r="AW20">
        <v>0.29001577986759303</v>
      </c>
      <c r="AX20">
        <v>0.34641453321828902</v>
      </c>
      <c r="AY20">
        <v>0.28316275272463198</v>
      </c>
      <c r="AZ20">
        <v>0.30174264498873499</v>
      </c>
      <c r="BA20">
        <v>0.32454505083515001</v>
      </c>
      <c r="BB20">
        <v>0.33172040818399001</v>
      </c>
      <c r="BC20">
        <v>0.27543528450320198</v>
      </c>
      <c r="BD20">
        <v>0.26084706931924601</v>
      </c>
      <c r="BE20">
        <v>0.35241461583462502</v>
      </c>
      <c r="BF20">
        <v>0.32946923716662802</v>
      </c>
      <c r="BG20">
        <v>0.38383794774722901</v>
      </c>
      <c r="BH20">
        <v>0.51053231817266398</v>
      </c>
      <c r="BI20">
        <v>0.78166681675178495</v>
      </c>
      <c r="BJ20">
        <v>1.7267827107700799</v>
      </c>
      <c r="BK20">
        <v>0.52264223427677003</v>
      </c>
      <c r="BL20">
        <v>0.43690418062755898</v>
      </c>
      <c r="BM20">
        <v>0.414258727379342</v>
      </c>
      <c r="BN20">
        <v>0.36997874162232303</v>
      </c>
      <c r="BO20">
        <v>0.414952919398831</v>
      </c>
      <c r="BP20">
        <v>0.42288635219068899</v>
      </c>
      <c r="BQ20">
        <v>0.38932974618309901</v>
      </c>
      <c r="BR20">
        <v>0.40376486446329901</v>
      </c>
      <c r="BS20">
        <v>0.38125887153438898</v>
      </c>
      <c r="BT20">
        <v>0.34975384772287799</v>
      </c>
      <c r="BU20">
        <v>0.33906535352644002</v>
      </c>
      <c r="BV20">
        <v>0.32266192547412398</v>
      </c>
      <c r="BW20">
        <v>0.31556257231281198</v>
      </c>
      <c r="BX20">
        <v>0.36327836189301399</v>
      </c>
      <c r="BY20">
        <v>0.33707907883416499</v>
      </c>
      <c r="BZ20">
        <v>0.441472744984993</v>
      </c>
      <c r="CA20">
        <v>0.364027765587976</v>
      </c>
      <c r="CB20">
        <v>0.39067642421337401</v>
      </c>
      <c r="CC20">
        <v>0.42529808423932602</v>
      </c>
      <c r="CD20">
        <v>0.48987149399458002</v>
      </c>
      <c r="CE20">
        <v>0.53037037767014195</v>
      </c>
      <c r="CF20">
        <v>0.52414896393845101</v>
      </c>
      <c r="CG20">
        <v>0.48621133841494402</v>
      </c>
      <c r="CH20">
        <v>0.48164194058058801</v>
      </c>
      <c r="CI20">
        <v>0.607761543231776</v>
      </c>
      <c r="CJ20">
        <v>0.58684101639810704</v>
      </c>
      <c r="CK20">
        <v>0.60040129528818498</v>
      </c>
      <c r="CL20">
        <v>0.587679343653982</v>
      </c>
      <c r="CM20">
        <v>0.53546722321144202</v>
      </c>
      <c r="CN20">
        <v>0.64694526152298204</v>
      </c>
      <c r="CO20">
        <v>0.54158829608241899</v>
      </c>
    </row>
    <row r="21" spans="1:97" x14ac:dyDescent="0.25">
      <c r="A21" t="s">
        <v>19</v>
      </c>
      <c r="B21">
        <v>0.223671897655421</v>
      </c>
      <c r="C21">
        <v>0.253952709781052</v>
      </c>
      <c r="D21">
        <v>0.245217221856663</v>
      </c>
      <c r="E21">
        <v>0.23198960390104001</v>
      </c>
      <c r="F21">
        <v>0.221411829553921</v>
      </c>
      <c r="G21">
        <v>0.20915184811701801</v>
      </c>
      <c r="H21">
        <v>0.22101298975075601</v>
      </c>
      <c r="I21">
        <v>0.22794188398788201</v>
      </c>
      <c r="J21">
        <v>0.22886678527323101</v>
      </c>
      <c r="K21">
        <v>0.22925011783676899</v>
      </c>
      <c r="L21">
        <v>0.23297676484628099</v>
      </c>
      <c r="M21">
        <v>0.23838440081394599</v>
      </c>
      <c r="N21">
        <v>0.233821291866115</v>
      </c>
      <c r="O21">
        <v>0.23164871553336999</v>
      </c>
      <c r="P21">
        <v>0.229163638758935</v>
      </c>
      <c r="Q21">
        <v>0.22614571296644201</v>
      </c>
      <c r="R21">
        <v>0.226978773907966</v>
      </c>
      <c r="S21">
        <v>0.22793819077543001</v>
      </c>
      <c r="T21">
        <v>0.21779242017735001</v>
      </c>
      <c r="U21">
        <v>0.20399225631245901</v>
      </c>
      <c r="V21">
        <v>0.21667600447639301</v>
      </c>
      <c r="W21">
        <v>0.204734233757909</v>
      </c>
      <c r="X21">
        <v>0.20927588569679501</v>
      </c>
      <c r="Y21">
        <v>0.20796803686656201</v>
      </c>
      <c r="Z21">
        <v>0.21036574728896601</v>
      </c>
      <c r="AA21">
        <v>0.21086439507827701</v>
      </c>
      <c r="AB21">
        <v>0.21148900810070401</v>
      </c>
      <c r="AC21">
        <v>0.20440142571006301</v>
      </c>
      <c r="AD21">
        <v>0.21234998505740799</v>
      </c>
      <c r="AE21">
        <v>0.206334611490606</v>
      </c>
      <c r="AF21">
        <v>0.19821219070746601</v>
      </c>
      <c r="AG21">
        <v>0.20530608270762299</v>
      </c>
      <c r="AH21">
        <v>0.213393795919156</v>
      </c>
      <c r="AI21">
        <v>0.20347186516658899</v>
      </c>
      <c r="AJ21">
        <v>0.20094714983303399</v>
      </c>
      <c r="AK21">
        <v>0.20186528195010101</v>
      </c>
      <c r="AL21">
        <v>0.20889034035528001</v>
      </c>
      <c r="AM21">
        <v>0.220921779665503</v>
      </c>
      <c r="AN21">
        <v>0.22244069395674401</v>
      </c>
      <c r="AO21">
        <v>0.209446437577821</v>
      </c>
      <c r="AP21">
        <v>0.230482992455666</v>
      </c>
      <c r="AQ21">
        <v>0.20934375640792899</v>
      </c>
      <c r="AR21">
        <v>0.20280614715429199</v>
      </c>
      <c r="AS21">
        <v>0.20504872217273701</v>
      </c>
      <c r="AT21">
        <v>0.20263498413800901</v>
      </c>
      <c r="AU21">
        <v>0.20928041094389499</v>
      </c>
      <c r="AV21">
        <v>0.21982582274630499</v>
      </c>
      <c r="AW21">
        <v>0.20182909282629899</v>
      </c>
      <c r="AX21">
        <v>0.209879392712194</v>
      </c>
      <c r="AY21">
        <v>0.20644429288309901</v>
      </c>
      <c r="AZ21">
        <v>0.21343561687932</v>
      </c>
      <c r="BA21">
        <v>0.20938590661370199</v>
      </c>
      <c r="BB21">
        <v>0.197953097360624</v>
      </c>
      <c r="BC21">
        <v>0.20871733611693399</v>
      </c>
      <c r="BD21">
        <v>0.20386240499486799</v>
      </c>
      <c r="BE21">
        <v>0.19953840784159199</v>
      </c>
      <c r="BF21">
        <v>0.20656716309324399</v>
      </c>
      <c r="BG21">
        <v>0.224897309567544</v>
      </c>
      <c r="BH21">
        <v>0.24000102446021901</v>
      </c>
      <c r="BI21">
        <v>0.45302795756702402</v>
      </c>
      <c r="BJ21">
        <v>1.143794379459</v>
      </c>
      <c r="BK21">
        <v>0.40033854149082598</v>
      </c>
      <c r="BL21">
        <v>0.330624547371898</v>
      </c>
      <c r="BM21">
        <v>0.290631599108302</v>
      </c>
      <c r="BN21">
        <v>0.29229328969873802</v>
      </c>
      <c r="BO21">
        <v>0.31846937435879002</v>
      </c>
      <c r="BP21">
        <v>0.31244082822975</v>
      </c>
      <c r="BQ21">
        <v>0.300535437698084</v>
      </c>
      <c r="BR21">
        <v>0.30700068604719699</v>
      </c>
      <c r="BS21">
        <v>0.28952290657263302</v>
      </c>
      <c r="BT21">
        <v>0.26471133479708397</v>
      </c>
      <c r="BU21">
        <v>0.25731469930540701</v>
      </c>
      <c r="BV21">
        <v>0.246797497618328</v>
      </c>
      <c r="BW21">
        <v>0.22921555342709499</v>
      </c>
      <c r="BX21">
        <v>0.23079153457993901</v>
      </c>
      <c r="BY21">
        <v>0.23923503409378499</v>
      </c>
      <c r="BZ21">
        <v>0.26059385450032102</v>
      </c>
      <c r="CA21">
        <v>0.25419130274065199</v>
      </c>
      <c r="CB21">
        <v>0.26374813756468302</v>
      </c>
      <c r="CC21">
        <v>0.29149865803966402</v>
      </c>
      <c r="CD21">
        <v>0.32269520075560798</v>
      </c>
      <c r="CE21">
        <v>0.34395688448491701</v>
      </c>
      <c r="CF21">
        <v>0.35283199484531502</v>
      </c>
      <c r="CG21">
        <v>0.37898039498131603</v>
      </c>
      <c r="CH21">
        <v>0.36828643700703101</v>
      </c>
      <c r="CI21">
        <v>0.44033597648094502</v>
      </c>
      <c r="CJ21">
        <v>0.42234923100196903</v>
      </c>
      <c r="CK21">
        <v>0.44837546844604598</v>
      </c>
      <c r="CL21">
        <v>0.44139271976055899</v>
      </c>
      <c r="CM21">
        <v>0.39839244294630999</v>
      </c>
      <c r="CN21">
        <v>0.43150106293234602</v>
      </c>
      <c r="CO21">
        <v>0.41119658298009998</v>
      </c>
    </row>
    <row r="22" spans="1:97" x14ac:dyDescent="0.25">
      <c r="A22" t="s">
        <v>20</v>
      </c>
      <c r="B22">
        <v>0.21879803536787401</v>
      </c>
      <c r="C22">
        <v>0.249618950692092</v>
      </c>
      <c r="D22">
        <v>0.24486251387795599</v>
      </c>
      <c r="E22">
        <v>0.22978770776230101</v>
      </c>
      <c r="F22">
        <v>0.21623656679645201</v>
      </c>
      <c r="G22">
        <v>0.20541620008511599</v>
      </c>
      <c r="H22">
        <v>0.21013825836838301</v>
      </c>
      <c r="I22">
        <v>0.22205153744175499</v>
      </c>
      <c r="J22">
        <v>0.21941288771565101</v>
      </c>
      <c r="K22">
        <v>0.224997293705854</v>
      </c>
      <c r="L22">
        <v>0.224823388780934</v>
      </c>
      <c r="M22">
        <v>0.235229041187907</v>
      </c>
      <c r="N22">
        <v>0.228459378935326</v>
      </c>
      <c r="O22">
        <v>0.22115576537929399</v>
      </c>
      <c r="P22">
        <v>0.22609839453821501</v>
      </c>
      <c r="Q22">
        <v>0.22332982969204701</v>
      </c>
      <c r="R22">
        <v>0.22307783466605</v>
      </c>
      <c r="S22">
        <v>0.22416791732395899</v>
      </c>
      <c r="T22">
        <v>0.21574347606962799</v>
      </c>
      <c r="U22">
        <v>0.20187860197237301</v>
      </c>
      <c r="V22">
        <v>0.20660002722147999</v>
      </c>
      <c r="W22">
        <v>0.20147857988246901</v>
      </c>
      <c r="X22">
        <v>0.20595977289690801</v>
      </c>
      <c r="Y22">
        <v>0.206753015694809</v>
      </c>
      <c r="Z22">
        <v>0.20730385644948601</v>
      </c>
      <c r="AA22">
        <v>0.20360399649277799</v>
      </c>
      <c r="AB22">
        <v>0.205161763440011</v>
      </c>
      <c r="AC22">
        <v>0.201423637529005</v>
      </c>
      <c r="AD22">
        <v>0.21009533116145801</v>
      </c>
      <c r="AE22">
        <v>0.20164498062647501</v>
      </c>
      <c r="AF22">
        <v>0.200327523675083</v>
      </c>
      <c r="AG22">
        <v>0.20410506771863801</v>
      </c>
      <c r="AH22">
        <v>0.211518989099924</v>
      </c>
      <c r="AI22">
        <v>0.197741923228967</v>
      </c>
      <c r="AJ22">
        <v>0.19017553382055</v>
      </c>
      <c r="AK22">
        <v>0.197976257874141</v>
      </c>
      <c r="AL22">
        <v>0.20640414921867301</v>
      </c>
      <c r="AM22">
        <v>0.22138158720522</v>
      </c>
      <c r="AN22">
        <v>0.21455428933088699</v>
      </c>
      <c r="AO22">
        <v>0.20163109906253401</v>
      </c>
      <c r="AP22">
        <v>0.22017207156422899</v>
      </c>
      <c r="AQ22">
        <v>0.20800216156488699</v>
      </c>
      <c r="AR22">
        <v>0.19852277127268</v>
      </c>
      <c r="AS22">
        <v>0.20117737604439201</v>
      </c>
      <c r="AT22">
        <v>0.20151423685929501</v>
      </c>
      <c r="AU22">
        <v>0.201676731477195</v>
      </c>
      <c r="AV22">
        <v>0.21413267900705199</v>
      </c>
      <c r="AW22">
        <v>0.200297435038329</v>
      </c>
      <c r="AX22">
        <v>0.20780124297007699</v>
      </c>
      <c r="AY22">
        <v>0.20253744845572499</v>
      </c>
      <c r="AZ22">
        <v>0.20712323178004999</v>
      </c>
      <c r="BA22">
        <v>0.20111126531243201</v>
      </c>
      <c r="BB22">
        <v>0.19315863966664801</v>
      </c>
      <c r="BC22">
        <v>0.20589075332582199</v>
      </c>
      <c r="BD22">
        <v>0.201886900588199</v>
      </c>
      <c r="BE22">
        <v>0.19667141475518199</v>
      </c>
      <c r="BF22">
        <v>0.20124131023105399</v>
      </c>
      <c r="BG22">
        <v>0.21774987109219801</v>
      </c>
      <c r="BH22">
        <v>0.232678925542012</v>
      </c>
      <c r="BI22">
        <v>0.443698249720755</v>
      </c>
      <c r="BJ22">
        <v>1.1702764206605301</v>
      </c>
      <c r="BK22">
        <v>0.39723079214031098</v>
      </c>
      <c r="BL22">
        <v>0.32296576914138198</v>
      </c>
      <c r="BM22">
        <v>0.28594576813476902</v>
      </c>
      <c r="BN22">
        <v>0.28946963837042999</v>
      </c>
      <c r="BO22">
        <v>0.31154408390351601</v>
      </c>
      <c r="BP22">
        <v>0.31522216678821902</v>
      </c>
      <c r="BQ22">
        <v>0.29353838225568302</v>
      </c>
      <c r="BR22">
        <v>0.30954543573478599</v>
      </c>
      <c r="BS22">
        <v>0.28402547125530703</v>
      </c>
      <c r="BT22">
        <v>0.26021043450360898</v>
      </c>
      <c r="BU22">
        <v>0.2544661831717</v>
      </c>
      <c r="BV22">
        <v>0.23792557859383601</v>
      </c>
      <c r="BW22">
        <v>0.219411511331808</v>
      </c>
      <c r="BX22">
        <v>0.22250560472747899</v>
      </c>
      <c r="BY22">
        <v>0.23234458752194301</v>
      </c>
      <c r="BZ22">
        <v>0.25839648227558998</v>
      </c>
      <c r="CA22">
        <v>0.249491148201087</v>
      </c>
      <c r="CB22">
        <v>0.25572902020903199</v>
      </c>
      <c r="CC22">
        <v>0.280899518867395</v>
      </c>
      <c r="CD22">
        <v>0.32012660720553798</v>
      </c>
      <c r="CE22">
        <v>0.332930487164667</v>
      </c>
      <c r="CF22">
        <v>0.353414476307709</v>
      </c>
      <c r="CG22">
        <v>0.38411450616278597</v>
      </c>
      <c r="CH22">
        <v>0.36665337628988698</v>
      </c>
      <c r="CI22">
        <v>0.43240627616781402</v>
      </c>
      <c r="CJ22">
        <v>0.40857126220193202</v>
      </c>
      <c r="CK22">
        <v>0.445425195112508</v>
      </c>
      <c r="CL22">
        <v>0.43836884165409801</v>
      </c>
      <c r="CM22">
        <v>0.39579787202713401</v>
      </c>
      <c r="CN22">
        <v>0.41743438386175402</v>
      </c>
      <c r="CO22">
        <v>0.40665600088901499</v>
      </c>
    </row>
    <row r="23" spans="1:97" x14ac:dyDescent="0.25">
      <c r="A23" t="s">
        <v>21</v>
      </c>
      <c r="B23">
        <v>1.2095833650663601</v>
      </c>
      <c r="C23">
        <v>1.51247188455362</v>
      </c>
      <c r="D23">
        <v>1.3381841763289199</v>
      </c>
      <c r="E23">
        <v>1.2769823976208301</v>
      </c>
      <c r="F23">
        <v>1.2506115373455799</v>
      </c>
      <c r="G23">
        <v>1.12094494205025</v>
      </c>
      <c r="H23">
        <v>1.2560778267908199</v>
      </c>
      <c r="I23">
        <v>1.32597008743529</v>
      </c>
      <c r="J23">
        <v>1.32707699399775</v>
      </c>
      <c r="K23">
        <v>1.3204315139437699</v>
      </c>
      <c r="L23">
        <v>1.41143154840888</v>
      </c>
      <c r="M23">
        <v>1.1887037461343599</v>
      </c>
      <c r="N23">
        <v>1.4114197577344501</v>
      </c>
      <c r="O23">
        <v>1.23164481477597</v>
      </c>
      <c r="P23">
        <v>1.35486336498746</v>
      </c>
      <c r="Q23">
        <v>1.2724372061776099</v>
      </c>
      <c r="R23">
        <v>1.21467758443305</v>
      </c>
      <c r="S23">
        <v>1.35020049058359</v>
      </c>
      <c r="T23">
        <v>1.12727633937814</v>
      </c>
      <c r="U23">
        <v>1.24709873550671</v>
      </c>
      <c r="V23">
        <v>1.26555013719937</v>
      </c>
      <c r="W23">
        <v>1.1921383480405401</v>
      </c>
      <c r="X23">
        <v>1.09782847976915</v>
      </c>
      <c r="Y23">
        <v>1.20812145681585</v>
      </c>
      <c r="Z23">
        <v>1.1912848615068701</v>
      </c>
      <c r="AA23">
        <v>1.1732402627367999</v>
      </c>
      <c r="AB23">
        <v>1.17054246406553</v>
      </c>
      <c r="AC23">
        <v>1.10350603998456</v>
      </c>
      <c r="AD23">
        <v>1.16166370891493</v>
      </c>
      <c r="AE23">
        <v>1.29750786764806</v>
      </c>
      <c r="AF23">
        <v>1.0350019341736001</v>
      </c>
      <c r="AG23">
        <v>1.1208682831627199</v>
      </c>
      <c r="AH23">
        <v>1.30579797132228</v>
      </c>
      <c r="AI23">
        <v>1.1419382976136401</v>
      </c>
      <c r="AJ23">
        <v>1.1634428516408899</v>
      </c>
      <c r="AK23">
        <v>1.05812880283356</v>
      </c>
      <c r="AL23">
        <v>1.0509537088474601</v>
      </c>
      <c r="AM23">
        <v>1.25003317622207</v>
      </c>
      <c r="AN23">
        <v>1.2880006549309</v>
      </c>
      <c r="AO23">
        <v>1.1354334389128999</v>
      </c>
      <c r="AP23">
        <v>1.4305254450592799</v>
      </c>
      <c r="AQ23">
        <v>1.09914955739429</v>
      </c>
      <c r="AR23">
        <v>1.15740600049602</v>
      </c>
      <c r="AS23">
        <v>1.1627952659509</v>
      </c>
      <c r="AT23">
        <v>1.07378166860182</v>
      </c>
      <c r="AU23">
        <v>1.35087023171735</v>
      </c>
      <c r="AV23">
        <v>1.22219405415752</v>
      </c>
      <c r="AW23">
        <v>1.1600631194703701</v>
      </c>
      <c r="AX23">
        <v>1.3856581328731501</v>
      </c>
      <c r="AY23">
        <v>1.1326510108985199</v>
      </c>
      <c r="AZ23">
        <v>1.2069705799549399</v>
      </c>
      <c r="BA23">
        <v>1.2981802033406</v>
      </c>
      <c r="BB23">
        <v>1.32688163273596</v>
      </c>
      <c r="BC23">
        <v>1.1017411380128099</v>
      </c>
      <c r="BD23">
        <v>1.04338827727698</v>
      </c>
      <c r="BE23">
        <v>1.4096584633385001</v>
      </c>
      <c r="BF23">
        <v>1.3178769486665101</v>
      </c>
      <c r="BG23">
        <v>1.5353517909889101</v>
      </c>
      <c r="BH23">
        <v>2.0421292726906501</v>
      </c>
      <c r="BI23">
        <v>3.1266672670071398</v>
      </c>
      <c r="BJ23">
        <v>6.90713084308035</v>
      </c>
      <c r="BK23">
        <v>2.0905689371070801</v>
      </c>
      <c r="BL23">
        <v>1.7476167225102299</v>
      </c>
      <c r="BM23">
        <v>1.65703490951736</v>
      </c>
      <c r="BN23">
        <v>1.4799149664892901</v>
      </c>
      <c r="BO23">
        <v>1.65981167759532</v>
      </c>
      <c r="BP23">
        <v>1.6915454087627499</v>
      </c>
      <c r="BQ23">
        <v>1.5573189847323901</v>
      </c>
      <c r="BR23">
        <v>1.6150594578531901</v>
      </c>
      <c r="BS23">
        <v>1.5250354861375499</v>
      </c>
      <c r="BT23">
        <v>1.3990153908915099</v>
      </c>
      <c r="BU23">
        <v>1.3562614141057601</v>
      </c>
      <c r="BV23">
        <v>1.2906477018964899</v>
      </c>
      <c r="BW23">
        <v>1.2622502892512399</v>
      </c>
      <c r="BX23">
        <v>1.45311344757205</v>
      </c>
      <c r="BY23">
        <v>1.34831631533666</v>
      </c>
      <c r="BZ23">
        <v>1.76589097993997</v>
      </c>
      <c r="CA23">
        <v>1.4561110623519</v>
      </c>
      <c r="CB23">
        <v>1.56270569685349</v>
      </c>
      <c r="CC23">
        <v>1.7011923369573001</v>
      </c>
      <c r="CD23">
        <v>1.9594859759783201</v>
      </c>
      <c r="CE23">
        <v>2.1214815106805598</v>
      </c>
      <c r="CF23">
        <v>2.0965958557538</v>
      </c>
      <c r="CG23">
        <v>1.9448453536597701</v>
      </c>
      <c r="CH23">
        <v>1.9265677623223501</v>
      </c>
      <c r="CI23">
        <v>2.4310461729271</v>
      </c>
      <c r="CJ23">
        <v>2.3473640655924299</v>
      </c>
      <c r="CK23">
        <v>2.4016051811527399</v>
      </c>
      <c r="CL23">
        <v>2.35071737461592</v>
      </c>
      <c r="CM23">
        <v>2.1418688928457699</v>
      </c>
      <c r="CN23">
        <v>2.5877810460919202</v>
      </c>
      <c r="CO23">
        <v>2.1663531843296702</v>
      </c>
    </row>
    <row r="24" spans="1:97" x14ac:dyDescent="0.25">
      <c r="A24" t="s">
        <v>22</v>
      </c>
      <c r="B24">
        <v>0.871092489283253</v>
      </c>
      <c r="C24">
        <v>1.0140469947333199</v>
      </c>
      <c r="D24">
        <v>0.94697173837535098</v>
      </c>
      <c r="E24">
        <v>0.908918127349156</v>
      </c>
      <c r="F24">
        <v>0.86550204870420899</v>
      </c>
      <c r="G24">
        <v>0.82417251090163302</v>
      </c>
      <c r="H24">
        <v>0.87376323146377</v>
      </c>
      <c r="I24">
        <v>0.88038712279129105</v>
      </c>
      <c r="J24">
        <v>0.89558466328532504</v>
      </c>
      <c r="K24">
        <v>0.895714615868894</v>
      </c>
      <c r="L24">
        <v>0.90775066756660305</v>
      </c>
      <c r="M24">
        <v>0.93388497688225403</v>
      </c>
      <c r="N24">
        <v>0.91816181232569105</v>
      </c>
      <c r="O24">
        <v>0.89717489297330899</v>
      </c>
      <c r="P24">
        <v>0.89453813544157801</v>
      </c>
      <c r="Q24">
        <v>0.89753249295145399</v>
      </c>
      <c r="R24">
        <v>0.89621697964063896</v>
      </c>
      <c r="S24">
        <v>0.891560299439346</v>
      </c>
      <c r="T24">
        <v>0.850379902342698</v>
      </c>
      <c r="U24">
        <v>0.79260553592886696</v>
      </c>
      <c r="V24">
        <v>0.84600136115633695</v>
      </c>
      <c r="W24">
        <v>0.80137793164361704</v>
      </c>
      <c r="X24">
        <v>0.79764937631987198</v>
      </c>
      <c r="Y24">
        <v>0.80658834287477499</v>
      </c>
      <c r="Z24">
        <v>0.80963312621392802</v>
      </c>
      <c r="AA24">
        <v>0.82082870672702701</v>
      </c>
      <c r="AB24">
        <v>0.81865702873808199</v>
      </c>
      <c r="AC24">
        <v>0.79001399017579699</v>
      </c>
      <c r="AD24">
        <v>0.81581485989053304</v>
      </c>
      <c r="AE24">
        <v>0.80049095590645702</v>
      </c>
      <c r="AF24">
        <v>0.76921920338707395</v>
      </c>
      <c r="AG24">
        <v>0.789639227317113</v>
      </c>
      <c r="AH24">
        <v>0.82647451368634905</v>
      </c>
      <c r="AI24">
        <v>0.80242469146503304</v>
      </c>
      <c r="AJ24">
        <v>0.77459533221810095</v>
      </c>
      <c r="AK24">
        <v>0.78404897393106598</v>
      </c>
      <c r="AL24">
        <v>0.81934579843245203</v>
      </c>
      <c r="AM24">
        <v>0.86328197030874398</v>
      </c>
      <c r="AN24">
        <v>0.85466734539931499</v>
      </c>
      <c r="AO24">
        <v>0.82364954246712796</v>
      </c>
      <c r="AP24">
        <v>0.90864050130868301</v>
      </c>
      <c r="AQ24">
        <v>0.82194626699918505</v>
      </c>
      <c r="AR24">
        <v>0.78259512534396802</v>
      </c>
      <c r="AS24">
        <v>0.79687364837239005</v>
      </c>
      <c r="AT24">
        <v>0.78796181533056597</v>
      </c>
      <c r="AU24">
        <v>0.81470729548188003</v>
      </c>
      <c r="AV24">
        <v>0.85665595761395497</v>
      </c>
      <c r="AW24">
        <v>0.78814791279741303</v>
      </c>
      <c r="AX24">
        <v>0.79851148945028205</v>
      </c>
      <c r="AY24">
        <v>0.79885622912838805</v>
      </c>
      <c r="AZ24">
        <v>0.83106591249803197</v>
      </c>
      <c r="BA24">
        <v>0.80976059212379203</v>
      </c>
      <c r="BB24">
        <v>0.772246596047373</v>
      </c>
      <c r="BC24">
        <v>0.80573036041826696</v>
      </c>
      <c r="BD24">
        <v>0.78624696915736303</v>
      </c>
      <c r="BE24">
        <v>0.77290868632146004</v>
      </c>
      <c r="BF24">
        <v>0.78067239382943199</v>
      </c>
      <c r="BG24">
        <v>0.88920346168521802</v>
      </c>
      <c r="BH24">
        <v>0.95267428192010395</v>
      </c>
      <c r="BI24">
        <v>1.8121118302680901</v>
      </c>
      <c r="BJ24">
        <v>4.5751775178359999</v>
      </c>
      <c r="BK24">
        <v>1.59745039720782</v>
      </c>
      <c r="BL24">
        <v>1.3061609503485501</v>
      </c>
      <c r="BM24">
        <v>1.1330482754864599</v>
      </c>
      <c r="BN24">
        <v>1.16394221713414</v>
      </c>
      <c r="BO24">
        <v>1.26545163652465</v>
      </c>
      <c r="BP24">
        <v>1.2349889377763701</v>
      </c>
      <c r="BQ24">
        <v>1.1718331528489001</v>
      </c>
      <c r="BR24">
        <v>1.2024350968355999</v>
      </c>
      <c r="BS24">
        <v>1.1471828224634399</v>
      </c>
      <c r="BT24">
        <v>1.0365112833666099</v>
      </c>
      <c r="BU24">
        <v>1.00191804148963</v>
      </c>
      <c r="BV24">
        <v>0.94891744755542795</v>
      </c>
      <c r="BW24">
        <v>0.88973466834526604</v>
      </c>
      <c r="BX24">
        <v>0.90011234258745398</v>
      </c>
      <c r="BY24">
        <v>0.93896956346278904</v>
      </c>
      <c r="BZ24">
        <v>1.0251987750493501</v>
      </c>
      <c r="CA24">
        <v>1.0013948832231401</v>
      </c>
      <c r="CB24">
        <v>1.0425784980569099</v>
      </c>
      <c r="CC24">
        <v>1.1659946321586501</v>
      </c>
      <c r="CD24">
        <v>1.2852717132856899</v>
      </c>
      <c r="CE24">
        <v>1.36853429528162</v>
      </c>
      <c r="CF24">
        <v>1.4113279793812601</v>
      </c>
      <c r="CG24">
        <v>1.5159215799252601</v>
      </c>
      <c r="CH24">
        <v>1.47314574802812</v>
      </c>
      <c r="CI24">
        <v>1.7613439059237801</v>
      </c>
      <c r="CJ24">
        <v>1.6893969240078699</v>
      </c>
      <c r="CK24">
        <v>1.7935018737841799</v>
      </c>
      <c r="CL24">
        <v>1.76557087904223</v>
      </c>
      <c r="CM24">
        <v>1.59356977178524</v>
      </c>
      <c r="CN24">
        <v>1.7260042517293801</v>
      </c>
      <c r="CO24">
        <v>1.6447863319203999</v>
      </c>
    </row>
    <row r="25" spans="1:97" x14ac:dyDescent="0.25">
      <c r="A25" t="s">
        <v>23</v>
      </c>
      <c r="B25">
        <v>0.85680907108000803</v>
      </c>
      <c r="C25">
        <v>0.99314490902994401</v>
      </c>
      <c r="D25">
        <v>0.91955371899032301</v>
      </c>
      <c r="E25">
        <v>0.89159290715167205</v>
      </c>
      <c r="F25">
        <v>0.83014673924930904</v>
      </c>
      <c r="G25">
        <v>0.79554336267669201</v>
      </c>
      <c r="H25">
        <v>0.83402939179987401</v>
      </c>
      <c r="I25">
        <v>0.85495616985684397</v>
      </c>
      <c r="J25">
        <v>0.86078909202004705</v>
      </c>
      <c r="K25">
        <v>0.88087128371092704</v>
      </c>
      <c r="L25">
        <v>0.87453490073469997</v>
      </c>
      <c r="M25">
        <v>0.92474203709742098</v>
      </c>
      <c r="N25">
        <v>0.899577465450345</v>
      </c>
      <c r="O25">
        <v>0.86400386017603203</v>
      </c>
      <c r="P25">
        <v>0.88578756419837901</v>
      </c>
      <c r="Q25">
        <v>0.86896539462446798</v>
      </c>
      <c r="R25">
        <v>0.88030853219507099</v>
      </c>
      <c r="S25">
        <v>0.86916602427463896</v>
      </c>
      <c r="T25">
        <v>0.84502961666640297</v>
      </c>
      <c r="U25">
        <v>0.78342144927470603</v>
      </c>
      <c r="V25">
        <v>0.81439509833877399</v>
      </c>
      <c r="W25">
        <v>0.80266792836593803</v>
      </c>
      <c r="X25">
        <v>0.77308673064995004</v>
      </c>
      <c r="Y25">
        <v>0.78578139666705504</v>
      </c>
      <c r="Z25">
        <v>0.80148631709407903</v>
      </c>
      <c r="AA25">
        <v>0.80510282022595103</v>
      </c>
      <c r="AB25">
        <v>0.80584532442051804</v>
      </c>
      <c r="AC25">
        <v>0.77696703875903395</v>
      </c>
      <c r="AD25">
        <v>0.78988651417415401</v>
      </c>
      <c r="AE25">
        <v>0.78114401600615702</v>
      </c>
      <c r="AF25">
        <v>0.76173374885962897</v>
      </c>
      <c r="AG25">
        <v>0.77560054104103504</v>
      </c>
      <c r="AH25">
        <v>0.81639612672188799</v>
      </c>
      <c r="AI25">
        <v>0.78332452230080396</v>
      </c>
      <c r="AJ25">
        <v>0.74418843047833505</v>
      </c>
      <c r="AK25">
        <v>0.77484898797702095</v>
      </c>
      <c r="AL25">
        <v>0.78233855536372898</v>
      </c>
      <c r="AM25">
        <v>0.84397349399091803</v>
      </c>
      <c r="AN25">
        <v>0.80859563418077096</v>
      </c>
      <c r="AO25">
        <v>0.80106855345886196</v>
      </c>
      <c r="AP25">
        <v>0.87271625853899704</v>
      </c>
      <c r="AQ25">
        <v>0.81313959297030303</v>
      </c>
      <c r="AR25">
        <v>0.76742203159517497</v>
      </c>
      <c r="AS25">
        <v>0.777067598858875</v>
      </c>
      <c r="AT25">
        <v>0.75171201189482995</v>
      </c>
      <c r="AU25">
        <v>0.78328754056033101</v>
      </c>
      <c r="AV25">
        <v>0.83100213740739104</v>
      </c>
      <c r="AW25">
        <v>0.76008268093891196</v>
      </c>
      <c r="AX25">
        <v>0.79027530188285999</v>
      </c>
      <c r="AY25">
        <v>0.77403557220872399</v>
      </c>
      <c r="AZ25">
        <v>0.81638466715341595</v>
      </c>
      <c r="BA25">
        <v>0.779691442226779</v>
      </c>
      <c r="BB25">
        <v>0.74141145367981598</v>
      </c>
      <c r="BC25">
        <v>0.78493396118633396</v>
      </c>
      <c r="BD25">
        <v>0.77904760048561394</v>
      </c>
      <c r="BE25">
        <v>0.77543759758514996</v>
      </c>
      <c r="BF25">
        <v>0.75062676990886201</v>
      </c>
      <c r="BG25">
        <v>0.85820577883529603</v>
      </c>
      <c r="BH25">
        <v>0.92538817941670404</v>
      </c>
      <c r="BI25">
        <v>1.77479299888302</v>
      </c>
      <c r="BJ25">
        <v>4.6811056826421398</v>
      </c>
      <c r="BK25">
        <v>1.57535239751434</v>
      </c>
      <c r="BL25">
        <v>1.2892978571232301</v>
      </c>
      <c r="BM25">
        <v>1.1135744272583501</v>
      </c>
      <c r="BN25">
        <v>1.1536355594238901</v>
      </c>
      <c r="BO25">
        <v>1.24184765159897</v>
      </c>
      <c r="BP25">
        <v>1.2464195231534301</v>
      </c>
      <c r="BQ25">
        <v>1.1565412093003899</v>
      </c>
      <c r="BR25">
        <v>1.2004769258242001</v>
      </c>
      <c r="BS25">
        <v>1.1345445385969399</v>
      </c>
      <c r="BT25">
        <v>1.02747093174736</v>
      </c>
      <c r="BU25">
        <v>0.99858621181271301</v>
      </c>
      <c r="BV25">
        <v>0.93466664080850603</v>
      </c>
      <c r="BW25">
        <v>0.87217842680926405</v>
      </c>
      <c r="BX25">
        <v>0.855031758459043</v>
      </c>
      <c r="BY25">
        <v>0.91590500119200302</v>
      </c>
      <c r="BZ25">
        <v>1.0127142960579201</v>
      </c>
      <c r="CA25">
        <v>0.98371443070618203</v>
      </c>
      <c r="CB25">
        <v>1.01715313035739</v>
      </c>
      <c r="CC25">
        <v>1.12359807546958</v>
      </c>
      <c r="CD25">
        <v>1.27999168469571</v>
      </c>
      <c r="CE25">
        <v>1.32964104544623</v>
      </c>
      <c r="CF25">
        <v>1.41365790523083</v>
      </c>
      <c r="CG25">
        <v>1.5364580246511399</v>
      </c>
      <c r="CH25">
        <v>1.4666135051595399</v>
      </c>
      <c r="CI25">
        <v>1.7296251046712501</v>
      </c>
      <c r="CJ25">
        <v>1.6342850488077301</v>
      </c>
      <c r="CK25">
        <v>1.78170078045003</v>
      </c>
      <c r="CL25">
        <v>1.75347536661639</v>
      </c>
      <c r="CM25">
        <v>1.5831914881085301</v>
      </c>
      <c r="CN25">
        <v>1.6697375354470101</v>
      </c>
      <c r="CO25">
        <v>1.62662400355606</v>
      </c>
    </row>
    <row r="26" spans="1:97" x14ac:dyDescent="0.25">
      <c r="A26" t="s">
        <v>24</v>
      </c>
      <c r="B26">
        <v>4.8383334602654404</v>
      </c>
      <c r="C26">
        <v>6.0498875382144996</v>
      </c>
      <c r="D26">
        <v>5.3527367053156798</v>
      </c>
      <c r="E26">
        <v>5.1079295904833497</v>
      </c>
      <c r="F26">
        <v>5.0024461493823296</v>
      </c>
      <c r="G26">
        <v>4.4837797682010301</v>
      </c>
      <c r="H26">
        <v>5.0243113071633099</v>
      </c>
      <c r="I26">
        <v>5.3038803497411804</v>
      </c>
      <c r="J26">
        <v>5.3083079759910303</v>
      </c>
      <c r="K26">
        <v>5.2817260557750902</v>
      </c>
      <c r="L26">
        <v>5.6457261936355501</v>
      </c>
      <c r="M26">
        <v>4.7548149845374601</v>
      </c>
      <c r="N26">
        <v>5.6456790309378198</v>
      </c>
      <c r="O26">
        <v>4.9265792591038897</v>
      </c>
      <c r="P26">
        <v>5.41945345994987</v>
      </c>
      <c r="Q26">
        <v>5.0897488247104699</v>
      </c>
      <c r="R26">
        <v>4.8587103377321998</v>
      </c>
      <c r="S26">
        <v>5.4008019623343602</v>
      </c>
      <c r="T26">
        <v>4.5091053575125803</v>
      </c>
      <c r="U26">
        <v>4.9883949420268703</v>
      </c>
      <c r="V26">
        <v>5.0622005487975104</v>
      </c>
      <c r="W26">
        <v>4.7685533921621897</v>
      </c>
      <c r="X26">
        <v>4.3913139190766204</v>
      </c>
      <c r="Y26">
        <v>4.8324858272634197</v>
      </c>
      <c r="Z26">
        <v>4.7651394460274803</v>
      </c>
      <c r="AA26">
        <v>4.6929610509472299</v>
      </c>
      <c r="AB26">
        <v>4.6821698562621501</v>
      </c>
      <c r="AC26">
        <v>4.4140241599382399</v>
      </c>
      <c r="AD26">
        <v>4.6466548356597404</v>
      </c>
      <c r="AE26">
        <v>5.1900314705922499</v>
      </c>
      <c r="AF26">
        <v>4.1400077366944004</v>
      </c>
      <c r="AG26">
        <v>4.4834731326509001</v>
      </c>
      <c r="AH26">
        <v>5.2231918852891299</v>
      </c>
      <c r="AI26">
        <v>4.5677531904545798</v>
      </c>
      <c r="AJ26">
        <v>4.65377140656358</v>
      </c>
      <c r="AK26">
        <v>4.2325152113342597</v>
      </c>
      <c r="AL26">
        <v>4.2038148353898501</v>
      </c>
      <c r="AM26">
        <v>5.0001327048882898</v>
      </c>
      <c r="AN26">
        <v>5.1520026197236</v>
      </c>
      <c r="AO26">
        <v>4.5417337556515998</v>
      </c>
      <c r="AP26">
        <v>5.7221017802371303</v>
      </c>
      <c r="AQ26">
        <v>4.3965982295771902</v>
      </c>
      <c r="AR26">
        <v>4.6296240019840997</v>
      </c>
      <c r="AS26">
        <v>4.6511810638036302</v>
      </c>
      <c r="AT26">
        <v>4.29512667440728</v>
      </c>
      <c r="AU26">
        <v>5.4034809268694302</v>
      </c>
      <c r="AV26">
        <v>4.8887762166300996</v>
      </c>
      <c r="AW26">
        <v>4.6402524778814902</v>
      </c>
      <c r="AX26">
        <v>5.5426325314926297</v>
      </c>
      <c r="AY26">
        <v>4.53060404359411</v>
      </c>
      <c r="AZ26">
        <v>4.8278823198197598</v>
      </c>
      <c r="BA26">
        <v>5.1927208133624001</v>
      </c>
      <c r="BB26">
        <v>5.30752653094385</v>
      </c>
      <c r="BC26">
        <v>4.4069645520512397</v>
      </c>
      <c r="BD26">
        <v>4.1735531091079299</v>
      </c>
      <c r="BE26">
        <v>5.6386338533540101</v>
      </c>
      <c r="BF26">
        <v>5.27150779466605</v>
      </c>
      <c r="BG26">
        <v>6.1414071639556598</v>
      </c>
      <c r="BH26">
        <v>8.1685170907626201</v>
      </c>
      <c r="BI26">
        <v>12.506669068028501</v>
      </c>
      <c r="BJ26">
        <v>27.6285233723214</v>
      </c>
      <c r="BK26">
        <v>8.3622757484283294</v>
      </c>
      <c r="BL26">
        <v>6.9904668900409499</v>
      </c>
      <c r="BM26">
        <v>6.6281396380694702</v>
      </c>
      <c r="BN26">
        <v>5.9196598659571702</v>
      </c>
      <c r="BO26">
        <v>6.6392467103813102</v>
      </c>
      <c r="BP26">
        <v>6.7661816350510202</v>
      </c>
      <c r="BQ26">
        <v>6.2292759389295798</v>
      </c>
      <c r="BR26">
        <v>6.4602378314127904</v>
      </c>
      <c r="BS26">
        <v>6.1001419445502298</v>
      </c>
      <c r="BT26">
        <v>5.5960615635660496</v>
      </c>
      <c r="BU26">
        <v>5.4250456564230403</v>
      </c>
      <c r="BV26">
        <v>5.1625908075859801</v>
      </c>
      <c r="BW26">
        <v>5.04900115700499</v>
      </c>
      <c r="BX26">
        <v>5.8124537902882301</v>
      </c>
      <c r="BY26">
        <v>5.3932652613466496</v>
      </c>
      <c r="BZ26">
        <v>7.0635639197598898</v>
      </c>
      <c r="CA26">
        <v>5.8244442494076099</v>
      </c>
      <c r="CB26">
        <v>6.2508227874139903</v>
      </c>
      <c r="CC26">
        <v>6.8047693478292199</v>
      </c>
      <c r="CD26">
        <v>7.8379439039132901</v>
      </c>
      <c r="CE26">
        <v>8.4859260427222694</v>
      </c>
      <c r="CF26">
        <v>8.3863834230152197</v>
      </c>
      <c r="CG26">
        <v>7.7793814146391096</v>
      </c>
      <c r="CH26">
        <v>7.70627104928941</v>
      </c>
      <c r="CI26">
        <v>9.7241846917084196</v>
      </c>
      <c r="CJ26">
        <v>9.3894562623697198</v>
      </c>
      <c r="CK26">
        <v>9.6064207246109703</v>
      </c>
      <c r="CL26">
        <v>9.4028694984637102</v>
      </c>
      <c r="CM26">
        <v>8.5674755713830795</v>
      </c>
      <c r="CN26">
        <v>10.3511241843677</v>
      </c>
      <c r="CO26">
        <v>8.6654127373187109</v>
      </c>
    </row>
    <row r="27" spans="1:97" x14ac:dyDescent="0.25">
      <c r="A27" t="s">
        <v>25</v>
      </c>
      <c r="B27">
        <v>3.4843699571330098</v>
      </c>
      <c r="C27">
        <v>4.0561879789333002</v>
      </c>
      <c r="D27">
        <v>3.7878869535013999</v>
      </c>
      <c r="E27">
        <v>3.63567250939662</v>
      </c>
      <c r="F27">
        <v>3.4620081948168302</v>
      </c>
      <c r="G27">
        <v>3.2966900436065298</v>
      </c>
      <c r="H27">
        <v>3.49505292585508</v>
      </c>
      <c r="I27">
        <v>3.5215484911651602</v>
      </c>
      <c r="J27">
        <v>3.5823386531413002</v>
      </c>
      <c r="K27">
        <v>3.5828584634755698</v>
      </c>
      <c r="L27">
        <v>3.63100267026641</v>
      </c>
      <c r="M27">
        <v>3.7355399075290099</v>
      </c>
      <c r="N27">
        <v>3.6726472493027602</v>
      </c>
      <c r="O27">
        <v>3.5886995718932302</v>
      </c>
      <c r="P27">
        <v>3.5781525417663098</v>
      </c>
      <c r="Q27">
        <v>3.5901299718058102</v>
      </c>
      <c r="R27">
        <v>3.58486791856255</v>
      </c>
      <c r="S27">
        <v>3.56624119775738</v>
      </c>
      <c r="T27">
        <v>3.4015196093707898</v>
      </c>
      <c r="U27">
        <v>3.17042214371547</v>
      </c>
      <c r="V27">
        <v>3.38400544462535</v>
      </c>
      <c r="W27">
        <v>3.2055117265744699</v>
      </c>
      <c r="X27">
        <v>3.1905975052794902</v>
      </c>
      <c r="Y27">
        <v>3.2263533714991</v>
      </c>
      <c r="Z27">
        <v>3.2385325048557099</v>
      </c>
      <c r="AA27">
        <v>3.2833148269081001</v>
      </c>
      <c r="AB27">
        <v>3.27462811495232</v>
      </c>
      <c r="AC27">
        <v>3.1600559607031902</v>
      </c>
      <c r="AD27">
        <v>3.2632594395621299</v>
      </c>
      <c r="AE27">
        <v>3.2019638236258201</v>
      </c>
      <c r="AF27">
        <v>3.07687681354829</v>
      </c>
      <c r="AG27">
        <v>3.1585569092684498</v>
      </c>
      <c r="AH27">
        <v>3.30589805474539</v>
      </c>
      <c r="AI27">
        <v>3.2096987658601299</v>
      </c>
      <c r="AJ27">
        <v>3.0983813288723998</v>
      </c>
      <c r="AK27">
        <v>3.1361958957242599</v>
      </c>
      <c r="AL27">
        <v>3.2773831937298099</v>
      </c>
      <c r="AM27">
        <v>3.4531278812349702</v>
      </c>
      <c r="AN27">
        <v>3.41866938159726</v>
      </c>
      <c r="AO27">
        <v>3.2945981698685101</v>
      </c>
      <c r="AP27">
        <v>3.6345620052347298</v>
      </c>
      <c r="AQ27">
        <v>3.2877850679967402</v>
      </c>
      <c r="AR27">
        <v>3.1303805013758699</v>
      </c>
      <c r="AS27">
        <v>3.1874945934895602</v>
      </c>
      <c r="AT27">
        <v>3.1518472613222599</v>
      </c>
      <c r="AU27">
        <v>3.2588291819275201</v>
      </c>
      <c r="AV27">
        <v>3.4266238304558199</v>
      </c>
      <c r="AW27">
        <v>3.1525916511896499</v>
      </c>
      <c r="AX27">
        <v>3.19404595780113</v>
      </c>
      <c r="AY27">
        <v>3.19542491651355</v>
      </c>
      <c r="AZ27">
        <v>3.3242636499921199</v>
      </c>
      <c r="BA27">
        <v>3.2390423684951699</v>
      </c>
      <c r="BB27">
        <v>3.0889863841894898</v>
      </c>
      <c r="BC27">
        <v>3.22292144167307</v>
      </c>
      <c r="BD27">
        <v>3.1449878766294499</v>
      </c>
      <c r="BE27">
        <v>3.0916347452858401</v>
      </c>
      <c r="BF27">
        <v>3.12268957531772</v>
      </c>
      <c r="BG27">
        <v>3.5568138467408699</v>
      </c>
      <c r="BH27">
        <v>3.81069712768041</v>
      </c>
      <c r="BI27">
        <v>7.2484473210723896</v>
      </c>
      <c r="BJ27">
        <v>18.300710071344</v>
      </c>
      <c r="BK27">
        <v>6.3898015888312996</v>
      </c>
      <c r="BL27">
        <v>5.22464380139421</v>
      </c>
      <c r="BM27">
        <v>4.5321931019458503</v>
      </c>
      <c r="BN27">
        <v>4.6557688685365797</v>
      </c>
      <c r="BO27">
        <v>5.0618065460986097</v>
      </c>
      <c r="BP27">
        <v>4.9399557511054804</v>
      </c>
      <c r="BQ27">
        <v>4.6873326113956102</v>
      </c>
      <c r="BR27">
        <v>4.8097403873424103</v>
      </c>
      <c r="BS27">
        <v>4.5887312898537598</v>
      </c>
      <c r="BT27">
        <v>4.1460451334664503</v>
      </c>
      <c r="BU27">
        <v>4.0076721659585299</v>
      </c>
      <c r="BV27">
        <v>3.79566979022171</v>
      </c>
      <c r="BW27">
        <v>3.5589386733810602</v>
      </c>
      <c r="BX27">
        <v>3.6004493703498102</v>
      </c>
      <c r="BY27">
        <v>3.7558782538511499</v>
      </c>
      <c r="BZ27">
        <v>4.1007951001974101</v>
      </c>
      <c r="CA27">
        <v>4.0055795328925896</v>
      </c>
      <c r="CB27">
        <v>4.17031399222767</v>
      </c>
      <c r="CC27">
        <v>4.6639785286346296</v>
      </c>
      <c r="CD27">
        <v>5.1410868531427703</v>
      </c>
      <c r="CE27">
        <v>5.4741371811264798</v>
      </c>
      <c r="CF27">
        <v>5.6453119175250404</v>
      </c>
      <c r="CG27">
        <v>6.06368631970106</v>
      </c>
      <c r="CH27">
        <v>5.8925829921124997</v>
      </c>
      <c r="CI27">
        <v>7.0453756236951204</v>
      </c>
      <c r="CJ27">
        <v>6.7575876960315098</v>
      </c>
      <c r="CK27">
        <v>7.1740074951367303</v>
      </c>
      <c r="CL27">
        <v>7.0622835161689501</v>
      </c>
      <c r="CM27">
        <v>6.3742790871409598</v>
      </c>
      <c r="CN27">
        <v>6.9040170069175302</v>
      </c>
      <c r="CO27">
        <v>6.5791453276815997</v>
      </c>
    </row>
    <row r="28" spans="1:97" x14ac:dyDescent="0.25">
      <c r="A28" t="s">
        <v>26</v>
      </c>
      <c r="B28">
        <v>3.4272362843200299</v>
      </c>
      <c r="C28">
        <v>3.9725796361197698</v>
      </c>
      <c r="D28">
        <v>3.6782148759612898</v>
      </c>
      <c r="E28">
        <v>3.5663716286066798</v>
      </c>
      <c r="F28">
        <v>3.3205869569972299</v>
      </c>
      <c r="G28">
        <v>3.1821734507067698</v>
      </c>
      <c r="H28">
        <v>3.3361175671994898</v>
      </c>
      <c r="I28">
        <v>3.4198246794273701</v>
      </c>
      <c r="J28">
        <v>3.44315636808019</v>
      </c>
      <c r="K28">
        <v>3.5234851348437002</v>
      </c>
      <c r="L28">
        <v>3.4981396029387999</v>
      </c>
      <c r="M28">
        <v>3.6989681483896799</v>
      </c>
      <c r="N28">
        <v>3.59830986180138</v>
      </c>
      <c r="O28">
        <v>3.4560154407041299</v>
      </c>
      <c r="P28">
        <v>3.5431502567935098</v>
      </c>
      <c r="Q28">
        <v>3.4758615784978701</v>
      </c>
      <c r="R28">
        <v>3.52123412878028</v>
      </c>
      <c r="S28">
        <v>3.4766640970985501</v>
      </c>
      <c r="T28">
        <v>3.3801184666656101</v>
      </c>
      <c r="U28">
        <v>3.1336857970988201</v>
      </c>
      <c r="V28">
        <v>3.2575803933550902</v>
      </c>
      <c r="W28">
        <v>3.2106717134637499</v>
      </c>
      <c r="X28">
        <v>3.0923469225998002</v>
      </c>
      <c r="Y28">
        <v>3.1431255866682202</v>
      </c>
      <c r="Z28">
        <v>3.2059452683763099</v>
      </c>
      <c r="AA28">
        <v>3.2204112809038001</v>
      </c>
      <c r="AB28">
        <v>3.2233812976820699</v>
      </c>
      <c r="AC28">
        <v>3.10786815503613</v>
      </c>
      <c r="AD28">
        <v>3.1595460566966098</v>
      </c>
      <c r="AE28">
        <v>3.1245760640246298</v>
      </c>
      <c r="AF28">
        <v>3.0469349954385101</v>
      </c>
      <c r="AG28">
        <v>3.1024021641641402</v>
      </c>
      <c r="AH28">
        <v>3.2655845068875502</v>
      </c>
      <c r="AI28">
        <v>3.1332980892032101</v>
      </c>
      <c r="AJ28">
        <v>2.9767537219133402</v>
      </c>
      <c r="AK28">
        <v>3.0993959519080798</v>
      </c>
      <c r="AL28">
        <v>3.1293542214549102</v>
      </c>
      <c r="AM28">
        <v>3.3758939759636699</v>
      </c>
      <c r="AN28">
        <v>3.2343825367230798</v>
      </c>
      <c r="AO28">
        <v>3.2042742138354501</v>
      </c>
      <c r="AP28">
        <v>3.4908650341559899</v>
      </c>
      <c r="AQ28">
        <v>3.2525583718812099</v>
      </c>
      <c r="AR28">
        <v>3.0696881263806999</v>
      </c>
      <c r="AS28">
        <v>3.1082703954355</v>
      </c>
      <c r="AT28">
        <v>3.0068480475793198</v>
      </c>
      <c r="AU28">
        <v>3.13315016224132</v>
      </c>
      <c r="AV28">
        <v>3.3240085496295602</v>
      </c>
      <c r="AW28">
        <v>3.0403307237556501</v>
      </c>
      <c r="AX28">
        <v>3.16110120753144</v>
      </c>
      <c r="AY28">
        <v>3.0961422888348902</v>
      </c>
      <c r="AZ28">
        <v>3.2655386686136598</v>
      </c>
      <c r="BA28">
        <v>3.1187657689071102</v>
      </c>
      <c r="BB28">
        <v>2.9656458147192599</v>
      </c>
      <c r="BC28">
        <v>3.1397358447453301</v>
      </c>
      <c r="BD28">
        <v>3.11619040194245</v>
      </c>
      <c r="BE28">
        <v>3.1017503903405998</v>
      </c>
      <c r="BF28">
        <v>3.0025070796354401</v>
      </c>
      <c r="BG28">
        <v>3.4328231153411801</v>
      </c>
      <c r="BH28">
        <v>3.7015527176668099</v>
      </c>
      <c r="BI28">
        <v>7.09917199553208</v>
      </c>
      <c r="BJ28">
        <v>18.724422730568499</v>
      </c>
      <c r="BK28">
        <v>6.3014095900573901</v>
      </c>
      <c r="BL28">
        <v>5.1571914284929399</v>
      </c>
      <c r="BM28">
        <v>4.4542977090334199</v>
      </c>
      <c r="BN28">
        <v>4.6145422376955603</v>
      </c>
      <c r="BO28">
        <v>4.9673906063958801</v>
      </c>
      <c r="BP28">
        <v>4.9856780926137301</v>
      </c>
      <c r="BQ28">
        <v>4.6261648372015598</v>
      </c>
      <c r="BR28">
        <v>4.8019077032968003</v>
      </c>
      <c r="BS28">
        <v>4.5381781543877704</v>
      </c>
      <c r="BT28">
        <v>4.1098837269894704</v>
      </c>
      <c r="BU28">
        <v>3.9943448472508498</v>
      </c>
      <c r="BV28">
        <v>3.7386665632340201</v>
      </c>
      <c r="BW28">
        <v>3.48871370723705</v>
      </c>
      <c r="BX28">
        <v>3.4201270338361698</v>
      </c>
      <c r="BY28">
        <v>3.6636200047680099</v>
      </c>
      <c r="BZ28">
        <v>4.0508571842316998</v>
      </c>
      <c r="CA28">
        <v>3.9348577228247201</v>
      </c>
      <c r="CB28">
        <v>4.0686125214295599</v>
      </c>
      <c r="CC28">
        <v>4.4943923018783298</v>
      </c>
      <c r="CD28">
        <v>5.11996673878284</v>
      </c>
      <c r="CE28">
        <v>5.3185641817849501</v>
      </c>
      <c r="CF28">
        <v>5.6546316209233503</v>
      </c>
      <c r="CG28">
        <v>6.1458320986045898</v>
      </c>
      <c r="CH28">
        <v>5.8664540206381899</v>
      </c>
      <c r="CI28">
        <v>6.9185004186850296</v>
      </c>
      <c r="CJ28">
        <v>6.5371401952309203</v>
      </c>
      <c r="CK28">
        <v>7.1268031218001298</v>
      </c>
      <c r="CL28">
        <v>7.0139014664655699</v>
      </c>
      <c r="CM28">
        <v>6.3327659524341504</v>
      </c>
      <c r="CN28">
        <v>6.6789501417880599</v>
      </c>
      <c r="CO28">
        <v>6.5064960142242496</v>
      </c>
    </row>
    <row r="29" spans="1:97" x14ac:dyDescent="0.25">
      <c r="A29" t="s">
        <v>32</v>
      </c>
      <c r="B29">
        <v>0.76957219099999996</v>
      </c>
      <c r="C29">
        <v>0.771817164</v>
      </c>
      <c r="D29">
        <v>0.78552173950000004</v>
      </c>
      <c r="E29">
        <v>0.77333739349999997</v>
      </c>
      <c r="F29">
        <v>0.69855224699999996</v>
      </c>
      <c r="G29">
        <v>0.71226070049999901</v>
      </c>
      <c r="H29">
        <v>0.773592222</v>
      </c>
      <c r="I29">
        <v>0.76798645399999999</v>
      </c>
      <c r="J29">
        <v>0.7563906655</v>
      </c>
      <c r="K29">
        <v>0.72541048299999999</v>
      </c>
      <c r="L29">
        <v>0.74867457049999997</v>
      </c>
      <c r="M29">
        <v>0.77382161049999998</v>
      </c>
      <c r="N29">
        <v>0.75131557849999997</v>
      </c>
      <c r="O29">
        <v>0.75904434850000002</v>
      </c>
      <c r="P29">
        <v>0.67891565050000002</v>
      </c>
      <c r="Q29">
        <v>0.70024108200000001</v>
      </c>
      <c r="R29">
        <v>0.740701163</v>
      </c>
      <c r="S29">
        <v>0.74046465699999997</v>
      </c>
      <c r="T29">
        <v>0.74873955049999996</v>
      </c>
      <c r="U29">
        <v>0.73845619600000001</v>
      </c>
      <c r="V29">
        <v>0.726575334499999</v>
      </c>
      <c r="W29">
        <v>0.78202204350000004</v>
      </c>
      <c r="X29">
        <v>0.83594533650000002</v>
      </c>
      <c r="Y29">
        <v>0.78025976949999998</v>
      </c>
      <c r="Z29">
        <v>0.75657462549999999</v>
      </c>
      <c r="AA29">
        <v>0.70298291499999999</v>
      </c>
      <c r="AB29">
        <v>0.68254177999999999</v>
      </c>
      <c r="AC29">
        <v>0.684465781</v>
      </c>
      <c r="AD29">
        <v>0.69437548549999994</v>
      </c>
      <c r="AE29">
        <v>0.7037178785</v>
      </c>
      <c r="AF29">
        <v>0.672222341</v>
      </c>
      <c r="AG29">
        <v>0.67980481400000004</v>
      </c>
      <c r="AH29">
        <v>0.74230587949999904</v>
      </c>
      <c r="AI29">
        <v>0.76352864149999999</v>
      </c>
      <c r="AJ29">
        <v>0.72191215399999997</v>
      </c>
      <c r="AK29">
        <v>0.72191215399999997</v>
      </c>
      <c r="AL29">
        <v>0.77710206100000001</v>
      </c>
      <c r="AM29">
        <v>0.73831050949999999</v>
      </c>
      <c r="AN29">
        <v>0.65388842250000001</v>
      </c>
      <c r="AO29">
        <v>0.66321230600000003</v>
      </c>
      <c r="AP29">
        <v>0.73972780449999997</v>
      </c>
      <c r="AQ29">
        <v>0.72333429699999996</v>
      </c>
      <c r="AR29">
        <v>0.71002781749999999</v>
      </c>
      <c r="AS29">
        <v>0.72868923050000001</v>
      </c>
      <c r="AT29">
        <v>0.66863318549999995</v>
      </c>
      <c r="AU29">
        <v>0.65794700399999995</v>
      </c>
      <c r="AV29">
        <v>0.69552619199999999</v>
      </c>
      <c r="AW29">
        <v>0.73331566249999902</v>
      </c>
      <c r="AX29">
        <v>0.74682702999999995</v>
      </c>
      <c r="AY29">
        <v>0.76967573</v>
      </c>
      <c r="AZ29">
        <v>0.7477791265</v>
      </c>
      <c r="BA29">
        <v>0.71824162000000003</v>
      </c>
      <c r="BB29">
        <v>0.72944691949999996</v>
      </c>
      <c r="BC29">
        <v>0.68032893350000001</v>
      </c>
      <c r="BD29">
        <v>0.62184915699999999</v>
      </c>
      <c r="BE29">
        <v>0.63156217000000003</v>
      </c>
      <c r="BF29">
        <v>0.66496995749999999</v>
      </c>
      <c r="BG29">
        <v>0.67182250649999997</v>
      </c>
      <c r="BH29">
        <v>0.69815132099999999</v>
      </c>
      <c r="BI29">
        <v>1.3141996124999999</v>
      </c>
      <c r="BJ29">
        <v>12.6789259225</v>
      </c>
      <c r="BK29">
        <v>22.620213794999898</v>
      </c>
      <c r="BL29">
        <v>19.508647905</v>
      </c>
      <c r="BM29">
        <v>15.20489341</v>
      </c>
      <c r="BN29">
        <v>17.173613769999999</v>
      </c>
      <c r="BO29">
        <v>19.879890565</v>
      </c>
      <c r="BP29">
        <v>18.271869219999999</v>
      </c>
      <c r="BQ29">
        <v>17.106053899999999</v>
      </c>
      <c r="BR29">
        <v>15.6821315249999</v>
      </c>
      <c r="BS29">
        <v>15.17592808</v>
      </c>
      <c r="BT29">
        <v>14.28611474</v>
      </c>
      <c r="BU29">
        <v>11.657254006500001</v>
      </c>
      <c r="BV29">
        <v>9.6026396404999996</v>
      </c>
      <c r="BW29">
        <v>9.2022879035000003</v>
      </c>
      <c r="BX29">
        <v>7.7941709709999998</v>
      </c>
      <c r="BY29">
        <v>5.7733400259999996</v>
      </c>
      <c r="BZ29">
        <v>5.1560535449999998</v>
      </c>
      <c r="CA29">
        <v>4.4556949205</v>
      </c>
      <c r="CB29">
        <v>3.5644504299999999</v>
      </c>
      <c r="CC29">
        <v>3.44414985149999</v>
      </c>
      <c r="CD29">
        <v>3.4561308749999999</v>
      </c>
      <c r="CE29">
        <v>3.188326338</v>
      </c>
      <c r="CF29">
        <v>2.8661624744999998</v>
      </c>
      <c r="CG29">
        <v>2.6512377974999999</v>
      </c>
      <c r="CH29">
        <v>2.6445850609999999</v>
      </c>
      <c r="CI29">
        <v>2.3885584199999998</v>
      </c>
      <c r="CJ29">
        <v>2.4828400044999999</v>
      </c>
      <c r="CK29">
        <v>2.5050373965000001</v>
      </c>
      <c r="CL29">
        <v>2.248553292</v>
      </c>
      <c r="CM29">
        <v>2.1564305309999998</v>
      </c>
      <c r="CN29">
        <v>2.2236830264999998</v>
      </c>
      <c r="CO29">
        <v>2.2059633774999998</v>
      </c>
    </row>
    <row r="30" spans="1:97" x14ac:dyDescent="0.25">
      <c r="A30" t="s">
        <v>33</v>
      </c>
      <c r="B30">
        <v>11.48</v>
      </c>
      <c r="C30">
        <v>11.48</v>
      </c>
      <c r="D30">
        <v>11.48</v>
      </c>
      <c r="E30">
        <v>11.48</v>
      </c>
      <c r="F30">
        <v>11.48</v>
      </c>
      <c r="G30">
        <v>11.48</v>
      </c>
      <c r="H30">
        <v>11.48</v>
      </c>
      <c r="I30">
        <v>11.48</v>
      </c>
      <c r="J30">
        <v>11.48</v>
      </c>
      <c r="K30">
        <v>11.48</v>
      </c>
      <c r="L30">
        <v>11.48</v>
      </c>
      <c r="M30">
        <v>11.48</v>
      </c>
      <c r="N30">
        <v>11.48</v>
      </c>
      <c r="O30">
        <v>11.48</v>
      </c>
      <c r="P30">
        <v>11.48</v>
      </c>
      <c r="Q30">
        <v>11.48</v>
      </c>
      <c r="R30">
        <v>11.48</v>
      </c>
      <c r="S30">
        <v>11.48</v>
      </c>
      <c r="T30">
        <v>11.48</v>
      </c>
      <c r="U30">
        <v>11.48</v>
      </c>
      <c r="V30">
        <v>11.48</v>
      </c>
      <c r="W30">
        <v>11.48</v>
      </c>
      <c r="X30">
        <v>11.48</v>
      </c>
      <c r="Y30">
        <v>11.48</v>
      </c>
      <c r="Z30">
        <v>11.48</v>
      </c>
      <c r="AA30">
        <v>11.48</v>
      </c>
      <c r="AB30">
        <v>11.48</v>
      </c>
      <c r="AC30">
        <v>11.48</v>
      </c>
      <c r="AD30">
        <v>11.48</v>
      </c>
      <c r="AE30">
        <v>11.48</v>
      </c>
      <c r="AF30">
        <v>11.48</v>
      </c>
      <c r="AG30">
        <v>11.48</v>
      </c>
      <c r="AH30">
        <v>11.48</v>
      </c>
      <c r="AI30">
        <v>11.48</v>
      </c>
      <c r="AJ30">
        <v>11.48</v>
      </c>
      <c r="AK30">
        <v>11.48</v>
      </c>
      <c r="AL30">
        <v>11.48</v>
      </c>
      <c r="AM30">
        <v>11.48</v>
      </c>
      <c r="AN30">
        <v>11.48</v>
      </c>
      <c r="AO30">
        <v>11.48</v>
      </c>
      <c r="AP30">
        <v>11.48</v>
      </c>
      <c r="AQ30">
        <v>11.48</v>
      </c>
      <c r="AR30">
        <v>11.48</v>
      </c>
      <c r="AS30">
        <v>11.48</v>
      </c>
      <c r="AT30">
        <v>11.48</v>
      </c>
      <c r="AU30">
        <v>11.48</v>
      </c>
      <c r="AV30">
        <v>11.48</v>
      </c>
      <c r="AW30">
        <v>11.48</v>
      </c>
      <c r="AX30">
        <v>11.48</v>
      </c>
      <c r="AY30">
        <v>11.48</v>
      </c>
      <c r="AZ30">
        <v>11.48</v>
      </c>
      <c r="BA30">
        <v>11.48</v>
      </c>
      <c r="BB30">
        <v>11.48</v>
      </c>
      <c r="BC30">
        <v>11.48</v>
      </c>
      <c r="BD30">
        <v>11.48</v>
      </c>
      <c r="BE30">
        <v>11.48</v>
      </c>
      <c r="BF30">
        <v>11.48</v>
      </c>
      <c r="BG30">
        <v>11.48</v>
      </c>
      <c r="BH30">
        <v>11.48</v>
      </c>
      <c r="BI30">
        <v>11.48</v>
      </c>
      <c r="BJ30">
        <v>11.48</v>
      </c>
      <c r="BK30">
        <v>11.48</v>
      </c>
      <c r="BL30">
        <v>11.48</v>
      </c>
      <c r="BM30">
        <v>11.48</v>
      </c>
      <c r="BN30">
        <v>11.48</v>
      </c>
      <c r="BO30">
        <v>11.48</v>
      </c>
      <c r="BP30">
        <v>11.48</v>
      </c>
      <c r="BQ30">
        <v>11.48</v>
      </c>
      <c r="BR30">
        <v>11.48</v>
      </c>
      <c r="BS30">
        <v>11.48</v>
      </c>
      <c r="BT30">
        <v>11.48</v>
      </c>
      <c r="BU30">
        <v>11.48</v>
      </c>
      <c r="BV30">
        <v>11.48</v>
      </c>
      <c r="BW30">
        <v>11.48</v>
      </c>
      <c r="BX30">
        <v>11.48</v>
      </c>
      <c r="BY30">
        <v>11.48</v>
      </c>
      <c r="BZ30">
        <v>11.48</v>
      </c>
      <c r="CA30">
        <v>11.48</v>
      </c>
      <c r="CB30">
        <v>11.48</v>
      </c>
      <c r="CC30">
        <v>11.48</v>
      </c>
      <c r="CD30">
        <v>11.48</v>
      </c>
      <c r="CE30">
        <v>11.48</v>
      </c>
      <c r="CF30">
        <v>11.48</v>
      </c>
      <c r="CG30">
        <v>11.48</v>
      </c>
      <c r="CH30">
        <v>11.48</v>
      </c>
      <c r="CI30">
        <v>11.48</v>
      </c>
      <c r="CJ30">
        <v>11.48</v>
      </c>
      <c r="CK30">
        <v>11.48</v>
      </c>
      <c r="CL30">
        <v>11.48</v>
      </c>
      <c r="CM30">
        <v>11.48</v>
      </c>
      <c r="CN30">
        <v>11.48</v>
      </c>
      <c r="CO30">
        <v>11.48</v>
      </c>
    </row>
    <row r="31" spans="1:97" x14ac:dyDescent="0.25">
      <c r="A31" t="s">
        <v>34</v>
      </c>
      <c r="B31" s="1">
        <v>44776.000694444447</v>
      </c>
      <c r="C31" s="1">
        <v>44776.011111111111</v>
      </c>
      <c r="D31" s="1">
        <v>44776.021527777775</v>
      </c>
      <c r="E31" s="1">
        <v>44776.031944444447</v>
      </c>
      <c r="F31" s="1">
        <v>44776.042361111111</v>
      </c>
      <c r="G31" s="1">
        <v>44776.052777777775</v>
      </c>
      <c r="H31" s="1">
        <v>44776.063194444447</v>
      </c>
      <c r="I31" s="1">
        <v>44776.073611111111</v>
      </c>
      <c r="J31" s="1">
        <v>44776.084027777775</v>
      </c>
      <c r="K31" s="1">
        <v>44776.094444444447</v>
      </c>
      <c r="L31" s="1">
        <v>44776.104861111111</v>
      </c>
      <c r="M31" s="1">
        <v>44776.115277777775</v>
      </c>
      <c r="N31" s="1">
        <v>44776.125694444447</v>
      </c>
      <c r="O31" s="1">
        <v>44776.136111111111</v>
      </c>
      <c r="P31" s="1">
        <v>44776.146527777775</v>
      </c>
      <c r="Q31" s="1">
        <v>44776.156944444447</v>
      </c>
      <c r="R31" s="1">
        <v>44776.167361111111</v>
      </c>
      <c r="S31" s="1">
        <v>44776.177777777775</v>
      </c>
      <c r="T31" s="1">
        <v>44776.188194444447</v>
      </c>
      <c r="U31" s="1">
        <v>44776.198611111111</v>
      </c>
      <c r="V31" s="1">
        <v>44776.209027777775</v>
      </c>
      <c r="W31" s="1">
        <v>44776.219444444447</v>
      </c>
      <c r="X31" s="1">
        <v>44776.229861111111</v>
      </c>
      <c r="Y31" s="1">
        <v>44776.240277777775</v>
      </c>
      <c r="Z31" s="1">
        <v>44776.250694444447</v>
      </c>
      <c r="AA31" s="1">
        <v>44776.261111111111</v>
      </c>
      <c r="AB31" s="1">
        <v>44776.271527777775</v>
      </c>
      <c r="AC31" s="1">
        <v>44776.281944444447</v>
      </c>
      <c r="AD31" s="1">
        <v>44776.292361111111</v>
      </c>
      <c r="AE31" s="1">
        <v>44776.302777777775</v>
      </c>
      <c r="AF31" s="1">
        <v>44776.313194444447</v>
      </c>
      <c r="AG31" s="1">
        <v>44776.323611111111</v>
      </c>
      <c r="AH31" s="1">
        <v>44776.334027777775</v>
      </c>
      <c r="AI31" s="1">
        <v>44776.344444444447</v>
      </c>
      <c r="AJ31" s="1">
        <v>44776.354861111111</v>
      </c>
      <c r="AK31" s="1">
        <v>44776.365277777775</v>
      </c>
      <c r="AL31" s="1">
        <v>44776.375694444447</v>
      </c>
      <c r="AM31" s="1">
        <v>44776.386111111111</v>
      </c>
      <c r="AN31" s="1">
        <v>44776.396527777775</v>
      </c>
      <c r="AO31" s="1">
        <v>44776.406944444447</v>
      </c>
      <c r="AP31" s="1">
        <v>44776.417361111111</v>
      </c>
      <c r="AQ31" s="1">
        <v>44776.427777777775</v>
      </c>
      <c r="AR31" s="1">
        <v>44776.438194444447</v>
      </c>
      <c r="AS31" s="1">
        <v>44776.448611111111</v>
      </c>
      <c r="AT31" s="1">
        <v>44776.459027777775</v>
      </c>
      <c r="AU31" s="1">
        <v>44776.469444444447</v>
      </c>
      <c r="AV31" s="1">
        <v>44776.479861111111</v>
      </c>
      <c r="AW31" s="1">
        <v>44776.490277777775</v>
      </c>
      <c r="AX31" s="1">
        <v>44776.500694444447</v>
      </c>
      <c r="AY31" s="1">
        <v>44776.511111111111</v>
      </c>
      <c r="AZ31" s="1">
        <v>44776.521527777775</v>
      </c>
      <c r="BA31" s="1">
        <v>44776.531944444447</v>
      </c>
      <c r="BB31" s="1">
        <v>44776.542361111111</v>
      </c>
      <c r="BC31" s="1">
        <v>44776.552777777775</v>
      </c>
      <c r="BD31" s="1">
        <v>44776.563194444447</v>
      </c>
      <c r="BE31" s="1">
        <v>44776.573611111111</v>
      </c>
      <c r="BF31" s="1">
        <v>44776.584027777775</v>
      </c>
      <c r="BG31" s="1">
        <v>44776.594444444447</v>
      </c>
      <c r="BH31" s="1">
        <v>44776.604861111111</v>
      </c>
      <c r="BI31" s="1">
        <v>44776.615277777775</v>
      </c>
      <c r="BJ31" s="1">
        <v>44776.625694444447</v>
      </c>
      <c r="BK31" s="1">
        <v>44776.636111111111</v>
      </c>
      <c r="BL31" s="1">
        <v>44776.646527777775</v>
      </c>
      <c r="BM31" s="1">
        <v>44776.656944444447</v>
      </c>
      <c r="BN31" s="1">
        <v>44776.667361111111</v>
      </c>
      <c r="BO31" s="1">
        <v>44776.677777777775</v>
      </c>
      <c r="BP31" s="1">
        <v>44776.688194444447</v>
      </c>
      <c r="BQ31" s="1">
        <v>44776.698611111111</v>
      </c>
      <c r="BR31" s="1">
        <v>44776.709027777775</v>
      </c>
      <c r="BS31" s="1">
        <v>44776.719444444447</v>
      </c>
      <c r="BT31" s="1">
        <v>44776.729861111111</v>
      </c>
      <c r="BU31" s="1">
        <v>44776.740277777775</v>
      </c>
      <c r="BV31" s="1">
        <v>44776.750694444447</v>
      </c>
      <c r="BW31" s="1">
        <v>44776.761111111111</v>
      </c>
      <c r="BX31" s="1">
        <v>44776.771527777775</v>
      </c>
      <c r="BY31" s="1">
        <v>44776.781944444447</v>
      </c>
      <c r="BZ31" s="1">
        <v>44776.792361111111</v>
      </c>
      <c r="CA31" s="1">
        <v>44776.802777777775</v>
      </c>
      <c r="CB31" s="1">
        <v>44776.813194444447</v>
      </c>
      <c r="CC31" s="1">
        <v>44776.823611111111</v>
      </c>
      <c r="CD31" s="1">
        <v>44776.834027777775</v>
      </c>
      <c r="CE31" s="1">
        <v>44776.844444444447</v>
      </c>
      <c r="CF31" s="1">
        <v>44776.854861111111</v>
      </c>
      <c r="CG31" s="1">
        <v>44776.865277777775</v>
      </c>
      <c r="CH31" s="1">
        <v>44776.875694444447</v>
      </c>
      <c r="CI31" s="1">
        <v>44776.917361111111</v>
      </c>
      <c r="CJ31" s="1">
        <v>44776.948611111111</v>
      </c>
      <c r="CK31" s="1">
        <v>44776.959027777775</v>
      </c>
      <c r="CL31" s="1">
        <v>44776.969444444447</v>
      </c>
      <c r="CM31" s="1">
        <v>44776.979861111111</v>
      </c>
      <c r="CN31" s="1">
        <v>44776.990277777775</v>
      </c>
      <c r="CO31" s="1">
        <v>44777.000694444447</v>
      </c>
      <c r="CP31" s="1"/>
      <c r="CQ31" s="1"/>
      <c r="CR31" s="1"/>
      <c r="CS31" s="1"/>
    </row>
    <row r="33" spans="1:27" x14ac:dyDescent="0.25">
      <c r="C33" s="4" t="s">
        <v>27</v>
      </c>
      <c r="E33" t="s">
        <v>28</v>
      </c>
      <c r="F33" t="s">
        <v>29</v>
      </c>
      <c r="G33" t="s">
        <v>30</v>
      </c>
      <c r="H33" t="s">
        <v>31</v>
      </c>
    </row>
    <row r="34" spans="1:27" x14ac:dyDescent="0.25">
      <c r="A34" s="5" t="str">
        <f>A2</f>
        <v>max_amp</v>
      </c>
      <c r="B34" s="9">
        <f>MAX(B2:CS2)</f>
        <v>2.69809798557826E-2</v>
      </c>
      <c r="C34" s="6">
        <f>_xlfn.XLOOKUP(MAX(B2:CS2), B2:CS2, $B$1:$CS$1)</f>
        <v>44776.625694444447</v>
      </c>
      <c r="E34" s="1">
        <v>44776.000694444447</v>
      </c>
      <c r="F34">
        <v>4.72493501979047E-3</v>
      </c>
      <c r="G34">
        <v>3.4027050362627001E-3</v>
      </c>
      <c r="H34">
        <v>3.3469104339062801E-3</v>
      </c>
      <c r="V34" t="s">
        <v>45</v>
      </c>
    </row>
    <row r="35" spans="1:27" x14ac:dyDescent="0.25">
      <c r="A35" s="5" t="str">
        <f t="shared" ref="A35:A60" si="0">A3</f>
        <v>mean_amp</v>
      </c>
      <c r="B35" s="9">
        <f t="shared" ref="B35:B60" si="1">MAX(B3:CS3)</f>
        <v>1.7871787179046798E-2</v>
      </c>
      <c r="C35" s="6">
        <f t="shared" ref="C35:C59" si="2">_xlfn.XLOOKUP(MAX(B3:CS3), B3:CS3, $B$1:$CS$1)</f>
        <v>44776.625694444447</v>
      </c>
      <c r="E35" s="1">
        <v>44776.011111111111</v>
      </c>
      <c r="F35">
        <v>5.9080932990375999E-3</v>
      </c>
      <c r="G35">
        <v>3.9611210731770501E-3</v>
      </c>
      <c r="H35">
        <v>3.8794723008982201E-3</v>
      </c>
      <c r="T35" t="s">
        <v>0</v>
      </c>
      <c r="U35">
        <v>2.7100659833378001E-2</v>
      </c>
      <c r="V35">
        <v>2.69809798557826E-2</v>
      </c>
    </row>
    <row r="36" spans="1:27" x14ac:dyDescent="0.25">
      <c r="A36" s="5" t="str">
        <f t="shared" si="0"/>
        <v>median_amp</v>
      </c>
      <c r="B36" s="9">
        <f t="shared" si="1"/>
        <v>1.82855690728208E-2</v>
      </c>
      <c r="C36" s="6">
        <f t="shared" si="2"/>
        <v>44776.625694444447</v>
      </c>
      <c r="E36" s="1">
        <v>44776.021527777775</v>
      </c>
      <c r="F36">
        <v>5.2272819387848401E-3</v>
      </c>
      <c r="G36">
        <v>3.69910835302871E-3</v>
      </c>
      <c r="H36">
        <v>3.5920067148059501E-3</v>
      </c>
      <c r="T36" t="s">
        <v>1</v>
      </c>
      <c r="U36">
        <v>1.73415591077304E-2</v>
      </c>
      <c r="V36">
        <v>1.7871787179046798E-2</v>
      </c>
    </row>
    <row r="37" spans="1:27" x14ac:dyDescent="0.25">
      <c r="A37" t="str">
        <f t="shared" si="0"/>
        <v>impulses_ch6</v>
      </c>
      <c r="B37">
        <f t="shared" si="1"/>
        <v>1</v>
      </c>
      <c r="C37" s="3">
        <f>_xlfn.XLOOKUP(MAX(B5:CS5), B5:CS5, $B$1:$CS$1)</f>
        <v>44776.615277777775</v>
      </c>
      <c r="E37" s="1">
        <v>44776.031944444447</v>
      </c>
      <c r="F37">
        <v>4.9882124907063901E-3</v>
      </c>
      <c r="G37">
        <v>3.5504614349576402E-3</v>
      </c>
      <c r="H37">
        <v>3.4827847935612198E-3</v>
      </c>
      <c r="T37" t="s">
        <v>2</v>
      </c>
      <c r="U37">
        <v>1.75334302078048E-2</v>
      </c>
      <c r="V37">
        <v>1.82855690728208E-2</v>
      </c>
    </row>
    <row r="38" spans="1:27" x14ac:dyDescent="0.25">
      <c r="A38" t="str">
        <f t="shared" si="0"/>
        <v>impulses_ch5</v>
      </c>
      <c r="B38">
        <f t="shared" si="1"/>
        <v>42</v>
      </c>
      <c r="C38" s="3">
        <f t="shared" si="2"/>
        <v>44776.625694444447</v>
      </c>
      <c r="E38" s="1">
        <v>44776.042361111111</v>
      </c>
      <c r="F38">
        <v>4.8852013177561803E-3</v>
      </c>
      <c r="G38">
        <v>3.3808673777508099E-3</v>
      </c>
      <c r="H38">
        <v>3.24276070019261E-3</v>
      </c>
      <c r="T38" t="s">
        <v>3</v>
      </c>
      <c r="U38">
        <v>0</v>
      </c>
      <c r="V38">
        <v>1</v>
      </c>
    </row>
    <row r="39" spans="1:27" x14ac:dyDescent="0.25">
      <c r="A39" t="str">
        <f t="shared" si="0"/>
        <v>impulses_ch4</v>
      </c>
      <c r="B39">
        <f t="shared" si="1"/>
        <v>644</v>
      </c>
      <c r="C39" s="3">
        <f t="shared" si="2"/>
        <v>44776.625694444447</v>
      </c>
      <c r="E39" s="1">
        <v>44776.052777777775</v>
      </c>
      <c r="F39">
        <v>4.3786911798838202E-3</v>
      </c>
      <c r="G39">
        <v>3.2194238707095001E-3</v>
      </c>
      <c r="H39">
        <v>3.1075912604558299E-3</v>
      </c>
      <c r="T39" t="s">
        <v>4</v>
      </c>
      <c r="U39">
        <v>11</v>
      </c>
      <c r="V39">
        <v>42</v>
      </c>
    </row>
    <row r="40" spans="1:27" x14ac:dyDescent="0.25">
      <c r="A40" s="5" t="str">
        <f t="shared" si="0"/>
        <v>impulses_ch3</v>
      </c>
      <c r="B40" s="5">
        <f>MAX(B8:CO8)</f>
        <v>7815</v>
      </c>
      <c r="C40" s="6">
        <f t="shared" si="2"/>
        <v>44776.625694444447</v>
      </c>
      <c r="E40" s="1">
        <v>44776.063194444447</v>
      </c>
      <c r="F40">
        <v>4.9065540109016698E-3</v>
      </c>
      <c r="G40">
        <v>3.4131376229053498E-3</v>
      </c>
      <c r="H40">
        <v>3.25792731171826E-3</v>
      </c>
      <c r="T40" t="s">
        <v>5</v>
      </c>
      <c r="U40">
        <v>199</v>
      </c>
      <c r="V40">
        <v>644</v>
      </c>
    </row>
    <row r="41" spans="1:27" x14ac:dyDescent="0.25">
      <c r="A41" s="5" t="str">
        <f t="shared" si="0"/>
        <v>impulses_ch2</v>
      </c>
      <c r="B41" s="5">
        <f t="shared" ref="B41:B42" si="3">MAX(B9:CO9)</f>
        <v>28605</v>
      </c>
      <c r="C41" s="6">
        <f t="shared" si="2"/>
        <v>44776.625694444447</v>
      </c>
      <c r="E41" s="1">
        <v>44776.073611111111</v>
      </c>
      <c r="F41">
        <v>5.1795706540441197E-3</v>
      </c>
      <c r="G41">
        <v>3.4390121984034798E-3</v>
      </c>
      <c r="H41">
        <v>3.3396725385032898E-3</v>
      </c>
      <c r="T41" t="s">
        <v>6</v>
      </c>
      <c r="U41">
        <v>2627</v>
      </c>
      <c r="V41">
        <v>7815</v>
      </c>
    </row>
    <row r="42" spans="1:27" x14ac:dyDescent="0.25">
      <c r="A42" s="5" t="str">
        <f t="shared" si="0"/>
        <v>impulses_ch1</v>
      </c>
      <c r="B42" s="5">
        <f t="shared" si="3"/>
        <v>45929</v>
      </c>
      <c r="C42" s="6">
        <f t="shared" si="2"/>
        <v>44776.177777777775</v>
      </c>
      <c r="E42" s="1">
        <v>44776.084027777775</v>
      </c>
      <c r="F42">
        <v>5.1838945078037397E-3</v>
      </c>
      <c r="G42">
        <v>3.4983775909583001E-3</v>
      </c>
      <c r="H42">
        <v>3.3624573907033101E-3</v>
      </c>
      <c r="T42" t="s">
        <v>7</v>
      </c>
      <c r="U42">
        <v>11852</v>
      </c>
      <c r="V42">
        <v>28605</v>
      </c>
    </row>
    <row r="43" spans="1:27" x14ac:dyDescent="0.25">
      <c r="A43" t="str">
        <f t="shared" si="0"/>
        <v>max_env_ch6</v>
      </c>
      <c r="B43">
        <f t="shared" si="1"/>
        <v>1.22135440117466E-2</v>
      </c>
      <c r="C43" s="3">
        <f t="shared" si="2"/>
        <v>44776.615277777775</v>
      </c>
      <c r="E43" s="1">
        <v>44776.094444444447</v>
      </c>
      <c r="F43">
        <v>5.1579356013428598E-3</v>
      </c>
      <c r="G43">
        <v>3.4988852182378598E-3</v>
      </c>
      <c r="H43">
        <v>3.4409034519958101E-3</v>
      </c>
      <c r="T43" t="s">
        <v>8</v>
      </c>
      <c r="U43">
        <v>15119</v>
      </c>
      <c r="V43">
        <v>45929</v>
      </c>
    </row>
    <row r="44" spans="1:27" x14ac:dyDescent="0.25">
      <c r="A44" t="str">
        <f t="shared" si="0"/>
        <v>mean_env_ch6</v>
      </c>
      <c r="B44">
        <f t="shared" si="1"/>
        <v>1.22135440117466E-2</v>
      </c>
      <c r="C44" s="3">
        <f t="shared" si="2"/>
        <v>44776.615277777775</v>
      </c>
      <c r="E44" s="1">
        <v>44776.104861111111</v>
      </c>
      <c r="F44">
        <v>5.5134044859722203E-3</v>
      </c>
      <c r="G44">
        <v>3.5459010451820401E-3</v>
      </c>
      <c r="H44">
        <v>3.41615195599492E-3</v>
      </c>
    </row>
    <row r="45" spans="1:27" x14ac:dyDescent="0.25">
      <c r="A45" t="str">
        <f t="shared" si="0"/>
        <v>median_env_ch6</v>
      </c>
      <c r="B45">
        <f t="shared" si="1"/>
        <v>1.22135440117466E-2</v>
      </c>
      <c r="C45" s="3">
        <f t="shared" si="2"/>
        <v>44776.615277777775</v>
      </c>
      <c r="E45" s="1">
        <v>44776.115277777775</v>
      </c>
      <c r="F45">
        <v>4.6433740083373599E-3</v>
      </c>
      <c r="G45">
        <v>3.6479881909463E-3</v>
      </c>
      <c r="H45">
        <v>3.6122735824117998E-3</v>
      </c>
      <c r="U45" t="s">
        <v>37</v>
      </c>
    </row>
    <row r="46" spans="1:27" x14ac:dyDescent="0.25">
      <c r="A46" t="str">
        <f t="shared" si="0"/>
        <v>max_env_ch5</v>
      </c>
      <c r="B46">
        <f t="shared" si="1"/>
        <v>0.104970511363137</v>
      </c>
      <c r="C46" s="3">
        <f t="shared" si="2"/>
        <v>44776.625694444447</v>
      </c>
      <c r="E46" s="1">
        <v>44776.125694444447</v>
      </c>
      <c r="F46">
        <v>5.5133584286502198E-3</v>
      </c>
      <c r="G46">
        <v>3.5865695793972298E-3</v>
      </c>
      <c r="H46">
        <v>3.5139744744154102E-3</v>
      </c>
      <c r="U46" t="s">
        <v>35</v>
      </c>
      <c r="V46" t="s">
        <v>36</v>
      </c>
      <c r="W46" t="s">
        <v>38</v>
      </c>
      <c r="Y46" t="s">
        <v>35</v>
      </c>
      <c r="Z46" t="s">
        <v>36</v>
      </c>
      <c r="AA46" t="s">
        <v>38</v>
      </c>
    </row>
    <row r="47" spans="1:27" x14ac:dyDescent="0.25">
      <c r="A47" t="str">
        <f t="shared" si="0"/>
        <v>mean_env_ch5</v>
      </c>
      <c r="B47">
        <f t="shared" si="1"/>
        <v>7.8956717589716105E-2</v>
      </c>
      <c r="C47" s="3">
        <f t="shared" si="2"/>
        <v>44776.625694444447</v>
      </c>
      <c r="E47" s="1">
        <v>44776.136111111111</v>
      </c>
      <c r="F47">
        <v>4.8111125577186397E-3</v>
      </c>
      <c r="G47">
        <v>3.50458942567698E-3</v>
      </c>
      <c r="H47">
        <v>3.3750150788126199E-3</v>
      </c>
      <c r="T47" t="s">
        <v>39</v>
      </c>
      <c r="U47" s="2">
        <f>B43</f>
        <v>1.22135440117466E-2</v>
      </c>
      <c r="V47" s="2">
        <f>B44</f>
        <v>1.22135440117466E-2</v>
      </c>
      <c r="W47" s="2">
        <f>B45</f>
        <v>1.22135440117466E-2</v>
      </c>
      <c r="Y47">
        <v>0</v>
      </c>
      <c r="Z47">
        <v>0</v>
      </c>
      <c r="AA47">
        <v>0</v>
      </c>
    </row>
    <row r="48" spans="1:27" x14ac:dyDescent="0.25">
      <c r="A48" t="str">
        <f t="shared" si="0"/>
        <v>median_env_ch5</v>
      </c>
      <c r="B48">
        <f t="shared" si="1"/>
        <v>7.9113906782364796E-2</v>
      </c>
      <c r="C48" s="3">
        <f t="shared" si="2"/>
        <v>44776.625694444447</v>
      </c>
      <c r="E48" s="1">
        <v>44776.146527777775</v>
      </c>
      <c r="F48">
        <v>5.2924350194823002E-3</v>
      </c>
      <c r="G48">
        <v>3.4942895915686602E-3</v>
      </c>
      <c r="H48">
        <v>3.4601076726499102E-3</v>
      </c>
      <c r="T48" t="s">
        <v>40</v>
      </c>
      <c r="U48" s="2">
        <f>B46</f>
        <v>0.104970511363137</v>
      </c>
      <c r="V48" s="2">
        <f>B47</f>
        <v>7.8956717589716105E-2</v>
      </c>
      <c r="W48" s="2">
        <f>B48</f>
        <v>7.9113906782364796E-2</v>
      </c>
      <c r="Y48">
        <v>0.108402639333512</v>
      </c>
      <c r="Z48">
        <v>8.5195492688122099E-2</v>
      </c>
      <c r="AA48">
        <v>8.1549751061042799E-2</v>
      </c>
    </row>
    <row r="49" spans="1:27" x14ac:dyDescent="0.25">
      <c r="A49" t="str">
        <f t="shared" si="0"/>
        <v>max_env_ch4</v>
      </c>
      <c r="B49">
        <f t="shared" si="1"/>
        <v>0.43169567769252098</v>
      </c>
      <c r="C49" s="3">
        <f t="shared" si="2"/>
        <v>44776.625694444447</v>
      </c>
      <c r="E49" s="1">
        <v>44776.156944444447</v>
      </c>
      <c r="F49">
        <v>4.97045783663132E-3</v>
      </c>
      <c r="G49">
        <v>3.5059863005916102E-3</v>
      </c>
      <c r="H49">
        <v>3.3943960727518198E-3</v>
      </c>
      <c r="T49" t="s">
        <v>41</v>
      </c>
      <c r="U49" s="2">
        <f>B49</f>
        <v>0.43169567769252098</v>
      </c>
      <c r="V49" s="2">
        <f>B50</f>
        <v>0.29028287574845502</v>
      </c>
      <c r="W49" s="2">
        <f>B51</f>
        <v>0.29581774882894402</v>
      </c>
      <c r="Y49">
        <v>0.43361055733404802</v>
      </c>
      <c r="Z49">
        <v>0.283546008743847</v>
      </c>
      <c r="AA49">
        <v>0.28905210154241401</v>
      </c>
    </row>
    <row r="50" spans="1:27" x14ac:dyDescent="0.25">
      <c r="A50" t="str">
        <f t="shared" si="0"/>
        <v>mean_env_ch4</v>
      </c>
      <c r="B50">
        <f t="shared" si="1"/>
        <v>0.29028287574845502</v>
      </c>
      <c r="C50" s="3">
        <f t="shared" si="2"/>
        <v>44776.625694444447</v>
      </c>
      <c r="E50" s="1">
        <v>44776.167361111111</v>
      </c>
      <c r="F50">
        <v>4.7448343141915997E-3</v>
      </c>
      <c r="G50">
        <v>3.5008475767212398E-3</v>
      </c>
      <c r="H50">
        <v>3.43870520388699E-3</v>
      </c>
      <c r="T50" t="s">
        <v>42</v>
      </c>
      <c r="U50" s="2">
        <f>B52</f>
        <v>1.7267827107700799</v>
      </c>
      <c r="V50" s="2">
        <f>B53</f>
        <v>1.143794379459</v>
      </c>
      <c r="W50" s="2">
        <f>B54</f>
        <v>1.1702764206605301</v>
      </c>
      <c r="Y50">
        <v>2.3259290609915499</v>
      </c>
      <c r="Z50">
        <v>2.2279108515780699</v>
      </c>
      <c r="AA50">
        <v>2.22823696464304</v>
      </c>
    </row>
    <row r="51" spans="1:27" x14ac:dyDescent="0.25">
      <c r="A51" t="str">
        <f t="shared" si="0"/>
        <v>median_env_ch4</v>
      </c>
      <c r="B51">
        <f t="shared" si="1"/>
        <v>0.29581774882894402</v>
      </c>
      <c r="C51" s="3">
        <f t="shared" si="2"/>
        <v>44776.625694444447</v>
      </c>
      <c r="E51" s="1">
        <v>44776.177777777775</v>
      </c>
      <c r="F51">
        <v>5.2742206663421503E-3</v>
      </c>
      <c r="G51">
        <v>3.4826574196849401E-3</v>
      </c>
      <c r="H51">
        <v>3.3951797823228002E-3</v>
      </c>
      <c r="T51" t="s">
        <v>43</v>
      </c>
      <c r="U51" s="2">
        <f>B55</f>
        <v>6.90713084308035</v>
      </c>
      <c r="V51" s="2">
        <f>B56</f>
        <v>4.5751775178359999</v>
      </c>
      <c r="W51" s="2">
        <f>B57</f>
        <v>4.6811056826421398</v>
      </c>
      <c r="Y51">
        <v>9.3037162439662104</v>
      </c>
      <c r="Z51">
        <v>8.9116434063122991</v>
      </c>
      <c r="AA51">
        <v>8.9129478585721706</v>
      </c>
    </row>
    <row r="52" spans="1:27" x14ac:dyDescent="0.25">
      <c r="A52" s="5" t="str">
        <f t="shared" si="0"/>
        <v>max_env_ch3</v>
      </c>
      <c r="B52" s="5">
        <f t="shared" si="1"/>
        <v>1.7267827107700799</v>
      </c>
      <c r="C52" s="6">
        <f t="shared" si="2"/>
        <v>44776.625694444447</v>
      </c>
      <c r="E52" s="1">
        <v>44776.188194444447</v>
      </c>
      <c r="F52">
        <v>4.4034232006958801E-3</v>
      </c>
      <c r="G52">
        <v>3.3217964935261602E-3</v>
      </c>
      <c r="H52">
        <v>3.3008969401031301E-3</v>
      </c>
      <c r="T52" t="s">
        <v>44</v>
      </c>
      <c r="U52" s="2">
        <f>B58</f>
        <v>27.6285233723214</v>
      </c>
      <c r="V52" s="2">
        <f>B59</f>
        <v>18.300710071344</v>
      </c>
      <c r="W52" s="2">
        <f>B60</f>
        <v>18.724422730568499</v>
      </c>
      <c r="Y52">
        <v>37.214864975864799</v>
      </c>
      <c r="Z52">
        <v>35.646573625249196</v>
      </c>
      <c r="AA52">
        <v>35.651791434288697</v>
      </c>
    </row>
    <row r="53" spans="1:27" x14ac:dyDescent="0.25">
      <c r="A53" s="5" t="str">
        <f t="shared" si="0"/>
        <v>mean_env_ch3</v>
      </c>
      <c r="B53" s="5">
        <f t="shared" si="1"/>
        <v>1.143794379459</v>
      </c>
      <c r="C53" s="6">
        <f t="shared" si="2"/>
        <v>44776.625694444447</v>
      </c>
      <c r="E53" s="1">
        <v>44776.198611111111</v>
      </c>
      <c r="F53">
        <v>4.8714794355731103E-3</v>
      </c>
      <c r="G53">
        <v>3.09611537472214E-3</v>
      </c>
      <c r="H53">
        <v>3.06024003622932E-3</v>
      </c>
    </row>
    <row r="54" spans="1:27" x14ac:dyDescent="0.25">
      <c r="A54" s="5" t="str">
        <f t="shared" si="0"/>
        <v>median_env_ch3</v>
      </c>
      <c r="B54" s="5">
        <f t="shared" si="1"/>
        <v>1.1702764206605301</v>
      </c>
      <c r="C54" s="6">
        <f t="shared" si="2"/>
        <v>44776.625694444447</v>
      </c>
      <c r="E54" s="1">
        <v>44776.209027777775</v>
      </c>
      <c r="F54">
        <v>4.9435552234350696E-3</v>
      </c>
      <c r="G54">
        <v>3.3046928170169399E-3</v>
      </c>
      <c r="H54">
        <v>3.1812308528858298E-3</v>
      </c>
    </row>
    <row r="55" spans="1:27" x14ac:dyDescent="0.25">
      <c r="A55" s="5" t="str">
        <f t="shared" si="0"/>
        <v>max_env_ch2</v>
      </c>
      <c r="B55" s="5">
        <f t="shared" si="1"/>
        <v>6.90713084308035</v>
      </c>
      <c r="C55" s="6">
        <f t="shared" si="2"/>
        <v>44776.625694444447</v>
      </c>
      <c r="E55" s="1">
        <v>44776.219444444447</v>
      </c>
      <c r="F55">
        <v>4.6567904220333797E-3</v>
      </c>
      <c r="G55">
        <v>3.1303825454828799E-3</v>
      </c>
      <c r="H55">
        <v>3.1354215951794398E-3</v>
      </c>
    </row>
    <row r="56" spans="1:27" x14ac:dyDescent="0.25">
      <c r="A56" s="5" t="str">
        <f t="shared" si="0"/>
        <v>mean_env_ch2</v>
      </c>
      <c r="B56" s="5">
        <f t="shared" si="1"/>
        <v>4.5751775178359999</v>
      </c>
      <c r="C56" s="6">
        <f t="shared" si="2"/>
        <v>44776.625694444447</v>
      </c>
      <c r="E56" s="1">
        <v>44776.229861111111</v>
      </c>
      <c r="F56">
        <v>4.2883924990982604E-3</v>
      </c>
      <c r="G56">
        <v>3.1158178762494999E-3</v>
      </c>
      <c r="H56">
        <v>3.0198700416013699E-3</v>
      </c>
    </row>
    <row r="57" spans="1:27" x14ac:dyDescent="0.25">
      <c r="A57" s="5" t="str">
        <f t="shared" si="0"/>
        <v>median_env_ch2</v>
      </c>
      <c r="B57" s="5">
        <f t="shared" si="1"/>
        <v>4.6811056826421398</v>
      </c>
      <c r="C57" s="6">
        <f t="shared" si="2"/>
        <v>44776.625694444447</v>
      </c>
      <c r="E57" s="1">
        <v>44776.240277777775</v>
      </c>
      <c r="F57">
        <v>4.7192244406869298E-3</v>
      </c>
      <c r="G57">
        <v>3.1507357143545898E-3</v>
      </c>
      <c r="H57">
        <v>3.0694585807306799E-3</v>
      </c>
    </row>
    <row r="58" spans="1:27" x14ac:dyDescent="0.25">
      <c r="A58" s="5" t="str">
        <f t="shared" si="0"/>
        <v>max_env_ch1</v>
      </c>
      <c r="B58" s="5">
        <f t="shared" si="1"/>
        <v>27.6285233723214</v>
      </c>
      <c r="C58" s="6">
        <f t="shared" si="2"/>
        <v>44776.625694444447</v>
      </c>
      <c r="E58" s="1">
        <v>44776.250694444447</v>
      </c>
      <c r="F58">
        <v>4.6534564902612104E-3</v>
      </c>
      <c r="G58">
        <v>3.1626293992731498E-3</v>
      </c>
      <c r="H58">
        <v>3.1308059261487401E-3</v>
      </c>
    </row>
    <row r="59" spans="1:27" x14ac:dyDescent="0.25">
      <c r="A59" s="5" t="str">
        <f t="shared" si="0"/>
        <v>mean_env_ch1</v>
      </c>
      <c r="B59" s="5">
        <f t="shared" si="1"/>
        <v>18.300710071344</v>
      </c>
      <c r="C59" s="6">
        <f t="shared" si="2"/>
        <v>44776.625694444447</v>
      </c>
      <c r="E59" s="1">
        <v>44776.261111111111</v>
      </c>
      <c r="F59">
        <v>4.5829697763156499E-3</v>
      </c>
      <c r="G59">
        <v>3.2063621356524402E-3</v>
      </c>
      <c r="H59">
        <v>3.1449328915076199E-3</v>
      </c>
    </row>
    <row r="60" spans="1:27" x14ac:dyDescent="0.25">
      <c r="A60" s="5" t="str">
        <f t="shared" si="0"/>
        <v>median_env_ch1</v>
      </c>
      <c r="B60" s="5">
        <f t="shared" si="1"/>
        <v>18.724422730568499</v>
      </c>
      <c r="C60" s="6">
        <f>_xlfn.XLOOKUP(MAX(B28:CS28), B28:CS28, $B$1:$CS$1)</f>
        <v>44776.625694444447</v>
      </c>
      <c r="E60" s="1">
        <v>44776.271527777775</v>
      </c>
      <c r="F60">
        <v>4.5724315002559999E-3</v>
      </c>
      <c r="G60">
        <v>3.1978790185081302E-3</v>
      </c>
      <c r="H60">
        <v>3.1478332985176499E-3</v>
      </c>
    </row>
    <row r="61" spans="1:27" x14ac:dyDescent="0.25">
      <c r="A61" t="s">
        <v>32</v>
      </c>
      <c r="B61" s="7">
        <f>MAX(B29:CS29)</f>
        <v>22.620213794999898</v>
      </c>
      <c r="C61" s="6">
        <f t="shared" ref="C61:C62" si="4">_xlfn.XLOOKUP(MAX(B29:CS29), B29:CS29, $B$1:$CS$1)</f>
        <v>44776.636111111111</v>
      </c>
      <c r="E61" s="1">
        <v>44776.281944444447</v>
      </c>
      <c r="F61">
        <v>4.31057046868969E-3</v>
      </c>
      <c r="G61">
        <v>3.0859921491242E-3</v>
      </c>
      <c r="H61">
        <v>3.0350274951524698E-3</v>
      </c>
    </row>
    <row r="62" spans="1:27" x14ac:dyDescent="0.25">
      <c r="A62" t="s">
        <v>33</v>
      </c>
      <c r="B62" s="7">
        <f>MAX(B30:CS30)</f>
        <v>11.48</v>
      </c>
      <c r="C62" s="6">
        <f t="shared" si="4"/>
        <v>44776.000694444447</v>
      </c>
      <c r="E62" s="1">
        <v>44776.292361111111</v>
      </c>
      <c r="F62">
        <v>4.53774886294896E-3</v>
      </c>
      <c r="G62">
        <v>3.1867767964473899E-3</v>
      </c>
      <c r="H62">
        <v>3.08549419599279E-3</v>
      </c>
    </row>
    <row r="63" spans="1:27" x14ac:dyDescent="0.25">
      <c r="B63" s="8"/>
      <c r="C63" s="3"/>
      <c r="E63" s="1">
        <v>44776.302777777775</v>
      </c>
      <c r="F63">
        <v>5.0683901080002501E-3</v>
      </c>
      <c r="G63">
        <v>3.1269177965095899E-3</v>
      </c>
      <c r="H63">
        <v>3.05134381252405E-3</v>
      </c>
    </row>
    <row r="64" spans="1:27" x14ac:dyDescent="0.25">
      <c r="E64" s="1">
        <v>44776.313194444447</v>
      </c>
      <c r="F64">
        <v>4.0429763053656202E-3</v>
      </c>
      <c r="G64">
        <v>3.0047625132307498E-3</v>
      </c>
      <c r="H64">
        <v>2.97552245648292E-3</v>
      </c>
    </row>
    <row r="65" spans="5:8" x14ac:dyDescent="0.25">
      <c r="E65" s="1">
        <v>44776.323611111111</v>
      </c>
      <c r="F65">
        <v>4.3783917311043998E-3</v>
      </c>
      <c r="G65">
        <v>3.0845282317074701E-3</v>
      </c>
      <c r="H65">
        <v>3.0296896134415401E-3</v>
      </c>
    </row>
    <row r="66" spans="5:8" x14ac:dyDescent="0.25">
      <c r="E66" s="1">
        <v>44776.334027777775</v>
      </c>
      <c r="F66">
        <v>5.1007733254776599E-3</v>
      </c>
      <c r="G66">
        <v>3.2284160690873001E-3</v>
      </c>
      <c r="H66">
        <v>3.1890473700073702E-3</v>
      </c>
    </row>
    <row r="67" spans="5:8" x14ac:dyDescent="0.25">
      <c r="E67" s="1">
        <v>44776.344444444447</v>
      </c>
      <c r="F67">
        <v>4.4606964750532998E-3</v>
      </c>
      <c r="G67">
        <v>3.1344714510352801E-3</v>
      </c>
      <c r="H67">
        <v>3.0598614152375098E-3</v>
      </c>
    </row>
    <row r="68" spans="5:8" x14ac:dyDescent="0.25">
      <c r="E68" s="1">
        <v>44776.354861111111</v>
      </c>
      <c r="F68">
        <v>4.54469863922224E-3</v>
      </c>
      <c r="G68">
        <v>3.0257630164769499E-3</v>
      </c>
      <c r="H68">
        <v>2.9069860565559898E-3</v>
      </c>
    </row>
    <row r="69" spans="5:8" x14ac:dyDescent="0.25">
      <c r="E69" s="1">
        <v>44776.365277777775</v>
      </c>
      <c r="F69">
        <v>4.1333156360686199E-3</v>
      </c>
      <c r="G69">
        <v>3.06269130441822E-3</v>
      </c>
      <c r="H69">
        <v>3.0267538592852398E-3</v>
      </c>
    </row>
    <row r="70" spans="5:8" x14ac:dyDescent="0.25">
      <c r="E70" s="1">
        <v>44776.375694444447</v>
      </c>
      <c r="F70">
        <v>4.1052879251853996E-3</v>
      </c>
      <c r="G70">
        <v>3.2005695251267601E-3</v>
      </c>
      <c r="H70">
        <v>3.0560099818895698E-3</v>
      </c>
    </row>
    <row r="71" spans="5:8" x14ac:dyDescent="0.25">
      <c r="E71" s="1">
        <v>44776.386111111111</v>
      </c>
      <c r="F71">
        <v>4.8829420946174696E-3</v>
      </c>
      <c r="G71">
        <v>3.3721951965185299E-3</v>
      </c>
      <c r="H71">
        <v>3.2967714609020201E-3</v>
      </c>
    </row>
    <row r="72" spans="5:8" x14ac:dyDescent="0.25">
      <c r="E72" s="1">
        <v>44776.396527777775</v>
      </c>
      <c r="F72">
        <v>5.0312525583238298E-3</v>
      </c>
      <c r="G72">
        <v>3.3385443179660699E-3</v>
      </c>
      <c r="H72">
        <v>3.1585766960186301E-3</v>
      </c>
    </row>
    <row r="73" spans="5:8" x14ac:dyDescent="0.25">
      <c r="E73" s="1">
        <v>44776.406944444447</v>
      </c>
      <c r="F73">
        <v>4.4352868707535102E-3</v>
      </c>
      <c r="G73">
        <v>3.2173810252622099E-3</v>
      </c>
      <c r="H73">
        <v>3.12917403694868E-3</v>
      </c>
    </row>
    <row r="74" spans="5:8" x14ac:dyDescent="0.25">
      <c r="E74" s="1">
        <v>44776.417361111111</v>
      </c>
      <c r="F74">
        <v>5.58799001976282E-3</v>
      </c>
      <c r="G74">
        <v>3.54937695823704E-3</v>
      </c>
      <c r="H74">
        <v>3.4090478849179602E-3</v>
      </c>
    </row>
    <row r="75" spans="5:8" x14ac:dyDescent="0.25">
      <c r="E75" s="1">
        <v>44776.427777777775</v>
      </c>
      <c r="F75">
        <v>4.2935529585714704E-3</v>
      </c>
      <c r="G75">
        <v>3.2107276054655701E-3</v>
      </c>
      <c r="H75">
        <v>3.1763265350402401E-3</v>
      </c>
    </row>
    <row r="76" spans="5:8" x14ac:dyDescent="0.25">
      <c r="E76" s="1">
        <v>44776.438194444447</v>
      </c>
      <c r="F76">
        <v>4.5211171894376E-3</v>
      </c>
      <c r="G76">
        <v>3.0570122083748699E-3</v>
      </c>
      <c r="H76">
        <v>2.9977423109186501E-3</v>
      </c>
    </row>
    <row r="77" spans="5:8" x14ac:dyDescent="0.25">
      <c r="E77" s="1">
        <v>44776.448611111111</v>
      </c>
      <c r="F77">
        <v>4.54216900762073E-3</v>
      </c>
      <c r="G77">
        <v>3.11278768895464E-3</v>
      </c>
      <c r="H77">
        <v>3.03542030804248E-3</v>
      </c>
    </row>
    <row r="78" spans="5:8" x14ac:dyDescent="0.25">
      <c r="E78" s="1">
        <v>44776.459027777775</v>
      </c>
      <c r="F78">
        <v>4.1944596429758603E-3</v>
      </c>
      <c r="G78">
        <v>3.0779758411350199E-3</v>
      </c>
      <c r="H78">
        <v>2.9363750464641799E-3</v>
      </c>
    </row>
    <row r="79" spans="5:8" x14ac:dyDescent="0.25">
      <c r="E79" s="1">
        <v>44776.469444444447</v>
      </c>
      <c r="F79">
        <v>5.2768368426459296E-3</v>
      </c>
      <c r="G79">
        <v>3.18245037297609E-3</v>
      </c>
      <c r="H79">
        <v>3.05971695531379E-3</v>
      </c>
    </row>
    <row r="80" spans="5:8" x14ac:dyDescent="0.25">
      <c r="E80" s="1">
        <v>44776.479861111111</v>
      </c>
      <c r="F80">
        <v>4.77419552405283E-3</v>
      </c>
      <c r="G80">
        <v>3.3463123344295099E-3</v>
      </c>
      <c r="H80">
        <v>3.2461020992476199E-3</v>
      </c>
    </row>
    <row r="81" spans="5:8" x14ac:dyDescent="0.25">
      <c r="E81" s="1">
        <v>44776.490277777775</v>
      </c>
      <c r="F81">
        <v>4.5314965604311497E-3</v>
      </c>
      <c r="G81">
        <v>3.0787027843648899E-3</v>
      </c>
      <c r="H81">
        <v>2.9690729724176201E-3</v>
      </c>
    </row>
    <row r="82" spans="5:8" x14ac:dyDescent="0.25">
      <c r="E82" s="1">
        <v>44776.500694444447</v>
      </c>
      <c r="F82">
        <v>5.4127270815357703E-3</v>
      </c>
      <c r="G82">
        <v>3.1191855056651599E-3</v>
      </c>
      <c r="H82">
        <v>3.0870128979799201E-3</v>
      </c>
    </row>
    <row r="83" spans="5:8" x14ac:dyDescent="0.25">
      <c r="E83" s="1">
        <v>44776.511111111111</v>
      </c>
      <c r="F83">
        <v>4.4244180113223799E-3</v>
      </c>
      <c r="G83">
        <v>3.1205321450327602E-3</v>
      </c>
      <c r="H83">
        <v>3.0235764539403298E-3</v>
      </c>
    </row>
    <row r="84" spans="5:8" x14ac:dyDescent="0.25">
      <c r="E84" s="1">
        <v>44776.521527777775</v>
      </c>
      <c r="F84">
        <v>4.7147288279489902E-3</v>
      </c>
      <c r="G84">
        <v>3.24635122069543E-3</v>
      </c>
      <c r="H84">
        <v>3.1890026060680302E-3</v>
      </c>
    </row>
    <row r="85" spans="5:8" x14ac:dyDescent="0.25">
      <c r="E85" s="1">
        <v>44776.531944444447</v>
      </c>
      <c r="F85">
        <v>5.0710164192992197E-3</v>
      </c>
      <c r="G85">
        <v>3.16312731298356E-3</v>
      </c>
      <c r="H85">
        <v>3.0456696961983498E-3</v>
      </c>
    </row>
    <row r="86" spans="5:8" x14ac:dyDescent="0.25">
      <c r="E86" s="1">
        <v>44776.542361111111</v>
      </c>
      <c r="F86">
        <v>5.18313137787485E-3</v>
      </c>
      <c r="G86">
        <v>3.0165882658100499E-3</v>
      </c>
      <c r="H86">
        <v>2.8961384909367799E-3</v>
      </c>
    </row>
    <row r="87" spans="5:8" x14ac:dyDescent="0.25">
      <c r="E87" s="1">
        <v>44776.552777777775</v>
      </c>
      <c r="F87">
        <v>4.3036763203625397E-3</v>
      </c>
      <c r="G87">
        <v>3.1473842203838501E-3</v>
      </c>
      <c r="H87">
        <v>3.0661482858841201E-3</v>
      </c>
    </row>
    <row r="88" spans="5:8" x14ac:dyDescent="0.25">
      <c r="E88" s="1">
        <v>44776.563194444447</v>
      </c>
      <c r="F88">
        <v>4.0757354581132197E-3</v>
      </c>
      <c r="G88">
        <v>3.0712772232709398E-3</v>
      </c>
      <c r="H88">
        <v>3.0431546893969299E-3</v>
      </c>
    </row>
    <row r="89" spans="5:8" x14ac:dyDescent="0.25">
      <c r="E89" s="1">
        <v>44776.573611111111</v>
      </c>
      <c r="F89">
        <v>5.5064783724160203E-3</v>
      </c>
      <c r="G89">
        <v>3.0191745559431998E-3</v>
      </c>
      <c r="H89">
        <v>3.0290531155669899E-3</v>
      </c>
    </row>
    <row r="90" spans="5:8" x14ac:dyDescent="0.25">
      <c r="E90" s="1">
        <v>44776.584027777775</v>
      </c>
      <c r="F90">
        <v>5.1479568307285697E-3</v>
      </c>
      <c r="G90">
        <v>3.04950153839622E-3</v>
      </c>
      <c r="H90">
        <v>2.9321358199564901E-3</v>
      </c>
    </row>
    <row r="91" spans="5:8" x14ac:dyDescent="0.25">
      <c r="E91" s="1">
        <v>44776.594444444447</v>
      </c>
      <c r="F91">
        <v>5.9974679335504499E-3</v>
      </c>
      <c r="G91">
        <v>3.4734510222078799E-3</v>
      </c>
      <c r="H91">
        <v>3.3523663235753699E-3</v>
      </c>
    </row>
    <row r="92" spans="5:8" x14ac:dyDescent="0.25">
      <c r="E92" s="1">
        <v>44776.604861111111</v>
      </c>
      <c r="F92">
        <v>7.9770674714478799E-3</v>
      </c>
      <c r="G92">
        <v>3.7213839137504E-3</v>
      </c>
      <c r="H92">
        <v>3.6147975758465001E-3</v>
      </c>
    </row>
    <row r="93" spans="5:8" x14ac:dyDescent="0.25">
      <c r="E93" s="1">
        <v>44776.615277777775</v>
      </c>
      <c r="F93">
        <v>1.22135440117466E-2</v>
      </c>
      <c r="G93">
        <v>7.0785618369847599E-3</v>
      </c>
      <c r="H93">
        <v>6.9327851518867899E-3</v>
      </c>
    </row>
    <row r="94" spans="5:8" x14ac:dyDescent="0.25">
      <c r="E94" s="1">
        <v>44776.625694444447</v>
      </c>
      <c r="F94">
        <v>2.69809798557826E-2</v>
      </c>
      <c r="G94">
        <v>1.7871787179046798E-2</v>
      </c>
      <c r="H94">
        <v>1.82855690728208E-2</v>
      </c>
    </row>
    <row r="95" spans="5:8" x14ac:dyDescent="0.25">
      <c r="E95" s="1">
        <v>44776.636111111111</v>
      </c>
      <c r="F95">
        <v>8.1662849105745405E-3</v>
      </c>
      <c r="G95">
        <v>6.2400406140930703E-3</v>
      </c>
      <c r="H95">
        <v>6.15372030279042E-3</v>
      </c>
    </row>
    <row r="96" spans="5:8" x14ac:dyDescent="0.25">
      <c r="E96" s="1">
        <v>44776.646527777775</v>
      </c>
      <c r="F96">
        <v>6.8266278223056099E-3</v>
      </c>
      <c r="G96">
        <v>5.1021912122990298E-3</v>
      </c>
      <c r="H96">
        <v>5.0363197543876401E-3</v>
      </c>
    </row>
    <row r="97" spans="5:8" x14ac:dyDescent="0.25">
      <c r="E97" s="1">
        <v>44776.656944444447</v>
      </c>
      <c r="F97">
        <v>6.4727926153022204E-3</v>
      </c>
      <c r="G97">
        <v>4.4259698261189997E-3</v>
      </c>
      <c r="H97">
        <v>4.34990010647795E-3</v>
      </c>
    </row>
    <row r="98" spans="5:8" x14ac:dyDescent="0.25">
      <c r="E98" s="1">
        <v>44776.667361111111</v>
      </c>
      <c r="F98">
        <v>5.7809178378487999E-3</v>
      </c>
      <c r="G98">
        <v>4.5466492856802597E-3</v>
      </c>
      <c r="H98">
        <v>4.5063889039995697E-3</v>
      </c>
    </row>
    <row r="99" spans="5:8" x14ac:dyDescent="0.25">
      <c r="E99" s="1">
        <v>44776.677777777775</v>
      </c>
      <c r="F99">
        <v>6.4836393656067396E-3</v>
      </c>
      <c r="G99">
        <v>4.9431704551744201E-3</v>
      </c>
      <c r="H99">
        <v>4.8509673890584802E-3</v>
      </c>
    </row>
    <row r="100" spans="5:8" x14ac:dyDescent="0.25">
      <c r="E100" s="1">
        <v>44776.688194444447</v>
      </c>
      <c r="F100">
        <v>6.6075992529795102E-3</v>
      </c>
      <c r="G100">
        <v>4.82417553818895E-3</v>
      </c>
      <c r="H100">
        <v>4.8688262623181001E-3</v>
      </c>
    </row>
    <row r="101" spans="5:8" x14ac:dyDescent="0.25">
      <c r="E101" s="1">
        <v>44776.698611111111</v>
      </c>
      <c r="F101">
        <v>6.0832772841109203E-3</v>
      </c>
      <c r="G101">
        <v>4.5774732533160299E-3</v>
      </c>
      <c r="H101">
        <v>4.51773909882965E-3</v>
      </c>
    </row>
    <row r="102" spans="5:8" x14ac:dyDescent="0.25">
      <c r="E102" s="1">
        <v>44776.709027777775</v>
      </c>
      <c r="F102">
        <v>6.3088260072390497E-3</v>
      </c>
      <c r="G102">
        <v>4.6970120970140699E-3</v>
      </c>
      <c r="H102">
        <v>4.6893629915007798E-3</v>
      </c>
    </row>
    <row r="103" spans="5:8" x14ac:dyDescent="0.25">
      <c r="E103" s="1">
        <v>44776.719444444447</v>
      </c>
      <c r="F103">
        <v>5.9571698677248304E-3</v>
      </c>
      <c r="G103">
        <v>4.4811829002478201E-3</v>
      </c>
      <c r="H103">
        <v>4.4318146038943001E-3</v>
      </c>
    </row>
    <row r="104" spans="5:8" x14ac:dyDescent="0.25">
      <c r="E104" s="1">
        <v>44776.729861111111</v>
      </c>
      <c r="F104">
        <v>5.4649038706699703E-3</v>
      </c>
      <c r="G104">
        <v>4.0488722006508304E-3</v>
      </c>
      <c r="H104">
        <v>4.0135583271381598E-3</v>
      </c>
    </row>
    <row r="105" spans="5:8" x14ac:dyDescent="0.25">
      <c r="E105" s="1">
        <v>44776.740277777775</v>
      </c>
      <c r="F105">
        <v>5.2978961488506201E-3</v>
      </c>
      <c r="G105">
        <v>3.9137423495688804E-3</v>
      </c>
      <c r="H105">
        <v>3.9007273898934102E-3</v>
      </c>
    </row>
    <row r="106" spans="5:8" x14ac:dyDescent="0.25">
      <c r="E106" s="1">
        <v>44776.750694444447</v>
      </c>
      <c r="F106">
        <v>5.0415925855331802E-3</v>
      </c>
      <c r="G106">
        <v>3.70670877951339E-3</v>
      </c>
      <c r="H106">
        <v>3.6510415656582302E-3</v>
      </c>
    </row>
    <row r="107" spans="5:8" x14ac:dyDescent="0.25">
      <c r="E107" s="1">
        <v>44776.761111111111</v>
      </c>
      <c r="F107">
        <v>4.9306651923876899E-3</v>
      </c>
      <c r="G107">
        <v>3.4755260482236898E-3</v>
      </c>
      <c r="H107">
        <v>3.4069469797236799E-3</v>
      </c>
    </row>
    <row r="108" spans="5:8" x14ac:dyDescent="0.25">
      <c r="E108" s="1">
        <v>44776.771527777775</v>
      </c>
      <c r="F108">
        <v>5.6762244045783497E-3</v>
      </c>
      <c r="G108">
        <v>3.51606383823224E-3</v>
      </c>
      <c r="H108">
        <v>3.3399678064806298E-3</v>
      </c>
    </row>
    <row r="109" spans="5:8" x14ac:dyDescent="0.25">
      <c r="E109" s="1">
        <v>44776.781944444447</v>
      </c>
      <c r="F109">
        <v>5.2668606067838401E-3</v>
      </c>
      <c r="G109">
        <v>3.6678498572765201E-3</v>
      </c>
      <c r="H109">
        <v>3.5777539109062601E-3</v>
      </c>
    </row>
    <row r="110" spans="5:8" x14ac:dyDescent="0.25">
      <c r="E110" s="1">
        <v>44776.792361111111</v>
      </c>
      <c r="F110">
        <v>6.89801164039052E-3</v>
      </c>
      <c r="G110">
        <v>4.0046827150365298E-3</v>
      </c>
      <c r="H110">
        <v>3.9559152189762702E-3</v>
      </c>
    </row>
    <row r="111" spans="5:8" x14ac:dyDescent="0.25">
      <c r="E111" s="1">
        <v>44776.802777777775</v>
      </c>
      <c r="F111">
        <v>5.6879338373121199E-3</v>
      </c>
      <c r="G111">
        <v>3.9116987625904204E-3</v>
      </c>
      <c r="H111">
        <v>3.8426344949460201E-3</v>
      </c>
    </row>
    <row r="112" spans="5:8" x14ac:dyDescent="0.25">
      <c r="E112" s="1">
        <v>44776.813194444447</v>
      </c>
      <c r="F112">
        <v>6.1043191283339801E-3</v>
      </c>
      <c r="G112">
        <v>4.0725722580348296E-3</v>
      </c>
      <c r="H112">
        <v>3.9732544154585598E-3</v>
      </c>
    </row>
    <row r="113" spans="5:8" x14ac:dyDescent="0.25">
      <c r="E113" s="1">
        <v>44776.823611111111</v>
      </c>
      <c r="F113">
        <v>6.64528256623947E-3</v>
      </c>
      <c r="G113">
        <v>4.5546665318697502E-3</v>
      </c>
      <c r="H113">
        <v>4.3890549823030504E-3</v>
      </c>
    </row>
    <row r="114" spans="5:8" x14ac:dyDescent="0.25">
      <c r="E114" s="1">
        <v>44776.834027777775</v>
      </c>
      <c r="F114">
        <v>7.6542420936653198E-3</v>
      </c>
      <c r="G114">
        <v>5.0205926300222296E-3</v>
      </c>
      <c r="H114">
        <v>4.9999675183426198E-3</v>
      </c>
    </row>
    <row r="115" spans="5:8" x14ac:dyDescent="0.25">
      <c r="E115" s="1">
        <v>44776.844444444447</v>
      </c>
      <c r="F115">
        <v>8.2870371510959696E-3</v>
      </c>
      <c r="G115">
        <v>5.3458370909438297E-3</v>
      </c>
      <c r="H115">
        <v>5.1939103337743696E-3</v>
      </c>
    </row>
    <row r="116" spans="5:8" x14ac:dyDescent="0.25">
      <c r="E116" s="1">
        <v>44776.854861111111</v>
      </c>
      <c r="F116">
        <v>8.1898275615383005E-3</v>
      </c>
      <c r="G116">
        <v>5.5129999194580498E-3</v>
      </c>
      <c r="H116">
        <v>5.5221011923079601E-3</v>
      </c>
    </row>
    <row r="117" spans="5:8" x14ac:dyDescent="0.25">
      <c r="E117" s="1">
        <v>44776.865277777775</v>
      </c>
      <c r="F117">
        <v>7.5970521627335098E-3</v>
      </c>
      <c r="G117">
        <v>5.9215686715830603E-3</v>
      </c>
      <c r="H117">
        <v>6.0017891587935404E-3</v>
      </c>
    </row>
    <row r="118" spans="5:8" x14ac:dyDescent="0.25">
      <c r="E118" s="1">
        <v>44776.875694444447</v>
      </c>
      <c r="F118">
        <v>7.5256553215716903E-3</v>
      </c>
      <c r="G118">
        <v>5.7544755782348604E-3</v>
      </c>
      <c r="H118">
        <v>5.7289590045294797E-3</v>
      </c>
    </row>
    <row r="119" spans="5:8" x14ac:dyDescent="0.25">
      <c r="E119" s="1">
        <v>44776.917361111111</v>
      </c>
      <c r="F119">
        <v>9.4962741129965104E-3</v>
      </c>
      <c r="G119">
        <v>6.8802496325147599E-3</v>
      </c>
      <c r="H119">
        <v>6.7563480651220897E-3</v>
      </c>
    </row>
    <row r="120" spans="5:8" x14ac:dyDescent="0.25">
      <c r="E120" s="1">
        <v>44776.948611111111</v>
      </c>
      <c r="F120">
        <v>9.1693908812204294E-3</v>
      </c>
      <c r="G120">
        <v>6.5992067344057799E-3</v>
      </c>
      <c r="H120">
        <v>6.3839259719051904E-3</v>
      </c>
    </row>
    <row r="121" spans="5:8" x14ac:dyDescent="0.25">
      <c r="E121" s="1">
        <v>44776.959027777775</v>
      </c>
      <c r="F121">
        <v>9.3812702388779007E-3</v>
      </c>
      <c r="G121">
        <v>7.0058666944694701E-3</v>
      </c>
      <c r="H121">
        <v>6.9597686736329401E-3</v>
      </c>
    </row>
    <row r="122" spans="5:8" x14ac:dyDescent="0.25">
      <c r="E122" s="1">
        <v>44776.969444444447</v>
      </c>
      <c r="F122">
        <v>9.1824897445934705E-3</v>
      </c>
      <c r="G122">
        <v>6.8967612462587403E-3</v>
      </c>
      <c r="H122">
        <v>6.8495131508452796E-3</v>
      </c>
    </row>
    <row r="123" spans="5:8" x14ac:dyDescent="0.25">
      <c r="E123" s="1">
        <v>44776.979861111111</v>
      </c>
      <c r="F123">
        <v>8.3666753626787903E-3</v>
      </c>
      <c r="G123">
        <v>6.2248819210360901E-3</v>
      </c>
      <c r="H123">
        <v>6.1843417504239698E-3</v>
      </c>
    </row>
    <row r="124" spans="5:8" x14ac:dyDescent="0.25">
      <c r="E124" s="1">
        <v>44776.990277777775</v>
      </c>
      <c r="F124">
        <v>1.0108519711296501E-2</v>
      </c>
      <c r="G124">
        <v>6.7422041083178997E-3</v>
      </c>
      <c r="H124">
        <v>6.5224122478399101E-3</v>
      </c>
    </row>
    <row r="125" spans="5:8" x14ac:dyDescent="0.25">
      <c r="E125" s="1">
        <v>44777.000694444447</v>
      </c>
      <c r="F125">
        <v>8.4623171262878001E-3</v>
      </c>
      <c r="G125">
        <v>6.4249466090640604E-3</v>
      </c>
      <c r="H125">
        <v>6.3540000138908696E-3</v>
      </c>
    </row>
    <row r="126" spans="5:8" x14ac:dyDescent="0.25">
      <c r="E126" s="1"/>
    </row>
    <row r="127" spans="5:8" x14ac:dyDescent="0.25">
      <c r="E127" s="1"/>
    </row>
    <row r="128" spans="5:8" x14ac:dyDescent="0.25">
      <c r="E128" s="1"/>
    </row>
    <row r="129" spans="5:5" x14ac:dyDescent="0.25">
      <c r="E129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storm2_results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2025-10-23T17:38:48Z</dcterms:created>
  <dcterms:modified xsi:type="dcterms:W3CDTF">2025-12-10T18:36:53Z</dcterms:modified>
</cp:coreProperties>
</file>