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Results\noise_corrected\1.amp_factor_by_season\calculations\"/>
    </mc:Choice>
  </mc:AlternateContent>
  <xr:revisionPtr revIDLastSave="0" documentId="13_ncr:1_{8B6A0FD3-E1BB-4FCB-AE36-5B7410B035C2}" xr6:coauthVersionLast="47" xr6:coauthVersionMax="47" xr10:uidLastSave="{00000000-0000-0000-0000-000000000000}"/>
  <bookViews>
    <workbookView xWindow="-120" yWindow="-120" windowWidth="29040" windowHeight="15720" xr2:uid="{867F3169-A9A3-4AE6-89E2-304587BC45FE}"/>
  </bookViews>
  <sheets>
    <sheet name="storm2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1" l="1"/>
  <c r="B42" i="1"/>
  <c r="B40" i="1"/>
  <c r="B34" i="1"/>
  <c r="C61" i="1"/>
  <c r="C62" i="1"/>
  <c r="C60" i="1"/>
  <c r="C34" i="1"/>
  <c r="B61" i="1"/>
  <c r="B62" i="1"/>
  <c r="C35" i="1" l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B35" i="1"/>
  <c r="B36" i="1"/>
  <c r="B37" i="1"/>
  <c r="B38" i="1"/>
  <c r="B39" i="1"/>
  <c r="B43" i="1"/>
  <c r="U47" i="1" s="1"/>
  <c r="B44" i="1"/>
  <c r="V47" i="1" s="1"/>
  <c r="B45" i="1"/>
  <c r="W47" i="1" s="1"/>
  <c r="B46" i="1"/>
  <c r="U48" i="1" s="1"/>
  <c r="B47" i="1"/>
  <c r="V48" i="1" s="1"/>
  <c r="B48" i="1"/>
  <c r="W48" i="1" s="1"/>
  <c r="B49" i="1"/>
  <c r="U49" i="1" s="1"/>
  <c r="B50" i="1"/>
  <c r="V49" i="1" s="1"/>
  <c r="B51" i="1"/>
  <c r="W49" i="1" s="1"/>
  <c r="B52" i="1"/>
  <c r="U50" i="1" s="1"/>
  <c r="B53" i="1"/>
  <c r="V50" i="1" s="1"/>
  <c r="B54" i="1"/>
  <c r="W50" i="1" s="1"/>
  <c r="B55" i="1"/>
  <c r="U51" i="1" s="1"/>
  <c r="B56" i="1"/>
  <c r="V51" i="1" s="1"/>
  <c r="B57" i="1"/>
  <c r="W51" i="1" s="1"/>
  <c r="B58" i="1"/>
  <c r="U52" i="1" s="1"/>
  <c r="B59" i="1"/>
  <c r="V52" i="1" s="1"/>
  <c r="B60" i="1"/>
  <c r="W52" i="1" s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34" i="1"/>
</calcChain>
</file>

<file path=xl/sharedStrings.xml><?xml version="1.0" encoding="utf-8"?>
<sst xmlns="http://schemas.openxmlformats.org/spreadsheetml/2006/main" count="59" uniqueCount="45">
  <si>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</si>
  <si>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</si>
  <si>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</si>
  <si>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</si>
  <si>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</si>
  <si>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</si>
  <si>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</si>
  <si>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</si>
  <si>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</si>
  <si>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</si>
  <si>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</si>
  <si>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</si>
  <si>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</si>
  <si>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</si>
  <si>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</si>
  <si>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</si>
  <si>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</si>
  <si>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</si>
  <si>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</si>
  <si>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</si>
  <si>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</si>
  <si>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</si>
  <si>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</si>
  <si>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</si>
  <si>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</si>
  <si>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</si>
  <si>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</si>
  <si>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</si>
  <si>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</si>
  <si>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</si>
  <si>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</si>
  <si>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</si>
  <si>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</si>
  <si>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</si>
  <si>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</si>
  <si>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max</t>
  </si>
  <si>
    <t>mean</t>
  </si>
  <si>
    <t>impulses</t>
  </si>
  <si>
    <t>med</t>
  </si>
  <si>
    <t>ch6</t>
  </si>
  <si>
    <t>ch5</t>
  </si>
  <si>
    <t>ch4</t>
  </si>
  <si>
    <t>ch3</t>
  </si>
  <si>
    <t>ch2</t>
  </si>
  <si>
    <t>ch1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</si>
</sst>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2" fontId="0" fillId="0" borderId="0" xfId="0" applyNumberFormat="1"/>
    <xf numFmtId="1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33" borderId="0" xfId="0" applyFill="1"/>
    <xf numFmtId="164" fontId="0" fillId="33" borderId="0" xfId="0" applyNumberFormat="1" applyFill="1"/>
    <xf numFmtId="0" fontId="0" fillId="33" borderId="0" xfId="0" applyFill="1" applyAlignment="1">
      <alignment horizontal="center"/>
    </xf>
    <xf numFmtId="22" fontId="0" fillId="0" borderId="0" xfId="0" applyNumberFormat="1" applyAlignment="1">
      <alignment horizontal="center"/>
    </xf>
    <xf numFmtId="165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</a:t>
            </a:r>
            <a:r>
              <a:rPr lang="en-US" baseline="0"/>
              <a:t> Over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storm2_results!$E$34:$E$125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storm2_results!$F$34:$F$125</c:f>
              <c:numCache>
                <c:formatCode>General</c:formatCode>
                <c:ptCount val="9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4A-42D0-9EB5-E2CE57560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374511"/>
        <c:axId val="382721663"/>
      </c:scatterChart>
      <c:valAx>
        <c:axId val="54137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721663"/>
        <c:crosses val="autoZero"/>
        <c:crossBetween val="midCat"/>
      </c:valAx>
      <c:valAx>
        <c:axId val="38272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37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</a:t>
            </a:r>
            <a:r>
              <a:rPr lang="en-US" baseline="0"/>
              <a:t> Over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storm2_results!$E$34:$E$125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storm2_results!$G$34:$G$125</c:f>
              <c:numCache>
                <c:formatCode>General</c:formatCode>
                <c:ptCount val="9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45-43AE-B919-95E63F4C4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374511"/>
        <c:axId val="382721663"/>
      </c:scatterChart>
      <c:valAx>
        <c:axId val="54137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721663"/>
        <c:crosses val="autoZero"/>
        <c:crossBetween val="midCat"/>
      </c:valAx>
      <c:valAx>
        <c:axId val="38272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37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</a:t>
            </a:r>
            <a:r>
              <a:rPr lang="en-US" baseline="0"/>
              <a:t> Over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storm2_results!$E$34:$E$125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storm2_results!$H$34:$H$125</c:f>
              <c:numCache>
                <c:formatCode>General</c:formatCode>
                <c:ptCount val="9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25-45C8-8030-10BE2A3FA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374511"/>
        <c:axId val="382721663"/>
      </c:scatterChart>
      <c:valAx>
        <c:axId val="54137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721663"/>
        <c:crosses val="autoZero"/>
        <c:crossBetween val="midCat"/>
      </c:valAx>
      <c:valAx>
        <c:axId val="38272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37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323851</xdr:colOff>
      <xdr:row>32</xdr:row>
      <xdr:rowOff>66675</xdr:rowOff>
    </xdr:from>
    <xdr:to>
      <xdr:col>18</xdr:col>
      <xdr:colOff>66675</xdr:colOff>
      <xdr:row>44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966E3D-9853-4B49-A6A6-21A8CEA7C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314324</xdr:colOff>
      <xdr:row>45</xdr:row>
      <xdr:rowOff>9525</xdr:rowOff>
    </xdr:from>
    <xdr:to>
      <xdr:col>18</xdr:col>
      <xdr:colOff>95249</xdr:colOff>
      <xdr:row>57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8D7861-AC34-4E1C-8D9D-5EE6F31810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314324</xdr:colOff>
      <xdr:row>57</xdr:row>
      <xdr:rowOff>57150</xdr:rowOff>
    </xdr:from>
    <xdr:to>
      <xdr:col>18</xdr:col>
      <xdr:colOff>114299</xdr:colOff>
      <xdr:row>69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844741-6BD0-4705-BBD7-69B1D1E3BE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C4130-64D5-42FE-8592-ED0ECA68F7E8}">
  <dimension ref="A1:CS129"/>
  <sheetViews>
    <sheetView tabSelected="1" topLeftCell="A13" zoomScale="85" zoomScaleNormal="85" workbookViewId="0">
      <selection activeCell="Q19" sqref="Q19"/>
    </sheetView>
  </sheetViews>
  <sheetFormatPr defaultRowHeight="15" x14ac:dyDescent="0.25"/>
  <cols>
    <col min="1" max="1" width="15.28515625" customWidth="1"/>
    <col min="2" max="2" width="12.42578125" bestFit="1" customWidth="1"/>
    <col min="3" max="3" width="11.28515625" bestFit="1" customWidth="1"/>
    <col min="5" max="5" width="15.42578125" customWidth="1"/>
  </cols>
  <sheetData>
    <row r="1" spans="1:97" x14ac:dyDescent="0.25">
      <c r="B1" s="1">
        <v>44776.000694444447</v>
      </c>
      <c r="C1" s="1">
        <v>44776.011111111111</v>
      </c>
      <c r="D1" s="1">
        <v>44776.021527777775</v>
      </c>
      <c r="E1" s="1">
        <v>44776.031944444447</v>
      </c>
      <c r="F1" s="1">
        <v>44776.042361111111</v>
      </c>
      <c r="G1" s="1">
        <v>44776.052777777775</v>
      </c>
      <c r="H1" s="1">
        <v>44776.063194444447</v>
      </c>
      <c r="I1" s="1">
        <v>44776.073611111111</v>
      </c>
      <c r="J1" s="1">
        <v>44776.084027777775</v>
      </c>
      <c r="K1" s="1">
        <v>44776.094444444447</v>
      </c>
      <c r="L1" s="1">
        <v>44776.104861111111</v>
      </c>
      <c r="M1" s="1">
        <v>44776.115277777775</v>
      </c>
      <c r="N1" s="1">
        <v>44776.125694444447</v>
      </c>
      <c r="O1" s="1">
        <v>44776.136111111111</v>
      </c>
      <c r="P1" s="1">
        <v>44776.146527777775</v>
      </c>
      <c r="Q1" s="1">
        <v>44776.156944444447</v>
      </c>
      <c r="R1" s="1">
        <v>44776.167361111111</v>
      </c>
      <c r="S1" s="1">
        <v>44776.177777777775</v>
      </c>
      <c r="T1" s="1">
        <v>44776.188194444447</v>
      </c>
      <c r="U1" s="1">
        <v>44776.198611111111</v>
      </c>
      <c r="V1" s="1">
        <v>44776.209027777775</v>
      </c>
      <c r="W1" s="1">
        <v>44776.219444444447</v>
      </c>
      <c r="X1" s="1">
        <v>44776.229861111111</v>
      </c>
      <c r="Y1" s="1">
        <v>44776.240277777775</v>
      </c>
      <c r="Z1" s="1">
        <v>44776.250694444447</v>
      </c>
      <c r="AA1" s="1">
        <v>44776.261111111111</v>
      </c>
      <c r="AB1" s="1">
        <v>44776.271527777775</v>
      </c>
      <c r="AC1" s="1">
        <v>44776.281944444447</v>
      </c>
      <c r="AD1" s="1">
        <v>44776.292361111111</v>
      </c>
      <c r="AE1" s="1">
        <v>44776.302777777775</v>
      </c>
      <c r="AF1" s="1">
        <v>44776.313194444447</v>
      </c>
      <c r="AG1" s="1">
        <v>44776.323611111111</v>
      </c>
      <c r="AH1" s="1">
        <v>44776.334027777775</v>
      </c>
      <c r="AI1" s="1">
        <v>44776.344444444447</v>
      </c>
      <c r="AJ1" s="1">
        <v>44776.354861111111</v>
      </c>
      <c r="AK1" s="1">
        <v>44776.365277777775</v>
      </c>
      <c r="AL1" s="1">
        <v>44776.375694444447</v>
      </c>
      <c r="AM1" s="1">
        <v>44776.386111111111</v>
      </c>
      <c r="AN1" s="1">
        <v>44776.396527777775</v>
      </c>
      <c r="AO1" s="1">
        <v>44776.406944444447</v>
      </c>
      <c r="AP1" s="1">
        <v>44776.417361111111</v>
      </c>
      <c r="AQ1" s="1">
        <v>44776.427777777775</v>
      </c>
      <c r="AR1" s="1">
        <v>44776.438194444447</v>
      </c>
      <c r="AS1" s="1">
        <v>44776.448611111111</v>
      </c>
      <c r="AT1" s="1">
        <v>44776.459027777775</v>
      </c>
      <c r="AU1" s="1">
        <v>44776.469444444447</v>
      </c>
      <c r="AV1" s="1">
        <v>44776.479861111111</v>
      </c>
      <c r="AW1" s="1">
        <v>44776.490277777775</v>
      </c>
      <c r="AX1" s="1">
        <v>44776.500694444447</v>
      </c>
      <c r="AY1" s="1">
        <v>44776.511111111111</v>
      </c>
      <c r="AZ1" s="1">
        <v>44776.521527777775</v>
      </c>
      <c r="BA1" s="1">
        <v>44776.531944444447</v>
      </c>
      <c r="BB1" s="1">
        <v>44776.542361111111</v>
      </c>
      <c r="BC1" s="1">
        <v>44776.552777777775</v>
      </c>
      <c r="BD1" s="1">
        <v>44776.563194444447</v>
      </c>
      <c r="BE1" s="1">
        <v>44776.573611111111</v>
      </c>
      <c r="BF1" s="1">
        <v>44776.584027777775</v>
      </c>
      <c r="BG1" s="1">
        <v>44776.594444444447</v>
      </c>
      <c r="BH1" s="1">
        <v>44776.604861111111</v>
      </c>
      <c r="BI1" s="1">
        <v>44776.615277777775</v>
      </c>
      <c r="BJ1" s="1">
        <v>44776.625694444447</v>
      </c>
      <c r="BK1" s="1">
        <v>44776.636111111111</v>
      </c>
      <c r="BL1" s="1">
        <v>44776.646527777775</v>
      </c>
      <c r="BM1" s="1">
        <v>44776.656944444447</v>
      </c>
      <c r="BN1" s="1">
        <v>44776.667361111111</v>
      </c>
      <c r="BO1" s="1">
        <v>44776.677777777775</v>
      </c>
      <c r="BP1" s="1">
        <v>44776.688194444447</v>
      </c>
      <c r="BQ1" s="1">
        <v>44776.698611111111</v>
      </c>
      <c r="BR1" s="1">
        <v>44776.709027777775</v>
      </c>
      <c r="BS1" s="1">
        <v>44776.719444444447</v>
      </c>
      <c r="BT1" s="1">
        <v>44776.729861111111</v>
      </c>
      <c r="BU1" s="1">
        <v>44776.740277777775</v>
      </c>
      <c r="BV1" s="1">
        <v>44776.750694444447</v>
      </c>
      <c r="BW1" s="1">
        <v>44776.761111111111</v>
      </c>
      <c r="BX1" s="1">
        <v>44776.771527777775</v>
      </c>
      <c r="BY1" s="1">
        <v>44776.781944444447</v>
      </c>
      <c r="BZ1" s="1">
        <v>44776.792361111111</v>
      </c>
      <c r="CA1" s="1">
        <v>44776.802777777775</v>
      </c>
      <c r="CB1" s="1">
        <v>44776.813194444447</v>
      </c>
      <c r="CC1" s="1">
        <v>44776.823611111111</v>
      </c>
      <c r="CD1" s="1">
        <v>44776.834027777775</v>
      </c>
      <c r="CE1" s="1">
        <v>44776.844444444447</v>
      </c>
      <c r="CF1" s="1">
        <v>44776.854861111111</v>
      </c>
      <c r="CG1" s="1">
        <v>44776.865277777775</v>
      </c>
      <c r="CH1" s="1">
        <v>44776.875694444447</v>
      </c>
      <c r="CI1" s="1">
        <v>44776.917361111111</v>
      </c>
      <c r="CJ1" s="1">
        <v>44776.948611111111</v>
      </c>
      <c r="CK1" s="1">
        <v>44776.959027777775</v>
      </c>
      <c r="CL1" s="1">
        <v>44776.969444444447</v>
      </c>
      <c r="CM1" s="1">
        <v>44776.979861111111</v>
      </c>
      <c r="CN1" s="1">
        <v>44776.990277777775</v>
      </c>
      <c r="CO1" s="1">
        <v>44777.000694444447</v>
      </c>
      <c r="CP1" s="1"/>
      <c r="CQ1" s="1"/>
      <c r="CR1" s="1"/>
      <c r="CS1" s="1"/>
    </row>
    <row r="2" spans="1:97" x14ac:dyDescent="0.25">
      <c r="A2" t="s">
        <v>0</v>
      </c>
    </row>
    <row r="3" spans="1:97" x14ac:dyDescent="0.25">
      <c r="A3" t="s">
        <v>1</v>
      </c>
    </row>
    <row r="4" spans="1:97" x14ac:dyDescent="0.25">
      <c r="A4" t="s">
        <v>2</v>
      </c>
    </row>
    <row r="5" spans="1:97" x14ac:dyDescent="0.25">
      <c r="A5" t="s">
        <v>3</v>
      </c>
    </row>
    <row r="6" spans="1:97" x14ac:dyDescent="0.25">
      <c r="A6" t="s">
        <v>4</v>
      </c>
    </row>
    <row r="7" spans="1:97" x14ac:dyDescent="0.25">
      <c r="A7" t="s">
        <v>5</v>
      </c>
    </row>
    <row r="8" spans="1:97" x14ac:dyDescent="0.25">
      <c r="A8" t="s">
        <v>6</v>
      </c>
    </row>
    <row r="9" spans="1:97" x14ac:dyDescent="0.25">
      <c r="A9" t="s">
        <v>7</v>
      </c>
    </row>
    <row r="10" spans="1:97" x14ac:dyDescent="0.25">
      <c r="A10" t="s">
        <v>8</v>
      </c>
    </row>
    <row r="11" spans="1:97" x14ac:dyDescent="0.25">
      <c r="A11" t="s">
        <v>9</v>
      </c>
    </row>
    <row r="12" spans="1:97" x14ac:dyDescent="0.25">
      <c r="A12" t="s">
        <v>10</v>
      </c>
    </row>
    <row r="13" spans="1:97" x14ac:dyDescent="0.25">
      <c r="A13" t="s">
        <v>11</v>
      </c>
    </row>
    <row r="14" spans="1:97" x14ac:dyDescent="0.25">
      <c r="A14" t="s">
        <v>12</v>
      </c>
    </row>
    <row r="15" spans="1:97" x14ac:dyDescent="0.25">
      <c r="A15" t="s">
        <v>13</v>
      </c>
    </row>
    <row r="16" spans="1:97" x14ac:dyDescent="0.25">
      <c r="A16" t="s">
        <v>14</v>
      </c>
    </row>
    <row r="17" spans="1:97" x14ac:dyDescent="0.25">
      <c r="A17" t="s">
        <v>15</v>
      </c>
    </row>
    <row r="18" spans="1:97" x14ac:dyDescent="0.25">
      <c r="A18" t="s">
        <v>16</v>
      </c>
    </row>
    <row r="19" spans="1:97" x14ac:dyDescent="0.25">
      <c r="A19" t="s">
        <v>17</v>
      </c>
    </row>
    <row r="20" spans="1:97" x14ac:dyDescent="0.25">
      <c r="A20" t="s">
        <v>18</v>
      </c>
    </row>
    <row r="21" spans="1:97" x14ac:dyDescent="0.25">
      <c r="A21" t="s">
        <v>19</v>
      </c>
    </row>
    <row r="22" spans="1:97" x14ac:dyDescent="0.25">
      <c r="A22" t="s">
        <v>20</v>
      </c>
    </row>
    <row r="23" spans="1:97" x14ac:dyDescent="0.25">
      <c r="A23" t="s">
        <v>21</v>
      </c>
    </row>
    <row r="24" spans="1:97" x14ac:dyDescent="0.25">
      <c r="A24" t="s">
        <v>22</v>
      </c>
    </row>
    <row r="25" spans="1:97" x14ac:dyDescent="0.25">
      <c r="A25" t="s">
        <v>23</v>
      </c>
    </row>
    <row r="26" spans="1:97" x14ac:dyDescent="0.25">
      <c r="A26" t="s">
        <v>24</v>
      </c>
    </row>
    <row r="27" spans="1:97" x14ac:dyDescent="0.25">
      <c r="A27" t="s">
        <v>25</v>
      </c>
    </row>
    <row r="28" spans="1:97" x14ac:dyDescent="0.25">
      <c r="A28" t="s">
        <v>26</v>
      </c>
    </row>
    <row r="29" spans="1:97" x14ac:dyDescent="0.25">
      <c r="A29" t="s">
        <v>32</v>
      </c>
    </row>
    <row r="30" spans="1:97" x14ac:dyDescent="0.25">
      <c r="A30" t="s">
        <v>33</v>
      </c>
    </row>
    <row r="31" spans="1:97" x14ac:dyDescent="0.25">
      <c r="A31" t="s">
        <v>34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</row>
    <row r="33" spans="1:27" x14ac:dyDescent="0.25">
      <c r="C33" s="4" t="s">
        <v>27</v>
      </c>
      <c r="E33" t="s">
        <v>28</v>
      </c>
      <c r="F33" t="s">
        <v>29</v>
      </c>
      <c r="G33" t="s">
        <v>30</v>
      </c>
      <c r="H33" t="s">
        <v>31</v>
      </c>
    </row>
    <row r="34" spans="1:27" x14ac:dyDescent="0.25">
      <c r="A34" s="5" t="str">
        <f>A2</f>
        <v>max_amp</v>
      </c>
      <c r="B34" s="9">
        <f>MAX(B2:CS2)</f>
        <v>0</v>
      </c>
      <c r="C34" s="6" t="e">
        <f>_xlfn.XLOOKUP(MAX(B2:CS2), B2:CS2, $B$1:$CS$1)</f>
        <v>#N/A</v>
      </c>
      <c r="E34" s="1">
        <v>44776.000694444447</v>
      </c>
    </row>
    <row r="35" spans="1:27" x14ac:dyDescent="0.25">
      <c r="A35" s="5" t="str">
        <f t="shared" ref="A35:A60" si="0">A3</f>
        <v>mean_amp</v>
      </c>
      <c r="B35" s="9">
        <f t="shared" ref="B35:B60" si="1">MAX(B3:CS3)</f>
        <v>0</v>
      </c>
      <c r="C35" s="6" t="e">
        <f t="shared" ref="C35:C59" si="2">_xlfn.XLOOKUP(MAX(B3:CS3), B3:CS3, $B$1:$CS$1)</f>
        <v>#N/A</v>
      </c>
      <c r="E35" s="1">
        <v>44776.011111111111</v>
      </c>
      <c r="T35" t="s">
        <v>0</v>
      </c>
      <c r="U35">
        <v>2.7100659833378001E-2</v>
      </c>
    </row>
    <row r="36" spans="1:27" x14ac:dyDescent="0.25">
      <c r="A36" s="5" t="str">
        <f t="shared" si="0"/>
        <v>median_amp</v>
      </c>
      <c r="B36" s="9">
        <f t="shared" si="1"/>
        <v>0</v>
      </c>
      <c r="C36" s="6" t="e">
        <f t="shared" si="2"/>
        <v>#N/A</v>
      </c>
      <c r="E36" s="1">
        <v>44776.021527777775</v>
      </c>
      <c r="T36" t="s">
        <v>1</v>
      </c>
      <c r="U36">
        <v>1.73415591077304E-2</v>
      </c>
    </row>
    <row r="37" spans="1:27" x14ac:dyDescent="0.25">
      <c r="A37" t="str">
        <f t="shared" si="0"/>
        <v>impulses_ch6</v>
      </c>
      <c r="B37">
        <f t="shared" si="1"/>
        <v>0</v>
      </c>
      <c r="C37" s="3" t="e">
        <f t="shared" si="2"/>
        <v>#N/A</v>
      </c>
      <c r="E37" s="1">
        <v>44776.031944444447</v>
      </c>
      <c r="T37" t="s">
        <v>2</v>
      </c>
      <c r="U37">
        <v>1.75334302078048E-2</v>
      </c>
    </row>
    <row r="38" spans="1:27" x14ac:dyDescent="0.25">
      <c r="A38" t="str">
        <f t="shared" si="0"/>
        <v>impulses_ch5</v>
      </c>
      <c r="B38">
        <f t="shared" si="1"/>
        <v>0</v>
      </c>
      <c r="C38" s="3" t="e">
        <f t="shared" si="2"/>
        <v>#N/A</v>
      </c>
      <c r="E38" s="1">
        <v>44776.042361111111</v>
      </c>
      <c r="T38" t="s">
        <v>3</v>
      </c>
      <c r="U38">
        <v>0</v>
      </c>
    </row>
    <row r="39" spans="1:27" x14ac:dyDescent="0.25">
      <c r="A39" t="str">
        <f t="shared" si="0"/>
        <v>impulses_ch4</v>
      </c>
      <c r="B39">
        <f t="shared" si="1"/>
        <v>0</v>
      </c>
      <c r="C39" s="3" t="e">
        <f t="shared" si="2"/>
        <v>#N/A</v>
      </c>
      <c r="E39" s="1">
        <v>44776.052777777775</v>
      </c>
      <c r="T39" t="s">
        <v>4</v>
      </c>
      <c r="U39">
        <v>11</v>
      </c>
    </row>
    <row r="40" spans="1:27" x14ac:dyDescent="0.25">
      <c r="A40" s="5" t="str">
        <f t="shared" si="0"/>
        <v>impulses_ch3</v>
      </c>
      <c r="B40" s="5">
        <f>MAX(B8:CO8)</f>
        <v>0</v>
      </c>
      <c r="C40" s="6" t="e">
        <f t="shared" si="2"/>
        <v>#N/A</v>
      </c>
      <c r="E40" s="1">
        <v>44776.063194444447</v>
      </c>
      <c r="T40" t="s">
        <v>5</v>
      </c>
      <c r="U40">
        <v>199</v>
      </c>
    </row>
    <row r="41" spans="1:27" x14ac:dyDescent="0.25">
      <c r="A41" s="5" t="str">
        <f t="shared" si="0"/>
        <v>impulses_ch2</v>
      </c>
      <c r="B41" s="5">
        <f t="shared" ref="B41:B42" si="3">MAX(B9:CO9)</f>
        <v>0</v>
      </c>
      <c r="C41" s="6" t="e">
        <f t="shared" si="2"/>
        <v>#N/A</v>
      </c>
      <c r="E41" s="1">
        <v>44776.073611111111</v>
      </c>
      <c r="T41" t="s">
        <v>6</v>
      </c>
      <c r="U41">
        <v>2627</v>
      </c>
    </row>
    <row r="42" spans="1:27" x14ac:dyDescent="0.25">
      <c r="A42" s="5" t="str">
        <f t="shared" si="0"/>
        <v>impulses_ch1</v>
      </c>
      <c r="B42" s="5">
        <f t="shared" si="3"/>
        <v>0</v>
      </c>
      <c r="C42" s="6" t="e">
        <f t="shared" si="2"/>
        <v>#N/A</v>
      </c>
      <c r="E42" s="1">
        <v>44776.084027777775</v>
      </c>
      <c r="T42" t="s">
        <v>7</v>
      </c>
      <c r="U42">
        <v>11852</v>
      </c>
    </row>
    <row r="43" spans="1:27" x14ac:dyDescent="0.25">
      <c r="A43" t="str">
        <f t="shared" si="0"/>
        <v>max_env_ch6</v>
      </c>
      <c r="B43">
        <f t="shared" si="1"/>
        <v>0</v>
      </c>
      <c r="C43" s="3" t="e">
        <f t="shared" si="2"/>
        <v>#N/A</v>
      </c>
      <c r="E43" s="1">
        <v>44776.094444444447</v>
      </c>
      <c r="T43" t="s">
        <v>8</v>
      </c>
      <c r="U43">
        <v>15119</v>
      </c>
    </row>
    <row r="44" spans="1:27" x14ac:dyDescent="0.25">
      <c r="A44" t="str">
        <f t="shared" si="0"/>
        <v>mean_env_ch6</v>
      </c>
      <c r="B44">
        <f t="shared" si="1"/>
        <v>0</v>
      </c>
      <c r="C44" s="3" t="e">
        <f t="shared" si="2"/>
        <v>#N/A</v>
      </c>
      <c r="E44" s="1">
        <v>44776.104861111111</v>
      </c>
    </row>
    <row r="45" spans="1:27" x14ac:dyDescent="0.25">
      <c r="A45" t="str">
        <f t="shared" si="0"/>
        <v>median_env_ch6</v>
      </c>
      <c r="B45">
        <f t="shared" si="1"/>
        <v>0</v>
      </c>
      <c r="C45" s="3" t="e">
        <f t="shared" si="2"/>
        <v>#N/A</v>
      </c>
      <c r="E45" s="1">
        <v>44776.115277777775</v>
      </c>
      <c r="U45" t="s">
        <v>37</v>
      </c>
    </row>
    <row r="46" spans="1:27" x14ac:dyDescent="0.25">
      <c r="A46" t="str">
        <f t="shared" si="0"/>
        <v>max_env_ch5</v>
      </c>
      <c r="B46">
        <f t="shared" si="1"/>
        <v>0</v>
      </c>
      <c r="C46" s="3" t="e">
        <f t="shared" si="2"/>
        <v>#N/A</v>
      </c>
      <c r="E46" s="1">
        <v>44776.125694444447</v>
      </c>
      <c r="U46" t="s">
        <v>35</v>
      </c>
      <c r="V46" t="s">
        <v>36</v>
      </c>
      <c r="W46" t="s">
        <v>38</v>
      </c>
      <c r="Y46" t="s">
        <v>35</v>
      </c>
      <c r="Z46" t="s">
        <v>36</v>
      </c>
      <c r="AA46" t="s">
        <v>38</v>
      </c>
    </row>
    <row r="47" spans="1:27" x14ac:dyDescent="0.25">
      <c r="A47" t="str">
        <f t="shared" si="0"/>
        <v>mean_env_ch5</v>
      </c>
      <c r="B47">
        <f t="shared" si="1"/>
        <v>0</v>
      </c>
      <c r="C47" s="3" t="e">
        <f t="shared" si="2"/>
        <v>#N/A</v>
      </c>
      <c r="E47" s="1">
        <v>44776.136111111111</v>
      </c>
      <c r="T47" t="s">
        <v>39</v>
      </c>
      <c r="U47" s="2">
        <f>B43</f>
        <v>0</v>
      </c>
      <c r="V47" s="2">
        <f>B44</f>
        <v>0</v>
      </c>
      <c r="W47" s="2">
        <f>B45</f>
        <v>0</v>
      </c>
      <c r="Y47">
        <v>0</v>
      </c>
      <c r="Z47">
        <v>0</v>
      </c>
      <c r="AA47">
        <v>0</v>
      </c>
    </row>
    <row r="48" spans="1:27" x14ac:dyDescent="0.25">
      <c r="A48" t="str">
        <f t="shared" si="0"/>
        <v>median_env_ch5</v>
      </c>
      <c r="B48">
        <f t="shared" si="1"/>
        <v>0</v>
      </c>
      <c r="C48" s="3" t="e">
        <f t="shared" si="2"/>
        <v>#N/A</v>
      </c>
      <c r="E48" s="1">
        <v>44776.146527777775</v>
      </c>
      <c r="T48" t="s">
        <v>40</v>
      </c>
      <c r="U48" s="2">
        <f>B46</f>
        <v>0</v>
      </c>
      <c r="V48" s="2">
        <f>B47</f>
        <v>0</v>
      </c>
      <c r="W48" s="2">
        <f>B48</f>
        <v>0</v>
      </c>
      <c r="Y48">
        <v>0.108402639333512</v>
      </c>
      <c r="Z48">
        <v>8.5195492688122099E-2</v>
      </c>
      <c r="AA48">
        <v>8.1549751061042799E-2</v>
      </c>
    </row>
    <row r="49" spans="1:27" x14ac:dyDescent="0.25">
      <c r="A49" t="str">
        <f t="shared" si="0"/>
        <v>max_env_ch4</v>
      </c>
      <c r="B49">
        <f t="shared" si="1"/>
        <v>0</v>
      </c>
      <c r="C49" s="3" t="e">
        <f t="shared" si="2"/>
        <v>#N/A</v>
      </c>
      <c r="E49" s="1">
        <v>44776.156944444447</v>
      </c>
      <c r="T49" t="s">
        <v>41</v>
      </c>
      <c r="U49" s="2">
        <f>B49</f>
        <v>0</v>
      </c>
      <c r="V49" s="2">
        <f>B50</f>
        <v>0</v>
      </c>
      <c r="W49" s="2">
        <f>B51</f>
        <v>0</v>
      </c>
      <c r="Y49">
        <v>0.43361055733404802</v>
      </c>
      <c r="Z49">
        <v>0.283546008743847</v>
      </c>
      <c r="AA49">
        <v>0.28905210154241401</v>
      </c>
    </row>
    <row r="50" spans="1:27" x14ac:dyDescent="0.25">
      <c r="A50" t="str">
        <f t="shared" si="0"/>
        <v>mean_env_ch4</v>
      </c>
      <c r="B50">
        <f t="shared" si="1"/>
        <v>0</v>
      </c>
      <c r="C50" s="3" t="e">
        <f t="shared" si="2"/>
        <v>#N/A</v>
      </c>
      <c r="E50" s="1">
        <v>44776.167361111111</v>
      </c>
      <c r="T50" t="s">
        <v>42</v>
      </c>
      <c r="U50" s="2">
        <f>B52</f>
        <v>0</v>
      </c>
      <c r="V50" s="2">
        <f>B53</f>
        <v>0</v>
      </c>
      <c r="W50" s="2">
        <f>B54</f>
        <v>0</v>
      </c>
      <c r="Y50">
        <v>2.3259290609915499</v>
      </c>
      <c r="Z50">
        <v>2.2279108515780699</v>
      </c>
      <c r="AA50">
        <v>2.22823696464304</v>
      </c>
    </row>
    <row r="51" spans="1:27" x14ac:dyDescent="0.25">
      <c r="A51" t="str">
        <f t="shared" si="0"/>
        <v>median_env_ch4</v>
      </c>
      <c r="B51">
        <f t="shared" si="1"/>
        <v>0</v>
      </c>
      <c r="C51" s="3" t="e">
        <f t="shared" si="2"/>
        <v>#N/A</v>
      </c>
      <c r="E51" s="1">
        <v>44776.177777777775</v>
      </c>
      <c r="T51" t="s">
        <v>43</v>
      </c>
      <c r="U51" s="2">
        <f>B55</f>
        <v>0</v>
      </c>
      <c r="V51" s="2">
        <f>B56</f>
        <v>0</v>
      </c>
      <c r="W51" s="2">
        <f>B57</f>
        <v>0</v>
      </c>
      <c r="Y51">
        <v>9.3037162439662104</v>
      </c>
      <c r="Z51">
        <v>8.9116434063122991</v>
      </c>
      <c r="AA51">
        <v>8.9129478585721706</v>
      </c>
    </row>
    <row r="52" spans="1:27" x14ac:dyDescent="0.25">
      <c r="A52" s="5" t="str">
        <f t="shared" si="0"/>
        <v>max_env_ch3</v>
      </c>
      <c r="B52" s="5">
        <f t="shared" si="1"/>
        <v>0</v>
      </c>
      <c r="C52" s="6" t="e">
        <f t="shared" si="2"/>
        <v>#N/A</v>
      </c>
      <c r="E52" s="1">
        <v>44776.188194444447</v>
      </c>
      <c r="T52" t="s">
        <v>44</v>
      </c>
      <c r="U52" s="2">
        <f>B58</f>
        <v>0</v>
      </c>
      <c r="V52" s="2">
        <f>B59</f>
        <v>0</v>
      </c>
      <c r="W52" s="2">
        <f>B60</f>
        <v>0</v>
      </c>
      <c r="Y52">
        <v>37.214864975864799</v>
      </c>
      <c r="Z52">
        <v>35.646573625249196</v>
      </c>
      <c r="AA52">
        <v>35.651791434288697</v>
      </c>
    </row>
    <row r="53" spans="1:27" x14ac:dyDescent="0.25">
      <c r="A53" s="5" t="str">
        <f t="shared" si="0"/>
        <v>mean_env_ch3</v>
      </c>
      <c r="B53" s="5">
        <f t="shared" si="1"/>
        <v>0</v>
      </c>
      <c r="C53" s="6" t="e">
        <f t="shared" si="2"/>
        <v>#N/A</v>
      </c>
      <c r="E53" s="1">
        <v>44776.198611111111</v>
      </c>
    </row>
    <row r="54" spans="1:27" x14ac:dyDescent="0.25">
      <c r="A54" s="5" t="str">
        <f t="shared" si="0"/>
        <v>median_env_ch3</v>
      </c>
      <c r="B54" s="5">
        <f t="shared" si="1"/>
        <v>0</v>
      </c>
      <c r="C54" s="6" t="e">
        <f t="shared" si="2"/>
        <v>#N/A</v>
      </c>
      <c r="E54" s="1">
        <v>44776.209027777775</v>
      </c>
    </row>
    <row r="55" spans="1:27" x14ac:dyDescent="0.25">
      <c r="A55" s="5" t="str">
        <f t="shared" si="0"/>
        <v>max_env_ch2</v>
      </c>
      <c r="B55" s="5">
        <f t="shared" si="1"/>
        <v>0</v>
      </c>
      <c r="C55" s="6" t="e">
        <f t="shared" si="2"/>
        <v>#N/A</v>
      </c>
      <c r="E55" s="1">
        <v>44776.219444444447</v>
      </c>
    </row>
    <row r="56" spans="1:27" x14ac:dyDescent="0.25">
      <c r="A56" s="5" t="str">
        <f t="shared" si="0"/>
        <v>mean_env_ch2</v>
      </c>
      <c r="B56" s="5">
        <f t="shared" si="1"/>
        <v>0</v>
      </c>
      <c r="C56" s="6" t="e">
        <f t="shared" si="2"/>
        <v>#N/A</v>
      </c>
      <c r="E56" s="1">
        <v>44776.229861111111</v>
      </c>
    </row>
    <row r="57" spans="1:27" x14ac:dyDescent="0.25">
      <c r="A57" s="5" t="str">
        <f t="shared" si="0"/>
        <v>median_env_ch2</v>
      </c>
      <c r="B57" s="5">
        <f t="shared" si="1"/>
        <v>0</v>
      </c>
      <c r="C57" s="6" t="e">
        <f t="shared" si="2"/>
        <v>#N/A</v>
      </c>
      <c r="E57" s="1">
        <v>44776.240277777775</v>
      </c>
    </row>
    <row r="58" spans="1:27" x14ac:dyDescent="0.25">
      <c r="A58" s="5" t="str">
        <f t="shared" si="0"/>
        <v>max_env_ch1</v>
      </c>
      <c r="B58" s="5">
        <f t="shared" si="1"/>
        <v>0</v>
      </c>
      <c r="C58" s="6" t="e">
        <f t="shared" si="2"/>
        <v>#N/A</v>
      </c>
      <c r="E58" s="1">
        <v>44776.250694444447</v>
      </c>
    </row>
    <row r="59" spans="1:27" x14ac:dyDescent="0.25">
      <c r="A59" s="5" t="str">
        <f t="shared" si="0"/>
        <v>mean_env_ch1</v>
      </c>
      <c r="B59" s="5">
        <f t="shared" si="1"/>
        <v>0</v>
      </c>
      <c r="C59" s="6" t="e">
        <f t="shared" si="2"/>
        <v>#N/A</v>
      </c>
      <c r="E59" s="1">
        <v>44776.261111111111</v>
      </c>
    </row>
    <row r="60" spans="1:27" x14ac:dyDescent="0.25">
      <c r="A60" s="5" t="str">
        <f t="shared" si="0"/>
        <v>median_env_ch1</v>
      </c>
      <c r="B60" s="5">
        <f t="shared" si="1"/>
        <v>0</v>
      </c>
      <c r="C60" s="6" t="e">
        <f>_xlfn.XLOOKUP(MAX(B28:CS28), B28:CS28, $B$1:$CS$1)</f>
        <v>#N/A</v>
      </c>
      <c r="E60" s="1">
        <v>44776.271527777775</v>
      </c>
    </row>
    <row r="61" spans="1:27" x14ac:dyDescent="0.25">
      <c r="A61" t="s">
        <v>32</v>
      </c>
      <c r="B61" s="7">
        <f>MAX(B29:CS29)</f>
        <v>0</v>
      </c>
      <c r="C61" s="6" t="e">
        <f t="shared" ref="C61:C62" si="4">_xlfn.XLOOKUP(MAX(B29:CS29), B29:CS29, $B$1:$CS$1)</f>
        <v>#N/A</v>
      </c>
      <c r="E61" s="1">
        <v>44776.281944444447</v>
      </c>
    </row>
    <row r="62" spans="1:27" x14ac:dyDescent="0.25">
      <c r="A62" t="s">
        <v>33</v>
      </c>
      <c r="B62" s="7">
        <f>MAX(B30:CS30)</f>
        <v>0</v>
      </c>
      <c r="C62" s="6" t="e">
        <f t="shared" si="4"/>
        <v>#N/A</v>
      </c>
      <c r="E62" s="1">
        <v>44776.292361111111</v>
      </c>
    </row>
    <row r="63" spans="1:27" x14ac:dyDescent="0.25">
      <c r="B63" s="8"/>
      <c r="C63" s="3"/>
      <c r="E63" s="1">
        <v>44776.302777777775</v>
      </c>
    </row>
    <row r="64" spans="1:27" x14ac:dyDescent="0.25">
      <c r="E64" s="1">
        <v>44776.313194444447</v>
      </c>
    </row>
    <row r="65" spans="5:5" x14ac:dyDescent="0.25">
      <c r="E65" s="1">
        <v>44776.323611111111</v>
      </c>
    </row>
    <row r="66" spans="5:5" x14ac:dyDescent="0.25">
      <c r="E66" s="1">
        <v>44776.334027777775</v>
      </c>
    </row>
    <row r="67" spans="5:5" x14ac:dyDescent="0.25">
      <c r="E67" s="1">
        <v>44776.344444444447</v>
      </c>
    </row>
    <row r="68" spans="5:5" x14ac:dyDescent="0.25">
      <c r="E68" s="1">
        <v>44776.354861111111</v>
      </c>
    </row>
    <row r="69" spans="5:5" x14ac:dyDescent="0.25">
      <c r="E69" s="1">
        <v>44776.365277777775</v>
      </c>
    </row>
    <row r="70" spans="5:5" x14ac:dyDescent="0.25">
      <c r="E70" s="1">
        <v>44776.375694444447</v>
      </c>
    </row>
    <row r="71" spans="5:5" x14ac:dyDescent="0.25">
      <c r="E71" s="1">
        <v>44776.386111111111</v>
      </c>
    </row>
    <row r="72" spans="5:5" x14ac:dyDescent="0.25">
      <c r="E72" s="1">
        <v>44776.396527777775</v>
      </c>
    </row>
    <row r="73" spans="5:5" x14ac:dyDescent="0.25">
      <c r="E73" s="1">
        <v>44776.406944444447</v>
      </c>
    </row>
    <row r="74" spans="5:5" x14ac:dyDescent="0.25">
      <c r="E74" s="1">
        <v>44776.417361111111</v>
      </c>
    </row>
    <row r="75" spans="5:5" x14ac:dyDescent="0.25">
      <c r="E75" s="1">
        <v>44776.427777777775</v>
      </c>
    </row>
    <row r="76" spans="5:5" x14ac:dyDescent="0.25">
      <c r="E76" s="1">
        <v>44776.438194444447</v>
      </c>
    </row>
    <row r="77" spans="5:5" x14ac:dyDescent="0.25">
      <c r="E77" s="1">
        <v>44776.448611111111</v>
      </c>
    </row>
    <row r="78" spans="5:5" x14ac:dyDescent="0.25">
      <c r="E78" s="1">
        <v>44776.459027777775</v>
      </c>
    </row>
    <row r="79" spans="5:5" x14ac:dyDescent="0.25">
      <c r="E79" s="1">
        <v>44776.469444444447</v>
      </c>
    </row>
    <row r="80" spans="5:5" x14ac:dyDescent="0.25">
      <c r="E80" s="1">
        <v>44776.479861111111</v>
      </c>
    </row>
    <row r="81" spans="5:5" x14ac:dyDescent="0.25">
      <c r="E81" s="1">
        <v>44776.490277777775</v>
      </c>
    </row>
    <row r="82" spans="5:5" x14ac:dyDescent="0.25">
      <c r="E82" s="1">
        <v>44776.500694444447</v>
      </c>
    </row>
    <row r="83" spans="5:5" x14ac:dyDescent="0.25">
      <c r="E83" s="1">
        <v>44776.511111111111</v>
      </c>
    </row>
    <row r="84" spans="5:5" x14ac:dyDescent="0.25">
      <c r="E84" s="1">
        <v>44776.521527777775</v>
      </c>
    </row>
    <row r="85" spans="5:5" x14ac:dyDescent="0.25">
      <c r="E85" s="1">
        <v>44776.531944444447</v>
      </c>
    </row>
    <row r="86" spans="5:5" x14ac:dyDescent="0.25">
      <c r="E86" s="1">
        <v>44776.542361111111</v>
      </c>
    </row>
    <row r="87" spans="5:5" x14ac:dyDescent="0.25">
      <c r="E87" s="1">
        <v>44776.552777777775</v>
      </c>
    </row>
    <row r="88" spans="5:5" x14ac:dyDescent="0.25">
      <c r="E88" s="1">
        <v>44776.563194444447</v>
      </c>
    </row>
    <row r="89" spans="5:5" x14ac:dyDescent="0.25">
      <c r="E89" s="1">
        <v>44776.573611111111</v>
      </c>
    </row>
    <row r="90" spans="5:5" x14ac:dyDescent="0.25">
      <c r="E90" s="1">
        <v>44776.584027777775</v>
      </c>
    </row>
    <row r="91" spans="5:5" x14ac:dyDescent="0.25">
      <c r="E91" s="1">
        <v>44776.594444444447</v>
      </c>
    </row>
    <row r="92" spans="5:5" x14ac:dyDescent="0.25">
      <c r="E92" s="1">
        <v>44776.604861111111</v>
      </c>
    </row>
    <row r="93" spans="5:5" x14ac:dyDescent="0.25">
      <c r="E93" s="1">
        <v>44776.615277777775</v>
      </c>
    </row>
    <row r="94" spans="5:5" x14ac:dyDescent="0.25">
      <c r="E94" s="1">
        <v>44776.625694444447</v>
      </c>
    </row>
    <row r="95" spans="5:5" x14ac:dyDescent="0.25">
      <c r="E95" s="1">
        <v>44776.636111111111</v>
      </c>
    </row>
    <row r="96" spans="5:5" x14ac:dyDescent="0.25">
      <c r="E96" s="1">
        <v>44776.646527777775</v>
      </c>
    </row>
    <row r="97" spans="5:5" x14ac:dyDescent="0.25">
      <c r="E97" s="1">
        <v>44776.656944444447</v>
      </c>
    </row>
    <row r="98" spans="5:5" x14ac:dyDescent="0.25">
      <c r="E98" s="1">
        <v>44776.667361111111</v>
      </c>
    </row>
    <row r="99" spans="5:5" x14ac:dyDescent="0.25">
      <c r="E99" s="1">
        <v>44776.677777777775</v>
      </c>
    </row>
    <row r="100" spans="5:5" x14ac:dyDescent="0.25">
      <c r="E100" s="1">
        <v>44776.688194444447</v>
      </c>
    </row>
    <row r="101" spans="5:5" x14ac:dyDescent="0.25">
      <c r="E101" s="1">
        <v>44776.698611111111</v>
      </c>
    </row>
    <row r="102" spans="5:5" x14ac:dyDescent="0.25">
      <c r="E102" s="1">
        <v>44776.709027777775</v>
      </c>
    </row>
    <row r="103" spans="5:5" x14ac:dyDescent="0.25">
      <c r="E103" s="1">
        <v>44776.719444444447</v>
      </c>
    </row>
    <row r="104" spans="5:5" x14ac:dyDescent="0.25">
      <c r="E104" s="1">
        <v>44776.729861111111</v>
      </c>
    </row>
    <row r="105" spans="5:5" x14ac:dyDescent="0.25">
      <c r="E105" s="1">
        <v>44776.740277777775</v>
      </c>
    </row>
    <row r="106" spans="5:5" x14ac:dyDescent="0.25">
      <c r="E106" s="1">
        <v>44776.750694444447</v>
      </c>
    </row>
    <row r="107" spans="5:5" x14ac:dyDescent="0.25">
      <c r="E107" s="1">
        <v>44776.761111111111</v>
      </c>
    </row>
    <row r="108" spans="5:5" x14ac:dyDescent="0.25">
      <c r="E108" s="1">
        <v>44776.771527777775</v>
      </c>
    </row>
    <row r="109" spans="5:5" x14ac:dyDescent="0.25">
      <c r="E109" s="1">
        <v>44776.781944444447</v>
      </c>
    </row>
    <row r="110" spans="5:5" x14ac:dyDescent="0.25">
      <c r="E110" s="1">
        <v>44776.792361111111</v>
      </c>
    </row>
    <row r="111" spans="5:5" x14ac:dyDescent="0.25">
      <c r="E111" s="1">
        <v>44776.802777777775</v>
      </c>
    </row>
    <row r="112" spans="5:5" x14ac:dyDescent="0.25">
      <c r="E112" s="1">
        <v>44776.813194444447</v>
      </c>
    </row>
    <row r="113" spans="5:5" x14ac:dyDescent="0.25">
      <c r="E113" s="1">
        <v>44776.823611111111</v>
      </c>
    </row>
    <row r="114" spans="5:5" x14ac:dyDescent="0.25">
      <c r="E114" s="1">
        <v>44776.834027777775</v>
      </c>
    </row>
    <row r="115" spans="5:5" x14ac:dyDescent="0.25">
      <c r="E115" s="1">
        <v>44776.844444444447</v>
      </c>
    </row>
    <row r="116" spans="5:5" x14ac:dyDescent="0.25">
      <c r="E116" s="1">
        <v>44776.854861111111</v>
      </c>
    </row>
    <row r="117" spans="5:5" x14ac:dyDescent="0.25">
      <c r="E117" s="1">
        <v>44776.865277777775</v>
      </c>
    </row>
    <row r="118" spans="5:5" x14ac:dyDescent="0.25">
      <c r="E118" s="1">
        <v>44776.875694444447</v>
      </c>
    </row>
    <row r="119" spans="5:5" x14ac:dyDescent="0.25">
      <c r="E119" s="1">
        <v>44776.917361111111</v>
      </c>
    </row>
    <row r="120" spans="5:5" x14ac:dyDescent="0.25">
      <c r="E120" s="1">
        <v>44776.948611111111</v>
      </c>
    </row>
    <row r="121" spans="5:5" x14ac:dyDescent="0.25">
      <c r="E121" s="1">
        <v>44776.959027777775</v>
      </c>
    </row>
    <row r="122" spans="5:5" x14ac:dyDescent="0.25">
      <c r="E122" s="1">
        <v>44776.969444444447</v>
      </c>
    </row>
    <row r="123" spans="5:5" x14ac:dyDescent="0.25">
      <c r="E123" s="1">
        <v>44776.979861111111</v>
      </c>
    </row>
    <row r="124" spans="5:5" x14ac:dyDescent="0.25">
      <c r="E124" s="1">
        <v>44776.990277777775</v>
      </c>
    </row>
    <row r="125" spans="5:5" x14ac:dyDescent="0.25">
      <c r="E125" s="1">
        <v>44777.000694444447</v>
      </c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storm2_results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2025-10-23T17:38:48Z</dcterms:created>
  <dcterms:modified xsi:type="dcterms:W3CDTF">2025-12-09T22:13:19Z</dcterms:modified>
</cp:coreProperties>
</file>