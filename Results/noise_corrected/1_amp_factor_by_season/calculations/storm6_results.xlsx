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noise_corrected\1.amp_factor_by_season\calculations\"/>
    </mc:Choice>
  </mc:AlternateContent>
  <xr:revisionPtr revIDLastSave="0" documentId="13_ncr:1_{53F540BB-7C4C-4692-9CAE-4EA3D2589C12}" xr6:coauthVersionLast="47" xr6:coauthVersionMax="47" xr10:uidLastSave="{00000000-0000-0000-0000-000000000000}"/>
  <bookViews>
    <workbookView xWindow="1950" yWindow="1950" windowWidth="21600" windowHeight="11295" xr2:uid="{AEBCD194-AFA8-49EE-8674-E5A4097E31D1}"/>
  </bookViews>
  <sheets>
    <sheet name="storm6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1" l="1"/>
  <c r="C63" i="1"/>
  <c r="B62" i="1"/>
  <c r="C62" i="1"/>
  <c r="V48" i="1"/>
  <c r="B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B36" i="1"/>
  <c r="B37" i="1"/>
  <c r="B38" i="1"/>
  <c r="B39" i="1"/>
  <c r="B40" i="1"/>
  <c r="B41" i="1"/>
  <c r="B42" i="1"/>
  <c r="B43" i="1"/>
  <c r="B44" i="1"/>
  <c r="U48" i="1" s="1"/>
  <c r="B45" i="1"/>
  <c r="B46" i="1"/>
  <c r="W48" i="1" s="1"/>
  <c r="B47" i="1"/>
  <c r="U49" i="1" s="1"/>
  <c r="B48" i="1"/>
  <c r="V49" i="1" s="1"/>
  <c r="B49" i="1"/>
  <c r="W49" i="1" s="1"/>
  <c r="B50" i="1"/>
  <c r="U50" i="1" s="1"/>
  <c r="B51" i="1"/>
  <c r="V50" i="1" s="1"/>
  <c r="B52" i="1"/>
  <c r="W50" i="1" s="1"/>
  <c r="B53" i="1"/>
  <c r="U51" i="1" s="1"/>
  <c r="B54" i="1"/>
  <c r="V51" i="1" s="1"/>
  <c r="B55" i="1"/>
  <c r="W51" i="1" s="1"/>
  <c r="B56" i="1"/>
  <c r="U52" i="1" s="1"/>
  <c r="B57" i="1"/>
  <c r="V52" i="1" s="1"/>
  <c r="B58" i="1"/>
  <c r="W52" i="1" s="1"/>
  <c r="B59" i="1"/>
  <c r="U53" i="1" s="1"/>
  <c r="B60" i="1"/>
  <c r="V53" i="1" s="1"/>
  <c r="B61" i="1"/>
  <c r="W53" i="1" s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C35" i="1"/>
  <c r="A35" i="1"/>
</calcChain>
</file>

<file path=xl/sharedStrings.xml><?xml version="1.0" encoding="utf-8"?>
<sst xmlns="http://schemas.openxmlformats.org/spreadsheetml/2006/main" count="65" uniqueCount="45">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</sst>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storm6_results!$E$35:$E$131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storm6_results!$F$35:$F$131</c:f>
              <c:numCache>
                <c:formatCode>General</c:formatCode>
                <c:ptCount val="97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BA-4011-A5EC-683C6DECD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447887"/>
        <c:axId val="877441647"/>
      </c:scatterChart>
      <c:valAx>
        <c:axId val="87744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1647"/>
        <c:crosses val="autoZero"/>
        <c:crossBetween val="midCat"/>
      </c:valAx>
      <c:valAx>
        <c:axId val="87744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7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storm6_results!$E$35:$E$131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storm6_results!$G$35:$G$131</c:f>
              <c:numCache>
                <c:formatCode>General</c:formatCode>
                <c:ptCount val="97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C3-447A-9C96-1400F4449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447887"/>
        <c:axId val="877441647"/>
      </c:scatterChart>
      <c:valAx>
        <c:axId val="87744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1647"/>
        <c:crosses val="autoZero"/>
        <c:crossBetween val="midCat"/>
      </c:valAx>
      <c:valAx>
        <c:axId val="87744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7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storm6_results!$E$35:$E$131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storm6_results!$H$35:$H$131</c:f>
              <c:numCache>
                <c:formatCode>General</c:formatCode>
                <c:ptCount val="97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C5-426F-8852-D8F3940B4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447887"/>
        <c:axId val="877441647"/>
      </c:scatterChart>
      <c:valAx>
        <c:axId val="87744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1647"/>
        <c:crosses val="autoZero"/>
        <c:crossBetween val="midCat"/>
      </c:valAx>
      <c:valAx>
        <c:axId val="87744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7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33</xdr:row>
      <xdr:rowOff>0</xdr:rowOff>
    </xdr:from>
    <xdr:to>
      <xdr:col>18</xdr:col>
      <xdr:colOff>209550</xdr:colOff>
      <xdr:row>46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87CA97-8AE6-44A9-B36B-6E841DFD2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46</xdr:row>
      <xdr:rowOff>57150</xdr:rowOff>
    </xdr:from>
    <xdr:to>
      <xdr:col>18</xdr:col>
      <xdr:colOff>219075</xdr:colOff>
      <xdr:row>59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EA18A9-49A4-43AF-9F8E-7FB59C694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38100</xdr:colOff>
      <xdr:row>59</xdr:row>
      <xdr:rowOff>133350</xdr:rowOff>
    </xdr:from>
    <xdr:to>
      <xdr:col>18</xdr:col>
      <xdr:colOff>228600</xdr:colOff>
      <xdr:row>72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B5C713-E198-4D5A-98C5-8838E6913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A72BC-2145-4BC2-9E63-F3002A8B6AEE}">
  <dimension ref="A1:CT131"/>
  <sheetViews>
    <sheetView tabSelected="1" topLeftCell="A24" workbookViewId="0">
      <selection activeCell="F35" sqref="F35:H131"/>
    </sheetView>
  </sheetViews>
  <sheetFormatPr defaultRowHeight="15" x14ac:dyDescent="0.25"/>
  <cols>
    <col min="1" max="1" width="19.7109375" customWidth="1"/>
    <col min="3" max="3" width="11.7109375" customWidth="1"/>
    <col min="5" max="5" width="13.7109375" customWidth="1"/>
  </cols>
  <sheetData>
    <row r="1" spans="1:98" x14ac:dyDescent="0.25">
      <c r="B1" s="1">
        <v>45166</v>
      </c>
      <c r="C1" s="1">
        <v>45166.010416666664</v>
      </c>
      <c r="D1" s="1">
        <v>45166.020833333336</v>
      </c>
      <c r="E1" s="1">
        <v>45166.03125</v>
      </c>
      <c r="F1" s="1">
        <v>45166.041666666664</v>
      </c>
      <c r="G1" s="1">
        <v>45166.052083333336</v>
      </c>
      <c r="H1" s="1">
        <v>45166.0625</v>
      </c>
      <c r="I1" s="1">
        <v>45166.072916666664</v>
      </c>
      <c r="J1" s="1">
        <v>45166.083333333336</v>
      </c>
      <c r="K1" s="1">
        <v>45166.09375</v>
      </c>
      <c r="L1" s="1">
        <v>45166.104166666664</v>
      </c>
      <c r="M1" s="1">
        <v>45166.114583333336</v>
      </c>
      <c r="N1" s="1">
        <v>45166.125</v>
      </c>
      <c r="O1" s="1">
        <v>45166.135416666664</v>
      </c>
      <c r="P1" s="1">
        <v>45166.145833333336</v>
      </c>
      <c r="Q1" s="1">
        <v>45166.15625</v>
      </c>
      <c r="R1" s="1">
        <v>45166.166666666664</v>
      </c>
      <c r="S1" s="1">
        <v>45166.177083333336</v>
      </c>
      <c r="T1" s="1">
        <v>45166.1875</v>
      </c>
      <c r="U1" s="1">
        <v>45166.197916666664</v>
      </c>
      <c r="V1" s="1">
        <v>45166.208333333336</v>
      </c>
      <c r="W1" s="1">
        <v>45166.21875</v>
      </c>
      <c r="X1" s="1">
        <v>45166.229166666664</v>
      </c>
      <c r="Y1" s="1">
        <v>45166.239583333336</v>
      </c>
      <c r="Z1" s="1">
        <v>45166.25</v>
      </c>
      <c r="AA1" s="1">
        <v>45166.260416666664</v>
      </c>
      <c r="AB1" s="1">
        <v>45166.270833333336</v>
      </c>
      <c r="AC1" s="1">
        <v>45166.28125</v>
      </c>
      <c r="AD1" s="1">
        <v>45166.291666666664</v>
      </c>
      <c r="AE1" s="1">
        <v>45166.302083333336</v>
      </c>
      <c r="AF1" s="1">
        <v>45166.3125</v>
      </c>
      <c r="AG1" s="1">
        <v>45166.322916666664</v>
      </c>
      <c r="AH1" s="1">
        <v>45166.333333333336</v>
      </c>
      <c r="AI1" s="1">
        <v>45166.34375</v>
      </c>
      <c r="AJ1" s="1">
        <v>45166.354166666664</v>
      </c>
      <c r="AK1" s="1">
        <v>45166.364583333336</v>
      </c>
      <c r="AL1" s="1">
        <v>45166.375</v>
      </c>
      <c r="AM1" s="1">
        <v>45166.385416666664</v>
      </c>
      <c r="AN1" s="1">
        <v>45166.395833333336</v>
      </c>
      <c r="AO1" s="1">
        <v>45166.40625</v>
      </c>
      <c r="AP1" s="1">
        <v>45166.416666666664</v>
      </c>
      <c r="AQ1" s="1">
        <v>45166.427083333336</v>
      </c>
      <c r="AR1" s="1">
        <v>45166.4375</v>
      </c>
      <c r="AS1" s="1">
        <v>45166.447916666664</v>
      </c>
      <c r="AT1" s="1">
        <v>45166.458333333336</v>
      </c>
      <c r="AU1" s="1">
        <v>45166.46875</v>
      </c>
      <c r="AV1" s="1">
        <v>45166.479166666664</v>
      </c>
      <c r="AW1" s="1">
        <v>45166.489583333336</v>
      </c>
      <c r="AX1" s="1">
        <v>45166.5</v>
      </c>
      <c r="AY1" s="1">
        <v>45166.510416666664</v>
      </c>
      <c r="AZ1" s="1">
        <v>45166.520833333336</v>
      </c>
      <c r="BA1" s="1">
        <v>45166.53125</v>
      </c>
      <c r="BB1" s="1">
        <v>45166.541666666664</v>
      </c>
      <c r="BC1" s="1">
        <v>45166.552083333336</v>
      </c>
      <c r="BD1" s="1">
        <v>45166.5625</v>
      </c>
      <c r="BE1" s="1">
        <v>45166.572916666664</v>
      </c>
      <c r="BF1" s="1">
        <v>45166.583333333336</v>
      </c>
      <c r="BG1" s="1">
        <v>45166.59375</v>
      </c>
      <c r="BH1" s="1">
        <v>45166.604166666664</v>
      </c>
      <c r="BI1" s="1">
        <v>45166.614583333336</v>
      </c>
      <c r="BJ1" s="1">
        <v>45166.625</v>
      </c>
      <c r="BK1" s="1">
        <v>45166.635416666664</v>
      </c>
      <c r="BL1" s="1">
        <v>45166.645833333336</v>
      </c>
      <c r="BM1" s="1">
        <v>45166.65625</v>
      </c>
      <c r="BN1" s="1">
        <v>45166.666666666664</v>
      </c>
      <c r="BO1" s="1">
        <v>45166.677083333336</v>
      </c>
      <c r="BP1" s="1">
        <v>45166.6875</v>
      </c>
      <c r="BQ1" s="1">
        <v>45166.697916666664</v>
      </c>
      <c r="BR1" s="1">
        <v>45166.708333333336</v>
      </c>
      <c r="BS1" s="1">
        <v>45166.71875</v>
      </c>
      <c r="BT1" s="1">
        <v>45166.729166666664</v>
      </c>
      <c r="BU1" s="1">
        <v>45166.739583333336</v>
      </c>
      <c r="BV1" s="1">
        <v>45166.75</v>
      </c>
      <c r="BW1" s="1">
        <v>45166.760416666664</v>
      </c>
      <c r="BX1" s="1">
        <v>45166.770833333336</v>
      </c>
      <c r="BY1" s="1">
        <v>45166.78125</v>
      </c>
      <c r="BZ1" s="1">
        <v>45166.791666666664</v>
      </c>
      <c r="CA1" s="1">
        <v>45166.802083333336</v>
      </c>
      <c r="CB1" s="1">
        <v>45166.8125</v>
      </c>
      <c r="CC1" s="1">
        <v>45166.822916666664</v>
      </c>
      <c r="CD1" s="1">
        <v>45166.833333333336</v>
      </c>
      <c r="CE1" s="1">
        <v>45166.84375</v>
      </c>
      <c r="CF1" s="1">
        <v>45166.854166666664</v>
      </c>
      <c r="CG1" s="1">
        <v>45166.864583333336</v>
      </c>
      <c r="CH1" s="1">
        <v>45166.875</v>
      </c>
      <c r="CI1" s="1">
        <v>45166.885416666664</v>
      </c>
      <c r="CJ1" s="1">
        <v>45166.895833333336</v>
      </c>
      <c r="CK1" s="1">
        <v>45166.90625</v>
      </c>
      <c r="CL1" s="1">
        <v>45166.916666666664</v>
      </c>
      <c r="CM1" s="1">
        <v>45166.927083333336</v>
      </c>
      <c r="CN1" s="1">
        <v>45166.9375</v>
      </c>
      <c r="CO1" s="1">
        <v>45166.947916666664</v>
      </c>
      <c r="CP1" s="1">
        <v>45166.958333333336</v>
      </c>
      <c r="CQ1" s="1">
        <v>45166.96875</v>
      </c>
      <c r="CR1" s="1">
        <v>45166.979166666664</v>
      </c>
      <c r="CS1" s="1">
        <v>45166.989583333336</v>
      </c>
      <c r="CT1" s="1">
        <v>45167</v>
      </c>
    </row>
    <row r="2" spans="1:98" x14ac:dyDescent="0.25">
      <c r="A2" t="s">
        <v>0</v>
      </c>
    </row>
    <row r="3" spans="1:98" x14ac:dyDescent="0.25">
      <c r="A3" t="s">
        <v>1</v>
      </c>
    </row>
    <row r="4" spans="1:98" x14ac:dyDescent="0.25">
      <c r="A4" t="s">
        <v>2</v>
      </c>
    </row>
    <row r="5" spans="1:98" x14ac:dyDescent="0.25">
      <c r="A5" t="s">
        <v>3</v>
      </c>
    </row>
    <row r="6" spans="1:98" x14ac:dyDescent="0.25">
      <c r="A6" t="s">
        <v>4</v>
      </c>
    </row>
    <row r="7" spans="1:98" x14ac:dyDescent="0.25">
      <c r="A7" t="s">
        <v>5</v>
      </c>
    </row>
    <row r="8" spans="1:98" x14ac:dyDescent="0.25">
      <c r="A8" t="s">
        <v>6</v>
      </c>
    </row>
    <row r="9" spans="1:98" x14ac:dyDescent="0.25">
      <c r="A9" t="s">
        <v>7</v>
      </c>
    </row>
    <row r="10" spans="1:98" x14ac:dyDescent="0.25">
      <c r="A10" t="s">
        <v>8</v>
      </c>
    </row>
    <row r="11" spans="1:98" x14ac:dyDescent="0.25">
      <c r="A11" t="s">
        <v>9</v>
      </c>
    </row>
    <row r="12" spans="1:98" x14ac:dyDescent="0.25">
      <c r="A12" t="s">
        <v>10</v>
      </c>
    </row>
    <row r="13" spans="1:98" x14ac:dyDescent="0.25">
      <c r="A13" t="s">
        <v>11</v>
      </c>
    </row>
    <row r="14" spans="1:98" x14ac:dyDescent="0.25">
      <c r="A14" t="s">
        <v>12</v>
      </c>
    </row>
    <row r="15" spans="1:98" x14ac:dyDescent="0.25">
      <c r="A15" t="s">
        <v>13</v>
      </c>
    </row>
    <row r="16" spans="1:98" x14ac:dyDescent="0.25">
      <c r="A16" t="s">
        <v>14</v>
      </c>
    </row>
    <row r="17" spans="1:98" x14ac:dyDescent="0.25">
      <c r="A17" t="s">
        <v>15</v>
      </c>
    </row>
    <row r="18" spans="1:98" x14ac:dyDescent="0.25">
      <c r="A18" t="s">
        <v>16</v>
      </c>
    </row>
    <row r="19" spans="1:98" x14ac:dyDescent="0.25">
      <c r="A19" t="s">
        <v>17</v>
      </c>
    </row>
    <row r="20" spans="1:98" x14ac:dyDescent="0.25">
      <c r="A20" t="s">
        <v>18</v>
      </c>
    </row>
    <row r="21" spans="1:98" x14ac:dyDescent="0.25">
      <c r="A21" t="s">
        <v>19</v>
      </c>
    </row>
    <row r="22" spans="1:98" x14ac:dyDescent="0.25">
      <c r="A22" t="s">
        <v>20</v>
      </c>
    </row>
    <row r="23" spans="1:98" x14ac:dyDescent="0.25">
      <c r="A23" t="s">
        <v>21</v>
      </c>
    </row>
    <row r="24" spans="1:98" x14ac:dyDescent="0.25">
      <c r="A24" t="s">
        <v>22</v>
      </c>
    </row>
    <row r="25" spans="1:98" x14ac:dyDescent="0.25">
      <c r="A25" t="s">
        <v>23</v>
      </c>
    </row>
    <row r="26" spans="1:98" x14ac:dyDescent="0.25">
      <c r="A26" t="s">
        <v>24</v>
      </c>
    </row>
    <row r="27" spans="1:98" x14ac:dyDescent="0.25">
      <c r="A27" t="s">
        <v>25</v>
      </c>
    </row>
    <row r="28" spans="1:98" x14ac:dyDescent="0.25">
      <c r="A28" t="s">
        <v>26</v>
      </c>
    </row>
    <row r="29" spans="1:98" x14ac:dyDescent="0.25">
      <c r="A29" t="s">
        <v>32</v>
      </c>
    </row>
    <row r="30" spans="1:98" x14ac:dyDescent="0.25">
      <c r="A30" t="s">
        <v>33</v>
      </c>
    </row>
    <row r="31" spans="1:98" x14ac:dyDescent="0.25">
      <c r="A31" t="s">
        <v>34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</row>
    <row r="34" spans="1:28" x14ac:dyDescent="0.25">
      <c r="A34" s="2"/>
      <c r="B34" s="2"/>
      <c r="C34" s="2" t="s">
        <v>27</v>
      </c>
      <c r="E34" t="s">
        <v>28</v>
      </c>
      <c r="F34" t="s">
        <v>29</v>
      </c>
      <c r="G34" t="s">
        <v>30</v>
      </c>
      <c r="H34" t="s">
        <v>31</v>
      </c>
    </row>
    <row r="35" spans="1:28" x14ac:dyDescent="0.25">
      <c r="A35" s="2" t="str">
        <f>A2</f>
        <v>max_amp</v>
      </c>
      <c r="B35" s="2">
        <f>MAX(B2:CT2)</f>
        <v>0</v>
      </c>
      <c r="C35" s="3" t="e">
        <f>_xlfn.XLOOKUP(MAX(B2:CT2), B2:CT2, $B$1:$CT$1)</f>
        <v>#N/A</v>
      </c>
      <c r="E35" s="1">
        <v>45166</v>
      </c>
      <c r="T35" t="s">
        <v>0</v>
      </c>
      <c r="U35" s="2">
        <v>5.6741231058604902E-2</v>
      </c>
    </row>
    <row r="36" spans="1:28" x14ac:dyDescent="0.25">
      <c r="A36" s="2" t="str">
        <f t="shared" ref="A36:A61" si="0">A3</f>
        <v>mean_amp</v>
      </c>
      <c r="B36" s="2">
        <f t="shared" ref="B36:B61" si="1">MAX(B3:CT3)</f>
        <v>0</v>
      </c>
      <c r="C36" s="3" t="e">
        <f t="shared" ref="C36:C61" si="2">_xlfn.XLOOKUP(MAX(B3:CT3), B3:CT3, $B$1:$CT$1)</f>
        <v>#N/A</v>
      </c>
      <c r="E36" s="1">
        <v>45166.010416666664</v>
      </c>
      <c r="T36" t="s">
        <v>1</v>
      </c>
      <c r="U36" s="2">
        <v>3.5270738108725101E-2</v>
      </c>
    </row>
    <row r="37" spans="1:28" x14ac:dyDescent="0.25">
      <c r="A37" s="2" t="str">
        <f t="shared" si="0"/>
        <v>median_amp</v>
      </c>
      <c r="B37" s="2">
        <f t="shared" si="1"/>
        <v>0</v>
      </c>
      <c r="C37" s="3" t="e">
        <f t="shared" si="2"/>
        <v>#N/A</v>
      </c>
      <c r="E37" s="1">
        <v>45166.020833333336</v>
      </c>
      <c r="T37" t="s">
        <v>2</v>
      </c>
      <c r="U37" s="2">
        <v>3.4439974703429702E-2</v>
      </c>
    </row>
    <row r="38" spans="1:28" x14ac:dyDescent="0.25">
      <c r="A38" s="2" t="str">
        <f t="shared" si="0"/>
        <v>impulses_ch6</v>
      </c>
      <c r="B38" s="2">
        <f t="shared" si="1"/>
        <v>0</v>
      </c>
      <c r="C38" s="3" t="e">
        <f t="shared" si="2"/>
        <v>#N/A</v>
      </c>
      <c r="E38" s="1">
        <v>45166.03125</v>
      </c>
      <c r="T38" t="s">
        <v>3</v>
      </c>
      <c r="U38" s="2">
        <v>1</v>
      </c>
    </row>
    <row r="39" spans="1:28" x14ac:dyDescent="0.25">
      <c r="A39" s="2" t="str">
        <f t="shared" si="0"/>
        <v>impulses_ch5</v>
      </c>
      <c r="B39" s="2">
        <f t="shared" si="1"/>
        <v>0</v>
      </c>
      <c r="C39" s="3" t="e">
        <f t="shared" si="2"/>
        <v>#N/A</v>
      </c>
      <c r="E39" s="1">
        <v>45166.041666666664</v>
      </c>
      <c r="T39" t="s">
        <v>4</v>
      </c>
      <c r="U39" s="2">
        <v>28</v>
      </c>
    </row>
    <row r="40" spans="1:28" x14ac:dyDescent="0.25">
      <c r="A40" s="2" t="str">
        <f t="shared" si="0"/>
        <v>impulses_ch4</v>
      </c>
      <c r="B40" s="2">
        <f t="shared" si="1"/>
        <v>0</v>
      </c>
      <c r="C40" s="3" t="e">
        <f t="shared" si="2"/>
        <v>#N/A</v>
      </c>
      <c r="E40" s="1">
        <v>45166.052083333336</v>
      </c>
      <c r="T40" t="s">
        <v>5</v>
      </c>
      <c r="U40" s="2">
        <v>646</v>
      </c>
    </row>
    <row r="41" spans="1:28" x14ac:dyDescent="0.25">
      <c r="A41" s="2" t="str">
        <f t="shared" si="0"/>
        <v>impulses_ch3</v>
      </c>
      <c r="B41" s="2">
        <f t="shared" si="1"/>
        <v>0</v>
      </c>
      <c r="C41" s="3" t="e">
        <f t="shared" si="2"/>
        <v>#N/A</v>
      </c>
      <c r="E41" s="1">
        <v>45166.0625</v>
      </c>
      <c r="T41" t="s">
        <v>6</v>
      </c>
      <c r="U41" s="2">
        <v>7213</v>
      </c>
    </row>
    <row r="42" spans="1:28" x14ac:dyDescent="0.25">
      <c r="A42" s="2" t="str">
        <f t="shared" si="0"/>
        <v>impulses_ch2</v>
      </c>
      <c r="B42" s="2">
        <f t="shared" si="1"/>
        <v>0</v>
      </c>
      <c r="C42" s="3" t="e">
        <f t="shared" si="2"/>
        <v>#N/A</v>
      </c>
      <c r="E42" s="1">
        <v>45166.072916666664</v>
      </c>
      <c r="T42" t="s">
        <v>7</v>
      </c>
      <c r="U42" s="2">
        <v>10382</v>
      </c>
    </row>
    <row r="43" spans="1:28" x14ac:dyDescent="0.25">
      <c r="A43" s="2" t="str">
        <f t="shared" si="0"/>
        <v>impulses_ch1</v>
      </c>
      <c r="B43" s="2">
        <f t="shared" si="1"/>
        <v>0</v>
      </c>
      <c r="C43" s="3" t="e">
        <f t="shared" si="2"/>
        <v>#N/A</v>
      </c>
      <c r="E43" s="1">
        <v>45166.083333333336</v>
      </c>
      <c r="T43" t="s">
        <v>8</v>
      </c>
      <c r="U43" s="2">
        <v>8381</v>
      </c>
    </row>
    <row r="44" spans="1:28" x14ac:dyDescent="0.25">
      <c r="A44" s="2" t="str">
        <f t="shared" si="0"/>
        <v>max_env_ch6</v>
      </c>
      <c r="B44" s="2">
        <f t="shared" si="1"/>
        <v>0</v>
      </c>
      <c r="C44" s="3" t="e">
        <f t="shared" si="2"/>
        <v>#N/A</v>
      </c>
      <c r="E44" s="1">
        <v>45166.09375</v>
      </c>
    </row>
    <row r="45" spans="1:28" x14ac:dyDescent="0.25">
      <c r="A45" s="2" t="str">
        <f t="shared" si="0"/>
        <v>mean_env_ch6</v>
      </c>
      <c r="B45" s="2">
        <f t="shared" si="1"/>
        <v>0</v>
      </c>
      <c r="C45" s="3" t="e">
        <f t="shared" si="2"/>
        <v>#N/A</v>
      </c>
      <c r="E45" s="1">
        <v>45166.104166666664</v>
      </c>
    </row>
    <row r="46" spans="1:28" x14ac:dyDescent="0.25">
      <c r="A46" s="2" t="str">
        <f t="shared" si="0"/>
        <v>median_env_ch6</v>
      </c>
      <c r="B46" s="2">
        <f t="shared" si="1"/>
        <v>0</v>
      </c>
      <c r="C46" s="3" t="e">
        <f t="shared" si="2"/>
        <v>#N/A</v>
      </c>
      <c r="E46" s="1">
        <v>45166.114583333336</v>
      </c>
      <c r="U46" t="s">
        <v>35</v>
      </c>
    </row>
    <row r="47" spans="1:28" x14ac:dyDescent="0.25">
      <c r="A47" s="2" t="str">
        <f t="shared" si="0"/>
        <v>max_env_ch5</v>
      </c>
      <c r="B47" s="2">
        <f t="shared" si="1"/>
        <v>0</v>
      </c>
      <c r="C47" s="3" t="e">
        <f t="shared" si="2"/>
        <v>#N/A</v>
      </c>
      <c r="E47" s="1">
        <v>45166.125</v>
      </c>
      <c r="U47" t="s">
        <v>36</v>
      </c>
      <c r="V47" t="s">
        <v>37</v>
      </c>
      <c r="W47" t="s">
        <v>38</v>
      </c>
      <c r="Z47" t="s">
        <v>36</v>
      </c>
      <c r="AA47" t="s">
        <v>37</v>
      </c>
      <c r="AB47" t="s">
        <v>38</v>
      </c>
    </row>
    <row r="48" spans="1:28" x14ac:dyDescent="0.25">
      <c r="A48" s="2" t="str">
        <f t="shared" si="0"/>
        <v>mean_env_ch5</v>
      </c>
      <c r="B48" s="2">
        <f t="shared" si="1"/>
        <v>0</v>
      </c>
      <c r="C48" s="3" t="e">
        <f t="shared" si="2"/>
        <v>#N/A</v>
      </c>
      <c r="E48" s="1">
        <v>45166.135416666664</v>
      </c>
      <c r="T48" t="s">
        <v>39</v>
      </c>
      <c r="U48" s="4">
        <f>B44</f>
        <v>0</v>
      </c>
      <c r="V48" s="4">
        <f>B45</f>
        <v>0</v>
      </c>
      <c r="W48" s="4">
        <f>B46</f>
        <v>0</v>
      </c>
      <c r="Y48" t="s">
        <v>39</v>
      </c>
      <c r="Z48">
        <v>4.4300089970899799E-2</v>
      </c>
      <c r="AA48">
        <v>4.4300089970899799E-2</v>
      </c>
      <c r="AB48">
        <v>4.4300089970899799E-2</v>
      </c>
    </row>
    <row r="49" spans="1:28" x14ac:dyDescent="0.25">
      <c r="A49" s="2" t="str">
        <f t="shared" si="0"/>
        <v>median_env_ch5</v>
      </c>
      <c r="B49" s="2">
        <f t="shared" si="1"/>
        <v>0</v>
      </c>
      <c r="C49" s="3" t="e">
        <f t="shared" si="2"/>
        <v>#N/A</v>
      </c>
      <c r="E49" s="1">
        <v>45166.145833333336</v>
      </c>
      <c r="T49" t="s">
        <v>40</v>
      </c>
      <c r="U49" s="4">
        <f>B47</f>
        <v>0</v>
      </c>
      <c r="V49" s="4">
        <f>B48</f>
        <v>0</v>
      </c>
      <c r="W49" s="4">
        <f>B49</f>
        <v>0</v>
      </c>
      <c r="Y49" t="s">
        <v>40</v>
      </c>
      <c r="Z49">
        <v>0.22561108157867499</v>
      </c>
      <c r="AA49">
        <v>0.15225238482678499</v>
      </c>
      <c r="AB49">
        <v>0.14915841719692599</v>
      </c>
    </row>
    <row r="50" spans="1:28" x14ac:dyDescent="0.25">
      <c r="A50" s="2" t="str">
        <f t="shared" si="0"/>
        <v>max_env_ch4</v>
      </c>
      <c r="B50" s="2">
        <f t="shared" si="1"/>
        <v>0</v>
      </c>
      <c r="C50" s="3" t="e">
        <f t="shared" si="2"/>
        <v>#N/A</v>
      </c>
      <c r="E50" s="1">
        <v>45166.15625</v>
      </c>
      <c r="T50" t="s">
        <v>41</v>
      </c>
      <c r="U50" s="4">
        <f>B50</f>
        <v>0</v>
      </c>
      <c r="V50" s="4">
        <f>B51</f>
        <v>0</v>
      </c>
      <c r="W50" s="4">
        <f>B52</f>
        <v>0</v>
      </c>
      <c r="Y50" t="s">
        <v>41</v>
      </c>
      <c r="Z50">
        <v>0.90785969693767898</v>
      </c>
      <c r="AA50">
        <v>0.56433180973960195</v>
      </c>
      <c r="AB50">
        <v>0.551039595254876</v>
      </c>
    </row>
    <row r="51" spans="1:28" x14ac:dyDescent="0.25">
      <c r="A51" s="2" t="str">
        <f t="shared" si="0"/>
        <v>mean_env_ch4</v>
      </c>
      <c r="B51" s="2">
        <f t="shared" si="1"/>
        <v>0</v>
      </c>
      <c r="C51" s="3" t="e">
        <f t="shared" si="2"/>
        <v>#N/A</v>
      </c>
      <c r="E51" s="1">
        <v>45166.166666666664</v>
      </c>
      <c r="T51" t="s">
        <v>42</v>
      </c>
      <c r="U51" s="4">
        <f>B53</f>
        <v>0</v>
      </c>
      <c r="V51" s="4">
        <f>B54</f>
        <v>0</v>
      </c>
      <c r="W51" s="4">
        <f>B55</f>
        <v>0</v>
      </c>
      <c r="Y51" t="s">
        <v>42</v>
      </c>
      <c r="Z51">
        <v>3.6314387877507102</v>
      </c>
      <c r="AA51">
        <v>2.25732723895841</v>
      </c>
      <c r="AB51">
        <v>2.2041583810195</v>
      </c>
    </row>
    <row r="52" spans="1:28" x14ac:dyDescent="0.25">
      <c r="A52" s="2" t="str">
        <f t="shared" si="0"/>
        <v>median_env_ch4</v>
      </c>
      <c r="B52" s="2">
        <f t="shared" si="1"/>
        <v>0</v>
      </c>
      <c r="C52" s="3" t="e">
        <f t="shared" si="2"/>
        <v>#N/A</v>
      </c>
      <c r="E52" s="1">
        <v>45166.177083333336</v>
      </c>
      <c r="T52" t="s">
        <v>43</v>
      </c>
      <c r="U52" s="4">
        <f>B56</f>
        <v>0</v>
      </c>
      <c r="V52" s="4">
        <f>B57</f>
        <v>0</v>
      </c>
      <c r="W52" s="4">
        <f>B58</f>
        <v>0</v>
      </c>
      <c r="Y52" t="s">
        <v>43</v>
      </c>
      <c r="Z52">
        <v>14.5257551510028</v>
      </c>
      <c r="AA52">
        <v>9.0293089558336401</v>
      </c>
      <c r="AB52">
        <v>8.8166335240780196</v>
      </c>
    </row>
    <row r="53" spans="1:28" x14ac:dyDescent="0.25">
      <c r="A53" s="2" t="str">
        <f t="shared" si="0"/>
        <v>max_env_ch3</v>
      </c>
      <c r="B53" s="2">
        <f t="shared" si="1"/>
        <v>0</v>
      </c>
      <c r="C53" s="3" t="e">
        <f t="shared" si="2"/>
        <v>#N/A</v>
      </c>
      <c r="E53" s="1">
        <v>45166.1875</v>
      </c>
      <c r="T53" t="s">
        <v>44</v>
      </c>
      <c r="U53" s="4">
        <f>B59</f>
        <v>0</v>
      </c>
      <c r="V53" s="4">
        <f>B60</f>
        <v>0</v>
      </c>
      <c r="W53" s="4">
        <f>B61</f>
        <v>0</v>
      </c>
      <c r="Y53" t="s">
        <v>44</v>
      </c>
      <c r="Z53">
        <v>58.103020604011398</v>
      </c>
      <c r="AA53">
        <v>36.117235823334497</v>
      </c>
      <c r="AB53">
        <v>35.2665340963121</v>
      </c>
    </row>
    <row r="54" spans="1:28" x14ac:dyDescent="0.25">
      <c r="A54" s="2" t="str">
        <f t="shared" si="0"/>
        <v>mean_env_ch3</v>
      </c>
      <c r="B54" s="2">
        <f t="shared" si="1"/>
        <v>0</v>
      </c>
      <c r="C54" s="3" t="e">
        <f t="shared" si="2"/>
        <v>#N/A</v>
      </c>
      <c r="E54" s="1">
        <v>45166.197916666664</v>
      </c>
    </row>
    <row r="55" spans="1:28" x14ac:dyDescent="0.25">
      <c r="A55" s="2" t="str">
        <f t="shared" si="0"/>
        <v>median_env_ch3</v>
      </c>
      <c r="B55" s="2">
        <f t="shared" si="1"/>
        <v>0</v>
      </c>
      <c r="C55" s="3" t="e">
        <f t="shared" si="2"/>
        <v>#N/A</v>
      </c>
      <c r="E55" s="1">
        <v>45166.208333333336</v>
      </c>
    </row>
    <row r="56" spans="1:28" x14ac:dyDescent="0.25">
      <c r="A56" s="2" t="str">
        <f t="shared" si="0"/>
        <v>max_env_ch2</v>
      </c>
      <c r="B56" s="2">
        <f t="shared" si="1"/>
        <v>0</v>
      </c>
      <c r="C56" s="3" t="e">
        <f t="shared" si="2"/>
        <v>#N/A</v>
      </c>
      <c r="E56" s="1">
        <v>45166.21875</v>
      </c>
    </row>
    <row r="57" spans="1:28" x14ac:dyDescent="0.25">
      <c r="A57" s="2" t="str">
        <f t="shared" si="0"/>
        <v>mean_env_ch2</v>
      </c>
      <c r="B57" s="2">
        <f t="shared" si="1"/>
        <v>0</v>
      </c>
      <c r="C57" s="3" t="e">
        <f t="shared" si="2"/>
        <v>#N/A</v>
      </c>
      <c r="E57" s="1">
        <v>45166.229166666664</v>
      </c>
    </row>
    <row r="58" spans="1:28" x14ac:dyDescent="0.25">
      <c r="A58" s="2" t="str">
        <f t="shared" si="0"/>
        <v>median_env_ch2</v>
      </c>
      <c r="B58" s="2">
        <f t="shared" si="1"/>
        <v>0</v>
      </c>
      <c r="C58" s="3" t="e">
        <f t="shared" si="2"/>
        <v>#N/A</v>
      </c>
      <c r="E58" s="1">
        <v>45166.239583333336</v>
      </c>
    </row>
    <row r="59" spans="1:28" x14ac:dyDescent="0.25">
      <c r="A59" s="2" t="str">
        <f t="shared" si="0"/>
        <v>max_env_ch1</v>
      </c>
      <c r="B59" s="2">
        <f t="shared" si="1"/>
        <v>0</v>
      </c>
      <c r="C59" s="3" t="e">
        <f t="shared" si="2"/>
        <v>#N/A</v>
      </c>
      <c r="E59" s="1">
        <v>45166.25</v>
      </c>
    </row>
    <row r="60" spans="1:28" x14ac:dyDescent="0.25">
      <c r="A60" s="2" t="str">
        <f t="shared" si="0"/>
        <v>mean_env_ch1</v>
      </c>
      <c r="B60" s="2">
        <f t="shared" si="1"/>
        <v>0</v>
      </c>
      <c r="C60" s="3" t="e">
        <f t="shared" si="2"/>
        <v>#N/A</v>
      </c>
      <c r="E60" s="1">
        <v>45166.260416666664</v>
      </c>
    </row>
    <row r="61" spans="1:28" x14ac:dyDescent="0.25">
      <c r="A61" s="2" t="str">
        <f t="shared" si="0"/>
        <v>median_env_ch1</v>
      </c>
      <c r="B61" s="2">
        <f t="shared" si="1"/>
        <v>0</v>
      </c>
      <c r="C61" s="3" t="e">
        <f t="shared" si="2"/>
        <v>#N/A</v>
      </c>
      <c r="E61" s="1">
        <v>45166.270833333336</v>
      </c>
    </row>
    <row r="62" spans="1:28" x14ac:dyDescent="0.25">
      <c r="A62" t="s">
        <v>32</v>
      </c>
      <c r="B62" s="2">
        <f t="shared" ref="B62:B63" si="3">MAX(B29:CT29)</f>
        <v>0</v>
      </c>
      <c r="C62" s="3" t="e">
        <f t="shared" ref="C62:C63" si="4">_xlfn.XLOOKUP(MAX(B29:CT29), B29:CT29, $B$1:$CT$1)</f>
        <v>#N/A</v>
      </c>
      <c r="E62" s="1">
        <v>45166.28125</v>
      </c>
    </row>
    <row r="63" spans="1:28" x14ac:dyDescent="0.25">
      <c r="A63" t="s">
        <v>33</v>
      </c>
      <c r="B63" s="2">
        <f t="shared" si="3"/>
        <v>0</v>
      </c>
      <c r="C63" s="3" t="e">
        <f t="shared" si="4"/>
        <v>#N/A</v>
      </c>
      <c r="E63" s="1">
        <v>45166.291666666664</v>
      </c>
    </row>
    <row r="64" spans="1:28" x14ac:dyDescent="0.25">
      <c r="A64" s="2"/>
      <c r="E64" s="1">
        <v>45166.302083333336</v>
      </c>
    </row>
    <row r="65" spans="1:5" x14ac:dyDescent="0.25">
      <c r="A65" s="2"/>
      <c r="E65" s="1">
        <v>45166.3125</v>
      </c>
    </row>
    <row r="66" spans="1:5" x14ac:dyDescent="0.25">
      <c r="A66" s="2"/>
      <c r="E66" s="1">
        <v>45166.322916666664</v>
      </c>
    </row>
    <row r="67" spans="1:5" x14ac:dyDescent="0.25">
      <c r="A67" s="2"/>
      <c r="E67" s="1">
        <v>45166.333333333336</v>
      </c>
    </row>
    <row r="68" spans="1:5" x14ac:dyDescent="0.25">
      <c r="A68" s="2"/>
      <c r="E68" s="1">
        <v>45166.34375</v>
      </c>
    </row>
    <row r="69" spans="1:5" x14ac:dyDescent="0.25">
      <c r="A69" s="2"/>
      <c r="E69" s="1">
        <v>45166.354166666664</v>
      </c>
    </row>
    <row r="70" spans="1:5" x14ac:dyDescent="0.25">
      <c r="A70" s="2"/>
      <c r="E70" s="1">
        <v>45166.364583333336</v>
      </c>
    </row>
    <row r="71" spans="1:5" x14ac:dyDescent="0.25">
      <c r="A71" s="2"/>
      <c r="E71" s="1">
        <v>45166.375</v>
      </c>
    </row>
    <row r="72" spans="1:5" x14ac:dyDescent="0.25">
      <c r="A72" s="2"/>
      <c r="E72" s="1">
        <v>45166.385416666664</v>
      </c>
    </row>
    <row r="73" spans="1:5" x14ac:dyDescent="0.25">
      <c r="A73" s="2"/>
      <c r="E73" s="1">
        <v>45166.395833333336</v>
      </c>
    </row>
    <row r="74" spans="1:5" x14ac:dyDescent="0.25">
      <c r="A74" s="2"/>
      <c r="E74" s="1">
        <v>45166.40625</v>
      </c>
    </row>
    <row r="75" spans="1:5" x14ac:dyDescent="0.25">
      <c r="E75" s="1">
        <v>45166.416666666664</v>
      </c>
    </row>
    <row r="76" spans="1:5" x14ac:dyDescent="0.25">
      <c r="E76" s="1">
        <v>45166.427083333336</v>
      </c>
    </row>
    <row r="77" spans="1:5" x14ac:dyDescent="0.25">
      <c r="E77" s="1">
        <v>45166.4375</v>
      </c>
    </row>
    <row r="78" spans="1:5" x14ac:dyDescent="0.25">
      <c r="E78" s="1">
        <v>45166.447916666664</v>
      </c>
    </row>
    <row r="79" spans="1:5" x14ac:dyDescent="0.25">
      <c r="E79" s="1">
        <v>45166.458333333336</v>
      </c>
    </row>
    <row r="80" spans="1:5" x14ac:dyDescent="0.25">
      <c r="E80" s="1">
        <v>45166.46875</v>
      </c>
    </row>
    <row r="81" spans="5:5" x14ac:dyDescent="0.25">
      <c r="E81" s="1">
        <v>45166.479166666664</v>
      </c>
    </row>
    <row r="82" spans="5:5" x14ac:dyDescent="0.25">
      <c r="E82" s="1">
        <v>45166.489583333336</v>
      </c>
    </row>
    <row r="83" spans="5:5" x14ac:dyDescent="0.25">
      <c r="E83" s="1">
        <v>45166.5</v>
      </c>
    </row>
    <row r="84" spans="5:5" x14ac:dyDescent="0.25">
      <c r="E84" s="1">
        <v>45166.510416666664</v>
      </c>
    </row>
    <row r="85" spans="5:5" x14ac:dyDescent="0.25">
      <c r="E85" s="1">
        <v>45166.520833333336</v>
      </c>
    </row>
    <row r="86" spans="5:5" x14ac:dyDescent="0.25">
      <c r="E86" s="1">
        <v>45166.53125</v>
      </c>
    </row>
    <row r="87" spans="5:5" x14ac:dyDescent="0.25">
      <c r="E87" s="1">
        <v>45166.541666666664</v>
      </c>
    </row>
    <row r="88" spans="5:5" x14ac:dyDescent="0.25">
      <c r="E88" s="1">
        <v>45166.552083333336</v>
      </c>
    </row>
    <row r="89" spans="5:5" x14ac:dyDescent="0.25">
      <c r="E89" s="1">
        <v>45166.5625</v>
      </c>
    </row>
    <row r="90" spans="5:5" x14ac:dyDescent="0.25">
      <c r="E90" s="1">
        <v>45166.572916666664</v>
      </c>
    </row>
    <row r="91" spans="5:5" x14ac:dyDescent="0.25">
      <c r="E91" s="1">
        <v>45166.583333333336</v>
      </c>
    </row>
    <row r="92" spans="5:5" x14ac:dyDescent="0.25">
      <c r="E92" s="1">
        <v>45166.59375</v>
      </c>
    </row>
    <row r="93" spans="5:5" x14ac:dyDescent="0.25">
      <c r="E93" s="1">
        <v>45166.604166666664</v>
      </c>
    </row>
    <row r="94" spans="5:5" x14ac:dyDescent="0.25">
      <c r="E94" s="1">
        <v>45166.614583333336</v>
      </c>
    </row>
    <row r="95" spans="5:5" x14ac:dyDescent="0.25">
      <c r="E95" s="1">
        <v>45166.625</v>
      </c>
    </row>
    <row r="96" spans="5:5" x14ac:dyDescent="0.25">
      <c r="E96" s="1">
        <v>45166.635416666664</v>
      </c>
    </row>
    <row r="97" spans="5:5" x14ac:dyDescent="0.25">
      <c r="E97" s="1">
        <v>45166.645833333336</v>
      </c>
    </row>
    <row r="98" spans="5:5" x14ac:dyDescent="0.25">
      <c r="E98" s="1">
        <v>45166.65625</v>
      </c>
    </row>
    <row r="99" spans="5:5" x14ac:dyDescent="0.25">
      <c r="E99" s="1">
        <v>45166.666666666664</v>
      </c>
    </row>
    <row r="100" spans="5:5" x14ac:dyDescent="0.25">
      <c r="E100" s="1">
        <v>45166.677083333336</v>
      </c>
    </row>
    <row r="101" spans="5:5" x14ac:dyDescent="0.25">
      <c r="E101" s="1">
        <v>45166.6875</v>
      </c>
    </row>
    <row r="102" spans="5:5" x14ac:dyDescent="0.25">
      <c r="E102" s="1">
        <v>45166.697916666664</v>
      </c>
    </row>
    <row r="103" spans="5:5" x14ac:dyDescent="0.25">
      <c r="E103" s="1">
        <v>45166.708333333336</v>
      </c>
    </row>
    <row r="104" spans="5:5" x14ac:dyDescent="0.25">
      <c r="E104" s="1">
        <v>45166.71875</v>
      </c>
    </row>
    <row r="105" spans="5:5" x14ac:dyDescent="0.25">
      <c r="E105" s="1">
        <v>45166.729166666664</v>
      </c>
    </row>
    <row r="106" spans="5:5" x14ac:dyDescent="0.25">
      <c r="E106" s="1">
        <v>45166.739583333336</v>
      </c>
    </row>
    <row r="107" spans="5:5" x14ac:dyDescent="0.25">
      <c r="E107" s="1">
        <v>45166.75</v>
      </c>
    </row>
    <row r="108" spans="5:5" x14ac:dyDescent="0.25">
      <c r="E108" s="1">
        <v>45166.760416666664</v>
      </c>
    </row>
    <row r="109" spans="5:5" x14ac:dyDescent="0.25">
      <c r="E109" s="1">
        <v>45166.770833333336</v>
      </c>
    </row>
    <row r="110" spans="5:5" x14ac:dyDescent="0.25">
      <c r="E110" s="1">
        <v>45166.78125</v>
      </c>
    </row>
    <row r="111" spans="5:5" x14ac:dyDescent="0.25">
      <c r="E111" s="1">
        <v>45166.791666666664</v>
      </c>
    </row>
    <row r="112" spans="5:5" x14ac:dyDescent="0.25">
      <c r="E112" s="1">
        <v>45166.802083333336</v>
      </c>
    </row>
    <row r="113" spans="5:5" x14ac:dyDescent="0.25">
      <c r="E113" s="1">
        <v>45166.8125</v>
      </c>
    </row>
    <row r="114" spans="5:5" x14ac:dyDescent="0.25">
      <c r="E114" s="1">
        <v>45166.822916666664</v>
      </c>
    </row>
    <row r="115" spans="5:5" x14ac:dyDescent="0.25">
      <c r="E115" s="1">
        <v>45166.833333333336</v>
      </c>
    </row>
    <row r="116" spans="5:5" x14ac:dyDescent="0.25">
      <c r="E116" s="1">
        <v>45166.84375</v>
      </c>
    </row>
    <row r="117" spans="5:5" x14ac:dyDescent="0.25">
      <c r="E117" s="1">
        <v>45166.854166666664</v>
      </c>
    </row>
    <row r="118" spans="5:5" x14ac:dyDescent="0.25">
      <c r="E118" s="1">
        <v>45166.864583333336</v>
      </c>
    </row>
    <row r="119" spans="5:5" x14ac:dyDescent="0.25">
      <c r="E119" s="1">
        <v>45166.875</v>
      </c>
    </row>
    <row r="120" spans="5:5" x14ac:dyDescent="0.25">
      <c r="E120" s="1">
        <v>45166.885416666664</v>
      </c>
    </row>
    <row r="121" spans="5:5" x14ac:dyDescent="0.25">
      <c r="E121" s="1">
        <v>45166.895833333336</v>
      </c>
    </row>
    <row r="122" spans="5:5" x14ac:dyDescent="0.25">
      <c r="E122" s="1">
        <v>45166.90625</v>
      </c>
    </row>
    <row r="123" spans="5:5" x14ac:dyDescent="0.25">
      <c r="E123" s="1">
        <v>45166.916666666664</v>
      </c>
    </row>
    <row r="124" spans="5:5" x14ac:dyDescent="0.25">
      <c r="E124" s="1">
        <v>45166.927083333336</v>
      </c>
    </row>
    <row r="125" spans="5:5" x14ac:dyDescent="0.25">
      <c r="E125" s="1">
        <v>45166.9375</v>
      </c>
    </row>
    <row r="126" spans="5:5" x14ac:dyDescent="0.25">
      <c r="E126" s="1">
        <v>45166.947916666664</v>
      </c>
    </row>
    <row r="127" spans="5:5" x14ac:dyDescent="0.25">
      <c r="E127" s="1">
        <v>45166.958333333336</v>
      </c>
    </row>
    <row r="128" spans="5:5" x14ac:dyDescent="0.25">
      <c r="E128" s="1">
        <v>45166.96875</v>
      </c>
    </row>
    <row r="129" spans="5:5" x14ac:dyDescent="0.25">
      <c r="E129" s="1">
        <v>45166.979166666664</v>
      </c>
    </row>
    <row r="130" spans="5:5" x14ac:dyDescent="0.25">
      <c r="E130" s="1">
        <v>45166.989583333336</v>
      </c>
    </row>
    <row r="131" spans="5:5" x14ac:dyDescent="0.25">
      <c r="E131" s="1">
        <v>45167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storm6_results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2025-10-23T21:37:37Z</dcterms:created>
  <dcterms:modified xsi:type="dcterms:W3CDTF">2025-12-09T22:14:27Z</dcterms:modified>
</cp:coreProperties>
</file>