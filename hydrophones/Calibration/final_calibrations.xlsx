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3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"/>
    </mc:Choice>
  </mc:AlternateContent>
  <xr:revisionPtr revIDLastSave="0" documentId="13_ncr:1_{BE6B5CA9-A301-46E3-A040-2CF39A641FB3}" xr6:coauthVersionLast="47" xr6:coauthVersionMax="47" xr10:uidLastSave="{00000000-0000-0000-0000-000000000000}"/>
  <bookViews>
    <workbookView xWindow="-25320" yWindow="360" windowWidth="25440" windowHeight="15270" tabRatio="820" firstSheet="1" activeTab="1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67" i="10" l="1" a="1"/>
  <c r="BN66" i="10" a="1"/>
  <c r="S35" i="10"/>
  <c r="S21" i="10"/>
  <c r="S11" i="10"/>
  <c r="Z11" i="10" s="1"/>
  <c r="Y3" i="8"/>
  <c r="V45" i="9" a="1"/>
  <c r="F30" i="9" l="1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29" i="9"/>
  <c r="S3" i="8"/>
  <c r="Y4" i="8"/>
  <c r="AL11" i="10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46" i="9" a="1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N51" i="10" a="1"/>
  <c r="AW51" i="10" a="1"/>
  <c r="AJ51" i="10" a="1"/>
  <c r="AP51" i="10" a="1"/>
  <c r="AL51" i="10" a="1"/>
  <c r="AS51" i="10" a="1"/>
  <c r="AW32" i="10" a="1"/>
  <c r="AQ51" i="10" a="1"/>
  <c r="AU51" i="10" a="1"/>
  <c r="AM51" i="10" a="1"/>
  <c r="AR32" i="10" a="1"/>
  <c r="AS32" i="10" a="1"/>
  <c r="AQ32" i="10" a="1"/>
  <c r="AN32" i="10" a="1"/>
  <c r="AP32" i="10" a="1"/>
  <c r="AT32" i="10" a="1"/>
  <c r="AT51" i="10" a="1"/>
  <c r="AM32" i="10" a="1"/>
  <c r="AK32" i="10" a="1"/>
  <c r="AV32" i="10" a="1"/>
  <c r="AV51" i="10" a="1"/>
  <c r="AU32" i="10" a="1"/>
  <c r="AJ32" i="10" a="1"/>
  <c r="AO51" i="10" a="1"/>
  <c r="AK51" i="10" a="1"/>
  <c r="AR51" i="10" a="1"/>
  <c r="AL32" i="10" a="1"/>
  <c r="AM61" i="10" a="1"/>
  <c r="AS61" i="10" a="1"/>
  <c r="AJ61" i="10" a="1"/>
  <c r="AN61" i="10" a="1"/>
  <c r="AT61" i="10" a="1"/>
  <c r="AO61" i="10" a="1"/>
  <c r="AP61" i="10" a="1"/>
  <c r="AU61" i="10" a="1"/>
  <c r="AK61" i="10" a="1"/>
  <c r="AQ61" i="10" a="1"/>
  <c r="AV61" i="10" a="1"/>
  <c r="AL61" i="10" a="1"/>
  <c r="AR61" i="10" a="1"/>
  <c r="AW61" i="10" a="1"/>
  <c r="AO62" i="10" a="1"/>
  <c r="AU62" i="10" a="1"/>
  <c r="AP62" i="10" a="1"/>
  <c r="AV62" i="10" a="1"/>
  <c r="AK62" i="10" a="1"/>
  <c r="AQ62" i="10" a="1"/>
  <c r="AW62" i="10" a="1"/>
  <c r="AL62" i="10" a="1"/>
  <c r="AR62" i="10" a="1"/>
  <c r="AJ62" i="10" a="1"/>
  <c r="AM62" i="10" a="1"/>
  <c r="AS62" i="10" a="1"/>
  <c r="AN62" i="10" a="1"/>
  <c r="AT62" i="10" a="1"/>
  <c r="AK33" i="10" a="1"/>
  <c r="AU33" i="10" a="1"/>
  <c r="AO52" i="10" a="1"/>
  <c r="AT33" i="10" a="1"/>
  <c r="AN52" i="10" a="1"/>
  <c r="AR52" i="10" a="1"/>
  <c r="AV33" i="10" a="1"/>
  <c r="AM33" i="10" a="1"/>
  <c r="AS33" i="10" a="1"/>
  <c r="AK52" i="10" a="1"/>
  <c r="AJ52" i="10" a="1"/>
  <c r="AP52" i="10" a="1"/>
  <c r="AQ52" i="10" a="1"/>
  <c r="AP33" i="10" a="1"/>
  <c r="BE7" i="10"/>
  <c r="AN20" i="10" s="1"/>
  <c r="BK7" i="10"/>
  <c r="AT20" i="10" s="1"/>
  <c r="BC5" i="10"/>
  <c r="AL16" i="10" s="1"/>
  <c r="AS52" i="10" s="1" a="1"/>
  <c r="BI5" i="10"/>
  <c r="AR16" i="10" s="1"/>
  <c r="BH4" i="10"/>
  <c r="AQ15" i="10" s="1"/>
  <c r="BF8" i="10"/>
  <c r="AO21" i="10" s="1"/>
  <c r="AM42" i="10" a="1"/>
  <c r="AQ42" i="10" a="1"/>
  <c r="AJ42" i="10" a="1"/>
  <c r="AN42" i="10" a="1"/>
  <c r="AU42" i="10" a="1"/>
  <c r="AK42" i="10" a="1"/>
  <c r="AR42" i="10" a="1"/>
  <c r="AO42" i="10" a="1"/>
  <c r="AV42" i="10" a="1"/>
  <c r="AL42" i="10" a="1"/>
  <c r="AS42" i="10" a="1"/>
  <c r="AW42" i="10" a="1"/>
  <c r="AP42" i="10" a="1"/>
  <c r="AT42" i="10" a="1"/>
  <c r="AW43" i="10" a="1"/>
  <c r="AR43" i="10" a="1"/>
  <c r="AN43" i="10" a="1"/>
  <c r="AS43" i="10" a="1"/>
  <c r="AJ43" i="10" a="1"/>
  <c r="AK43" i="10" a="1"/>
  <c r="AO43" i="10" a="1"/>
  <c r="AP43" i="10" a="1"/>
  <c r="AT43" i="10" a="1"/>
  <c r="AL43" i="10" a="1"/>
  <c r="AU43" i="10" a="1"/>
  <c r="AM43" i="10" a="1"/>
  <c r="AQ43" i="10" a="1"/>
  <c r="AV43" i="10" a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BJ6" i="10"/>
  <c r="AS17" i="10" s="1"/>
  <c r="BG4" i="10"/>
  <c r="AP15" i="10" s="1"/>
  <c r="BH5" i="10"/>
  <c r="AQ16" i="10" s="1"/>
  <c r="BC6" i="10"/>
  <c r="AL17" i="10" s="1"/>
  <c r="AV52" i="10" s="1" a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BE6" i="10"/>
  <c r="BE5" i="10"/>
  <c r="AN16" i="10" s="1"/>
  <c r="BC9" i="10"/>
  <c r="AL18" i="10" s="1"/>
  <c r="AV60" i="10" l="1" a="1"/>
  <c r="AJ59" i="10" a="1"/>
  <c r="AS60" i="10" a="1"/>
  <c r="AQ33" i="10" a="1"/>
  <c r="AN60" i="10" a="1"/>
  <c r="AT59" i="10" a="1"/>
  <c r="AM59" i="10" a="1"/>
  <c r="AJ33" i="10" a="1"/>
  <c r="AL33" i="10" a="1"/>
  <c r="AM52" i="10" a="1"/>
  <c r="AW60" i="10" a="1"/>
  <c r="AQ60" i="10" a="1"/>
  <c r="AM56" i="10" a="1"/>
  <c r="AJ56" i="10" a="1"/>
  <c r="AN56" i="10" a="1"/>
  <c r="AS56" i="10" a="1"/>
  <c r="AO56" i="10" a="1"/>
  <c r="AT56" i="10" a="1"/>
  <c r="AP56" i="10" a="1"/>
  <c r="AU56" i="10" a="1"/>
  <c r="AK56" i="10" a="1"/>
  <c r="AQ56" i="10" a="1"/>
  <c r="AV56" i="10" a="1"/>
  <c r="AL56" i="10" a="1"/>
  <c r="AR56" i="10" a="1"/>
  <c r="AR63" i="10" s="1"/>
  <c r="AW56" i="10" a="1"/>
  <c r="AT52" i="10" a="1"/>
  <c r="AU52" i="10" a="1"/>
  <c r="AU63" i="10" s="1"/>
  <c r="AW52" i="10" a="1"/>
  <c r="AR33" i="10" a="1"/>
  <c r="AT60" i="10" a="1"/>
  <c r="AR60" i="10" a="1"/>
  <c r="AK60" i="10" a="1"/>
  <c r="AV59" i="10" a="1"/>
  <c r="AS59" i="10" a="1"/>
  <c r="AQ59" i="10" a="1"/>
  <c r="AT63" i="10"/>
  <c r="AO60" i="10" a="1"/>
  <c r="AM60" i="10" a="1"/>
  <c r="AP60" i="10" a="1"/>
  <c r="AK59" i="10" a="1"/>
  <c r="AN59" i="10" a="1"/>
  <c r="AL59" i="10" a="1"/>
  <c r="AK53" i="10" a="1"/>
  <c r="AO53" i="10" a="1"/>
  <c r="AO63" i="10" s="1"/>
  <c r="AU53" i="10" a="1"/>
  <c r="AM53" i="10" a="1"/>
  <c r="AM63" i="10" s="1"/>
  <c r="AL53" i="10" a="1"/>
  <c r="AP53" i="10" a="1"/>
  <c r="AP63" i="10" s="1"/>
  <c r="AV53" i="10" a="1"/>
  <c r="AW53" i="10" a="1"/>
  <c r="AR53" i="10" a="1"/>
  <c r="AQ53" i="10" a="1"/>
  <c r="AJ34" i="10" a="1"/>
  <c r="AN53" i="10" a="1"/>
  <c r="AN63" i="10" s="1"/>
  <c r="AS53" i="10" a="1"/>
  <c r="AJ53" i="10" a="1"/>
  <c r="AJ63" i="10" s="1"/>
  <c r="AT53" i="10" a="1"/>
  <c r="AL60" i="10" a="1"/>
  <c r="AP59" i="10" a="1"/>
  <c r="AR59" i="10" a="1"/>
  <c r="AQ63" i="10"/>
  <c r="AN58" i="10" a="1"/>
  <c r="AS58" i="10" a="1"/>
  <c r="AJ58" i="10" a="1"/>
  <c r="AO58" i="10" a="1"/>
  <c r="AT58" i="10" a="1"/>
  <c r="AK58" i="10" a="1"/>
  <c r="AP58" i="10" a="1"/>
  <c r="AQ58" i="10" a="1"/>
  <c r="AU58" i="10" a="1"/>
  <c r="AL58" i="10" a="1"/>
  <c r="AR58" i="10" a="1"/>
  <c r="AV58" i="10" a="1"/>
  <c r="AM58" i="10" a="1"/>
  <c r="AW58" i="10" a="1"/>
  <c r="AJ60" i="10" a="1"/>
  <c r="AP55" i="10" a="1"/>
  <c r="AV55" i="10" a="1"/>
  <c r="AS55" i="10" a="1"/>
  <c r="AK55" i="10" a="1"/>
  <c r="AQ55" i="10" a="1"/>
  <c r="AW55" i="10" a="1"/>
  <c r="AJ55" i="10" a="1"/>
  <c r="AM55" i="10" a="1"/>
  <c r="AL55" i="10" a="1"/>
  <c r="AR55" i="10" a="1"/>
  <c r="AN55" i="10" a="1"/>
  <c r="AT55" i="10" a="1"/>
  <c r="AO55" i="10" a="1"/>
  <c r="AU55" i="10" a="1"/>
  <c r="AL52" i="10" a="1"/>
  <c r="AL63" i="10" s="1"/>
  <c r="AN33" i="10" a="1"/>
  <c r="AU60" i="10" a="1"/>
  <c r="AU59" i="10" a="1"/>
  <c r="AW54" i="10" a="1"/>
  <c r="AW63" i="10" s="1"/>
  <c r="AN54" i="10" a="1"/>
  <c r="AS54" i="10" a="1"/>
  <c r="AP54" i="10" a="1"/>
  <c r="AO54" i="10" a="1"/>
  <c r="AT54" i="10" a="1"/>
  <c r="AU54" i="10" a="1"/>
  <c r="AQ54" i="10" a="1"/>
  <c r="AK54" i="10" a="1"/>
  <c r="AV54" i="10" a="1"/>
  <c r="AL54" i="10" a="1"/>
  <c r="AJ54" i="10" a="1"/>
  <c r="AM54" i="10" a="1"/>
  <c r="AR54" i="10" a="1"/>
  <c r="AU57" i="10" a="1"/>
  <c r="AK57" i="10" a="1"/>
  <c r="AP57" i="10" a="1"/>
  <c r="AV57" i="10" a="1"/>
  <c r="AV63" i="10" s="1"/>
  <c r="AL57" i="10" a="1"/>
  <c r="AQ57" i="10" a="1"/>
  <c r="AW57" i="10" a="1"/>
  <c r="AM57" i="10" a="1"/>
  <c r="AR57" i="10" a="1"/>
  <c r="AJ57" i="10" a="1"/>
  <c r="AN57" i="10" a="1"/>
  <c r="AS57" i="10" a="1"/>
  <c r="AO57" i="10" a="1"/>
  <c r="AT57" i="10" a="1"/>
  <c r="AY42" i="10"/>
  <c r="AW33" i="10" a="1"/>
  <c r="AK63" i="10"/>
  <c r="AO33" i="10" a="1"/>
  <c r="AO59" i="10" a="1"/>
  <c r="AS63" i="10"/>
  <c r="AY43" i="10"/>
  <c r="AY32" i="10"/>
  <c r="AX32" i="10"/>
  <c r="AX43" i="10"/>
  <c r="AN38" i="10" a="1"/>
  <c r="AT40" i="10" a="1"/>
  <c r="AL38" i="10" a="1"/>
  <c r="AU38" i="10" a="1"/>
  <c r="AT41" i="10" a="1"/>
  <c r="AS38" i="10" a="1"/>
  <c r="AM38" i="10" a="1"/>
  <c r="AJ41" i="10" a="1"/>
  <c r="AN41" i="10" a="1"/>
  <c r="AV41" i="10" a="1"/>
  <c r="AO38" i="10" a="1"/>
  <c r="AP38" i="10" a="1"/>
  <c r="AP41" i="10" a="1"/>
  <c r="AS41" i="10" a="1"/>
  <c r="AX42" i="10"/>
  <c r="AR38" i="10" a="1"/>
  <c r="AT38" i="10" a="1"/>
  <c r="AL41" i="10" a="1"/>
  <c r="AW38" i="10" a="1"/>
  <c r="AJ38" i="10" a="1"/>
  <c r="AQ41" i="10" a="1"/>
  <c r="AK41" i="10" a="1"/>
  <c r="AL36" i="10" a="1"/>
  <c r="AT36" i="10" a="1"/>
  <c r="AP36" i="10" a="1"/>
  <c r="AJ36" i="10" a="1"/>
  <c r="AM36" i="10" a="1"/>
  <c r="AQ36" i="10" a="1"/>
  <c r="AU36" i="10" a="1"/>
  <c r="AN36" i="10" a="1"/>
  <c r="AR36" i="10" a="1"/>
  <c r="AK36" i="10" a="1"/>
  <c r="AV36" i="10" a="1"/>
  <c r="AO36" i="10" a="1"/>
  <c r="AS36" i="10" a="1"/>
  <c r="AW36" i="10" a="1"/>
  <c r="AK38" i="10" a="1"/>
  <c r="AQ38" i="10" a="1"/>
  <c r="AU41" i="10" a="1"/>
  <c r="AW41" i="10" a="1"/>
  <c r="AR41" i="10" a="1"/>
  <c r="AU40" i="10" a="1"/>
  <c r="AP40" i="10" a="1"/>
  <c r="AK34" i="10" a="1"/>
  <c r="AV34" i="10" a="1"/>
  <c r="AO34" i="10" a="1"/>
  <c r="AS34" i="10" a="1"/>
  <c r="AW34" i="10" a="1"/>
  <c r="AL34" i="10" a="1"/>
  <c r="AP34" i="10" a="1"/>
  <c r="AT34" i="10" a="1"/>
  <c r="AQ34" i="10" a="1"/>
  <c r="AM34" i="10" a="1"/>
  <c r="AU34" i="10" a="1"/>
  <c r="AN34" i="10" a="1"/>
  <c r="AR34" i="10" a="1"/>
  <c r="AN40" i="10" a="1"/>
  <c r="AW40" i="10" a="1"/>
  <c r="AM39" i="10" a="1"/>
  <c r="AS39" i="10" a="1"/>
  <c r="AN39" i="10" a="1"/>
  <c r="AT39" i="10" a="1"/>
  <c r="AO39" i="10" a="1"/>
  <c r="AU39" i="10" a="1"/>
  <c r="AJ39" i="10" a="1"/>
  <c r="AP39" i="10" a="1"/>
  <c r="AV39" i="10" a="1"/>
  <c r="AK39" i="10" a="1"/>
  <c r="AQ39" i="10" a="1"/>
  <c r="AW39" i="10" a="1"/>
  <c r="AL39" i="10" a="1"/>
  <c r="AR39" i="10" a="1"/>
  <c r="AV40" i="10" a="1"/>
  <c r="AJ40" i="10" a="1"/>
  <c r="AS40" i="10" a="1"/>
  <c r="AY33" i="10"/>
  <c r="AV38" i="10" a="1"/>
  <c r="AM41" i="10" a="1"/>
  <c r="AO40" i="10" a="1"/>
  <c r="AQ40" i="10" a="1"/>
  <c r="AL40" i="10" a="1"/>
  <c r="AM37" i="10" a="1"/>
  <c r="AQ37" i="10" a="1"/>
  <c r="AU37" i="10" a="1"/>
  <c r="AJ37" i="10" a="1"/>
  <c r="AN37" i="10" a="1"/>
  <c r="AR37" i="10" a="1"/>
  <c r="AV37" i="10" a="1"/>
  <c r="AK37" i="10" a="1"/>
  <c r="AW37" i="10" a="1"/>
  <c r="AO37" i="10" a="1"/>
  <c r="AS37" i="10" a="1"/>
  <c r="AL37" i="10" a="1"/>
  <c r="AT37" i="10" a="1"/>
  <c r="AP37" i="10" a="1"/>
  <c r="AR40" i="10" a="1"/>
  <c r="AM40" i="10" a="1"/>
  <c r="AM35" i="10" a="1"/>
  <c r="AQ35" i="10" a="1"/>
  <c r="AU35" i="10" a="1"/>
  <c r="AN35" i="10" a="1"/>
  <c r="AK35" i="10" a="1"/>
  <c r="AR35" i="10" a="1"/>
  <c r="AV35" i="10" a="1"/>
  <c r="AO35" i="10" a="1"/>
  <c r="AW35" i="10" a="1"/>
  <c r="AL35" i="10" a="1"/>
  <c r="AS35" i="10" a="1"/>
  <c r="AP35" i="10" a="1"/>
  <c r="AT35" i="10" a="1"/>
  <c r="AJ35" i="10" a="1"/>
  <c r="AK40" i="10" a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T15" i="10"/>
  <c r="W15" i="10"/>
  <c r="V15" i="10"/>
  <c r="AM25" i="9"/>
  <c r="L51" i="9" s="1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T35" i="10"/>
  <c r="S99" i="10"/>
  <c r="W12" i="10"/>
  <c r="T12" i="10"/>
  <c r="AM24" i="9"/>
  <c r="L50" i="9" s="1"/>
  <c r="Z12" i="10"/>
  <c r="V12" i="10"/>
  <c r="U12" i="10"/>
  <c r="T23" i="10"/>
  <c r="S23" i="10"/>
  <c r="S22" i="10"/>
  <c r="T22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O4" i="8"/>
  <c r="U4" i="8" s="1"/>
  <c r="P4" i="8"/>
  <c r="V4" i="8" s="1"/>
  <c r="Q4" i="8"/>
  <c r="W4" i="8" s="1"/>
  <c r="R4" i="8"/>
  <c r="X4" i="8" s="1"/>
  <c r="S4" i="8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AM23" i="9"/>
  <c r="L49" i="9" s="1"/>
  <c r="AE23" i="9"/>
  <c r="I49" i="9" s="1"/>
  <c r="Z12" i="9"/>
  <c r="AH12" i="9"/>
  <c r="Y5" i="9"/>
  <c r="AE5" i="9"/>
  <c r="I31" i="9" s="1"/>
  <c r="AM5" i="9"/>
  <c r="L31" i="9" s="1"/>
  <c r="Y8" i="9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AM18" i="9"/>
  <c r="AE18" i="9"/>
  <c r="Y19" i="9"/>
  <c r="AM19" i="9"/>
  <c r="AE19" i="9"/>
  <c r="Y20" i="9"/>
  <c r="AM20" i="9"/>
  <c r="AE20" i="9"/>
  <c r="Y21" i="9"/>
  <c r="AE21" i="9"/>
  <c r="AM21" i="9"/>
  <c r="AB23" i="9"/>
  <c r="AJ23" i="9"/>
  <c r="AH15" i="9"/>
  <c r="Z15" i="9"/>
  <c r="Z23" i="9"/>
  <c r="AH23" i="9"/>
  <c r="Y4" i="9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D46" i="9" a="1"/>
  <c r="AC46" i="9" a="1"/>
  <c r="AD45" i="9" a="1"/>
  <c r="D41" i="9"/>
  <c r="D29" i="9"/>
  <c r="E30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I39" i="9"/>
  <c r="J35" i="9"/>
  <c r="J33" i="9"/>
  <c r="J29" i="9"/>
  <c r="J46" i="9"/>
  <c r="H38" i="9"/>
  <c r="L29" i="9"/>
  <c r="G47" i="9"/>
  <c r="G43" i="9"/>
  <c r="D42" i="9"/>
  <c r="E45" i="9"/>
  <c r="E40" i="9"/>
  <c r="E33" i="9"/>
  <c r="E29" i="9"/>
  <c r="D38" i="9"/>
  <c r="D35" i="9"/>
  <c r="D33" i="9"/>
  <c r="E38" i="9"/>
  <c r="D31" i="9"/>
  <c r="D46" i="9"/>
  <c r="D44" i="9"/>
  <c r="T45" i="9" l="1" a="1"/>
  <c r="T46" i="9" a="1"/>
  <c r="X45" i="9" a="1"/>
  <c r="Z46" i="9" a="1"/>
  <c r="Y46" i="9" a="1"/>
  <c r="W46" i="9" a="1"/>
  <c r="V46" i="9" a="1"/>
  <c r="U45" i="9" a="1"/>
  <c r="U46" i="9" a="1"/>
  <c r="AB46" i="9" a="1"/>
  <c r="AB45" i="9" a="1"/>
  <c r="Z45" i="9" a="1"/>
  <c r="AA45" i="9" a="1"/>
  <c r="W45" i="9" a="1"/>
  <c r="Y45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<sst xmlns="http://schemas.openxmlformats.org/spreadsheetml/2006/main" count="828" uniqueCount="132">
  <si>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</si>
  <si>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</si>
  <si>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</si>
  <si>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</si>
  <si>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</si>
  <si>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</si>
  <si>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</si>
  <si>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</si>
  <si>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</si>
  <si>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</si>
  <si>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</si>
  <si>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</si>
  <si>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</si>
  <si>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</si>
  <si>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</si>
  <si>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</si>
  <si>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</si>
  <si>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</si>
  <si>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</si>
  <si>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</si>
  <si>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</si>
  <si>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</si>
  <si>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</si>
  <si>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</si>
  <si>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</si>
  <si>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</si>
  <si>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</si>
  <si>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</si>
  <si>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</si>
  <si>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</si>
  <si>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</si>
  <si>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</si>
  <si>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</si>
  <si>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</si>
  <si>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</si>
  <si>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</si>
  <si>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</si>
  <si>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</si>
  <si>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</si>
  <si>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</si>
  <si>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</si>
  <si>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</si>
  <si>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</si>
  <si>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</si>
  <si>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</si>
  <si>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</si>
  <si>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</si>
  <si>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</si>
  <si>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</si>
  <si>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</si>
  <si>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</si>
  <si>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</si>
  <si>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</si>
  <si>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</si>
  <si>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</si>
  <si>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</si>
  <si>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</si>
  <si>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</si>
  <si>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</si>
  <si>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</si>
  <si>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</si>
  <si>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</si>
  <si>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</si>
  <si>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</si>
  <si>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</si>
  <si>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</si>
  <si>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</si>
  <si>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</si>
  <si>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</si>
  <si>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</si>
  <si>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</si>
  <si>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</si>
  <si>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</si>
  <si>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</si>
  <si>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</si>
  <si>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</si>
  <si>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</si>
  <si>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</si>
  <si>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</si>
  <si>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</si>
  <si>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</si>
  <si>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</si>
  <si>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</si>
  <si>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</si>
  <si>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</si>
  <si>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</si>
  <si>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</si>
  <si>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</si>
  <si>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</si>
  <si>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</si>
  <si>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</si>
  <si>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</si>
  <si>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</si>
  <si>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</si>
  <si>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</si>
  <si>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</si>
  <si>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</si>
  <si>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</si>
  <si>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</si>
  <si>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</si>
  <si>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</si>
  <si>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</si>
  <si>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</si>
  <si>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</si>
  <si>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</si>
  <si>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</si>
  <si>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</si>
  <si>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</si>
  <si>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</si>
  <si>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</si>
  <si>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</si>
  <si>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</si>
  <si>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</si>
  <si>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</si>
  <si>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</si>
  <si>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</si>
  <si>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</si>
  <si>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</si>
  <si>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</si>
  <si>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</si>
  <si>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</si>
  <si>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</si>
  <si>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</si>
  <si>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</si>
  <si>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</si>
  <si>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</si>
  <si>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</si>
  <si>
    <t>unamplified</t>
  </si>
  <si>
    <t>measured</t>
  </si>
  <si>
    <t>amplified</t>
  </si>
  <si>
    <t>unamplififed</t>
  </si>
  <si>
    <t xml:space="preserve">amplified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</si>
</sst>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horizontal="center" textRotation="90"/>
    </xf>
    <xf numFmtId="0" fontId="0" fillId="4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06-420F-ADDC-6DEFB671C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1"/>
          <c:order val="0"/>
          <c:tx>
            <c:strRef>
              <c:f>storm_amplification!$BN$36</c:f>
              <c:strCache>
                <c:ptCount val="1"/>
                <c:pt idx="0">
                  <c:v>unamplified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storm_amplification!$BN$37:$BN$41</c:f>
              <c:numCache>
                <c:formatCode>0.00</c:formatCode>
                <c:ptCount val="5"/>
                <c:pt idx="0">
                  <c:v>10.258375738206395</c:v>
                </c:pt>
                <c:pt idx="1">
                  <c:v>1.1834815249814366</c:v>
                </c:pt>
                <c:pt idx="2">
                  <c:v>1.1834815249814366</c:v>
                </c:pt>
                <c:pt idx="3">
                  <c:v>41.28542966920206</c:v>
                </c:pt>
                <c:pt idx="4">
                  <c:v>89.81692214953847</c:v>
                </c:pt>
              </c:numCache>
            </c:numRef>
          </c:xVal>
          <c:yVal>
            <c:numRef>
              <c:f>storm_amplification!$BP$37:$BP$41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206-420F-ADDC-6DEFB671CA3C}"/>
            </c:ext>
          </c:extLst>
        </c:ser>
        <c:ser>
          <c:idx val="0"/>
          <c:order val="1"/>
          <c:tx>
            <c:strRef>
              <c:f>storm_amplification!$BO$36</c:f>
              <c:strCache>
                <c:ptCount val="1"/>
                <c:pt idx="0">
                  <c:v>amplified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619602738484606"/>
                  <c:y val="0.4290788550440160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storm_amplification!$BO$37:$BO$41</c:f>
              <c:numCache>
                <c:formatCode>General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storm_amplification!$BP$37:$BP$41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206-420F-ADDC-6DEFB671C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7098472027660589E-3"/>
                  <c:y val="0.144537284901976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1214005198506845"/>
                  <c:y val="-0.22184899362686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1140815404786369E-2"/>
                  <c:y val="0.1732371466352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3.xml"/><Relationship Id="rId18" Type="http://schemas.openxmlformats.org/officeDocument/2006/relationships/chart" Target="../charts/chart38.xml"/><Relationship Id="rId26" Type="http://schemas.openxmlformats.org/officeDocument/2006/relationships/chart" Target="../charts/chart46.xml"/><Relationship Id="rId39" Type="http://schemas.openxmlformats.org/officeDocument/2006/relationships/chart" Target="../charts/chart59.xml"/><Relationship Id="rId21" Type="http://schemas.openxmlformats.org/officeDocument/2006/relationships/chart" Target="../charts/chart41.xml"/><Relationship Id="rId34" Type="http://schemas.openxmlformats.org/officeDocument/2006/relationships/chart" Target="../charts/chart54.xml"/><Relationship Id="rId42" Type="http://schemas.openxmlformats.org/officeDocument/2006/relationships/chart" Target="../charts/chart62.xml"/><Relationship Id="rId47" Type="http://schemas.openxmlformats.org/officeDocument/2006/relationships/chart" Target="../charts/chart67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6" Type="http://schemas.openxmlformats.org/officeDocument/2006/relationships/chart" Target="../charts/chart36.xml"/><Relationship Id="rId29" Type="http://schemas.openxmlformats.org/officeDocument/2006/relationships/chart" Target="../charts/chart49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11" Type="http://schemas.openxmlformats.org/officeDocument/2006/relationships/chart" Target="../charts/chart31.xml"/><Relationship Id="rId24" Type="http://schemas.openxmlformats.org/officeDocument/2006/relationships/chart" Target="../charts/chart44.xml"/><Relationship Id="rId32" Type="http://schemas.openxmlformats.org/officeDocument/2006/relationships/chart" Target="../charts/chart52.xml"/><Relationship Id="rId37" Type="http://schemas.openxmlformats.org/officeDocument/2006/relationships/chart" Target="../charts/chart57.xml"/><Relationship Id="rId40" Type="http://schemas.openxmlformats.org/officeDocument/2006/relationships/chart" Target="../charts/chart60.xml"/><Relationship Id="rId45" Type="http://schemas.openxmlformats.org/officeDocument/2006/relationships/chart" Target="../charts/chart65.xml"/><Relationship Id="rId5" Type="http://schemas.openxmlformats.org/officeDocument/2006/relationships/chart" Target="../charts/chart25.xml"/><Relationship Id="rId15" Type="http://schemas.openxmlformats.org/officeDocument/2006/relationships/chart" Target="../charts/chart35.xml"/><Relationship Id="rId23" Type="http://schemas.openxmlformats.org/officeDocument/2006/relationships/chart" Target="../charts/chart43.xml"/><Relationship Id="rId28" Type="http://schemas.openxmlformats.org/officeDocument/2006/relationships/chart" Target="../charts/chart48.xml"/><Relationship Id="rId36" Type="http://schemas.openxmlformats.org/officeDocument/2006/relationships/chart" Target="../charts/chart56.xml"/><Relationship Id="rId10" Type="http://schemas.openxmlformats.org/officeDocument/2006/relationships/chart" Target="../charts/chart30.xml"/><Relationship Id="rId19" Type="http://schemas.openxmlformats.org/officeDocument/2006/relationships/chart" Target="../charts/chart39.xml"/><Relationship Id="rId31" Type="http://schemas.openxmlformats.org/officeDocument/2006/relationships/chart" Target="../charts/chart51.xml"/><Relationship Id="rId44" Type="http://schemas.openxmlformats.org/officeDocument/2006/relationships/chart" Target="../charts/chart64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Relationship Id="rId14" Type="http://schemas.openxmlformats.org/officeDocument/2006/relationships/chart" Target="../charts/chart34.xml"/><Relationship Id="rId22" Type="http://schemas.openxmlformats.org/officeDocument/2006/relationships/chart" Target="../charts/chart42.xml"/><Relationship Id="rId27" Type="http://schemas.openxmlformats.org/officeDocument/2006/relationships/chart" Target="../charts/chart47.xml"/><Relationship Id="rId30" Type="http://schemas.openxmlformats.org/officeDocument/2006/relationships/chart" Target="../charts/chart50.xml"/><Relationship Id="rId35" Type="http://schemas.openxmlformats.org/officeDocument/2006/relationships/chart" Target="../charts/chart55.xml"/><Relationship Id="rId43" Type="http://schemas.openxmlformats.org/officeDocument/2006/relationships/chart" Target="../charts/chart63.xml"/><Relationship Id="rId48" Type="http://schemas.openxmlformats.org/officeDocument/2006/relationships/chart" Target="../charts/chart68.xml"/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12" Type="http://schemas.openxmlformats.org/officeDocument/2006/relationships/chart" Target="../charts/chart32.xml"/><Relationship Id="rId17" Type="http://schemas.openxmlformats.org/officeDocument/2006/relationships/chart" Target="../charts/chart37.xml"/><Relationship Id="rId25" Type="http://schemas.openxmlformats.org/officeDocument/2006/relationships/chart" Target="../charts/chart45.xml"/><Relationship Id="rId33" Type="http://schemas.openxmlformats.org/officeDocument/2006/relationships/chart" Target="../charts/chart53.xml"/><Relationship Id="rId38" Type="http://schemas.openxmlformats.org/officeDocument/2006/relationships/chart" Target="../charts/chart58.xml"/><Relationship Id="rId46" Type="http://schemas.openxmlformats.org/officeDocument/2006/relationships/chart" Target="../charts/chart66.xml"/><Relationship Id="rId20" Type="http://schemas.openxmlformats.org/officeDocument/2006/relationships/chart" Target="../charts/chart40.xml"/><Relationship Id="rId41" Type="http://schemas.openxmlformats.org/officeDocument/2006/relationships/chart" Target="../charts/chart6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1.xml"/><Relationship Id="rId2" Type="http://schemas.openxmlformats.org/officeDocument/2006/relationships/chart" Target="../charts/chart70.xml"/><Relationship Id="rId1" Type="http://schemas.openxmlformats.org/officeDocument/2006/relationships/chart" Target="../charts/chart69.xml"/><Relationship Id="rId6" Type="http://schemas.openxmlformats.org/officeDocument/2006/relationships/chart" Target="../charts/chart74.xml"/><Relationship Id="rId5" Type="http://schemas.openxmlformats.org/officeDocument/2006/relationships/chart" Target="../charts/chart73.xml"/><Relationship Id="rId4" Type="http://schemas.openxmlformats.org/officeDocument/2006/relationships/chart" Target="../charts/chart7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195371</xdr:colOff>
      <xdr:row>34</xdr:row>
      <xdr:rowOff>5361</xdr:rowOff>
    </xdr:from>
    <xdr:to>
      <xdr:col>29</xdr:col>
      <xdr:colOff>178318</xdr:colOff>
      <xdr:row>44</xdr:row>
      <xdr:rowOff>38491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  <xdr:twoCellAnchor>
    <xdr:from>
      <xdr:col>64</xdr:col>
      <xdr:colOff>257175</xdr:colOff>
      <xdr:row>43</xdr:row>
      <xdr:rowOff>180975</xdr:rowOff>
    </xdr:from>
    <xdr:to>
      <xdr:col>69</xdr:col>
      <xdr:colOff>507705</xdr:colOff>
      <xdr:row>62</xdr:row>
      <xdr:rowOff>65994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4F8E48E-0211-4D83-BBED-5B1A508C7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0" t="s">
        <v>48</v>
      </c>
      <c r="F1" s="140"/>
      <c r="G1" s="14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P112"/>
  <sheetViews>
    <sheetView tabSelected="1" topLeftCell="AT43" zoomScale="85" zoomScaleNormal="85" workbookViewId="0">
      <selection activeCell="BJ53" sqref="BJ53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1" t="s">
        <v>72</v>
      </c>
      <c r="E1" s="142"/>
      <c r="F1" s="142"/>
      <c r="G1" s="142"/>
      <c r="H1" s="142"/>
      <c r="I1" s="143"/>
      <c r="J1" s="139" t="s">
        <v>114</v>
      </c>
      <c r="K1" s="139"/>
      <c r="L1" s="139"/>
      <c r="M1" s="139"/>
      <c r="N1" s="139"/>
      <c r="O1" s="139"/>
      <c r="P1" s="67"/>
      <c r="AJ1" s="67" t="s">
        <v>99</v>
      </c>
    </row>
    <row r="2" spans="2:65" x14ac:dyDescent="0.25">
      <c r="D2" s="141" t="s">
        <v>76</v>
      </c>
      <c r="E2" s="142"/>
      <c r="F2" s="142"/>
      <c r="G2" s="142" t="s">
        <v>77</v>
      </c>
      <c r="H2" s="142"/>
      <c r="I2" s="143"/>
      <c r="J2" s="141" t="s">
        <v>76</v>
      </c>
      <c r="K2" s="142"/>
      <c r="L2" s="142"/>
      <c r="M2" s="142" t="s">
        <v>77</v>
      </c>
      <c r="N2" s="142"/>
      <c r="O2" s="143"/>
      <c r="P2" s="67" t="s">
        <v>79</v>
      </c>
      <c r="AJ2" t="s">
        <v>109</v>
      </c>
      <c r="AV2" s="140" t="s">
        <v>110</v>
      </c>
      <c r="AW2" s="140"/>
      <c r="AX2" s="140"/>
      <c r="AY2" s="140"/>
      <c r="AZ2" s="140"/>
      <c r="BA2" s="140"/>
      <c r="BC2" s="140" t="s">
        <v>64</v>
      </c>
      <c r="BD2" s="140"/>
      <c r="BE2" s="140"/>
      <c r="BF2" s="140" t="s">
        <v>65</v>
      </c>
      <c r="BG2" s="140"/>
      <c r="BH2" s="140"/>
      <c r="BI2" s="140" t="s">
        <v>66</v>
      </c>
      <c r="BJ2" s="140"/>
      <c r="BK2" s="140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4" t="s">
        <v>64</v>
      </c>
      <c r="E10" s="144"/>
      <c r="F10" s="144"/>
      <c r="G10" s="144" t="s">
        <v>65</v>
      </c>
      <c r="H10" s="144"/>
      <c r="I10" s="144"/>
      <c r="J10" s="144" t="s">
        <v>66</v>
      </c>
      <c r="K10" s="144"/>
      <c r="L10" s="144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2" t="s">
        <v>64</v>
      </c>
      <c r="AM13" s="142"/>
      <c r="AN13" s="142"/>
      <c r="AO13" s="142" t="s">
        <v>65</v>
      </c>
      <c r="AP13" s="142"/>
      <c r="AQ13" s="142"/>
      <c r="AR13" s="142" t="s">
        <v>66</v>
      </c>
      <c r="AS13" s="142"/>
      <c r="AT13" s="142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I15" s="10"/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1" t="s">
        <v>72</v>
      </c>
      <c r="BA15" s="142"/>
      <c r="BB15" s="142"/>
      <c r="BC15" s="142"/>
      <c r="BD15" s="142"/>
      <c r="BE15" s="143"/>
      <c r="BF15" s="141" t="s">
        <v>114</v>
      </c>
      <c r="BG15" s="142"/>
      <c r="BH15" s="142"/>
      <c r="BI15" s="142"/>
      <c r="BJ15" s="142"/>
      <c r="BK15" s="143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I16" s="10"/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1" t="s">
        <v>76</v>
      </c>
      <c r="BA16" s="142"/>
      <c r="BB16" s="142"/>
      <c r="BC16" s="142" t="s">
        <v>77</v>
      </c>
      <c r="BD16" s="142"/>
      <c r="BE16" s="143"/>
      <c r="BF16" s="141" t="s">
        <v>76</v>
      </c>
      <c r="BG16" s="142"/>
      <c r="BH16" s="142"/>
      <c r="BI16" s="142" t="s">
        <v>77</v>
      </c>
      <c r="BJ16" s="142"/>
      <c r="BK16" s="143"/>
      <c r="BL16" s="67" t="s">
        <v>79</v>
      </c>
    </row>
    <row r="17" spans="2:67" x14ac:dyDescent="0.25">
      <c r="AI17" s="10"/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39" t="s">
        <v>72</v>
      </c>
      <c r="E18" s="139"/>
      <c r="F18" s="139"/>
      <c r="G18" s="139"/>
      <c r="H18" s="139"/>
      <c r="I18" s="139"/>
      <c r="J18" s="139" t="s">
        <v>114</v>
      </c>
      <c r="K18" s="139"/>
      <c r="L18" s="139"/>
      <c r="M18" s="139"/>
      <c r="N18" s="139"/>
      <c r="O18" s="139"/>
      <c r="AI18" s="10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2" t="s">
        <v>26</v>
      </c>
      <c r="C19" s="142"/>
      <c r="D19" s="140" t="s">
        <v>76</v>
      </c>
      <c r="E19" s="140"/>
      <c r="F19" s="140"/>
      <c r="G19" s="140" t="s">
        <v>77</v>
      </c>
      <c r="H19" s="140"/>
      <c r="I19" s="140"/>
      <c r="J19" s="140" t="s">
        <v>76</v>
      </c>
      <c r="K19" s="140"/>
      <c r="L19" s="140"/>
      <c r="M19" s="140" t="s">
        <v>77</v>
      </c>
      <c r="N19" s="140"/>
      <c r="O19" s="140"/>
      <c r="AI19" s="10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O22" s="142"/>
      <c r="AP22" s="142"/>
      <c r="AQ22" s="142"/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2"/>
      <c r="AM23" s="142"/>
      <c r="AN23" s="142"/>
      <c r="AR23" s="142"/>
      <c r="AS23" s="142"/>
      <c r="AT23" s="142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2" t="s">
        <v>83</v>
      </c>
      <c r="C26" s="142"/>
      <c r="D26" s="140" t="s">
        <v>76</v>
      </c>
      <c r="E26" s="140"/>
      <c r="F26" s="140"/>
      <c r="G26" s="140" t="s">
        <v>77</v>
      </c>
      <c r="H26" s="140"/>
      <c r="I26" s="140"/>
      <c r="J26" s="140" t="s">
        <v>76</v>
      </c>
      <c r="K26" s="140"/>
      <c r="L26" s="140"/>
      <c r="M26" s="140" t="s">
        <v>77</v>
      </c>
      <c r="N26" s="140"/>
      <c r="O26" s="140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4" t="s">
        <v>72</v>
      </c>
      <c r="AL29" s="144"/>
      <c r="AM29" s="144"/>
      <c r="AN29" s="144"/>
      <c r="AO29" s="144"/>
      <c r="AP29" s="145"/>
      <c r="AQ29" s="146" t="s">
        <v>114</v>
      </c>
      <c r="AR29" s="144"/>
      <c r="AS29" s="144"/>
      <c r="AT29" s="144"/>
      <c r="AU29" s="144"/>
      <c r="AV29" s="145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6" t="s">
        <v>76</v>
      </c>
      <c r="AL30" s="144"/>
      <c r="AM30" s="145"/>
      <c r="AN30" s="146" t="s">
        <v>77</v>
      </c>
      <c r="AO30" s="144"/>
      <c r="AP30" s="145"/>
      <c r="AQ30" s="146" t="s">
        <v>76</v>
      </c>
      <c r="AR30" s="144"/>
      <c r="AS30" s="145"/>
      <c r="AT30" s="146" t="s">
        <v>77</v>
      </c>
      <c r="AU30" s="144"/>
      <c r="AV30" s="145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68" x14ac:dyDescent="0.25">
      <c r="B33" s="142" t="s">
        <v>82</v>
      </c>
      <c r="C33" s="142"/>
      <c r="D33" s="140" t="s">
        <v>76</v>
      </c>
      <c r="E33" s="140"/>
      <c r="F33" s="140"/>
      <c r="G33" s="140" t="s">
        <v>77</v>
      </c>
      <c r="H33" s="140"/>
      <c r="I33" s="140"/>
      <c r="J33" s="140" t="s">
        <v>76</v>
      </c>
      <c r="K33" s="140"/>
      <c r="L33" s="140"/>
      <c r="M33" s="140" t="s">
        <v>77</v>
      </c>
      <c r="N33" s="140"/>
      <c r="O33" s="140"/>
      <c r="AH33" s="147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68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7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68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7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68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7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  <c r="BN36" t="s">
        <v>127</v>
      </c>
      <c r="BO36" t="s">
        <v>129</v>
      </c>
      <c r="BP36" t="s">
        <v>128</v>
      </c>
    </row>
    <row r="37" spans="2:68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7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  <c r="BM37" s="148" t="s">
        <v>42</v>
      </c>
      <c r="BN37" s="10">
        <v>10.258375738206395</v>
      </c>
      <c r="BO37">
        <v>65.822865624683701</v>
      </c>
      <c r="BP37" s="17">
        <v>64</v>
      </c>
    </row>
    <row r="38" spans="2:68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7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  <c r="BM38" s="148" t="s">
        <v>71</v>
      </c>
      <c r="BN38" s="10">
        <v>1.1834815249814366</v>
      </c>
      <c r="BO38">
        <v>51.445390017485174</v>
      </c>
      <c r="BP38" s="17">
        <v>32</v>
      </c>
    </row>
    <row r="39" spans="2:68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7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  <c r="BM39" s="148" t="s">
        <v>43</v>
      </c>
      <c r="BN39" s="10">
        <v>1.1834815249814366</v>
      </c>
      <c r="BO39">
        <v>28.585944265784534</v>
      </c>
      <c r="BP39" s="17">
        <v>32</v>
      </c>
    </row>
    <row r="40" spans="2:68" x14ac:dyDescent="0.25">
      <c r="B40" s="142" t="s">
        <v>81</v>
      </c>
      <c r="C40" s="142"/>
      <c r="D40" s="140" t="s">
        <v>76</v>
      </c>
      <c r="E40" s="140"/>
      <c r="F40" s="140"/>
      <c r="G40" s="140" t="s">
        <v>77</v>
      </c>
      <c r="H40" s="140"/>
      <c r="I40" s="140"/>
      <c r="J40" s="140" t="s">
        <v>76</v>
      </c>
      <c r="K40" s="140"/>
      <c r="L40" s="140"/>
      <c r="M40" s="140" t="s">
        <v>77</v>
      </c>
      <c r="N40" s="140"/>
      <c r="O40" s="140"/>
      <c r="AH40" s="147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  <c r="BM40" s="148" t="s">
        <v>44</v>
      </c>
      <c r="BN40" s="10">
        <v>41.28542966920206</v>
      </c>
      <c r="BO40">
        <v>43.629471215674798</v>
      </c>
      <c r="BP40" s="17">
        <v>45</v>
      </c>
    </row>
    <row r="41" spans="2:68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7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  <c r="BM41" s="1" t="s">
        <v>96</v>
      </c>
      <c r="BN41" s="10">
        <v>89.81692214953847</v>
      </c>
      <c r="BO41">
        <v>86.50229872740951</v>
      </c>
      <c r="BP41" s="17">
        <v>90</v>
      </c>
    </row>
    <row r="42" spans="2:68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68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68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68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68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68" x14ac:dyDescent="0.25">
      <c r="B47" s="142" t="s">
        <v>84</v>
      </c>
      <c r="C47" s="142"/>
      <c r="D47" s="140" t="s">
        <v>76</v>
      </c>
      <c r="E47" s="140"/>
      <c r="F47" s="140"/>
      <c r="G47" s="140" t="s">
        <v>77</v>
      </c>
      <c r="H47" s="140"/>
      <c r="I47" s="140"/>
      <c r="J47" s="140" t="s">
        <v>76</v>
      </c>
      <c r="K47" s="140"/>
      <c r="L47" s="140"/>
      <c r="M47" s="140" t="s">
        <v>77</v>
      </c>
      <c r="N47" s="140"/>
      <c r="O47" s="140"/>
      <c r="AI47" t="s">
        <v>122</v>
      </c>
    </row>
    <row r="48" spans="2:68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4" t="s">
        <v>72</v>
      </c>
      <c r="AL48" s="144"/>
      <c r="AM48" s="144"/>
      <c r="AN48" s="144"/>
      <c r="AO48" s="144"/>
      <c r="AP48" s="145"/>
      <c r="AQ48" s="146" t="s">
        <v>114</v>
      </c>
      <c r="AR48" s="144"/>
      <c r="AS48" s="144"/>
      <c r="AT48" s="144"/>
      <c r="AU48" s="144"/>
      <c r="AV48" s="145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6" t="s">
        <v>76</v>
      </c>
      <c r="AL49" s="144"/>
      <c r="AM49" s="145"/>
      <c r="AN49" s="146" t="s">
        <v>77</v>
      </c>
      <c r="AO49" s="144"/>
      <c r="AP49" s="145"/>
      <c r="AQ49" s="146" t="s">
        <v>76</v>
      </c>
      <c r="AR49" s="144"/>
      <c r="AS49" s="145"/>
      <c r="AT49" s="146" t="s">
        <v>77</v>
      </c>
      <c r="AU49" s="144"/>
      <c r="AV49" s="145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47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47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42" t="s">
        <v>85</v>
      </c>
      <c r="C54" s="142"/>
      <c r="D54" s="140" t="s">
        <v>76</v>
      </c>
      <c r="E54" s="140"/>
      <c r="F54" s="140"/>
      <c r="G54" s="140" t="s">
        <v>77</v>
      </c>
      <c r="H54" s="140"/>
      <c r="I54" s="140"/>
      <c r="J54" s="140" t="s">
        <v>76</v>
      </c>
      <c r="K54" s="140"/>
      <c r="L54" s="140"/>
      <c r="M54" s="140" t="s">
        <v>77</v>
      </c>
      <c r="N54" s="140"/>
      <c r="O54" s="140"/>
      <c r="AH54" s="147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7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47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47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47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47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47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42" t="s">
        <v>86</v>
      </c>
      <c r="C61" s="142"/>
      <c r="D61" s="140" t="s">
        <v>76</v>
      </c>
      <c r="E61" s="140"/>
      <c r="F61" s="140"/>
      <c r="G61" s="140" t="s">
        <v>77</v>
      </c>
      <c r="H61" s="140"/>
      <c r="I61" s="140"/>
      <c r="J61" s="140" t="s">
        <v>76</v>
      </c>
      <c r="K61" s="140"/>
      <c r="L61" s="140"/>
      <c r="M61" s="140" t="s">
        <v>77</v>
      </c>
      <c r="N61" s="140"/>
      <c r="O61" s="140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67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67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  <c r="BM66" t="s">
        <v>25</v>
      </c>
      <c r="BN66" cm="1">
        <f t="array" ref="BN66">SQRT(SUMSQ($BN37:$BN41-BP$37:BP$41)/COUNTA($BN37:$BN41-BP$37:BP$41))</f>
        <v>30.988092391691033</v>
      </c>
      <c r="BO66" t="s">
        <v>130</v>
      </c>
    </row>
    <row r="67" spans="2:67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  <c r="BN67" cm="1">
        <f t="array" ref="BN67">SQRT(SUMSQ($BO37:$BO41-BP$37:BP$41)/COUNTA($BO37:$BO41-BP$37:BP$41))</f>
        <v>9.0245672684626825</v>
      </c>
      <c r="BO67" t="s">
        <v>131</v>
      </c>
    </row>
    <row r="68" spans="2:67" x14ac:dyDescent="0.25">
      <c r="B68" s="142" t="s">
        <v>87</v>
      </c>
      <c r="C68" s="142"/>
      <c r="D68" s="140" t="s">
        <v>76</v>
      </c>
      <c r="E68" s="140"/>
      <c r="F68" s="140"/>
      <c r="G68" s="140" t="s">
        <v>77</v>
      </c>
      <c r="H68" s="140"/>
      <c r="I68" s="140"/>
      <c r="J68" s="140" t="s">
        <v>76</v>
      </c>
      <c r="K68" s="140"/>
      <c r="L68" s="140"/>
      <c r="M68" s="140" t="s">
        <v>77</v>
      </c>
      <c r="N68" s="140"/>
      <c r="O68" s="140"/>
    </row>
    <row r="69" spans="2:67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67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67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67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67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67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67" x14ac:dyDescent="0.25">
      <c r="B75" s="142" t="s">
        <v>88</v>
      </c>
      <c r="C75" s="142"/>
      <c r="D75" s="140" t="s">
        <v>76</v>
      </c>
      <c r="E75" s="140"/>
      <c r="F75" s="140"/>
      <c r="G75" s="140" t="s">
        <v>77</v>
      </c>
      <c r="H75" s="140"/>
      <c r="I75" s="140"/>
      <c r="J75" s="140" t="s">
        <v>76</v>
      </c>
      <c r="K75" s="140"/>
      <c r="L75" s="140"/>
      <c r="M75" s="140" t="s">
        <v>77</v>
      </c>
      <c r="N75" s="140"/>
      <c r="O75" s="140"/>
    </row>
    <row r="76" spans="2:67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67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67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67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67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42" t="s">
        <v>89</v>
      </c>
      <c r="C82" s="142"/>
      <c r="D82" s="140" t="s">
        <v>76</v>
      </c>
      <c r="E82" s="140"/>
      <c r="F82" s="140"/>
      <c r="G82" s="140" t="s">
        <v>77</v>
      </c>
      <c r="H82" s="140"/>
      <c r="I82" s="140"/>
      <c r="J82" s="140" t="s">
        <v>76</v>
      </c>
      <c r="K82" s="140"/>
      <c r="L82" s="140"/>
      <c r="M82" s="140" t="s">
        <v>77</v>
      </c>
      <c r="N82" s="140"/>
      <c r="O82" s="140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2" t="s">
        <v>68</v>
      </c>
      <c r="C90" s="142"/>
      <c r="D90" s="140" t="s">
        <v>76</v>
      </c>
      <c r="E90" s="140"/>
      <c r="F90" s="140"/>
      <c r="G90" s="140" t="s">
        <v>77</v>
      </c>
      <c r="H90" s="140"/>
      <c r="I90" s="140"/>
      <c r="J90" s="140" t="s">
        <v>76</v>
      </c>
      <c r="K90" s="140"/>
      <c r="L90" s="140"/>
      <c r="M90" s="140" t="s">
        <v>77</v>
      </c>
      <c r="N90" s="140"/>
      <c r="O90" s="140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2" t="s">
        <v>67</v>
      </c>
      <c r="C97" s="142"/>
      <c r="D97" s="140" t="s">
        <v>76</v>
      </c>
      <c r="E97" s="140"/>
      <c r="F97" s="140"/>
      <c r="G97" s="140" t="s">
        <v>77</v>
      </c>
      <c r="H97" s="140"/>
      <c r="I97" s="140"/>
      <c r="J97" s="140" t="s">
        <v>76</v>
      </c>
      <c r="K97" s="140"/>
      <c r="L97" s="140"/>
      <c r="M97" s="140" t="s">
        <v>77</v>
      </c>
      <c r="N97" s="140"/>
      <c r="O97" s="140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L23:AN23"/>
    <mergeCell ref="AO22:AQ22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N37" zoomScale="115" zoomScaleNormal="115" workbookViewId="0">
      <selection activeCell="G23" sqref="G23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2" t="s">
        <v>51</v>
      </c>
      <c r="U1" s="142"/>
      <c r="V1" s="142"/>
      <c r="W1" s="142"/>
      <c r="X1" s="142"/>
      <c r="Y1" s="142"/>
      <c r="AC1" s="142" t="s">
        <v>55</v>
      </c>
      <c r="AD1" s="142"/>
      <c r="AE1" s="142"/>
      <c r="AF1" s="142"/>
      <c r="AG1" s="142"/>
      <c r="AH1" s="142"/>
      <c r="AL1" s="142" t="s">
        <v>58</v>
      </c>
      <c r="AM1" s="142"/>
      <c r="AN1" s="142"/>
      <c r="AO1" s="142"/>
      <c r="AP1" s="142"/>
      <c r="AQ1" s="142"/>
      <c r="BA1" s="146" t="s">
        <v>63</v>
      </c>
      <c r="BB1" s="144"/>
      <c r="BC1" s="144"/>
      <c r="BD1" s="144"/>
      <c r="BE1" s="144"/>
      <c r="BF1" s="145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>M3/$D3</f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>S3*$E3</f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>S4*$E4</f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C28" zoomScale="115" zoomScaleNormal="115" workbookViewId="0">
      <selection activeCell="U71" sqref="U71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2" t="s">
        <v>51</v>
      </c>
      <c r="U1" s="142"/>
      <c r="V1" s="142"/>
      <c r="W1" s="142"/>
      <c r="X1" s="142"/>
      <c r="Y1" s="142"/>
      <c r="Z1" s="142" t="s">
        <v>55</v>
      </c>
      <c r="AA1" s="142"/>
      <c r="AB1" s="142"/>
      <c r="AC1" s="142"/>
      <c r="AD1" s="142"/>
      <c r="AE1" s="142"/>
      <c r="AH1" s="142" t="s">
        <v>58</v>
      </c>
      <c r="AI1" s="142"/>
      <c r="AJ1" s="142"/>
      <c r="AK1" s="142"/>
      <c r="AL1" s="142"/>
      <c r="AM1" s="142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0" t="s">
        <v>64</v>
      </c>
      <c r="E27" s="140"/>
      <c r="F27" s="140"/>
      <c r="G27" s="140" t="s">
        <v>65</v>
      </c>
      <c r="H27" s="140"/>
      <c r="I27" s="140"/>
      <c r="J27" s="140" t="s">
        <v>66</v>
      </c>
      <c r="K27" s="140"/>
      <c r="L27" s="14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>21.9187*Y3^0.5631</f>
        <v>131.77174861991082</v>
      </c>
      <c r="G29" s="10">
        <f t="shared" ref="G29:G50" si="52">108.36*AC3^0.294</f>
        <v>65.384578047646713</v>
      </c>
      <c r="H29" s="10">
        <f t="shared" ref="H29:H50" si="53">69.293*AD3^0.3185</f>
        <v>51.628818352445393</v>
      </c>
      <c r="I29" s="10">
        <f t="shared" ref="I29:I50" si="54">50.026*AE3^0.3351</f>
        <v>52.643434084458356</v>
      </c>
      <c r="J29" s="10">
        <f t="shared" ref="J29:J50" si="55">102.1*AK3^0.3275</f>
        <v>92.842677817177901</v>
      </c>
      <c r="K29" s="10">
        <f t="shared" ref="K29:K50" si="56">63.901*AL3^0.4721</f>
        <v>81.072571300785981</v>
      </c>
      <c r="L29" s="10">
        <f t="shared" ref="L29:L50" si="57">34.771*AM3^0.6713</f>
        <v>100.44423476914439</v>
      </c>
      <c r="M29" s="10">
        <f t="shared" ref="M29:M50" si="58">1005.7*AG3^0.3646</f>
        <v>148.51264954109695</v>
      </c>
      <c r="N29" s="10">
        <f t="shared" ref="N29:N50" si="59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ref="F30:F52" si="60">21.9187*Y4^0.5631</f>
        <v>89.151875065310733</v>
      </c>
      <c r="G30" s="10">
        <f t="shared" si="52"/>
        <v>71.795875306103753</v>
      </c>
      <c r="H30" s="10">
        <f t="shared" si="53"/>
        <v>54.586371705837585</v>
      </c>
      <c r="I30" s="10">
        <f t="shared" si="54"/>
        <v>54.712432439892552</v>
      </c>
      <c r="J30" s="10">
        <f t="shared" si="55"/>
        <v>83.292592946891432</v>
      </c>
      <c r="K30" s="10">
        <f t="shared" si="56"/>
        <v>64.795355664056643</v>
      </c>
      <c r="L30" s="10">
        <f t="shared" si="57"/>
        <v>70.157847245573649</v>
      </c>
      <c r="M30" s="10">
        <f t="shared" si="58"/>
        <v>102.06933912439833</v>
      </c>
      <c r="N30" s="10">
        <f t="shared" si="59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60"/>
        <v>79.749720182814698</v>
      </c>
      <c r="G31" s="10">
        <f t="shared" si="52"/>
        <v>57.107285520757799</v>
      </c>
      <c r="H31" s="10">
        <f t="shared" si="53"/>
        <v>49.706959685477116</v>
      </c>
      <c r="I31" s="10">
        <f t="shared" si="54"/>
        <v>47.264726179696602</v>
      </c>
      <c r="J31" s="10">
        <f t="shared" si="55"/>
        <v>74.954810960620108</v>
      </c>
      <c r="K31" s="10">
        <f t="shared" si="56"/>
        <v>69.961722164412535</v>
      </c>
      <c r="L31" s="10">
        <f t="shared" si="57"/>
        <v>71.098076504051448</v>
      </c>
      <c r="M31" s="10">
        <f t="shared" si="58"/>
        <v>85.292131472281028</v>
      </c>
      <c r="N31" s="10">
        <f t="shared" si="59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60"/>
        <v>107.59967139307632</v>
      </c>
      <c r="G32" s="10">
        <f t="shared" si="52"/>
        <v>67.228863069123221</v>
      </c>
      <c r="H32" s="10">
        <f t="shared" si="53"/>
        <v>58.649038570468207</v>
      </c>
      <c r="I32" s="10">
        <f t="shared" si="54"/>
        <v>55.822006645722404</v>
      </c>
      <c r="J32" s="10">
        <f t="shared" si="55"/>
        <v>84.252068948159007</v>
      </c>
      <c r="K32" s="10">
        <f t="shared" si="56"/>
        <v>81.425656805169879</v>
      </c>
      <c r="L32" s="10">
        <f t="shared" si="57"/>
        <v>86.878941050514186</v>
      </c>
      <c r="M32" s="10">
        <f t="shared" si="58"/>
        <v>112.46258633271916</v>
      </c>
      <c r="N32" s="10">
        <f t="shared" si="59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60"/>
        <v>55.574798846123322</v>
      </c>
      <c r="G33" s="10">
        <f t="shared" si="52"/>
        <v>67.790158190567425</v>
      </c>
      <c r="H33" s="10">
        <f t="shared" si="53"/>
        <v>65.448134471991892</v>
      </c>
      <c r="I33" s="10">
        <f t="shared" si="54"/>
        <v>58.554474525039957</v>
      </c>
      <c r="J33" s="10">
        <f t="shared" si="55"/>
        <v>71.06874423077123</v>
      </c>
      <c r="K33" s="10">
        <f t="shared" si="56"/>
        <v>73.967491919762509</v>
      </c>
      <c r="L33" s="10">
        <f t="shared" si="57"/>
        <v>66.185835174744469</v>
      </c>
      <c r="M33" s="10">
        <f t="shared" si="58"/>
        <v>60.677327684459591</v>
      </c>
      <c r="N33" s="10">
        <f t="shared" si="59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60"/>
        <v>112.40364434764903</v>
      </c>
      <c r="G34" s="10">
        <f t="shared" si="52"/>
        <v>52.229548635315865</v>
      </c>
      <c r="H34" s="10">
        <f t="shared" si="53"/>
        <v>49.69916480382139</v>
      </c>
      <c r="I34" s="10">
        <f t="shared" si="54"/>
        <v>50.684987955350557</v>
      </c>
      <c r="J34" s="10">
        <f t="shared" si="55"/>
        <v>62.949579087623313</v>
      </c>
      <c r="K34" s="10">
        <f t="shared" si="56"/>
        <v>62.769226707154601</v>
      </c>
      <c r="L34" s="10">
        <f t="shared" si="57"/>
        <v>70.11199502976369</v>
      </c>
      <c r="M34" s="10">
        <f t="shared" si="58"/>
        <v>98.992268531121866</v>
      </c>
      <c r="N34" s="10">
        <f t="shared" si="59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60"/>
        <v>32.926937198002484</v>
      </c>
      <c r="G35" s="10">
        <f t="shared" si="52"/>
        <v>35.266075271003764</v>
      </c>
      <c r="H35" s="10">
        <f t="shared" si="53"/>
        <v>43.811709923510548</v>
      </c>
      <c r="I35" s="10">
        <f t="shared" si="54"/>
        <v>47.568351400075024</v>
      </c>
      <c r="J35" s="10">
        <f t="shared" si="55"/>
        <v>30.079911506948299</v>
      </c>
      <c r="K35" s="10">
        <f t="shared" si="56"/>
        <v>33.739575287705421</v>
      </c>
      <c r="L35" s="10">
        <f t="shared" si="57"/>
        <v>33.314079141418567</v>
      </c>
      <c r="M35" s="10">
        <f t="shared" si="58"/>
        <v>28.086060484113897</v>
      </c>
      <c r="N35" s="10">
        <f t="shared" si="59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60"/>
        <v>49.371001398716878</v>
      </c>
      <c r="G36" s="10">
        <f t="shared" si="52"/>
        <v>56.481737181745252</v>
      </c>
      <c r="H36" s="10">
        <f t="shared" si="53"/>
        <v>53.444660669019079</v>
      </c>
      <c r="I36" s="10">
        <f t="shared" si="54"/>
        <v>53.261989913258184</v>
      </c>
      <c r="J36" s="10">
        <f t="shared" si="55"/>
        <v>56.269015182775313</v>
      </c>
      <c r="K36" s="10">
        <f t="shared" si="56"/>
        <v>52.444532611877179</v>
      </c>
      <c r="L36" s="10">
        <f t="shared" si="57"/>
        <v>51.457953253671036</v>
      </c>
      <c r="M36" s="10">
        <f t="shared" si="58"/>
        <v>45.907042188380011</v>
      </c>
      <c r="N36" s="10">
        <f t="shared" si="59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60"/>
        <v>53.728870227216333</v>
      </c>
      <c r="G37" s="10">
        <f t="shared" si="52"/>
        <v>43.736421375108904</v>
      </c>
      <c r="H37" s="10">
        <f t="shared" si="53"/>
        <v>45.109768952226155</v>
      </c>
      <c r="I37" s="10">
        <f t="shared" si="54"/>
        <v>47.5106298842461</v>
      </c>
      <c r="J37" s="10">
        <f t="shared" si="55"/>
        <v>46.106882454418574</v>
      </c>
      <c r="K37" s="10">
        <f t="shared" si="56"/>
        <v>46.153491480304773</v>
      </c>
      <c r="L37" s="10">
        <f t="shared" si="57"/>
        <v>48.788996478358897</v>
      </c>
      <c r="M37" s="10">
        <f t="shared" si="58"/>
        <v>45.322803330337265</v>
      </c>
      <c r="N37" s="10">
        <f t="shared" si="59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60"/>
        <v>42.244680275789584</v>
      </c>
      <c r="G38" s="10">
        <f t="shared" si="52"/>
        <v>56.805792312904344</v>
      </c>
      <c r="H38" s="10">
        <f t="shared" si="53"/>
        <v>58.682124784073622</v>
      </c>
      <c r="I38" s="10">
        <f t="shared" si="54"/>
        <v>57.143620920571067</v>
      </c>
      <c r="J38" s="10">
        <f t="shared" si="55"/>
        <v>52.340891171179685</v>
      </c>
      <c r="K38" s="10">
        <f t="shared" si="56"/>
        <v>53.775932795362614</v>
      </c>
      <c r="L38" s="10">
        <f t="shared" si="57"/>
        <v>50.415003086487374</v>
      </c>
      <c r="M38" s="10">
        <f t="shared" si="58"/>
        <v>39.799314160287572</v>
      </c>
      <c r="N38" s="10">
        <f t="shared" si="59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60"/>
        <v>22.92006653042084</v>
      </c>
      <c r="G39" s="10">
        <f t="shared" si="52"/>
        <v>25.250107129129805</v>
      </c>
      <c r="H39" s="10">
        <f t="shared" si="53"/>
        <v>37.151370987424627</v>
      </c>
      <c r="I39" s="10">
        <f t="shared" si="54"/>
        <v>44.514321903194059</v>
      </c>
      <c r="J39" s="10">
        <f t="shared" si="55"/>
        <v>20.606898398021112</v>
      </c>
      <c r="K39" s="10">
        <f t="shared" si="56"/>
        <v>26.193008149886403</v>
      </c>
      <c r="L39" s="10">
        <f t="shared" si="57"/>
        <v>28.806524264497664</v>
      </c>
      <c r="M39" s="10">
        <f t="shared" si="58"/>
        <v>19.607181438968368</v>
      </c>
      <c r="N39" s="10">
        <f t="shared" si="59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60"/>
        <v>25.896096376823227</v>
      </c>
      <c r="G40" s="10">
        <f t="shared" si="52"/>
        <v>35.860619902777074</v>
      </c>
      <c r="H40" s="10">
        <f t="shared" si="53"/>
        <v>43.103065572380601</v>
      </c>
      <c r="I40" s="10">
        <f t="shared" si="54"/>
        <v>47.936496620170558</v>
      </c>
      <c r="J40" s="10">
        <f t="shared" si="55"/>
        <v>30.150375188185901</v>
      </c>
      <c r="K40" s="10">
        <f t="shared" si="56"/>
        <v>32.169770578692088</v>
      </c>
      <c r="L40" s="10">
        <f t="shared" si="57"/>
        <v>32.721980499652865</v>
      </c>
      <c r="M40" s="10">
        <f t="shared" si="58"/>
        <v>23.347499534220773</v>
      </c>
      <c r="N40" s="10">
        <f t="shared" si="59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60"/>
        <v>48.229665428643351</v>
      </c>
      <c r="G41" s="10">
        <f t="shared" si="52"/>
        <v>55.070994541852556</v>
      </c>
      <c r="H41" s="10">
        <f t="shared" si="53"/>
        <v>54.980619547343714</v>
      </c>
      <c r="I41" s="10">
        <f t="shared" si="54"/>
        <v>51.228547124253282</v>
      </c>
      <c r="J41" s="10">
        <f t="shared" si="55"/>
        <v>54.735478167433257</v>
      </c>
      <c r="K41" s="10">
        <f t="shared" si="56"/>
        <v>54.736965281607354</v>
      </c>
      <c r="L41" s="10">
        <f t="shared" si="57"/>
        <v>47.65088313560797</v>
      </c>
      <c r="M41" s="10">
        <f t="shared" si="58"/>
        <v>46.038254907884948</v>
      </c>
      <c r="N41" s="10">
        <f t="shared" si="59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60"/>
        <v>60.404689367416736</v>
      </c>
      <c r="G42" s="10">
        <f t="shared" si="52"/>
        <v>42.327678645468538</v>
      </c>
      <c r="H42" s="10">
        <f t="shared" si="53"/>
        <v>44.18193950713075</v>
      </c>
      <c r="I42" s="10">
        <f t="shared" si="54"/>
        <v>44.090548863460931</v>
      </c>
      <c r="J42" s="10">
        <f t="shared" si="55"/>
        <v>44.660696204200569</v>
      </c>
      <c r="K42" s="10">
        <f t="shared" si="56"/>
        <v>45.05127682505821</v>
      </c>
      <c r="L42" s="10">
        <f t="shared" si="57"/>
        <v>42.405450139647805</v>
      </c>
      <c r="M42" s="10">
        <f t="shared" si="58"/>
        <v>50.778205890389032</v>
      </c>
      <c r="N42" s="10">
        <f t="shared" si="59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60"/>
        <v>44.87532423901682</v>
      </c>
      <c r="G43" s="10">
        <f t="shared" si="52"/>
        <v>51.321814032058477</v>
      </c>
      <c r="H43" s="10">
        <f t="shared" si="53"/>
        <v>50.693032441828286</v>
      </c>
      <c r="I43" s="10">
        <f t="shared" si="54"/>
        <v>49.75878646363784</v>
      </c>
      <c r="J43" s="10">
        <f t="shared" si="55"/>
        <v>49.758189863230243</v>
      </c>
      <c r="K43" s="10">
        <f t="shared" si="56"/>
        <v>47.369550102291711</v>
      </c>
      <c r="L43" s="10">
        <f t="shared" si="57"/>
        <v>43.4303454246649</v>
      </c>
      <c r="M43" s="10">
        <f t="shared" si="58"/>
        <v>40.295260239584771</v>
      </c>
      <c r="N43" s="10">
        <f t="shared" si="59"/>
        <v>40.195470850604011</v>
      </c>
      <c r="T43" s="140" t="s">
        <v>64</v>
      </c>
      <c r="U43" s="140"/>
      <c r="V43" s="140"/>
      <c r="W43" s="140" t="s">
        <v>65</v>
      </c>
      <c r="X43" s="140"/>
      <c r="Y43" s="140"/>
      <c r="Z43" s="140" t="s">
        <v>66</v>
      </c>
      <c r="AA43" s="140"/>
      <c r="AB43" s="140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60"/>
        <v>121.44436825484453</v>
      </c>
      <c r="G44" s="10">
        <f t="shared" si="52"/>
        <v>49.641114279051997</v>
      </c>
      <c r="H44" s="10">
        <f t="shared" si="53"/>
        <v>45.826527086844514</v>
      </c>
      <c r="I44" s="10">
        <f t="shared" si="54"/>
        <v>45.321140149968969</v>
      </c>
      <c r="J44" s="10">
        <f t="shared" si="55"/>
        <v>63.758286007908318</v>
      </c>
      <c r="K44" s="10">
        <f t="shared" si="56"/>
        <v>61.512353564056511</v>
      </c>
      <c r="L44" s="10">
        <f t="shared" si="57"/>
        <v>64.601613003966577</v>
      </c>
      <c r="M44" s="10">
        <f t="shared" si="58"/>
        <v>102.91199725897496</v>
      </c>
      <c r="N44" s="10">
        <f t="shared" si="59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60"/>
        <v>65.515600240616166</v>
      </c>
      <c r="G45" s="10">
        <f t="shared" si="52"/>
        <v>56.762094883418058</v>
      </c>
      <c r="H45" s="10">
        <f t="shared" si="53"/>
        <v>53.267136543491972</v>
      </c>
      <c r="I45" s="10">
        <f t="shared" si="54"/>
        <v>50.913070065770825</v>
      </c>
      <c r="J45" s="10">
        <f t="shared" si="55"/>
        <v>57.802109090072939</v>
      </c>
      <c r="K45" s="10">
        <f t="shared" si="56"/>
        <v>53.818834117110711</v>
      </c>
      <c r="L45" s="10">
        <f t="shared" si="57"/>
        <v>49.116994051864594</v>
      </c>
      <c r="M45" s="10">
        <f t="shared" si="58"/>
        <v>58.832968719528274</v>
      </c>
      <c r="N45" s="10">
        <f t="shared" si="59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22.637716356140878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1.0000000000000001E-5</v>
      </c>
      <c r="AG45">
        <v>1.0000000000000001E-5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60"/>
        <v>83.204729016224803</v>
      </c>
      <c r="G46" s="10">
        <f t="shared" si="52"/>
        <v>67.001302816277274</v>
      </c>
      <c r="H46" s="10">
        <f t="shared" si="53"/>
        <v>62.193390742230939</v>
      </c>
      <c r="I46" s="10">
        <f t="shared" si="54"/>
        <v>57.670539519757106</v>
      </c>
      <c r="J46" s="10">
        <f t="shared" si="55"/>
        <v>70.67174735147897</v>
      </c>
      <c r="K46" s="10">
        <f t="shared" si="56"/>
        <v>69.320260916444269</v>
      </c>
      <c r="L46" s="10">
        <f t="shared" si="57"/>
        <v>65.18559131526824</v>
      </c>
      <c r="M46" s="10">
        <f t="shared" si="58"/>
        <v>81.315610363652823</v>
      </c>
      <c r="N46" s="10">
        <f t="shared" si="59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20.740782081206902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200</v>
      </c>
      <c r="AG46">
        <v>200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60"/>
        <v>94.797446052316189</v>
      </c>
      <c r="G47" s="10">
        <f t="shared" si="52"/>
        <v>24.654925635784203</v>
      </c>
      <c r="H47" s="10">
        <f t="shared" si="53"/>
        <v>32.715728904805879</v>
      </c>
      <c r="I47" s="10">
        <f t="shared" si="54"/>
        <v>37.493598149762107</v>
      </c>
      <c r="J47" s="10">
        <f t="shared" si="55"/>
        <v>21.865693822315428</v>
      </c>
      <c r="K47" s="10">
        <f t="shared" si="56"/>
        <v>24.552341859803199</v>
      </c>
      <c r="L47" s="10">
        <f t="shared" si="57"/>
        <v>24.355555477494292</v>
      </c>
      <c r="M47" s="10">
        <f t="shared" si="58"/>
        <v>57.972240615240565</v>
      </c>
      <c r="N47" s="10">
        <f t="shared" si="59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60"/>
        <v>68.12070858678652</v>
      </c>
      <c r="G48" s="10">
        <f t="shared" si="52"/>
        <v>122.85148602844667</v>
      </c>
      <c r="H48" s="10">
        <f t="shared" si="53"/>
        <v>128.45388411347565</v>
      </c>
      <c r="I48" s="10">
        <f t="shared" si="54"/>
        <v>86.22748600399099</v>
      </c>
      <c r="J48" s="10">
        <f t="shared" si="55"/>
        <v>116.54482182172966</v>
      </c>
      <c r="K48" s="10">
        <f t="shared" si="56"/>
        <v>157.81430752799429</v>
      </c>
      <c r="L48" s="10">
        <f t="shared" si="57"/>
        <v>101.91079458016144</v>
      </c>
      <c r="M48" s="10">
        <f t="shared" si="58"/>
        <v>54.860309322942094</v>
      </c>
      <c r="N48" s="10">
        <f t="shared" si="59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60"/>
        <v>33.581316992171239</v>
      </c>
      <c r="G49" s="10">
        <f t="shared" si="52"/>
        <v>270.51505725215441</v>
      </c>
      <c r="H49" s="10">
        <f t="shared" si="53"/>
        <v>128.80894313797964</v>
      </c>
      <c r="I49" s="10">
        <f t="shared" si="54"/>
        <v>57.748296765669359</v>
      </c>
      <c r="J49" s="10">
        <f t="shared" si="55"/>
        <v>283.17556780168911</v>
      </c>
      <c r="K49" s="10">
        <f t="shared" si="56"/>
        <v>160.41407052528044</v>
      </c>
      <c r="L49" s="10">
        <f t="shared" si="57"/>
        <v>46.451438102040505</v>
      </c>
      <c r="M49" s="10">
        <f t="shared" si="58"/>
        <v>199.4251968063341</v>
      </c>
      <c r="N49" s="10">
        <f t="shared" si="59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60"/>
        <v>48.06417680813626</v>
      </c>
      <c r="G50" s="10">
        <f t="shared" si="52"/>
        <v>104.02610800017462</v>
      </c>
      <c r="H50" s="10">
        <f t="shared" si="53"/>
        <v>104.37505186651595</v>
      </c>
      <c r="I50" s="10">
        <f t="shared" si="54"/>
        <v>66.227469441649291</v>
      </c>
      <c r="J50" s="10">
        <f t="shared" si="55"/>
        <v>30.257959449875919</v>
      </c>
      <c r="K50" s="10">
        <f t="shared" si="56"/>
        <v>21.691193389517782</v>
      </c>
      <c r="L50" s="10">
        <f t="shared" si="57"/>
        <v>5.5349944484141682</v>
      </c>
      <c r="M50" s="10">
        <f t="shared" si="58"/>
        <v>60.203849215955096</v>
      </c>
      <c r="N50" s="10">
        <f t="shared" si="59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60"/>
        <v>55.272986488463445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60"/>
        <v>85.8815931148836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0"/>
      <c r="E53" s="140"/>
      <c r="F53" s="140"/>
      <c r="G53" s="140"/>
      <c r="H53" s="140"/>
      <c r="I53" s="140"/>
      <c r="J53" s="140"/>
      <c r="K53" s="140"/>
      <c r="L53" s="140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2026-07-16T20:42:45Z</dcterms:modified>
</cp:coreProperties>
</file>