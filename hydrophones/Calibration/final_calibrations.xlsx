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Calibration\"/>
    </mc:Choice>
  </mc:AlternateContent>
  <xr:revisionPtr revIDLastSave="0" documentId="13_ncr:1_{96EB9EE6-4795-4ACE-B4D6-0B5FCBEF4143}" xr6:coauthVersionLast="47" xr6:coauthVersionMax="47" xr10:uidLastSave="{00000000-0000-0000-0000-000000000000}"/>
  <bookViews>
    <workbookView xWindow="-120" yWindow="-120" windowWidth="29040" windowHeight="15720" activeTab="3" xr2:uid="{A8943C80-B22B-4003-9D55-EE554B2EBD1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1" i="10" l="1"/>
  <c r="AM11" i="10"/>
  <c r="AN11" i="10"/>
  <c r="AO11" i="10"/>
  <c r="AP11" i="10"/>
  <c r="AQ11" i="10"/>
  <c r="AR11" i="10"/>
  <c r="AS11" i="10"/>
  <c r="AK11" i="10"/>
  <c r="AK19" i="10"/>
  <c r="S12" i="10"/>
  <c r="N101" i="10"/>
  <c r="D99" i="10"/>
  <c r="C42" i="10"/>
  <c r="S11" i="10"/>
  <c r="Z11" i="10" s="1"/>
  <c r="S46" i="9" a="1"/>
  <c r="S46" i="9"/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5" i="9" a="1"/>
  <c r="S45" i="9" s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F52" i="9"/>
  <c r="T15" i="10"/>
  <c r="W15" i="10"/>
  <c r="V15" i="10"/>
  <c r="AM25" i="9"/>
  <c r="L51" i="9" s="1"/>
  <c r="F51" i="9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3" i="10" l="1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C45" i="9" s="1"/>
  <c r="AD46" i="9" a="1"/>
  <c r="AD46" i="9" s="1"/>
  <c r="AC46" i="9" a="1"/>
  <c r="AC46" i="9" s="1"/>
  <c r="AD45" i="9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AA46" i="9" s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X46" i="9" s="1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T45" i="9" l="1" a="1"/>
  <c r="T45" i="9" s="1"/>
  <c r="T46" i="9" a="1"/>
  <c r="T46" i="9" s="1"/>
  <c r="X45" i="9" a="1"/>
  <c r="X45" i="9" s="1"/>
  <c r="Z46" i="9" a="1"/>
  <c r="Z46" i="9" s="1"/>
  <c r="Y46" i="9" a="1"/>
  <c r="Y46" i="9" s="1"/>
  <c r="W46" i="9" a="1"/>
  <c r="W46" i="9" s="1"/>
  <c r="V45" i="9" a="1"/>
  <c r="V45" i="9" s="1"/>
  <c r="V46" i="9" a="1"/>
  <c r="V46" i="9" s="1"/>
  <c r="U45" i="9" a="1"/>
  <c r="U45" i="9" s="1"/>
  <c r="U46" i="9" a="1"/>
  <c r="U46" i="9" s="1"/>
  <c r="AB46" i="9" a="1"/>
  <c r="AB46" i="9" s="1"/>
  <c r="AB45" i="9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<sst xmlns="http://schemas.openxmlformats.org/spreadsheetml/2006/main" count="817" uniqueCount="127">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</sst>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center" textRotation="90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storm_amplification!$Z$11:$Z$14</c:f>
              <c:numCache>
                <c:formatCode>0.00</c:formatCode>
                <c:ptCount val="4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</c:numCache>
            </c:numRef>
          </c:xVal>
          <c:y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48" Type="http://schemas.openxmlformats.org/officeDocument/2006/relationships/chart" Target="../charts/chart67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369306</xdr:colOff>
      <xdr:row>33</xdr:row>
      <xdr:rowOff>187578</xdr:rowOff>
    </xdr:from>
    <xdr:to>
      <xdr:col>28</xdr:col>
      <xdr:colOff>136905</xdr:colOff>
      <xdr:row>44</xdr:row>
      <xdr:rowOff>30208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9" workbookViewId="0">
      <selection activeCell="C44" sqref="C44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44" t="s">
        <v>48</v>
      </c>
      <c r="F1" s="144"/>
      <c r="G1" s="144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64</v>
      </c>
      <c r="C42" s="11"/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32</v>
      </c>
      <c r="C43" s="11"/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45</v>
      </c>
      <c r="C44" s="11"/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workbookViewId="0">
      <selection activeCell="O15" sqref="O15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2" t="s">
        <v>72</v>
      </c>
      <c r="E1" s="141"/>
      <c r="F1" s="141"/>
      <c r="G1" s="141"/>
      <c r="H1" s="141"/>
      <c r="I1" s="143"/>
      <c r="J1" s="145" t="s">
        <v>114</v>
      </c>
      <c r="K1" s="145"/>
      <c r="L1" s="145"/>
      <c r="M1" s="145"/>
      <c r="N1" s="145"/>
      <c r="O1" s="145"/>
      <c r="P1" s="67"/>
      <c r="AJ1" s="67" t="s">
        <v>99</v>
      </c>
    </row>
    <row r="2" spans="2:65" x14ac:dyDescent="0.25">
      <c r="D2" s="142" t="s">
        <v>76</v>
      </c>
      <c r="E2" s="141"/>
      <c r="F2" s="141"/>
      <c r="G2" s="141" t="s">
        <v>77</v>
      </c>
      <c r="H2" s="141"/>
      <c r="I2" s="143"/>
      <c r="J2" s="142" t="s">
        <v>76</v>
      </c>
      <c r="K2" s="141"/>
      <c r="L2" s="141"/>
      <c r="M2" s="141" t="s">
        <v>77</v>
      </c>
      <c r="N2" s="141"/>
      <c r="O2" s="143"/>
      <c r="P2" s="67" t="s">
        <v>79</v>
      </c>
      <c r="AJ2" t="s">
        <v>109</v>
      </c>
      <c r="AV2" s="144" t="s">
        <v>110</v>
      </c>
      <c r="AW2" s="144"/>
      <c r="AX2" s="144"/>
      <c r="AY2" s="144"/>
      <c r="AZ2" s="144"/>
      <c r="BA2" s="144"/>
      <c r="BC2" s="144" t="s">
        <v>64</v>
      </c>
      <c r="BD2" s="144"/>
      <c r="BE2" s="144"/>
      <c r="BF2" s="144" t="s">
        <v>65</v>
      </c>
      <c r="BG2" s="144"/>
      <c r="BH2" s="144"/>
      <c r="BI2" s="144" t="s">
        <v>66</v>
      </c>
      <c r="BJ2" s="144"/>
      <c r="BK2" s="144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46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47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147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47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147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47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147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147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147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147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147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38" t="s">
        <v>64</v>
      </c>
      <c r="E10" s="138"/>
      <c r="F10" s="138"/>
      <c r="G10" s="138" t="s">
        <v>65</v>
      </c>
      <c r="H10" s="138"/>
      <c r="I10" s="138"/>
      <c r="J10" s="138" t="s">
        <v>66</v>
      </c>
      <c r="K10" s="138"/>
      <c r="L10" s="138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  <c r="AK11">
        <f>AK10*2.51</f>
        <v>4.5459384216155009E-2</v>
      </c>
      <c r="AL11">
        <f t="shared" ref="AL11:AS11" si="37">AL10*2.51</f>
        <v>1.0657113014002316E-2</v>
      </c>
      <c r="AM11">
        <f t="shared" si="37"/>
        <v>1.0043663907902362E-2</v>
      </c>
      <c r="AN11">
        <f t="shared" si="37"/>
        <v>2.5099999999999998</v>
      </c>
      <c r="AO11">
        <f t="shared" si="37"/>
        <v>12.549999999999999</v>
      </c>
      <c r="AP11">
        <f t="shared" si="37"/>
        <v>45.179999999999993</v>
      </c>
      <c r="AQ11">
        <f t="shared" si="37"/>
        <v>120.47999999999999</v>
      </c>
      <c r="AR11">
        <f t="shared" si="37"/>
        <v>24670.789999999997</v>
      </c>
      <c r="AS11">
        <f t="shared" si="37"/>
        <v>93999.499999999985</v>
      </c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1" t="s">
        <v>64</v>
      </c>
      <c r="AM13" s="141"/>
      <c r="AN13" s="141"/>
      <c r="AO13" s="141" t="s">
        <v>65</v>
      </c>
      <c r="AP13" s="141"/>
      <c r="AQ13" s="141"/>
      <c r="AR13" s="141" t="s">
        <v>66</v>
      </c>
      <c r="AS13" s="141"/>
      <c r="AT13" s="141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8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2" t="s">
        <v>72</v>
      </c>
      <c r="BA15" s="141"/>
      <c r="BB15" s="141"/>
      <c r="BC15" s="141"/>
      <c r="BD15" s="141"/>
      <c r="BE15" s="143"/>
      <c r="BF15" s="142" t="s">
        <v>114</v>
      </c>
      <c r="BG15" s="141"/>
      <c r="BH15" s="141"/>
      <c r="BI15" s="141"/>
      <c r="BJ15" s="141"/>
      <c r="BK15" s="143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2" t="s">
        <v>76</v>
      </c>
      <c r="BA16" s="141"/>
      <c r="BB16" s="141"/>
      <c r="BC16" s="141" t="s">
        <v>77</v>
      </c>
      <c r="BD16" s="141"/>
      <c r="BE16" s="143"/>
      <c r="BF16" s="142" t="s">
        <v>76</v>
      </c>
      <c r="BG16" s="141"/>
      <c r="BH16" s="141"/>
      <c r="BI16" s="141" t="s">
        <v>77</v>
      </c>
      <c r="BJ16" s="141"/>
      <c r="BK16" s="143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45" t="s">
        <v>72</v>
      </c>
      <c r="E18" s="145"/>
      <c r="F18" s="145"/>
      <c r="G18" s="145"/>
      <c r="H18" s="145"/>
      <c r="I18" s="145"/>
      <c r="J18" s="145" t="s">
        <v>114</v>
      </c>
      <c r="K18" s="145"/>
      <c r="L18" s="145"/>
      <c r="M18" s="145"/>
      <c r="N18" s="145"/>
      <c r="O18" s="145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41" t="s">
        <v>26</v>
      </c>
      <c r="C19" s="141"/>
      <c r="D19" s="144" t="s">
        <v>76</v>
      </c>
      <c r="E19" s="144"/>
      <c r="F19" s="144"/>
      <c r="G19" s="144" t="s">
        <v>77</v>
      </c>
      <c r="H19" s="144"/>
      <c r="I19" s="144"/>
      <c r="J19" s="144" t="s">
        <v>76</v>
      </c>
      <c r="K19" s="144"/>
      <c r="L19" s="144"/>
      <c r="M19" s="144" t="s">
        <v>77</v>
      </c>
      <c r="N19" s="144"/>
      <c r="O19" s="144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9">G4/$C12</f>
        <v>5.7512886435099153</v>
      </c>
      <c r="H21" s="10">
        <f t="shared" si="39"/>
        <v>11.502577287019831</v>
      </c>
      <c r="I21" s="10">
        <f>I4/$C12</f>
        <v>11.502577287019831</v>
      </c>
      <c r="J21" s="10">
        <f t="shared" si="39"/>
        <v>4.043874827467909</v>
      </c>
      <c r="K21" s="10">
        <f t="shared" si="39"/>
        <v>8.0877496549358181</v>
      </c>
      <c r="L21" s="10">
        <f>L4/$C12</f>
        <v>8.0877496549358181</v>
      </c>
      <c r="M21" s="10">
        <f t="shared" si="39"/>
        <v>4.043874827467909</v>
      </c>
      <c r="N21" s="10">
        <f t="shared" si="39"/>
        <v>4.043874827467909</v>
      </c>
      <c r="O21" s="10">
        <f t="shared" si="39"/>
        <v>8.0877496549358181</v>
      </c>
      <c r="P21" s="10">
        <f t="shared" ref="P21" si="40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1">D5/$C13</f>
        <v>12.081312187158858</v>
      </c>
      <c r="E22" s="10">
        <f t="shared" si="41"/>
        <v>24.162624374317716</v>
      </c>
      <c r="F22" s="10">
        <f t="shared" si="41"/>
        <v>24.162624374317716</v>
      </c>
      <c r="G22" s="10">
        <f t="shared" si="41"/>
        <v>6.0406560935794289</v>
      </c>
      <c r="H22" s="10">
        <f t="shared" si="41"/>
        <v>8.494672631596071</v>
      </c>
      <c r="I22" s="10">
        <f t="shared" si="41"/>
        <v>24.162624374317716</v>
      </c>
      <c r="J22" s="10">
        <f t="shared" si="41"/>
        <v>12.081312187158858</v>
      </c>
      <c r="K22" s="10">
        <f t="shared" si="41"/>
        <v>12.081312187158858</v>
      </c>
      <c r="L22" s="10">
        <f t="shared" si="41"/>
        <v>24.162624374317716</v>
      </c>
      <c r="M22" s="10">
        <f t="shared" si="41"/>
        <v>6.0406560935794289</v>
      </c>
      <c r="N22" s="10">
        <f t="shared" si="41"/>
        <v>8.494672631596071</v>
      </c>
      <c r="O22" s="10">
        <f t="shared" si="41"/>
        <v>12.081312187158858</v>
      </c>
      <c r="P22" s="10">
        <f t="shared" ref="P22" si="42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3">D6/$C14</f>
        <v>3.4894236111639265</v>
      </c>
      <c r="E23" s="10">
        <f t="shared" si="43"/>
        <v>3.4894236111639265</v>
      </c>
      <c r="F23" s="10">
        <f t="shared" si="43"/>
        <v>3.4894236111639265</v>
      </c>
      <c r="G23" s="10">
        <f t="shared" si="43"/>
        <v>1.2267504882998179</v>
      </c>
      <c r="H23" s="10">
        <f t="shared" si="43"/>
        <v>0.87235590279098163</v>
      </c>
      <c r="I23" s="10">
        <f t="shared" si="43"/>
        <v>3.4894236111639265</v>
      </c>
      <c r="J23" s="10">
        <f t="shared" si="43"/>
        <v>1.7447118055819633</v>
      </c>
      <c r="K23" s="10">
        <f t="shared" si="43"/>
        <v>3.4894236111639265</v>
      </c>
      <c r="L23" s="10">
        <f t="shared" si="43"/>
        <v>3.4894236111639265</v>
      </c>
      <c r="M23" s="10">
        <f t="shared" si="43"/>
        <v>1.7447118055819633</v>
      </c>
      <c r="N23" s="10">
        <f t="shared" si="43"/>
        <v>0.87235590279098163</v>
      </c>
      <c r="O23" s="10">
        <f t="shared" si="43"/>
        <v>0.87235590279098163</v>
      </c>
      <c r="P23" s="10">
        <f t="shared" ref="P23" si="44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1"/>
      <c r="AM23" s="141"/>
      <c r="AN23" s="141"/>
      <c r="AO23" s="141"/>
      <c r="AP23" s="141"/>
      <c r="AQ23" s="141"/>
      <c r="AR23" s="141"/>
      <c r="AS23" s="141"/>
      <c r="AT23" s="141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5">D7/$C15</f>
        <v>24.162624374317716</v>
      </c>
      <c r="E24" s="10">
        <f t="shared" si="45"/>
        <v>24.162624374317716</v>
      </c>
      <c r="F24" s="10">
        <f t="shared" si="45"/>
        <v>24.162624374317716</v>
      </c>
      <c r="G24" s="10">
        <f t="shared" si="45"/>
        <v>6.0406560935794289</v>
      </c>
      <c r="H24" s="10">
        <f t="shared" si="45"/>
        <v>7.9283611228230004</v>
      </c>
      <c r="I24" s="10">
        <f t="shared" si="45"/>
        <v>24.162624374317716</v>
      </c>
      <c r="J24" s="10">
        <f t="shared" si="45"/>
        <v>24.162624374317716</v>
      </c>
      <c r="K24" s="10">
        <f t="shared" si="45"/>
        <v>24.162624374317716</v>
      </c>
      <c r="L24" s="10">
        <f t="shared" si="45"/>
        <v>24.162624374317716</v>
      </c>
      <c r="M24" s="10">
        <f t="shared" si="45"/>
        <v>24.162624374317716</v>
      </c>
      <c r="N24" s="10">
        <f t="shared" si="45"/>
        <v>12.081312187158858</v>
      </c>
      <c r="O24" s="10">
        <f t="shared" si="45"/>
        <v>6.0406560935794289</v>
      </c>
      <c r="P24" s="10">
        <f t="shared" si="45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6">D8/$C16</f>
        <v>3.3603846572392642</v>
      </c>
      <c r="E25" s="10">
        <f t="shared" si="46"/>
        <v>3.3603846572392642</v>
      </c>
      <c r="F25" s="10">
        <f t="shared" si="46"/>
        <v>3.3603846572392642</v>
      </c>
      <c r="G25" s="10">
        <f t="shared" si="46"/>
        <v>2.3627704621213579</v>
      </c>
      <c r="H25" s="10">
        <f t="shared" si="46"/>
        <v>3.3603846572392642</v>
      </c>
      <c r="I25" s="10">
        <f t="shared" si="46"/>
        <v>3.3603846572392642</v>
      </c>
      <c r="J25" s="10">
        <f t="shared" si="46"/>
        <v>3.3603846572392642</v>
      </c>
      <c r="K25" s="10">
        <f t="shared" si="46"/>
        <v>3.3603846572392642</v>
      </c>
      <c r="L25" s="10">
        <f t="shared" si="46"/>
        <v>3.3603846572392642</v>
      </c>
      <c r="M25" s="10">
        <f t="shared" si="46"/>
        <v>0.84009616430981604</v>
      </c>
      <c r="N25" s="10">
        <f t="shared" si="46"/>
        <v>0.84009616430981604</v>
      </c>
      <c r="O25" s="10">
        <f t="shared" si="46"/>
        <v>3.3603846572392642</v>
      </c>
      <c r="P25" s="10">
        <f t="shared" si="46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41" t="s">
        <v>83</v>
      </c>
      <c r="C26" s="141"/>
      <c r="D26" s="144" t="s">
        <v>76</v>
      </c>
      <c r="E26" s="144"/>
      <c r="F26" s="144"/>
      <c r="G26" s="144" t="s">
        <v>77</v>
      </c>
      <c r="H26" s="144"/>
      <c r="I26" s="144"/>
      <c r="J26" s="144" t="s">
        <v>76</v>
      </c>
      <c r="K26" s="144"/>
      <c r="L26" s="144"/>
      <c r="M26" s="144" t="s">
        <v>77</v>
      </c>
      <c r="N26" s="144"/>
      <c r="O26" s="144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7">E4/$D12</f>
        <v>12.662873010553136</v>
      </c>
      <c r="F28" s="10">
        <f t="shared" si="47"/>
        <v>12.662873010553136</v>
      </c>
      <c r="G28" s="10">
        <f t="shared" si="47"/>
        <v>6.3314365052765682</v>
      </c>
      <c r="H28" s="10">
        <f>H4/$D12</f>
        <v>12.662873010553136</v>
      </c>
      <c r="I28" s="10">
        <f t="shared" si="47"/>
        <v>12.662873010553136</v>
      </c>
      <c r="J28" s="10">
        <f t="shared" si="47"/>
        <v>4.4517912927725867</v>
      </c>
      <c r="K28" s="10">
        <f t="shared" si="47"/>
        <v>8.9035825855451733</v>
      </c>
      <c r="L28" s="10">
        <f t="shared" si="47"/>
        <v>8.9035825855451733</v>
      </c>
      <c r="M28" s="10">
        <f t="shared" si="47"/>
        <v>4.4517912927725867</v>
      </c>
      <c r="N28" s="10">
        <f t="shared" si="47"/>
        <v>4.4517912927725867</v>
      </c>
      <c r="O28" s="10">
        <f t="shared" si="47"/>
        <v>8.9035825855451733</v>
      </c>
      <c r="P28" s="10">
        <f t="shared" si="47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8">D5/$D13</f>
        <v>#DIV/0!</v>
      </c>
      <c r="E29" s="10" t="e">
        <f t="shared" si="48"/>
        <v>#DIV/0!</v>
      </c>
      <c r="F29" s="10" t="e">
        <f t="shared" si="48"/>
        <v>#DIV/0!</v>
      </c>
      <c r="G29" s="10" t="e">
        <f t="shared" si="48"/>
        <v>#DIV/0!</v>
      </c>
      <c r="H29" s="10" t="e">
        <f t="shared" si="48"/>
        <v>#DIV/0!</v>
      </c>
      <c r="I29" s="10" t="e">
        <f t="shared" si="48"/>
        <v>#DIV/0!</v>
      </c>
      <c r="J29" s="10" t="e">
        <f t="shared" si="48"/>
        <v>#DIV/0!</v>
      </c>
      <c r="K29" s="10" t="e">
        <f t="shared" si="48"/>
        <v>#DIV/0!</v>
      </c>
      <c r="L29" s="10" t="e">
        <f t="shared" si="48"/>
        <v>#DIV/0!</v>
      </c>
      <c r="M29" s="10" t="e">
        <f t="shared" si="48"/>
        <v>#DIV/0!</v>
      </c>
      <c r="N29" s="10" t="e">
        <f t="shared" si="48"/>
        <v>#DIV/0!</v>
      </c>
      <c r="O29" s="10" t="e">
        <f t="shared" si="48"/>
        <v>#DIV/0!</v>
      </c>
      <c r="P29" s="10" t="e">
        <f t="shared" si="48"/>
        <v>#DIV/0!</v>
      </c>
      <c r="R29" s="1"/>
      <c r="S29" s="10"/>
      <c r="T29" s="10"/>
      <c r="AI29" s="59"/>
      <c r="AJ29" s="61"/>
      <c r="AK29" s="138" t="s">
        <v>72</v>
      </c>
      <c r="AL29" s="138"/>
      <c r="AM29" s="138"/>
      <c r="AN29" s="138"/>
      <c r="AO29" s="138"/>
      <c r="AP29" s="139"/>
      <c r="AQ29" s="140" t="s">
        <v>114</v>
      </c>
      <c r="AR29" s="138"/>
      <c r="AS29" s="138"/>
      <c r="AT29" s="138"/>
      <c r="AU29" s="138"/>
      <c r="AV29" s="139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9">D6/$D14</f>
        <v>2.6030335738934953</v>
      </c>
      <c r="E30" s="10">
        <f t="shared" si="49"/>
        <v>2.6030335738934953</v>
      </c>
      <c r="F30" s="10">
        <f t="shared" si="49"/>
        <v>2.6030335738934953</v>
      </c>
      <c r="G30" s="10">
        <f t="shared" si="49"/>
        <v>0.91512899082193189</v>
      </c>
      <c r="H30" s="10">
        <f t="shared" si="49"/>
        <v>0.65075839347337383</v>
      </c>
      <c r="I30" s="10">
        <f t="shared" si="49"/>
        <v>2.6030335738934953</v>
      </c>
      <c r="J30" s="10">
        <f t="shared" si="49"/>
        <v>1.3015167869467477</v>
      </c>
      <c r="K30" s="10">
        <f t="shared" si="49"/>
        <v>2.6030335738934953</v>
      </c>
      <c r="L30" s="10">
        <f t="shared" si="49"/>
        <v>2.6030335738934953</v>
      </c>
      <c r="M30" s="10">
        <f t="shared" si="49"/>
        <v>1.3015167869467477</v>
      </c>
      <c r="N30" s="10">
        <f t="shared" si="49"/>
        <v>0.65075839347337383</v>
      </c>
      <c r="O30" s="10">
        <f t="shared" si="49"/>
        <v>0.65075839347337383</v>
      </c>
      <c r="P30" s="10">
        <f t="shared" si="49"/>
        <v>1.3015167869467477</v>
      </c>
      <c r="R30" s="1"/>
      <c r="S30" s="10"/>
      <c r="T30" s="10"/>
      <c r="AI30" s="53"/>
      <c r="AJ30" s="54"/>
      <c r="AK30" s="140" t="s">
        <v>76</v>
      </c>
      <c r="AL30" s="138"/>
      <c r="AM30" s="139"/>
      <c r="AN30" s="140" t="s">
        <v>77</v>
      </c>
      <c r="AO30" s="138"/>
      <c r="AP30" s="139"/>
      <c r="AQ30" s="140" t="s">
        <v>76</v>
      </c>
      <c r="AR30" s="138"/>
      <c r="AS30" s="139"/>
      <c r="AT30" s="140" t="s">
        <v>77</v>
      </c>
      <c r="AU30" s="138"/>
      <c r="AV30" s="139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50">D7/$D15</f>
        <v>#DIV/0!</v>
      </c>
      <c r="E31" s="10" t="e">
        <f t="shared" si="50"/>
        <v>#DIV/0!</v>
      </c>
      <c r="F31" s="10" t="e">
        <f t="shared" si="50"/>
        <v>#DIV/0!</v>
      </c>
      <c r="G31" s="10" t="e">
        <f t="shared" si="50"/>
        <v>#DIV/0!</v>
      </c>
      <c r="H31" s="10" t="e">
        <f t="shared" si="50"/>
        <v>#DIV/0!</v>
      </c>
      <c r="I31" s="10" t="e">
        <f t="shared" si="50"/>
        <v>#DIV/0!</v>
      </c>
      <c r="J31" s="10" t="e">
        <f t="shared" si="50"/>
        <v>#DIV/0!</v>
      </c>
      <c r="K31" s="10" t="e">
        <f t="shared" si="50"/>
        <v>#DIV/0!</v>
      </c>
      <c r="L31" s="10" t="e">
        <f t="shared" si="50"/>
        <v>#DIV/0!</v>
      </c>
      <c r="M31" s="10" t="e">
        <f t="shared" si="50"/>
        <v>#DIV/0!</v>
      </c>
      <c r="N31" s="10" t="e">
        <f t="shared" si="50"/>
        <v>#DIV/0!</v>
      </c>
      <c r="O31" s="10" t="e">
        <f t="shared" si="50"/>
        <v>#DIV/0!</v>
      </c>
      <c r="P31" s="10" t="e">
        <f t="shared" si="50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50"/>
        <v>#DIV/0!</v>
      </c>
      <c r="E32" s="10" t="e">
        <f t="shared" si="50"/>
        <v>#DIV/0!</v>
      </c>
      <c r="F32" s="10" t="e">
        <f t="shared" si="50"/>
        <v>#DIV/0!</v>
      </c>
      <c r="G32" s="10" t="e">
        <f t="shared" si="50"/>
        <v>#DIV/0!</v>
      </c>
      <c r="H32" s="10" t="e">
        <f t="shared" si="50"/>
        <v>#DIV/0!</v>
      </c>
      <c r="I32" s="10" t="e">
        <f t="shared" si="50"/>
        <v>#DIV/0!</v>
      </c>
      <c r="J32" s="10" t="e">
        <f t="shared" si="50"/>
        <v>#DIV/0!</v>
      </c>
      <c r="K32" s="10" t="e">
        <f t="shared" si="50"/>
        <v>#DIV/0!</v>
      </c>
      <c r="L32" s="10" t="e">
        <f t="shared" si="50"/>
        <v>#DIV/0!</v>
      </c>
      <c r="M32" s="10" t="e">
        <f t="shared" si="50"/>
        <v>#DIV/0!</v>
      </c>
      <c r="N32" s="10" t="e">
        <f t="shared" si="50"/>
        <v>#DIV/0!</v>
      </c>
      <c r="O32" s="10" t="e">
        <f t="shared" si="50"/>
        <v>#DIV/0!</v>
      </c>
      <c r="P32" s="10" t="e">
        <f t="shared" si="50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1">MIN(AJ32:AW32)</f>
        <v>40.33214592223819</v>
      </c>
      <c r="AY32" s="116">
        <f t="shared" ref="AY32:AY43" si="52">AVERAGE(AJ32:AV32)</f>
        <v>58.786323334125122</v>
      </c>
    </row>
    <row r="33" spans="2:51" x14ac:dyDescent="0.25">
      <c r="B33" s="141" t="s">
        <v>82</v>
      </c>
      <c r="C33" s="141"/>
      <c r="D33" s="144" t="s">
        <v>76</v>
      </c>
      <c r="E33" s="144"/>
      <c r="F33" s="144"/>
      <c r="G33" s="144" t="s">
        <v>77</v>
      </c>
      <c r="H33" s="144"/>
      <c r="I33" s="144"/>
      <c r="J33" s="144" t="s">
        <v>76</v>
      </c>
      <c r="K33" s="144"/>
      <c r="L33" s="144"/>
      <c r="M33" s="144" t="s">
        <v>77</v>
      </c>
      <c r="N33" s="144"/>
      <c r="O33" s="144"/>
      <c r="AH33" s="137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1"/>
        <v>59.044128864992942</v>
      </c>
      <c r="AY33" s="116">
        <f t="shared" si="52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37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1"/>
        <v>26.235126249828685</v>
      </c>
      <c r="AY34" s="116">
        <f t="shared" si="52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3">E4/$E12</f>
        <v>16.694725897227279</v>
      </c>
      <c r="F35" s="10">
        <f t="shared" si="53"/>
        <v>16.694725897227279</v>
      </c>
      <c r="G35" s="10">
        <f t="shared" si="53"/>
        <v>8.3473629486136396</v>
      </c>
      <c r="H35" s="10">
        <f t="shared" si="53"/>
        <v>16.694725897227279</v>
      </c>
      <c r="I35" s="10">
        <f t="shared" si="53"/>
        <v>16.694725897227279</v>
      </c>
      <c r="J35" s="10">
        <f t="shared" si="53"/>
        <v>5.8692395732439655</v>
      </c>
      <c r="K35" s="10">
        <f t="shared" si="53"/>
        <v>11.738479146487931</v>
      </c>
      <c r="L35" s="10">
        <f t="shared" si="53"/>
        <v>11.738479146487931</v>
      </c>
      <c r="M35" s="10">
        <f t="shared" si="53"/>
        <v>5.8692395732439655</v>
      </c>
      <c r="N35" s="10">
        <f t="shared" si="53"/>
        <v>5.8692395732439655</v>
      </c>
      <c r="O35" s="10">
        <f t="shared" si="53"/>
        <v>11.738479146487931</v>
      </c>
      <c r="P35" s="10">
        <f t="shared" si="53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37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1"/>
        <v>9.9370538607119236</v>
      </c>
      <c r="AY35" s="116">
        <f t="shared" si="52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4">D5/$E13</f>
        <v>95.00120810696842</v>
      </c>
      <c r="E36" s="10">
        <f t="shared" si="54"/>
        <v>190.00241621393684</v>
      </c>
      <c r="F36" s="10">
        <f t="shared" si="54"/>
        <v>190.00241621393684</v>
      </c>
      <c r="G36" s="10">
        <f t="shared" si="54"/>
        <v>47.50060405348421</v>
      </c>
      <c r="H36" s="10">
        <f t="shared" si="54"/>
        <v>66.797724450212172</v>
      </c>
      <c r="I36" s="10">
        <f t="shared" si="54"/>
        <v>190.00241621393684</v>
      </c>
      <c r="J36" s="10">
        <f t="shared" si="54"/>
        <v>95.00120810696842</v>
      </c>
      <c r="K36" s="10">
        <f t="shared" si="54"/>
        <v>95.00120810696842</v>
      </c>
      <c r="L36" s="10">
        <f t="shared" si="54"/>
        <v>190.00241621393684</v>
      </c>
      <c r="M36" s="10">
        <f t="shared" si="54"/>
        <v>47.50060405348421</v>
      </c>
      <c r="N36" s="10">
        <f t="shared" si="54"/>
        <v>66.797724450212172</v>
      </c>
      <c r="O36" s="10">
        <f t="shared" si="54"/>
        <v>95.00120810696842</v>
      </c>
      <c r="P36" s="10">
        <f t="shared" si="54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37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1"/>
        <v>65.323362140641649</v>
      </c>
      <c r="AY36" s="116">
        <f t="shared" si="52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5">D6/$E14</f>
        <v>2.0697116459677649</v>
      </c>
      <c r="E37" s="10">
        <f>E6/$E14</f>
        <v>2.0697116459677649</v>
      </c>
      <c r="F37" s="10">
        <f t="shared" si="55"/>
        <v>2.0697116459677649</v>
      </c>
      <c r="G37" s="10">
        <f>G6/$E14</f>
        <v>0.72763300053554225</v>
      </c>
      <c r="H37" s="10">
        <f t="shared" si="55"/>
        <v>0.51742791149194123</v>
      </c>
      <c r="I37" s="10">
        <f t="shared" si="55"/>
        <v>2.0697116459677649</v>
      </c>
      <c r="J37" s="10">
        <f t="shared" si="55"/>
        <v>1.0348558229838825</v>
      </c>
      <c r="K37" s="10">
        <f t="shared" si="55"/>
        <v>2.0697116459677649</v>
      </c>
      <c r="L37" s="10">
        <f t="shared" si="55"/>
        <v>2.0697116459677649</v>
      </c>
      <c r="M37" s="10">
        <f t="shared" si="55"/>
        <v>1.0348558229838825</v>
      </c>
      <c r="N37" s="10">
        <f t="shared" si="55"/>
        <v>0.51742791149194123</v>
      </c>
      <c r="O37" s="10">
        <f t="shared" si="55"/>
        <v>0.51742791149194123</v>
      </c>
      <c r="P37" s="10">
        <f t="shared" si="55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37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1"/>
        <v>18.480190572390196</v>
      </c>
      <c r="AY37" s="116">
        <f t="shared" si="52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6">D7/$E15</f>
        <v>190.00241621393684</v>
      </c>
      <c r="E38" s="10">
        <f t="shared" si="56"/>
        <v>190.00241621393684</v>
      </c>
      <c r="F38" s="10">
        <f t="shared" si="56"/>
        <v>190.00241621393684</v>
      </c>
      <c r="G38" s="10">
        <f t="shared" si="56"/>
        <v>47.50060405348421</v>
      </c>
      <c r="H38" s="10">
        <f t="shared" si="56"/>
        <v>62.344542820198029</v>
      </c>
      <c r="I38" s="10">
        <f t="shared" si="56"/>
        <v>190.00241621393684</v>
      </c>
      <c r="J38" s="10">
        <f t="shared" si="56"/>
        <v>190.00241621393684</v>
      </c>
      <c r="K38" s="10">
        <f t="shared" si="56"/>
        <v>190.00241621393684</v>
      </c>
      <c r="L38" s="10">
        <f t="shared" si="56"/>
        <v>190.00241621393684</v>
      </c>
      <c r="M38" s="10">
        <f t="shared" si="56"/>
        <v>190.00241621393684</v>
      </c>
      <c r="N38" s="10">
        <f t="shared" si="56"/>
        <v>95.00120810696842</v>
      </c>
      <c r="O38" s="10">
        <f t="shared" si="56"/>
        <v>47.50060405348421</v>
      </c>
      <c r="P38" s="10">
        <f t="shared" si="56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37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1"/>
        <v>22.81063459854477</v>
      </c>
      <c r="AY38" s="116">
        <f t="shared" si="52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6"/>
        <v>1.904373096375388</v>
      </c>
      <c r="E39" s="10">
        <f t="shared" si="56"/>
        <v>1.904373096375388</v>
      </c>
      <c r="F39" s="10">
        <f t="shared" si="56"/>
        <v>1.904373096375388</v>
      </c>
      <c r="G39" s="10">
        <f t="shared" si="56"/>
        <v>1.3390123333889445</v>
      </c>
      <c r="H39" s="10">
        <f t="shared" si="56"/>
        <v>1.904373096375388</v>
      </c>
      <c r="I39" s="10">
        <f t="shared" si="56"/>
        <v>1.904373096375388</v>
      </c>
      <c r="J39" s="10">
        <f t="shared" si="56"/>
        <v>1.904373096375388</v>
      </c>
      <c r="K39" s="10">
        <f t="shared" si="56"/>
        <v>1.904373096375388</v>
      </c>
      <c r="L39" s="10">
        <f t="shared" si="56"/>
        <v>1.904373096375388</v>
      </c>
      <c r="M39" s="10">
        <f t="shared" si="56"/>
        <v>0.476093274093847</v>
      </c>
      <c r="N39" s="10">
        <f t="shared" si="56"/>
        <v>0.476093274093847</v>
      </c>
      <c r="O39" s="10">
        <f t="shared" si="56"/>
        <v>1.904373096375388</v>
      </c>
      <c r="P39" s="10">
        <f t="shared" si="56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37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1"/>
        <v>74.876903383874236</v>
      </c>
      <c r="AY39" s="116">
        <f t="shared" si="52"/>
        <v>106.01890516596055</v>
      </c>
    </row>
    <row r="40" spans="2:51" x14ac:dyDescent="0.25">
      <c r="B40" s="141" t="s">
        <v>81</v>
      </c>
      <c r="C40" s="141"/>
      <c r="D40" s="144" t="s">
        <v>76</v>
      </c>
      <c r="E40" s="144"/>
      <c r="F40" s="144"/>
      <c r="G40" s="144" t="s">
        <v>77</v>
      </c>
      <c r="H40" s="144"/>
      <c r="I40" s="144"/>
      <c r="J40" s="144" t="s">
        <v>76</v>
      </c>
      <c r="K40" s="144"/>
      <c r="L40" s="144"/>
      <c r="M40" s="144" t="s">
        <v>77</v>
      </c>
      <c r="N40" s="144"/>
      <c r="O40" s="144"/>
      <c r="AH40" s="137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1"/>
        <v>39.61474662634722</v>
      </c>
      <c r="AY40" s="116">
        <f t="shared" si="52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37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1"/>
        <v>25.369088512855193</v>
      </c>
      <c r="AY41" s="116">
        <f t="shared" si="52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7">E4/$F12</f>
        <v>12.477608859975323</v>
      </c>
      <c r="F42" s="10">
        <f t="shared" si="57"/>
        <v>12.477608859975323</v>
      </c>
      <c r="G42" s="10">
        <f t="shared" si="57"/>
        <v>6.2388044299876615</v>
      </c>
      <c r="H42" s="10">
        <f t="shared" si="57"/>
        <v>12.477608859975323</v>
      </c>
      <c r="I42" s="10">
        <f t="shared" si="57"/>
        <v>12.477608859975323</v>
      </c>
      <c r="J42" s="10">
        <f t="shared" si="57"/>
        <v>4.386659364835074</v>
      </c>
      <c r="K42" s="10">
        <f t="shared" si="57"/>
        <v>8.773318729670148</v>
      </c>
      <c r="L42" s="10">
        <f t="shared" si="57"/>
        <v>8.773318729670148</v>
      </c>
      <c r="M42" s="10">
        <f t="shared" si="57"/>
        <v>4.386659364835074</v>
      </c>
      <c r="N42" s="10">
        <f t="shared" si="57"/>
        <v>4.386659364835074</v>
      </c>
      <c r="O42" s="10">
        <f t="shared" si="57"/>
        <v>8.773318729670148</v>
      </c>
      <c r="P42" s="10">
        <f t="shared" si="57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1"/>
        <v>55.354161478528987</v>
      </c>
      <c r="AY42" s="116">
        <f t="shared" si="52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8">E5/$F13</f>
        <v>108.15546951779221</v>
      </c>
      <c r="F43" s="10">
        <f t="shared" si="58"/>
        <v>108.15546951779221</v>
      </c>
      <c r="G43" s="10">
        <f t="shared" si="58"/>
        <v>27.038867379448053</v>
      </c>
      <c r="H43" s="10">
        <f t="shared" si="58"/>
        <v>38.023407252348825</v>
      </c>
      <c r="I43" s="10">
        <f t="shared" si="58"/>
        <v>108.15546951779221</v>
      </c>
      <c r="J43" s="10">
        <f t="shared" si="58"/>
        <v>54.077734758896106</v>
      </c>
      <c r="K43" s="10">
        <f t="shared" si="58"/>
        <v>54.077734758896106</v>
      </c>
      <c r="L43" s="10">
        <f t="shared" si="58"/>
        <v>108.15546951779221</v>
      </c>
      <c r="M43" s="10">
        <f t="shared" si="58"/>
        <v>27.038867379448053</v>
      </c>
      <c r="N43" s="10">
        <f t="shared" si="58"/>
        <v>38.023407252348825</v>
      </c>
      <c r="O43" s="10">
        <f t="shared" si="58"/>
        <v>54.077734758896106</v>
      </c>
      <c r="P43" s="10">
        <f t="shared" si="58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1"/>
        <v>71.541787647966828</v>
      </c>
      <c r="AY43" s="116">
        <f t="shared" si="52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9">D6/$F14</f>
        <v>3.1003673941532193</v>
      </c>
      <c r="E44" s="10">
        <f t="shared" si="59"/>
        <v>3.1003673941532193</v>
      </c>
      <c r="F44" s="10">
        <f t="shared" si="59"/>
        <v>3.1003673941532193</v>
      </c>
      <c r="G44" s="10">
        <f t="shared" si="59"/>
        <v>1.0899729120069912</v>
      </c>
      <c r="H44" s="10">
        <f t="shared" si="59"/>
        <v>0.77509184853830482</v>
      </c>
      <c r="I44" s="10">
        <f t="shared" si="59"/>
        <v>3.1003673941532193</v>
      </c>
      <c r="J44" s="10">
        <f t="shared" si="59"/>
        <v>1.5501836970766096</v>
      </c>
      <c r="K44" s="10">
        <f t="shared" si="59"/>
        <v>3.1003673941532193</v>
      </c>
      <c r="L44" s="10">
        <f t="shared" si="59"/>
        <v>3.1003673941532193</v>
      </c>
      <c r="M44" s="10">
        <f t="shared" si="59"/>
        <v>1.5501836970766096</v>
      </c>
      <c r="N44" s="10">
        <f t="shared" si="59"/>
        <v>0.77509184853830482</v>
      </c>
      <c r="O44" s="10">
        <f t="shared" si="59"/>
        <v>0.77509184853830482</v>
      </c>
      <c r="P44" s="10">
        <f t="shared" si="59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60">MIN(AK32:AK43)</f>
        <v>31.383688146699527</v>
      </c>
      <c r="AL44" s="116">
        <f t="shared" ref="AL44" si="61">MIN(AL32:AL43)</f>
        <v>18.480190572390196</v>
      </c>
      <c r="AM44" s="116">
        <f t="shared" ref="AM44" si="62">MIN(AM32:AM43)</f>
        <v>18.480190572390196</v>
      </c>
      <c r="AN44" s="116">
        <f t="shared" ref="AN44" si="63">MIN(AN32:AN43)</f>
        <v>9.9370538607119236</v>
      </c>
      <c r="AO44" s="116">
        <f t="shared" ref="AO44" si="64">MIN(AO32:AO43)</f>
        <v>25.369088512855193</v>
      </c>
      <c r="AP44" s="116">
        <f t="shared" ref="AP44" si="65">MIN(AP32:AP43)</f>
        <v>18.480190572390196</v>
      </c>
      <c r="AQ44" s="116">
        <f t="shared" ref="AQ44" si="66">MIN(AQ32:AQ43)</f>
        <v>33.902184433600048</v>
      </c>
      <c r="AR44" s="116">
        <f t="shared" ref="AR44" si="67">MIN(AR32:AR43)</f>
        <v>33.384194394190452</v>
      </c>
      <c r="AS44" s="116">
        <f t="shared" ref="AS44" si="68">MIN(AS32:AS43)</f>
        <v>21.704515595877009</v>
      </c>
      <c r="AT44" s="116">
        <f t="shared" ref="AT44" si="69">MIN(AT32:AT43)</f>
        <v>35.661129744063857</v>
      </c>
      <c r="AU44" s="116">
        <f t="shared" ref="AU44" si="70">MIN(AU32:AU43)</f>
        <v>15.778749879496438</v>
      </c>
      <c r="AV44" s="116">
        <f t="shared" ref="AV44" si="71">MIN(AV32:AV43)</f>
        <v>24.249004947814566</v>
      </c>
      <c r="AW44" s="116">
        <f t="shared" ref="AW44" si="72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3">D7/$F15</f>
        <v>108.15546951779221</v>
      </c>
      <c r="E45" s="10">
        <f t="shared" si="73"/>
        <v>108.15546951779221</v>
      </c>
      <c r="F45" s="10">
        <f t="shared" si="73"/>
        <v>108.15546951779221</v>
      </c>
      <c r="G45" s="10">
        <f t="shared" si="73"/>
        <v>27.038867379448053</v>
      </c>
      <c r="H45" s="10">
        <f t="shared" si="73"/>
        <v>35.488513435525569</v>
      </c>
      <c r="I45" s="10">
        <f t="shared" si="73"/>
        <v>108.15546951779221</v>
      </c>
      <c r="J45" s="10">
        <f t="shared" si="73"/>
        <v>108.15546951779221</v>
      </c>
      <c r="K45" s="10">
        <f t="shared" si="73"/>
        <v>108.15546951779221</v>
      </c>
      <c r="L45" s="10">
        <f t="shared" si="73"/>
        <v>108.15546951779221</v>
      </c>
      <c r="M45" s="10">
        <f t="shared" si="73"/>
        <v>108.15546951779221</v>
      </c>
      <c r="N45" s="10">
        <f t="shared" si="73"/>
        <v>54.077734758896106</v>
      </c>
      <c r="O45" s="10">
        <f t="shared" si="73"/>
        <v>27.038867379448053</v>
      </c>
      <c r="P45" s="10">
        <f t="shared" si="73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4">AVERAGE(AK32:AK43)</f>
        <v>70.166120400427886</v>
      </c>
      <c r="AL45" s="116">
        <f t="shared" si="74"/>
        <v>58.306889067362242</v>
      </c>
      <c r="AM45" s="116">
        <f t="shared" si="74"/>
        <v>58.306889067362242</v>
      </c>
      <c r="AN45" s="116">
        <f t="shared" si="74"/>
        <v>82.883304557319903</v>
      </c>
      <c r="AO45" s="116">
        <f t="shared" si="74"/>
        <v>80.704017293053695</v>
      </c>
      <c r="AP45" s="116">
        <f t="shared" si="74"/>
        <v>58.306889067362242</v>
      </c>
      <c r="AQ45" s="116">
        <f t="shared" si="74"/>
        <v>67.248425528676947</v>
      </c>
      <c r="AR45" s="116">
        <f t="shared" si="74"/>
        <v>68.246378889946797</v>
      </c>
      <c r="AS45" s="116">
        <f t="shared" si="74"/>
        <v>56.644903019269861</v>
      </c>
      <c r="AT45" s="116">
        <f t="shared" si="74"/>
        <v>76.723101001032376</v>
      </c>
      <c r="AU45" s="116">
        <f t="shared" si="74"/>
        <v>76.680651072885126</v>
      </c>
      <c r="AV45" s="116">
        <f t="shared" si="74"/>
        <v>75.941413590542069</v>
      </c>
      <c r="AW45" s="116">
        <f t="shared" si="74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3"/>
        <v>1.4251212014022208</v>
      </c>
      <c r="E46" s="10">
        <f t="shared" si="73"/>
        <v>1.4251212014022208</v>
      </c>
      <c r="F46" s="10">
        <f t="shared" si="73"/>
        <v>1.4251212014022208</v>
      </c>
      <c r="G46" s="10">
        <f t="shared" si="73"/>
        <v>1.0020383447359364</v>
      </c>
      <c r="H46" s="10">
        <f t="shared" si="73"/>
        <v>1.4251212014022208</v>
      </c>
      <c r="I46" s="10">
        <f t="shared" si="73"/>
        <v>1.4251212014022208</v>
      </c>
      <c r="J46" s="10">
        <f t="shared" si="73"/>
        <v>1.4251212014022208</v>
      </c>
      <c r="K46" s="10">
        <f t="shared" si="73"/>
        <v>1.4251212014022208</v>
      </c>
      <c r="L46" s="10">
        <f t="shared" si="73"/>
        <v>1.4251212014022208</v>
      </c>
      <c r="M46" s="10">
        <f t="shared" si="73"/>
        <v>0.35628030035055519</v>
      </c>
      <c r="N46" s="10">
        <f t="shared" si="73"/>
        <v>0.35628030035055519</v>
      </c>
      <c r="O46" s="10">
        <f t="shared" si="73"/>
        <v>1.4251212014022208</v>
      </c>
      <c r="P46" s="10">
        <f t="shared" si="73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41" t="s">
        <v>84</v>
      </c>
      <c r="C47" s="141"/>
      <c r="D47" s="144" t="s">
        <v>76</v>
      </c>
      <c r="E47" s="144"/>
      <c r="F47" s="144"/>
      <c r="G47" s="144" t="s">
        <v>77</v>
      </c>
      <c r="H47" s="144"/>
      <c r="I47" s="144"/>
      <c r="J47" s="144" t="s">
        <v>76</v>
      </c>
      <c r="K47" s="144"/>
      <c r="L47" s="144"/>
      <c r="M47" s="144" t="s">
        <v>77</v>
      </c>
      <c r="N47" s="144"/>
      <c r="O47" s="144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38" t="s">
        <v>72</v>
      </c>
      <c r="AL48" s="138"/>
      <c r="AM48" s="138"/>
      <c r="AN48" s="138"/>
      <c r="AO48" s="138"/>
      <c r="AP48" s="139"/>
      <c r="AQ48" s="140" t="s">
        <v>114</v>
      </c>
      <c r="AR48" s="138"/>
      <c r="AS48" s="138"/>
      <c r="AT48" s="138"/>
      <c r="AU48" s="138"/>
      <c r="AV48" s="139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5">D4/$G12</f>
        <v>7.1876325555032672</v>
      </c>
      <c r="E49" s="10">
        <f t="shared" si="75"/>
        <v>7.1876325555032672</v>
      </c>
      <c r="F49" s="10">
        <f t="shared" si="75"/>
        <v>7.1876325555032672</v>
      </c>
      <c r="G49" s="10">
        <f t="shared" si="75"/>
        <v>3.5938162777516336</v>
      </c>
      <c r="H49" s="10">
        <f t="shared" si="75"/>
        <v>7.1876325555032672</v>
      </c>
      <c r="I49" s="10">
        <f t="shared" si="75"/>
        <v>7.1876325555032672</v>
      </c>
      <c r="J49" s="10">
        <f t="shared" si="75"/>
        <v>2.5269020702941174</v>
      </c>
      <c r="K49" s="10">
        <f t="shared" si="75"/>
        <v>5.0538041405882348</v>
      </c>
      <c r="L49" s="10">
        <f t="shared" si="75"/>
        <v>5.0538041405882348</v>
      </c>
      <c r="M49" s="10">
        <f t="shared" si="75"/>
        <v>2.5269020702941174</v>
      </c>
      <c r="N49" s="10">
        <f t="shared" si="75"/>
        <v>2.5269020702941174</v>
      </c>
      <c r="O49" s="10">
        <f t="shared" si="75"/>
        <v>5.0538041405882348</v>
      </c>
      <c r="P49" s="10">
        <f t="shared" si="75"/>
        <v>5.0538041405882348</v>
      </c>
      <c r="R49" s="1"/>
      <c r="S49" s="10"/>
      <c r="T49" s="10"/>
      <c r="AI49" s="53"/>
      <c r="AK49" s="140" t="s">
        <v>76</v>
      </c>
      <c r="AL49" s="138"/>
      <c r="AM49" s="139"/>
      <c r="AN49" s="140" t="s">
        <v>77</v>
      </c>
      <c r="AO49" s="138"/>
      <c r="AP49" s="139"/>
      <c r="AQ49" s="140" t="s">
        <v>76</v>
      </c>
      <c r="AR49" s="138"/>
      <c r="AS49" s="139"/>
      <c r="AT49" s="140" t="s">
        <v>77</v>
      </c>
      <c r="AU49" s="138"/>
      <c r="AV49" s="139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6">D5/$G13</f>
        <v>#DIV/0!</v>
      </c>
      <c r="E50" s="10" t="e">
        <f t="shared" si="76"/>
        <v>#DIV/0!</v>
      </c>
      <c r="F50" s="10" t="e">
        <f t="shared" si="76"/>
        <v>#DIV/0!</v>
      </c>
      <c r="G50" s="10" t="e">
        <f t="shared" si="76"/>
        <v>#DIV/0!</v>
      </c>
      <c r="H50" s="10" t="e">
        <f t="shared" si="76"/>
        <v>#DIV/0!</v>
      </c>
      <c r="I50" s="10" t="e">
        <f t="shared" si="76"/>
        <v>#DIV/0!</v>
      </c>
      <c r="J50" s="10" t="e">
        <f t="shared" si="76"/>
        <v>#DIV/0!</v>
      </c>
      <c r="K50" s="10" t="e">
        <f t="shared" si="76"/>
        <v>#DIV/0!</v>
      </c>
      <c r="L50" s="10" t="e">
        <f t="shared" si="76"/>
        <v>#DIV/0!</v>
      </c>
      <c r="M50" s="10" t="e">
        <f t="shared" si="76"/>
        <v>#DIV/0!</v>
      </c>
      <c r="N50" s="10" t="e">
        <f t="shared" si="76"/>
        <v>#DIV/0!</v>
      </c>
      <c r="O50" s="10" t="e">
        <f t="shared" si="76"/>
        <v>#DIV/0!</v>
      </c>
      <c r="P50" s="10" t="e">
        <f t="shared" si="76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7">D6/$G14</f>
        <v>2.0566650131963571</v>
      </c>
      <c r="E51" s="10">
        <f t="shared" si="77"/>
        <v>2.0566650131963571</v>
      </c>
      <c r="F51" s="10">
        <f t="shared" si="77"/>
        <v>2.0566650131963571</v>
      </c>
      <c r="G51" s="10">
        <f t="shared" si="77"/>
        <v>0.72304629370184426</v>
      </c>
      <c r="H51" s="10">
        <f t="shared" si="77"/>
        <v>0.51416625329908927</v>
      </c>
      <c r="I51" s="10">
        <f t="shared" si="77"/>
        <v>2.0566650131963571</v>
      </c>
      <c r="J51" s="10">
        <f t="shared" si="77"/>
        <v>1.0283325065981785</v>
      </c>
      <c r="K51" s="10">
        <f t="shared" si="77"/>
        <v>2.0566650131963571</v>
      </c>
      <c r="L51" s="10">
        <f t="shared" si="77"/>
        <v>2.0566650131963571</v>
      </c>
      <c r="M51" s="10">
        <f t="shared" si="77"/>
        <v>1.0283325065981785</v>
      </c>
      <c r="N51" s="10">
        <f t="shared" si="77"/>
        <v>0.51416625329908927</v>
      </c>
      <c r="O51" s="10">
        <f t="shared" si="77"/>
        <v>0.51416625329908927</v>
      </c>
      <c r="P51" s="10">
        <f t="shared" si="77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8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9">D7/$G15</f>
        <v>#DIV/0!</v>
      </c>
      <c r="E52" s="10" t="e">
        <f t="shared" si="79"/>
        <v>#DIV/0!</v>
      </c>
      <c r="F52" s="10" t="e">
        <f t="shared" si="79"/>
        <v>#DIV/0!</v>
      </c>
      <c r="G52" s="10" t="e">
        <f t="shared" si="79"/>
        <v>#DIV/0!</v>
      </c>
      <c r="H52" s="10" t="e">
        <f t="shared" si="79"/>
        <v>#DIV/0!</v>
      </c>
      <c r="I52" s="10" t="e">
        <f t="shared" si="79"/>
        <v>#DIV/0!</v>
      </c>
      <c r="J52" s="10" t="e">
        <f t="shared" si="79"/>
        <v>#DIV/0!</v>
      </c>
      <c r="K52" s="10" t="e">
        <f t="shared" si="79"/>
        <v>#DIV/0!</v>
      </c>
      <c r="L52" s="10" t="e">
        <f t="shared" si="79"/>
        <v>#DIV/0!</v>
      </c>
      <c r="M52" s="10" t="e">
        <f t="shared" si="79"/>
        <v>#DIV/0!</v>
      </c>
      <c r="N52" s="10" t="e">
        <f t="shared" si="79"/>
        <v>#DIV/0!</v>
      </c>
      <c r="O52" s="10" t="e">
        <f t="shared" si="79"/>
        <v>#DIV/0!</v>
      </c>
      <c r="P52" s="10" t="e">
        <f t="shared" si="79"/>
        <v>#DIV/0!</v>
      </c>
      <c r="R52" s="1"/>
      <c r="S52" s="10"/>
      <c r="T52" s="10"/>
      <c r="AH52" s="137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80">MIN(AJ52:AW52)</f>
        <v>72.408742274298319</v>
      </c>
      <c r="AY52" s="116">
        <f t="shared" si="78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9"/>
        <v>6.3941127901411692</v>
      </c>
      <c r="E53" s="10">
        <f t="shared" si="79"/>
        <v>6.3941127901411692</v>
      </c>
      <c r="F53" s="10">
        <f t="shared" si="79"/>
        <v>6.3941127901411692</v>
      </c>
      <c r="G53" s="10">
        <f t="shared" si="79"/>
        <v>4.4958605555680098</v>
      </c>
      <c r="H53" s="10">
        <f t="shared" si="79"/>
        <v>6.3941127901411692</v>
      </c>
      <c r="I53" s="10">
        <f t="shared" si="79"/>
        <v>6.3941127901411692</v>
      </c>
      <c r="J53" s="10">
        <f t="shared" si="79"/>
        <v>6.3941127901411692</v>
      </c>
      <c r="K53" s="10">
        <f t="shared" si="79"/>
        <v>6.3941127901411692</v>
      </c>
      <c r="L53" s="10">
        <f t="shared" si="79"/>
        <v>6.3941127901411692</v>
      </c>
      <c r="M53" s="10">
        <f t="shared" si="79"/>
        <v>1.5985281975352923</v>
      </c>
      <c r="N53" s="10">
        <f t="shared" si="79"/>
        <v>1.5985281975352923</v>
      </c>
      <c r="O53" s="10">
        <f t="shared" si="79"/>
        <v>6.3941127901411692</v>
      </c>
      <c r="P53" s="10">
        <f t="shared" si="79"/>
        <v>6.3941127901411692</v>
      </c>
      <c r="R53" s="1"/>
      <c r="S53" s="10"/>
      <c r="T53" s="10"/>
      <c r="AH53" s="137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80"/>
        <v>36.260843486861781</v>
      </c>
      <c r="AY53" s="116">
        <f t="shared" si="78"/>
        <v>55.051421334488857</v>
      </c>
    </row>
    <row r="54" spans="2:51" x14ac:dyDescent="0.25">
      <c r="B54" s="141" t="s">
        <v>85</v>
      </c>
      <c r="C54" s="141"/>
      <c r="D54" s="144" t="s">
        <v>76</v>
      </c>
      <c r="E54" s="144"/>
      <c r="F54" s="144"/>
      <c r="G54" s="144" t="s">
        <v>77</v>
      </c>
      <c r="H54" s="144"/>
      <c r="I54" s="144"/>
      <c r="J54" s="144" t="s">
        <v>76</v>
      </c>
      <c r="K54" s="144"/>
      <c r="L54" s="144"/>
      <c r="M54" s="144" t="s">
        <v>77</v>
      </c>
      <c r="N54" s="144"/>
      <c r="O54" s="144"/>
      <c r="AH54" s="137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80"/>
        <v>9.0245672684626825</v>
      </c>
      <c r="AY54" s="116">
        <f t="shared" si="78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37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80"/>
        <v>75.569934627394332</v>
      </c>
      <c r="AY55" s="116">
        <f t="shared" si="78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1">D4/$H12</f>
        <v>5.4876681454371798</v>
      </c>
      <c r="E56" s="10">
        <f t="shared" si="81"/>
        <v>5.4876681454371798</v>
      </c>
      <c r="F56" s="10">
        <f t="shared" si="81"/>
        <v>5.4876681454371798</v>
      </c>
      <c r="G56" s="10">
        <f t="shared" si="81"/>
        <v>2.7438340727185899</v>
      </c>
      <c r="H56" s="10">
        <f t="shared" si="81"/>
        <v>5.4876681454371798</v>
      </c>
      <c r="I56" s="10">
        <f t="shared" si="81"/>
        <v>5.4876681454371798</v>
      </c>
      <c r="J56" s="10">
        <f t="shared" si="81"/>
        <v>1.9292583323802588</v>
      </c>
      <c r="K56" s="10">
        <f t="shared" si="81"/>
        <v>3.8585166647605176</v>
      </c>
      <c r="L56" s="10">
        <f t="shared" si="81"/>
        <v>3.8585166647605176</v>
      </c>
      <c r="M56" s="10">
        <f t="shared" si="81"/>
        <v>1.9292583323802588</v>
      </c>
      <c r="N56" s="10">
        <f t="shared" si="81"/>
        <v>1.9292583323802588</v>
      </c>
      <c r="O56" s="10">
        <f t="shared" si="81"/>
        <v>3.8585166647605176</v>
      </c>
      <c r="P56" s="10">
        <f t="shared" si="81"/>
        <v>3.8585166647605176</v>
      </c>
      <c r="R56" s="1"/>
      <c r="S56" s="10"/>
      <c r="T56" s="10"/>
      <c r="AH56" s="137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80"/>
        <v>35.018488100112151</v>
      </c>
      <c r="AY56" s="116">
        <f t="shared" si="78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2">D5/$H13</f>
        <v>11.50091557177068</v>
      </c>
      <c r="E57" s="10">
        <f t="shared" si="82"/>
        <v>23.001831143541359</v>
      </c>
      <c r="F57" s="10">
        <f t="shared" si="82"/>
        <v>23.001831143541359</v>
      </c>
      <c r="G57" s="10">
        <f t="shared" si="82"/>
        <v>5.7504577858853398</v>
      </c>
      <c r="H57" s="10">
        <f t="shared" si="82"/>
        <v>8.0865812614012587</v>
      </c>
      <c r="I57" s="10">
        <f t="shared" si="82"/>
        <v>23.001831143541359</v>
      </c>
      <c r="J57" s="10">
        <f t="shared" si="82"/>
        <v>11.50091557177068</v>
      </c>
      <c r="K57" s="10">
        <f t="shared" si="82"/>
        <v>11.50091557177068</v>
      </c>
      <c r="L57" s="10">
        <f t="shared" si="82"/>
        <v>23.001831143541359</v>
      </c>
      <c r="M57" s="10">
        <f t="shared" si="82"/>
        <v>5.7504577858853398</v>
      </c>
      <c r="N57" s="10">
        <f t="shared" si="82"/>
        <v>8.0865812614012587</v>
      </c>
      <c r="O57" s="10">
        <f t="shared" si="82"/>
        <v>11.50091557177068</v>
      </c>
      <c r="P57" s="10">
        <f t="shared" si="82"/>
        <v>8.0865812614012587</v>
      </c>
      <c r="R57" s="1"/>
      <c r="S57" s="10"/>
      <c r="T57" s="10"/>
      <c r="AH57" s="137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80"/>
        <v>20.403445396540359</v>
      </c>
      <c r="AY57" s="116">
        <f t="shared" si="78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3">D6/$H14</f>
        <v>1.7169151241533349</v>
      </c>
      <c r="E58" s="10">
        <f t="shared" si="83"/>
        <v>1.7169151241533349</v>
      </c>
      <c r="F58" s="10">
        <f t="shared" si="83"/>
        <v>1.7169151241533349</v>
      </c>
      <c r="G58" s="10">
        <f t="shared" si="83"/>
        <v>0.60360297333515678</v>
      </c>
      <c r="H58" s="10">
        <f t="shared" si="83"/>
        <v>0.42922878103833373</v>
      </c>
      <c r="I58" s="10">
        <f t="shared" si="83"/>
        <v>1.7169151241533349</v>
      </c>
      <c r="J58" s="10">
        <f t="shared" si="83"/>
        <v>0.85845756207666746</v>
      </c>
      <c r="K58" s="10">
        <f t="shared" si="83"/>
        <v>1.7169151241533349</v>
      </c>
      <c r="L58" s="10">
        <f t="shared" si="83"/>
        <v>1.7169151241533349</v>
      </c>
      <c r="M58" s="10">
        <f t="shared" si="83"/>
        <v>0.85845756207666746</v>
      </c>
      <c r="N58" s="10">
        <f t="shared" si="83"/>
        <v>0.42922878103833373</v>
      </c>
      <c r="O58" s="10">
        <f t="shared" si="83"/>
        <v>0.42922878103833373</v>
      </c>
      <c r="P58" s="10">
        <f t="shared" si="83"/>
        <v>0.85845756207666746</v>
      </c>
      <c r="R58" s="1"/>
      <c r="S58" s="10"/>
      <c r="T58" s="10"/>
      <c r="AH58" s="137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80"/>
        <v>83.626228021831423</v>
      </c>
      <c r="AY58" s="116">
        <f t="shared" si="78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4">D7/$H15</f>
        <v>23.001831143541359</v>
      </c>
      <c r="E59" s="10">
        <f t="shared" si="84"/>
        <v>23.001831143541359</v>
      </c>
      <c r="F59" s="10">
        <f t="shared" si="84"/>
        <v>23.001831143541359</v>
      </c>
      <c r="G59" s="10">
        <f t="shared" si="84"/>
        <v>5.7504577858853398</v>
      </c>
      <c r="H59" s="10">
        <f t="shared" si="84"/>
        <v>7.5474758439745084</v>
      </c>
      <c r="I59" s="10">
        <f t="shared" si="84"/>
        <v>23.001831143541359</v>
      </c>
      <c r="J59" s="10">
        <f t="shared" si="84"/>
        <v>23.001831143541359</v>
      </c>
      <c r="K59" s="10">
        <f t="shared" si="84"/>
        <v>23.001831143541359</v>
      </c>
      <c r="L59" s="10">
        <f t="shared" si="84"/>
        <v>23.001831143541359</v>
      </c>
      <c r="M59" s="10">
        <f t="shared" si="84"/>
        <v>23.001831143541359</v>
      </c>
      <c r="N59" s="10">
        <f t="shared" si="84"/>
        <v>11.50091557177068</v>
      </c>
      <c r="O59" s="10">
        <f t="shared" si="84"/>
        <v>5.7504577858853398</v>
      </c>
      <c r="P59" s="10">
        <f t="shared" si="84"/>
        <v>23.001831143541359</v>
      </c>
      <c r="R59" s="1"/>
      <c r="S59" s="10"/>
      <c r="T59" s="10"/>
      <c r="AH59" s="137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80"/>
        <v>49.103021502683013</v>
      </c>
      <c r="AY59" s="116">
        <f t="shared" si="78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5">D8/$H16</f>
        <v>2.1132018348086747</v>
      </c>
      <c r="E60" s="10">
        <f t="shared" si="85"/>
        <v>2.1132018348086747</v>
      </c>
      <c r="F60" s="10">
        <f t="shared" si="85"/>
        <v>2.1132018348086747</v>
      </c>
      <c r="G60" s="10">
        <f t="shared" si="85"/>
        <v>1.4858450400998495</v>
      </c>
      <c r="H60" s="10">
        <f t="shared" si="85"/>
        <v>2.1132018348086747</v>
      </c>
      <c r="I60" s="10">
        <f t="shared" si="85"/>
        <v>2.1132018348086747</v>
      </c>
      <c r="J60" s="10">
        <f t="shared" si="85"/>
        <v>2.1132018348086747</v>
      </c>
      <c r="K60" s="10">
        <f t="shared" si="85"/>
        <v>2.1132018348086747</v>
      </c>
      <c r="L60" s="10">
        <f t="shared" si="85"/>
        <v>2.1132018348086747</v>
      </c>
      <c r="M60" s="10">
        <f t="shared" si="85"/>
        <v>0.52830045870216868</v>
      </c>
      <c r="N60" s="10">
        <f t="shared" si="85"/>
        <v>0.52830045870216868</v>
      </c>
      <c r="O60" s="10">
        <f t="shared" si="85"/>
        <v>2.1132018348086747</v>
      </c>
      <c r="P60" s="10">
        <f t="shared" si="85"/>
        <v>2.1132018348086747</v>
      </c>
      <c r="R60" s="1"/>
      <c r="S60" s="10"/>
      <c r="T60" s="10"/>
      <c r="AH60" s="137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80"/>
        <v>27.773374503212679</v>
      </c>
      <c r="AY60" s="116">
        <f t="shared" si="78"/>
        <v>46.759214975065667</v>
      </c>
    </row>
    <row r="61" spans="2:51" x14ac:dyDescent="0.25">
      <c r="B61" s="141" t="s">
        <v>86</v>
      </c>
      <c r="C61" s="141"/>
      <c r="D61" s="144" t="s">
        <v>76</v>
      </c>
      <c r="E61" s="144"/>
      <c r="F61" s="144"/>
      <c r="G61" s="144" t="s">
        <v>77</v>
      </c>
      <c r="H61" s="144"/>
      <c r="I61" s="144"/>
      <c r="J61" s="144" t="s">
        <v>76</v>
      </c>
      <c r="K61" s="144"/>
      <c r="L61" s="144"/>
      <c r="M61" s="144" t="s">
        <v>77</v>
      </c>
      <c r="N61" s="144"/>
      <c r="O61" s="144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80"/>
        <v>65.794077210751595</v>
      </c>
      <c r="AY61" s="116">
        <f t="shared" si="78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80"/>
        <v>76.461237083728903</v>
      </c>
      <c r="AY62" s="116">
        <f t="shared" si="78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6">D4/$I12</f>
        <v>3.7282422779363467</v>
      </c>
      <c r="E63" s="10">
        <f t="shared" si="86"/>
        <v>3.7282422779363467</v>
      </c>
      <c r="F63" s="10">
        <f t="shared" si="86"/>
        <v>3.7282422779363467</v>
      </c>
      <c r="G63" s="10">
        <f t="shared" si="86"/>
        <v>1.8641211389681733</v>
      </c>
      <c r="H63" s="10">
        <f t="shared" si="86"/>
        <v>3.7282422779363467</v>
      </c>
      <c r="I63" s="10">
        <f t="shared" si="86"/>
        <v>3.7282422779363467</v>
      </c>
      <c r="J63" s="10">
        <f t="shared" si="86"/>
        <v>1.3107101758369968</v>
      </c>
      <c r="K63" s="10">
        <f t="shared" si="86"/>
        <v>2.6214203516739936</v>
      </c>
      <c r="L63" s="10">
        <f t="shared" si="86"/>
        <v>2.6214203516739936</v>
      </c>
      <c r="M63" s="10">
        <f t="shared" si="86"/>
        <v>1.3107101758369968</v>
      </c>
      <c r="N63" s="10">
        <f t="shared" si="86"/>
        <v>1.3107101758369968</v>
      </c>
      <c r="O63" s="10">
        <f t="shared" si="86"/>
        <v>2.6214203516739936</v>
      </c>
      <c r="P63" s="10">
        <f t="shared" si="86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7">MIN(AK51:AK62)</f>
        <v>41.725642706801288</v>
      </c>
      <c r="AL63" s="91">
        <f t="shared" si="87"/>
        <v>35.018488100112151</v>
      </c>
      <c r="AM63" s="91">
        <f t="shared" si="87"/>
        <v>35.018488100112151</v>
      </c>
      <c r="AN63" s="91">
        <f t="shared" si="87"/>
        <v>9.0245672684626825</v>
      </c>
      <c r="AO63" s="91">
        <f t="shared" si="87"/>
        <v>34.739787359495843</v>
      </c>
      <c r="AP63" s="91">
        <f t="shared" si="87"/>
        <v>35.018488100112151</v>
      </c>
      <c r="AQ63" s="91">
        <f t="shared" si="87"/>
        <v>41.836027588658929</v>
      </c>
      <c r="AR63" s="91">
        <f t="shared" si="87"/>
        <v>42.949785822789458</v>
      </c>
      <c r="AS63" s="91">
        <f t="shared" si="87"/>
        <v>36.4684706526822</v>
      </c>
      <c r="AT63" s="91">
        <f t="shared" si="87"/>
        <v>31.896919649353393</v>
      </c>
      <c r="AU63" s="91">
        <f t="shared" si="87"/>
        <v>17.333373815021766</v>
      </c>
      <c r="AV63" s="91">
        <f t="shared" si="87"/>
        <v>28.545108774519317</v>
      </c>
      <c r="AW63" s="91">
        <f t="shared" si="87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8">D5/$I13</f>
        <v>5.1495928342935233</v>
      </c>
      <c r="E64" s="10">
        <f t="shared" si="88"/>
        <v>10.299185668587047</v>
      </c>
      <c r="F64" s="10">
        <f t="shared" si="88"/>
        <v>10.299185668587047</v>
      </c>
      <c r="G64" s="10">
        <f t="shared" si="88"/>
        <v>2.5747964171467617</v>
      </c>
      <c r="H64" s="10">
        <f t="shared" si="88"/>
        <v>3.6208074616126336</v>
      </c>
      <c r="I64" s="10">
        <f t="shared" si="88"/>
        <v>10.299185668587047</v>
      </c>
      <c r="J64" s="10">
        <f t="shared" si="88"/>
        <v>5.1495928342935233</v>
      </c>
      <c r="K64" s="10">
        <f t="shared" si="88"/>
        <v>5.1495928342935233</v>
      </c>
      <c r="L64" s="10">
        <f t="shared" si="88"/>
        <v>10.299185668587047</v>
      </c>
      <c r="M64" s="10">
        <f t="shared" si="88"/>
        <v>2.5747964171467617</v>
      </c>
      <c r="N64" s="10">
        <f t="shared" si="88"/>
        <v>3.6208074616126336</v>
      </c>
      <c r="O64" s="10">
        <f t="shared" si="88"/>
        <v>5.1495928342935233</v>
      </c>
      <c r="P64" s="10">
        <f t="shared" si="88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9">D6/$I14</f>
        <v>2.0972950979956071</v>
      </c>
      <c r="E65" s="10">
        <f t="shared" si="89"/>
        <v>2.0972950979956071</v>
      </c>
      <c r="F65" s="10">
        <f t="shared" si="89"/>
        <v>2.0972950979956071</v>
      </c>
      <c r="G65" s="10">
        <f t="shared" si="89"/>
        <v>0.73733030788908061</v>
      </c>
      <c r="H65" s="10">
        <f t="shared" si="89"/>
        <v>0.52432377449890177</v>
      </c>
      <c r="I65" s="10">
        <f t="shared" si="89"/>
        <v>2.0972950979956071</v>
      </c>
      <c r="J65" s="10">
        <f t="shared" si="89"/>
        <v>1.0486475489978035</v>
      </c>
      <c r="K65" s="10">
        <f t="shared" si="89"/>
        <v>2.0972950979956071</v>
      </c>
      <c r="L65" s="10">
        <f t="shared" si="89"/>
        <v>2.0972950979956071</v>
      </c>
      <c r="M65" s="10">
        <f t="shared" si="89"/>
        <v>1.0486475489978035</v>
      </c>
      <c r="N65" s="10">
        <f t="shared" si="89"/>
        <v>0.52432377449890177</v>
      </c>
      <c r="O65" s="10">
        <f t="shared" si="89"/>
        <v>0.52432377449890177</v>
      </c>
      <c r="P65" s="10">
        <f t="shared" si="89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90">D7/$I15</f>
        <v>10.299185668587047</v>
      </c>
      <c r="E66" s="10">
        <f t="shared" si="90"/>
        <v>10.299185668587047</v>
      </c>
      <c r="F66" s="10">
        <f t="shared" si="90"/>
        <v>10.299185668587047</v>
      </c>
      <c r="G66" s="10">
        <f t="shared" si="90"/>
        <v>2.5747964171467617</v>
      </c>
      <c r="H66" s="10">
        <f t="shared" si="90"/>
        <v>3.3794202975051246</v>
      </c>
      <c r="I66" s="10">
        <f t="shared" si="90"/>
        <v>10.299185668587047</v>
      </c>
      <c r="J66" s="10">
        <f t="shared" si="90"/>
        <v>10.299185668587047</v>
      </c>
      <c r="K66" s="10">
        <f t="shared" si="90"/>
        <v>10.299185668587047</v>
      </c>
      <c r="L66" s="10">
        <f t="shared" si="90"/>
        <v>10.299185668587047</v>
      </c>
      <c r="M66" s="10">
        <f t="shared" si="90"/>
        <v>10.299185668587047</v>
      </c>
      <c r="N66" s="10">
        <f t="shared" si="90"/>
        <v>5.1495928342935233</v>
      </c>
      <c r="O66" s="10">
        <f t="shared" si="90"/>
        <v>2.5747964171467617</v>
      </c>
      <c r="P66" s="10">
        <f t="shared" si="90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91">D8/$I16</f>
        <v>1.8828059701578179</v>
      </c>
      <c r="E67" s="10">
        <f t="shared" si="91"/>
        <v>1.8828059701578179</v>
      </c>
      <c r="F67" s="10">
        <f t="shared" si="91"/>
        <v>1.8828059701578179</v>
      </c>
      <c r="G67" s="10">
        <f t="shared" si="91"/>
        <v>1.3238479477672156</v>
      </c>
      <c r="H67" s="10">
        <f t="shared" si="91"/>
        <v>1.8828059701578179</v>
      </c>
      <c r="I67" s="10">
        <f t="shared" si="91"/>
        <v>1.8828059701578179</v>
      </c>
      <c r="J67" s="10">
        <f t="shared" si="91"/>
        <v>1.8828059701578179</v>
      </c>
      <c r="K67" s="10">
        <f t="shared" si="91"/>
        <v>1.8828059701578179</v>
      </c>
      <c r="L67" s="10">
        <f t="shared" si="91"/>
        <v>1.8828059701578179</v>
      </c>
      <c r="M67" s="10">
        <f t="shared" si="91"/>
        <v>0.47070149253945448</v>
      </c>
      <c r="N67" s="10">
        <f t="shared" si="91"/>
        <v>0.47070149253945448</v>
      </c>
      <c r="O67" s="10">
        <f t="shared" si="91"/>
        <v>1.8828059701578179</v>
      </c>
      <c r="P67" s="10">
        <f t="shared" si="91"/>
        <v>1.8828059701578179</v>
      </c>
      <c r="R67" s="1"/>
      <c r="S67" s="10"/>
      <c r="T67" s="10"/>
    </row>
    <row r="68" spans="2:20" x14ac:dyDescent="0.25">
      <c r="B68" s="141" t="s">
        <v>87</v>
      </c>
      <c r="C68" s="141"/>
      <c r="D68" s="144" t="s">
        <v>76</v>
      </c>
      <c r="E68" s="144"/>
      <c r="F68" s="144"/>
      <c r="G68" s="144" t="s">
        <v>77</v>
      </c>
      <c r="H68" s="144"/>
      <c r="I68" s="144"/>
      <c r="J68" s="144" t="s">
        <v>76</v>
      </c>
      <c r="K68" s="144"/>
      <c r="L68" s="144"/>
      <c r="M68" s="144" t="s">
        <v>77</v>
      </c>
      <c r="N68" s="144"/>
      <c r="O68" s="144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2">D4/$J12</f>
        <v>9.4416059702706825</v>
      </c>
      <c r="E70" s="10">
        <f t="shared" si="92"/>
        <v>9.4416059702706825</v>
      </c>
      <c r="F70" s="10">
        <f t="shared" si="92"/>
        <v>9.4416059702706825</v>
      </c>
      <c r="G70" s="10">
        <f t="shared" si="92"/>
        <v>4.7208029851353412</v>
      </c>
      <c r="H70" s="10">
        <f t="shared" si="92"/>
        <v>9.4416059702706825</v>
      </c>
      <c r="I70" s="10">
        <f t="shared" si="92"/>
        <v>9.4416059702706825</v>
      </c>
      <c r="J70" s="10">
        <f t="shared" si="92"/>
        <v>3.3193145989232873</v>
      </c>
      <c r="K70" s="10">
        <f t="shared" si="92"/>
        <v>6.6386291978465746</v>
      </c>
      <c r="L70" s="10">
        <f t="shared" si="92"/>
        <v>6.6386291978465746</v>
      </c>
      <c r="M70" s="10">
        <f t="shared" si="92"/>
        <v>3.3193145989232873</v>
      </c>
      <c r="N70" s="10">
        <f t="shared" si="92"/>
        <v>3.3193145989232873</v>
      </c>
      <c r="O70" s="10">
        <f t="shared" si="92"/>
        <v>6.6386291978465746</v>
      </c>
      <c r="P70" s="10">
        <f t="shared" si="92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3">D5/$J13</f>
        <v>#DIV/0!</v>
      </c>
      <c r="E71" s="10" t="e">
        <f t="shared" si="93"/>
        <v>#DIV/0!</v>
      </c>
      <c r="F71" s="10" t="e">
        <f t="shared" si="93"/>
        <v>#DIV/0!</v>
      </c>
      <c r="G71" s="10" t="e">
        <f t="shared" si="93"/>
        <v>#DIV/0!</v>
      </c>
      <c r="H71" s="10" t="e">
        <f t="shared" si="93"/>
        <v>#DIV/0!</v>
      </c>
      <c r="I71" s="10" t="e">
        <f t="shared" si="93"/>
        <v>#DIV/0!</v>
      </c>
      <c r="J71" s="10" t="e">
        <f t="shared" si="93"/>
        <v>#DIV/0!</v>
      </c>
      <c r="K71" s="10" t="e">
        <f t="shared" si="93"/>
        <v>#DIV/0!</v>
      </c>
      <c r="L71" s="10" t="e">
        <f t="shared" si="93"/>
        <v>#DIV/0!</v>
      </c>
      <c r="M71" s="10" t="e">
        <f t="shared" si="93"/>
        <v>#DIV/0!</v>
      </c>
      <c r="N71" s="10" t="e">
        <f t="shared" si="93"/>
        <v>#DIV/0!</v>
      </c>
      <c r="O71" s="10" t="e">
        <f t="shared" si="93"/>
        <v>#DIV/0!</v>
      </c>
      <c r="P71" s="10" t="e">
        <f t="shared" si="93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4">D6/$J14</f>
        <v>8.8094072600960853</v>
      </c>
      <c r="E72" s="10">
        <f t="shared" si="94"/>
        <v>8.8094072600960853</v>
      </c>
      <c r="F72" s="10">
        <f t="shared" si="94"/>
        <v>8.8094072600960853</v>
      </c>
      <c r="G72" s="10">
        <f t="shared" si="94"/>
        <v>3.0970572398775302</v>
      </c>
      <c r="H72" s="10">
        <f t="shared" si="94"/>
        <v>2.2023518150240213</v>
      </c>
      <c r="I72" s="10">
        <f t="shared" si="94"/>
        <v>8.8094072600960853</v>
      </c>
      <c r="J72" s="10">
        <f t="shared" si="94"/>
        <v>4.4047036300480427</v>
      </c>
      <c r="K72" s="10">
        <f t="shared" si="94"/>
        <v>8.8094072600960853</v>
      </c>
      <c r="L72" s="10">
        <f t="shared" si="94"/>
        <v>8.8094072600960853</v>
      </c>
      <c r="M72" s="10">
        <f t="shared" si="94"/>
        <v>4.4047036300480427</v>
      </c>
      <c r="N72" s="10">
        <f t="shared" si="94"/>
        <v>2.2023518150240213</v>
      </c>
      <c r="O72" s="10">
        <f t="shared" si="94"/>
        <v>2.2023518150240213</v>
      </c>
      <c r="P72" s="10">
        <f t="shared" si="94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5">D7/$J15</f>
        <v>#DIV/0!</v>
      </c>
      <c r="E73" s="10" t="e">
        <f t="shared" si="95"/>
        <v>#DIV/0!</v>
      </c>
      <c r="F73" s="10" t="e">
        <f t="shared" si="95"/>
        <v>#DIV/0!</v>
      </c>
      <c r="G73" s="10" t="e">
        <f t="shared" si="95"/>
        <v>#DIV/0!</v>
      </c>
      <c r="H73" s="10" t="e">
        <f t="shared" si="95"/>
        <v>#DIV/0!</v>
      </c>
      <c r="I73" s="10" t="e">
        <f t="shared" si="95"/>
        <v>#DIV/0!</v>
      </c>
      <c r="J73" s="10" t="e">
        <f t="shared" si="95"/>
        <v>#DIV/0!</v>
      </c>
      <c r="K73" s="10" t="e">
        <f t="shared" si="95"/>
        <v>#DIV/0!</v>
      </c>
      <c r="L73" s="10" t="e">
        <f t="shared" si="95"/>
        <v>#DIV/0!</v>
      </c>
      <c r="M73" s="10" t="e">
        <f t="shared" si="95"/>
        <v>#DIV/0!</v>
      </c>
      <c r="N73" s="10" t="e">
        <f t="shared" si="95"/>
        <v>#DIV/0!</v>
      </c>
      <c r="O73" s="10" t="e">
        <f t="shared" si="95"/>
        <v>#DIV/0!</v>
      </c>
      <c r="P73" s="10" t="e">
        <f t="shared" si="95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5"/>
        <v>#DIV/0!</v>
      </c>
      <c r="E74" s="10" t="e">
        <f t="shared" si="95"/>
        <v>#DIV/0!</v>
      </c>
      <c r="F74" s="10" t="e">
        <f t="shared" si="95"/>
        <v>#DIV/0!</v>
      </c>
      <c r="G74" s="10" t="e">
        <f t="shared" si="95"/>
        <v>#DIV/0!</v>
      </c>
      <c r="H74" s="10" t="e">
        <f t="shared" si="95"/>
        <v>#DIV/0!</v>
      </c>
      <c r="I74" s="10" t="e">
        <f t="shared" si="95"/>
        <v>#DIV/0!</v>
      </c>
      <c r="J74" s="10" t="e">
        <f t="shared" si="95"/>
        <v>#DIV/0!</v>
      </c>
      <c r="K74" s="10" t="e">
        <f t="shared" si="95"/>
        <v>#DIV/0!</v>
      </c>
      <c r="L74" s="10" t="e">
        <f t="shared" si="95"/>
        <v>#DIV/0!</v>
      </c>
      <c r="M74" s="10" t="e">
        <f t="shared" si="95"/>
        <v>#DIV/0!</v>
      </c>
      <c r="N74" s="10" t="e">
        <f t="shared" si="95"/>
        <v>#DIV/0!</v>
      </c>
      <c r="O74" s="10" t="e">
        <f t="shared" si="95"/>
        <v>#DIV/0!</v>
      </c>
      <c r="P74" s="10" t="e">
        <f t="shared" si="95"/>
        <v>#DIV/0!</v>
      </c>
      <c r="R74" s="1"/>
      <c r="S74" s="10"/>
      <c r="T74" s="10"/>
    </row>
    <row r="75" spans="2:20" x14ac:dyDescent="0.25">
      <c r="B75" s="141" t="s">
        <v>88</v>
      </c>
      <c r="C75" s="141"/>
      <c r="D75" s="144" t="s">
        <v>76</v>
      </c>
      <c r="E75" s="144"/>
      <c r="F75" s="144"/>
      <c r="G75" s="144" t="s">
        <v>77</v>
      </c>
      <c r="H75" s="144"/>
      <c r="I75" s="144"/>
      <c r="J75" s="144" t="s">
        <v>76</v>
      </c>
      <c r="K75" s="144"/>
      <c r="L75" s="144"/>
      <c r="M75" s="144" t="s">
        <v>77</v>
      </c>
      <c r="N75" s="144"/>
      <c r="O75" s="144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6">D4/$K12</f>
        <v>10.169689505672121</v>
      </c>
      <c r="E77" s="10">
        <f t="shared" si="96"/>
        <v>10.169689505672121</v>
      </c>
      <c r="F77" s="10">
        <f t="shared" si="96"/>
        <v>10.169689505672121</v>
      </c>
      <c r="G77" s="10">
        <f t="shared" si="96"/>
        <v>5.0848447528360605</v>
      </c>
      <c r="H77" s="10">
        <f t="shared" si="96"/>
        <v>10.169689505672121</v>
      </c>
      <c r="I77" s="10">
        <f t="shared" si="96"/>
        <v>10.169689505672121</v>
      </c>
      <c r="J77" s="10">
        <f t="shared" si="96"/>
        <v>3.575281466837855</v>
      </c>
      <c r="K77" s="10">
        <f t="shared" si="96"/>
        <v>7.1505629336757099</v>
      </c>
      <c r="L77" s="10">
        <f t="shared" si="96"/>
        <v>7.1505629336757099</v>
      </c>
      <c r="M77" s="10">
        <f t="shared" si="96"/>
        <v>3.575281466837855</v>
      </c>
      <c r="N77" s="10">
        <f t="shared" si="96"/>
        <v>3.575281466837855</v>
      </c>
      <c r="O77" s="10">
        <f t="shared" si="96"/>
        <v>7.1505629336757099</v>
      </c>
      <c r="P77" s="10">
        <f t="shared" si="96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7">D5/$K13</f>
        <v>41.739443386210553</v>
      </c>
      <c r="E78" s="10">
        <f t="shared" si="97"/>
        <v>83.478886772421106</v>
      </c>
      <c r="F78" s="10">
        <f t="shared" si="97"/>
        <v>83.478886772421106</v>
      </c>
      <c r="G78" s="10">
        <f t="shared" si="97"/>
        <v>20.869721693105276</v>
      </c>
      <c r="H78" s="10">
        <f t="shared" si="97"/>
        <v>29.348046130929298</v>
      </c>
      <c r="I78" s="10">
        <f t="shared" si="97"/>
        <v>83.478886772421106</v>
      </c>
      <c r="J78" s="10">
        <f t="shared" si="97"/>
        <v>41.739443386210553</v>
      </c>
      <c r="K78" s="10">
        <f t="shared" si="97"/>
        <v>41.739443386210553</v>
      </c>
      <c r="L78" s="10">
        <f t="shared" si="97"/>
        <v>83.478886772421106</v>
      </c>
      <c r="M78" s="10">
        <f t="shared" si="97"/>
        <v>20.869721693105276</v>
      </c>
      <c r="N78" s="10">
        <f t="shared" si="97"/>
        <v>29.348046130929298</v>
      </c>
      <c r="O78" s="10">
        <f t="shared" si="97"/>
        <v>41.739443386210553</v>
      </c>
      <c r="P78" s="10">
        <f t="shared" si="97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8">D6/$K14</f>
        <v>12.261124953991189</v>
      </c>
      <c r="E79" s="10">
        <f t="shared" si="98"/>
        <v>12.261124953991189</v>
      </c>
      <c r="F79" s="10">
        <f t="shared" si="98"/>
        <v>12.261124953991189</v>
      </c>
      <c r="G79" s="10">
        <f t="shared" si="98"/>
        <v>4.3105517416375276</v>
      </c>
      <c r="H79" s="10">
        <f t="shared" si="98"/>
        <v>3.0652812384977972</v>
      </c>
      <c r="I79" s="10">
        <f t="shared" si="98"/>
        <v>12.261124953991189</v>
      </c>
      <c r="J79" s="10">
        <f t="shared" si="98"/>
        <v>6.1305624769955944</v>
      </c>
      <c r="K79" s="10">
        <f t="shared" si="98"/>
        <v>12.261124953991189</v>
      </c>
      <c r="L79" s="10">
        <f t="shared" si="98"/>
        <v>12.261124953991189</v>
      </c>
      <c r="M79" s="10">
        <f t="shared" si="98"/>
        <v>6.1305624769955944</v>
      </c>
      <c r="N79" s="10">
        <f t="shared" si="98"/>
        <v>3.0652812384977972</v>
      </c>
      <c r="O79" s="10">
        <f t="shared" si="98"/>
        <v>3.0652812384977972</v>
      </c>
      <c r="P79" s="10">
        <f t="shared" si="98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9">D7/$K15</f>
        <v>2601.4376194804681</v>
      </c>
      <c r="E80" s="10">
        <f t="shared" si="99"/>
        <v>2601.4376194804681</v>
      </c>
      <c r="F80" s="10">
        <f t="shared" si="99"/>
        <v>2601.4376194804681</v>
      </c>
      <c r="G80" s="10">
        <f t="shared" si="99"/>
        <v>650.35940487011703</v>
      </c>
      <c r="H80" s="10">
        <f t="shared" si="99"/>
        <v>853.59671889202866</v>
      </c>
      <c r="I80" s="10">
        <f t="shared" si="99"/>
        <v>2601.4376194804681</v>
      </c>
      <c r="J80" s="10">
        <f t="shared" si="99"/>
        <v>2601.4376194804681</v>
      </c>
      <c r="K80" s="10">
        <f t="shared" si="99"/>
        <v>2601.4376194804681</v>
      </c>
      <c r="L80" s="10">
        <f t="shared" si="99"/>
        <v>2601.4376194804681</v>
      </c>
      <c r="M80" s="10">
        <f t="shared" si="99"/>
        <v>2601.4376194804681</v>
      </c>
      <c r="N80" s="10">
        <f t="shared" si="99"/>
        <v>1300.7188097402341</v>
      </c>
      <c r="O80" s="10">
        <f t="shared" si="99"/>
        <v>650.35940487011703</v>
      </c>
      <c r="P80" s="10">
        <f t="shared" si="99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100">D8/$K16</f>
        <v>15.796580034984405</v>
      </c>
      <c r="E81" s="10">
        <f t="shared" si="100"/>
        <v>15.796580034984405</v>
      </c>
      <c r="F81" s="10">
        <f t="shared" si="100"/>
        <v>15.796580034984405</v>
      </c>
      <c r="G81" s="10">
        <f t="shared" si="100"/>
        <v>11.10697033709841</v>
      </c>
      <c r="H81" s="10">
        <f t="shared" si="100"/>
        <v>15.796580034984405</v>
      </c>
      <c r="I81" s="10">
        <f t="shared" si="100"/>
        <v>15.796580034984405</v>
      </c>
      <c r="J81" s="10">
        <f t="shared" si="100"/>
        <v>15.796580034984405</v>
      </c>
      <c r="K81" s="10">
        <f t="shared" si="100"/>
        <v>15.796580034984405</v>
      </c>
      <c r="L81" s="10">
        <f t="shared" si="100"/>
        <v>15.796580034984405</v>
      </c>
      <c r="M81" s="10">
        <f t="shared" si="100"/>
        <v>3.9491450087461013</v>
      </c>
      <c r="N81" s="10">
        <f t="shared" si="100"/>
        <v>3.9491450087461013</v>
      </c>
      <c r="O81" s="10">
        <f t="shared" si="100"/>
        <v>15.796580034984405</v>
      </c>
      <c r="P81" s="10">
        <f t="shared" si="100"/>
        <v>15.796580034984405</v>
      </c>
      <c r="R81" s="1"/>
      <c r="S81" s="10"/>
      <c r="T81" s="10"/>
    </row>
    <row r="82" spans="2:20" x14ac:dyDescent="0.25">
      <c r="B82" s="141" t="s">
        <v>89</v>
      </c>
      <c r="C82" s="141"/>
      <c r="D82" s="144" t="s">
        <v>76</v>
      </c>
      <c r="E82" s="144"/>
      <c r="F82" s="144"/>
      <c r="G82" s="144" t="s">
        <v>77</v>
      </c>
      <c r="H82" s="144"/>
      <c r="I82" s="144"/>
      <c r="J82" s="144" t="s">
        <v>76</v>
      </c>
      <c r="K82" s="144"/>
      <c r="L82" s="144"/>
      <c r="M82" s="144" t="s">
        <v>77</v>
      </c>
      <c r="N82" s="144"/>
      <c r="O82" s="144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1">E4/$L12</f>
        <v>7.9466189524478938</v>
      </c>
      <c r="F84" s="10">
        <f t="shared" si="101"/>
        <v>7.9466189524478938</v>
      </c>
      <c r="G84" s="10">
        <f t="shared" si="101"/>
        <v>3.9733094762239469</v>
      </c>
      <c r="H84" s="10">
        <f t="shared" si="101"/>
        <v>7.9466189524478938</v>
      </c>
      <c r="I84" s="10">
        <f t="shared" si="101"/>
        <v>7.9466189524478938</v>
      </c>
      <c r="J84" s="10">
        <f t="shared" si="101"/>
        <v>2.7937332254699627</v>
      </c>
      <c r="K84" s="10">
        <f t="shared" si="101"/>
        <v>5.5874664509399254</v>
      </c>
      <c r="L84" s="10">
        <f t="shared" si="101"/>
        <v>5.5874664509399254</v>
      </c>
      <c r="M84" s="10">
        <f t="shared" si="101"/>
        <v>2.7937332254699627</v>
      </c>
      <c r="N84" s="10">
        <f t="shared" si="101"/>
        <v>2.7937332254699627</v>
      </c>
      <c r="O84" s="10">
        <f t="shared" si="101"/>
        <v>5.5874664509399254</v>
      </c>
      <c r="P84" s="10">
        <f t="shared" si="101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2">E5/$L13</f>
        <v>59.223509414902317</v>
      </c>
      <c r="F85" s="10">
        <f t="shared" si="102"/>
        <v>59.223509414902317</v>
      </c>
      <c r="G85" s="10">
        <f t="shared" si="102"/>
        <v>14.805877353725579</v>
      </c>
      <c r="H85" s="10">
        <f t="shared" si="102"/>
        <v>20.820765028676597</v>
      </c>
      <c r="I85" s="10">
        <f t="shared" si="102"/>
        <v>59.223509414902317</v>
      </c>
      <c r="J85" s="10">
        <f t="shared" si="102"/>
        <v>29.611754707451158</v>
      </c>
      <c r="K85" s="10">
        <f t="shared" si="102"/>
        <v>29.611754707451158</v>
      </c>
      <c r="L85" s="10">
        <f t="shared" si="102"/>
        <v>59.223509414902317</v>
      </c>
      <c r="M85" s="10">
        <f t="shared" si="102"/>
        <v>14.805877353725579</v>
      </c>
      <c r="N85" s="10">
        <f t="shared" si="102"/>
        <v>20.820765028676597</v>
      </c>
      <c r="O85" s="10">
        <f t="shared" si="102"/>
        <v>29.611754707451158</v>
      </c>
      <c r="P85" s="10">
        <f t="shared" si="102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3">D6/$L14</f>
        <v>37.913240969261771</v>
      </c>
      <c r="E86" s="10">
        <f t="shared" si="103"/>
        <v>37.913240969261771</v>
      </c>
      <c r="F86" s="10">
        <f t="shared" si="103"/>
        <v>37.913240969261771</v>
      </c>
      <c r="G86" s="10">
        <f t="shared" si="103"/>
        <v>13.328873778256092</v>
      </c>
      <c r="H86" s="10">
        <f t="shared" si="103"/>
        <v>9.4783102423154428</v>
      </c>
      <c r="I86" s="10">
        <f t="shared" si="103"/>
        <v>37.913240969261771</v>
      </c>
      <c r="J86" s="10">
        <f t="shared" si="103"/>
        <v>18.956620484630886</v>
      </c>
      <c r="K86" s="10">
        <f t="shared" si="103"/>
        <v>37.913240969261771</v>
      </c>
      <c r="L86" s="10">
        <f t="shared" si="103"/>
        <v>37.913240969261771</v>
      </c>
      <c r="M86" s="10">
        <f t="shared" si="103"/>
        <v>18.956620484630886</v>
      </c>
      <c r="N86" s="10">
        <f t="shared" si="103"/>
        <v>9.4783102423154428</v>
      </c>
      <c r="O86" s="10">
        <f t="shared" si="103"/>
        <v>9.4783102423154428</v>
      </c>
      <c r="P86" s="10">
        <f t="shared" si="103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4">D7/$L15</f>
        <v>7877.0341830658108</v>
      </c>
      <c r="E87" s="10">
        <f t="shared" si="104"/>
        <v>7877.0341830658108</v>
      </c>
      <c r="F87" s="10">
        <f t="shared" si="104"/>
        <v>7877.0341830658108</v>
      </c>
      <c r="G87" s="10">
        <f t="shared" si="104"/>
        <v>1969.2585457664527</v>
      </c>
      <c r="H87" s="10">
        <f t="shared" si="104"/>
        <v>2584.651841318469</v>
      </c>
      <c r="I87" s="10">
        <f t="shared" si="104"/>
        <v>7877.0341830658108</v>
      </c>
      <c r="J87" s="10">
        <f t="shared" si="104"/>
        <v>7877.0341830658108</v>
      </c>
      <c r="K87" s="10">
        <f t="shared" si="104"/>
        <v>7877.0341830658108</v>
      </c>
      <c r="L87" s="10">
        <f t="shared" si="104"/>
        <v>7877.0341830658108</v>
      </c>
      <c r="M87" s="10">
        <f t="shared" si="104"/>
        <v>7877.0341830658108</v>
      </c>
      <c r="N87" s="10">
        <f t="shared" si="104"/>
        <v>3938.5170915329054</v>
      </c>
      <c r="O87" s="10">
        <f t="shared" si="104"/>
        <v>1969.2585457664527</v>
      </c>
      <c r="P87" s="10">
        <f t="shared" si="104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4"/>
        <v>28.267820246360252</v>
      </c>
      <c r="E88" s="10">
        <f t="shared" si="104"/>
        <v>28.267820246360252</v>
      </c>
      <c r="F88" s="10">
        <f t="shared" si="104"/>
        <v>28.267820246360252</v>
      </c>
      <c r="G88" s="10">
        <f t="shared" si="104"/>
        <v>19.875811110722051</v>
      </c>
      <c r="H88" s="10">
        <f t="shared" si="104"/>
        <v>28.267820246360252</v>
      </c>
      <c r="I88" s="10">
        <f t="shared" si="104"/>
        <v>28.267820246360252</v>
      </c>
      <c r="J88" s="10">
        <f t="shared" si="104"/>
        <v>28.267820246360252</v>
      </c>
      <c r="K88" s="10">
        <f t="shared" si="104"/>
        <v>28.267820246360252</v>
      </c>
      <c r="L88" s="10">
        <f t="shared" si="104"/>
        <v>28.267820246360252</v>
      </c>
      <c r="M88" s="10">
        <f t="shared" si="104"/>
        <v>7.0669550615900629</v>
      </c>
      <c r="N88" s="10">
        <f t="shared" si="104"/>
        <v>7.0669550615900629</v>
      </c>
      <c r="O88" s="10">
        <f t="shared" si="104"/>
        <v>28.267820246360252</v>
      </c>
      <c r="P88" s="10">
        <f t="shared" si="104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41" t="s">
        <v>68</v>
      </c>
      <c r="C90" s="141"/>
      <c r="D90" s="144" t="s">
        <v>76</v>
      </c>
      <c r="E90" s="144"/>
      <c r="F90" s="144"/>
      <c r="G90" s="144" t="s">
        <v>77</v>
      </c>
      <c r="H90" s="144"/>
      <c r="I90" s="144"/>
      <c r="J90" s="144" t="s">
        <v>76</v>
      </c>
      <c r="K90" s="144"/>
      <c r="L90" s="144"/>
      <c r="M90" s="144" t="s">
        <v>77</v>
      </c>
      <c r="N90" s="144"/>
      <c r="O90" s="144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5">D4/$M12</f>
        <v>12.216507147259433</v>
      </c>
      <c r="E92" s="10">
        <f t="shared" si="105"/>
        <v>12.216507147259433</v>
      </c>
      <c r="F92" s="10">
        <f t="shared" si="105"/>
        <v>12.216507147259433</v>
      </c>
      <c r="G92" s="10">
        <f t="shared" si="105"/>
        <v>6.1082535736297165</v>
      </c>
      <c r="H92" s="10">
        <f t="shared" si="105"/>
        <v>12.216507147259433</v>
      </c>
      <c r="I92" s="10">
        <f t="shared" si="105"/>
        <v>12.216507147259433</v>
      </c>
      <c r="J92" s="10">
        <f t="shared" si="105"/>
        <v>4.2948657939583947</v>
      </c>
      <c r="K92" s="10">
        <f t="shared" si="105"/>
        <v>8.5897315879167895</v>
      </c>
      <c r="L92" s="10">
        <f t="shared" si="105"/>
        <v>8.5897315879167895</v>
      </c>
      <c r="M92" s="10">
        <f t="shared" si="105"/>
        <v>4.2948657939583947</v>
      </c>
      <c r="N92" s="10">
        <f t="shared" si="105"/>
        <v>4.2948657939583947</v>
      </c>
      <c r="O92" s="10">
        <f t="shared" si="105"/>
        <v>8.5897315879167895</v>
      </c>
      <c r="P92" s="10">
        <f t="shared" si="10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6">C5/$M13</f>
        <v>14.183396008204982</v>
      </c>
      <c r="D93" s="10">
        <f t="shared" si="106"/>
        <v>14.183396008204982</v>
      </c>
      <c r="E93" s="10">
        <f t="shared" si="106"/>
        <v>28.366792016409963</v>
      </c>
      <c r="F93" s="10">
        <f t="shared" si="106"/>
        <v>28.366792016409963</v>
      </c>
      <c r="G93" s="10">
        <f t="shared" si="106"/>
        <v>7.0916980041024908</v>
      </c>
      <c r="H93" s="10">
        <f t="shared" si="106"/>
        <v>9.9727003182691281</v>
      </c>
      <c r="I93" s="10">
        <f t="shared" si="106"/>
        <v>28.366792016409963</v>
      </c>
      <c r="J93" s="10">
        <f t="shared" si="106"/>
        <v>14.183396008204982</v>
      </c>
      <c r="K93" s="10">
        <f t="shared" si="106"/>
        <v>14.183396008204982</v>
      </c>
      <c r="L93" s="10">
        <f t="shared" si="106"/>
        <v>28.366792016409963</v>
      </c>
      <c r="M93" s="10">
        <f t="shared" si="106"/>
        <v>7.0916980041024908</v>
      </c>
      <c r="N93" s="10">
        <f t="shared" si="106"/>
        <v>9.9727003182691281</v>
      </c>
      <c r="O93" s="10">
        <f t="shared" si="106"/>
        <v>14.183396008204982</v>
      </c>
      <c r="P93" s="10">
        <f t="shared" si="10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7">D6/$M14</f>
        <v>3.1963858495767821</v>
      </c>
      <c r="E94" s="10">
        <f t="shared" si="107"/>
        <v>3.1963858495767821</v>
      </c>
      <c r="F94" s="10">
        <f t="shared" si="107"/>
        <v>3.1963858495767821</v>
      </c>
      <c r="G94" s="10">
        <f t="shared" si="107"/>
        <v>1.1237294002418374</v>
      </c>
      <c r="H94" s="10">
        <f t="shared" si="107"/>
        <v>0.79909646239419552</v>
      </c>
      <c r="I94" s="10">
        <f t="shared" si="107"/>
        <v>3.1963858495767821</v>
      </c>
      <c r="J94" s="10">
        <f t="shared" si="107"/>
        <v>1.598192924788391</v>
      </c>
      <c r="K94" s="10">
        <f t="shared" si="107"/>
        <v>3.1963858495767821</v>
      </c>
      <c r="L94" s="10">
        <f t="shared" si="107"/>
        <v>3.1963858495767821</v>
      </c>
      <c r="M94" s="10">
        <f t="shared" si="107"/>
        <v>1.598192924788391</v>
      </c>
      <c r="N94" s="10">
        <f t="shared" si="107"/>
        <v>0.79909646239419552</v>
      </c>
      <c r="O94" s="10">
        <f t="shared" si="107"/>
        <v>0.79909646239419552</v>
      </c>
      <c r="P94" s="10">
        <f t="shared" si="10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8">D7/$M15</f>
        <v>28.366792016409963</v>
      </c>
      <c r="E95" s="10">
        <f t="shared" si="108"/>
        <v>28.366792016409963</v>
      </c>
      <c r="F95" s="10">
        <f t="shared" si="108"/>
        <v>28.366792016409963</v>
      </c>
      <c r="G95" s="10">
        <f t="shared" si="108"/>
        <v>7.0916980041024908</v>
      </c>
      <c r="H95" s="10">
        <f t="shared" si="108"/>
        <v>9.3078536303845194</v>
      </c>
      <c r="I95" s="10">
        <f t="shared" si="108"/>
        <v>28.366792016409963</v>
      </c>
      <c r="J95" s="10">
        <f t="shared" si="108"/>
        <v>28.366792016409963</v>
      </c>
      <c r="K95" s="10">
        <f t="shared" si="108"/>
        <v>28.366792016409963</v>
      </c>
      <c r="L95" s="10">
        <f t="shared" si="108"/>
        <v>28.366792016409963</v>
      </c>
      <c r="M95" s="10">
        <f t="shared" si="108"/>
        <v>28.366792016409963</v>
      </c>
      <c r="N95" s="10">
        <f t="shared" si="108"/>
        <v>14.183396008204982</v>
      </c>
      <c r="O95" s="10">
        <f t="shared" si="108"/>
        <v>7.0916980041024908</v>
      </c>
      <c r="P95" s="10">
        <f t="shared" si="10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8"/>
        <v>4.0247291918125132</v>
      </c>
      <c r="E96" s="10">
        <f t="shared" si="108"/>
        <v>4.0247291918125132</v>
      </c>
      <c r="F96" s="10">
        <f t="shared" si="108"/>
        <v>4.0247291918125132</v>
      </c>
      <c r="G96" s="10">
        <f t="shared" si="108"/>
        <v>2.8298877129931732</v>
      </c>
      <c r="H96" s="10">
        <f t="shared" si="108"/>
        <v>4.0247291918125132</v>
      </c>
      <c r="I96" s="10">
        <f t="shared" si="108"/>
        <v>4.0247291918125132</v>
      </c>
      <c r="J96" s="10">
        <f t="shared" si="108"/>
        <v>4.0247291918125132</v>
      </c>
      <c r="K96" s="10">
        <f t="shared" si="108"/>
        <v>4.0247291918125132</v>
      </c>
      <c r="L96" s="10">
        <f t="shared" si="108"/>
        <v>4.0247291918125132</v>
      </c>
      <c r="M96" s="10">
        <f t="shared" si="108"/>
        <v>1.0061822979531283</v>
      </c>
      <c r="N96" s="10">
        <f t="shared" si="108"/>
        <v>1.0061822979531283</v>
      </c>
      <c r="O96" s="10">
        <f t="shared" si="108"/>
        <v>4.0247291918125132</v>
      </c>
      <c r="P96" s="10">
        <f t="shared" si="10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41" t="s">
        <v>67</v>
      </c>
      <c r="C97" s="141"/>
      <c r="D97" s="144" t="s">
        <v>76</v>
      </c>
      <c r="E97" s="144"/>
      <c r="F97" s="144"/>
      <c r="G97" s="144" t="s">
        <v>77</v>
      </c>
      <c r="H97" s="144"/>
      <c r="I97" s="144"/>
      <c r="J97" s="144" t="s">
        <v>76</v>
      </c>
      <c r="K97" s="144"/>
      <c r="L97" s="144"/>
      <c r="M97" s="144" t="s">
        <v>77</v>
      </c>
      <c r="N97" s="144"/>
      <c r="O97" s="144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>D4/$N12</f>
        <v>12.251114992441833</v>
      </c>
      <c r="E99" s="10">
        <f t="shared" ref="D99:O99" si="109">E4/$N12</f>
        <v>12.251114992441833</v>
      </c>
      <c r="F99" s="10">
        <f t="shared" si="109"/>
        <v>12.251114992441833</v>
      </c>
      <c r="G99" s="10">
        <f t="shared" si="109"/>
        <v>6.1255574962209165</v>
      </c>
      <c r="H99" s="10">
        <f t="shared" si="109"/>
        <v>12.251114992441833</v>
      </c>
      <c r="I99" s="10">
        <f t="shared" si="109"/>
        <v>12.251114992441833</v>
      </c>
      <c r="J99" s="10">
        <f t="shared" si="109"/>
        <v>4.3070326145303319</v>
      </c>
      <c r="K99" s="10">
        <f t="shared" si="109"/>
        <v>8.6140652290606639</v>
      </c>
      <c r="L99" s="10">
        <f t="shared" si="109"/>
        <v>8.6140652290606639</v>
      </c>
      <c r="M99" s="10">
        <f t="shared" si="109"/>
        <v>4.3070326145303319</v>
      </c>
      <c r="N99" s="10">
        <f t="shared" si="109"/>
        <v>4.3070326145303319</v>
      </c>
      <c r="O99" s="10">
        <f t="shared" si="10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10">D5/$N13</f>
        <v>15.883070941483904</v>
      </c>
      <c r="E100" s="10">
        <f t="shared" si="110"/>
        <v>31.766141882967808</v>
      </c>
      <c r="F100" s="10">
        <f t="shared" si="110"/>
        <v>31.766141882967808</v>
      </c>
      <c r="G100" s="10">
        <f t="shared" si="110"/>
        <v>7.9415354707419521</v>
      </c>
      <c r="H100" s="10">
        <f t="shared" si="110"/>
        <v>11.16778425573087</v>
      </c>
      <c r="I100" s="10">
        <f t="shared" si="110"/>
        <v>31.766141882967808</v>
      </c>
      <c r="J100" s="10">
        <f t="shared" si="110"/>
        <v>15.883070941483904</v>
      </c>
      <c r="K100" s="10">
        <f t="shared" si="110"/>
        <v>15.883070941483904</v>
      </c>
      <c r="L100" s="10">
        <f t="shared" si="110"/>
        <v>31.766141882967808</v>
      </c>
      <c r="M100" s="10">
        <f t="shared" si="110"/>
        <v>7.9415354707419521</v>
      </c>
      <c r="N100" s="10">
        <f t="shared" si="110"/>
        <v>11.16778425573087</v>
      </c>
      <c r="O100" s="10">
        <f t="shared" si="110"/>
        <v>15.883070941483904</v>
      </c>
      <c r="P100" s="10">
        <f t="shared" ref="P100" si="11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2">D6/$N14</f>
        <v>2.7928656099053413</v>
      </c>
      <c r="E101" s="10">
        <f t="shared" si="112"/>
        <v>2.7928656099053413</v>
      </c>
      <c r="F101" s="10">
        <f t="shared" si="112"/>
        <v>2.7928656099053413</v>
      </c>
      <c r="G101" s="10">
        <f t="shared" si="112"/>
        <v>0.98186681598234649</v>
      </c>
      <c r="H101" s="10">
        <f t="shared" si="112"/>
        <v>0.69821640247633532</v>
      </c>
      <c r="I101" s="10">
        <f t="shared" si="112"/>
        <v>2.7928656099053413</v>
      </c>
      <c r="J101" s="10">
        <f t="shared" si="112"/>
        <v>1.3964328049526706</v>
      </c>
      <c r="K101" s="10">
        <f t="shared" si="112"/>
        <v>2.7928656099053413</v>
      </c>
      <c r="L101" s="10">
        <f t="shared" si="112"/>
        <v>2.7928656099053413</v>
      </c>
      <c r="M101" s="10">
        <f t="shared" si="112"/>
        <v>1.3964328049526706</v>
      </c>
      <c r="N101" s="10">
        <f>N6/$N14</f>
        <v>0.69821640247633532</v>
      </c>
      <c r="O101" s="10">
        <f t="shared" si="112"/>
        <v>0.69821640247633532</v>
      </c>
      <c r="P101" s="10">
        <f t="shared" ref="P101" si="11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4">D7/$N15</f>
        <v>31.766141882967808</v>
      </c>
      <c r="E102" s="10">
        <f t="shared" si="114"/>
        <v>31.766141882967808</v>
      </c>
      <c r="F102" s="10">
        <f t="shared" si="114"/>
        <v>31.766141882967808</v>
      </c>
      <c r="G102" s="10">
        <f t="shared" si="114"/>
        <v>7.9415354707419521</v>
      </c>
      <c r="H102" s="10">
        <f t="shared" si="114"/>
        <v>10.423265305348812</v>
      </c>
      <c r="I102" s="10">
        <f t="shared" si="114"/>
        <v>31.766141882967808</v>
      </c>
      <c r="J102" s="10">
        <f t="shared" si="114"/>
        <v>31.766141882967808</v>
      </c>
      <c r="K102" s="10">
        <f t="shared" si="114"/>
        <v>31.766141882967808</v>
      </c>
      <c r="L102" s="10">
        <f t="shared" si="114"/>
        <v>31.766141882967808</v>
      </c>
      <c r="M102" s="10">
        <f t="shared" si="114"/>
        <v>31.766141882967808</v>
      </c>
      <c r="N102" s="10">
        <f t="shared" si="114"/>
        <v>15.883070941483904</v>
      </c>
      <c r="O102" s="10">
        <f t="shared" si="11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5">D8/$N16</f>
        <v>3.6863857564111955</v>
      </c>
      <c r="E103" s="10">
        <f t="shared" si="115"/>
        <v>3.6863857564111955</v>
      </c>
      <c r="F103" s="10">
        <f t="shared" si="115"/>
        <v>3.6863857564111955</v>
      </c>
      <c r="G103" s="10">
        <f t="shared" si="115"/>
        <v>2.5919899849766219</v>
      </c>
      <c r="H103" s="10">
        <f t="shared" si="115"/>
        <v>3.6863857564111955</v>
      </c>
      <c r="I103" s="10">
        <f t="shared" si="115"/>
        <v>3.6863857564111955</v>
      </c>
      <c r="J103" s="10">
        <f t="shared" si="115"/>
        <v>3.6863857564111955</v>
      </c>
      <c r="K103" s="10">
        <f t="shared" si="115"/>
        <v>3.6863857564111955</v>
      </c>
      <c r="L103" s="10">
        <f t="shared" si="115"/>
        <v>3.6863857564111955</v>
      </c>
      <c r="M103" s="10">
        <f t="shared" si="115"/>
        <v>0.92159643910279887</v>
      </c>
      <c r="N103" s="10">
        <f t="shared" si="115"/>
        <v>0.92159643910279887</v>
      </c>
      <c r="O103" s="10">
        <f t="shared" si="115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workbookViewId="0">
      <selection activeCell="B21" sqref="B21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41" t="s">
        <v>51</v>
      </c>
      <c r="U1" s="141"/>
      <c r="V1" s="141"/>
      <c r="W1" s="141"/>
      <c r="X1" s="141"/>
      <c r="Y1" s="141"/>
      <c r="AC1" s="141" t="s">
        <v>55</v>
      </c>
      <c r="AD1" s="141"/>
      <c r="AE1" s="141"/>
      <c r="AF1" s="141"/>
      <c r="AG1" s="141"/>
      <c r="AH1" s="141"/>
      <c r="AL1" s="141" t="s">
        <v>58</v>
      </c>
      <c r="AM1" s="141"/>
      <c r="AN1" s="141"/>
      <c r="AO1" s="141"/>
      <c r="AP1" s="141"/>
      <c r="AQ1" s="141"/>
      <c r="BA1" s="140" t="s">
        <v>63</v>
      </c>
      <c r="BB1" s="138"/>
      <c r="BC1" s="138"/>
      <c r="BD1" s="138"/>
      <c r="BE1" s="138"/>
      <c r="BF1" s="139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abSelected="1" workbookViewId="0">
      <selection activeCell="J22" sqref="J22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41" t="s">
        <v>51</v>
      </c>
      <c r="U1" s="141"/>
      <c r="V1" s="141"/>
      <c r="W1" s="141"/>
      <c r="X1" s="141"/>
      <c r="Y1" s="141"/>
      <c r="Z1" s="141" t="s">
        <v>55</v>
      </c>
      <c r="AA1" s="141"/>
      <c r="AB1" s="141"/>
      <c r="AC1" s="141"/>
      <c r="AD1" s="141"/>
      <c r="AE1" s="141"/>
      <c r="AH1" s="141" t="s">
        <v>58</v>
      </c>
      <c r="AI1" s="141"/>
      <c r="AJ1" s="141"/>
      <c r="AK1" s="141"/>
      <c r="AL1" s="141"/>
      <c r="AM1" s="141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44" t="s">
        <v>64</v>
      </c>
      <c r="E27" s="144"/>
      <c r="F27" s="144"/>
      <c r="G27" s="144" t="s">
        <v>65</v>
      </c>
      <c r="H27" s="144"/>
      <c r="I27" s="144"/>
      <c r="J27" s="144" t="s">
        <v>66</v>
      </c>
      <c r="K27" s="144"/>
      <c r="L27" s="144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44" t="s">
        <v>64</v>
      </c>
      <c r="U43" s="144"/>
      <c r="V43" s="144"/>
      <c r="W43" s="144" t="s">
        <v>65</v>
      </c>
      <c r="X43" s="144"/>
      <c r="Y43" s="144"/>
      <c r="Z43" s="144" t="s">
        <v>66</v>
      </c>
      <c r="AA43" s="144"/>
      <c r="AB43" s="144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20</v>
      </c>
      <c r="AG45">
        <v>20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Q46" t="s">
        <v>125</v>
      </c>
      <c r="S46" s="9" cm="1">
        <f t="array" ref="S46">SQRT(SUMSQ($B29:$B52-C29:C52)/COUNTA($B29:$B52-C29:C52))</f>
        <v>29.723135661216972</v>
      </c>
      <c r="T46" s="9" cm="1">
        <f t="array" ref="T46">SQRT(SUMSQ($B29:$B52-D29:D52)/COUNTA($B29:$B52-D29:D52))</f>
        <v>30.058466100212307</v>
      </c>
      <c r="U46" s="9" cm="1">
        <f t="array" ref="U46">SQRT(SUMSQ($B29:$B52-E29:E52)/COUNTA($B29:$B52-E29:E52))</f>
        <v>44.303073428118914</v>
      </c>
      <c r="V46" s="136" cm="1">
        <f t="array" ref="V46">SQRT(SUMSQ($B29:$B52-F29:F52)/COUNTA($B29:$B52-F29:F52))</f>
        <v>24.083684362589235</v>
      </c>
      <c r="W46" s="9" cm="1">
        <f t="array" ref="W46">SQRT(SUMSQ($B29:$B52-G29:G52)/COUNTA($B29:$B52-G29:G52))</f>
        <v>70.526339331852768</v>
      </c>
      <c r="X46" s="9" cm="1">
        <f t="array" ref="X46">SQRT(SUMSQ($B29:$B52-H29:H52)/COUNTA($B29:$B52-H29:H52))</f>
        <v>48.734799728203917</v>
      </c>
      <c r="Y46" s="9" cm="1">
        <f t="array" ref="Y46">SQRT(SUMSQ($B29:$B52-I29:I52)/COUNTA($B29:$B52-I29:I52))</f>
        <v>34.529380267056112</v>
      </c>
      <c r="Z46" s="9" cm="1">
        <f t="array" ref="Z46">SQRT(SUMSQ($B29:$B52-J29:J52)/COUNTA($B29:$B52-J29:J52))</f>
        <v>60.96504945132412</v>
      </c>
      <c r="AA46" s="9" cm="1">
        <f t="array" ref="AA46">SQRT(SUMSQ($B29:$B52-K29:K52)/COUNTA($B29:$B52-K29:K52))</f>
        <v>45.528593453610604</v>
      </c>
      <c r="AB46" s="9" cm="1">
        <f t="array" ref="AB46">SQRT(SUMSQ($B29:$B52-L29:L52)/COUNTA($B29:$B52-L29:L52))</f>
        <v>32.978444666917568</v>
      </c>
      <c r="AC46" s="9" cm="1">
        <f t="array" ref="AC46">SQRT(SUMSQ($B29:$B52-M29:M52)/COUNTA($B29:$B52-M29:M52))</f>
        <v>42.288182441773174</v>
      </c>
      <c r="AD46" s="9" cm="1">
        <f t="array" ref="AD46">SQRT(SUMSQ($B29:$B52-N29:N52)/COUNTA($B29:$B52-N29:N52))</f>
        <v>55.337795482395258</v>
      </c>
      <c r="AF46">
        <v>150</v>
      </c>
      <c r="AG46">
        <v>150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25">
      <c r="A48" s="28" t="s">
        <v>42</v>
      </c>
      <c r="B48" s="17">
        <v>64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52"/>
        <v>67.709720089719596</v>
      </c>
      <c r="G48" s="10">
        <f t="shared" si="53"/>
        <v>122.85148602844667</v>
      </c>
      <c r="H48" s="10">
        <f t="shared" si="54"/>
        <v>128.45388411347565</v>
      </c>
      <c r="I48" s="10">
        <f t="shared" si="55"/>
        <v>86.22748600399099</v>
      </c>
      <c r="J48" s="10">
        <f t="shared" si="56"/>
        <v>116.54482182172966</v>
      </c>
      <c r="K48" s="10">
        <f t="shared" si="57"/>
        <v>157.81430752799429</v>
      </c>
      <c r="L48" s="10">
        <f t="shared" si="58"/>
        <v>101.91079458016144</v>
      </c>
      <c r="M48" s="10">
        <f t="shared" si="59"/>
        <v>54.860309322942094</v>
      </c>
      <c r="N48" s="10">
        <f t="shared" si="60"/>
        <v>65.809796942347262</v>
      </c>
    </row>
    <row r="49" spans="1:14" x14ac:dyDescent="0.25">
      <c r="A49" s="36" t="s">
        <v>43</v>
      </c>
      <c r="B49" s="17">
        <v>32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52"/>
        <v>28.578768268382458</v>
      </c>
      <c r="G49" s="10">
        <f t="shared" si="53"/>
        <v>270.51505725215441</v>
      </c>
      <c r="H49" s="10">
        <f t="shared" si="54"/>
        <v>128.80894313797964</v>
      </c>
      <c r="I49" s="10">
        <f t="shared" si="55"/>
        <v>57.748296765669359</v>
      </c>
      <c r="J49" s="10">
        <f t="shared" si="56"/>
        <v>283.17556780168911</v>
      </c>
      <c r="K49" s="10">
        <f t="shared" si="57"/>
        <v>160.41407052528044</v>
      </c>
      <c r="L49" s="10">
        <f t="shared" si="58"/>
        <v>46.451438102040505</v>
      </c>
      <c r="M49" s="10">
        <f t="shared" si="59"/>
        <v>199.4251968063341</v>
      </c>
      <c r="N49" s="10">
        <f t="shared" si="60"/>
        <v>273.41124350200914</v>
      </c>
    </row>
    <row r="50" spans="1:14" x14ac:dyDescent="0.25">
      <c r="A50" s="1" t="s">
        <v>44</v>
      </c>
      <c r="B50" s="17">
        <v>45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52"/>
        <v>44.253593012320458</v>
      </c>
      <c r="G50" s="10">
        <f t="shared" si="53"/>
        <v>104.02610800017462</v>
      </c>
      <c r="H50" s="10">
        <f t="shared" si="54"/>
        <v>104.37505186651595</v>
      </c>
      <c r="I50" s="10">
        <f t="shared" si="55"/>
        <v>66.227469441649291</v>
      </c>
      <c r="J50" s="10">
        <f t="shared" si="56"/>
        <v>30.257959449875919</v>
      </c>
      <c r="K50" s="10">
        <f t="shared" si="57"/>
        <v>21.691193389517782</v>
      </c>
      <c r="L50" s="10">
        <f t="shared" si="58"/>
        <v>5.5349944484141682</v>
      </c>
      <c r="M50" s="10">
        <f t="shared" si="59"/>
        <v>60.203849215955096</v>
      </c>
      <c r="N50" s="10">
        <f t="shared" si="60"/>
        <v>71.830418532113697</v>
      </c>
    </row>
    <row r="51" spans="1:14" x14ac:dyDescent="0.25">
      <c r="A51" s="1" t="s">
        <v>71</v>
      </c>
      <c r="B51" s="17">
        <v>32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52"/>
        <v>52.47611539479572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90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44"/>
      <c r="E53" s="144"/>
      <c r="F53" s="144"/>
      <c r="G53" s="144"/>
      <c r="H53" s="144"/>
      <c r="I53" s="144"/>
      <c r="J53" s="144"/>
      <c r="K53" s="144"/>
      <c r="L53" s="144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2026-04-10T00:46:20Z</dcterms:modified>
</cp:coreProperties>
</file>