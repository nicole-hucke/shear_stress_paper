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icol\Documents\shear_stress_paper\antecedent_conditions\field_data\results\"/>
    </mc:Choice>
  </mc:AlternateContent>
  <xr:revisionPtr revIDLastSave="0" documentId="13_ncr:1_{F41AA45B-660A-4BDA-9A73-32CC1F99843B}" xr6:coauthVersionLast="47" xr6:coauthVersionMax="47" xr10:uidLastSave="{00000000-0000-0000-0000-000000000000}"/>
  <bookViews>
    <workbookView xWindow="3900" yWindow="1104" windowWidth="17280" windowHeight="8880" activeTab="3" xr2:uid="{00000000-000D-0000-FFFF-FFFF00000000}"/>
  </bookViews>
  <sheets>
    <sheet name="1. Interpolated Rising" sheetId="1" r:id="rId1"/>
    <sheet name="2. Exceedance D50" sheetId="2" r:id="rId2"/>
    <sheet name="3. Interpolated Falling" sheetId="3" r:id="rId3"/>
    <sheet name="4. Shorfall D5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4" l="1"/>
  <c r="B31" i="4"/>
  <c r="C28" i="4"/>
  <c r="B28" i="4"/>
  <c r="T23" i="4"/>
  <c r="T24" i="4"/>
  <c r="T25" i="4"/>
  <c r="T22" i="4"/>
  <c r="S23" i="4"/>
  <c r="S24" i="4"/>
  <c r="S25" i="4"/>
  <c r="S22" i="4"/>
  <c r="R23" i="4"/>
  <c r="R24" i="4"/>
  <c r="R25" i="4"/>
  <c r="R22" i="4"/>
  <c r="Q22" i="4"/>
  <c r="Q23" i="4"/>
  <c r="Q24" i="4"/>
  <c r="Q25" i="4"/>
  <c r="P23" i="4"/>
  <c r="P24" i="4"/>
  <c r="P25" i="4"/>
  <c r="P22" i="4"/>
  <c r="P22" i="3"/>
  <c r="G23" i="4"/>
  <c r="G24" i="4"/>
  <c r="G25" i="4"/>
  <c r="G22" i="4"/>
  <c r="P4" i="4"/>
  <c r="T23" i="3"/>
  <c r="T24" i="3"/>
  <c r="T25" i="3"/>
  <c r="T22" i="3"/>
  <c r="S23" i="3"/>
  <c r="S24" i="3"/>
  <c r="S25" i="3"/>
  <c r="S22" i="3"/>
  <c r="R23" i="3"/>
  <c r="R24" i="3"/>
  <c r="R25" i="3"/>
  <c r="R22" i="3"/>
  <c r="Q23" i="3"/>
  <c r="Q24" i="3"/>
  <c r="Q25" i="3"/>
  <c r="Q22" i="3"/>
  <c r="P23" i="3"/>
  <c r="P24" i="3"/>
  <c r="P25" i="3"/>
  <c r="T23" i="2"/>
  <c r="T24" i="2"/>
  <c r="T25" i="2"/>
  <c r="T22" i="2"/>
  <c r="S23" i="2"/>
  <c r="S24" i="2"/>
  <c r="S25" i="2"/>
  <c r="S22" i="2"/>
  <c r="R23" i="2"/>
  <c r="R24" i="2"/>
  <c r="R25" i="2"/>
  <c r="R22" i="2"/>
  <c r="Q23" i="2"/>
  <c r="Q24" i="2"/>
  <c r="Q25" i="2"/>
  <c r="Q22" i="2"/>
  <c r="P23" i="2"/>
  <c r="P24" i="2"/>
  <c r="P25" i="2"/>
  <c r="P22" i="2"/>
  <c r="T23" i="1"/>
  <c r="T24" i="1"/>
  <c r="T25" i="1"/>
  <c r="T22" i="1"/>
  <c r="S23" i="1"/>
  <c r="S24" i="1"/>
  <c r="S25" i="1"/>
  <c r="S22" i="1"/>
  <c r="R23" i="1"/>
  <c r="R24" i="1"/>
  <c r="R25" i="1"/>
  <c r="R22" i="1"/>
  <c r="Q23" i="1"/>
  <c r="Q24" i="1"/>
  <c r="Q25" i="1"/>
  <c r="Q22" i="1"/>
  <c r="P23" i="1"/>
  <c r="P24" i="1"/>
  <c r="P25" i="1"/>
  <c r="P22" i="1"/>
  <c r="I22" i="1"/>
  <c r="G22" i="3"/>
  <c r="G23" i="2"/>
  <c r="G24" i="2"/>
  <c r="G25" i="2"/>
  <c r="G22" i="2"/>
  <c r="G23" i="1"/>
  <c r="G24" i="1"/>
  <c r="G25" i="1"/>
  <c r="M25" i="1" s="1"/>
  <c r="G22" i="1"/>
  <c r="M22" i="1" s="1"/>
  <c r="G23" i="3"/>
  <c r="G24" i="3"/>
  <c r="G25" i="3"/>
  <c r="P5" i="3"/>
  <c r="P4" i="3"/>
  <c r="M23" i="1"/>
  <c r="M24" i="1"/>
  <c r="C30" i="4"/>
  <c r="B30" i="4"/>
  <c r="C29" i="4"/>
  <c r="J16" i="4" s="1"/>
  <c r="B29" i="4"/>
  <c r="O25" i="4"/>
  <c r="O24" i="4"/>
  <c r="O23" i="4"/>
  <c r="O22" i="4"/>
  <c r="O16" i="4"/>
  <c r="O15" i="4"/>
  <c r="O14" i="4"/>
  <c r="O13" i="4"/>
  <c r="O7" i="4"/>
  <c r="O6" i="4"/>
  <c r="O5" i="4"/>
  <c r="O4" i="4"/>
  <c r="C30" i="3"/>
  <c r="B30" i="3"/>
  <c r="C29" i="3"/>
  <c r="K16" i="3" s="1"/>
  <c r="B29" i="3"/>
  <c r="C28" i="3"/>
  <c r="B28" i="3"/>
  <c r="O25" i="3"/>
  <c r="O24" i="3"/>
  <c r="O23" i="3"/>
  <c r="O22" i="3"/>
  <c r="O16" i="3"/>
  <c r="O15" i="3"/>
  <c r="O14" i="3"/>
  <c r="O13" i="3"/>
  <c r="O7" i="3"/>
  <c r="O6" i="3"/>
  <c r="O5" i="3"/>
  <c r="O4" i="3"/>
  <c r="C30" i="2"/>
  <c r="B30" i="2"/>
  <c r="C29" i="2"/>
  <c r="B29" i="2"/>
  <c r="C28" i="2"/>
  <c r="B28" i="2"/>
  <c r="O25" i="2"/>
  <c r="O24" i="2"/>
  <c r="O23" i="2"/>
  <c r="O22" i="2"/>
  <c r="O16" i="2"/>
  <c r="O15" i="2"/>
  <c r="O14" i="2"/>
  <c r="O13" i="2"/>
  <c r="O7" i="2"/>
  <c r="O6" i="2"/>
  <c r="O5" i="2"/>
  <c r="O4" i="2"/>
  <c r="C30" i="1"/>
  <c r="B30" i="1"/>
  <c r="B28" i="1"/>
  <c r="I6" i="4" l="1"/>
  <c r="L16" i="4"/>
  <c r="S14" i="4"/>
  <c r="I15" i="4"/>
  <c r="M4" i="4"/>
  <c r="L5" i="4"/>
  <c r="P13" i="4"/>
  <c r="I16" i="4"/>
  <c r="M5" i="4"/>
  <c r="I14" i="4"/>
  <c r="J25" i="4"/>
  <c r="M6" i="4"/>
  <c r="L14" i="4"/>
  <c r="M16" i="4"/>
  <c r="J7" i="4"/>
  <c r="J15" i="4"/>
  <c r="J14" i="4"/>
  <c r="T6" i="4"/>
  <c r="K4" i="4"/>
  <c r="S7" i="4"/>
  <c r="K15" i="4"/>
  <c r="L4" i="4"/>
  <c r="I13" i="4"/>
  <c r="L15" i="4"/>
  <c r="T5" i="4"/>
  <c r="K16" i="4"/>
  <c r="K14" i="4"/>
  <c r="T16" i="4"/>
  <c r="I7" i="4"/>
  <c r="J13" i="4"/>
  <c r="M15" i="4"/>
  <c r="T4" i="4"/>
  <c r="K13" i="4"/>
  <c r="T15" i="4"/>
  <c r="I4" i="4"/>
  <c r="T13" i="4"/>
  <c r="Q13" i="4"/>
  <c r="S13" i="4"/>
  <c r="T14" i="4"/>
  <c r="R13" i="4"/>
  <c r="K23" i="4"/>
  <c r="K24" i="4"/>
  <c r="M22" i="4"/>
  <c r="L25" i="2"/>
  <c r="S5" i="3"/>
  <c r="L6" i="3"/>
  <c r="K14" i="3"/>
  <c r="J4" i="3"/>
  <c r="Q6" i="3"/>
  <c r="L14" i="3"/>
  <c r="M16" i="3"/>
  <c r="K4" i="3"/>
  <c r="I7" i="3"/>
  <c r="R14" i="3"/>
  <c r="I6" i="3"/>
  <c r="M6" i="3"/>
  <c r="L4" i="3"/>
  <c r="J7" i="3"/>
  <c r="S14" i="3"/>
  <c r="I16" i="3"/>
  <c r="M4" i="3"/>
  <c r="M7" i="3"/>
  <c r="T14" i="3"/>
  <c r="I14" i="3"/>
  <c r="J14" i="3"/>
  <c r="J16" i="3"/>
  <c r="S4" i="3"/>
  <c r="T7" i="3"/>
  <c r="I15" i="3"/>
  <c r="M15" i="3"/>
  <c r="T15" i="3"/>
  <c r="I13" i="3"/>
  <c r="L5" i="3"/>
  <c r="J13" i="3"/>
  <c r="K15" i="3"/>
  <c r="S13" i="3"/>
  <c r="K5" i="3"/>
  <c r="J15" i="3"/>
  <c r="M5" i="3"/>
  <c r="K13" i="3"/>
  <c r="L15" i="3"/>
  <c r="J23" i="3"/>
  <c r="J24" i="3"/>
  <c r="M22" i="3"/>
  <c r="J25" i="3"/>
  <c r="L16" i="3"/>
  <c r="T16" i="3"/>
  <c r="M22" i="2"/>
  <c r="R5" i="2"/>
  <c r="R16" i="3"/>
  <c r="S16" i="3"/>
  <c r="Q15" i="3"/>
  <c r="P14" i="3"/>
  <c r="Q14" i="3"/>
  <c r="S15" i="3"/>
  <c r="R15" i="3"/>
  <c r="M24" i="3"/>
  <c r="M25" i="3"/>
  <c r="P7" i="3"/>
  <c r="S16" i="4"/>
  <c r="S15" i="4"/>
  <c r="R15" i="4"/>
  <c r="Q14" i="4"/>
  <c r="R14" i="4"/>
  <c r="L25" i="4"/>
  <c r="M25" i="4"/>
  <c r="P7" i="4"/>
  <c r="P6" i="4"/>
  <c r="Q7" i="4"/>
  <c r="P5" i="4"/>
  <c r="Q6" i="4"/>
  <c r="R7" i="4"/>
  <c r="Q5" i="4"/>
  <c r="R6" i="4"/>
  <c r="I22" i="4"/>
  <c r="Q4" i="4"/>
  <c r="R5" i="4"/>
  <c r="S6" i="4"/>
  <c r="T7" i="4"/>
  <c r="J22" i="4"/>
  <c r="R4" i="4"/>
  <c r="S5" i="4"/>
  <c r="K22" i="4"/>
  <c r="J23" i="4"/>
  <c r="I24" i="4"/>
  <c r="S4" i="4"/>
  <c r="L22" i="4"/>
  <c r="J24" i="4"/>
  <c r="L23" i="4"/>
  <c r="I5" i="4"/>
  <c r="J6" i="4"/>
  <c r="K7" i="4"/>
  <c r="L13" i="4"/>
  <c r="M14" i="4"/>
  <c r="P16" i="4"/>
  <c r="M23" i="4"/>
  <c r="L24" i="4"/>
  <c r="K25" i="4"/>
  <c r="I23" i="4"/>
  <c r="I25" i="4"/>
  <c r="J5" i="4"/>
  <c r="K6" i="4"/>
  <c r="L7" i="4"/>
  <c r="M13" i="4"/>
  <c r="P15" i="4"/>
  <c r="Q16" i="4"/>
  <c r="M24" i="4"/>
  <c r="J4" i="4"/>
  <c r="K5" i="4"/>
  <c r="L6" i="4"/>
  <c r="M7" i="4"/>
  <c r="P14" i="4"/>
  <c r="Q15" i="4"/>
  <c r="R16" i="4"/>
  <c r="P13" i="3"/>
  <c r="Q13" i="3"/>
  <c r="Q7" i="3"/>
  <c r="R7" i="3"/>
  <c r="Q5" i="3"/>
  <c r="R6" i="3"/>
  <c r="S7" i="3"/>
  <c r="T13" i="3"/>
  <c r="I22" i="3"/>
  <c r="R5" i="3"/>
  <c r="S6" i="3"/>
  <c r="J22" i="3"/>
  <c r="I23" i="3"/>
  <c r="R4" i="3"/>
  <c r="T6" i="3"/>
  <c r="T5" i="3"/>
  <c r="K23" i="3"/>
  <c r="T4" i="3"/>
  <c r="L23" i="3"/>
  <c r="K24" i="3"/>
  <c r="I5" i="3"/>
  <c r="J6" i="3"/>
  <c r="K7" i="3"/>
  <c r="L13" i="3"/>
  <c r="M14" i="3"/>
  <c r="P16" i="3"/>
  <c r="M23" i="3"/>
  <c r="L24" i="3"/>
  <c r="K25" i="3"/>
  <c r="P6" i="3"/>
  <c r="R13" i="3"/>
  <c r="Q4" i="3"/>
  <c r="K22" i="3"/>
  <c r="I24" i="3"/>
  <c r="L22" i="3"/>
  <c r="I25" i="3"/>
  <c r="I4" i="3"/>
  <c r="J5" i="3"/>
  <c r="K6" i="3"/>
  <c r="L7" i="3"/>
  <c r="M13" i="3"/>
  <c r="P15" i="3"/>
  <c r="Q16" i="3"/>
  <c r="L25" i="3"/>
  <c r="M4" i="2"/>
  <c r="P6" i="2"/>
  <c r="Q7" i="2"/>
  <c r="R13" i="2"/>
  <c r="S14" i="2"/>
  <c r="T15" i="2"/>
  <c r="P5" i="2"/>
  <c r="Q6" i="2"/>
  <c r="R7" i="2"/>
  <c r="S13" i="2"/>
  <c r="T14" i="2"/>
  <c r="I16" i="2"/>
  <c r="P4" i="2"/>
  <c r="Q5" i="2"/>
  <c r="R6" i="2"/>
  <c r="S7" i="2"/>
  <c r="T13" i="2"/>
  <c r="I15" i="2"/>
  <c r="J16" i="2"/>
  <c r="I22" i="2"/>
  <c r="Q4" i="2"/>
  <c r="S6" i="2"/>
  <c r="T7" i="2"/>
  <c r="I14" i="2"/>
  <c r="J15" i="2"/>
  <c r="K16" i="2"/>
  <c r="J22" i="2"/>
  <c r="I23" i="2"/>
  <c r="R4" i="2"/>
  <c r="S5" i="2"/>
  <c r="T6" i="2"/>
  <c r="I13" i="2"/>
  <c r="J14" i="2"/>
  <c r="K15" i="2"/>
  <c r="L16" i="2"/>
  <c r="K22" i="2"/>
  <c r="J23" i="2"/>
  <c r="I24" i="2"/>
  <c r="S4" i="2"/>
  <c r="T5" i="2"/>
  <c r="I7" i="2"/>
  <c r="J13" i="2"/>
  <c r="K14" i="2"/>
  <c r="L15" i="2"/>
  <c r="M16" i="2"/>
  <c r="L22" i="2"/>
  <c r="K23" i="2"/>
  <c r="J24" i="2"/>
  <c r="T4" i="2"/>
  <c r="I6" i="2"/>
  <c r="J7" i="2"/>
  <c r="K13" i="2"/>
  <c r="L14" i="2"/>
  <c r="M15" i="2"/>
  <c r="L23" i="2"/>
  <c r="K24" i="2"/>
  <c r="J25" i="2"/>
  <c r="I5" i="2"/>
  <c r="J6" i="2"/>
  <c r="K7" i="2"/>
  <c r="L13" i="2"/>
  <c r="M14" i="2"/>
  <c r="P16" i="2"/>
  <c r="M23" i="2"/>
  <c r="L24" i="2"/>
  <c r="K25" i="2"/>
  <c r="I4" i="2"/>
  <c r="J5" i="2"/>
  <c r="K6" i="2"/>
  <c r="L7" i="2"/>
  <c r="M13" i="2"/>
  <c r="P15" i="2"/>
  <c r="Q16" i="2"/>
  <c r="M24" i="2"/>
  <c r="J4" i="2"/>
  <c r="K5" i="2"/>
  <c r="L6" i="2"/>
  <c r="M7" i="2"/>
  <c r="P14" i="2"/>
  <c r="Q15" i="2"/>
  <c r="R16" i="2"/>
  <c r="M25" i="2"/>
  <c r="K4" i="2"/>
  <c r="L5" i="2"/>
  <c r="M6" i="2"/>
  <c r="P13" i="2"/>
  <c r="Q14" i="2"/>
  <c r="R15" i="2"/>
  <c r="S16" i="2"/>
  <c r="L4" i="2"/>
  <c r="M5" i="2"/>
  <c r="P7" i="2"/>
  <c r="Q13" i="2"/>
  <c r="R14" i="2"/>
  <c r="S15" i="2"/>
  <c r="T16" i="2"/>
  <c r="I25" i="2"/>
  <c r="J15" i="1"/>
  <c r="I7" i="1"/>
  <c r="J7" i="1"/>
  <c r="K7" i="1"/>
  <c r="L7" i="1"/>
  <c r="M7" i="1"/>
  <c r="O25" i="1"/>
  <c r="O24" i="1"/>
  <c r="O23" i="1"/>
  <c r="O22" i="1"/>
  <c r="T16" i="1"/>
  <c r="S16" i="1"/>
  <c r="R16" i="1"/>
  <c r="Q16" i="1"/>
  <c r="P16" i="1"/>
  <c r="O16" i="1"/>
  <c r="T15" i="1"/>
  <c r="S15" i="1"/>
  <c r="R15" i="1"/>
  <c r="Q15" i="1"/>
  <c r="P15" i="1"/>
  <c r="O15" i="1"/>
  <c r="T14" i="1"/>
  <c r="S14" i="1"/>
  <c r="R14" i="1"/>
  <c r="Q14" i="1"/>
  <c r="P14" i="1"/>
  <c r="O14" i="1"/>
  <c r="T13" i="1"/>
  <c r="S13" i="1"/>
  <c r="R13" i="1"/>
  <c r="Q13" i="1"/>
  <c r="P13" i="1"/>
  <c r="O13" i="1"/>
  <c r="Q6" i="1"/>
  <c r="O5" i="1"/>
  <c r="Q5" i="1" s="1"/>
  <c r="O6" i="1"/>
  <c r="S6" i="1" s="1"/>
  <c r="O7" i="1"/>
  <c r="R7" i="1" s="1"/>
  <c r="O4" i="1"/>
  <c r="Q4" i="1" s="1"/>
  <c r="L23" i="1"/>
  <c r="K24" i="1"/>
  <c r="K25" i="1"/>
  <c r="K22" i="1"/>
  <c r="K15" i="1"/>
  <c r="I15" i="1"/>
  <c r="M5" i="1"/>
  <c r="M6" i="1"/>
  <c r="J5" i="1"/>
  <c r="J6" i="1"/>
  <c r="C28" i="1"/>
  <c r="C29" i="1"/>
  <c r="B29" i="1"/>
  <c r="Q7" i="1" l="1"/>
  <c r="R6" i="1"/>
  <c r="J24" i="1"/>
  <c r="J23" i="1"/>
  <c r="J22" i="1"/>
  <c r="R5" i="1"/>
  <c r="R4" i="1"/>
  <c r="S4" i="1"/>
  <c r="T4" i="1"/>
  <c r="L25" i="1"/>
  <c r="T7" i="1"/>
  <c r="P7" i="1"/>
  <c r="T6" i="1"/>
  <c r="P6" i="1"/>
  <c r="T5" i="1"/>
  <c r="P5" i="1"/>
  <c r="S7" i="1"/>
  <c r="L24" i="1"/>
  <c r="P4" i="1"/>
  <c r="S5" i="1"/>
  <c r="L22" i="1"/>
  <c r="J25" i="1"/>
  <c r="K4" i="1"/>
  <c r="J13" i="1"/>
  <c r="L15" i="1"/>
  <c r="K23" i="1"/>
  <c r="K13" i="1"/>
  <c r="M13" i="1"/>
  <c r="I24" i="1"/>
  <c r="L4" i="1"/>
  <c r="K16" i="1"/>
  <c r="J14" i="1"/>
  <c r="K14" i="1"/>
  <c r="L5" i="1"/>
  <c r="L14" i="1"/>
  <c r="I13" i="1"/>
  <c r="M15" i="1"/>
  <c r="K6" i="1"/>
  <c r="L13" i="1"/>
  <c r="I16" i="1"/>
  <c r="I25" i="1"/>
  <c r="K5" i="1"/>
  <c r="J16" i="1"/>
  <c r="I4" i="1"/>
  <c r="I14" i="1"/>
  <c r="I23" i="1"/>
  <c r="I5" i="1"/>
  <c r="L16" i="1"/>
  <c r="I6" i="1"/>
  <c r="L6" i="1"/>
  <c r="M16" i="1"/>
  <c r="J4" i="1"/>
  <c r="M4" i="1"/>
  <c r="M14" i="1"/>
</calcChain>
</file>

<file path=xl/sharedStrings.xml><?xml version="1.0" encoding="utf-8"?>
<sst xmlns="http://schemas.openxmlformats.org/spreadsheetml/2006/main" count="353" uniqueCount="40">
  <si>
    <t>event_start</t>
  </si>
  <si>
    <t>event_end</t>
  </si>
  <si>
    <t>tauc</t>
  </si>
  <si>
    <t>n_timesteps_total</t>
  </si>
  <si>
    <t>n_timesteps_below_tauc</t>
  </si>
  <si>
    <t>time_between_events</t>
  </si>
  <si>
    <t>mean_tau_below_tauc</t>
  </si>
  <si>
    <t>B) Average below tauc</t>
  </si>
  <si>
    <t xml:space="preserve">A) Average </t>
  </si>
  <si>
    <t>n_timesteps</t>
  </si>
  <si>
    <t>mean_tau_between_events</t>
  </si>
  <si>
    <t>C) Antecedent cumulative tauc</t>
  </si>
  <si>
    <t>cumulative_tau</t>
  </si>
  <si>
    <t>cumtau / time</t>
  </si>
  <si>
    <t>Data</t>
  </si>
  <si>
    <t>Masteller</t>
  </si>
  <si>
    <t>tauc min</t>
  </si>
  <si>
    <t>tauc max</t>
  </si>
  <si>
    <t>Slope</t>
  </si>
  <si>
    <t>m/m</t>
  </si>
  <si>
    <t>Hucke</t>
  </si>
  <si>
    <t>ST2-ST3</t>
  </si>
  <si>
    <t>ST3-SP</t>
  </si>
  <si>
    <t>SP-ST4</t>
  </si>
  <si>
    <t>ST4-ST7</t>
  </si>
  <si>
    <t>k = τ</t>
  </si>
  <si>
    <t>k = 2τ</t>
  </si>
  <si>
    <t>k = τ^2</t>
  </si>
  <si>
    <t>k = sqrt(τ)</t>
  </si>
  <si>
    <t>k = τ/2</t>
  </si>
  <si>
    <t>Calculated Tauc (using time in hours)</t>
  </si>
  <si>
    <t>Calculated Tauc (using time in minutes)</t>
  </si>
  <si>
    <t xml:space="preserve">time </t>
  </si>
  <si>
    <t>(mins)</t>
  </si>
  <si>
    <t>k = 20τ</t>
  </si>
  <si>
    <t>Flume Slope</t>
  </si>
  <si>
    <t>Flume (Masteller)</t>
  </si>
  <si>
    <t>mean_tau  / cum_tau * time step</t>
  </si>
  <si>
    <t>mean_tau  / cum_tau * timestep</t>
  </si>
  <si>
    <t>Dimensional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</si>
</sst>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1" fontId="0" fillId="0" borderId="7" xfId="0" applyNumberFormat="1" applyBorder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 Average</a:t>
            </a:r>
            <a:r>
              <a:rPr lang="en-US" baseline="0"/>
              <a:t> Shear Stress (hours)</a:t>
            </a:r>
            <a:endParaRPr lang="en-US"/>
          </a:p>
        </c:rich>
      </c:tx>
      <c:layout>
        <c:manualLayout>
          <c:xMode val="edge"/>
          <c:yMode val="edge"/>
          <c:x val="0.18523911877925847"/>
          <c:y val="2.574198531421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Interpolated Rising'!$I$3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Rising'!$I$4:$I$7</c:f>
              <c:numCache>
                <c:formatCode>0.0000</c:formatCode>
                <c:ptCount val="4"/>
                <c:pt idx="0">
                  <c:v>2.7205533798291534E-2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5.8078846512227382E-2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DC-4D93-93A1-979F9D9BF1D4}"/>
            </c:ext>
          </c:extLst>
        </c:ser>
        <c:ser>
          <c:idx val="1"/>
          <c:order val="1"/>
          <c:tx>
            <c:strRef>
              <c:f>'1. Interpolated Rising'!$J$3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Rising'!$J$4:$J$7</c:f>
              <c:numCache>
                <c:formatCode>0.00000</c:formatCode>
                <c:ptCount val="4"/>
                <c:pt idx="0">
                  <c:v>2.1910793415339663E-3</c:v>
                </c:pt>
                <c:pt idx="1">
                  <c:v>9.5443553811517437E-2</c:v>
                </c:pt>
                <c:pt idx="2">
                  <c:v>8.7969699641835097E-2</c:v>
                </c:pt>
                <c:pt idx="3">
                  <c:v>2.1833332658158511E-3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DC-4D93-93A1-979F9D9BF1D4}"/>
            </c:ext>
          </c:extLst>
        </c:ser>
        <c:ser>
          <c:idx val="3"/>
          <c:order val="2"/>
          <c:tx>
            <c:strRef>
              <c:f>'1. Interpolated Rising'!$L$3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Rising'!$L$4:$L$7</c:f>
              <c:numCache>
                <c:formatCode>0.0000</c:formatCode>
                <c:ptCount val="4"/>
                <c:pt idx="0">
                  <c:v>1.5639573042326896E-2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3.6385986510793944E-2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DC-4D93-93A1-979F9D9BF1D4}"/>
            </c:ext>
          </c:extLst>
        </c:ser>
        <c:ser>
          <c:idx val="4"/>
          <c:order val="3"/>
          <c:tx>
            <c:strRef>
              <c:f>'1. Interpolated Rising'!$M$3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Rising'!$M$4:$M$7</c:f>
              <c:numCache>
                <c:formatCode>0.0000</c:formatCode>
                <c:ptCount val="4"/>
                <c:pt idx="0">
                  <c:v>4.5554296336250188E-2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8.0501174022030969E-2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DC-4D93-93A1-979F9D9B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'1. Interpolated Rising'!$E$28:$E$29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'1. Interpolated Rising'!$F$28:$F$29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DC-4D93-93A1-979F9D9B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 Average</a:t>
            </a:r>
            <a:r>
              <a:rPr lang="en-US" baseline="0"/>
              <a:t> Shear Stress (mins)</a:t>
            </a:r>
            <a:endParaRPr lang="en-US"/>
          </a:p>
        </c:rich>
      </c:tx>
      <c:layout>
        <c:manualLayout>
          <c:xMode val="edge"/>
          <c:yMode val="edge"/>
          <c:x val="0.18523911877925847"/>
          <c:y val="2.574198531421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Interpolated Rising'!$P$3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Rising'!$P$4:$P$7</c:f>
              <c:numCache>
                <c:formatCode>0.0000</c:formatCode>
                <c:ptCount val="4"/>
                <c:pt idx="0">
                  <c:v>9.5490195345942011E-2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9.5490195999999999E-2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6B-4045-9D48-87EE4FAB1D33}"/>
            </c:ext>
          </c:extLst>
        </c:ser>
        <c:ser>
          <c:idx val="1"/>
          <c:order val="1"/>
          <c:tx>
            <c:strRef>
              <c:f>'1. Interpolated Rising'!$Q$3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Rising'!$Q$4:$Q$7</c:f>
              <c:numCache>
                <c:formatCode>0.00000</c:formatCode>
                <c:ptCount val="4"/>
                <c:pt idx="0">
                  <c:v>6.5950086354127496E-3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6.1510957109874309E-3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6B-4045-9D48-87EE4FAB1D33}"/>
            </c:ext>
          </c:extLst>
        </c:ser>
        <c:ser>
          <c:idx val="3"/>
          <c:order val="2"/>
          <c:tx>
            <c:strRef>
              <c:f>'1. Interpolated Rising'!$S$3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Rising'!$S$4:$S$7</c:f>
              <c:numCache>
                <c:formatCode>0.0000</c:formatCode>
                <c:ptCount val="4"/>
                <c:pt idx="0">
                  <c:v>9.5482381074309841E-2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9.5490195999886937E-2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6B-4045-9D48-87EE4FAB1D33}"/>
            </c:ext>
          </c:extLst>
        </c:ser>
        <c:ser>
          <c:idx val="4"/>
          <c:order val="3"/>
          <c:tx>
            <c:strRef>
              <c:f>'1. Interpolated Rising'!$T$3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'1. Interpolated Rising'!$C$4:$C$7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Rising'!$T$4:$T$7</c:f>
              <c:numCache>
                <c:formatCode>0.0000</c:formatCode>
                <c:ptCount val="4"/>
                <c:pt idx="0">
                  <c:v>9.5490195999999999E-2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9.5490195999999999E-2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6B-4045-9D48-87EE4FAB1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'1. Interpolated Rising'!$E$28:$E$29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'1. Interpolated Rising'!$F$28:$F$29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6B-4045-9D48-87EE4FAB1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B) Average</a:t>
            </a:r>
            <a:r>
              <a:rPr lang="en-US" sz="1200" baseline="0"/>
              <a:t> Shear Stress below Tauc (hours)</a:t>
            </a:r>
            <a:endParaRPr lang="en-US" sz="1200"/>
          </a:p>
        </c:rich>
      </c:tx>
      <c:layout>
        <c:manualLayout>
          <c:xMode val="edge"/>
          <c:yMode val="edge"/>
          <c:x val="0.14202923698550399"/>
          <c:y val="1.746775248055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Interpolated Rising'!$I$12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Rising'!$I$13:$I$16</c:f>
              <c:numCache>
                <c:formatCode>0.0000</c:formatCode>
                <c:ptCount val="4"/>
                <c:pt idx="0">
                  <c:v>2.5287925703623745E-2</c:v>
                </c:pt>
                <c:pt idx="1">
                  <c:v>9.5490195999999999E-2</c:v>
                </c:pt>
                <c:pt idx="2">
                  <c:v>9.5488412914155094E-2</c:v>
                </c:pt>
                <c:pt idx="3">
                  <c:v>5.4840021364129792E-2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D-408D-8C8F-B070A8DBC287}"/>
            </c:ext>
          </c:extLst>
        </c:ser>
        <c:ser>
          <c:idx val="1"/>
          <c:order val="1"/>
          <c:tx>
            <c:strRef>
              <c:f>'1. Interpolated Rising'!$J$12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Rising'!$J$13:$J$16</c:f>
              <c:numCache>
                <c:formatCode>0.00000</c:formatCode>
                <c:ptCount val="4"/>
                <c:pt idx="0">
                  <c:v>2.178143610436431E-3</c:v>
                </c:pt>
                <c:pt idx="1">
                  <c:v>9.4467113386020998E-2</c:v>
                </c:pt>
                <c:pt idx="2">
                  <c:v>6.9513028949114986E-3</c:v>
                </c:pt>
                <c:pt idx="3">
                  <c:v>2.1714221596177974E-3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0D-408D-8C8F-B070A8DBC287}"/>
            </c:ext>
          </c:extLst>
        </c:ser>
        <c:ser>
          <c:idx val="3"/>
          <c:order val="2"/>
          <c:tx>
            <c:strRef>
              <c:f>'1. Interpolated Rising'!$L$12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Rising'!$L$13:$L$16</c:f>
              <c:numCache>
                <c:formatCode>0.0000</c:formatCode>
                <c:ptCount val="4"/>
                <c:pt idx="0">
                  <c:v>1.4526131055674157E-2</c:v>
                </c:pt>
                <c:pt idx="1">
                  <c:v>9.5490195999999999E-2</c:v>
                </c:pt>
                <c:pt idx="2">
                  <c:v>9.5082155893575465E-2</c:v>
                </c:pt>
                <c:pt idx="3">
                  <c:v>3.3880660591664807E-2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0D-408D-8C8F-B070A8DBC287}"/>
            </c:ext>
          </c:extLst>
        </c:ser>
        <c:ser>
          <c:idx val="4"/>
          <c:order val="3"/>
          <c:tx>
            <c:strRef>
              <c:f>'1. Interpolated Rising'!$M$12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Rising'!$M$13:$M$16</c:f>
              <c:numCache>
                <c:formatCode>0.0000</c:formatCode>
                <c:ptCount val="4"/>
                <c:pt idx="0">
                  <c:v>4.2710259625121476E-2</c:v>
                </c:pt>
                <c:pt idx="1">
                  <c:v>9.5490195999999999E-2</c:v>
                </c:pt>
                <c:pt idx="2">
                  <c:v>9.5490195965950472E-2</c:v>
                </c:pt>
                <c:pt idx="3">
                  <c:v>7.7793533049934721E-2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0D-408D-8C8F-B070A8DBC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'1. Interpolated Rising'!$E$28:$E$29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'1. Interpolated Rising'!$F$28:$F$29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0D-408D-8C8F-B070A8DBC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B) Average</a:t>
            </a:r>
            <a:r>
              <a:rPr lang="en-US" sz="1200" baseline="0"/>
              <a:t> Shear Stress below Tauc (mins)</a:t>
            </a:r>
            <a:endParaRPr lang="en-US" sz="1200"/>
          </a:p>
        </c:rich>
      </c:tx>
      <c:layout>
        <c:manualLayout>
          <c:xMode val="edge"/>
          <c:yMode val="edge"/>
          <c:x val="0.14202923698550399"/>
          <c:y val="1.746775248055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Interpolated Rising'!$P$12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Rising'!$P$13:$P$16</c:f>
              <c:numCache>
                <c:formatCode>0.0000</c:formatCode>
                <c:ptCount val="4"/>
                <c:pt idx="0">
                  <c:v>9.5490192554154807E-2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9.5490195999999999E-2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39-4830-8654-F95D63D7072E}"/>
            </c:ext>
          </c:extLst>
        </c:ser>
        <c:ser>
          <c:idx val="1"/>
          <c:order val="1"/>
          <c:tx>
            <c:strRef>
              <c:f>'1. Interpolated Rising'!$Q$12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Rising'!$Q$13:$Q$16</c:f>
              <c:numCache>
                <c:formatCode>0.00000</c:formatCode>
                <c:ptCount val="4"/>
                <c:pt idx="0">
                  <c:v>5.8524677185823326E-3</c:v>
                </c:pt>
                <c:pt idx="1">
                  <c:v>9.5490195999999999E-2</c:v>
                </c:pt>
                <c:pt idx="2">
                  <c:v>9.1650722922398106E-2</c:v>
                </c:pt>
                <c:pt idx="3">
                  <c:v>5.4642364321112469E-3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39-4830-8654-F95D63D7072E}"/>
            </c:ext>
          </c:extLst>
        </c:ser>
        <c:ser>
          <c:idx val="3"/>
          <c:order val="2"/>
          <c:tx>
            <c:strRef>
              <c:f>'1. Interpolated Rising'!$S$12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Rising'!$S$13:$S$16</c:f>
              <c:numCache>
                <c:formatCode>0.0000</c:formatCode>
                <c:ptCount val="4"/>
                <c:pt idx="0">
                  <c:v>9.5472258388747719E-2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9.5490195998635091E-2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39-4830-8654-F95D63D7072E}"/>
            </c:ext>
          </c:extLst>
        </c:ser>
        <c:ser>
          <c:idx val="4"/>
          <c:order val="3"/>
          <c:tx>
            <c:strRef>
              <c:f>'1. Interpolated Rising'!$T$12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Rising'!$T$13:$T$16</c:f>
              <c:numCache>
                <c:formatCode>0.0000</c:formatCode>
                <c:ptCount val="4"/>
                <c:pt idx="0">
                  <c:v>9.5490195999999875E-2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9.5490195999999999E-2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39-4830-8654-F95D63D70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'1. Interpolated Rising'!$E$28:$E$29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'1. Interpolated Rising'!$F$28:$F$29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39-4830-8654-F95D63D70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C) Cumulative</a:t>
            </a:r>
            <a:r>
              <a:rPr lang="en-US" sz="1200" baseline="0"/>
              <a:t> Tau (hours)</a:t>
            </a:r>
            <a:endParaRPr lang="en-US" sz="1200"/>
          </a:p>
        </c:rich>
      </c:tx>
      <c:layout>
        <c:manualLayout>
          <c:xMode val="edge"/>
          <c:yMode val="edge"/>
          <c:x val="0.31126794067770902"/>
          <c:y val="2.9879101731041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Interpolated Rising'!$I$21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Rising'!$I$22:$I$25</c:f>
              <c:numCache>
                <c:formatCode>0.0000</c:formatCode>
                <c:ptCount val="4"/>
                <c:pt idx="0">
                  <c:v>1.3724940952705864E-2</c:v>
                </c:pt>
                <c:pt idx="1">
                  <c:v>9.541253566444298E-2</c:v>
                </c:pt>
                <c:pt idx="2">
                  <c:v>8.7564487965138174E-2</c:v>
                </c:pt>
                <c:pt idx="3">
                  <c:v>6.9059195472865265E-2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8-4D02-BE85-D020D49804C0}"/>
            </c:ext>
          </c:extLst>
        </c:ser>
        <c:ser>
          <c:idx val="1"/>
          <c:order val="1"/>
          <c:tx>
            <c:strRef>
              <c:f>'1. Interpolated Rising'!$J$12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Rising'!$J$22:$J$25</c:f>
              <c:numCache>
                <c:formatCode>0.00000</c:formatCode>
                <c:ptCount val="4"/>
                <c:pt idx="0">
                  <c:v>2.1283607683115491E-3</c:v>
                </c:pt>
                <c:pt idx="1">
                  <c:v>2.8570558935274298E-3</c:v>
                </c:pt>
                <c:pt idx="2">
                  <c:v>2.3701386273827646E-3</c:v>
                </c:pt>
                <c:pt idx="3">
                  <c:v>2.2454371925003935E-3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88-4D02-BE85-D020D49804C0}"/>
            </c:ext>
          </c:extLst>
        </c:ser>
        <c:ser>
          <c:idx val="3"/>
          <c:order val="2"/>
          <c:tx>
            <c:strRef>
              <c:f>'1. Interpolated Rising'!$L$21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Rising'!$L$22:$L$25</c:f>
              <c:numCache>
                <c:formatCode>0.0000</c:formatCode>
                <c:ptCount val="4"/>
                <c:pt idx="0">
                  <c:v>8.1123923720381186E-3</c:v>
                </c:pt>
                <c:pt idx="1">
                  <c:v>9.2797319989961477E-2</c:v>
                </c:pt>
                <c:pt idx="2">
                  <c:v>6.8286008409904175E-2</c:v>
                </c:pt>
                <c:pt idx="3">
                  <c:v>4.5811117937584959E-2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88-4D02-BE85-D020D49804C0}"/>
            </c:ext>
          </c:extLst>
        </c:ser>
        <c:ser>
          <c:idx val="4"/>
          <c:order val="3"/>
          <c:tx>
            <c:strRef>
              <c:f>'1. Interpolated Rising'!$M$21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'1. Interpolated Rising'!$C$22:$C$25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Rising'!$M$22:$M$25</c:f>
              <c:numCache>
                <c:formatCode>0.0000</c:formatCode>
                <c:ptCount val="4"/>
                <c:pt idx="0">
                  <c:v>2.3891660440777854E-2</c:v>
                </c:pt>
                <c:pt idx="1">
                  <c:v>9.549013141003139E-2</c:v>
                </c:pt>
                <c:pt idx="2">
                  <c:v>9.4817463068414612E-2</c:v>
                </c:pt>
                <c:pt idx="3">
                  <c:v>8.8008608582628406E-2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88-4D02-BE85-D020D4980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'1. Interpolated Rising'!$E$28:$E$29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'1. Interpolated Rising'!$F$28:$F$29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88-4D02-BE85-D020D4980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C) Cumulative</a:t>
            </a:r>
            <a:r>
              <a:rPr lang="en-US" sz="1200" baseline="0"/>
              <a:t> Tau (min)</a:t>
            </a:r>
            <a:endParaRPr lang="en-US" sz="1200"/>
          </a:p>
        </c:rich>
      </c:tx>
      <c:layout>
        <c:manualLayout>
          <c:xMode val="edge"/>
          <c:yMode val="edge"/>
          <c:x val="0.31126794067770902"/>
          <c:y val="2.9879101731041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'1. Interpolated Rising'!$P$21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Rising'!$P$22:$P$25</c:f>
              <c:numCache>
                <c:formatCode>0.0000</c:formatCode>
                <c:ptCount val="4"/>
                <c:pt idx="0">
                  <c:v>9.5457810241019153E-2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9.5490195999999999E-2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7-4B6B-AA88-435358F00007}"/>
            </c:ext>
          </c:extLst>
        </c:ser>
        <c:ser>
          <c:idx val="1"/>
          <c:order val="1"/>
          <c:tx>
            <c:strRef>
              <c:f>'1. Interpolated Rising'!$Q$21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Rising'!$Q$22:$Q$25</c:f>
              <c:numCache>
                <c:formatCode>0.00000</c:formatCode>
                <c:ptCount val="4"/>
                <c:pt idx="0">
                  <c:v>2.9374856004166089E-3</c:v>
                </c:pt>
                <c:pt idx="1">
                  <c:v>3.7652697331445918E-2</c:v>
                </c:pt>
                <c:pt idx="2">
                  <c:v>1.6272824782208373E-2</c:v>
                </c:pt>
                <c:pt idx="3">
                  <c:v>9.6497177210023016E-3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7-4B6B-AA88-435358F00007}"/>
            </c:ext>
          </c:extLst>
        </c:ser>
        <c:ser>
          <c:idx val="3"/>
          <c:order val="2"/>
          <c:tx>
            <c:strRef>
              <c:f>'1. Interpolated Rising'!$S$21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Interpolated Rising'!$C$13:$C$16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Rising'!$S$22:$S$25</c:f>
              <c:numCache>
                <c:formatCode>0.0000</c:formatCode>
                <c:ptCount val="4"/>
                <c:pt idx="0">
                  <c:v>9.3751219289359825E-2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9.5490195999999999E-2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67-4B6B-AA88-435358F00007}"/>
            </c:ext>
          </c:extLst>
        </c:ser>
        <c:ser>
          <c:idx val="4"/>
          <c:order val="3"/>
          <c:tx>
            <c:strRef>
              <c:f>'1. Interpolated Rising'!$T$21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'1. Interpolated Rising'!$C$22:$C$25</c:f>
              <c:numCache>
                <c:formatCode>0.0000</c:formatCode>
                <c:ptCount val="4"/>
                <c:pt idx="0">
                  <c:v>2.5559101000000001E-2</c:v>
                </c:pt>
                <c:pt idx="1">
                  <c:v>9.5490195999999999E-2</c:v>
                </c:pt>
                <c:pt idx="2">
                  <c:v>2.5044461000000001E-2</c:v>
                </c:pt>
                <c:pt idx="3">
                  <c:v>2.1145859999999999E-3</c:v>
                </c:pt>
              </c:numCache>
            </c:numRef>
          </c:xVal>
          <c:yVal>
            <c:numRef>
              <c:f>'1. Interpolated Rising'!$T$22:$T$25</c:f>
              <c:numCache>
                <c:formatCode>0.0000</c:formatCode>
                <c:ptCount val="4"/>
                <c:pt idx="0">
                  <c:v>9.5490184767544492E-2</c:v>
                </c:pt>
                <c:pt idx="1">
                  <c:v>9.5490195999999999E-2</c:v>
                </c:pt>
                <c:pt idx="2">
                  <c:v>9.5490195999999999E-2</c:v>
                </c:pt>
                <c:pt idx="3">
                  <c:v>9.5490195999999999E-2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7-4B6B-AA88-435358F00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'1. Interpolated Rising'!$E$28:$E$29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'1. Interpolated Rising'!$F$28:$F$29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67-4B6B-AA88-435358F00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 Average</a:t>
            </a:r>
            <a:r>
              <a:rPr lang="en-US" baseline="0"/>
              <a:t> Shear Stress (hours)</a:t>
            </a:r>
            <a:endParaRPr lang="en-US"/>
          </a:p>
        </c:rich>
      </c:tx>
      <c:layout>
        <c:manualLayout>
          <c:xMode val="edge"/>
          <c:yMode val="edge"/>
          <c:x val="0.18523911877925847"/>
          <c:y val="2.574198531421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 Exceedance D50'!$I$3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D50'!$I$4:$I$7</c:f>
              <c:numCache>
                <c:formatCode>0.0000</c:formatCode>
                <c:ptCount val="4"/>
                <c:pt idx="0">
                  <c:v>2.7853562376260771E-2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5.7678452219139191E-2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C9-4FD1-8E0A-2DBECEE487A9}"/>
            </c:ext>
          </c:extLst>
        </c:ser>
        <c:ser>
          <c:idx val="1"/>
          <c:order val="1"/>
          <c:tx>
            <c:strRef>
              <c:f>'2. Exceedance D50'!$J$3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D50'!$J$4:$J$7</c:f>
              <c:numCache>
                <c:formatCode>0.00000</c:formatCode>
                <c:ptCount val="4"/>
                <c:pt idx="0">
                  <c:v>2.9944622377880981E-3</c:v>
                </c:pt>
                <c:pt idx="1">
                  <c:v>9.4316919288404757E-2</c:v>
                </c:pt>
                <c:pt idx="2">
                  <c:v>8.6988999128219072E-2</c:v>
                </c:pt>
                <c:pt idx="3">
                  <c:v>2.9840478856396069E-3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C9-4FD1-8E0A-2DBECEE487A9}"/>
            </c:ext>
          </c:extLst>
        </c:ser>
        <c:ser>
          <c:idx val="3"/>
          <c:order val="2"/>
          <c:tx>
            <c:strRef>
              <c:f>'2. Exceedance D50'!$L$3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D50'!$L$4:$L$7</c:f>
              <c:numCache>
                <c:formatCode>0.0000</c:formatCode>
                <c:ptCount val="4"/>
                <c:pt idx="0">
                  <c:v>1.6375648695147876E-2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3.6443633309549646E-2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C9-4FD1-8E0A-2DBECEE487A9}"/>
            </c:ext>
          </c:extLst>
        </c:ser>
        <c:ser>
          <c:idx val="4"/>
          <c:order val="3"/>
          <c:tx>
            <c:strRef>
              <c:f>'2. Exceedance D50'!$M$3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D50'!$M$4:$M$7</c:f>
              <c:numCache>
                <c:formatCode>0.0000</c:formatCode>
                <c:ptCount val="4"/>
                <c:pt idx="0">
                  <c:v>4.5990145832335752E-2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7.9646457643268442E-2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C9-4FD1-8E0A-2DBECEE48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'2. Exceedance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'2. Exceedance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C9-4FD1-8E0A-2DBECEE48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 Average</a:t>
            </a:r>
            <a:r>
              <a:rPr lang="en-US" baseline="0"/>
              <a:t> Shear Stress (mins)</a:t>
            </a:r>
            <a:endParaRPr lang="en-US"/>
          </a:p>
        </c:rich>
      </c:tx>
      <c:layout>
        <c:manualLayout>
          <c:xMode val="edge"/>
          <c:yMode val="edge"/>
          <c:x val="0.18523911877925847"/>
          <c:y val="2.574198531421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 Exceedance D50'!$P$3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D50'!$P$4:$P$7</c:f>
              <c:numCache>
                <c:formatCode>0.0000</c:formatCode>
                <c:ptCount val="4"/>
                <c:pt idx="0">
                  <c:v>9.4362567538463699E-2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9.4362567999999994E-2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9-404F-AAE4-45B456BF1CE1}"/>
            </c:ext>
          </c:extLst>
        </c:ser>
        <c:ser>
          <c:idx val="1"/>
          <c:order val="1"/>
          <c:tx>
            <c:strRef>
              <c:f>'2. Exceedance D50'!$Q$3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D50'!$Q$4:$Q$7</c:f>
              <c:numCache>
                <c:formatCode>0.00000</c:formatCode>
                <c:ptCount val="4"/>
                <c:pt idx="0">
                  <c:v>7.4553496056865565E-3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6.8589933121830787E-3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F9-404F-AAE4-45B456BF1CE1}"/>
            </c:ext>
          </c:extLst>
        </c:ser>
        <c:ser>
          <c:idx val="3"/>
          <c:order val="2"/>
          <c:tx>
            <c:strRef>
              <c:f>'2. Exceedance D50'!$S$3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D50'!$S$4:$S$7</c:f>
              <c:numCache>
                <c:formatCode>0.0000</c:formatCode>
                <c:ptCount val="4"/>
                <c:pt idx="0">
                  <c:v>9.4356071424834737E-2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9.4362567999885016E-2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F9-404F-AAE4-45B456BF1CE1}"/>
            </c:ext>
          </c:extLst>
        </c:ser>
        <c:ser>
          <c:idx val="4"/>
          <c:order val="3"/>
          <c:tx>
            <c:strRef>
              <c:f>'2. Exceedance D50'!$T$3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Exceedance D50'!$C$4:$C$7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D50'!$T$4:$T$7</c:f>
              <c:numCache>
                <c:formatCode>0.0000</c:formatCode>
                <c:ptCount val="4"/>
                <c:pt idx="0">
                  <c:v>9.4362567999999994E-2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9.4362567999999994E-2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F9-404F-AAE4-45B456BF1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'2. Exceedance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'2. Exceedance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F9-404F-AAE4-45B456BF1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B) Average</a:t>
            </a:r>
            <a:r>
              <a:rPr lang="en-US" sz="1200" baseline="0"/>
              <a:t> Shear Stress below Tauc (hours)</a:t>
            </a:r>
            <a:endParaRPr lang="en-US" sz="1200"/>
          </a:p>
        </c:rich>
      </c:tx>
      <c:layout>
        <c:manualLayout>
          <c:xMode val="edge"/>
          <c:yMode val="edge"/>
          <c:x val="0.14202923698550399"/>
          <c:y val="1.746775248055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 Exceedance D50'!$I$12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D50'!$I$13:$I$16</c:f>
              <c:numCache>
                <c:formatCode>0.0000</c:formatCode>
                <c:ptCount val="4"/>
                <c:pt idx="0">
                  <c:v>2.6398112798949422E-2</c:v>
                </c:pt>
                <c:pt idx="1">
                  <c:v>9.4362567999999994E-2</c:v>
                </c:pt>
                <c:pt idx="2">
                  <c:v>9.4362174909121507E-2</c:v>
                </c:pt>
                <c:pt idx="3">
                  <c:v>5.5571267175563925E-2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73-41AB-9909-A9EE7F0D7C54}"/>
            </c:ext>
          </c:extLst>
        </c:ser>
        <c:ser>
          <c:idx val="1"/>
          <c:order val="1"/>
          <c:tx>
            <c:strRef>
              <c:f>'2. Exceedance D50'!$J$12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D50'!$J$13:$J$16</c:f>
              <c:numCache>
                <c:formatCode>0.00000</c:formatCode>
                <c:ptCount val="4"/>
                <c:pt idx="0">
                  <c:v>2.9842797981954605E-3</c:v>
                </c:pt>
                <c:pt idx="1">
                  <c:v>9.321386705189387E-2</c:v>
                </c:pt>
                <c:pt idx="2">
                  <c:v>8.9961329063713014E-3</c:v>
                </c:pt>
                <c:pt idx="3">
                  <c:v>2.9760912221753338E-3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73-41AB-9909-A9EE7F0D7C54}"/>
            </c:ext>
          </c:extLst>
        </c:ser>
        <c:ser>
          <c:idx val="3"/>
          <c:order val="2"/>
          <c:tx>
            <c:strRef>
              <c:f>'2. Exceedance D50'!$L$12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D50'!$L$13:$L$16</c:f>
              <c:numCache>
                <c:formatCode>0.0000</c:formatCode>
                <c:ptCount val="4"/>
                <c:pt idx="0">
                  <c:v>1.5526953443010416E-2</c:v>
                </c:pt>
                <c:pt idx="1">
                  <c:v>9.4362567999999994E-2</c:v>
                </c:pt>
                <c:pt idx="2">
                  <c:v>9.4172972502011607E-2</c:v>
                </c:pt>
                <c:pt idx="3">
                  <c:v>3.4803388084620066E-2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73-41AB-9909-A9EE7F0D7C54}"/>
            </c:ext>
          </c:extLst>
        </c:ser>
        <c:ser>
          <c:idx val="4"/>
          <c:order val="3"/>
          <c:tx>
            <c:strRef>
              <c:f>'2. Exceedance D50'!$M$12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D50'!$M$13:$M$16</c:f>
              <c:numCache>
                <c:formatCode>0.0000</c:formatCode>
                <c:ptCount val="4"/>
                <c:pt idx="0">
                  <c:v>4.3849865447039858E-2</c:v>
                </c:pt>
                <c:pt idx="1">
                  <c:v>9.4362567999999994E-2</c:v>
                </c:pt>
                <c:pt idx="2">
                  <c:v>9.4362567998310248E-2</c:v>
                </c:pt>
                <c:pt idx="3">
                  <c:v>7.7907275294710782E-2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73-41AB-9909-A9EE7F0D7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'2. Exceedance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'2. Exceedance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73-41AB-9909-A9EE7F0D7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B) Average</a:t>
            </a:r>
            <a:r>
              <a:rPr lang="en-US" sz="1200" baseline="0"/>
              <a:t> Shear Stress below Tauc (mins)</a:t>
            </a:r>
            <a:endParaRPr lang="en-US" sz="1200"/>
          </a:p>
        </c:rich>
      </c:tx>
      <c:layout>
        <c:manualLayout>
          <c:xMode val="edge"/>
          <c:yMode val="edge"/>
          <c:x val="0.14202923698550399"/>
          <c:y val="1.746775248055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 Exceedance D50'!$P$12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D50'!$P$13:$P$16</c:f>
              <c:numCache>
                <c:formatCode>0.0000</c:formatCode>
                <c:ptCount val="4"/>
                <c:pt idx="0">
                  <c:v>9.4362566308433884E-2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9.4362567999999994E-2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A-4FAD-BE78-0C7A7CE3F196}"/>
            </c:ext>
          </c:extLst>
        </c:ser>
        <c:ser>
          <c:idx val="1"/>
          <c:order val="1"/>
          <c:tx>
            <c:strRef>
              <c:f>'2. Exceedance D50'!$Q$12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D50'!$Q$13:$Q$16</c:f>
              <c:numCache>
                <c:formatCode>0.00000</c:formatCode>
                <c:ptCount val="4"/>
                <c:pt idx="0">
                  <c:v>6.8723170068787642E-3</c:v>
                </c:pt>
                <c:pt idx="1">
                  <c:v>9.4362567999999994E-2</c:v>
                </c:pt>
                <c:pt idx="2">
                  <c:v>9.2888195187005571E-2</c:v>
                </c:pt>
                <c:pt idx="3">
                  <c:v>6.4006615860574129E-3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A-4FAD-BE78-0C7A7CE3F196}"/>
            </c:ext>
          </c:extLst>
        </c:ser>
        <c:ser>
          <c:idx val="3"/>
          <c:order val="2"/>
          <c:tx>
            <c:strRef>
              <c:f>'2. Exceedance D50'!$S$12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D50'!$S$13:$S$16</c:f>
              <c:numCache>
                <c:formatCode>0.0000</c:formatCode>
                <c:ptCount val="4"/>
                <c:pt idx="0">
                  <c:v>9.4350130702454543E-2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9.4362567999385805E-2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BA-4FAD-BE78-0C7A7CE3F196}"/>
            </c:ext>
          </c:extLst>
        </c:ser>
        <c:ser>
          <c:idx val="4"/>
          <c:order val="3"/>
          <c:tx>
            <c:strRef>
              <c:f>'2. Exceedance D50'!$T$12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D50'!$T$13:$T$16</c:f>
              <c:numCache>
                <c:formatCode>0.0000</c:formatCode>
                <c:ptCount val="4"/>
                <c:pt idx="0">
                  <c:v>9.4362567999999966E-2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9.4362567999999994E-2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BA-4FAD-BE78-0C7A7CE3F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'2. Exceedance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'2. Exceedance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BA-4FAD-BE78-0C7A7CE3F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C) Cumulative</a:t>
            </a:r>
            <a:r>
              <a:rPr lang="en-US" sz="1200" baseline="0"/>
              <a:t> Tau (hours)</a:t>
            </a:r>
            <a:endParaRPr lang="en-US" sz="1200"/>
          </a:p>
        </c:rich>
      </c:tx>
      <c:layout>
        <c:manualLayout>
          <c:xMode val="edge"/>
          <c:yMode val="edge"/>
          <c:x val="0.31126794067770902"/>
          <c:y val="2.9879101731041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 Exceedance D50'!$I$21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D50'!$I$22:$I$25</c:f>
              <c:numCache>
                <c:formatCode>0.0000</c:formatCode>
                <c:ptCount val="4"/>
                <c:pt idx="0">
                  <c:v>1.4287296694764334E-2</c:v>
                </c:pt>
                <c:pt idx="1">
                  <c:v>9.4286524973033789E-2</c:v>
                </c:pt>
                <c:pt idx="2">
                  <c:v>8.6599668024881699E-2</c:v>
                </c:pt>
                <c:pt idx="3">
                  <c:v>6.8481217816790743E-2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CE-4CC9-94BF-50976A996BB2}"/>
            </c:ext>
          </c:extLst>
        </c:ser>
        <c:ser>
          <c:idx val="1"/>
          <c:order val="1"/>
          <c:tx>
            <c:strRef>
              <c:f>'2. Exceedance D50'!$J$21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D50'!$J$22:$J$25</c:f>
              <c:numCache>
                <c:formatCode>0.00000</c:formatCode>
                <c:ptCount val="4"/>
                <c:pt idx="0">
                  <c:v>2.9304030613845899E-3</c:v>
                </c:pt>
                <c:pt idx="1">
                  <c:v>3.6440543382460361E-3</c:v>
                </c:pt>
                <c:pt idx="2">
                  <c:v>3.1671705447315346E-3</c:v>
                </c:pt>
                <c:pt idx="3">
                  <c:v>3.0450728176397296E-3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CE-4CC9-94BF-50976A996BB2}"/>
            </c:ext>
          </c:extLst>
        </c:ser>
        <c:ser>
          <c:idx val="3"/>
          <c:order val="2"/>
          <c:tx>
            <c:strRef>
              <c:f>'2. Exceedance D50'!$L$21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D50'!$L$22:$L$25</c:f>
              <c:numCache>
                <c:formatCode>0.0000</c:formatCode>
                <c:ptCount val="4"/>
                <c:pt idx="0">
                  <c:v>8.7907523489926948E-3</c:v>
                </c:pt>
                <c:pt idx="1">
                  <c:v>9.1725561286108759E-2</c:v>
                </c:pt>
                <c:pt idx="2">
                  <c:v>6.7718929492390403E-2</c:v>
                </c:pt>
                <c:pt idx="3">
                  <c:v>4.5713446530152885E-2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CE-4CC9-94BF-50976A996BB2}"/>
            </c:ext>
          </c:extLst>
        </c:ser>
        <c:ser>
          <c:idx val="4"/>
          <c:order val="3"/>
          <c:tx>
            <c:strRef>
              <c:f>'2. Exceedance D50'!$M$21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Exceedance D50'!$C$22:$C$25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D50'!$M$22:$M$25</c:f>
              <c:numCache>
                <c:formatCode>0.0000</c:formatCode>
                <c:ptCount val="4"/>
                <c:pt idx="0">
                  <c:v>2.424388303233152E-2</c:v>
                </c:pt>
                <c:pt idx="1">
                  <c:v>9.4362504765262922E-2</c:v>
                </c:pt>
                <c:pt idx="2">
                  <c:v>9.3703568772276258E-2</c:v>
                </c:pt>
                <c:pt idx="3">
                  <c:v>8.7037514805226493E-2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CE-4CC9-94BF-50976A996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'2. Exceedance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'2. Exceedance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CE-4CC9-94BF-50976A996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C) Cumulative</a:t>
            </a:r>
            <a:r>
              <a:rPr lang="en-US" sz="1200" baseline="0"/>
              <a:t> Tau (min)</a:t>
            </a:r>
            <a:endParaRPr lang="en-US" sz="1200"/>
          </a:p>
        </c:rich>
      </c:tx>
      <c:layout>
        <c:manualLayout>
          <c:xMode val="edge"/>
          <c:yMode val="edge"/>
          <c:x val="0.31126794067770902"/>
          <c:y val="2.9879101731041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 Exceedance D50'!$P$21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D50'!$P$22:$P$25</c:f>
              <c:numCache>
                <c:formatCode>0.0000</c:formatCode>
                <c:ptCount val="4"/>
                <c:pt idx="0">
                  <c:v>9.4330851613433145E-2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9.4362567999999994E-2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F-40EF-851F-4AB91DFDE3CD}"/>
            </c:ext>
          </c:extLst>
        </c:ser>
        <c:ser>
          <c:idx val="1"/>
          <c:order val="1"/>
          <c:tx>
            <c:strRef>
              <c:f>'2. Exceedance D50'!$Q$21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D50'!$Q$22:$Q$25</c:f>
              <c:numCache>
                <c:formatCode>0.00000</c:formatCode>
                <c:ptCount val="4"/>
                <c:pt idx="0">
                  <c:v>3.7228043131527083E-3</c:v>
                </c:pt>
                <c:pt idx="1">
                  <c:v>3.7721146861099168E-2</c:v>
                </c:pt>
                <c:pt idx="2">
                  <c:v>1.6781848560971868E-2</c:v>
                </c:pt>
                <c:pt idx="3">
                  <c:v>1.0297029635315855E-2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9F-40EF-851F-4AB91DFDE3CD}"/>
            </c:ext>
          </c:extLst>
        </c:ser>
        <c:ser>
          <c:idx val="3"/>
          <c:order val="2"/>
          <c:tx>
            <c:strRef>
              <c:f>'2. Exceedance D50'!$S$21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Exceedance D50'!$C$13:$C$16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D50'!$S$22:$S$25</c:f>
              <c:numCache>
                <c:formatCode>0.0000</c:formatCode>
                <c:ptCount val="4"/>
                <c:pt idx="0">
                  <c:v>9.2659533724408744E-2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9.4362567999999994E-2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9F-40EF-851F-4AB91DFDE3CD}"/>
            </c:ext>
          </c:extLst>
        </c:ser>
        <c:ser>
          <c:idx val="4"/>
          <c:order val="3"/>
          <c:tx>
            <c:strRef>
              <c:f>'2. Exceedance D50'!$T$21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Exceedance D50'!$C$22:$C$25</c:f>
              <c:numCache>
                <c:formatCode>0.0000</c:formatCode>
                <c:ptCount val="4"/>
                <c:pt idx="0">
                  <c:v>2.9847195999999999E-2</c:v>
                </c:pt>
                <c:pt idx="1">
                  <c:v>9.4362567999999994E-2</c:v>
                </c:pt>
                <c:pt idx="2">
                  <c:v>2.8499633999999999E-2</c:v>
                </c:pt>
                <c:pt idx="3">
                  <c:v>2.9169130000000001E-3</c:v>
                </c:pt>
              </c:numCache>
            </c:numRef>
          </c:xVal>
          <c:yVal>
            <c:numRef>
              <c:f>'2. Exceedance D50'!$T$22:$T$25</c:f>
              <c:numCache>
                <c:formatCode>0.0000</c:formatCode>
                <c:ptCount val="4"/>
                <c:pt idx="0">
                  <c:v>9.4362556999705041E-2</c:v>
                </c:pt>
                <c:pt idx="1">
                  <c:v>9.4362567999999994E-2</c:v>
                </c:pt>
                <c:pt idx="2">
                  <c:v>9.4362567999999994E-2</c:v>
                </c:pt>
                <c:pt idx="3">
                  <c:v>9.4362567999999994E-2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9F-40EF-851F-4AB91DFDE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'2. Exceedance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'2. Exceedance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9F-40EF-851F-4AB91DFDE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 Average</a:t>
            </a:r>
            <a:r>
              <a:rPr lang="en-US" baseline="0"/>
              <a:t> Shear Stress (hours)</a:t>
            </a:r>
            <a:endParaRPr lang="en-US"/>
          </a:p>
        </c:rich>
      </c:tx>
      <c:layout>
        <c:manualLayout>
          <c:xMode val="edge"/>
          <c:yMode val="edge"/>
          <c:x val="0.18523911877925847"/>
          <c:y val="2.574198531421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 Interpolated Falling'!$I$3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Falling'!$I$4:$I$7</c:f>
              <c:numCache>
                <c:formatCode>0.0000</c:formatCode>
                <c:ptCount val="4"/>
                <c:pt idx="0">
                  <c:v>5.1437605488921012E-2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8.5207631589516636E-2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4-4FFA-91D4-3408D716B728}"/>
            </c:ext>
          </c:extLst>
        </c:ser>
        <c:ser>
          <c:idx val="1"/>
          <c:order val="1"/>
          <c:tx>
            <c:strRef>
              <c:f>'3. Interpolated Falling'!$J$3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Falling'!$J$4:$J$7</c:f>
              <c:numCache>
                <c:formatCode>0.00000</c:formatCode>
                <c:ptCount val="4"/>
                <c:pt idx="0">
                  <c:v>3.0371307072954434E-3</c:v>
                </c:pt>
                <c:pt idx="1">
                  <c:v>0.14419091720782792</c:v>
                </c:pt>
                <c:pt idx="2">
                  <c:v>0.10756488757512647</c:v>
                </c:pt>
                <c:pt idx="3">
                  <c:v>2.9275659386304165E-3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4-4FFA-91D4-3408D716B728}"/>
            </c:ext>
          </c:extLst>
        </c:ser>
        <c:ser>
          <c:idx val="3"/>
          <c:order val="2"/>
          <c:tx>
            <c:strRef>
              <c:f>'3. Interpolated Falling'!$L$3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Falling'!$L$4:$L$7</c:f>
              <c:numCache>
                <c:formatCode>0.0000</c:formatCode>
                <c:ptCount val="4"/>
                <c:pt idx="0">
                  <c:v>2.9685458705018777E-2</c:v>
                </c:pt>
                <c:pt idx="1">
                  <c:v>0.14419332000000001</c:v>
                </c:pt>
                <c:pt idx="2">
                  <c:v>0.14419331999944554</c:v>
                </c:pt>
                <c:pt idx="3">
                  <c:v>5.2879125633014404E-2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74-4FFA-91D4-3408D716B728}"/>
            </c:ext>
          </c:extLst>
        </c:ser>
        <c:ser>
          <c:idx val="4"/>
          <c:order val="3"/>
          <c:tx>
            <c:strRef>
              <c:f>'3. Interpolated Falling'!$M$3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Falling'!$M$4:$M$7</c:f>
              <c:numCache>
                <c:formatCode>0.0000</c:formatCode>
                <c:ptCount val="4"/>
                <c:pt idx="0">
                  <c:v>8.3330591355789213E-2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0.11958038678008331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74-4FFA-91D4-3408D7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'3. Interpolated Falling'!$E$28:$E$29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'3. Interpolated Falling'!$F$28:$F$29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74-4FFA-91D4-3408D7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 Average</a:t>
            </a:r>
            <a:r>
              <a:rPr lang="en-US" baseline="0"/>
              <a:t> Shear Stress (mins)</a:t>
            </a:r>
            <a:endParaRPr lang="en-US"/>
          </a:p>
        </c:rich>
      </c:tx>
      <c:layout>
        <c:manualLayout>
          <c:xMode val="edge"/>
          <c:yMode val="edge"/>
          <c:x val="0.18523911877925847"/>
          <c:y val="2.574198531421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 Interpolated Falling'!$P$3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Falling'!$P$4:$P$7</c:f>
              <c:numCache>
                <c:formatCode>0.0000</c:formatCode>
                <c:ptCount val="4"/>
                <c:pt idx="0">
                  <c:v>0.14419331999851759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0.14419332000000001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93-4199-BC84-41B7B83F2569}"/>
            </c:ext>
          </c:extLst>
        </c:ser>
        <c:ser>
          <c:idx val="1"/>
          <c:order val="1"/>
          <c:tx>
            <c:strRef>
              <c:f>'3. Interpolated Falling'!$Q$3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Falling'!$Q$4:$Q$7</c:f>
              <c:numCache>
                <c:formatCode>0.00000</c:formatCode>
                <c:ptCount val="4"/>
                <c:pt idx="0">
                  <c:v>1.461582517993068E-2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8.4409021275818619E-3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93-4199-BC84-41B7B83F2569}"/>
            </c:ext>
          </c:extLst>
        </c:ser>
        <c:ser>
          <c:idx val="3"/>
          <c:order val="2"/>
          <c:tx>
            <c:strRef>
              <c:f>'3. Interpolated Falling'!$S$3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Falling'!$S$4:$S$7</c:f>
              <c:numCache>
                <c:formatCode>0.0000</c:formatCode>
                <c:ptCount val="4"/>
                <c:pt idx="0">
                  <c:v>0.14419286222481423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0.14419331999942081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93-4199-BC84-41B7B83F2569}"/>
            </c:ext>
          </c:extLst>
        </c:ser>
        <c:ser>
          <c:idx val="4"/>
          <c:order val="3"/>
          <c:tx>
            <c:strRef>
              <c:f>'3. Interpolated Falling'!$T$3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'3. Interpolated Falling'!$C$4:$C$7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Falling'!$T$4:$T$7</c:f>
              <c:numCache>
                <c:formatCode>0.0000</c:formatCode>
                <c:ptCount val="4"/>
                <c:pt idx="0">
                  <c:v>0.14419332000000001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0.14419332000000001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93-4199-BC84-41B7B83F2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'3. Interpolated Falling'!$E$28:$E$29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'3. Interpolated Falling'!$F$28:$F$29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93-4199-BC84-41B7B83F2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B) Average</a:t>
            </a:r>
            <a:r>
              <a:rPr lang="en-US" sz="1200" baseline="0"/>
              <a:t> Shear Stress below Tauc (hours)</a:t>
            </a:r>
            <a:endParaRPr lang="en-US" sz="1200"/>
          </a:p>
        </c:rich>
      </c:tx>
      <c:layout>
        <c:manualLayout>
          <c:xMode val="edge"/>
          <c:yMode val="edge"/>
          <c:x val="0.14202923698550399"/>
          <c:y val="1.746775248055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 Interpolated Falling'!$I$12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Falling'!$I$13:$I$16</c:f>
              <c:numCache>
                <c:formatCode>0.0000</c:formatCode>
                <c:ptCount val="4"/>
                <c:pt idx="0">
                  <c:v>3.6205384444884733E-2</c:v>
                </c:pt>
                <c:pt idx="1">
                  <c:v>0.14419332000000001</c:v>
                </c:pt>
                <c:pt idx="2">
                  <c:v>0.14417428294016502</c:v>
                </c:pt>
                <c:pt idx="3">
                  <c:v>8.385818113895549E-2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2A-401C-904A-73C3377CA777}"/>
            </c:ext>
          </c:extLst>
        </c:ser>
        <c:ser>
          <c:idx val="1"/>
          <c:order val="1"/>
          <c:tx>
            <c:strRef>
              <c:f>'3. Interpolated Falling'!$J$12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Falling'!$J$13:$J$16</c:f>
              <c:numCache>
                <c:formatCode>0.00000</c:formatCode>
                <c:ptCount val="4"/>
                <c:pt idx="0">
                  <c:v>2.9159574504269981E-3</c:v>
                </c:pt>
                <c:pt idx="1">
                  <c:v>0.14418557975566954</c:v>
                </c:pt>
                <c:pt idx="2">
                  <c:v>8.2227475942310835E-3</c:v>
                </c:pt>
                <c:pt idx="3">
                  <c:v>2.9226959730896951E-3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2A-401C-904A-73C3377CA777}"/>
            </c:ext>
          </c:extLst>
        </c:ser>
        <c:ser>
          <c:idx val="3"/>
          <c:order val="2"/>
          <c:tx>
            <c:strRef>
              <c:f>'3. Interpolated Falling'!$L$12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Falling'!$L$13:$L$16</c:f>
              <c:numCache>
                <c:formatCode>0.0000</c:formatCode>
                <c:ptCount val="4"/>
                <c:pt idx="0">
                  <c:v>2.064052198740994E-2</c:v>
                </c:pt>
                <c:pt idx="1">
                  <c:v>0.14419332000000001</c:v>
                </c:pt>
                <c:pt idx="2">
                  <c:v>0.14255286280329385</c:v>
                </c:pt>
                <c:pt idx="3">
                  <c:v>5.1840507916524739E-2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2A-401C-904A-73C3377CA777}"/>
            </c:ext>
          </c:extLst>
        </c:ser>
        <c:ser>
          <c:idx val="4"/>
          <c:order val="3"/>
          <c:tx>
            <c:strRef>
              <c:f>'3. Interpolated Falling'!$M$12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Falling'!$M$13:$M$16</c:f>
              <c:numCache>
                <c:formatCode>0.0000</c:formatCode>
                <c:ptCount val="4"/>
                <c:pt idx="0">
                  <c:v>6.1699665005893065E-2</c:v>
                </c:pt>
                <c:pt idx="1">
                  <c:v>0.14419332000000001</c:v>
                </c:pt>
                <c:pt idx="2">
                  <c:v>0.14419331743628458</c:v>
                </c:pt>
                <c:pt idx="3">
                  <c:v>0.11844133552462735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2A-401C-904A-73C3377CA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'3. Interpolated Falling'!$E$28:$E$29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'3. Interpolated Falling'!$F$28:$F$29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2A-401C-904A-73C3377CA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B) Average</a:t>
            </a:r>
            <a:r>
              <a:rPr lang="en-US" sz="1200" baseline="0"/>
              <a:t> Shear Stress below Tauc (mins)</a:t>
            </a:r>
            <a:endParaRPr lang="en-US" sz="1200"/>
          </a:p>
        </c:rich>
      </c:tx>
      <c:layout>
        <c:manualLayout>
          <c:xMode val="edge"/>
          <c:yMode val="edge"/>
          <c:x val="0.14202923698550399"/>
          <c:y val="1.746775248055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 Interpolated Falling'!$P$12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Falling'!$P$13:$P$16</c:f>
              <c:numCache>
                <c:formatCode>0.0000</c:formatCode>
                <c:ptCount val="4"/>
                <c:pt idx="0">
                  <c:v>0.14419330641535255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0.14419332000000001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04-4E55-B37D-77B5F6592F5C}"/>
            </c:ext>
          </c:extLst>
        </c:ser>
        <c:ser>
          <c:idx val="1"/>
          <c:order val="1"/>
          <c:tx>
            <c:strRef>
              <c:f>'3. Interpolated Falling'!$Q$12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Falling'!$Q$13:$Q$16</c:f>
              <c:numCache>
                <c:formatCode>0.00000</c:formatCode>
                <c:ptCount val="4"/>
                <c:pt idx="0">
                  <c:v>7.7699511486997164E-3</c:v>
                </c:pt>
                <c:pt idx="1">
                  <c:v>0.14419332000000001</c:v>
                </c:pt>
                <c:pt idx="2">
                  <c:v>0.13047725288241635</c:v>
                </c:pt>
                <c:pt idx="3">
                  <c:v>8.15982237846688E-3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04-4E55-B37D-77B5F6592F5C}"/>
            </c:ext>
          </c:extLst>
        </c:ser>
        <c:ser>
          <c:idx val="3"/>
          <c:order val="2"/>
          <c:tx>
            <c:strRef>
              <c:f>'3. Interpolated Falling'!$S$12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Falling'!$S$13:$S$16</c:f>
              <c:numCache>
                <c:formatCode>0.0000</c:formatCode>
                <c:ptCount val="4"/>
                <c:pt idx="0">
                  <c:v>0.14414949830700383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0.14419331999885834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04-4E55-B37D-77B5F6592F5C}"/>
            </c:ext>
          </c:extLst>
        </c:ser>
        <c:ser>
          <c:idx val="4"/>
          <c:order val="3"/>
          <c:tx>
            <c:strRef>
              <c:f>'3. Interpolated Falling'!$T$12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Falling'!$T$13:$T$16</c:f>
              <c:numCache>
                <c:formatCode>0.0000</c:formatCode>
                <c:ptCount val="4"/>
                <c:pt idx="0">
                  <c:v>0.14419331999999871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0.14419332000000001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04-4E55-B37D-77B5F6592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'3. Interpolated Falling'!$E$28:$E$29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'3. Interpolated Falling'!$F$28:$F$29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04-4E55-B37D-77B5F6592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C) Cumulative</a:t>
            </a:r>
            <a:r>
              <a:rPr lang="en-US" sz="1200" baseline="0"/>
              <a:t> Tau (hours)</a:t>
            </a:r>
            <a:endParaRPr lang="en-US" sz="1200"/>
          </a:p>
        </c:rich>
      </c:tx>
      <c:layout>
        <c:manualLayout>
          <c:xMode val="edge"/>
          <c:yMode val="edge"/>
          <c:x val="0.31126794067770902"/>
          <c:y val="2.9879101731041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 Interpolated Falling'!$I$21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Falling'!$I$22:$I$25</c:f>
              <c:numCache>
                <c:formatCode>0.0000</c:formatCode>
                <c:ptCount val="4"/>
                <c:pt idx="0">
                  <c:v>2.080503603322105E-2</c:v>
                </c:pt>
                <c:pt idx="1">
                  <c:v>0.14409634176332714</c:v>
                </c:pt>
                <c:pt idx="2">
                  <c:v>0.12959142991465677</c:v>
                </c:pt>
                <c:pt idx="3">
                  <c:v>0.10401316566547114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C-4280-9416-4D23845237A2}"/>
            </c:ext>
          </c:extLst>
        </c:ser>
        <c:ser>
          <c:idx val="1"/>
          <c:order val="1"/>
          <c:tx>
            <c:strRef>
              <c:f>'3. Interpolated Falling'!$J$12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Falling'!$J$22:$J$25</c:f>
              <c:numCache>
                <c:formatCode>0.00000</c:formatCode>
                <c:ptCount val="4"/>
                <c:pt idx="0">
                  <c:v>2.8535717115406034E-3</c:v>
                </c:pt>
                <c:pt idx="1">
                  <c:v>3.9855742647547932E-3</c:v>
                </c:pt>
                <c:pt idx="2">
                  <c:v>3.1883359684674595E-3</c:v>
                </c:pt>
                <c:pt idx="3">
                  <c:v>3.0296596672826637E-3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5C-4280-9416-4D23845237A2}"/>
            </c:ext>
          </c:extLst>
        </c:ser>
        <c:ser>
          <c:idx val="3"/>
          <c:order val="2"/>
          <c:tx>
            <c:strRef>
              <c:f>'3. Interpolated Falling'!$L$21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Falling'!$L$22:$L$25</c:f>
              <c:numCache>
                <c:formatCode>0.0000</c:formatCode>
                <c:ptCount val="4"/>
                <c:pt idx="0">
                  <c:v>1.2124004238928315E-2</c:v>
                </c:pt>
                <c:pt idx="1">
                  <c:v>0.14049075998063129</c:v>
                </c:pt>
                <c:pt idx="2">
                  <c:v>9.8760519981151665E-2</c:v>
                </c:pt>
                <c:pt idx="3">
                  <c:v>6.8828135625518844E-2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5C-4280-9416-4D23845237A2}"/>
            </c:ext>
          </c:extLst>
        </c:ser>
        <c:ser>
          <c:idx val="4"/>
          <c:order val="3"/>
          <c:tx>
            <c:strRef>
              <c:f>'3. Interpolated Falling'!$M$21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'3. Interpolated Falling'!$C$22:$C$25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Falling'!$M$22:$M$25</c:f>
              <c:numCache>
                <c:formatCode>0.0000</c:formatCode>
                <c:ptCount val="4"/>
                <c:pt idx="0">
                  <c:v>3.6492770968026333E-2</c:v>
                </c:pt>
                <c:pt idx="1">
                  <c:v>0.14419325346982972</c:v>
                </c:pt>
                <c:pt idx="2">
                  <c:v>0.14268501830651475</c:v>
                </c:pt>
                <c:pt idx="3">
                  <c:v>0.1327726056362678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5C-4280-9416-4D2384523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'3. Interpolated Falling'!$E$28:$E$29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'3. Interpolated Falling'!$F$28:$F$29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5C-4280-9416-4D2384523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C) Cumulative</a:t>
            </a:r>
            <a:r>
              <a:rPr lang="en-US" sz="1200" baseline="0"/>
              <a:t> Tau (min)</a:t>
            </a:r>
            <a:endParaRPr lang="en-US" sz="1200"/>
          </a:p>
        </c:rich>
      </c:tx>
      <c:layout>
        <c:manualLayout>
          <c:xMode val="edge"/>
          <c:yMode val="edge"/>
          <c:x val="0.31126794067770902"/>
          <c:y val="2.9879101731041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'3. Interpolated Falling'!$P$21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Falling'!$P$22:$P$25</c:f>
              <c:numCache>
                <c:formatCode>0.0000</c:formatCode>
                <c:ptCount val="4"/>
                <c:pt idx="0">
                  <c:v>0.14415286525123547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0.14419332000000001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A-4633-B27F-DAEE1458E670}"/>
            </c:ext>
          </c:extLst>
        </c:ser>
        <c:ser>
          <c:idx val="1"/>
          <c:order val="1"/>
          <c:tx>
            <c:strRef>
              <c:f>'3. Interpolated Falling'!$Q$21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 Interpolated Falling'!$C$22:$C$25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Falling'!$Q$22:$Q$25</c:f>
              <c:numCache>
                <c:formatCode>0.00000</c:formatCode>
                <c:ptCount val="4"/>
                <c:pt idx="0">
                  <c:v>4.107923338441094E-3</c:v>
                </c:pt>
                <c:pt idx="1">
                  <c:v>5.7725510468578822E-2</c:v>
                </c:pt>
                <c:pt idx="2">
                  <c:v>2.2686158861194544E-2</c:v>
                </c:pt>
                <c:pt idx="3">
                  <c:v>1.4203689493536648E-2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6A-4633-B27F-DAEE1458E670}"/>
            </c:ext>
          </c:extLst>
        </c:ser>
        <c:ser>
          <c:idx val="3"/>
          <c:order val="2"/>
          <c:tx>
            <c:strRef>
              <c:f>'3. Interpolated Falling'!$S$21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'3. Interpolated Falling'!$C$13:$C$16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Falling'!$S$22:$S$25</c:f>
              <c:numCache>
                <c:formatCode>0.0000</c:formatCode>
                <c:ptCount val="4"/>
                <c:pt idx="0">
                  <c:v>0.14180193379366435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0.14419332000000001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6A-4633-B27F-DAEE1458E670}"/>
            </c:ext>
          </c:extLst>
        </c:ser>
        <c:ser>
          <c:idx val="4"/>
          <c:order val="3"/>
          <c:tx>
            <c:strRef>
              <c:f>'3. Interpolated Falling'!$T$21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'3. Interpolated Falling'!$C$22:$C$25</c:f>
              <c:numCache>
                <c:formatCode>General</c:formatCode>
                <c:ptCount val="4"/>
                <c:pt idx="0">
                  <c:v>2.0720242E-2</c:v>
                </c:pt>
                <c:pt idx="1">
                  <c:v>0.14419332000000001</c:v>
                </c:pt>
                <c:pt idx="2">
                  <c:v>2.2070355E-2</c:v>
                </c:pt>
                <c:pt idx="3">
                  <c:v>2.8322149999999999E-3</c:v>
                </c:pt>
              </c:numCache>
            </c:numRef>
          </c:xVal>
          <c:yVal>
            <c:numRef>
              <c:f>'3. Interpolated Falling'!$T$22:$T$25</c:f>
              <c:numCache>
                <c:formatCode>0.0000</c:formatCode>
                <c:ptCount val="4"/>
                <c:pt idx="0">
                  <c:v>0.14419330842265207</c:v>
                </c:pt>
                <c:pt idx="1">
                  <c:v>0.14419332000000001</c:v>
                </c:pt>
                <c:pt idx="2">
                  <c:v>0.14419332000000001</c:v>
                </c:pt>
                <c:pt idx="3">
                  <c:v>0.14419332000000001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6A-4633-B27F-DAEE1458E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'3. Interpolated Falling'!$E$28:$E$29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'3. Interpolated Falling'!$F$28:$F$29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6A-4633-B27F-DAEE1458E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 Average</a:t>
            </a:r>
            <a:r>
              <a:rPr lang="en-US" baseline="0"/>
              <a:t> Shear Stress (hours)</a:t>
            </a:r>
            <a:endParaRPr lang="en-US"/>
          </a:p>
        </c:rich>
      </c:tx>
      <c:layout>
        <c:manualLayout>
          <c:xMode val="edge"/>
          <c:yMode val="edge"/>
          <c:x val="0.18523911877925847"/>
          <c:y val="2.574198531421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 Shorfall D50'!$I$3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 Shorfall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D50'!$I$4:$I$7</c:f>
              <c:numCache>
                <c:formatCode>0.0000</c:formatCode>
                <c:ptCount val="4"/>
                <c:pt idx="0">
                  <c:v>5.0843932958762772E-2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8.4737405248688863E-2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0D-469E-AC77-51A0765E8BAD}"/>
            </c:ext>
          </c:extLst>
        </c:ser>
        <c:ser>
          <c:idx val="1"/>
          <c:order val="1"/>
          <c:tx>
            <c:strRef>
              <c:f>'4. Shorfall D50'!$J$3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'4. Shorfall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D50'!$J$4:$J$7</c:f>
              <c:numCache>
                <c:formatCode>0.00000</c:formatCode>
                <c:ptCount val="4"/>
                <c:pt idx="0">
                  <c:v>2.1583924157521084E-3</c:v>
                </c:pt>
                <c:pt idx="1">
                  <c:v>0.14406035321148031</c:v>
                </c:pt>
                <c:pt idx="2">
                  <c:v>0.10718652612089653</c:v>
                </c:pt>
                <c:pt idx="3">
                  <c:v>2.0480352287099157E-3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0D-469E-AC77-51A0765E8BAD}"/>
            </c:ext>
          </c:extLst>
        </c:ser>
        <c:ser>
          <c:idx val="3"/>
          <c:order val="2"/>
          <c:tx>
            <c:strRef>
              <c:f>'4. Shorfall D50'!$L$3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'4. Shorfall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D50'!$L$4:$L$7</c:f>
              <c:numCache>
                <c:formatCode>0.0000</c:formatCode>
                <c:ptCount val="4"/>
                <c:pt idx="0">
                  <c:v>2.8965533103435123E-2</c:v>
                </c:pt>
                <c:pt idx="1">
                  <c:v>0.14406276700000001</c:v>
                </c:pt>
                <c:pt idx="2">
                  <c:v>0.14406276699943502</c:v>
                </c:pt>
                <c:pt idx="3">
                  <c:v>5.2243620659748788E-2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0D-469E-AC77-51A0765E8BAD}"/>
            </c:ext>
          </c:extLst>
        </c:ser>
        <c:ser>
          <c:idx val="4"/>
          <c:order val="3"/>
          <c:tx>
            <c:strRef>
              <c:f>'4. Shorfall D50'!$M$3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'4. Shorfall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D50'!$M$4:$M$7</c:f>
              <c:numCache>
                <c:formatCode>0.0000</c:formatCode>
                <c:ptCount val="4"/>
                <c:pt idx="0">
                  <c:v>8.291491203527307E-2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0.1192968345583959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0D-469E-AC77-51A0765E8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'4. Shorfall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'4. Shorfall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0D-469E-AC77-51A0765E8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 Average</a:t>
            </a:r>
            <a:r>
              <a:rPr lang="en-US" baseline="0"/>
              <a:t> Shear Stress (mins)</a:t>
            </a:r>
            <a:endParaRPr lang="en-US"/>
          </a:p>
        </c:rich>
      </c:tx>
      <c:layout>
        <c:manualLayout>
          <c:xMode val="edge"/>
          <c:yMode val="edge"/>
          <c:x val="0.18523911877925847"/>
          <c:y val="2.574198531421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 Shorfall D50'!$P$3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 Shorfall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D50'!$P$4:$P$7</c:f>
              <c:numCache>
                <c:formatCode>0.0000</c:formatCode>
                <c:ptCount val="4"/>
                <c:pt idx="0">
                  <c:v>0.1440627669985369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0.14406276700000001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5-4A0D-8C90-40CAEE73376F}"/>
            </c:ext>
          </c:extLst>
        </c:ser>
        <c:ser>
          <c:idx val="1"/>
          <c:order val="1"/>
          <c:tx>
            <c:strRef>
              <c:f>'4. Shorfall D50'!$Q$3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'4. Shorfall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D50'!$Q$4:$Q$7</c:f>
              <c:numCache>
                <c:formatCode>0.00000</c:formatCode>
                <c:ptCount val="4"/>
                <c:pt idx="0">
                  <c:v>1.3804059915783928E-2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7.5844690277749871E-3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95-4A0D-8C90-40CAEE73376F}"/>
            </c:ext>
          </c:extLst>
        </c:ser>
        <c:ser>
          <c:idx val="3"/>
          <c:order val="2"/>
          <c:tx>
            <c:strRef>
              <c:f>'4. Shorfall D50'!$S$3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'4. Shorfall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D50'!$S$4:$S$7</c:f>
              <c:numCache>
                <c:formatCode>0.0000</c:formatCode>
                <c:ptCount val="4"/>
                <c:pt idx="0">
                  <c:v>0.14406231101252537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0.14406276699940973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95-4A0D-8C90-40CAEE73376F}"/>
            </c:ext>
          </c:extLst>
        </c:ser>
        <c:ser>
          <c:idx val="4"/>
          <c:order val="3"/>
          <c:tx>
            <c:strRef>
              <c:f>'4. Shorfall D50'!$T$3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'4. Shorfall D50'!$C$4:$C$7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D50'!$T$4:$T$7</c:f>
              <c:numCache>
                <c:formatCode>0.0000</c:formatCode>
                <c:ptCount val="4"/>
                <c:pt idx="0">
                  <c:v>0.14406276700000001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0.14406276700000001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95-4A0D-8C90-40CAEE733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'4. Shorfall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'4. Shorfall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495-4A0D-8C90-40CAEE733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B) Average</a:t>
            </a:r>
            <a:r>
              <a:rPr lang="en-US" sz="1200" baseline="0"/>
              <a:t> Shear Stress below Tauc (hours)</a:t>
            </a:r>
            <a:endParaRPr lang="en-US" sz="1200"/>
          </a:p>
        </c:rich>
      </c:tx>
      <c:layout>
        <c:manualLayout>
          <c:xMode val="edge"/>
          <c:yMode val="edge"/>
          <c:x val="0.14202923698550399"/>
          <c:y val="1.746775248055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 Shorfall D50'!$I$12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D50'!$I$13:$I$16</c:f>
              <c:numCache>
                <c:formatCode>0.0000</c:formatCode>
                <c:ptCount val="4"/>
                <c:pt idx="0">
                  <c:v>3.5530238215129642E-2</c:v>
                </c:pt>
                <c:pt idx="1">
                  <c:v>0.14406276700000001</c:v>
                </c:pt>
                <c:pt idx="2">
                  <c:v>0.14388915804318808</c:v>
                </c:pt>
                <c:pt idx="3">
                  <c:v>8.1080300772183964E-2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76-40B5-9DDB-31238F523A9F}"/>
            </c:ext>
          </c:extLst>
        </c:ser>
        <c:ser>
          <c:idx val="1"/>
          <c:order val="1"/>
          <c:tx>
            <c:strRef>
              <c:f>'4. Shorfall D50'!$J$12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D50'!$J$13:$J$16</c:f>
              <c:numCache>
                <c:formatCode>0.00000</c:formatCode>
                <c:ptCount val="4"/>
                <c:pt idx="0">
                  <c:v>2.0365536110150961E-3</c:v>
                </c:pt>
                <c:pt idx="1">
                  <c:v>0.14405486259777514</c:v>
                </c:pt>
                <c:pt idx="2">
                  <c:v>5.047284811723507E-3</c:v>
                </c:pt>
                <c:pt idx="3">
                  <c:v>2.0353747678728273E-3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76-40B5-9DDB-31238F523A9F}"/>
            </c:ext>
          </c:extLst>
        </c:ser>
        <c:ser>
          <c:idx val="3"/>
          <c:order val="2"/>
          <c:tx>
            <c:strRef>
              <c:f>'4. Shorfall D50'!$L$12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D50'!$L$13:$L$16</c:f>
              <c:numCache>
                <c:formatCode>0.0000</c:formatCode>
                <c:ptCount val="4"/>
                <c:pt idx="0">
                  <c:v>1.9870940532910206E-2</c:v>
                </c:pt>
                <c:pt idx="1">
                  <c:v>0.14406276700000001</c:v>
                </c:pt>
                <c:pt idx="2">
                  <c:v>0.13909571030766782</c:v>
                </c:pt>
                <c:pt idx="3">
                  <c:v>4.9455851252689406E-2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76-40B5-9DDB-31238F523A9F}"/>
            </c:ext>
          </c:extLst>
        </c:ser>
        <c:ser>
          <c:idx val="4"/>
          <c:order val="3"/>
          <c:tx>
            <c:strRef>
              <c:f>'4. Shorfall D50'!$M$12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D50'!$M$13:$M$16</c:f>
              <c:numCache>
                <c:formatCode>0.0000</c:formatCode>
                <c:ptCount val="4"/>
                <c:pt idx="0">
                  <c:v>6.1174370560562796E-2</c:v>
                </c:pt>
                <c:pt idx="1">
                  <c:v>0.14406276700000001</c:v>
                </c:pt>
                <c:pt idx="2">
                  <c:v>0.14406255491099795</c:v>
                </c:pt>
                <c:pt idx="3">
                  <c:v>0.11614933618097815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76-40B5-9DDB-31238F523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'4. Shorfall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'4. Shorfall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76-40B5-9DDB-31238F523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B) Average</a:t>
            </a:r>
            <a:r>
              <a:rPr lang="en-US" sz="1200" baseline="0"/>
              <a:t> Shear Stress below Tauc (mins)</a:t>
            </a:r>
            <a:endParaRPr lang="en-US" sz="1200"/>
          </a:p>
        </c:rich>
      </c:tx>
      <c:layout>
        <c:manualLayout>
          <c:xMode val="edge"/>
          <c:yMode val="edge"/>
          <c:x val="0.14202923698550399"/>
          <c:y val="1.746775248055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 Shorfall D50'!$P$12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D50'!$P$13:$P$16</c:f>
              <c:numCache>
                <c:formatCode>0.0000</c:formatCode>
                <c:ptCount val="4"/>
                <c:pt idx="0">
                  <c:v>0.14406275355208203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0.14406276700000001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9D-4993-B6AA-0E4105F0377D}"/>
            </c:ext>
          </c:extLst>
        </c:ser>
        <c:ser>
          <c:idx val="1"/>
          <c:order val="1"/>
          <c:tx>
            <c:strRef>
              <c:f>'4. Shorfall D50'!$Q$12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D50'!$Q$13:$Q$16</c:f>
              <c:numCache>
                <c:formatCode>0.00000</c:formatCode>
                <c:ptCount val="4"/>
                <c:pt idx="0">
                  <c:v>6.9208471175649378E-3</c:v>
                </c:pt>
                <c:pt idx="1">
                  <c:v>0.14406276700000001</c:v>
                </c:pt>
                <c:pt idx="2">
                  <c:v>0.10614437156087261</c:v>
                </c:pt>
                <c:pt idx="3">
                  <c:v>6.8525322341062567E-3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9D-4993-B6AA-0E4105F0377D}"/>
            </c:ext>
          </c:extLst>
        </c:ser>
        <c:ser>
          <c:idx val="3"/>
          <c:order val="2"/>
          <c:tx>
            <c:strRef>
              <c:f>'4. Shorfall D50'!$S$12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D50'!$S$13:$S$16</c:f>
              <c:numCache>
                <c:formatCode>0.0000</c:formatCode>
                <c:ptCount val="4"/>
                <c:pt idx="0">
                  <c:v>0.14401905098373577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0.14406276699644835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9D-4993-B6AA-0E4105F0377D}"/>
            </c:ext>
          </c:extLst>
        </c:ser>
        <c:ser>
          <c:idx val="4"/>
          <c:order val="3"/>
          <c:tx>
            <c:strRef>
              <c:f>'4. Shorfall D50'!$T$12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D50'!$T$13:$T$16</c:f>
              <c:numCache>
                <c:formatCode>0.0000</c:formatCode>
                <c:ptCount val="4"/>
                <c:pt idx="0">
                  <c:v>0.14406276699999873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0.14406276700000001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9D-4993-B6AA-0E4105F03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'4. Shorfall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'4. Shorfall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9D-4993-B6AA-0E4105F03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C) Cumulative</a:t>
            </a:r>
            <a:r>
              <a:rPr lang="en-US" sz="1200" baseline="0"/>
              <a:t> Tau (hours)</a:t>
            </a:r>
            <a:endParaRPr lang="en-US" sz="1200"/>
          </a:p>
        </c:rich>
      </c:tx>
      <c:layout>
        <c:manualLayout>
          <c:xMode val="edge"/>
          <c:yMode val="edge"/>
          <c:x val="0.31126794067770902"/>
          <c:y val="2.9879101731041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 Shorfall D50'!$I$21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D50'!$I$22:$I$25</c:f>
              <c:numCache>
                <c:formatCode>0.0000</c:formatCode>
                <c:ptCount val="4"/>
                <c:pt idx="0">
                  <c:v>2.0036462998631918E-2</c:v>
                </c:pt>
                <c:pt idx="1">
                  <c:v>0.14396526273359866</c:v>
                </c:pt>
                <c:pt idx="2">
                  <c:v>0.12938510119425506</c:v>
                </c:pt>
                <c:pt idx="3">
                  <c:v>0.10367409992343879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7-4F08-8783-34CA973495DB}"/>
            </c:ext>
          </c:extLst>
        </c:ser>
        <c:ser>
          <c:idx val="1"/>
          <c:order val="1"/>
          <c:tx>
            <c:strRef>
              <c:f>'4. Shorfall D50'!$J$12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D50'!$J$22:$J$25</c:f>
              <c:numCache>
                <c:formatCode>0.00000</c:formatCode>
                <c:ptCount val="4"/>
                <c:pt idx="0">
                  <c:v>1.9737773919510093E-3</c:v>
                </c:pt>
                <c:pt idx="1">
                  <c:v>3.1117423746942208E-3</c:v>
                </c:pt>
                <c:pt idx="2">
                  <c:v>2.3103133158616784E-3</c:v>
                </c:pt>
                <c:pt idx="3">
                  <c:v>2.150795869092309E-3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D7-4F08-8783-34CA973495DB}"/>
            </c:ext>
          </c:extLst>
        </c:ser>
        <c:ser>
          <c:idx val="3"/>
          <c:order val="2"/>
          <c:tx>
            <c:strRef>
              <c:f>'4. Shorfall D50'!$L$21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D50'!$L$22:$L$25</c:f>
              <c:numCache>
                <c:formatCode>0.0000</c:formatCode>
                <c:ptCount val="4"/>
                <c:pt idx="0">
                  <c:v>1.1301938461381944E-2</c:v>
                </c:pt>
                <c:pt idx="1">
                  <c:v>0.14034035137297196</c:v>
                </c:pt>
                <c:pt idx="2">
                  <c:v>9.8391658704557877E-2</c:v>
                </c:pt>
                <c:pt idx="3">
                  <c:v>6.8302270269775825E-2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D7-4F08-8783-34CA973495DB}"/>
            </c:ext>
          </c:extLst>
        </c:ser>
        <c:ser>
          <c:idx val="4"/>
          <c:order val="3"/>
          <c:tx>
            <c:strRef>
              <c:f>'4. Shorfall D50'!$M$21</c:f>
              <c:strCache>
                <c:ptCount val="1"/>
                <c:pt idx="0">
                  <c:v>k = 20τ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'4. Shorfall D50'!$C$22:$C$25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D50'!$M$22:$M$25</c:f>
              <c:numCache>
                <c:formatCode>0.0000</c:formatCode>
                <c:ptCount val="4"/>
                <c:pt idx="0">
                  <c:v>3.5819349032234549E-2</c:v>
                </c:pt>
                <c:pt idx="1">
                  <c:v>0.14406270010076805</c:v>
                </c:pt>
                <c:pt idx="2">
                  <c:v>0.14254680650570617</c:v>
                </c:pt>
                <c:pt idx="3">
                  <c:v>0.13258406093820008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D7-4F08-8783-34CA97349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'4. Shorfall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'4. Shorfall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D7-4F08-8783-34CA97349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C) Cumulative</a:t>
            </a:r>
            <a:r>
              <a:rPr lang="en-US" sz="1200" baseline="0"/>
              <a:t> Tau (min)</a:t>
            </a:r>
            <a:endParaRPr lang="en-US" sz="1200"/>
          </a:p>
        </c:rich>
      </c:tx>
      <c:layout>
        <c:manualLayout>
          <c:xMode val="edge"/>
          <c:yMode val="edge"/>
          <c:x val="0.31126794067770902"/>
          <c:y val="2.9879101731041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 Shorfall D50'!$P$21</c:f>
              <c:strCache>
                <c:ptCount val="1"/>
                <c:pt idx="0">
                  <c:v>k = 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D50'!$P$22:$P$25</c:f>
              <c:numCache>
                <c:formatCode>0.0000</c:formatCode>
                <c:ptCount val="4"/>
                <c:pt idx="0">
                  <c:v>0.14402241288405529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0.14406276700000001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8-4752-B0A6-140F2C57A8BF}"/>
            </c:ext>
          </c:extLst>
        </c:ser>
        <c:ser>
          <c:idx val="1"/>
          <c:order val="1"/>
          <c:tx>
            <c:strRef>
              <c:f>'4. Shorfall D50'!$Q$21</c:f>
              <c:strCache>
                <c:ptCount val="1"/>
                <c:pt idx="0">
                  <c:v>k = τ^2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D50'!$Q$22:$Q$25</c:f>
              <c:numCache>
                <c:formatCode>0.00000</c:formatCode>
                <c:ptCount val="4"/>
                <c:pt idx="0">
                  <c:v>3.2359750737860626E-3</c:v>
                </c:pt>
                <c:pt idx="1">
                  <c:v>5.7135913127885934E-2</c:v>
                </c:pt>
                <c:pt idx="2">
                  <c:v>2.1912384217010333E-2</c:v>
                </c:pt>
                <c:pt idx="3">
                  <c:v>1.3385011258137985E-2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88-4752-B0A6-140F2C57A8BF}"/>
            </c:ext>
          </c:extLst>
        </c:ser>
        <c:ser>
          <c:idx val="3"/>
          <c:order val="2"/>
          <c:tx>
            <c:strRef>
              <c:f>'4. Shorfall D50'!$S$21</c:f>
              <c:strCache>
                <c:ptCount val="1"/>
                <c:pt idx="0">
                  <c:v>k = τ/2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'4. Shorfall D50'!$C$13:$C$16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D50'!$S$22:$S$25</c:f>
              <c:numCache>
                <c:formatCode>0.0000</c:formatCode>
                <c:ptCount val="4"/>
                <c:pt idx="0">
                  <c:v>0.14166803470037226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0.14406276700000001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88-4752-B0A6-140F2C57A8BF}"/>
            </c:ext>
          </c:extLst>
        </c:ser>
        <c:ser>
          <c:idx val="4"/>
          <c:order val="3"/>
          <c:tx>
            <c:strRef>
              <c:f>'4. Shorfall D50'!$T$21</c:f>
              <c:strCache>
                <c:ptCount val="1"/>
                <c:pt idx="0">
                  <c:v>k = 2τ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'4. Shorfall D50'!$C$22:$C$25</c:f>
              <c:numCache>
                <c:formatCode>0.0000</c:formatCode>
                <c:ptCount val="4"/>
                <c:pt idx="0">
                  <c:v>1.9492240000000001E-2</c:v>
                </c:pt>
                <c:pt idx="1">
                  <c:v>0.14406276700000001</c:v>
                </c:pt>
                <c:pt idx="2">
                  <c:v>1.4906922E-2</c:v>
                </c:pt>
                <c:pt idx="3">
                  <c:v>1.952287E-3</c:v>
                </c:pt>
              </c:numCache>
            </c:numRef>
          </c:xVal>
          <c:yVal>
            <c:numRef>
              <c:f>'4. Shorfall D50'!$T$22:$T$25</c:f>
              <c:numCache>
                <c:formatCode>0.0000</c:formatCode>
                <c:ptCount val="4"/>
                <c:pt idx="0">
                  <c:v>0.14406275554092482</c:v>
                </c:pt>
                <c:pt idx="1">
                  <c:v>0.14406276700000001</c:v>
                </c:pt>
                <c:pt idx="2">
                  <c:v>0.14406276700000001</c:v>
                </c:pt>
                <c:pt idx="3">
                  <c:v>0.14406276700000001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88-4752-B0A6-140F2C57A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scatterChart>
        <c:scatterStyle val="smoothMarker"/>
        <c:varyColors val="0"/>
        <c:ser>
          <c:idx val="5"/>
          <c:order val="4"/>
          <c:tx>
            <c:v>1-1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'4. Shorfall D50'!$E$28:$E$29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'4. Shorfall D50'!$F$28:$F$29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188-4752-B0A6-140F2C57A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423888"/>
        <c:axId val="697424368"/>
      </c:scatterChart>
      <c:valAx>
        <c:axId val="697423888"/>
        <c:scaling>
          <c:orientation val="minMax"/>
          <c:max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4368"/>
        <c:crosses val="autoZero"/>
        <c:crossBetween val="midCat"/>
      </c:valAx>
      <c:valAx>
        <c:axId val="697424368"/>
        <c:scaling>
          <c:orientation val="minMax"/>
          <c:max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42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1654629</xdr:colOff>
      <xdr:row>26</xdr:row>
      <xdr:rowOff>141513</xdr:rowOff>
    </xdr:from>
    <xdr:to>
      <xdr:col>6</xdr:col>
      <xdr:colOff>435428</xdr:colOff>
      <xdr:row>43</xdr:row>
      <xdr:rowOff>65313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724A5-F316-4C7B-E598-C211186FA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1654629</xdr:colOff>
      <xdr:row>43</xdr:row>
      <xdr:rowOff>163286</xdr:rowOff>
    </xdr:from>
    <xdr:to>
      <xdr:col>6</xdr:col>
      <xdr:colOff>435428</xdr:colOff>
      <xdr:row>60</xdr:row>
      <xdr:rowOff>87085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9A59A1-96F4-477B-9D05-22C2863B4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620485</xdr:colOff>
      <xdr:row>26</xdr:row>
      <xdr:rowOff>174170</xdr:rowOff>
    </xdr:from>
    <xdr:to>
      <xdr:col>10</xdr:col>
      <xdr:colOff>65314</xdr:colOff>
      <xdr:row>43</xdr:row>
      <xdr:rowOff>97970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9A1755-ADC1-42D6-9EC0-A6F77D978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620485</xdr:colOff>
      <xdr:row>44</xdr:row>
      <xdr:rowOff>21772</xdr:rowOff>
    </xdr:from>
    <xdr:to>
      <xdr:col>10</xdr:col>
      <xdr:colOff>65314</xdr:colOff>
      <xdr:row>60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73016B-3A7C-4FD4-829D-BCA5CEA3B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130629</xdr:colOff>
      <xdr:row>26</xdr:row>
      <xdr:rowOff>163285</xdr:rowOff>
    </xdr:from>
    <xdr:to>
      <xdr:col>15</xdr:col>
      <xdr:colOff>337457</xdr:colOff>
      <xdr:row>43</xdr:row>
      <xdr:rowOff>87085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1AAFA6-CBF6-4C80-9FC9-912F1C063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163286</xdr:colOff>
      <xdr:row>43</xdr:row>
      <xdr:rowOff>185056</xdr:rowOff>
    </xdr:from>
    <xdr:to>
      <xdr:col>15</xdr:col>
      <xdr:colOff>370114</xdr:colOff>
      <xdr:row>60</xdr:row>
      <xdr:rowOff>108855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F9E845-7B44-4B06-80A5-E63C15B19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1654629</xdr:colOff>
      <xdr:row>26</xdr:row>
      <xdr:rowOff>141513</xdr:rowOff>
    </xdr:from>
    <xdr:to>
      <xdr:col>6</xdr:col>
      <xdr:colOff>435428</xdr:colOff>
      <xdr:row>43</xdr:row>
      <xdr:rowOff>65313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AEDC1-BA73-4ABB-871D-A5E16EB70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1654629</xdr:colOff>
      <xdr:row>43</xdr:row>
      <xdr:rowOff>163286</xdr:rowOff>
    </xdr:from>
    <xdr:to>
      <xdr:col>6</xdr:col>
      <xdr:colOff>435428</xdr:colOff>
      <xdr:row>60</xdr:row>
      <xdr:rowOff>87085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99E866-F9EB-49EE-834E-B7096F24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620485</xdr:colOff>
      <xdr:row>26</xdr:row>
      <xdr:rowOff>174170</xdr:rowOff>
    </xdr:from>
    <xdr:to>
      <xdr:col>10</xdr:col>
      <xdr:colOff>65314</xdr:colOff>
      <xdr:row>43</xdr:row>
      <xdr:rowOff>97970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51828C-4E41-49C7-90EA-C66661D55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620485</xdr:colOff>
      <xdr:row>44</xdr:row>
      <xdr:rowOff>21772</xdr:rowOff>
    </xdr:from>
    <xdr:to>
      <xdr:col>10</xdr:col>
      <xdr:colOff>65314</xdr:colOff>
      <xdr:row>60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ACF9C-027C-42AF-85D0-26713001C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130629</xdr:colOff>
      <xdr:row>26</xdr:row>
      <xdr:rowOff>163285</xdr:rowOff>
    </xdr:from>
    <xdr:to>
      <xdr:col>15</xdr:col>
      <xdr:colOff>337457</xdr:colOff>
      <xdr:row>43</xdr:row>
      <xdr:rowOff>87085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ECB8E3-3A81-4E9D-B076-E2D8301C2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163286</xdr:colOff>
      <xdr:row>43</xdr:row>
      <xdr:rowOff>185056</xdr:rowOff>
    </xdr:from>
    <xdr:to>
      <xdr:col>15</xdr:col>
      <xdr:colOff>370114</xdr:colOff>
      <xdr:row>60</xdr:row>
      <xdr:rowOff>108855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7853E9-3D1A-44F2-939A-A3B29B234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1654629</xdr:colOff>
      <xdr:row>26</xdr:row>
      <xdr:rowOff>141513</xdr:rowOff>
    </xdr:from>
    <xdr:to>
      <xdr:col>6</xdr:col>
      <xdr:colOff>435428</xdr:colOff>
      <xdr:row>43</xdr:row>
      <xdr:rowOff>65313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572B2-AC33-49A2-BBC2-972E5D99A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1654629</xdr:colOff>
      <xdr:row>43</xdr:row>
      <xdr:rowOff>163286</xdr:rowOff>
    </xdr:from>
    <xdr:to>
      <xdr:col>6</xdr:col>
      <xdr:colOff>435428</xdr:colOff>
      <xdr:row>60</xdr:row>
      <xdr:rowOff>87085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504753-706C-407E-ACFC-920F689E9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620485</xdr:colOff>
      <xdr:row>26</xdr:row>
      <xdr:rowOff>174170</xdr:rowOff>
    </xdr:from>
    <xdr:to>
      <xdr:col>10</xdr:col>
      <xdr:colOff>65314</xdr:colOff>
      <xdr:row>43</xdr:row>
      <xdr:rowOff>97970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5F6A23-DA81-4E38-976B-DD5B5DB47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620485</xdr:colOff>
      <xdr:row>44</xdr:row>
      <xdr:rowOff>21772</xdr:rowOff>
    </xdr:from>
    <xdr:to>
      <xdr:col>10</xdr:col>
      <xdr:colOff>65314</xdr:colOff>
      <xdr:row>60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4BAA5E-63F5-4941-8865-6C8DA5DD4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130629</xdr:colOff>
      <xdr:row>26</xdr:row>
      <xdr:rowOff>163285</xdr:rowOff>
    </xdr:from>
    <xdr:to>
      <xdr:col>15</xdr:col>
      <xdr:colOff>337457</xdr:colOff>
      <xdr:row>43</xdr:row>
      <xdr:rowOff>87085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AAAA09-2A3F-4B57-8D73-DF8384372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163286</xdr:colOff>
      <xdr:row>43</xdr:row>
      <xdr:rowOff>185056</xdr:rowOff>
    </xdr:from>
    <xdr:to>
      <xdr:col>15</xdr:col>
      <xdr:colOff>370114</xdr:colOff>
      <xdr:row>60</xdr:row>
      <xdr:rowOff>108855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435D220-3F75-45C5-B96A-E6BDF1E65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1654629</xdr:colOff>
      <xdr:row>26</xdr:row>
      <xdr:rowOff>141513</xdr:rowOff>
    </xdr:from>
    <xdr:to>
      <xdr:col>6</xdr:col>
      <xdr:colOff>435428</xdr:colOff>
      <xdr:row>43</xdr:row>
      <xdr:rowOff>65313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DF910-12B9-48AB-97E6-70098263C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1654629</xdr:colOff>
      <xdr:row>43</xdr:row>
      <xdr:rowOff>163286</xdr:rowOff>
    </xdr:from>
    <xdr:to>
      <xdr:col>6</xdr:col>
      <xdr:colOff>435428</xdr:colOff>
      <xdr:row>60</xdr:row>
      <xdr:rowOff>87085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A8B418-49FE-42B8-8EA3-852846C070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620485</xdr:colOff>
      <xdr:row>26</xdr:row>
      <xdr:rowOff>174170</xdr:rowOff>
    </xdr:from>
    <xdr:to>
      <xdr:col>10</xdr:col>
      <xdr:colOff>65314</xdr:colOff>
      <xdr:row>43</xdr:row>
      <xdr:rowOff>97970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8576E1-B4BC-4CCB-AE17-ABA9C0080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620485</xdr:colOff>
      <xdr:row>44</xdr:row>
      <xdr:rowOff>21772</xdr:rowOff>
    </xdr:from>
    <xdr:to>
      <xdr:col>10</xdr:col>
      <xdr:colOff>65314</xdr:colOff>
      <xdr:row>60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D4E444-B188-4111-A38C-7367EEBE2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130629</xdr:colOff>
      <xdr:row>26</xdr:row>
      <xdr:rowOff>163285</xdr:rowOff>
    </xdr:from>
    <xdr:to>
      <xdr:col>15</xdr:col>
      <xdr:colOff>337457</xdr:colOff>
      <xdr:row>43</xdr:row>
      <xdr:rowOff>87085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450B49-DE56-4919-B1DD-8ABCC4A6F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163286</xdr:colOff>
      <xdr:row>43</xdr:row>
      <xdr:rowOff>185056</xdr:rowOff>
    </xdr:from>
    <xdr:to>
      <xdr:col>15</xdr:col>
      <xdr:colOff>370114</xdr:colOff>
      <xdr:row>60</xdr:row>
      <xdr:rowOff>108855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2953F0-7DEA-4781-B933-FB0B38642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opLeftCell="A22" zoomScale="70" zoomScaleNormal="70" workbookViewId="0">
      <selection activeCell="T53" sqref="T53"/>
    </sheetView>
  </sheetViews>
  <sheetFormatPr defaultRowHeight="14.4" x14ac:dyDescent="0.3"/>
  <cols>
    <col min="1" max="1" width="16" customWidth="1"/>
    <col min="2" max="2" width="20.5546875" customWidth="1"/>
    <col min="4" max="4" width="25.88671875" customWidth="1"/>
    <col min="5" max="5" width="24" bestFit="1" customWidth="1"/>
    <col min="6" max="6" width="19.33203125" customWidth="1"/>
    <col min="7" max="7" width="25.109375" customWidth="1"/>
    <col min="9" max="9" width="13.88671875" customWidth="1"/>
    <col min="10" max="10" width="11.5546875" customWidth="1"/>
    <col min="11" max="11" width="11" customWidth="1"/>
    <col min="12" max="12" width="11.44140625" customWidth="1"/>
    <col min="13" max="13" width="8.21875" customWidth="1"/>
  </cols>
  <sheetData>
    <row r="1" spans="1:20" x14ac:dyDescent="0.3">
      <c r="F1" s="2"/>
      <c r="G1" s="2"/>
      <c r="H1" s="2"/>
      <c r="I1" s="25" t="s">
        <v>30</v>
      </c>
      <c r="J1" s="25"/>
      <c r="K1" s="25"/>
      <c r="L1" s="25"/>
      <c r="M1" s="25"/>
      <c r="P1" s="25" t="s">
        <v>31</v>
      </c>
      <c r="Q1" s="25"/>
      <c r="R1" s="25"/>
      <c r="S1" s="25"/>
      <c r="T1" s="25"/>
    </row>
    <row r="2" spans="1:20" x14ac:dyDescent="0.3">
      <c r="A2" s="17" t="s">
        <v>8</v>
      </c>
      <c r="B2" s="17"/>
      <c r="C2" s="17"/>
      <c r="D2" s="17"/>
      <c r="E2" s="17"/>
      <c r="F2" s="8"/>
      <c r="G2" s="8"/>
      <c r="H2" s="8"/>
      <c r="I2" s="22" t="s">
        <v>20</v>
      </c>
      <c r="J2" s="23"/>
      <c r="K2" s="23"/>
      <c r="L2" s="23"/>
      <c r="M2" s="24"/>
      <c r="O2" s="2" t="s">
        <v>32</v>
      </c>
      <c r="P2" s="22" t="s">
        <v>20</v>
      </c>
      <c r="Q2" s="23"/>
      <c r="R2" s="23"/>
      <c r="S2" s="23"/>
      <c r="T2" s="24"/>
    </row>
    <row r="3" spans="1:20" x14ac:dyDescent="0.3">
      <c r="A3" s="2" t="s">
        <v>0</v>
      </c>
      <c r="B3" s="2" t="s">
        <v>1</v>
      </c>
      <c r="C3" s="2" t="s">
        <v>2</v>
      </c>
      <c r="D3" s="2" t="s">
        <v>5</v>
      </c>
      <c r="E3" s="2" t="s">
        <v>10</v>
      </c>
      <c r="F3" s="2" t="s">
        <v>9</v>
      </c>
      <c r="H3" s="2"/>
      <c r="I3" s="9" t="s">
        <v>25</v>
      </c>
      <c r="J3" s="2" t="s">
        <v>27</v>
      </c>
      <c r="K3" s="2" t="s">
        <v>28</v>
      </c>
      <c r="L3" s="2" t="s">
        <v>29</v>
      </c>
      <c r="M3" s="10" t="s">
        <v>26</v>
      </c>
      <c r="O3" s="2" t="s">
        <v>33</v>
      </c>
      <c r="P3" s="9" t="s">
        <v>25</v>
      </c>
      <c r="Q3" s="2" t="s">
        <v>27</v>
      </c>
      <c r="R3" s="2" t="s">
        <v>28</v>
      </c>
      <c r="S3" s="2" t="s">
        <v>29</v>
      </c>
      <c r="T3" s="10" t="s">
        <v>26</v>
      </c>
    </row>
    <row r="4" spans="1:20" x14ac:dyDescent="0.3">
      <c r="A4" s="3">
        <v>44776.621527777781</v>
      </c>
      <c r="B4" s="3">
        <v>44781.600694444445</v>
      </c>
      <c r="C4" s="5">
        <v>2.5559101000000001E-2</v>
      </c>
      <c r="D4" s="6">
        <v>119.5</v>
      </c>
      <c r="E4" s="4">
        <v>2.6187866108786598E-3</v>
      </c>
      <c r="F4" s="2">
        <v>478</v>
      </c>
      <c r="H4" s="2" t="s">
        <v>21</v>
      </c>
      <c r="I4" s="11">
        <f>$C$29-($C$29-$B$29)*EXP(-E4*D4)</f>
        <v>2.7205533798291534E-2</v>
      </c>
      <c r="J4" s="4">
        <f>$C$29-($C$29-$B$29)*EXP(-(E4^2)*D4)</f>
        <v>2.1910793415339663E-3</v>
      </c>
      <c r="K4" s="4">
        <f>$C$29-($C$29-$B$29)*EXP(-(E4^0.5)*D4)</f>
        <v>9.5283947299716482E-2</v>
      </c>
      <c r="L4" s="5">
        <f>$C$29-($C$29-$B$29)*EXP(-(E4/2)*D4)</f>
        <v>1.5639573042326896E-2</v>
      </c>
      <c r="M4" s="12">
        <f>$C$29-($C$29-$B$29)*EXP(-(2*E4)*D4)</f>
        <v>4.5554296336250188E-2</v>
      </c>
      <c r="O4" s="2">
        <f>D4*60</f>
        <v>7170</v>
      </c>
      <c r="P4" s="11">
        <f>$C$29-($C$29-$B$29)*EXP(-E4*O4)</f>
        <v>9.5490195345942011E-2</v>
      </c>
      <c r="Q4" s="4">
        <f>$C$29-($C$29-$B$29)*EXP(-(E4^2)*O4)</f>
        <v>6.5950086354127496E-3</v>
      </c>
      <c r="R4" s="4">
        <f>$C$29-($C$29-$B$29)*EXP(-(E4^0.5)*O4)</f>
        <v>9.5490195999999999E-2</v>
      </c>
      <c r="S4" s="5">
        <f>$C$29-($C$29-$B$29)*EXP(-(E4/2)*O4)</f>
        <v>9.5482381074309841E-2</v>
      </c>
      <c r="T4" s="12">
        <f>$C$29-($C$29-$B$29)*EXP(-(2*E4)*O4)</f>
        <v>9.5490195999999999E-2</v>
      </c>
    </row>
    <row r="5" spans="1:20" x14ac:dyDescent="0.3">
      <c r="A5" s="3">
        <v>44781.600694444445</v>
      </c>
      <c r="B5" s="3">
        <v>45044.115277777775</v>
      </c>
      <c r="C5" s="5">
        <v>9.5490195999999999E-2</v>
      </c>
      <c r="D5" s="6">
        <v>6300.35</v>
      </c>
      <c r="E5" s="4">
        <v>3.4735868859554202E-2</v>
      </c>
      <c r="F5" s="2">
        <v>9363</v>
      </c>
      <c r="H5" s="2" t="s">
        <v>22</v>
      </c>
      <c r="I5" s="11">
        <f>$C$29-($C$29-$B$29)*EXP(-E5*D5)</f>
        <v>9.5490195999999999E-2</v>
      </c>
      <c r="J5" s="4">
        <f t="shared" ref="J5:J7" si="0">$C$29-($C$29-$B$29)*EXP(-(E5^2)*D5)</f>
        <v>9.5443553811517437E-2</v>
      </c>
      <c r="K5" s="4">
        <f t="shared" ref="K5:K7" si="1">$C$29-($C$29-$B$29)*EXP(-(E5^0.5)*D5)</f>
        <v>9.5490195999999999E-2</v>
      </c>
      <c r="L5" s="5">
        <f t="shared" ref="L5:L7" si="2">$C$29-($C$29-$B$29)*EXP(-(E5/2)*D5)</f>
        <v>9.5490195999999999E-2</v>
      </c>
      <c r="M5" s="12">
        <f t="shared" ref="M5:M7" si="3">$C$29-($C$29-$B$29)*EXP(-(2*E5)*D5)</f>
        <v>9.5490195999999999E-2</v>
      </c>
      <c r="O5" s="2">
        <f>D5*60</f>
        <v>378021</v>
      </c>
      <c r="P5" s="11">
        <f t="shared" ref="P5:P7" si="4">$C$29-($C$29-$B$29)*EXP(-E5*O5)</f>
        <v>9.5490195999999999E-2</v>
      </c>
      <c r="Q5" s="4">
        <f>$C$29-($C$29-$B$29)*EXP(-(E5^2)*O5)</f>
        <v>9.5490195999999999E-2</v>
      </c>
      <c r="R5" s="4">
        <f t="shared" ref="R5:R7" si="5">$C$29-($C$29-$B$29)*EXP(-(E5^0.5)*O5)</f>
        <v>9.5490195999999999E-2</v>
      </c>
      <c r="S5" s="5">
        <f t="shared" ref="S5:S7" si="6">$C$29-($C$29-$B$29)*EXP(-(E5/2)*O5)</f>
        <v>9.5490195999999999E-2</v>
      </c>
      <c r="T5" s="12">
        <f t="shared" ref="T5:T7" si="7">$C$29-($C$29-$B$29)*EXP(-(2*E5)*O5)</f>
        <v>9.5490195999999999E-2</v>
      </c>
    </row>
    <row r="6" spans="1:20" x14ac:dyDescent="0.3">
      <c r="A6" s="3">
        <v>45044.115277777775</v>
      </c>
      <c r="B6" s="3">
        <v>45136.609722222223</v>
      </c>
      <c r="C6" s="5">
        <v>2.5044461000000001E-2</v>
      </c>
      <c r="D6" s="6">
        <v>2219.86666666666</v>
      </c>
      <c r="E6" s="4">
        <v>3.36860795134587E-2</v>
      </c>
      <c r="F6" s="2">
        <v>8879</v>
      </c>
      <c r="H6" s="2" t="s">
        <v>23</v>
      </c>
      <c r="I6" s="11">
        <f>$C$29-($C$29-$B$29)*EXP(-E6*D6)</f>
        <v>9.5490195999999999E-2</v>
      </c>
      <c r="J6" s="4">
        <f t="shared" si="0"/>
        <v>8.7969699641835097E-2</v>
      </c>
      <c r="K6" s="4">
        <f t="shared" si="1"/>
        <v>9.5490195999999999E-2</v>
      </c>
      <c r="L6" s="5">
        <f t="shared" si="2"/>
        <v>9.5490195999999999E-2</v>
      </c>
      <c r="M6" s="12">
        <f t="shared" si="3"/>
        <v>9.5490195999999999E-2</v>
      </c>
      <c r="O6" s="2">
        <f>D6*60</f>
        <v>133191.99999999959</v>
      </c>
      <c r="P6" s="11">
        <f t="shared" si="4"/>
        <v>9.5490195999999999E-2</v>
      </c>
      <c r="Q6" s="4">
        <f t="shared" ref="Q6:Q7" si="8">$C$29-($C$29-$B$29)*EXP(-(E6^2)*O6)</f>
        <v>9.5490195999999999E-2</v>
      </c>
      <c r="R6" s="4">
        <f t="shared" si="5"/>
        <v>9.5490195999999999E-2</v>
      </c>
      <c r="S6" s="5">
        <f t="shared" si="6"/>
        <v>9.5490195999999999E-2</v>
      </c>
      <c r="T6" s="12">
        <f t="shared" si="7"/>
        <v>9.5490195999999999E-2</v>
      </c>
    </row>
    <row r="7" spans="1:20" x14ac:dyDescent="0.3">
      <c r="A7" s="3">
        <v>45136.609722222223</v>
      </c>
      <c r="B7" s="3">
        <v>45183.938194444447</v>
      </c>
      <c r="C7" s="5">
        <v>2.1145859999999999E-3</v>
      </c>
      <c r="D7" s="6">
        <v>1135.88333333333</v>
      </c>
      <c r="E7" s="4">
        <v>8.0523767605633796E-4</v>
      </c>
      <c r="F7" s="2">
        <v>4544</v>
      </c>
      <c r="H7" s="2" t="s">
        <v>24</v>
      </c>
      <c r="I7" s="13">
        <f>$C$29-($C$29-$B$29)*EXP(-E7*D7)</f>
        <v>5.8078846512227382E-2</v>
      </c>
      <c r="J7" s="14">
        <f t="shared" si="0"/>
        <v>2.1833332658158511E-3</v>
      </c>
      <c r="K7" s="14">
        <f t="shared" si="1"/>
        <v>9.5490195999999056E-2</v>
      </c>
      <c r="L7" s="15">
        <f t="shared" si="2"/>
        <v>3.6385986510793944E-2</v>
      </c>
      <c r="M7" s="16">
        <f t="shared" si="3"/>
        <v>8.0501174022030969E-2</v>
      </c>
      <c r="O7" s="2">
        <f>D7*60</f>
        <v>68152.999999999796</v>
      </c>
      <c r="P7" s="13">
        <f t="shared" si="4"/>
        <v>9.5490195999999999E-2</v>
      </c>
      <c r="Q7" s="14">
        <f t="shared" si="8"/>
        <v>6.1510957109874309E-3</v>
      </c>
      <c r="R7" s="14">
        <f t="shared" si="5"/>
        <v>9.5490195999999999E-2</v>
      </c>
      <c r="S7" s="15">
        <f t="shared" si="6"/>
        <v>9.5490195999886937E-2</v>
      </c>
      <c r="T7" s="16">
        <f t="shared" si="7"/>
        <v>9.5490195999999999E-2</v>
      </c>
    </row>
    <row r="8" spans="1:20" x14ac:dyDescent="0.3">
      <c r="A8" s="18"/>
      <c r="B8" s="18"/>
      <c r="C8" s="18"/>
      <c r="D8" s="18"/>
      <c r="E8" s="18"/>
      <c r="F8" s="18"/>
      <c r="G8" s="18"/>
      <c r="H8" s="19"/>
      <c r="I8" s="19"/>
      <c r="J8" s="18"/>
      <c r="K8" s="18"/>
      <c r="L8" s="18"/>
      <c r="M8" s="18"/>
    </row>
    <row r="9" spans="1:20" x14ac:dyDescent="0.3">
      <c r="A9" s="3"/>
      <c r="B9" s="2"/>
      <c r="E9" s="7"/>
      <c r="F9" s="2"/>
      <c r="G9" s="2"/>
      <c r="H9" s="2"/>
      <c r="I9" s="2"/>
    </row>
    <row r="11" spans="1:20" x14ac:dyDescent="0.3">
      <c r="A11" s="17" t="s">
        <v>7</v>
      </c>
      <c r="B11" s="17"/>
      <c r="C11" s="17"/>
      <c r="D11" s="17"/>
      <c r="E11" s="17"/>
      <c r="F11" s="17"/>
      <c r="G11" s="17"/>
      <c r="H11" s="8"/>
      <c r="I11" s="22" t="s">
        <v>20</v>
      </c>
      <c r="J11" s="23"/>
      <c r="K11" s="23"/>
      <c r="L11" s="23"/>
      <c r="M11" s="24"/>
      <c r="O11" s="2" t="s">
        <v>32</v>
      </c>
      <c r="P11" s="22" t="s">
        <v>20</v>
      </c>
      <c r="Q11" s="23"/>
      <c r="R11" s="23"/>
      <c r="S11" s="23"/>
      <c r="T11" s="24"/>
    </row>
    <row r="12" spans="1:20" x14ac:dyDescent="0.3">
      <c r="A12" s="2" t="s">
        <v>0</v>
      </c>
      <c r="B12" s="2" t="s">
        <v>1</v>
      </c>
      <c r="C12" t="s">
        <v>2</v>
      </c>
      <c r="D12" s="2" t="s">
        <v>5</v>
      </c>
      <c r="E12" s="2" t="s">
        <v>6</v>
      </c>
      <c r="F12" s="2" t="s">
        <v>3</v>
      </c>
      <c r="G12" s="2" t="s">
        <v>4</v>
      </c>
      <c r="H12" s="2"/>
      <c r="I12" s="9" t="s">
        <v>25</v>
      </c>
      <c r="J12" s="2" t="s">
        <v>27</v>
      </c>
      <c r="K12" s="2" t="s">
        <v>28</v>
      </c>
      <c r="L12" s="2" t="s">
        <v>29</v>
      </c>
      <c r="M12" s="10" t="s">
        <v>26</v>
      </c>
      <c r="O12" s="2" t="s">
        <v>33</v>
      </c>
      <c r="P12" s="9" t="s">
        <v>25</v>
      </c>
      <c r="Q12" s="2" t="s">
        <v>27</v>
      </c>
      <c r="R12" s="2" t="s">
        <v>28</v>
      </c>
      <c r="S12" s="2" t="s">
        <v>29</v>
      </c>
      <c r="T12" s="10" t="s">
        <v>26</v>
      </c>
    </row>
    <row r="13" spans="1:20" x14ac:dyDescent="0.3">
      <c r="A13" s="3">
        <v>44776.621527777781</v>
      </c>
      <c r="B13" s="3">
        <v>44781.600694444445</v>
      </c>
      <c r="C13" s="5">
        <v>2.5559101000000001E-2</v>
      </c>
      <c r="D13" s="6">
        <v>119.5</v>
      </c>
      <c r="E13" s="4">
        <v>2.3870253164556899E-3</v>
      </c>
      <c r="F13" s="2">
        <v>478</v>
      </c>
      <c r="G13" s="2">
        <v>474</v>
      </c>
      <c r="H13" s="2" t="s">
        <v>21</v>
      </c>
      <c r="I13" s="11">
        <f>$C$29-($C$29-$B$29)*EXP(-E13*D13)</f>
        <v>2.5287925703623745E-2</v>
      </c>
      <c r="J13" s="4">
        <f>$C$29-($C$29-$B$29)*EXP(-(E13^2)*D13)</f>
        <v>2.178143610436431E-3</v>
      </c>
      <c r="K13" s="4">
        <f>$C$29-($C$29-$B$29)*EXP(-(E13^0.5)*D13)</f>
        <v>9.5218155519341152E-2</v>
      </c>
      <c r="L13" s="5">
        <f>$C$29-($C$29-$B$29)*EXP(-(E13/2)*D13)</f>
        <v>1.4526131055674157E-2</v>
      </c>
      <c r="M13" s="12">
        <f>$C$29-($C$29-$B$29)*EXP(-(2*E13)*D13)</f>
        <v>4.2710259625121476E-2</v>
      </c>
      <c r="O13" s="2">
        <f>D13*60</f>
        <v>7170</v>
      </c>
      <c r="P13" s="11">
        <f>$C$29-($C$29-$B$29)*EXP(-E13*O13)</f>
        <v>9.5490192554154807E-2</v>
      </c>
      <c r="Q13" s="4">
        <f>$C$29-($C$29-$B$29)*EXP(-(E13^2)*O13)</f>
        <v>5.8524677185823326E-3</v>
      </c>
      <c r="R13" s="4">
        <f>$C$29-($C$29-$B$29)*EXP(-(E13^0.5)*O13)</f>
        <v>9.5490195999999999E-2</v>
      </c>
      <c r="S13" s="5">
        <f>$C$29-($C$29-$B$29)*EXP(-(E13/2)*O13)</f>
        <v>9.5472258388747719E-2</v>
      </c>
      <c r="T13" s="12">
        <f>$C$29-($C$29-$B$29)*EXP(-(2*E13)*O13)</f>
        <v>9.5490195999999875E-2</v>
      </c>
    </row>
    <row r="14" spans="1:20" x14ac:dyDescent="0.3">
      <c r="A14" s="3">
        <v>44781.600694444445</v>
      </c>
      <c r="B14" s="3">
        <v>45044.115277777775</v>
      </c>
      <c r="C14" s="5">
        <v>9.5490195999999999E-2</v>
      </c>
      <c r="D14" s="6">
        <v>6300.35</v>
      </c>
      <c r="E14" s="4">
        <v>2.6766358839050101E-2</v>
      </c>
      <c r="F14" s="2">
        <v>9363</v>
      </c>
      <c r="G14" s="2">
        <v>8338</v>
      </c>
      <c r="H14" s="2" t="s">
        <v>22</v>
      </c>
      <c r="I14" s="11">
        <f>$C$29-($C$29-$B$29)*EXP(-E14*D14)</f>
        <v>9.5490195999999999E-2</v>
      </c>
      <c r="J14" s="4">
        <f t="shared" ref="J14:J16" si="9">$C$29-($C$29-$B$29)*EXP(-(E14^2)*D14)</f>
        <v>9.4467113386020998E-2</v>
      </c>
      <c r="K14" s="4">
        <f t="shared" ref="K14:K16" si="10">$C$29-($C$29-$B$29)*EXP(-(E14^0.5)*D14)</f>
        <v>9.5490195999999999E-2</v>
      </c>
      <c r="L14" s="5">
        <f t="shared" ref="L14:L16" si="11">$C$29-($C$29-$B$29)*EXP(-(E14/2)*D14)</f>
        <v>9.5490195999999999E-2</v>
      </c>
      <c r="M14" s="12">
        <f t="shared" ref="M14:M16" si="12">$C$29-($C$29-$B$29)*EXP(-(2*E14)*D14)</f>
        <v>9.5490195999999999E-2</v>
      </c>
      <c r="O14" s="2">
        <f>D14*60</f>
        <v>378021</v>
      </c>
      <c r="P14" s="11">
        <f t="shared" ref="P14:P16" si="13">$C$29-($C$29-$B$29)*EXP(-E14*O14)</f>
        <v>9.5490195999999999E-2</v>
      </c>
      <c r="Q14" s="4">
        <f>$C$29-($C$29-$B$29)*EXP(-(E14^2)*O14)</f>
        <v>9.5490195999999999E-2</v>
      </c>
      <c r="R14" s="4">
        <f t="shared" ref="R14:R16" si="14">$C$29-($C$29-$B$29)*EXP(-(E14^0.5)*O14)</f>
        <v>9.5490195999999999E-2</v>
      </c>
      <c r="S14" s="5">
        <f t="shared" ref="S14:S16" si="15">$C$29-($C$29-$B$29)*EXP(-(E14/2)*O14)</f>
        <v>9.5490195999999999E-2</v>
      </c>
      <c r="T14" s="12">
        <f t="shared" ref="T14:T16" si="16">$C$29-($C$29-$B$29)*EXP(-(2*E14)*O14)</f>
        <v>9.5490195999999999E-2</v>
      </c>
    </row>
    <row r="15" spans="1:20" x14ac:dyDescent="0.3">
      <c r="A15" s="3">
        <v>45044.115277777775</v>
      </c>
      <c r="B15" s="3">
        <v>45136.609722222223</v>
      </c>
      <c r="C15" s="5">
        <v>2.5044461000000001E-2</v>
      </c>
      <c r="D15" s="6">
        <v>2219.86666666666</v>
      </c>
      <c r="E15" s="4">
        <v>4.8949065880039304E-3</v>
      </c>
      <c r="F15" s="2">
        <v>8879</v>
      </c>
      <c r="G15" s="2">
        <v>5085</v>
      </c>
      <c r="H15" s="2" t="s">
        <v>23</v>
      </c>
      <c r="I15" s="11">
        <f>$C$29-($C$29-$B$29)*EXP(-E15*D15)</f>
        <v>9.5488412914155094E-2</v>
      </c>
      <c r="J15" s="4">
        <f>$C$29-($C$29-$B$29)*EXP(-(E15^2)*D15)</f>
        <v>6.9513028949114986E-3</v>
      </c>
      <c r="K15" s="4">
        <f t="shared" si="10"/>
        <v>9.5490195999999999E-2</v>
      </c>
      <c r="L15" s="5">
        <f t="shared" si="11"/>
        <v>9.5082155893575465E-2</v>
      </c>
      <c r="M15" s="12">
        <f t="shared" si="12"/>
        <v>9.5490195965950472E-2</v>
      </c>
      <c r="O15" s="2">
        <f>D15*60</f>
        <v>133191.99999999959</v>
      </c>
      <c r="P15" s="11">
        <f t="shared" si="13"/>
        <v>9.5490195999999999E-2</v>
      </c>
      <c r="Q15" s="4">
        <f t="shared" ref="Q15:Q16" si="17">$C$29-($C$29-$B$29)*EXP(-(E15^2)*O15)</f>
        <v>9.1650722922398106E-2</v>
      </c>
      <c r="R15" s="4">
        <f t="shared" si="14"/>
        <v>9.5490195999999999E-2</v>
      </c>
      <c r="S15" s="5">
        <f t="shared" si="15"/>
        <v>9.5490195999999999E-2</v>
      </c>
      <c r="T15" s="12">
        <f t="shared" si="16"/>
        <v>9.5490195999999999E-2</v>
      </c>
    </row>
    <row r="16" spans="1:20" x14ac:dyDescent="0.3">
      <c r="A16" s="3">
        <v>45136.609722222223</v>
      </c>
      <c r="B16" s="3">
        <v>45183.938194444447</v>
      </c>
      <c r="C16" s="5">
        <v>2.1145859999999999E-3</v>
      </c>
      <c r="D16" s="6">
        <v>1135.88333333333</v>
      </c>
      <c r="E16" s="4">
        <v>7.3214125056230296E-4</v>
      </c>
      <c r="F16" s="2">
        <v>4544</v>
      </c>
      <c r="G16" s="2">
        <v>4446</v>
      </c>
      <c r="H16" s="2" t="s">
        <v>24</v>
      </c>
      <c r="I16" s="13">
        <f>$C$29-($C$29-$B$29)*EXP(-E16*D16)</f>
        <v>5.4840021364129792E-2</v>
      </c>
      <c r="J16" s="14">
        <f t="shared" si="9"/>
        <v>2.1714221596177974E-3</v>
      </c>
      <c r="K16" s="14">
        <f t="shared" si="10"/>
        <v>9.5490195999995808E-2</v>
      </c>
      <c r="L16" s="15">
        <f t="shared" si="11"/>
        <v>3.3880660591664807E-2</v>
      </c>
      <c r="M16" s="16">
        <f t="shared" si="12"/>
        <v>7.7793533049934721E-2</v>
      </c>
      <c r="O16" s="2">
        <f>D16*60</f>
        <v>68152.999999999796</v>
      </c>
      <c r="P16" s="13">
        <f t="shared" si="13"/>
        <v>9.5490195999999999E-2</v>
      </c>
      <c r="Q16" s="14">
        <f t="shared" si="17"/>
        <v>5.4642364321112469E-3</v>
      </c>
      <c r="R16" s="14">
        <f t="shared" si="14"/>
        <v>9.5490195999999999E-2</v>
      </c>
      <c r="S16" s="15">
        <f t="shared" si="15"/>
        <v>9.5490195998635091E-2</v>
      </c>
      <c r="T16" s="16">
        <f t="shared" si="16"/>
        <v>9.5490195999999999E-2</v>
      </c>
    </row>
    <row r="17" spans="1:20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9" spans="1:20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20" x14ac:dyDescent="0.3">
      <c r="A20" s="17" t="s">
        <v>11</v>
      </c>
      <c r="B20" s="17"/>
      <c r="C20" s="17"/>
      <c r="D20" s="17"/>
      <c r="E20" s="17"/>
      <c r="F20" s="17"/>
      <c r="G20" s="17"/>
      <c r="H20" s="8"/>
      <c r="I20" s="22" t="s">
        <v>20</v>
      </c>
      <c r="J20" s="23"/>
      <c r="K20" s="23"/>
      <c r="L20" s="23"/>
      <c r="M20" s="24"/>
      <c r="O20" s="2" t="s">
        <v>32</v>
      </c>
      <c r="P20" s="22" t="s">
        <v>20</v>
      </c>
      <c r="Q20" s="23"/>
      <c r="R20" s="23"/>
      <c r="S20" s="23"/>
      <c r="T20" s="24"/>
    </row>
    <row r="21" spans="1:20" x14ac:dyDescent="0.3">
      <c r="A21" s="2" t="s">
        <v>0</v>
      </c>
      <c r="B21" s="2" t="s">
        <v>1</v>
      </c>
      <c r="C21" t="s">
        <v>2</v>
      </c>
      <c r="D21" s="2" t="s">
        <v>5</v>
      </c>
      <c r="E21" s="2" t="s">
        <v>12</v>
      </c>
      <c r="F21" s="2" t="s">
        <v>13</v>
      </c>
      <c r="G21" s="2" t="s">
        <v>37</v>
      </c>
      <c r="H21" s="2"/>
      <c r="I21" s="9" t="s">
        <v>25</v>
      </c>
      <c r="J21" s="2" t="s">
        <v>27</v>
      </c>
      <c r="K21" s="2" t="s">
        <v>28</v>
      </c>
      <c r="L21" s="2" t="s">
        <v>29</v>
      </c>
      <c r="M21" s="10" t="s">
        <v>26</v>
      </c>
      <c r="O21" s="2" t="s">
        <v>33</v>
      </c>
      <c r="P21" s="9" t="s">
        <v>25</v>
      </c>
      <c r="Q21" s="2" t="s">
        <v>27</v>
      </c>
      <c r="R21" s="2" t="s">
        <v>28</v>
      </c>
      <c r="S21" s="2" t="s">
        <v>29</v>
      </c>
      <c r="T21" s="10" t="s">
        <v>26</v>
      </c>
    </row>
    <row r="22" spans="1:20" x14ac:dyDescent="0.3">
      <c r="A22" s="3">
        <v>44776.621527777781</v>
      </c>
      <c r="B22" s="3">
        <v>44781.600694444445</v>
      </c>
      <c r="C22" s="5">
        <v>2.5559101000000001E-2</v>
      </c>
      <c r="D22" s="6">
        <v>119.5</v>
      </c>
      <c r="E22" s="6">
        <v>1126.6019999999901</v>
      </c>
      <c r="F22" s="2">
        <v>478</v>
      </c>
      <c r="G22" s="4">
        <f>E4/E22*F22</f>
        <v>1.1111111111111202E-3</v>
      </c>
      <c r="H22" s="2" t="s">
        <v>21</v>
      </c>
      <c r="I22" s="11">
        <f>$C$29-($C$29-$B$29)*EXP(-G22*D22)</f>
        <v>1.3724940952705864E-2</v>
      </c>
      <c r="J22" s="4">
        <f>$C$29-($C$29-$B$29)*EXP(-(G22^2)*D22)</f>
        <v>2.1283607683115491E-3</v>
      </c>
      <c r="K22" s="4">
        <f>$C$29-($C$29-$B$29)*EXP(-(G22^0.5)*D22)</f>
        <v>9.3751219289359797E-2</v>
      </c>
      <c r="L22" s="5">
        <f>$C$29-($C$29-$B$29)*EXP(-(G22/2)*D22)</f>
        <v>8.1123923720381186E-3</v>
      </c>
      <c r="M22" s="12">
        <f>$C$29-($C$29-$B$29)*EXP(-(2*G22)*D22)</f>
        <v>2.3891660440777854E-2</v>
      </c>
      <c r="O22" s="2">
        <f>D22*60</f>
        <v>7170</v>
      </c>
      <c r="P22" s="11">
        <f>$C$29-($C$29-$B$29)*EXP(-G22*O22)</f>
        <v>9.5457810241019153E-2</v>
      </c>
      <c r="Q22" s="4">
        <f>$C$29-($C$29-$B$29)*EXP(-(G22^2)*O22)</f>
        <v>2.9374856004166089E-3</v>
      </c>
      <c r="R22" s="4">
        <f>$C$29-($C$29-$B$29)*EXP(-(G22^0.5)*O22)</f>
        <v>9.5490195999999999E-2</v>
      </c>
      <c r="S22" s="5">
        <f>$C$29-($C$29-$B$29)*EXP(-(G22/2)*O22)</f>
        <v>9.3751219289359825E-2</v>
      </c>
      <c r="T22" s="12">
        <f>$C$29-($C$29-$B$29)*EXP(-(2*G22)*O22)</f>
        <v>9.5490184767544492E-2</v>
      </c>
    </row>
    <row r="23" spans="1:20" x14ac:dyDescent="0.3">
      <c r="A23" s="3">
        <v>44781.600694444445</v>
      </c>
      <c r="B23" s="3">
        <v>45044.115277777775</v>
      </c>
      <c r="C23" s="5">
        <v>9.5490195999999999E-2</v>
      </c>
      <c r="D23" s="6">
        <v>6300.35</v>
      </c>
      <c r="E23" s="6">
        <v>288926.01</v>
      </c>
      <c r="F23" s="2">
        <v>9363</v>
      </c>
      <c r="G23" s="4">
        <f t="shared" ref="G23:G25" si="18">E5/E23*F23</f>
        <v>1.1256582269350067E-3</v>
      </c>
      <c r="H23" s="2" t="s">
        <v>22</v>
      </c>
      <c r="I23" s="11">
        <f t="shared" ref="I23:I25" si="19">$C$29-($C$29-$B$29)*EXP(-G23*D23)</f>
        <v>9.541253566444298E-2</v>
      </c>
      <c r="J23" s="4">
        <f t="shared" ref="J23:J25" si="20">$C$29-($C$29-$B$29)*EXP(-(G23^2)*D23)</f>
        <v>2.8570558935274298E-3</v>
      </c>
      <c r="K23" s="4">
        <f t="shared" ref="K23:K25" si="21">$C$29-($C$29-$B$29)*EXP(-(G23^0.5)*D23)</f>
        <v>9.5490195999999999E-2</v>
      </c>
      <c r="L23" s="5">
        <f t="shared" ref="L23:L25" si="22">$C$29-($C$29-$B$29)*EXP(-(G23/2)*D23)</f>
        <v>9.2797319989961477E-2</v>
      </c>
      <c r="M23" s="12">
        <f t="shared" ref="M23:M25" si="23">$C$29-($C$29-$B$29)*EXP(-(2*G23)*D23)</f>
        <v>9.549013141003139E-2</v>
      </c>
      <c r="O23" s="2">
        <f>D23*60</f>
        <v>378021</v>
      </c>
      <c r="P23" s="11">
        <f t="shared" ref="P23:P25" si="24">$C$29-($C$29-$B$29)*EXP(-G23*O23)</f>
        <v>9.5490195999999999E-2</v>
      </c>
      <c r="Q23" s="4">
        <f t="shared" ref="Q23:Q25" si="25">$C$29-($C$29-$B$29)*EXP(-(G23^2)*O23)</f>
        <v>3.7652697331445918E-2</v>
      </c>
      <c r="R23" s="4">
        <f t="shared" ref="R23:R25" si="26">$C$29-($C$29-$B$29)*EXP(-(G23^0.5)*O23)</f>
        <v>9.5490195999999999E-2</v>
      </c>
      <c r="S23" s="5">
        <f t="shared" ref="S23:S25" si="27">$C$29-($C$29-$B$29)*EXP(-(G23/2)*O23)</f>
        <v>9.5490195999999999E-2</v>
      </c>
      <c r="T23" s="12">
        <f t="shared" ref="T23:T25" si="28">$C$29-($C$29-$B$29)*EXP(-(2*G23)*O23)</f>
        <v>9.5490195999999999E-2</v>
      </c>
    </row>
    <row r="24" spans="1:20" x14ac:dyDescent="0.3">
      <c r="A24" s="3">
        <v>45044.115277777775</v>
      </c>
      <c r="B24" s="3">
        <v>45136.609722222223</v>
      </c>
      <c r="C24" s="5">
        <v>2.5044461000000001E-2</v>
      </c>
      <c r="D24" s="6">
        <v>2219.86666666666</v>
      </c>
      <c r="E24" s="6">
        <v>269188.83</v>
      </c>
      <c r="F24" s="2">
        <v>8879</v>
      </c>
      <c r="G24" s="4">
        <f t="shared" si="18"/>
        <v>1.1111111111111105E-3</v>
      </c>
      <c r="H24" s="2" t="s">
        <v>23</v>
      </c>
      <c r="I24" s="11">
        <f t="shared" si="19"/>
        <v>8.7564487965138174E-2</v>
      </c>
      <c r="J24" s="4">
        <f t="shared" si="20"/>
        <v>2.3701386273827646E-3</v>
      </c>
      <c r="K24" s="4">
        <f t="shared" si="21"/>
        <v>9.5490195999999999E-2</v>
      </c>
      <c r="L24" s="5">
        <f t="shared" si="22"/>
        <v>6.8286008409904175E-2</v>
      </c>
      <c r="M24" s="12">
        <f t="shared" si="23"/>
        <v>9.4817463068414612E-2</v>
      </c>
      <c r="O24" s="2">
        <f>D24*60</f>
        <v>133191.99999999959</v>
      </c>
      <c r="P24" s="11">
        <f t="shared" si="24"/>
        <v>9.5490195999999999E-2</v>
      </c>
      <c r="Q24" s="4">
        <f t="shared" si="25"/>
        <v>1.6272824782208373E-2</v>
      </c>
      <c r="R24" s="4">
        <f t="shared" si="26"/>
        <v>9.5490195999999999E-2</v>
      </c>
      <c r="S24" s="5">
        <f t="shared" si="27"/>
        <v>9.5490195999999999E-2</v>
      </c>
      <c r="T24" s="12">
        <f t="shared" si="28"/>
        <v>9.5490195999999999E-2</v>
      </c>
    </row>
    <row r="25" spans="1:20" x14ac:dyDescent="0.3">
      <c r="A25" s="3">
        <v>45136.609722222223</v>
      </c>
      <c r="B25" s="3">
        <v>45183.938194444447</v>
      </c>
      <c r="C25" s="5">
        <v>2.1145859999999999E-3</v>
      </c>
      <c r="D25" s="6">
        <v>1135.88333333333</v>
      </c>
      <c r="E25" s="6">
        <v>3293.0999999999899</v>
      </c>
      <c r="F25" s="2">
        <v>4544</v>
      </c>
      <c r="G25" s="4">
        <f t="shared" si="18"/>
        <v>1.1111111111111146E-3</v>
      </c>
      <c r="H25" s="2" t="s">
        <v>24</v>
      </c>
      <c r="I25" s="13">
        <f t="shared" si="19"/>
        <v>6.9059195472865265E-2</v>
      </c>
      <c r="J25" s="14">
        <f t="shared" si="20"/>
        <v>2.2454371925003935E-3</v>
      </c>
      <c r="K25" s="14">
        <f t="shared" si="21"/>
        <v>9.5490195999999999E-2</v>
      </c>
      <c r="L25" s="15">
        <f t="shared" si="22"/>
        <v>4.5811117937584959E-2</v>
      </c>
      <c r="M25" s="16">
        <f t="shared" si="23"/>
        <v>8.8008608582628406E-2</v>
      </c>
      <c r="O25" s="2">
        <f>D25*60</f>
        <v>68152.999999999796</v>
      </c>
      <c r="P25" s="13">
        <f t="shared" si="24"/>
        <v>9.5490195999999999E-2</v>
      </c>
      <c r="Q25" s="14">
        <f t="shared" si="25"/>
        <v>9.6497177210023016E-3</v>
      </c>
      <c r="R25" s="14">
        <f t="shared" si="26"/>
        <v>9.5490195999999999E-2</v>
      </c>
      <c r="S25" s="15">
        <f t="shared" si="27"/>
        <v>9.5490195999999999E-2</v>
      </c>
      <c r="T25" s="16">
        <f t="shared" si="28"/>
        <v>9.5490195999999999E-2</v>
      </c>
    </row>
    <row r="26" spans="1:20" x14ac:dyDescent="0.3">
      <c r="A26" s="18"/>
      <c r="B26" s="18"/>
      <c r="C26" s="18"/>
      <c r="D26" s="18"/>
      <c r="E26" s="20"/>
      <c r="F26" s="18"/>
      <c r="G26" s="18"/>
      <c r="H26" s="18"/>
      <c r="I26" s="18"/>
      <c r="J26" s="18"/>
      <c r="K26" s="18"/>
      <c r="L26" s="18"/>
      <c r="M26" s="18"/>
    </row>
    <row r="27" spans="1:20" x14ac:dyDescent="0.3">
      <c r="B27" t="s">
        <v>16</v>
      </c>
      <c r="C27" t="s">
        <v>17</v>
      </c>
    </row>
    <row r="28" spans="1:20" x14ac:dyDescent="0.3">
      <c r="A28" t="s">
        <v>15</v>
      </c>
      <c r="B28" s="5">
        <f>0.14*(B33^0.7)+0.0075</f>
        <v>3.4349135189301633E-2</v>
      </c>
      <c r="C28" s="5">
        <f>1.4*(B33^0.7)+0.075</f>
        <v>0.34349135189301633</v>
      </c>
      <c r="D28" s="6"/>
      <c r="E28" s="21">
        <v>0</v>
      </c>
      <c r="F28">
        <v>0</v>
      </c>
    </row>
    <row r="29" spans="1:20" x14ac:dyDescent="0.3">
      <c r="A29" t="s">
        <v>14</v>
      </c>
      <c r="B29" s="5">
        <f>MIN(C22:C25)</f>
        <v>2.1145859999999999E-3</v>
      </c>
      <c r="C29" s="5">
        <f>MAX(C22:C25)</f>
        <v>9.5490195999999999E-2</v>
      </c>
      <c r="E29" s="21">
        <v>1</v>
      </c>
      <c r="F29">
        <v>1</v>
      </c>
    </row>
    <row r="30" spans="1:20" x14ac:dyDescent="0.3">
      <c r="A30" t="s">
        <v>36</v>
      </c>
      <c r="B30" s="5">
        <f>0.14*(B34^0.7)+0.0075</f>
        <v>1.2433141081696839E-2</v>
      </c>
      <c r="C30">
        <f>1.4*(B34^0.7)+0.075</f>
        <v>0.12433141081696839</v>
      </c>
    </row>
    <row r="33" spans="1:3" x14ac:dyDescent="0.3">
      <c r="A33" t="s">
        <v>18</v>
      </c>
      <c r="B33" s="2">
        <v>9.4500000000000001E-2</v>
      </c>
      <c r="C33" s="2" t="s">
        <v>19</v>
      </c>
    </row>
    <row r="34" spans="1:3" x14ac:dyDescent="0.3">
      <c r="A34" s="2" t="s">
        <v>35</v>
      </c>
      <c r="B34" s="2">
        <v>8.3999999999999995E-3</v>
      </c>
      <c r="C34" s="2" t="s">
        <v>19</v>
      </c>
    </row>
  </sheetData>
  <mergeCells count="8">
    <mergeCell ref="I2:M2"/>
    <mergeCell ref="I1:M1"/>
    <mergeCell ref="I11:M11"/>
    <mergeCell ref="I20:M20"/>
    <mergeCell ref="P1:T1"/>
    <mergeCell ref="P2:T2"/>
    <mergeCell ref="P11:T11"/>
    <mergeCell ref="P20:T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47FD-E316-43F8-BE2A-402DD6DABF4A}">
  <dimension ref="A1:T34"/>
  <sheetViews>
    <sheetView zoomScale="70" zoomScaleNormal="70" workbookViewId="0">
      <selection activeCell="S32" sqref="S32"/>
    </sheetView>
  </sheetViews>
  <sheetFormatPr defaultRowHeight="14.4" x14ac:dyDescent="0.3"/>
  <cols>
    <col min="1" max="1" width="16" customWidth="1"/>
    <col min="2" max="2" width="18.5546875" customWidth="1"/>
    <col min="4" max="4" width="25.88671875" customWidth="1"/>
    <col min="5" max="5" width="24" bestFit="1" customWidth="1"/>
    <col min="6" max="6" width="19.33203125" customWidth="1"/>
    <col min="7" max="7" width="25.109375" customWidth="1"/>
    <col min="9" max="9" width="13.88671875" customWidth="1"/>
    <col min="10" max="10" width="11.5546875" customWidth="1"/>
    <col min="11" max="11" width="11" customWidth="1"/>
    <col min="12" max="12" width="11.44140625" customWidth="1"/>
    <col min="13" max="13" width="8.21875" customWidth="1"/>
  </cols>
  <sheetData>
    <row r="1" spans="1:20" x14ac:dyDescent="0.3">
      <c r="F1" s="2"/>
      <c r="G1" s="2"/>
      <c r="H1" s="2"/>
      <c r="I1" s="25" t="s">
        <v>30</v>
      </c>
      <c r="J1" s="25"/>
      <c r="K1" s="25"/>
      <c r="L1" s="25"/>
      <c r="M1" s="25"/>
      <c r="P1" s="25" t="s">
        <v>31</v>
      </c>
      <c r="Q1" s="25"/>
      <c r="R1" s="25"/>
      <c r="S1" s="25"/>
      <c r="T1" s="25"/>
    </row>
    <row r="2" spans="1:20" x14ac:dyDescent="0.3">
      <c r="A2" s="17" t="s">
        <v>8</v>
      </c>
      <c r="B2" s="17"/>
      <c r="C2" s="17"/>
      <c r="D2" s="17"/>
      <c r="E2" s="17"/>
      <c r="F2" s="8"/>
      <c r="G2" s="8"/>
      <c r="H2" s="8"/>
      <c r="I2" s="22" t="s">
        <v>20</v>
      </c>
      <c r="J2" s="23"/>
      <c r="K2" s="23"/>
      <c r="L2" s="23"/>
      <c r="M2" s="24"/>
      <c r="O2" s="2" t="s">
        <v>32</v>
      </c>
      <c r="P2" s="22" t="s">
        <v>20</v>
      </c>
      <c r="Q2" s="23"/>
      <c r="R2" s="23"/>
      <c r="S2" s="23"/>
      <c r="T2" s="24"/>
    </row>
    <row r="3" spans="1:20" x14ac:dyDescent="0.3">
      <c r="A3" s="2" t="s">
        <v>0</v>
      </c>
      <c r="B3" s="2" t="s">
        <v>1</v>
      </c>
      <c r="C3" s="2" t="s">
        <v>2</v>
      </c>
      <c r="D3" s="2" t="s">
        <v>5</v>
      </c>
      <c r="E3" s="2" t="s">
        <v>10</v>
      </c>
      <c r="F3" s="2" t="s">
        <v>9</v>
      </c>
      <c r="H3" s="2"/>
      <c r="I3" s="9" t="s">
        <v>25</v>
      </c>
      <c r="J3" s="2" t="s">
        <v>27</v>
      </c>
      <c r="K3" s="2" t="s">
        <v>28</v>
      </c>
      <c r="L3" s="2" t="s">
        <v>29</v>
      </c>
      <c r="M3" s="10" t="s">
        <v>26</v>
      </c>
      <c r="O3" s="2" t="s">
        <v>33</v>
      </c>
      <c r="P3" s="9" t="s">
        <v>25</v>
      </c>
      <c r="Q3" s="2" t="s">
        <v>27</v>
      </c>
      <c r="R3" s="2" t="s">
        <v>28</v>
      </c>
      <c r="S3" s="2" t="s">
        <v>29</v>
      </c>
      <c r="T3" s="10" t="s">
        <v>26</v>
      </c>
    </row>
    <row r="4" spans="1:20" x14ac:dyDescent="0.3">
      <c r="A4" s="3">
        <v>44776.625694444447</v>
      </c>
      <c r="B4" s="3">
        <v>44781.604861111111</v>
      </c>
      <c r="C4" s="5">
        <v>2.9847195999999999E-2</v>
      </c>
      <c r="D4" s="6">
        <v>119.5</v>
      </c>
      <c r="E4" s="4">
        <v>2.6644979079497901E-3</v>
      </c>
      <c r="F4" s="2">
        <v>478</v>
      </c>
      <c r="H4" s="2" t="s">
        <v>21</v>
      </c>
      <c r="I4" s="11">
        <f>$C$29-($C$29-$B$29)*EXP(-E4*D4)</f>
        <v>2.7853562376260771E-2</v>
      </c>
      <c r="J4" s="4">
        <f>$C$29-($C$29-$B$29)*EXP(-(E4^2)*D4)</f>
        <v>2.9944622377880981E-3</v>
      </c>
      <c r="K4" s="4">
        <f>$C$29-($C$29-$B$29)*EXP(-(E4^0.5)*D4)</f>
        <v>9.4171035682091425E-2</v>
      </c>
      <c r="L4" s="5">
        <f>$C$29-($C$29-$B$29)*EXP(-(E4/2)*D4)</f>
        <v>1.6375648695147876E-2</v>
      </c>
      <c r="M4" s="12">
        <f>$C$29-($C$29-$B$29)*EXP(-(2*E4)*D4)</f>
        <v>4.5990145832335752E-2</v>
      </c>
      <c r="O4" s="2">
        <f>D4*60</f>
        <v>7170</v>
      </c>
      <c r="P4" s="11">
        <f>$C$29-($C$29-$B$29)*EXP(-E4*O4)</f>
        <v>9.4362567538463699E-2</v>
      </c>
      <c r="Q4" s="4">
        <f>$C$29-($C$29-$B$29)*EXP(-(E4^2)*O4)</f>
        <v>7.4553496056865565E-3</v>
      </c>
      <c r="R4" s="4">
        <f>$C$29-($C$29-$B$29)*EXP(-(E4^0.5)*O4)</f>
        <v>9.4362567999999994E-2</v>
      </c>
      <c r="S4" s="5">
        <f>$C$29-($C$29-$B$29)*EXP(-(E4/2)*O4)</f>
        <v>9.4356071424834737E-2</v>
      </c>
      <c r="T4" s="12">
        <f>$C$29-($C$29-$B$29)*EXP(-(2*E4)*O4)</f>
        <v>9.4362567999999994E-2</v>
      </c>
    </row>
    <row r="5" spans="1:20" x14ac:dyDescent="0.3">
      <c r="A5" s="3">
        <v>44781.604861111111</v>
      </c>
      <c r="B5" s="3">
        <v>45044.125</v>
      </c>
      <c r="C5" s="5">
        <v>9.4362567999999994E-2</v>
      </c>
      <c r="D5" s="6">
        <v>6300.4833333333299</v>
      </c>
      <c r="E5" s="4">
        <v>3.4736974353424897E-2</v>
      </c>
      <c r="F5" s="2">
        <v>9362</v>
      </c>
      <c r="H5" s="2" t="s">
        <v>22</v>
      </c>
      <c r="I5" s="11">
        <f>$C$29-($C$29-$B$29)*EXP(-E5*D5)</f>
        <v>9.4362567999999994E-2</v>
      </c>
      <c r="J5" s="4">
        <f t="shared" ref="J5:J7" si="0">$C$29-($C$29-$B$29)*EXP(-(E5^2)*D5)</f>
        <v>9.4316919288404757E-2</v>
      </c>
      <c r="K5" s="4">
        <f t="shared" ref="K5:K7" si="1">$C$29-($C$29-$B$29)*EXP(-(E5^0.5)*D5)</f>
        <v>9.4362567999999994E-2</v>
      </c>
      <c r="L5" s="5">
        <f t="shared" ref="L5:L7" si="2">$C$29-($C$29-$B$29)*EXP(-(E5/2)*D5)</f>
        <v>9.4362567999999994E-2</v>
      </c>
      <c r="M5" s="12">
        <f t="shared" ref="M5:M7" si="3">$C$29-($C$29-$B$29)*EXP(-(2*E5)*D5)</f>
        <v>9.4362567999999994E-2</v>
      </c>
      <c r="O5" s="2">
        <f>D5*60</f>
        <v>378028.99999999977</v>
      </c>
      <c r="P5" s="11">
        <f t="shared" ref="P5:P7" si="4">$C$29-($C$29-$B$29)*EXP(-E5*O5)</f>
        <v>9.4362567999999994E-2</v>
      </c>
      <c r="Q5" s="4">
        <f>$C$29-($C$29-$B$29)*EXP(-(E5^2)*O5)</f>
        <v>9.4362567999999994E-2</v>
      </c>
      <c r="R5" s="4">
        <f t="shared" ref="R5:R7" si="5">$C$29-($C$29-$B$29)*EXP(-(E5^0.5)*O5)</f>
        <v>9.4362567999999994E-2</v>
      </c>
      <c r="S5" s="5">
        <f t="shared" ref="S5:S7" si="6">$C$29-($C$29-$B$29)*EXP(-(E5/2)*O5)</f>
        <v>9.4362567999999994E-2</v>
      </c>
      <c r="T5" s="12">
        <f t="shared" ref="T5:T7" si="7">$C$29-($C$29-$B$29)*EXP(-(2*E5)*O5)</f>
        <v>9.4362567999999994E-2</v>
      </c>
    </row>
    <row r="6" spans="1:20" x14ac:dyDescent="0.3">
      <c r="A6" s="3">
        <v>45044.125</v>
      </c>
      <c r="B6" s="3">
        <v>45136.614583333336</v>
      </c>
      <c r="C6" s="5">
        <v>2.8499633999999999E-2</v>
      </c>
      <c r="D6" s="6">
        <v>2219.75</v>
      </c>
      <c r="E6" s="4">
        <v>3.3679240820004501E-2</v>
      </c>
      <c r="F6" s="2">
        <v>8878</v>
      </c>
      <c r="H6" s="2" t="s">
        <v>23</v>
      </c>
      <c r="I6" s="11">
        <f>$C$29-($C$29-$B$29)*EXP(-E6*D6)</f>
        <v>9.4362567999999994E-2</v>
      </c>
      <c r="J6" s="4">
        <f t="shared" si="0"/>
        <v>8.6988999128219072E-2</v>
      </c>
      <c r="K6" s="4">
        <f t="shared" si="1"/>
        <v>9.4362567999999994E-2</v>
      </c>
      <c r="L6" s="5">
        <f t="shared" si="2"/>
        <v>9.4362567999999994E-2</v>
      </c>
      <c r="M6" s="12">
        <f t="shared" si="3"/>
        <v>9.4362567999999994E-2</v>
      </c>
      <c r="O6" s="2">
        <f>D6*60</f>
        <v>133185</v>
      </c>
      <c r="P6" s="11">
        <f t="shared" si="4"/>
        <v>9.4362567999999994E-2</v>
      </c>
      <c r="Q6" s="4">
        <f t="shared" ref="Q6:Q7" si="8">$C$29-($C$29-$B$29)*EXP(-(E6^2)*O6)</f>
        <v>9.4362567999999994E-2</v>
      </c>
      <c r="R6" s="4">
        <f t="shared" si="5"/>
        <v>9.4362567999999994E-2</v>
      </c>
      <c r="S6" s="5">
        <f t="shared" si="6"/>
        <v>9.4362567999999994E-2</v>
      </c>
      <c r="T6" s="12">
        <f t="shared" si="7"/>
        <v>9.4362567999999994E-2</v>
      </c>
    </row>
    <row r="7" spans="1:20" x14ac:dyDescent="0.3">
      <c r="A7" s="3">
        <v>45136.614583333336</v>
      </c>
      <c r="B7" s="3">
        <v>45183.947916666664</v>
      </c>
      <c r="C7" s="5">
        <v>2.9169130000000001E-3</v>
      </c>
      <c r="D7" s="6">
        <v>1136</v>
      </c>
      <c r="E7" s="4">
        <v>8.0405018710103405E-4</v>
      </c>
      <c r="F7" s="2">
        <v>4543</v>
      </c>
      <c r="H7" s="2" t="s">
        <v>24</v>
      </c>
      <c r="I7" s="13">
        <f>$C$29-($C$29-$B$29)*EXP(-E7*D7)</f>
        <v>5.7678452219139191E-2</v>
      </c>
      <c r="J7" s="14">
        <f t="shared" si="0"/>
        <v>2.9840478856396069E-3</v>
      </c>
      <c r="K7" s="14">
        <f t="shared" si="1"/>
        <v>9.4362567999999064E-2</v>
      </c>
      <c r="L7" s="15">
        <f t="shared" si="2"/>
        <v>3.6443633309549646E-2</v>
      </c>
      <c r="M7" s="16">
        <f t="shared" si="3"/>
        <v>7.9646457643268442E-2</v>
      </c>
      <c r="O7" s="2">
        <f>D7*60</f>
        <v>68160</v>
      </c>
      <c r="P7" s="13">
        <f t="shared" si="4"/>
        <v>9.4362567999999994E-2</v>
      </c>
      <c r="Q7" s="14">
        <f t="shared" si="8"/>
        <v>6.8589933121830787E-3</v>
      </c>
      <c r="R7" s="14">
        <f t="shared" si="5"/>
        <v>9.4362567999999994E-2</v>
      </c>
      <c r="S7" s="15">
        <f t="shared" si="6"/>
        <v>9.4362567999885016E-2</v>
      </c>
      <c r="T7" s="16">
        <f t="shared" si="7"/>
        <v>9.4362567999999994E-2</v>
      </c>
    </row>
    <row r="8" spans="1:20" x14ac:dyDescent="0.3">
      <c r="A8" s="18"/>
      <c r="B8" s="18"/>
      <c r="C8" s="18"/>
      <c r="D8" s="18"/>
      <c r="E8" s="18"/>
      <c r="F8" s="18"/>
      <c r="G8" s="18"/>
      <c r="H8" s="19"/>
      <c r="I8" s="19"/>
      <c r="J8" s="18"/>
      <c r="K8" s="18"/>
      <c r="L8" s="18"/>
      <c r="M8" s="18"/>
    </row>
    <row r="9" spans="1:20" x14ac:dyDescent="0.3">
      <c r="A9" s="3"/>
      <c r="B9" s="2"/>
      <c r="E9" s="7"/>
      <c r="F9" s="2"/>
      <c r="G9" s="2"/>
      <c r="H9" s="2"/>
      <c r="I9" s="2"/>
    </row>
    <row r="11" spans="1:20" x14ac:dyDescent="0.3">
      <c r="A11" s="17" t="s">
        <v>7</v>
      </c>
      <c r="B11" s="17"/>
      <c r="C11" s="17"/>
      <c r="D11" s="17"/>
      <c r="E11" s="17"/>
      <c r="F11" s="17"/>
      <c r="G11" s="17"/>
      <c r="H11" s="8"/>
      <c r="I11" s="22" t="s">
        <v>20</v>
      </c>
      <c r="J11" s="23"/>
      <c r="K11" s="23"/>
      <c r="L11" s="23"/>
      <c r="M11" s="24"/>
      <c r="O11" s="2" t="s">
        <v>32</v>
      </c>
      <c r="P11" s="22" t="s">
        <v>20</v>
      </c>
      <c r="Q11" s="23"/>
      <c r="R11" s="23"/>
      <c r="S11" s="23"/>
      <c r="T11" s="24"/>
    </row>
    <row r="12" spans="1:20" x14ac:dyDescent="0.3">
      <c r="A12" s="2" t="s">
        <v>0</v>
      </c>
      <c r="B12" s="2" t="s">
        <v>1</v>
      </c>
      <c r="C12" t="s">
        <v>2</v>
      </c>
      <c r="D12" s="2" t="s">
        <v>5</v>
      </c>
      <c r="E12" s="2" t="s">
        <v>6</v>
      </c>
      <c r="F12" s="2" t="s">
        <v>3</v>
      </c>
      <c r="G12" s="2" t="s">
        <v>4</v>
      </c>
      <c r="H12" s="2"/>
      <c r="I12" s="9" t="s">
        <v>25</v>
      </c>
      <c r="J12" s="2" t="s">
        <v>27</v>
      </c>
      <c r="K12" s="2" t="s">
        <v>28</v>
      </c>
      <c r="L12" s="2" t="s">
        <v>29</v>
      </c>
      <c r="M12" s="10" t="s">
        <v>26</v>
      </c>
      <c r="O12" s="2" t="s">
        <v>33</v>
      </c>
      <c r="P12" s="9" t="s">
        <v>25</v>
      </c>
      <c r="Q12" s="2" t="s">
        <v>27</v>
      </c>
      <c r="R12" s="2" t="s">
        <v>28</v>
      </c>
      <c r="S12" s="2" t="s">
        <v>29</v>
      </c>
      <c r="T12" s="10" t="s">
        <v>26</v>
      </c>
    </row>
    <row r="13" spans="1:20" x14ac:dyDescent="0.3">
      <c r="A13" s="3">
        <v>44776.625694444447</v>
      </c>
      <c r="B13" s="3">
        <v>44781.604861111111</v>
      </c>
      <c r="C13" s="5">
        <v>2.9847195999999999E-2</v>
      </c>
      <c r="D13" s="6">
        <v>119.5</v>
      </c>
      <c r="E13" s="4">
        <v>2.4833473684210501E-3</v>
      </c>
      <c r="F13" s="2">
        <v>478</v>
      </c>
      <c r="G13" s="2">
        <v>475</v>
      </c>
      <c r="H13" s="2" t="s">
        <v>21</v>
      </c>
      <c r="I13" s="11">
        <f>$C$29-($C$29-$B$29)*EXP(-E13*D13)</f>
        <v>2.6398112798949422E-2</v>
      </c>
      <c r="J13" s="4">
        <f>$C$29-($C$29-$B$29)*EXP(-(E13^2)*D13)</f>
        <v>2.9842797981954605E-3</v>
      </c>
      <c r="K13" s="4">
        <f>$C$29-($C$29-$B$29)*EXP(-(E13^0.5)*D13)</f>
        <v>9.4125479548516897E-2</v>
      </c>
      <c r="L13" s="5">
        <f>$C$29-($C$29-$B$29)*EXP(-(E13/2)*D13)</f>
        <v>1.5526953443010416E-2</v>
      </c>
      <c r="M13" s="12">
        <f>$C$29-($C$29-$B$29)*EXP(-(2*E13)*D13)</f>
        <v>4.3849865447039858E-2</v>
      </c>
      <c r="O13" s="2">
        <f>D13*60</f>
        <v>7170</v>
      </c>
      <c r="P13" s="11">
        <f>$C$29-($C$29-$B$29)*EXP(-E13*O13)</f>
        <v>9.4362566308433884E-2</v>
      </c>
      <c r="Q13" s="4">
        <f>$C$29-($C$29-$B$29)*EXP(-(E13^2)*O13)</f>
        <v>6.8723170068787642E-3</v>
      </c>
      <c r="R13" s="4">
        <f>$C$29-($C$29-$B$29)*EXP(-(E13^0.5)*O13)</f>
        <v>9.4362567999999994E-2</v>
      </c>
      <c r="S13" s="5">
        <f>$C$29-($C$29-$B$29)*EXP(-(E13/2)*O13)</f>
        <v>9.4350130702454543E-2</v>
      </c>
      <c r="T13" s="12">
        <f>$C$29-($C$29-$B$29)*EXP(-(2*E13)*O13)</f>
        <v>9.4362567999999966E-2</v>
      </c>
    </row>
    <row r="14" spans="1:20" x14ac:dyDescent="0.3">
      <c r="A14" s="3">
        <v>44781.604861111111</v>
      </c>
      <c r="B14" s="3">
        <v>45044.125</v>
      </c>
      <c r="C14" s="5">
        <v>9.4362567999999994E-2</v>
      </c>
      <c r="D14" s="6">
        <v>6300.4833333333299</v>
      </c>
      <c r="E14" s="4">
        <v>2.6357666224206499E-2</v>
      </c>
      <c r="F14" s="2">
        <v>9362</v>
      </c>
      <c r="G14" s="2">
        <v>8287</v>
      </c>
      <c r="H14" s="2" t="s">
        <v>22</v>
      </c>
      <c r="I14" s="11">
        <f>$C$29-($C$29-$B$29)*EXP(-E14*D14)</f>
        <v>9.4362567999999994E-2</v>
      </c>
      <c r="J14" s="4">
        <f t="shared" ref="J14:J16" si="9">$C$29-($C$29-$B$29)*EXP(-(E14^2)*D14)</f>
        <v>9.321386705189387E-2</v>
      </c>
      <c r="K14" s="4">
        <f t="shared" ref="K14:K16" si="10">$C$29-($C$29-$B$29)*EXP(-(E14^0.5)*D14)</f>
        <v>9.4362567999999994E-2</v>
      </c>
      <c r="L14" s="5">
        <f t="shared" ref="L14:L16" si="11">$C$29-($C$29-$B$29)*EXP(-(E14/2)*D14)</f>
        <v>9.4362567999999994E-2</v>
      </c>
      <c r="M14" s="12">
        <f t="shared" ref="M14:M16" si="12">$C$29-($C$29-$B$29)*EXP(-(2*E14)*D14)</f>
        <v>9.4362567999999994E-2</v>
      </c>
      <c r="O14" s="2">
        <f>D14*60</f>
        <v>378028.99999999977</v>
      </c>
      <c r="P14" s="11">
        <f t="shared" ref="P14:P16" si="13">$C$29-($C$29-$B$29)*EXP(-E14*O14)</f>
        <v>9.4362567999999994E-2</v>
      </c>
      <c r="Q14" s="4">
        <f>$C$29-($C$29-$B$29)*EXP(-(E14^2)*O14)</f>
        <v>9.4362567999999994E-2</v>
      </c>
      <c r="R14" s="4">
        <f t="shared" ref="R14:R16" si="14">$C$29-($C$29-$B$29)*EXP(-(E14^0.5)*O14)</f>
        <v>9.4362567999999994E-2</v>
      </c>
      <c r="S14" s="5">
        <f t="shared" ref="S14:S16" si="15">$C$29-($C$29-$B$29)*EXP(-(E14/2)*O14)</f>
        <v>9.4362567999999994E-2</v>
      </c>
      <c r="T14" s="12">
        <f t="shared" ref="T14:T16" si="16">$C$29-($C$29-$B$29)*EXP(-(2*E14)*O14)</f>
        <v>9.4362567999999994E-2</v>
      </c>
    </row>
    <row r="15" spans="1:20" x14ac:dyDescent="0.3">
      <c r="A15" s="3">
        <v>45044.125</v>
      </c>
      <c r="B15" s="3">
        <v>45136.614583333336</v>
      </c>
      <c r="C15" s="5">
        <v>2.8499633999999999E-2</v>
      </c>
      <c r="D15" s="6">
        <v>2219.75</v>
      </c>
      <c r="E15" s="4">
        <v>5.5669397865853601E-3</v>
      </c>
      <c r="F15" s="2">
        <v>8878</v>
      </c>
      <c r="G15" s="2">
        <v>5248</v>
      </c>
      <c r="H15" s="2" t="s">
        <v>23</v>
      </c>
      <c r="I15" s="11">
        <f>$C$29-($C$29-$B$29)*EXP(-E15*D15)</f>
        <v>9.4362174909121507E-2</v>
      </c>
      <c r="J15" s="4">
        <f>$C$29-($C$29-$B$29)*EXP(-(E15^2)*D15)</f>
        <v>8.9961329063713014E-3</v>
      </c>
      <c r="K15" s="4">
        <f t="shared" si="10"/>
        <v>9.4362567999999994E-2</v>
      </c>
      <c r="L15" s="5">
        <f t="shared" si="11"/>
        <v>9.4172972502011607E-2</v>
      </c>
      <c r="M15" s="12">
        <f t="shared" si="12"/>
        <v>9.4362567998310248E-2</v>
      </c>
      <c r="O15" s="2">
        <f>D15*60</f>
        <v>133185</v>
      </c>
      <c r="P15" s="11">
        <f t="shared" si="13"/>
        <v>9.4362567999999994E-2</v>
      </c>
      <c r="Q15" s="4">
        <f t="shared" ref="Q15:Q16" si="17">$C$29-($C$29-$B$29)*EXP(-(E15^2)*O15)</f>
        <v>9.2888195187005571E-2</v>
      </c>
      <c r="R15" s="4">
        <f t="shared" si="14"/>
        <v>9.4362567999999994E-2</v>
      </c>
      <c r="S15" s="5">
        <f t="shared" si="15"/>
        <v>9.4362567999999994E-2</v>
      </c>
      <c r="T15" s="12">
        <f t="shared" si="16"/>
        <v>9.4362567999999994E-2</v>
      </c>
    </row>
    <row r="16" spans="1:20" x14ac:dyDescent="0.3">
      <c r="A16" s="3">
        <v>45136.614583333336</v>
      </c>
      <c r="B16" s="3">
        <v>45183.947916666664</v>
      </c>
      <c r="C16" s="5">
        <v>2.9169130000000001E-3</v>
      </c>
      <c r="D16" s="6">
        <v>1136</v>
      </c>
      <c r="E16" s="4">
        <v>7.5488454706927101E-4</v>
      </c>
      <c r="F16" s="2">
        <v>4543</v>
      </c>
      <c r="G16" s="2">
        <v>4504</v>
      </c>
      <c r="H16" s="2" t="s">
        <v>24</v>
      </c>
      <c r="I16" s="13">
        <f>$C$29-($C$29-$B$29)*EXP(-E16*D16)</f>
        <v>5.5571267175563925E-2</v>
      </c>
      <c r="J16" s="14">
        <f t="shared" si="9"/>
        <v>2.9760912221753338E-3</v>
      </c>
      <c r="K16" s="14">
        <f t="shared" si="10"/>
        <v>9.436256799999744E-2</v>
      </c>
      <c r="L16" s="15">
        <f t="shared" si="11"/>
        <v>3.4803388084620066E-2</v>
      </c>
      <c r="M16" s="16">
        <f t="shared" si="12"/>
        <v>7.7907275294710782E-2</v>
      </c>
      <c r="O16" s="2">
        <f>D16*60</f>
        <v>68160</v>
      </c>
      <c r="P16" s="13">
        <f t="shared" si="13"/>
        <v>9.4362567999999994E-2</v>
      </c>
      <c r="Q16" s="14">
        <f t="shared" si="17"/>
        <v>6.4006615860574129E-3</v>
      </c>
      <c r="R16" s="14">
        <f t="shared" si="14"/>
        <v>9.4362567999999994E-2</v>
      </c>
      <c r="S16" s="15">
        <f t="shared" si="15"/>
        <v>9.4362567999385805E-2</v>
      </c>
      <c r="T16" s="16">
        <f t="shared" si="16"/>
        <v>9.4362567999999994E-2</v>
      </c>
    </row>
    <row r="17" spans="1:20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9" spans="1:20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20" x14ac:dyDescent="0.3">
      <c r="A20" s="17" t="s">
        <v>11</v>
      </c>
      <c r="B20" s="17"/>
      <c r="C20" s="17"/>
      <c r="D20" s="17"/>
      <c r="E20" s="17"/>
      <c r="F20" s="17"/>
      <c r="G20" s="17"/>
      <c r="H20" s="8"/>
      <c r="I20" s="22" t="s">
        <v>20</v>
      </c>
      <c r="J20" s="23"/>
      <c r="K20" s="23"/>
      <c r="L20" s="23"/>
      <c r="M20" s="24"/>
      <c r="O20" s="2" t="s">
        <v>32</v>
      </c>
      <c r="P20" s="22" t="s">
        <v>20</v>
      </c>
      <c r="Q20" s="23"/>
      <c r="R20" s="23"/>
      <c r="S20" s="23"/>
      <c r="T20" s="24"/>
    </row>
    <row r="21" spans="1:20" x14ac:dyDescent="0.3">
      <c r="A21" s="2" t="s">
        <v>0</v>
      </c>
      <c r="B21" s="2" t="s">
        <v>1</v>
      </c>
      <c r="C21" t="s">
        <v>2</v>
      </c>
      <c r="D21" s="2" t="s">
        <v>5</v>
      </c>
      <c r="E21" s="2" t="s">
        <v>12</v>
      </c>
      <c r="F21" s="2" t="s">
        <v>9</v>
      </c>
      <c r="G21" s="2" t="s">
        <v>37</v>
      </c>
      <c r="H21" s="2"/>
      <c r="I21" s="9" t="s">
        <v>25</v>
      </c>
      <c r="J21" s="2" t="s">
        <v>27</v>
      </c>
      <c r="K21" s="2" t="s">
        <v>28</v>
      </c>
      <c r="L21" s="2" t="s">
        <v>29</v>
      </c>
      <c r="M21" s="10" t="s">
        <v>26</v>
      </c>
      <c r="O21" s="2" t="s">
        <v>33</v>
      </c>
      <c r="P21" s="9" t="s">
        <v>25</v>
      </c>
      <c r="Q21" s="2" t="s">
        <v>27</v>
      </c>
      <c r="R21" s="2" t="s">
        <v>28</v>
      </c>
      <c r="S21" s="2" t="s">
        <v>29</v>
      </c>
      <c r="T21" s="10" t="s">
        <v>26</v>
      </c>
    </row>
    <row r="22" spans="1:20" x14ac:dyDescent="0.3">
      <c r="A22" s="3">
        <v>44776.625694444447</v>
      </c>
      <c r="B22" s="3">
        <v>44781.604861111111</v>
      </c>
      <c r="C22" s="5">
        <v>2.9847195999999999E-2</v>
      </c>
      <c r="D22" s="2">
        <v>119.5</v>
      </c>
      <c r="E22" s="2">
        <v>1146.2670000000001</v>
      </c>
      <c r="F22" s="2">
        <v>478</v>
      </c>
      <c r="G22" s="4">
        <f>E4/E22*F22</f>
        <v>1.1111111111111109E-3</v>
      </c>
      <c r="H22" s="2" t="s">
        <v>21</v>
      </c>
      <c r="I22" s="11">
        <f>$C$29-($C$29-$B$29)*EXP(-G22*D22)</f>
        <v>1.4287296694764334E-2</v>
      </c>
      <c r="J22" s="4">
        <f>$C$29-($C$29-$B$29)*EXP(-(G22^2)*D22)</f>
        <v>2.9304030613845899E-3</v>
      </c>
      <c r="K22" s="4">
        <f>$C$29-($C$29-$B$29)*EXP(-(G22^0.5)*D22)</f>
        <v>9.2659533724408744E-2</v>
      </c>
      <c r="L22" s="5">
        <f>$C$29-($C$29-$B$29)*EXP(-(G22/2)*D22)</f>
        <v>8.7907523489926948E-3</v>
      </c>
      <c r="M22" s="12">
        <f>$C$29-($C$29-$B$29)*EXP(-(2*G22)*D22)</f>
        <v>2.424388303233152E-2</v>
      </c>
      <c r="O22" s="2">
        <f>D22*60</f>
        <v>7170</v>
      </c>
      <c r="P22" s="11">
        <f>$C$29-($C$29-$B$29)*EXP(-G22*O22)</f>
        <v>9.4330851613433145E-2</v>
      </c>
      <c r="Q22" s="4">
        <f>$C$29-($C$29-$B$29)*EXP(-(G22^2)*O22)</f>
        <v>3.7228043131527083E-3</v>
      </c>
      <c r="R22" s="4">
        <f>$C$29-($C$29-$B$29)*EXP(-(G22^0.5)*O22)</f>
        <v>9.4362567999999994E-2</v>
      </c>
      <c r="S22" s="5">
        <f>$C$29-($C$29-$B$29)*EXP(-(G22/2)*O22)</f>
        <v>9.2659533724408744E-2</v>
      </c>
      <c r="T22" s="12">
        <f>$C$29-($C$29-$B$29)*EXP(-(2*G22)*O22)</f>
        <v>9.4362556999705041E-2</v>
      </c>
    </row>
    <row r="23" spans="1:20" x14ac:dyDescent="0.3">
      <c r="A23" s="3">
        <v>44781.604861111111</v>
      </c>
      <c r="B23" s="3">
        <v>45044.125</v>
      </c>
      <c r="C23" s="5">
        <v>9.4362567999999994E-2</v>
      </c>
      <c r="D23" s="2">
        <v>6300.4833333333299</v>
      </c>
      <c r="E23" s="2">
        <v>288903.94199999998</v>
      </c>
      <c r="F23" s="2">
        <v>9362</v>
      </c>
      <c r="G23" s="4">
        <f t="shared" ref="G23:G25" si="18">E5/E23*F23</f>
        <v>1.1256598011278223E-3</v>
      </c>
      <c r="H23" s="2" t="s">
        <v>22</v>
      </c>
      <c r="I23" s="11">
        <f t="shared" ref="I23:I25" si="19">$C$29-($C$29-$B$29)*EXP(-G23*D23)</f>
        <v>9.4286524973033789E-2</v>
      </c>
      <c r="J23" s="4">
        <f t="shared" ref="J23:J25" si="20">$C$29-($C$29-$B$29)*EXP(-(G23^2)*D23)</f>
        <v>3.6440543382460361E-3</v>
      </c>
      <c r="K23" s="4">
        <f t="shared" ref="K23:K25" si="21">$C$29-($C$29-$B$29)*EXP(-(G23^0.5)*D23)</f>
        <v>9.4362567999999994E-2</v>
      </c>
      <c r="L23" s="5">
        <f t="shared" ref="L23:L25" si="22">$C$29-($C$29-$B$29)*EXP(-(G23/2)*D23)</f>
        <v>9.1725561286108759E-2</v>
      </c>
      <c r="M23" s="12">
        <f t="shared" ref="M23:M25" si="23">$C$29-($C$29-$B$29)*EXP(-(2*G23)*D23)</f>
        <v>9.4362504765262922E-2</v>
      </c>
      <c r="O23" s="2">
        <f>D23*60</f>
        <v>378028.99999999977</v>
      </c>
      <c r="P23" s="11">
        <f t="shared" ref="P23:P25" si="24">$C$29-($C$29-$B$29)*EXP(-G23*O23)</f>
        <v>9.4362567999999994E-2</v>
      </c>
      <c r="Q23" s="4">
        <f t="shared" ref="Q23:Q25" si="25">$C$29-($C$29-$B$29)*EXP(-(G23^2)*O23)</f>
        <v>3.7721146861099168E-2</v>
      </c>
      <c r="R23" s="4">
        <f t="shared" ref="R23:R25" si="26">$C$29-($C$29-$B$29)*EXP(-(G23^0.5)*O23)</f>
        <v>9.4362567999999994E-2</v>
      </c>
      <c r="S23" s="5">
        <f t="shared" ref="S23:S25" si="27">$C$29-($C$29-$B$29)*EXP(-(G23/2)*O23)</f>
        <v>9.4362567999999994E-2</v>
      </c>
      <c r="T23" s="12">
        <f t="shared" ref="T23:T25" si="28">$C$29-($C$29-$B$29)*EXP(-(2*G23)*O23)</f>
        <v>9.4362567999999994E-2</v>
      </c>
    </row>
    <row r="24" spans="1:20" x14ac:dyDescent="0.3">
      <c r="A24" s="3">
        <v>45044.125</v>
      </c>
      <c r="B24" s="3">
        <v>45136.614583333336</v>
      </c>
      <c r="C24" s="5">
        <v>2.8499633999999999E-2</v>
      </c>
      <c r="D24" s="2">
        <v>2219.75</v>
      </c>
      <c r="E24" s="2">
        <v>269103.87</v>
      </c>
      <c r="F24" s="2">
        <v>8878</v>
      </c>
      <c r="G24" s="4">
        <f t="shared" si="18"/>
        <v>1.1111111111111111E-3</v>
      </c>
      <c r="H24" s="2" t="s">
        <v>23</v>
      </c>
      <c r="I24" s="11">
        <f t="shared" si="19"/>
        <v>8.6599668024881699E-2</v>
      </c>
      <c r="J24" s="4">
        <f t="shared" si="20"/>
        <v>3.1671705447315346E-3</v>
      </c>
      <c r="K24" s="4">
        <f t="shared" si="21"/>
        <v>9.4362567999999994E-2</v>
      </c>
      <c r="L24" s="5">
        <f t="shared" si="22"/>
        <v>6.7718929492390403E-2</v>
      </c>
      <c r="M24" s="12">
        <f t="shared" si="23"/>
        <v>9.3703568772276258E-2</v>
      </c>
      <c r="O24" s="2">
        <f>D24*60</f>
        <v>133185</v>
      </c>
      <c r="P24" s="11">
        <f t="shared" si="24"/>
        <v>9.4362567999999994E-2</v>
      </c>
      <c r="Q24" s="4">
        <f t="shared" si="25"/>
        <v>1.6781848560971868E-2</v>
      </c>
      <c r="R24" s="4">
        <f t="shared" si="26"/>
        <v>9.4362567999999994E-2</v>
      </c>
      <c r="S24" s="5">
        <f t="shared" si="27"/>
        <v>9.4362567999999994E-2</v>
      </c>
      <c r="T24" s="12">
        <f t="shared" si="28"/>
        <v>9.4362567999999994E-2</v>
      </c>
    </row>
    <row r="25" spans="1:20" x14ac:dyDescent="0.3">
      <c r="A25" s="3">
        <v>45136.614583333336</v>
      </c>
      <c r="B25" s="3">
        <v>45183.947916666664</v>
      </c>
      <c r="C25" s="5">
        <v>2.9169130000000001E-3</v>
      </c>
      <c r="D25" s="2">
        <v>1136</v>
      </c>
      <c r="E25" s="2">
        <v>3287.52</v>
      </c>
      <c r="F25" s="2">
        <v>4543</v>
      </c>
      <c r="G25" s="4">
        <f t="shared" si="18"/>
        <v>1.1111111111111105E-3</v>
      </c>
      <c r="H25" s="2" t="s">
        <v>24</v>
      </c>
      <c r="I25" s="13">
        <f t="shared" si="19"/>
        <v>6.8481217816790743E-2</v>
      </c>
      <c r="J25" s="14">
        <f t="shared" si="20"/>
        <v>3.0450728176397296E-3</v>
      </c>
      <c r="K25" s="14">
        <f t="shared" si="21"/>
        <v>9.4362567999999994E-2</v>
      </c>
      <c r="L25" s="15">
        <f t="shared" si="22"/>
        <v>4.5713446530152885E-2</v>
      </c>
      <c r="M25" s="16">
        <f t="shared" si="23"/>
        <v>8.7037514805226493E-2</v>
      </c>
      <c r="O25" s="2">
        <f>D25*60</f>
        <v>68160</v>
      </c>
      <c r="P25" s="13">
        <f t="shared" si="24"/>
        <v>9.4362567999999994E-2</v>
      </c>
      <c r="Q25" s="14">
        <f t="shared" si="25"/>
        <v>1.0297029635315855E-2</v>
      </c>
      <c r="R25" s="14">
        <f t="shared" si="26"/>
        <v>9.4362567999999994E-2</v>
      </c>
      <c r="S25" s="15">
        <f t="shared" si="27"/>
        <v>9.4362567999999994E-2</v>
      </c>
      <c r="T25" s="16">
        <f t="shared" si="28"/>
        <v>9.4362567999999994E-2</v>
      </c>
    </row>
    <row r="26" spans="1:20" x14ac:dyDescent="0.3">
      <c r="A26" s="18"/>
      <c r="B26" s="18"/>
      <c r="C26" s="18"/>
      <c r="D26" s="18"/>
      <c r="E26" s="20"/>
      <c r="F26" s="18"/>
      <c r="G26" s="18"/>
      <c r="H26" s="18"/>
      <c r="I26" s="18"/>
      <c r="J26" s="18"/>
      <c r="K26" s="18"/>
      <c r="L26" s="18"/>
      <c r="M26" s="18"/>
    </row>
    <row r="27" spans="1:20" x14ac:dyDescent="0.3">
      <c r="B27" t="s">
        <v>16</v>
      </c>
      <c r="C27" t="s">
        <v>17</v>
      </c>
    </row>
    <row r="28" spans="1:20" x14ac:dyDescent="0.3">
      <c r="A28" t="s">
        <v>15</v>
      </c>
      <c r="B28" s="5">
        <f>0.14*(B33^0.7)+0.0075</f>
        <v>3.4349135189301633E-2</v>
      </c>
      <c r="C28" s="5">
        <f>1.4*(B33^0.7)+0.075</f>
        <v>0.34349135189301633</v>
      </c>
      <c r="D28" s="6"/>
      <c r="E28" s="21">
        <v>0</v>
      </c>
      <c r="F28">
        <v>0</v>
      </c>
    </row>
    <row r="29" spans="1:20" x14ac:dyDescent="0.3">
      <c r="A29" t="s">
        <v>14</v>
      </c>
      <c r="B29" s="5">
        <f>MIN(C22:C25)</f>
        <v>2.9169130000000001E-3</v>
      </c>
      <c r="C29" s="5">
        <f>MAX(C22:C25)</f>
        <v>9.4362567999999994E-2</v>
      </c>
      <c r="E29" s="21">
        <v>1</v>
      </c>
      <c r="F29">
        <v>1</v>
      </c>
    </row>
    <row r="30" spans="1:20" x14ac:dyDescent="0.3">
      <c r="A30" t="s">
        <v>36</v>
      </c>
      <c r="B30" s="5">
        <f>0.14*(B34^0.7)+0.0075</f>
        <v>1.2433141081696839E-2</v>
      </c>
      <c r="C30">
        <f>1.4*(B34^0.7)+0.075</f>
        <v>0.12433141081696839</v>
      </c>
    </row>
    <row r="33" spans="1:3" x14ac:dyDescent="0.3">
      <c r="A33" t="s">
        <v>18</v>
      </c>
      <c r="B33" s="2">
        <v>9.4500000000000001E-2</v>
      </c>
      <c r="C33" s="2" t="s">
        <v>19</v>
      </c>
    </row>
    <row r="34" spans="1:3" x14ac:dyDescent="0.3">
      <c r="A34" s="2" t="s">
        <v>35</v>
      </c>
      <c r="B34" s="2">
        <v>8.3999999999999995E-3</v>
      </c>
      <c r="C34" s="2" t="s">
        <v>19</v>
      </c>
    </row>
  </sheetData>
  <mergeCells count="8">
    <mergeCell ref="I20:M20"/>
    <mergeCell ref="P20:T20"/>
    <mergeCell ref="I1:M1"/>
    <mergeCell ref="P1:T1"/>
    <mergeCell ref="I2:M2"/>
    <mergeCell ref="P2:T2"/>
    <mergeCell ref="I11:M11"/>
    <mergeCell ref="P11:T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B46F-C8D9-4155-8C53-7DA984EB2172}">
  <dimension ref="A1:T34"/>
  <sheetViews>
    <sheetView zoomScale="70" zoomScaleNormal="70" workbookViewId="0">
      <selection activeCell="S31" sqref="S31"/>
    </sheetView>
  </sheetViews>
  <sheetFormatPr defaultRowHeight="14.4" x14ac:dyDescent="0.3"/>
  <cols>
    <col min="1" max="1" width="16" customWidth="1"/>
    <col min="2" max="2" width="17.77734375" customWidth="1"/>
    <col min="4" max="4" width="25.88671875" customWidth="1"/>
    <col min="5" max="5" width="24" bestFit="1" customWidth="1"/>
    <col min="6" max="6" width="19.33203125" customWidth="1"/>
    <col min="7" max="7" width="25.109375" customWidth="1"/>
    <col min="9" max="9" width="13.88671875" customWidth="1"/>
    <col min="10" max="10" width="11.5546875" customWidth="1"/>
    <col min="11" max="11" width="11" customWidth="1"/>
    <col min="12" max="12" width="11.44140625" customWidth="1"/>
    <col min="13" max="13" width="8.21875" customWidth="1"/>
  </cols>
  <sheetData>
    <row r="1" spans="1:20" x14ac:dyDescent="0.3">
      <c r="F1" s="2"/>
      <c r="G1" s="2"/>
      <c r="H1" s="2"/>
      <c r="I1" s="25" t="s">
        <v>30</v>
      </c>
      <c r="J1" s="25"/>
      <c r="K1" s="25"/>
      <c r="L1" s="25"/>
      <c r="M1" s="25"/>
      <c r="P1" s="25" t="s">
        <v>31</v>
      </c>
      <c r="Q1" s="25"/>
      <c r="R1" s="25"/>
      <c r="S1" s="25"/>
      <c r="T1" s="25"/>
    </row>
    <row r="2" spans="1:20" x14ac:dyDescent="0.3">
      <c r="A2" s="17" t="s">
        <v>8</v>
      </c>
      <c r="B2" s="17"/>
      <c r="C2" s="17"/>
      <c r="D2" s="17"/>
      <c r="E2" s="17"/>
      <c r="F2" s="8"/>
      <c r="G2" s="8"/>
      <c r="H2" s="8"/>
      <c r="I2" s="22" t="s">
        <v>20</v>
      </c>
      <c r="J2" s="23"/>
      <c r="K2" s="23"/>
      <c r="L2" s="23"/>
      <c r="M2" s="24"/>
      <c r="O2" s="2" t="s">
        <v>32</v>
      </c>
      <c r="P2" s="22" t="s">
        <v>20</v>
      </c>
      <c r="Q2" s="23"/>
      <c r="R2" s="23"/>
      <c r="S2" s="23"/>
      <c r="T2" s="24"/>
    </row>
    <row r="3" spans="1:20" x14ac:dyDescent="0.3">
      <c r="A3" s="2" t="s">
        <v>0</v>
      </c>
      <c r="B3" s="2" t="s">
        <v>1</v>
      </c>
      <c r="C3" s="2" t="s">
        <v>2</v>
      </c>
      <c r="D3" s="2" t="s">
        <v>5</v>
      </c>
      <c r="E3" s="2" t="s">
        <v>10</v>
      </c>
      <c r="F3" s="2" t="s">
        <v>9</v>
      </c>
      <c r="H3" s="2"/>
      <c r="I3" s="9" t="s">
        <v>25</v>
      </c>
      <c r="J3" s="2" t="s">
        <v>27</v>
      </c>
      <c r="K3" s="2" t="s">
        <v>28</v>
      </c>
      <c r="L3" s="2" t="s">
        <v>29</v>
      </c>
      <c r="M3" s="10" t="s">
        <v>26</v>
      </c>
      <c r="O3" s="2" t="s">
        <v>33</v>
      </c>
      <c r="P3" s="9" t="s">
        <v>25</v>
      </c>
      <c r="Q3" s="2" t="s">
        <v>27</v>
      </c>
      <c r="R3" s="2" t="s">
        <v>28</v>
      </c>
      <c r="S3" s="2" t="s">
        <v>29</v>
      </c>
      <c r="T3" s="10" t="s">
        <v>26</v>
      </c>
    </row>
    <row r="4" spans="1:20" x14ac:dyDescent="0.3">
      <c r="A4" s="3">
        <v>44776.655555555553</v>
      </c>
      <c r="B4" s="3">
        <v>44781.754861111112</v>
      </c>
      <c r="C4">
        <v>2.0720242E-2</v>
      </c>
      <c r="D4" s="6">
        <v>122.383333333333</v>
      </c>
      <c r="E4" s="2">
        <v>3.4428571428571399E-3</v>
      </c>
      <c r="F4" s="2">
        <v>490</v>
      </c>
      <c r="H4" s="2" t="s">
        <v>21</v>
      </c>
      <c r="I4" s="11">
        <f>$C$29-($C$29-$B$29)*EXP(-E4*D4)</f>
        <v>5.1437605488921012E-2</v>
      </c>
      <c r="J4" s="4">
        <f>$C$29-($C$29-$B$29)*EXP(-(E4^2)*D4)</f>
        <v>3.0371307072954434E-3</v>
      </c>
      <c r="K4" s="4">
        <f>$C$29-($C$29-$B$29)*EXP(-(E4^0.5)*D4)</f>
        <v>0.14408575181030575</v>
      </c>
      <c r="L4" s="5">
        <f>$C$29-($C$29-$B$29)*EXP(-(E4/2)*D4)</f>
        <v>2.9685458705018777E-2</v>
      </c>
      <c r="M4" s="12">
        <f>$C$29-($C$29-$B$29)*EXP(-(2*E4)*D4)</f>
        <v>8.3330591355789213E-2</v>
      </c>
      <c r="O4" s="2">
        <f>D4*60</f>
        <v>7342.99999999998</v>
      </c>
      <c r="P4" s="11">
        <f>$C$29-($C$29-$B$29)*EXP(-E4*O4)</f>
        <v>0.14419331999851759</v>
      </c>
      <c r="Q4" s="4">
        <f>$C$29-($C$29-$B$29)*EXP(-(E4^2)*O4)</f>
        <v>1.461582517993068E-2</v>
      </c>
      <c r="R4" s="4">
        <f>$C$29-($C$29-$B$29)*EXP(-(E4^0.5)*O4)</f>
        <v>0.14419332000000001</v>
      </c>
      <c r="S4" s="5">
        <f>$C$29-($C$29-$B$29)*EXP(-(E4/2)*O4)</f>
        <v>0.14419286222481423</v>
      </c>
      <c r="T4" s="12">
        <f>$C$29-($C$29-$B$29)*EXP(-(2*E4)*O4)</f>
        <v>0.14419332000000001</v>
      </c>
    </row>
    <row r="5" spans="1:20" x14ac:dyDescent="0.3">
      <c r="A5" s="3">
        <v>44781.754861111112</v>
      </c>
      <c r="B5" s="3">
        <v>45051.644444444442</v>
      </c>
      <c r="C5">
        <v>0.14419332000000001</v>
      </c>
      <c r="D5" s="6">
        <v>6477.35</v>
      </c>
      <c r="E5" s="2">
        <v>4.1176626796662903E-2</v>
      </c>
      <c r="F5" s="2">
        <v>10070</v>
      </c>
      <c r="H5" s="2" t="s">
        <v>22</v>
      </c>
      <c r="I5" s="11">
        <f>$C$29-($C$29-$B$29)*EXP(-E5*D5)</f>
        <v>0.14419332000000001</v>
      </c>
      <c r="J5" s="4">
        <f t="shared" ref="J5:J7" si="0">$C$29-($C$29-$B$29)*EXP(-(E5^2)*D5)</f>
        <v>0.14419091720782792</v>
      </c>
      <c r="K5" s="4">
        <f t="shared" ref="K5:K7" si="1">$C$29-($C$29-$B$29)*EXP(-(E5^0.5)*D5)</f>
        <v>0.14419332000000001</v>
      </c>
      <c r="L5" s="5">
        <f t="shared" ref="L5:L7" si="2">$C$29-($C$29-$B$29)*EXP(-(E5/2)*D5)</f>
        <v>0.14419332000000001</v>
      </c>
      <c r="M5" s="12">
        <f t="shared" ref="M5:M7" si="3">$C$29-($C$29-$B$29)*EXP(-(2*E5)*D5)</f>
        <v>0.14419332000000001</v>
      </c>
      <c r="O5" s="2">
        <f>D5*60</f>
        <v>388641</v>
      </c>
      <c r="P5" s="11">
        <f>$C$29-($C$29-$B$29)*EXP(-E5*O5)</f>
        <v>0.14419332000000001</v>
      </c>
      <c r="Q5" s="4">
        <f>$C$29-($C$29-$B$29)*EXP(-(E5^2)*O5)</f>
        <v>0.14419332000000001</v>
      </c>
      <c r="R5" s="4">
        <f t="shared" ref="R5:R7" si="4">$C$29-($C$29-$B$29)*EXP(-(E5^0.5)*O5)</f>
        <v>0.14419332000000001</v>
      </c>
      <c r="S5" s="5">
        <f t="shared" ref="S5:S7" si="5">$C$29-($C$29-$B$29)*EXP(-(E5/2)*O5)</f>
        <v>0.14419332000000001</v>
      </c>
      <c r="T5" s="12">
        <f t="shared" ref="T5:T7" si="6">$C$29-($C$29-$B$29)*EXP(-(2*E5)*O5)</f>
        <v>0.14419332000000001</v>
      </c>
    </row>
    <row r="6" spans="1:20" x14ac:dyDescent="0.3">
      <c r="A6" s="3">
        <v>45051.644444444442</v>
      </c>
      <c r="B6" s="3">
        <v>45136.775694444441</v>
      </c>
      <c r="C6">
        <v>2.2070355E-2</v>
      </c>
      <c r="D6" s="6">
        <v>2043.15</v>
      </c>
      <c r="E6" s="2">
        <v>2.57096415025082E-2</v>
      </c>
      <c r="F6" s="2">
        <v>8173</v>
      </c>
      <c r="H6" s="2" t="s">
        <v>23</v>
      </c>
      <c r="I6" s="11">
        <f>$C$29-($C$29-$B$29)*EXP(-E6*D6)</f>
        <v>0.14419332000000001</v>
      </c>
      <c r="J6" s="4">
        <f t="shared" si="0"/>
        <v>0.10756488757512647</v>
      </c>
      <c r="K6" s="4">
        <f t="shared" si="1"/>
        <v>0.14419332000000001</v>
      </c>
      <c r="L6" s="5">
        <f t="shared" si="2"/>
        <v>0.14419331999944554</v>
      </c>
      <c r="M6" s="12">
        <f t="shared" si="3"/>
        <v>0.14419332000000001</v>
      </c>
      <c r="O6" s="2">
        <f>D6*60</f>
        <v>122589</v>
      </c>
      <c r="P6" s="11">
        <f t="shared" ref="P6:P7" si="7">$C$29-($C$29-$B$29)*EXP(-E6*O6)</f>
        <v>0.14419332000000001</v>
      </c>
      <c r="Q6" s="4">
        <f t="shared" ref="Q6:Q7" si="8">$C$29-($C$29-$B$29)*EXP(-(E6^2)*O6)</f>
        <v>0.14419332000000001</v>
      </c>
      <c r="R6" s="4">
        <f t="shared" si="4"/>
        <v>0.14419332000000001</v>
      </c>
      <c r="S6" s="5">
        <f t="shared" si="5"/>
        <v>0.14419332000000001</v>
      </c>
      <c r="T6" s="12">
        <f t="shared" si="6"/>
        <v>0.14419332000000001</v>
      </c>
    </row>
    <row r="7" spans="1:20" x14ac:dyDescent="0.3">
      <c r="A7" s="3">
        <v>45136.775694444441</v>
      </c>
      <c r="B7" s="3">
        <v>45183.948611111111</v>
      </c>
      <c r="C7">
        <v>2.8322149999999999E-3</v>
      </c>
      <c r="D7" s="6">
        <v>1132.1500000000001</v>
      </c>
      <c r="E7" s="2">
        <v>7.7200264959152102E-4</v>
      </c>
      <c r="F7" s="2">
        <v>4529</v>
      </c>
      <c r="H7" s="2" t="s">
        <v>24</v>
      </c>
      <c r="I7" s="13">
        <f>$C$29-($C$29-$B$29)*EXP(-E7*D7)</f>
        <v>8.5207631589516636E-2</v>
      </c>
      <c r="J7" s="14">
        <f t="shared" si="0"/>
        <v>2.9275659386304165E-3</v>
      </c>
      <c r="K7" s="14">
        <f t="shared" si="1"/>
        <v>0.14419331999999693</v>
      </c>
      <c r="L7" s="15">
        <f t="shared" si="2"/>
        <v>5.2879125633014404E-2</v>
      </c>
      <c r="M7" s="16">
        <f t="shared" si="3"/>
        <v>0.11958038678008331</v>
      </c>
      <c r="O7" s="2">
        <f>D7*60</f>
        <v>67929</v>
      </c>
      <c r="P7" s="13">
        <f t="shared" si="7"/>
        <v>0.14419332000000001</v>
      </c>
      <c r="Q7" s="14">
        <f t="shared" si="8"/>
        <v>8.4409021275818619E-3</v>
      </c>
      <c r="R7" s="14">
        <f t="shared" si="4"/>
        <v>0.14419332000000001</v>
      </c>
      <c r="S7" s="15">
        <f t="shared" si="5"/>
        <v>0.14419331999942081</v>
      </c>
      <c r="T7" s="16">
        <f t="shared" si="6"/>
        <v>0.14419332000000001</v>
      </c>
    </row>
    <row r="8" spans="1:20" x14ac:dyDescent="0.3">
      <c r="A8" s="18"/>
      <c r="B8" s="18"/>
      <c r="C8" s="18"/>
      <c r="D8" s="18"/>
      <c r="E8" s="18"/>
      <c r="F8" s="18"/>
      <c r="G8" s="18"/>
      <c r="H8" s="19"/>
      <c r="I8" s="19"/>
      <c r="J8" s="18"/>
      <c r="K8" s="18"/>
      <c r="L8" s="18"/>
      <c r="M8" s="18"/>
    </row>
    <row r="9" spans="1:20" x14ac:dyDescent="0.3">
      <c r="A9" s="3"/>
      <c r="B9" s="2"/>
      <c r="E9" s="7"/>
      <c r="F9" s="2"/>
      <c r="G9" s="2"/>
      <c r="H9" s="2"/>
      <c r="I9" s="2"/>
    </row>
    <row r="11" spans="1:20" x14ac:dyDescent="0.3">
      <c r="A11" s="17" t="s">
        <v>7</v>
      </c>
      <c r="B11" s="17"/>
      <c r="C11" s="17"/>
      <c r="D11" s="17"/>
      <c r="E11" s="17"/>
      <c r="F11" s="17"/>
      <c r="G11" s="17"/>
      <c r="H11" s="8"/>
      <c r="I11" s="22" t="s">
        <v>20</v>
      </c>
      <c r="J11" s="23"/>
      <c r="K11" s="23"/>
      <c r="L11" s="23"/>
      <c r="M11" s="24"/>
      <c r="O11" s="2" t="s">
        <v>32</v>
      </c>
      <c r="P11" s="22" t="s">
        <v>20</v>
      </c>
      <c r="Q11" s="23"/>
      <c r="R11" s="23"/>
      <c r="S11" s="23"/>
      <c r="T11" s="24"/>
    </row>
    <row r="12" spans="1:20" x14ac:dyDescent="0.3">
      <c r="A12" s="2" t="s">
        <v>0</v>
      </c>
      <c r="B12" s="2" t="s">
        <v>1</v>
      </c>
      <c r="C12" t="s">
        <v>2</v>
      </c>
      <c r="D12" s="2" t="s">
        <v>5</v>
      </c>
      <c r="E12" s="2" t="s">
        <v>6</v>
      </c>
      <c r="F12" s="2" t="s">
        <v>3</v>
      </c>
      <c r="G12" s="2" t="s">
        <v>4</v>
      </c>
      <c r="H12" s="2"/>
      <c r="I12" s="9" t="s">
        <v>25</v>
      </c>
      <c r="J12" s="2" t="s">
        <v>27</v>
      </c>
      <c r="K12" s="2" t="s">
        <v>28</v>
      </c>
      <c r="L12" s="2" t="s">
        <v>29</v>
      </c>
      <c r="M12" s="10" t="s">
        <v>26</v>
      </c>
      <c r="O12" s="2" t="s">
        <v>33</v>
      </c>
      <c r="P12" s="9" t="s">
        <v>25</v>
      </c>
      <c r="Q12" s="2" t="s">
        <v>27</v>
      </c>
      <c r="R12" s="2" t="s">
        <v>28</v>
      </c>
      <c r="S12" s="2" t="s">
        <v>29</v>
      </c>
      <c r="T12" s="10" t="s">
        <v>26</v>
      </c>
    </row>
    <row r="13" spans="1:20" x14ac:dyDescent="0.3">
      <c r="A13" s="3">
        <v>44776.655555555553</v>
      </c>
      <c r="B13" s="3">
        <v>44781.754861111112</v>
      </c>
      <c r="C13" s="2">
        <v>2.0720242E-2</v>
      </c>
      <c r="D13" s="6">
        <v>122.383333333333</v>
      </c>
      <c r="E13" s="2">
        <v>2.20044776119403E-3</v>
      </c>
      <c r="F13" s="2">
        <v>490</v>
      </c>
      <c r="G13" s="2">
        <v>469</v>
      </c>
      <c r="H13" s="2" t="s">
        <v>21</v>
      </c>
      <c r="I13" s="11">
        <f>$C$29-($C$29-$B$29)*EXP(-E13*D13)</f>
        <v>3.6205384444884733E-2</v>
      </c>
      <c r="J13" s="4">
        <f>$C$29-($C$29-$B$29)*EXP(-(E13^2)*D13)</f>
        <v>2.9159574504269981E-3</v>
      </c>
      <c r="K13" s="4">
        <f>$C$29-($C$29-$B$29)*EXP(-(E13^0.5)*D13)</f>
        <v>0.14373927257838273</v>
      </c>
      <c r="L13" s="5">
        <f>$C$29-($C$29-$B$29)*EXP(-(E13/2)*D13)</f>
        <v>2.064052198740994E-2</v>
      </c>
      <c r="M13" s="12">
        <f>$C$29-($C$29-$B$29)*EXP(-(2*E13)*D13)</f>
        <v>6.1699665005893065E-2</v>
      </c>
      <c r="O13" s="2">
        <f>D13*60</f>
        <v>7342.99999999998</v>
      </c>
      <c r="P13" s="11">
        <f>$C$29-($C$29-$B$29)*EXP(-E13*O13)</f>
        <v>0.14419330641535255</v>
      </c>
      <c r="Q13" s="4">
        <f>$C$29-($C$29-$B$29)*EXP(-(E13^2)*O13)</f>
        <v>7.7699511486997164E-3</v>
      </c>
      <c r="R13" s="4">
        <f>$C$29-($C$29-$B$29)*EXP(-(E13^0.5)*O13)</f>
        <v>0.14419332000000001</v>
      </c>
      <c r="S13" s="5">
        <f>$C$29-($C$29-$B$29)*EXP(-(E13/2)*O13)</f>
        <v>0.14414949830700383</v>
      </c>
      <c r="T13" s="12">
        <f>$C$29-($C$29-$B$29)*EXP(-(2*E13)*O13)</f>
        <v>0.14419331999999871</v>
      </c>
    </row>
    <row r="14" spans="1:20" x14ac:dyDescent="0.3">
      <c r="A14" s="3">
        <v>44781.754861111112</v>
      </c>
      <c r="B14" s="3">
        <v>45051.644444444442</v>
      </c>
      <c r="C14" s="2">
        <v>0.14419332000000001</v>
      </c>
      <c r="D14" s="6">
        <v>6477.35</v>
      </c>
      <c r="E14" s="2">
        <v>3.8921918902314098E-2</v>
      </c>
      <c r="F14" s="2">
        <v>10070</v>
      </c>
      <c r="G14" s="2">
        <v>9766</v>
      </c>
      <c r="H14" s="2" t="s">
        <v>22</v>
      </c>
      <c r="I14" s="11">
        <f>$C$29-($C$29-$B$29)*EXP(-E14*D14)</f>
        <v>0.14419332000000001</v>
      </c>
      <c r="J14" s="4">
        <f t="shared" ref="J14:J16" si="9">$C$29-($C$29-$B$29)*EXP(-(E14^2)*D14)</f>
        <v>0.14418557975566954</v>
      </c>
      <c r="K14" s="4">
        <f t="shared" ref="K14:K16" si="10">$C$29-($C$29-$B$29)*EXP(-(E14^0.5)*D14)</f>
        <v>0.14419332000000001</v>
      </c>
      <c r="L14" s="5">
        <f t="shared" ref="L14:L16" si="11">$C$29-($C$29-$B$29)*EXP(-(E14/2)*D14)</f>
        <v>0.14419332000000001</v>
      </c>
      <c r="M14" s="12">
        <f t="shared" ref="M14:M16" si="12">$C$29-($C$29-$B$29)*EXP(-(2*E14)*D14)</f>
        <v>0.14419332000000001</v>
      </c>
      <c r="O14" s="2">
        <f>D14*60</f>
        <v>388641</v>
      </c>
      <c r="P14" s="11">
        <f t="shared" ref="P14:P16" si="13">$C$29-($C$29-$B$29)*EXP(-E14*O14)</f>
        <v>0.14419332000000001</v>
      </c>
      <c r="Q14" s="4">
        <f>$C$29-($C$29-$B$29)*EXP(-(E14^2)*O14)</f>
        <v>0.14419332000000001</v>
      </c>
      <c r="R14" s="4">
        <f t="shared" ref="R14:R16" si="14">$C$29-($C$29-$B$29)*EXP(-(E14^0.5)*O14)</f>
        <v>0.14419332000000001</v>
      </c>
      <c r="S14" s="5">
        <f t="shared" ref="S14:S16" si="15">$C$29-($C$29-$B$29)*EXP(-(E14/2)*O14)</f>
        <v>0.14419332000000001</v>
      </c>
      <c r="T14" s="12">
        <f t="shared" ref="T14:T16" si="16">$C$29-($C$29-$B$29)*EXP(-(2*E14)*O14)</f>
        <v>0.14419332000000001</v>
      </c>
    </row>
    <row r="15" spans="1:20" x14ac:dyDescent="0.3">
      <c r="A15" s="3">
        <v>45051.644444444442</v>
      </c>
      <c r="B15" s="3">
        <v>45136.775694444441</v>
      </c>
      <c r="C15" s="2">
        <v>2.2070355E-2</v>
      </c>
      <c r="D15" s="6">
        <v>2043.15</v>
      </c>
      <c r="E15" s="2">
        <v>4.3622276029055603E-3</v>
      </c>
      <c r="F15" s="2">
        <v>8173</v>
      </c>
      <c r="G15" s="2">
        <v>4956</v>
      </c>
      <c r="H15" s="2" t="s">
        <v>23</v>
      </c>
      <c r="I15" s="11">
        <f>$C$29-($C$29-$B$29)*EXP(-E15*D15)</f>
        <v>0.14417428294016502</v>
      </c>
      <c r="J15" s="4">
        <f>$C$29-($C$29-$B$29)*EXP(-(E15^2)*D15)</f>
        <v>8.2227475942310835E-3</v>
      </c>
      <c r="K15" s="4">
        <f t="shared" si="10"/>
        <v>0.14419332000000001</v>
      </c>
      <c r="L15" s="5">
        <f t="shared" si="11"/>
        <v>0.14255286280329385</v>
      </c>
      <c r="M15" s="12">
        <f t="shared" si="12"/>
        <v>0.14419331743628458</v>
      </c>
      <c r="O15" s="2">
        <f>D15*60</f>
        <v>122589</v>
      </c>
      <c r="P15" s="11">
        <f t="shared" si="13"/>
        <v>0.14419332000000001</v>
      </c>
      <c r="Q15" s="4">
        <f t="shared" ref="Q15:Q16" si="17">$C$29-($C$29-$B$29)*EXP(-(E15^2)*O15)</f>
        <v>0.13047725288241635</v>
      </c>
      <c r="R15" s="4">
        <f t="shared" si="14"/>
        <v>0.14419332000000001</v>
      </c>
      <c r="S15" s="5">
        <f t="shared" si="15"/>
        <v>0.14419332000000001</v>
      </c>
      <c r="T15" s="12">
        <f t="shared" si="16"/>
        <v>0.14419332000000001</v>
      </c>
    </row>
    <row r="16" spans="1:20" x14ac:dyDescent="0.3">
      <c r="A16" s="3">
        <v>45136.775694444441</v>
      </c>
      <c r="B16" s="3">
        <v>45183.948611111111</v>
      </c>
      <c r="C16" s="2">
        <v>2.8322149999999999E-3</v>
      </c>
      <c r="D16" s="6">
        <v>1132.1500000000001</v>
      </c>
      <c r="E16" s="2">
        <v>7.5202312138728303E-4</v>
      </c>
      <c r="F16" s="2">
        <v>4529</v>
      </c>
      <c r="G16" s="2">
        <v>4498</v>
      </c>
      <c r="H16" s="2" t="s">
        <v>24</v>
      </c>
      <c r="I16" s="13">
        <f>$C$29-($C$29-$B$29)*EXP(-E16*D16)</f>
        <v>8.385818113895549E-2</v>
      </c>
      <c r="J16" s="14">
        <f t="shared" si="9"/>
        <v>2.9226959730896951E-3</v>
      </c>
      <c r="K16" s="14">
        <f t="shared" si="10"/>
        <v>0.14419331999999538</v>
      </c>
      <c r="L16" s="15">
        <f t="shared" si="11"/>
        <v>5.1840507916524739E-2</v>
      </c>
      <c r="M16" s="16">
        <f t="shared" si="12"/>
        <v>0.11844133552462735</v>
      </c>
      <c r="O16" s="2">
        <f>D16*60</f>
        <v>67929</v>
      </c>
      <c r="P16" s="13">
        <f t="shared" si="13"/>
        <v>0.14419332000000001</v>
      </c>
      <c r="Q16" s="14">
        <f t="shared" si="17"/>
        <v>8.15982237846688E-3</v>
      </c>
      <c r="R16" s="14">
        <f t="shared" si="14"/>
        <v>0.14419332000000001</v>
      </c>
      <c r="S16" s="15">
        <f t="shared" si="15"/>
        <v>0.14419331999885834</v>
      </c>
      <c r="T16" s="16">
        <f t="shared" si="16"/>
        <v>0.14419332000000001</v>
      </c>
    </row>
    <row r="17" spans="1:20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9" spans="1:20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20" x14ac:dyDescent="0.3">
      <c r="A20" s="17" t="s">
        <v>11</v>
      </c>
      <c r="B20" s="17"/>
      <c r="C20" s="17"/>
      <c r="D20" s="17"/>
      <c r="E20" s="17"/>
      <c r="F20" s="17"/>
      <c r="G20" s="17"/>
      <c r="H20" s="8"/>
      <c r="I20" s="22" t="s">
        <v>20</v>
      </c>
      <c r="J20" s="23"/>
      <c r="K20" s="23"/>
      <c r="L20" s="23"/>
      <c r="M20" s="24"/>
      <c r="O20" s="2" t="s">
        <v>32</v>
      </c>
      <c r="P20" s="22" t="s">
        <v>20</v>
      </c>
      <c r="Q20" s="23"/>
      <c r="R20" s="23"/>
      <c r="S20" s="23"/>
      <c r="T20" s="24"/>
    </row>
    <row r="21" spans="1:20" x14ac:dyDescent="0.3">
      <c r="A21" s="2" t="s">
        <v>0</v>
      </c>
      <c r="B21" s="2" t="s">
        <v>1</v>
      </c>
      <c r="C21" t="s">
        <v>2</v>
      </c>
      <c r="D21" s="2" t="s">
        <v>5</v>
      </c>
      <c r="E21" s="2" t="s">
        <v>12</v>
      </c>
      <c r="F21" s="2" t="s">
        <v>9</v>
      </c>
      <c r="G21" s="2" t="s">
        <v>38</v>
      </c>
      <c r="H21" s="2"/>
      <c r="I21" s="9" t="s">
        <v>25</v>
      </c>
      <c r="J21" s="2" t="s">
        <v>27</v>
      </c>
      <c r="K21" s="2" t="s">
        <v>28</v>
      </c>
      <c r="L21" s="2" t="s">
        <v>29</v>
      </c>
      <c r="M21" s="10" t="s">
        <v>26</v>
      </c>
      <c r="O21" s="2" t="s">
        <v>33</v>
      </c>
      <c r="P21" s="9" t="s">
        <v>25</v>
      </c>
      <c r="Q21" s="2" t="s">
        <v>27</v>
      </c>
      <c r="R21" s="2" t="s">
        <v>28</v>
      </c>
      <c r="S21" s="2" t="s">
        <v>29</v>
      </c>
      <c r="T21" s="10" t="s">
        <v>26</v>
      </c>
    </row>
    <row r="22" spans="1:20" x14ac:dyDescent="0.3">
      <c r="A22" s="3">
        <v>44776.655555555553</v>
      </c>
      <c r="B22" s="3">
        <v>44781.754861111112</v>
      </c>
      <c r="C22">
        <v>2.0720242E-2</v>
      </c>
      <c r="D22" s="6">
        <v>122.383333333333</v>
      </c>
      <c r="E22" s="6">
        <v>1518.3</v>
      </c>
      <c r="F22" s="2">
        <v>490</v>
      </c>
      <c r="G22" s="5">
        <f>E4/E22*F22</f>
        <v>1.1111111111111102E-3</v>
      </c>
      <c r="H22" s="2" t="s">
        <v>21</v>
      </c>
      <c r="I22" s="11">
        <f>$C$29-($C$29-$B$29)*EXP(-G22*D22)</f>
        <v>2.080503603322105E-2</v>
      </c>
      <c r="J22" s="4">
        <f>$C$29-($C$29-$B$29)*EXP(-(G22^2)*D22)</f>
        <v>2.8535717115406034E-3</v>
      </c>
      <c r="K22" s="4">
        <f>$C$29-($C$29-$B$29)*EXP(-(G22^0.5)*D22)</f>
        <v>0.14180193379366435</v>
      </c>
      <c r="L22" s="5">
        <f>$C$29-($C$29-$B$29)*EXP(-(G22/2)*D22)</f>
        <v>1.2124004238928315E-2</v>
      </c>
      <c r="M22" s="12">
        <f>$C$29-($C$29-$B$29)*EXP(-(2*G22)*D22)</f>
        <v>3.6492770968026333E-2</v>
      </c>
      <c r="O22" s="2">
        <f>D22*60</f>
        <v>7342.99999999998</v>
      </c>
      <c r="P22" s="11">
        <f>$C$29-($C$29-$B$29)*EXP(-G22*O22)</f>
        <v>0.14415286525123547</v>
      </c>
      <c r="Q22" s="4">
        <f>$C$29-($C$29-$B$29)*EXP(-(G22^2)*O22)</f>
        <v>4.107923338441094E-3</v>
      </c>
      <c r="R22" s="4">
        <f>$C$29-($C$29-$B$29)*EXP(-(G22^0.5)*O22)</f>
        <v>0.14419332000000001</v>
      </c>
      <c r="S22" s="5">
        <f>$C$29-($C$29-$B$29)*EXP(-(G22/2)*O22)</f>
        <v>0.14180193379366435</v>
      </c>
      <c r="T22" s="12">
        <f>$C$29-($C$29-$B$29)*EXP(-(2*G22)*O22)</f>
        <v>0.14419330842265207</v>
      </c>
    </row>
    <row r="23" spans="1:20" x14ac:dyDescent="0.3">
      <c r="A23" s="3">
        <v>44781.754861111112</v>
      </c>
      <c r="B23" s="3">
        <v>45051.644444444442</v>
      </c>
      <c r="C23">
        <v>0.14419332000000001</v>
      </c>
      <c r="D23" s="6">
        <v>6477.35</v>
      </c>
      <c r="E23" s="6">
        <v>368699.63400000002</v>
      </c>
      <c r="F23" s="2">
        <v>10070</v>
      </c>
      <c r="G23" s="5">
        <f t="shared" ref="G23:G25" si="18">E5/E23*F23</f>
        <v>1.124624473704781E-3</v>
      </c>
      <c r="H23" s="2" t="s">
        <v>22</v>
      </c>
      <c r="I23" s="11">
        <f t="shared" ref="I23:I25" si="19">$C$29-($C$29-$B$29)*EXP(-G23*D23)</f>
        <v>0.14409634176332714</v>
      </c>
      <c r="J23" s="4">
        <f t="shared" ref="J23:J25" si="20">$C$29-($C$29-$B$29)*EXP(-(G23^2)*D23)</f>
        <v>3.9855742647547932E-3</v>
      </c>
      <c r="K23" s="4">
        <f t="shared" ref="K23:K25" si="21">$C$29-($C$29-$B$29)*EXP(-(G23^0.5)*D23)</f>
        <v>0.14419332000000001</v>
      </c>
      <c r="L23" s="5">
        <f t="shared" ref="L23:L25" si="22">$C$29-($C$29-$B$29)*EXP(-(G23/2)*D23)</f>
        <v>0.14049075998063129</v>
      </c>
      <c r="M23" s="12">
        <f t="shared" ref="M23:M25" si="23">$C$29-($C$29-$B$29)*EXP(-(2*G23)*D23)</f>
        <v>0.14419325346982972</v>
      </c>
      <c r="O23" s="2">
        <f>D23*60</f>
        <v>388641</v>
      </c>
      <c r="P23" s="11">
        <f t="shared" ref="P23:P25" si="24">$C$29-($C$29-$B$29)*EXP(-G23*O23)</f>
        <v>0.14419332000000001</v>
      </c>
      <c r="Q23" s="4">
        <f t="shared" ref="Q23:Q25" si="25">$C$29-($C$29-$B$29)*EXP(-(G23^2)*O23)</f>
        <v>5.7725510468578822E-2</v>
      </c>
      <c r="R23" s="4">
        <f t="shared" ref="R23:R25" si="26">$C$29-($C$29-$B$29)*EXP(-(G23^0.5)*O23)</f>
        <v>0.14419332000000001</v>
      </c>
      <c r="S23" s="5">
        <f t="shared" ref="S23:S25" si="27">$C$29-($C$29-$B$29)*EXP(-(G23/2)*O23)</f>
        <v>0.14419332000000001</v>
      </c>
      <c r="T23" s="12">
        <f t="shared" ref="T23:T25" si="28">$C$29-($C$29-$B$29)*EXP(-(2*G23)*O23)</f>
        <v>0.14419332000000001</v>
      </c>
    </row>
    <row r="24" spans="1:20" x14ac:dyDescent="0.3">
      <c r="A24" s="3">
        <v>45051.644444444442</v>
      </c>
      <c r="B24" s="3">
        <v>45136.775694444441</v>
      </c>
      <c r="C24">
        <v>2.2070355E-2</v>
      </c>
      <c r="D24" s="6">
        <v>2043.15</v>
      </c>
      <c r="E24" s="6">
        <v>189112.41</v>
      </c>
      <c r="F24" s="2">
        <v>8173</v>
      </c>
      <c r="G24" s="5">
        <f t="shared" si="18"/>
        <v>1.1111111111111087E-3</v>
      </c>
      <c r="H24" s="2" t="s">
        <v>23</v>
      </c>
      <c r="I24" s="11">
        <f t="shared" si="19"/>
        <v>0.12959142991465677</v>
      </c>
      <c r="J24" s="4">
        <f t="shared" si="20"/>
        <v>3.1883359684674595E-3</v>
      </c>
      <c r="K24" s="4">
        <f t="shared" si="21"/>
        <v>0.14419332000000001</v>
      </c>
      <c r="L24" s="5">
        <f t="shared" si="22"/>
        <v>9.8760519981151665E-2</v>
      </c>
      <c r="M24" s="12">
        <f t="shared" si="23"/>
        <v>0.14268501830651475</v>
      </c>
      <c r="O24" s="2">
        <f>D24*60</f>
        <v>122589</v>
      </c>
      <c r="P24" s="11">
        <f t="shared" si="24"/>
        <v>0.14419332000000001</v>
      </c>
      <c r="Q24" s="4">
        <f t="shared" si="25"/>
        <v>2.2686158861194544E-2</v>
      </c>
      <c r="R24" s="4">
        <f t="shared" si="26"/>
        <v>0.14419332000000001</v>
      </c>
      <c r="S24" s="5">
        <f t="shared" si="27"/>
        <v>0.14419332000000001</v>
      </c>
      <c r="T24" s="12">
        <f t="shared" si="28"/>
        <v>0.14419332000000001</v>
      </c>
    </row>
    <row r="25" spans="1:20" x14ac:dyDescent="0.3">
      <c r="A25" s="3">
        <v>45136.775694444441</v>
      </c>
      <c r="B25" s="3">
        <v>45183.948611111111</v>
      </c>
      <c r="C25">
        <v>2.8322149999999999E-3</v>
      </c>
      <c r="D25" s="6">
        <v>1132.1500000000001</v>
      </c>
      <c r="E25" s="6">
        <v>3146.76</v>
      </c>
      <c r="F25" s="2">
        <v>4529</v>
      </c>
      <c r="G25" s="5">
        <f t="shared" si="18"/>
        <v>1.1111111111111107E-3</v>
      </c>
      <c r="H25" s="2" t="s">
        <v>24</v>
      </c>
      <c r="I25" s="13">
        <f t="shared" si="19"/>
        <v>0.10401316566547114</v>
      </c>
      <c r="J25" s="14">
        <f t="shared" si="20"/>
        <v>3.0296596672826637E-3</v>
      </c>
      <c r="K25" s="14">
        <f t="shared" si="21"/>
        <v>0.14419332000000001</v>
      </c>
      <c r="L25" s="15">
        <f t="shared" si="22"/>
        <v>6.8828135625518844E-2</v>
      </c>
      <c r="M25" s="16">
        <f t="shared" si="23"/>
        <v>0.1327726056362678</v>
      </c>
      <c r="O25" s="2">
        <f>D25*60</f>
        <v>67929</v>
      </c>
      <c r="P25" s="13">
        <f t="shared" si="24"/>
        <v>0.14419332000000001</v>
      </c>
      <c r="Q25" s="14">
        <f t="shared" si="25"/>
        <v>1.4203689493536648E-2</v>
      </c>
      <c r="R25" s="14">
        <f t="shared" si="26"/>
        <v>0.14419332000000001</v>
      </c>
      <c r="S25" s="15">
        <f t="shared" si="27"/>
        <v>0.14419332000000001</v>
      </c>
      <c r="T25" s="16">
        <f t="shared" si="28"/>
        <v>0.14419332000000001</v>
      </c>
    </row>
    <row r="26" spans="1:20" x14ac:dyDescent="0.3">
      <c r="A26" s="18"/>
      <c r="B26" s="18"/>
      <c r="C26" s="18"/>
      <c r="D26" s="18"/>
      <c r="E26" s="20"/>
      <c r="F26" s="18"/>
      <c r="G26" s="18"/>
      <c r="H26" s="18"/>
      <c r="I26" s="18"/>
      <c r="J26" s="18"/>
      <c r="K26" s="18"/>
      <c r="L26" s="18"/>
      <c r="M26" s="18"/>
    </row>
    <row r="27" spans="1:20" x14ac:dyDescent="0.3">
      <c r="B27" t="s">
        <v>16</v>
      </c>
      <c r="C27" t="s">
        <v>17</v>
      </c>
    </row>
    <row r="28" spans="1:20" x14ac:dyDescent="0.3">
      <c r="A28" t="s">
        <v>15</v>
      </c>
      <c r="B28" s="5">
        <f>0.14*(B33^0.7)+0.0075</f>
        <v>3.4349135189301633E-2</v>
      </c>
      <c r="C28" s="5">
        <f>1.4*(B33^0.7)+0.075</f>
        <v>0.34349135189301633</v>
      </c>
      <c r="D28" s="6"/>
      <c r="E28" s="21">
        <v>0</v>
      </c>
      <c r="F28">
        <v>0</v>
      </c>
    </row>
    <row r="29" spans="1:20" x14ac:dyDescent="0.3">
      <c r="A29" t="s">
        <v>14</v>
      </c>
      <c r="B29" s="5">
        <f>MIN(C22:C25)</f>
        <v>2.8322149999999999E-3</v>
      </c>
      <c r="C29" s="5">
        <f>MAX(C22:C25)</f>
        <v>0.14419332000000001</v>
      </c>
      <c r="E29" s="21">
        <v>1</v>
      </c>
      <c r="F29">
        <v>1</v>
      </c>
    </row>
    <row r="30" spans="1:20" x14ac:dyDescent="0.3">
      <c r="A30" t="s">
        <v>36</v>
      </c>
      <c r="B30" s="5">
        <f>0.14*(B34^0.7)+0.0075</f>
        <v>1.2433141081696839E-2</v>
      </c>
      <c r="C30">
        <f>1.4*(B34^0.7)+0.075</f>
        <v>0.12433141081696839</v>
      </c>
    </row>
    <row r="33" spans="1:3" x14ac:dyDescent="0.3">
      <c r="A33" t="s">
        <v>18</v>
      </c>
      <c r="B33" s="2">
        <v>9.4500000000000001E-2</v>
      </c>
      <c r="C33" s="2" t="s">
        <v>19</v>
      </c>
    </row>
    <row r="34" spans="1:3" x14ac:dyDescent="0.3">
      <c r="A34" s="2" t="s">
        <v>35</v>
      </c>
      <c r="B34" s="2">
        <v>8.3999999999999995E-3</v>
      </c>
      <c r="C34" s="2" t="s">
        <v>19</v>
      </c>
    </row>
  </sheetData>
  <mergeCells count="8">
    <mergeCell ref="I20:M20"/>
    <mergeCell ref="P20:T20"/>
    <mergeCell ref="I1:M1"/>
    <mergeCell ref="P1:T1"/>
    <mergeCell ref="I2:M2"/>
    <mergeCell ref="P2:T2"/>
    <mergeCell ref="I11:M11"/>
    <mergeCell ref="P11:T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4304-B2FA-40C2-9202-C84149B0B833}">
  <dimension ref="A1:T34"/>
  <sheetViews>
    <sheetView tabSelected="1" topLeftCell="A25" zoomScale="70" zoomScaleNormal="70" workbookViewId="0">
      <selection activeCell="C40" sqref="C40"/>
    </sheetView>
  </sheetViews>
  <sheetFormatPr defaultRowHeight="14.4" x14ac:dyDescent="0.3"/>
  <cols>
    <col min="1" max="1" width="16" customWidth="1"/>
    <col min="2" max="2" width="20" customWidth="1"/>
    <col min="4" max="4" width="25.88671875" customWidth="1"/>
    <col min="5" max="5" width="24" bestFit="1" customWidth="1"/>
    <col min="6" max="6" width="19.33203125" customWidth="1"/>
    <col min="7" max="7" width="25.109375" customWidth="1"/>
    <col min="9" max="9" width="13.88671875" customWidth="1"/>
    <col min="10" max="10" width="11.5546875" customWidth="1"/>
    <col min="11" max="11" width="11" customWidth="1"/>
    <col min="12" max="12" width="11.44140625" customWidth="1"/>
    <col min="13" max="13" width="8.21875" customWidth="1"/>
  </cols>
  <sheetData>
    <row r="1" spans="1:20" x14ac:dyDescent="0.3">
      <c r="F1" s="2"/>
      <c r="G1" s="2"/>
      <c r="H1" s="2"/>
      <c r="I1" s="25" t="s">
        <v>30</v>
      </c>
      <c r="J1" s="25"/>
      <c r="K1" s="25"/>
      <c r="L1" s="25"/>
      <c r="M1" s="25"/>
      <c r="P1" s="25" t="s">
        <v>31</v>
      </c>
      <c r="Q1" s="25"/>
      <c r="R1" s="25"/>
      <c r="S1" s="25"/>
      <c r="T1" s="25"/>
    </row>
    <row r="2" spans="1:20" x14ac:dyDescent="0.3">
      <c r="A2" s="17" t="s">
        <v>8</v>
      </c>
      <c r="B2" s="17"/>
      <c r="C2" s="17"/>
      <c r="D2" s="17"/>
      <c r="E2" s="17"/>
      <c r="F2" s="8"/>
      <c r="G2" s="8"/>
      <c r="H2" s="8"/>
      <c r="I2" s="22" t="s">
        <v>20</v>
      </c>
      <c r="J2" s="23"/>
      <c r="K2" s="23"/>
      <c r="L2" s="23"/>
      <c r="M2" s="24"/>
      <c r="O2" s="2" t="s">
        <v>32</v>
      </c>
      <c r="P2" s="22" t="s">
        <v>20</v>
      </c>
      <c r="Q2" s="23"/>
      <c r="R2" s="23"/>
      <c r="S2" s="23"/>
      <c r="T2" s="24"/>
    </row>
    <row r="3" spans="1:20" x14ac:dyDescent="0.3">
      <c r="A3" s="2" t="s">
        <v>0</v>
      </c>
      <c r="B3" s="2" t="s">
        <v>1</v>
      </c>
      <c r="C3" s="2" t="s">
        <v>2</v>
      </c>
      <c r="D3" s="2" t="s">
        <v>5</v>
      </c>
      <c r="E3" s="2" t="s">
        <v>10</v>
      </c>
      <c r="F3" s="2" t="s">
        <v>9</v>
      </c>
      <c r="H3" s="2"/>
      <c r="I3" s="9" t="s">
        <v>25</v>
      </c>
      <c r="J3" s="2" t="s">
        <v>27</v>
      </c>
      <c r="K3" s="2" t="s">
        <v>28</v>
      </c>
      <c r="L3" s="2" t="s">
        <v>29</v>
      </c>
      <c r="M3" s="10" t="s">
        <v>26</v>
      </c>
      <c r="O3" s="2" t="s">
        <v>33</v>
      </c>
      <c r="P3" s="9" t="s">
        <v>25</v>
      </c>
      <c r="Q3" s="2" t="s">
        <v>27</v>
      </c>
      <c r="R3" s="2" t="s">
        <v>28</v>
      </c>
      <c r="S3" s="2" t="s">
        <v>29</v>
      </c>
      <c r="T3" s="10" t="s">
        <v>26</v>
      </c>
    </row>
    <row r="4" spans="1:20" x14ac:dyDescent="0.3">
      <c r="A4" s="1">
        <v>44776.656944444447</v>
      </c>
      <c r="B4" s="1">
        <v>44781.761111111111</v>
      </c>
      <c r="C4" s="5">
        <v>1.9492240000000001E-2</v>
      </c>
      <c r="D4" s="6">
        <v>122.5</v>
      </c>
      <c r="E4" s="5">
        <v>3.4420816326530602E-3</v>
      </c>
      <c r="F4" s="2">
        <v>490</v>
      </c>
      <c r="H4" s="2" t="s">
        <v>21</v>
      </c>
      <c r="I4" s="11">
        <f>$C$29-($C$29-$B$29)*EXP(-E4*D4)</f>
        <v>5.0843932958762772E-2</v>
      </c>
      <c r="J4" s="4">
        <f>$C$29-($C$29-$B$29)*EXP(-(E4^2)*D4)</f>
        <v>2.1583924157521084E-3</v>
      </c>
      <c r="K4" s="4">
        <f>$C$29-($C$29-$B$29)*EXP(-(E4^0.5)*D4)</f>
        <v>0.14395527932737553</v>
      </c>
      <c r="L4" s="5">
        <f>$C$29-($C$29-$B$29)*EXP(-(E4/2)*D4)</f>
        <v>2.8965533103435123E-2</v>
      </c>
      <c r="M4" s="12">
        <f>$C$29-($C$29-$B$29)*EXP(-(2*E4)*D4)</f>
        <v>8.291491203527307E-2</v>
      </c>
      <c r="O4" s="2">
        <f>D4*60</f>
        <v>7350</v>
      </c>
      <c r="P4" s="11">
        <f>$C$29-($C$29-$B$29)*EXP(-E4*O4)</f>
        <v>0.1440627669985369</v>
      </c>
      <c r="Q4" s="4">
        <f>$C$29-($C$29-$B$29)*EXP(-(E4^2)*O4)</f>
        <v>1.3804059915783928E-2</v>
      </c>
      <c r="R4" s="4">
        <f>$C$29-($C$29-$B$29)*EXP(-(E4^0.5)*O4)</f>
        <v>0.14406276700000001</v>
      </c>
      <c r="S4" s="5">
        <f>$C$29-($C$29-$B$29)*EXP(-(E4/2)*O4)</f>
        <v>0.14406231101252537</v>
      </c>
      <c r="T4" s="12">
        <f>$C$29-($C$29-$B$29)*EXP(-(2*E4)*O4)</f>
        <v>0.14406276700000001</v>
      </c>
    </row>
    <row r="5" spans="1:20" x14ac:dyDescent="0.3">
      <c r="A5" s="1">
        <v>44781.761111111111</v>
      </c>
      <c r="B5" s="1">
        <v>45051.645833333336</v>
      </c>
      <c r="C5" s="5">
        <v>0.14406276700000001</v>
      </c>
      <c r="D5" s="6">
        <v>6477.2333333333299</v>
      </c>
      <c r="E5" s="5">
        <v>4.1178349416968199E-2</v>
      </c>
      <c r="F5" s="2">
        <v>10069</v>
      </c>
      <c r="H5" s="2" t="s">
        <v>22</v>
      </c>
      <c r="I5" s="11">
        <f>$C$29-($C$29-$B$29)*EXP(-E5*D5)</f>
        <v>0.14406276700000001</v>
      </c>
      <c r="J5" s="4">
        <f t="shared" ref="J5:J7" si="0">$C$29-($C$29-$B$29)*EXP(-(E5^2)*D5)</f>
        <v>0.14406035321148031</v>
      </c>
      <c r="K5" s="4">
        <f t="shared" ref="K5:K7" si="1">$C$29-($C$29-$B$29)*EXP(-(E5^0.5)*D5)</f>
        <v>0.14406276700000001</v>
      </c>
      <c r="L5" s="5">
        <f t="shared" ref="L5:L7" si="2">$C$29-($C$29-$B$29)*EXP(-(E5/2)*D5)</f>
        <v>0.14406276700000001</v>
      </c>
      <c r="M5" s="12">
        <f t="shared" ref="M5:M7" si="3">$C$29-($C$29-$B$29)*EXP(-(2*E5)*D5)</f>
        <v>0.14406276700000001</v>
      </c>
      <c r="O5" s="2">
        <f>D5*60</f>
        <v>388633.99999999977</v>
      </c>
      <c r="P5" s="11">
        <f t="shared" ref="P5:P7" si="4">$C$29-($C$29-$B$29)*EXP(-E5*O5)</f>
        <v>0.14406276700000001</v>
      </c>
      <c r="Q5" s="4">
        <f>$C$29-($C$29-$B$29)*EXP(-(E5^2)*O5)</f>
        <v>0.14406276700000001</v>
      </c>
      <c r="R5" s="4">
        <f t="shared" ref="R5:R7" si="5">$C$29-($C$29-$B$29)*EXP(-(E5^0.5)*O5)</f>
        <v>0.14406276700000001</v>
      </c>
      <c r="S5" s="5">
        <f t="shared" ref="S5:S7" si="6">$C$29-($C$29-$B$29)*EXP(-(E5/2)*O5)</f>
        <v>0.14406276700000001</v>
      </c>
      <c r="T5" s="12">
        <f t="shared" ref="T5:T7" si="7">$C$29-($C$29-$B$29)*EXP(-(2*E5)*O5)</f>
        <v>0.14406276700000001</v>
      </c>
    </row>
    <row r="6" spans="1:20" x14ac:dyDescent="0.3">
      <c r="A6" s="1">
        <v>45051.645833333336</v>
      </c>
      <c r="B6" s="1">
        <v>45136.78125</v>
      </c>
      <c r="C6" s="5">
        <v>1.4906922E-2</v>
      </c>
      <c r="D6" s="6">
        <v>2043.25</v>
      </c>
      <c r="E6" s="5">
        <v>2.5695154185021999E-2</v>
      </c>
      <c r="F6" s="2">
        <v>8172</v>
      </c>
      <c r="H6" s="2" t="s">
        <v>23</v>
      </c>
      <c r="I6" s="11">
        <f>$C$29-($C$29-$B$29)*EXP(-E6*D6)</f>
        <v>0.14406276700000001</v>
      </c>
      <c r="J6" s="4">
        <f t="shared" si="0"/>
        <v>0.10718652612089653</v>
      </c>
      <c r="K6" s="4">
        <f t="shared" si="1"/>
        <v>0.14406276700000001</v>
      </c>
      <c r="L6" s="5">
        <f t="shared" si="2"/>
        <v>0.14406276699943502</v>
      </c>
      <c r="M6" s="12">
        <f t="shared" si="3"/>
        <v>0.14406276700000001</v>
      </c>
      <c r="O6" s="2">
        <f>D6*60</f>
        <v>122595</v>
      </c>
      <c r="P6" s="11">
        <f t="shared" si="4"/>
        <v>0.14406276700000001</v>
      </c>
      <c r="Q6" s="4">
        <f t="shared" ref="Q6:Q7" si="8">$C$29-($C$29-$B$29)*EXP(-(E6^2)*O6)</f>
        <v>0.14406276700000001</v>
      </c>
      <c r="R6" s="4">
        <f t="shared" si="5"/>
        <v>0.14406276700000001</v>
      </c>
      <c r="S6" s="5">
        <f t="shared" si="6"/>
        <v>0.14406276700000001</v>
      </c>
      <c r="T6" s="12">
        <f t="shared" si="7"/>
        <v>0.14406276700000001</v>
      </c>
    </row>
    <row r="7" spans="1:20" x14ac:dyDescent="0.3">
      <c r="A7" s="1">
        <v>45136.78125</v>
      </c>
      <c r="B7" s="1">
        <v>45183.958333333336</v>
      </c>
      <c r="C7" s="5">
        <v>1.952287E-3</v>
      </c>
      <c r="D7" s="6">
        <v>1132.25</v>
      </c>
      <c r="E7" s="5">
        <v>7.7153268551236704E-4</v>
      </c>
      <c r="F7" s="2">
        <v>4528</v>
      </c>
      <c r="H7" s="2" t="s">
        <v>24</v>
      </c>
      <c r="I7" s="13">
        <f>$C$29-($C$29-$B$29)*EXP(-E7*D7)</f>
        <v>8.4737405248688863E-2</v>
      </c>
      <c r="J7" s="14">
        <f t="shared" si="0"/>
        <v>2.0480352287099157E-3</v>
      </c>
      <c r="K7" s="14">
        <f t="shared" si="1"/>
        <v>0.1440627669999969</v>
      </c>
      <c r="L7" s="15">
        <f t="shared" si="2"/>
        <v>5.2243620659748788E-2</v>
      </c>
      <c r="M7" s="16">
        <f t="shared" si="3"/>
        <v>0.1192968345583959</v>
      </c>
      <c r="O7" s="2">
        <f>D7*60</f>
        <v>67935</v>
      </c>
      <c r="P7" s="13">
        <f t="shared" si="4"/>
        <v>0.14406276700000001</v>
      </c>
      <c r="Q7" s="14">
        <f t="shared" si="8"/>
        <v>7.5844690277749871E-3</v>
      </c>
      <c r="R7" s="14">
        <f t="shared" si="5"/>
        <v>0.14406276700000001</v>
      </c>
      <c r="S7" s="15">
        <f t="shared" si="6"/>
        <v>0.14406276699940973</v>
      </c>
      <c r="T7" s="16">
        <f t="shared" si="7"/>
        <v>0.14406276700000001</v>
      </c>
    </row>
    <row r="8" spans="1:20" x14ac:dyDescent="0.3">
      <c r="A8" s="18"/>
      <c r="B8" s="18"/>
      <c r="C8" s="18"/>
      <c r="D8" s="18"/>
      <c r="E8" s="18"/>
      <c r="F8" s="18"/>
      <c r="G8" s="18"/>
      <c r="H8" s="19"/>
      <c r="I8" s="19"/>
      <c r="J8" s="18"/>
      <c r="K8" s="18"/>
      <c r="L8" s="18"/>
      <c r="M8" s="18"/>
    </row>
    <row r="9" spans="1:20" x14ac:dyDescent="0.3">
      <c r="A9" s="3"/>
      <c r="B9" s="2"/>
      <c r="E9" s="7"/>
      <c r="F9" s="2"/>
      <c r="G9" s="2"/>
      <c r="H9" s="2"/>
      <c r="I9" s="2"/>
    </row>
    <row r="11" spans="1:20" x14ac:dyDescent="0.3">
      <c r="A11" s="17" t="s">
        <v>7</v>
      </c>
      <c r="B11" s="17"/>
      <c r="C11" s="17"/>
      <c r="D11" s="17"/>
      <c r="E11" s="17"/>
      <c r="F11" s="17"/>
      <c r="G11" s="17"/>
      <c r="H11" s="8"/>
      <c r="I11" s="22" t="s">
        <v>20</v>
      </c>
      <c r="J11" s="23"/>
      <c r="K11" s="23"/>
      <c r="L11" s="23"/>
      <c r="M11" s="24"/>
      <c r="O11" s="2" t="s">
        <v>32</v>
      </c>
      <c r="P11" s="22" t="s">
        <v>20</v>
      </c>
      <c r="Q11" s="23"/>
      <c r="R11" s="23"/>
      <c r="S11" s="23"/>
      <c r="T11" s="24"/>
    </row>
    <row r="12" spans="1:20" x14ac:dyDescent="0.3">
      <c r="A12" s="2" t="s">
        <v>0</v>
      </c>
      <c r="B12" s="2" t="s">
        <v>1</v>
      </c>
      <c r="C12" t="s">
        <v>2</v>
      </c>
      <c r="D12" s="2" t="s">
        <v>5</v>
      </c>
      <c r="E12" s="2" t="s">
        <v>6</v>
      </c>
      <c r="F12" s="2" t="s">
        <v>3</v>
      </c>
      <c r="G12" s="2" t="s">
        <v>4</v>
      </c>
      <c r="H12" s="2"/>
      <c r="I12" s="9" t="s">
        <v>25</v>
      </c>
      <c r="J12" s="2" t="s">
        <v>27</v>
      </c>
      <c r="K12" s="2" t="s">
        <v>28</v>
      </c>
      <c r="L12" s="2" t="s">
        <v>29</v>
      </c>
      <c r="M12" s="10" t="s">
        <v>26</v>
      </c>
      <c r="O12" s="2" t="s">
        <v>33</v>
      </c>
      <c r="P12" s="9" t="s">
        <v>25</v>
      </c>
      <c r="Q12" s="2" t="s">
        <v>27</v>
      </c>
      <c r="R12" s="2" t="s">
        <v>28</v>
      </c>
      <c r="S12" s="2" t="s">
        <v>29</v>
      </c>
      <c r="T12" s="10" t="s">
        <v>26</v>
      </c>
    </row>
    <row r="13" spans="1:20" x14ac:dyDescent="0.3">
      <c r="A13" s="3">
        <v>44776.656944444447</v>
      </c>
      <c r="B13" s="3">
        <v>44781.761111111111</v>
      </c>
      <c r="C13" s="5">
        <v>1.9492240000000001E-2</v>
      </c>
      <c r="D13" s="2">
        <v>122.5</v>
      </c>
      <c r="E13" s="5">
        <v>2.20044776119403E-3</v>
      </c>
      <c r="F13" s="2">
        <v>490</v>
      </c>
      <c r="G13" s="2">
        <v>469</v>
      </c>
      <c r="H13" s="2" t="s">
        <v>21</v>
      </c>
      <c r="I13" s="11">
        <f>$C$29-($C$29-$B$29)*EXP(-E13*D13)</f>
        <v>3.5530238215129642E-2</v>
      </c>
      <c r="J13" s="4">
        <f>$C$29-($C$29-$B$29)*EXP(-(E13^2)*D13)</f>
        <v>2.0365536110150961E-3</v>
      </c>
      <c r="K13" s="4">
        <f>$C$29-($C$29-$B$29)*EXP(-(E13^0.5)*D13)</f>
        <v>0.14360880382823527</v>
      </c>
      <c r="L13" s="5">
        <f>$C$29-($C$29-$B$29)*EXP(-(E13/2)*D13)</f>
        <v>1.9870940532910206E-2</v>
      </c>
      <c r="M13" s="12">
        <f>$C$29-($C$29-$B$29)*EXP(-(2*E13)*D13)</f>
        <v>6.1174370560562796E-2</v>
      </c>
      <c r="O13" s="2">
        <f>D13*60</f>
        <v>7350</v>
      </c>
      <c r="P13" s="11">
        <f>$C$29-($C$29-$B$29)*EXP(-E13*O13)</f>
        <v>0.14406275355208203</v>
      </c>
      <c r="Q13" s="4">
        <f>$C$29-($C$29-$B$29)*EXP(-(E13^2)*O13)</f>
        <v>6.9208471175649378E-3</v>
      </c>
      <c r="R13" s="4">
        <f>$C$29-($C$29-$B$29)*EXP(-(E13^0.5)*O13)</f>
        <v>0.14406276700000001</v>
      </c>
      <c r="S13" s="5">
        <f>$C$29-($C$29-$B$29)*EXP(-(E13/2)*O13)</f>
        <v>0.14401905098373577</v>
      </c>
      <c r="T13" s="12">
        <f>$C$29-($C$29-$B$29)*EXP(-(2*E13)*O13)</f>
        <v>0.14406276699999873</v>
      </c>
    </row>
    <row r="14" spans="1:20" x14ac:dyDescent="0.3">
      <c r="A14" s="3">
        <v>44781.761111111111</v>
      </c>
      <c r="B14" s="3">
        <v>45051.645833333336</v>
      </c>
      <c r="C14" s="5">
        <v>0.14406276700000001</v>
      </c>
      <c r="D14" s="2">
        <v>6477.2333333333299</v>
      </c>
      <c r="E14" s="5">
        <v>3.88911206719934E-2</v>
      </c>
      <c r="F14" s="2">
        <v>10069</v>
      </c>
      <c r="G14" s="2">
        <v>9762</v>
      </c>
      <c r="H14" s="2" t="s">
        <v>22</v>
      </c>
      <c r="I14" s="11">
        <f>$C$29-($C$29-$B$29)*EXP(-E14*D14)</f>
        <v>0.14406276700000001</v>
      </c>
      <c r="J14" s="4">
        <f t="shared" ref="J14:J16" si="9">$C$29-($C$29-$B$29)*EXP(-(E14^2)*D14)</f>
        <v>0.14405486259777514</v>
      </c>
      <c r="K14" s="4">
        <f t="shared" ref="K14:K16" si="10">$C$29-($C$29-$B$29)*EXP(-(E14^0.5)*D14)</f>
        <v>0.14406276700000001</v>
      </c>
      <c r="L14" s="5">
        <f t="shared" ref="L14:L16" si="11">$C$29-($C$29-$B$29)*EXP(-(E14/2)*D14)</f>
        <v>0.14406276700000001</v>
      </c>
      <c r="M14" s="12">
        <f t="shared" ref="M14:M16" si="12">$C$29-($C$29-$B$29)*EXP(-(2*E14)*D14)</f>
        <v>0.14406276700000001</v>
      </c>
      <c r="O14" s="2">
        <f>D14*60</f>
        <v>388633.99999999977</v>
      </c>
      <c r="P14" s="11">
        <f t="shared" ref="P14:P16" si="13">$C$29-($C$29-$B$29)*EXP(-E14*O14)</f>
        <v>0.14406276700000001</v>
      </c>
      <c r="Q14" s="4">
        <f>$C$29-($C$29-$B$29)*EXP(-(E14^2)*O14)</f>
        <v>0.14406276700000001</v>
      </c>
      <c r="R14" s="4">
        <f t="shared" ref="R14:R16" si="14">$C$29-($C$29-$B$29)*EXP(-(E14^0.5)*O14)</f>
        <v>0.14406276700000001</v>
      </c>
      <c r="S14" s="5">
        <f t="shared" ref="S14:S16" si="15">$C$29-($C$29-$B$29)*EXP(-(E14/2)*O14)</f>
        <v>0.14406276700000001</v>
      </c>
      <c r="T14" s="12">
        <f t="shared" ref="T14:T16" si="16">$C$29-($C$29-$B$29)*EXP(-(2*E14)*O14)</f>
        <v>0.14406276700000001</v>
      </c>
    </row>
    <row r="15" spans="1:20" x14ac:dyDescent="0.3">
      <c r="A15" s="3">
        <v>45051.645833333336</v>
      </c>
      <c r="B15" s="3">
        <v>45136.78125</v>
      </c>
      <c r="C15" s="5">
        <v>1.4906922E-2</v>
      </c>
      <c r="D15" s="2">
        <v>2043.25</v>
      </c>
      <c r="E15" s="5">
        <v>3.28278706316474E-3</v>
      </c>
      <c r="F15" s="2">
        <v>8172</v>
      </c>
      <c r="G15" s="2">
        <v>4607</v>
      </c>
      <c r="H15" s="2" t="s">
        <v>23</v>
      </c>
      <c r="I15" s="11">
        <f>$C$29-($C$29-$B$29)*EXP(-E15*D15)</f>
        <v>0.14388915804318808</v>
      </c>
      <c r="J15" s="4">
        <f>$C$29-($C$29-$B$29)*EXP(-(E15^2)*D15)</f>
        <v>5.047284811723507E-3</v>
      </c>
      <c r="K15" s="4">
        <f t="shared" si="10"/>
        <v>0.14406276700000001</v>
      </c>
      <c r="L15" s="5">
        <f t="shared" si="11"/>
        <v>0.13909571030766782</v>
      </c>
      <c r="M15" s="12">
        <f t="shared" si="12"/>
        <v>0.14406255491099795</v>
      </c>
      <c r="O15" s="2">
        <f>D15*60</f>
        <v>122595</v>
      </c>
      <c r="P15" s="11">
        <f t="shared" si="13"/>
        <v>0.14406276700000001</v>
      </c>
      <c r="Q15" s="4">
        <f t="shared" ref="Q15:Q16" si="17">$C$29-($C$29-$B$29)*EXP(-(E15^2)*O15)</f>
        <v>0.10614437156087261</v>
      </c>
      <c r="R15" s="4">
        <f t="shared" si="14"/>
        <v>0.14406276700000001</v>
      </c>
      <c r="S15" s="5">
        <f t="shared" si="15"/>
        <v>0.14406276700000001</v>
      </c>
      <c r="T15" s="12">
        <f t="shared" si="16"/>
        <v>0.14406276700000001</v>
      </c>
    </row>
    <row r="16" spans="1:20" x14ac:dyDescent="0.3">
      <c r="A16" s="3">
        <v>45136.78125</v>
      </c>
      <c r="B16" s="3">
        <v>45183.958333333336</v>
      </c>
      <c r="C16" s="5">
        <v>1.952287E-3</v>
      </c>
      <c r="D16" s="2">
        <v>1132.25</v>
      </c>
      <c r="E16" s="5">
        <v>7.1870029538741197E-4</v>
      </c>
      <c r="F16" s="2">
        <v>4528</v>
      </c>
      <c r="G16" s="2">
        <v>4401</v>
      </c>
      <c r="H16" s="2" t="s">
        <v>24</v>
      </c>
      <c r="I16" s="13">
        <f>$C$29-($C$29-$B$29)*EXP(-E16*D16)</f>
        <v>8.1080300772183964E-2</v>
      </c>
      <c r="J16" s="14">
        <f t="shared" si="9"/>
        <v>2.0353747678728273E-3</v>
      </c>
      <c r="K16" s="14">
        <f t="shared" si="10"/>
        <v>0.14406276699999068</v>
      </c>
      <c r="L16" s="15">
        <f t="shared" si="11"/>
        <v>4.9455851252689406E-2</v>
      </c>
      <c r="M16" s="16">
        <f t="shared" si="12"/>
        <v>0.11614933618097815</v>
      </c>
      <c r="O16" s="2">
        <f>D16*60</f>
        <v>67935</v>
      </c>
      <c r="P16" s="13">
        <f t="shared" si="13"/>
        <v>0.14406276700000001</v>
      </c>
      <c r="Q16" s="14">
        <f t="shared" si="17"/>
        <v>6.8525322341062567E-3</v>
      </c>
      <c r="R16" s="14">
        <f t="shared" si="14"/>
        <v>0.14406276700000001</v>
      </c>
      <c r="S16" s="15">
        <f t="shared" si="15"/>
        <v>0.14406276699644835</v>
      </c>
      <c r="T16" s="16">
        <f t="shared" si="16"/>
        <v>0.14406276700000001</v>
      </c>
    </row>
    <row r="17" spans="1:20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9" spans="1:20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20" x14ac:dyDescent="0.3">
      <c r="A20" s="17" t="s">
        <v>11</v>
      </c>
      <c r="B20" s="17"/>
      <c r="C20" s="17"/>
      <c r="D20" s="17"/>
      <c r="E20" s="17"/>
      <c r="F20" s="17"/>
      <c r="G20" s="17"/>
      <c r="H20" s="8"/>
      <c r="I20" s="22" t="s">
        <v>20</v>
      </c>
      <c r="J20" s="23"/>
      <c r="K20" s="23"/>
      <c r="L20" s="23"/>
      <c r="M20" s="24"/>
      <c r="O20" s="2" t="s">
        <v>32</v>
      </c>
      <c r="P20" s="22" t="s">
        <v>20</v>
      </c>
      <c r="Q20" s="23"/>
      <c r="R20" s="23"/>
      <c r="S20" s="23"/>
      <c r="T20" s="24"/>
    </row>
    <row r="21" spans="1:20" x14ac:dyDescent="0.3">
      <c r="A21" s="2" t="s">
        <v>0</v>
      </c>
      <c r="B21" s="2" t="s">
        <v>1</v>
      </c>
      <c r="C21" t="s">
        <v>2</v>
      </c>
      <c r="D21" s="2" t="s">
        <v>5</v>
      </c>
      <c r="E21" s="2" t="s">
        <v>12</v>
      </c>
      <c r="F21" s="2" t="s">
        <v>9</v>
      </c>
      <c r="G21" s="2" t="s">
        <v>38</v>
      </c>
      <c r="H21" s="2"/>
      <c r="I21" s="9" t="s">
        <v>25</v>
      </c>
      <c r="J21" s="2" t="s">
        <v>27</v>
      </c>
      <c r="K21" s="2" t="s">
        <v>28</v>
      </c>
      <c r="L21" s="2" t="s">
        <v>29</v>
      </c>
      <c r="M21" s="10" t="s">
        <v>34</v>
      </c>
      <c r="O21" s="2" t="s">
        <v>33</v>
      </c>
      <c r="P21" s="9" t="s">
        <v>25</v>
      </c>
      <c r="Q21" s="2" t="s">
        <v>27</v>
      </c>
      <c r="R21" s="2" t="s">
        <v>28</v>
      </c>
      <c r="S21" s="2" t="s">
        <v>29</v>
      </c>
      <c r="T21" s="10" t="s">
        <v>26</v>
      </c>
    </row>
    <row r="22" spans="1:20" x14ac:dyDescent="0.3">
      <c r="A22" s="3">
        <v>44776.656944444447</v>
      </c>
      <c r="B22" s="3">
        <v>44781.761111111111</v>
      </c>
      <c r="C22" s="5">
        <v>1.9492240000000001E-2</v>
      </c>
      <c r="D22" s="2">
        <v>122.5</v>
      </c>
      <c r="E22" s="2">
        <v>1517.9580000000001</v>
      </c>
      <c r="F22" s="2">
        <v>490</v>
      </c>
      <c r="G22" s="5">
        <f>E4/E22*F22</f>
        <v>1.1111111111111107E-3</v>
      </c>
      <c r="H22" s="2" t="s">
        <v>21</v>
      </c>
      <c r="I22" s="11">
        <f>$C$29-($C$29-$B$29)*EXP(-G22*D22)</f>
        <v>2.0036462998631918E-2</v>
      </c>
      <c r="J22" s="4">
        <f>$C$29-($C$29-$B$29)*EXP(-(G22^2)*D22)</f>
        <v>1.9737773919510093E-3</v>
      </c>
      <c r="K22" s="4">
        <f>$C$29-($C$29-$B$29)*EXP(-(G22^0.5)*D22)</f>
        <v>0.14166803470037226</v>
      </c>
      <c r="L22" s="5">
        <f>$C$29-($C$29-$B$29)*EXP(-(G22/2)*D22)</f>
        <v>1.1301938461381944E-2</v>
      </c>
      <c r="M22" s="12">
        <f>$C$29-($C$29-$B$29)*EXP(-(2*G22)*D22)</f>
        <v>3.5819349032234549E-2</v>
      </c>
      <c r="O22" s="2">
        <f>D22*60</f>
        <v>7350</v>
      </c>
      <c r="P22" s="11">
        <f>$C$29-($C$29-$B$29)*EXP(-G22*O22)</f>
        <v>0.14402241288405529</v>
      </c>
      <c r="Q22" s="4">
        <f>$C$29-($C$29-$B$29)*EXP(-(G22^2)*O22)</f>
        <v>3.2359750737860626E-3</v>
      </c>
      <c r="R22" s="4">
        <f>$C$29-($C$29-$B$29)*EXP(-(G22^0.5)*O22)</f>
        <v>0.14406276700000001</v>
      </c>
      <c r="S22" s="5">
        <f>$C$29-($C$29-$B$29)*EXP(-(G22/2)*O22)</f>
        <v>0.14166803470037226</v>
      </c>
      <c r="T22" s="12">
        <f>$C$29-($C$29-$B$29)*EXP(-(2*G22)*O22)</f>
        <v>0.14406275554092482</v>
      </c>
    </row>
    <row r="23" spans="1:20" x14ac:dyDescent="0.3">
      <c r="A23" s="3">
        <v>44781.761111111111</v>
      </c>
      <c r="B23" s="3">
        <v>45051.645833333336</v>
      </c>
      <c r="C23" s="5">
        <v>0.14406276700000001</v>
      </c>
      <c r="D23" s="2">
        <v>6477.2333333333299</v>
      </c>
      <c r="E23" s="2">
        <v>368677.99799999897</v>
      </c>
      <c r="F23" s="2">
        <v>10069</v>
      </c>
      <c r="G23" s="5">
        <f t="shared" ref="G23:G25" si="18">E5/E23*F23</f>
        <v>1.1246258321047245E-3</v>
      </c>
      <c r="H23" s="2" t="s">
        <v>22</v>
      </c>
      <c r="I23" s="11">
        <f t="shared" ref="I23:I25" si="19">$C$29-($C$29-$B$29)*EXP(-G23*D23)</f>
        <v>0.14396526273359866</v>
      </c>
      <c r="J23" s="4">
        <f t="shared" ref="J23:J25" si="20">$C$29-($C$29-$B$29)*EXP(-(G23^2)*D23)</f>
        <v>3.1117423746942208E-3</v>
      </c>
      <c r="K23" s="4">
        <f t="shared" ref="K23:K25" si="21">$C$29-($C$29-$B$29)*EXP(-(G23^0.5)*D23)</f>
        <v>0.14406276700000001</v>
      </c>
      <c r="L23" s="5">
        <f t="shared" ref="L23:L25" si="22">$C$29-($C$29-$B$29)*EXP(-(G23/2)*D23)</f>
        <v>0.14034035137297196</v>
      </c>
      <c r="M23" s="12">
        <f t="shared" ref="M23:M25" si="23">$C$29-($C$29-$B$29)*EXP(-(2*G23)*D23)</f>
        <v>0.14406270010076805</v>
      </c>
      <c r="O23" s="2">
        <f>D23*60</f>
        <v>388633.99999999977</v>
      </c>
      <c r="P23" s="11">
        <f t="shared" ref="P23:P25" si="24">$C$29-($C$29-$B$29)*EXP(-G23*O23)</f>
        <v>0.14406276700000001</v>
      </c>
      <c r="Q23" s="4">
        <f t="shared" ref="Q23:Q25" si="25">$C$29-($C$29-$B$29)*EXP(-(G23^2)*O23)</f>
        <v>5.7135913127885934E-2</v>
      </c>
      <c r="R23" s="4">
        <f t="shared" ref="R23:R25" si="26">$C$29-($C$29-$B$29)*EXP(-(G23^0.5)*O23)</f>
        <v>0.14406276700000001</v>
      </c>
      <c r="S23" s="5">
        <f t="shared" ref="S23:S25" si="27">$C$29-($C$29-$B$29)*EXP(-(G23/2)*O23)</f>
        <v>0.14406276700000001</v>
      </c>
      <c r="T23" s="12">
        <f t="shared" ref="T23:T25" si="28">$C$29-($C$29-$B$29)*EXP(-(2*G23)*O23)</f>
        <v>0.14406276700000001</v>
      </c>
    </row>
    <row r="24" spans="1:20" x14ac:dyDescent="0.3">
      <c r="A24" s="3">
        <v>45051.645833333336</v>
      </c>
      <c r="B24" s="3">
        <v>45136.78125</v>
      </c>
      <c r="C24" s="5">
        <v>1.4906922E-2</v>
      </c>
      <c r="D24" s="2">
        <v>2043.25</v>
      </c>
      <c r="E24" s="2">
        <v>188982.72</v>
      </c>
      <c r="F24" s="2">
        <v>8172</v>
      </c>
      <c r="G24" s="5">
        <f t="shared" si="18"/>
        <v>1.1111111111111098E-3</v>
      </c>
      <c r="H24" s="2" t="s">
        <v>23</v>
      </c>
      <c r="I24" s="11">
        <f t="shared" si="19"/>
        <v>0.12938510119425506</v>
      </c>
      <c r="J24" s="4">
        <f t="shared" si="20"/>
        <v>2.3103133158616784E-3</v>
      </c>
      <c r="K24" s="4">
        <f t="shared" si="21"/>
        <v>0.14406276700000001</v>
      </c>
      <c r="L24" s="5">
        <f t="shared" si="22"/>
        <v>9.8391658704557877E-2</v>
      </c>
      <c r="M24" s="12">
        <f t="shared" si="23"/>
        <v>0.14254680650570617</v>
      </c>
      <c r="O24" s="2">
        <f>D24*60</f>
        <v>122595</v>
      </c>
      <c r="P24" s="11">
        <f t="shared" si="24"/>
        <v>0.14406276700000001</v>
      </c>
      <c r="Q24" s="4">
        <f t="shared" si="25"/>
        <v>2.1912384217010333E-2</v>
      </c>
      <c r="R24" s="4">
        <f t="shared" si="26"/>
        <v>0.14406276700000001</v>
      </c>
      <c r="S24" s="5">
        <f t="shared" si="27"/>
        <v>0.14406276700000001</v>
      </c>
      <c r="T24" s="12">
        <f t="shared" si="28"/>
        <v>0.14406276700000001</v>
      </c>
    </row>
    <row r="25" spans="1:20" x14ac:dyDescent="0.3">
      <c r="A25" s="3">
        <v>45136.78125</v>
      </c>
      <c r="B25" s="3">
        <v>45183.958333333336</v>
      </c>
      <c r="C25" s="5">
        <v>1.952287E-3</v>
      </c>
      <c r="D25" s="2">
        <v>1132.25</v>
      </c>
      <c r="E25" s="2">
        <v>3144.1499999999901</v>
      </c>
      <c r="F25" s="2">
        <v>4528</v>
      </c>
      <c r="G25" s="5">
        <f t="shared" si="18"/>
        <v>1.1111111111111139E-3</v>
      </c>
      <c r="H25" s="2" t="s">
        <v>24</v>
      </c>
      <c r="I25" s="13">
        <f t="shared" si="19"/>
        <v>0.10367409992343879</v>
      </c>
      <c r="J25" s="14">
        <f t="shared" si="20"/>
        <v>2.150795869092309E-3</v>
      </c>
      <c r="K25" s="14">
        <f t="shared" si="21"/>
        <v>0.14406276700000001</v>
      </c>
      <c r="L25" s="15">
        <f t="shared" si="22"/>
        <v>6.8302270269775825E-2</v>
      </c>
      <c r="M25" s="16">
        <f t="shared" si="23"/>
        <v>0.13258406093820008</v>
      </c>
      <c r="O25" s="2">
        <f>D25*60</f>
        <v>67935</v>
      </c>
      <c r="P25" s="13">
        <f t="shared" si="24"/>
        <v>0.14406276700000001</v>
      </c>
      <c r="Q25" s="14">
        <f t="shared" si="25"/>
        <v>1.3385011258137985E-2</v>
      </c>
      <c r="R25" s="14">
        <f t="shared" si="26"/>
        <v>0.14406276700000001</v>
      </c>
      <c r="S25" s="15">
        <f t="shared" si="27"/>
        <v>0.14406276700000001</v>
      </c>
      <c r="T25" s="16">
        <f t="shared" si="28"/>
        <v>0.14406276700000001</v>
      </c>
    </row>
    <row r="26" spans="1:20" x14ac:dyDescent="0.3">
      <c r="A26" s="18"/>
      <c r="B26" s="18"/>
      <c r="C26" s="18"/>
      <c r="D26" s="18"/>
      <c r="E26" s="20"/>
      <c r="F26" s="18"/>
      <c r="G26" s="18"/>
      <c r="H26" s="18"/>
      <c r="I26" s="18"/>
      <c r="J26" s="18"/>
      <c r="K26" s="18"/>
      <c r="L26" s="18"/>
      <c r="M26" s="18"/>
    </row>
    <row r="27" spans="1:20" x14ac:dyDescent="0.3">
      <c r="B27" t="s">
        <v>16</v>
      </c>
      <c r="C27" t="s">
        <v>17</v>
      </c>
    </row>
    <row r="28" spans="1:20" x14ac:dyDescent="0.3">
      <c r="A28" t="s">
        <v>15</v>
      </c>
      <c r="B28" s="5">
        <f>0.14*(B33^0.7)+0.0075</f>
        <v>3.4349135189301633E-2</v>
      </c>
      <c r="C28" s="5">
        <f>1.4*(B33^0.7)+0.075</f>
        <v>0.34349135189301633</v>
      </c>
      <c r="D28" s="6"/>
      <c r="E28" s="21">
        <v>0</v>
      </c>
      <c r="F28">
        <v>0</v>
      </c>
    </row>
    <row r="29" spans="1:20" x14ac:dyDescent="0.3">
      <c r="A29" t="s">
        <v>14</v>
      </c>
      <c r="B29" s="5">
        <f>MIN(C22:C25)</f>
        <v>1.952287E-3</v>
      </c>
      <c r="C29" s="5">
        <f>MAX(C22:C25)</f>
        <v>0.14406276700000001</v>
      </c>
      <c r="E29" s="21">
        <v>1</v>
      </c>
      <c r="F29">
        <v>1</v>
      </c>
    </row>
    <row r="30" spans="1:20" x14ac:dyDescent="0.3">
      <c r="A30" t="s">
        <v>36</v>
      </c>
      <c r="B30" s="5">
        <f>0.14*(B34^0.7)+0.0075</f>
        <v>1.2433141081696839E-2</v>
      </c>
      <c r="C30">
        <f>1.4*(B34^0.7)+0.075</f>
        <v>0.12433141081696839</v>
      </c>
    </row>
    <row r="31" spans="1:20" x14ac:dyDescent="0.3">
      <c r="A31" t="s">
        <v>39</v>
      </c>
      <c r="B31" s="26">
        <f>B28*(2650-1000)*9.81*0.04364</f>
        <v>24.263502957004771</v>
      </c>
      <c r="C31" s="26">
        <f>C28*(2650-1000)*9.81*0.04364</f>
        <v>242.63502957004769</v>
      </c>
    </row>
    <row r="33" spans="1:3" x14ac:dyDescent="0.3">
      <c r="A33" t="s">
        <v>18</v>
      </c>
      <c r="B33" s="2">
        <v>9.4500000000000001E-2</v>
      </c>
      <c r="C33" s="2" t="s">
        <v>19</v>
      </c>
    </row>
    <row r="34" spans="1:3" x14ac:dyDescent="0.3">
      <c r="A34" s="2" t="s">
        <v>35</v>
      </c>
      <c r="B34" s="2">
        <v>8.3999999999999995E-3</v>
      </c>
      <c r="C34" s="2" t="s">
        <v>19</v>
      </c>
    </row>
  </sheetData>
  <mergeCells count="8">
    <mergeCell ref="I20:M20"/>
    <mergeCell ref="P20:T20"/>
    <mergeCell ref="I1:M1"/>
    <mergeCell ref="P1:T1"/>
    <mergeCell ref="I2:M2"/>
    <mergeCell ref="P2:T2"/>
    <mergeCell ref="I11:M11"/>
    <mergeCell ref="P11:T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Interpolated Rising</vt:lpstr>
      <vt:lpstr>2. Exceedance D50</vt:lpstr>
      <vt:lpstr>3. Interpolated Falling</vt:lpstr>
      <vt:lpstr>4. Shorfall D50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2026-01-05T18:09:10Z</dcterms:modified>
</cp:coreProperties>
</file>