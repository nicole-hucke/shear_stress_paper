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uck4481\Documents\GitHub\shear_stress_paper\antecedent_conditions\field_data\results\"/>
    </mc:Choice>
  </mc:AlternateContent>
  <xr:revisionPtr revIDLastSave="0" documentId="13_ncr:1_{65CE38D9-D166-473B-AECD-9846009A1F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. Interpolated Rising" sheetId="1" r:id="rId1"/>
    <sheet name="2. Exceedance D50" sheetId="5" r:id="rId2"/>
    <sheet name="3. Interpolated Falling" sheetId="6" r:id="rId3"/>
    <sheet name="4. Shortfall D50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8" l="1"/>
  <c r="G24" i="8"/>
  <c r="G23" i="8"/>
  <c r="G22" i="8"/>
  <c r="C30" i="8"/>
  <c r="B30" i="8"/>
  <c r="C29" i="8"/>
  <c r="B29" i="8"/>
  <c r="C28" i="8"/>
  <c r="B28" i="8"/>
  <c r="G25" i="6"/>
  <c r="G24" i="6"/>
  <c r="G23" i="6"/>
  <c r="G22" i="6"/>
  <c r="C30" i="6"/>
  <c r="B30" i="6"/>
  <c r="C29" i="6"/>
  <c r="B29" i="6"/>
  <c r="C28" i="6"/>
  <c r="B28" i="6"/>
  <c r="G25" i="5"/>
  <c r="G24" i="5"/>
  <c r="G23" i="5"/>
  <c r="G22" i="5"/>
  <c r="C30" i="5"/>
  <c r="B30" i="5"/>
  <c r="C29" i="5"/>
  <c r="B29" i="5"/>
  <c r="C28" i="5"/>
  <c r="B28" i="5"/>
  <c r="B28" i="1"/>
  <c r="G23" i="1" l="1"/>
  <c r="G24" i="1"/>
  <c r="G25" i="1"/>
  <c r="G22" i="1"/>
  <c r="C30" i="1"/>
  <c r="B30" i="1"/>
  <c r="C28" i="1" l="1"/>
  <c r="C29" i="1"/>
  <c r="B29" i="1"/>
</calcChain>
</file>

<file path=xl/sharedStrings.xml><?xml version="1.0" encoding="utf-8"?>
<sst xmlns="http://schemas.openxmlformats.org/spreadsheetml/2006/main" count="176" uniqueCount="27">
  <si>
    <t>event_start</t>
  </si>
  <si>
    <t>event_end</t>
  </si>
  <si>
    <t>tauc</t>
  </si>
  <si>
    <t>n_timesteps_total</t>
  </si>
  <si>
    <t>n_timesteps_below_tauc</t>
  </si>
  <si>
    <t>time_between_events</t>
  </si>
  <si>
    <t>mean_tau_below_tauc</t>
  </si>
  <si>
    <t>B) Average below tauc</t>
  </si>
  <si>
    <t xml:space="preserve">A) Average </t>
  </si>
  <si>
    <t>n_timesteps</t>
  </si>
  <si>
    <t>mean_tau_between_events</t>
  </si>
  <si>
    <t>C) Antecedent cumulative tauc</t>
  </si>
  <si>
    <t>cumulative_tau</t>
  </si>
  <si>
    <t>cumtau / time</t>
  </si>
  <si>
    <t>Data</t>
  </si>
  <si>
    <t>Masteller</t>
  </si>
  <si>
    <t>tauc min</t>
  </si>
  <si>
    <t>tauc max</t>
  </si>
  <si>
    <t>Slope</t>
  </si>
  <si>
    <t>m/m</t>
  </si>
  <si>
    <t>ST2-ST3</t>
  </si>
  <si>
    <t>ST3-SP</t>
  </si>
  <si>
    <t>SP-ST4</t>
  </si>
  <si>
    <t>ST4-ST7</t>
  </si>
  <si>
    <t>Flume Slope</t>
  </si>
  <si>
    <t>Flume (Masteller)</t>
  </si>
  <si>
    <t>mean_tau  / cum_tau * time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</si>
</sst>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"/>
    <numFmt numFmtId="166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1" fontId="0" fillId="0" borderId="2" xfId="0" applyNumberFormat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Tauc - Time Between Events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6238448509782778E-2"/>
                  <c:y val="-3.66201536731914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'1. Interpolated Rising'!$D$4:$D$7</c:f>
              <c:numCache>
                <c:formatCode>0</c:formatCode>
                <c:ptCount val="4"/>
                <c:pt idx="0">
                  <c:v>119.5</c:v>
                </c:pt>
                <c:pt idx="1">
                  <c:v>6300.35</c:v>
                </c:pt>
                <c:pt idx="2">
                  <c:v>2219.86666666666</c:v>
                </c:pt>
                <c:pt idx="3">
                  <c:v>1135.88333333333</c:v>
                </c:pt>
              </c:numCache>
            </c:numRef>
          </c:xVal>
          <c:yVal>
            <c:numRef>
              <c:f>'1. Interpolated Rising'!$C$4:$C$7</c:f>
              <c:numCache>
                <c:formatCode>0.0000</c:formatCode>
                <c:ptCount val="4"/>
                <c:pt idx="0">
                  <c:v>2.5559101000000001E-2</c:v>
                </c:pt>
                <c:pt idx="1">
                  <c:v>9.5490195999999999E-2</c:v>
                </c:pt>
                <c:pt idx="2">
                  <c:v>2.5044461000000001E-2</c:v>
                </c:pt>
                <c:pt idx="3">
                  <c:v>2.1145859999999999E-3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C1-4F7C-BD13-779160A59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5869983"/>
        <c:axId val="1175868063"/>
      </c:scatterChart>
      <c:valAx>
        <c:axId val="1175869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(hrs)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868063"/>
        <c:crosses val="autoZero"/>
        <c:crossBetween val="midCat"/>
      </c:valAx>
      <c:valAx>
        <c:axId val="117586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Tauc*</a:t>
                </a:r>
                <a:r>
                  <a:rPr lang="en-US" baseline="0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869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Tauc - Avg Magnitude Between Events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average tau*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43325667681579"/>
                  <c:y val="0.25898178838900737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'1. Interpolated Rising'!$E$4:$E$7</c:f>
              <c:numCache>
                <c:formatCode>0.00000</c:formatCode>
                <c:ptCount val="4"/>
                <c:pt idx="0">
                  <c:v>2.6187866108786598E-3</c:v>
                </c:pt>
                <c:pt idx="1">
                  <c:v>3.4735868859554202E-2</c:v>
                </c:pt>
                <c:pt idx="2">
                  <c:v>3.36860795134587E-2</c:v>
                </c:pt>
                <c:pt idx="3">
                  <c:v>8.0523767605633796E-4</c:v>
                </c:pt>
              </c:numCache>
            </c:numRef>
          </c:xVal>
          <c:yVal>
            <c:numRef>
              <c:f>'1. Interpolated Rising'!$C$4:$C$7</c:f>
              <c:numCache>
                <c:formatCode>0.0000</c:formatCode>
                <c:ptCount val="4"/>
                <c:pt idx="0">
                  <c:v>2.5559101000000001E-2</c:v>
                </c:pt>
                <c:pt idx="1">
                  <c:v>9.5490195999999999E-2</c:v>
                </c:pt>
                <c:pt idx="2">
                  <c:v>2.5044461000000001E-2</c:v>
                </c:pt>
                <c:pt idx="3">
                  <c:v>2.1145859999999999E-3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D5-4884-A954-73018C650AE4}"/>
            </c:ext>
          </c:extLst>
        </c:ser>
        <c:ser>
          <c:idx val="1"/>
          <c:order val="1"/>
          <c:tx>
            <c:v>average tau* below tauc*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3951445595324332E-2"/>
                  <c:y val="-3.4039574538468034E-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'1. Interpolated Rising'!$E$13:$E$16</c:f>
              <c:numCache>
                <c:formatCode>0.00000</c:formatCode>
                <c:ptCount val="4"/>
                <c:pt idx="0">
                  <c:v>2.3870253164556899E-3</c:v>
                </c:pt>
                <c:pt idx="1">
                  <c:v>2.6766358839050101E-2</c:v>
                </c:pt>
                <c:pt idx="2">
                  <c:v>4.8949065880039304E-3</c:v>
                </c:pt>
                <c:pt idx="3">
                  <c:v>7.3214125056230296E-4</c:v>
                </c:pt>
              </c:numCache>
            </c:numRef>
          </c:xVal>
          <c:yVal>
            <c:numRef>
              <c:f>'1. Interpolated Rising'!$C$13:$C$16</c:f>
              <c:numCache>
                <c:formatCode>0.0000</c:formatCode>
                <c:ptCount val="4"/>
                <c:pt idx="0">
                  <c:v>2.5559101000000001E-2</c:v>
                </c:pt>
                <c:pt idx="1">
                  <c:v>9.5490195999999999E-2</c:v>
                </c:pt>
                <c:pt idx="2">
                  <c:v>2.5044461000000001E-2</c:v>
                </c:pt>
                <c:pt idx="3">
                  <c:v>2.1145859999999999E-3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2D5-4884-A954-73018C650A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5869983"/>
        <c:axId val="1175868063"/>
      </c:scatterChart>
      <c:valAx>
        <c:axId val="1175869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Magnitude (hrs)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868063"/>
        <c:crosses val="autoZero"/>
        <c:crossBetween val="midCat"/>
      </c:valAx>
      <c:valAx>
        <c:axId val="117586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Tauc*</a:t>
                </a:r>
                <a:r>
                  <a:rPr lang="en-US" baseline="0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8699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08987985448636"/>
                  <c:y val="-4.338837853601633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'1. Interpolated Rising'!$E$22:$E$25</c:f>
              <c:numCache>
                <c:formatCode>0</c:formatCode>
                <c:ptCount val="4"/>
                <c:pt idx="0">
                  <c:v>1126.6019999999901</c:v>
                </c:pt>
                <c:pt idx="1">
                  <c:v>288926.01</c:v>
                </c:pt>
                <c:pt idx="2">
                  <c:v>269188.83</c:v>
                </c:pt>
                <c:pt idx="3">
                  <c:v>3293.0999999999899</c:v>
                </c:pt>
              </c:numCache>
            </c:numRef>
          </c:xVal>
          <c:yVal>
            <c:numRef>
              <c:f>'1. Interpolated Rising'!$C$22:$C$25</c:f>
              <c:numCache>
                <c:formatCode>0.0000</c:formatCode>
                <c:ptCount val="4"/>
                <c:pt idx="0">
                  <c:v>2.5559101000000001E-2</c:v>
                </c:pt>
                <c:pt idx="1">
                  <c:v>9.5490195999999999E-2</c:v>
                </c:pt>
                <c:pt idx="2">
                  <c:v>2.5044461000000001E-2</c:v>
                </c:pt>
                <c:pt idx="3">
                  <c:v>2.1145859999999999E-3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68-4AF0-B822-CDACF013F8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1681087"/>
        <c:axId val="1081672927"/>
      </c:scatterChart>
      <c:valAx>
        <c:axId val="1081681087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672927"/>
        <c:crosses val="autoZero"/>
        <c:crossBetween val="midCat"/>
      </c:valAx>
      <c:valAx>
        <c:axId val="108167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681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Tauc - Time Between Events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6238448509782778E-2"/>
                  <c:y val="-3.66201536731914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'2. Exceedance D50'!$D$4:$D$7</c:f>
              <c:numCache>
                <c:formatCode>0</c:formatCode>
                <c:ptCount val="4"/>
                <c:pt idx="0">
                  <c:v>119.5</c:v>
                </c:pt>
                <c:pt idx="1">
                  <c:v>6300.4833333333299</c:v>
                </c:pt>
                <c:pt idx="2">
                  <c:v>2219.75</c:v>
                </c:pt>
                <c:pt idx="3">
                  <c:v>1136</c:v>
                </c:pt>
              </c:numCache>
            </c:numRef>
          </c:xVal>
          <c:yVal>
            <c:numRef>
              <c:f>'2. Exceedance D50'!$C$4:$C$7</c:f>
              <c:numCache>
                <c:formatCode>0.0000</c:formatCode>
                <c:ptCount val="4"/>
                <c:pt idx="0">
                  <c:v>2.9847195999999999E-2</c:v>
                </c:pt>
                <c:pt idx="1">
                  <c:v>9.4362567999999994E-2</c:v>
                </c:pt>
                <c:pt idx="2">
                  <c:v>2.8499633999999999E-2</c:v>
                </c:pt>
                <c:pt idx="3">
                  <c:v>2.9169130000000001E-3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29-428C-8F32-F4584F13E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5869983"/>
        <c:axId val="1175868063"/>
      </c:scatterChart>
      <c:valAx>
        <c:axId val="1175869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(hrs)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868063"/>
        <c:crosses val="autoZero"/>
        <c:crossBetween val="midCat"/>
      </c:valAx>
      <c:valAx>
        <c:axId val="117586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Tauc*</a:t>
                </a:r>
                <a:r>
                  <a:rPr lang="en-US" baseline="0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869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Tauc - Avg Magnitude Between Events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average tau*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43325667681579"/>
                  <c:y val="0.25898178838900737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'2. Exceedance D50'!$E$4:$E$7</c:f>
              <c:numCache>
                <c:formatCode>0.00000</c:formatCode>
                <c:ptCount val="4"/>
                <c:pt idx="0">
                  <c:v>2.6644979079497901E-3</c:v>
                </c:pt>
                <c:pt idx="1">
                  <c:v>3.4736974353424897E-2</c:v>
                </c:pt>
                <c:pt idx="2">
                  <c:v>3.3679240820004501E-2</c:v>
                </c:pt>
                <c:pt idx="3">
                  <c:v>8.0405018710103405E-4</c:v>
                </c:pt>
              </c:numCache>
            </c:numRef>
          </c:xVal>
          <c:yVal>
            <c:numRef>
              <c:f>'2. Exceedance D50'!$C$4:$C$7</c:f>
              <c:numCache>
                <c:formatCode>0.0000</c:formatCode>
                <c:ptCount val="4"/>
                <c:pt idx="0">
                  <c:v>2.9847195999999999E-2</c:v>
                </c:pt>
                <c:pt idx="1">
                  <c:v>9.4362567999999994E-2</c:v>
                </c:pt>
                <c:pt idx="2">
                  <c:v>2.8499633999999999E-2</c:v>
                </c:pt>
                <c:pt idx="3">
                  <c:v>2.9169130000000001E-3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F2-4447-AB0F-284D7B94C9CA}"/>
            </c:ext>
          </c:extLst>
        </c:ser>
        <c:ser>
          <c:idx val="1"/>
          <c:order val="1"/>
          <c:tx>
            <c:v>average tau* below tauc*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3951445595324332E-2"/>
                  <c:y val="-3.4039574538468034E-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'2. Exceedance D50'!$E$13:$E$16</c:f>
              <c:numCache>
                <c:formatCode>0.00000</c:formatCode>
                <c:ptCount val="4"/>
                <c:pt idx="0">
                  <c:v>2.4833473684210501E-3</c:v>
                </c:pt>
                <c:pt idx="1">
                  <c:v>2.6357666224206499E-2</c:v>
                </c:pt>
                <c:pt idx="2">
                  <c:v>5.5669397865853601E-3</c:v>
                </c:pt>
                <c:pt idx="3">
                  <c:v>7.5488454706927101E-4</c:v>
                </c:pt>
              </c:numCache>
            </c:numRef>
          </c:xVal>
          <c:yVal>
            <c:numRef>
              <c:f>'2. Exceedance D50'!$C$13:$C$16</c:f>
              <c:numCache>
                <c:formatCode>0.0000</c:formatCode>
                <c:ptCount val="4"/>
                <c:pt idx="0">
                  <c:v>2.9847195999999999E-2</c:v>
                </c:pt>
                <c:pt idx="1">
                  <c:v>9.4362567999999994E-2</c:v>
                </c:pt>
                <c:pt idx="2">
                  <c:v>2.8499633999999999E-2</c:v>
                </c:pt>
                <c:pt idx="3">
                  <c:v>2.9169130000000001E-3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2F2-4447-AB0F-284D7B94C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5869983"/>
        <c:axId val="1175868063"/>
      </c:scatterChart>
      <c:valAx>
        <c:axId val="1175869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(hrs)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868063"/>
        <c:crosses val="autoZero"/>
        <c:crossBetween val="midCat"/>
      </c:valAx>
      <c:valAx>
        <c:axId val="117586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Tauc*</a:t>
                </a:r>
                <a:r>
                  <a:rPr lang="en-US" baseline="0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8699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Tauc - Time Between Events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6238448509782778E-2"/>
                  <c:y val="-3.66201536731914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'3. Interpolated Falling'!$D$4:$D$7</c:f>
              <c:numCache>
                <c:formatCode>0</c:formatCode>
                <c:ptCount val="4"/>
                <c:pt idx="0">
                  <c:v>122.383333333333</c:v>
                </c:pt>
                <c:pt idx="1">
                  <c:v>6477.35</c:v>
                </c:pt>
                <c:pt idx="2">
                  <c:v>2043.15</c:v>
                </c:pt>
                <c:pt idx="3">
                  <c:v>1132.1500000000001</c:v>
                </c:pt>
              </c:numCache>
            </c:numRef>
          </c:xVal>
          <c:yVal>
            <c:numRef>
              <c:f>'3. Interpolated Falling'!$C$4:$C$7</c:f>
              <c:numCache>
                <c:formatCode>General</c:formatCode>
                <c:ptCount val="4"/>
                <c:pt idx="0">
                  <c:v>2.0720242E-2</c:v>
                </c:pt>
                <c:pt idx="1">
                  <c:v>0.14419332000000001</c:v>
                </c:pt>
                <c:pt idx="2">
                  <c:v>2.2070355E-2</c:v>
                </c:pt>
                <c:pt idx="3">
                  <c:v>2.8322149999999999E-3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73-48CB-95E9-C3F27DB27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5869983"/>
        <c:axId val="1175868063"/>
      </c:scatterChart>
      <c:valAx>
        <c:axId val="1175869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(hrs)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868063"/>
        <c:crosses val="autoZero"/>
        <c:crossBetween val="midCat"/>
      </c:valAx>
      <c:valAx>
        <c:axId val="117586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Tauc*</a:t>
                </a:r>
                <a:r>
                  <a:rPr lang="en-US" baseline="0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869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Tauc - Avg Magnitude Between Events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average tau*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43325667681579"/>
                  <c:y val="0.25898178838900737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'3. Interpolated Falling'!$E$4:$E$7</c:f>
              <c:numCache>
                <c:formatCode>General</c:formatCode>
                <c:ptCount val="4"/>
                <c:pt idx="0">
                  <c:v>3.4428571428571399E-3</c:v>
                </c:pt>
                <c:pt idx="1">
                  <c:v>4.1176626796662903E-2</c:v>
                </c:pt>
                <c:pt idx="2">
                  <c:v>2.57096415025082E-2</c:v>
                </c:pt>
                <c:pt idx="3">
                  <c:v>7.7200264959152102E-4</c:v>
                </c:pt>
              </c:numCache>
            </c:numRef>
          </c:xVal>
          <c:yVal>
            <c:numRef>
              <c:f>'3. Interpolated Falling'!$C$4:$C$7</c:f>
              <c:numCache>
                <c:formatCode>General</c:formatCode>
                <c:ptCount val="4"/>
                <c:pt idx="0">
                  <c:v>2.0720242E-2</c:v>
                </c:pt>
                <c:pt idx="1">
                  <c:v>0.14419332000000001</c:v>
                </c:pt>
                <c:pt idx="2">
                  <c:v>2.2070355E-2</c:v>
                </c:pt>
                <c:pt idx="3">
                  <c:v>2.8322149999999999E-3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E1-485B-8350-9AD7448A6E10}"/>
            </c:ext>
          </c:extLst>
        </c:ser>
        <c:ser>
          <c:idx val="1"/>
          <c:order val="1"/>
          <c:tx>
            <c:v>average tau* below tauc*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3951445595324332E-2"/>
                  <c:y val="-3.4039574538468034E-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'3. Interpolated Falling'!$E$13:$E$16</c:f>
              <c:numCache>
                <c:formatCode>General</c:formatCode>
                <c:ptCount val="4"/>
                <c:pt idx="0">
                  <c:v>2.20044776119403E-3</c:v>
                </c:pt>
                <c:pt idx="1">
                  <c:v>3.8921918902314098E-2</c:v>
                </c:pt>
                <c:pt idx="2">
                  <c:v>4.3622276029055603E-3</c:v>
                </c:pt>
                <c:pt idx="3">
                  <c:v>7.5202312138728303E-4</c:v>
                </c:pt>
              </c:numCache>
            </c:numRef>
          </c:xVal>
          <c:yVal>
            <c:numRef>
              <c:f>'3. Interpolated Falling'!$C$13:$C$16</c:f>
              <c:numCache>
                <c:formatCode>General</c:formatCode>
                <c:ptCount val="4"/>
                <c:pt idx="0">
                  <c:v>2.0720242E-2</c:v>
                </c:pt>
                <c:pt idx="1">
                  <c:v>0.14419332000000001</c:v>
                </c:pt>
                <c:pt idx="2">
                  <c:v>2.2070355E-2</c:v>
                </c:pt>
                <c:pt idx="3">
                  <c:v>2.8322149999999999E-3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E1-485B-8350-9AD7448A6E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5869983"/>
        <c:axId val="1175868063"/>
      </c:scatterChart>
      <c:valAx>
        <c:axId val="1175869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(hrs)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868063"/>
        <c:crosses val="autoZero"/>
        <c:crossBetween val="midCat"/>
      </c:valAx>
      <c:valAx>
        <c:axId val="117586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Tauc*</a:t>
                </a:r>
                <a:r>
                  <a:rPr lang="en-US" baseline="0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8699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Tauc - Time Between Events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0017023004001191"/>
                  <c:y val="4.173663835115828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'4. Shortfall D50'!$D$4:$D$7</c:f>
              <c:numCache>
                <c:formatCode>0</c:formatCode>
                <c:ptCount val="4"/>
                <c:pt idx="0">
                  <c:v>122.5</c:v>
                </c:pt>
                <c:pt idx="1">
                  <c:v>6477.2333333333299</c:v>
                </c:pt>
                <c:pt idx="2">
                  <c:v>2043.25</c:v>
                </c:pt>
                <c:pt idx="3">
                  <c:v>1132.25</c:v>
                </c:pt>
              </c:numCache>
            </c:numRef>
          </c:xVal>
          <c:yVal>
            <c:numRef>
              <c:f>'4. Shortfall D50'!$C$4:$C$7</c:f>
              <c:numCache>
                <c:formatCode>0.0000</c:formatCode>
                <c:ptCount val="4"/>
                <c:pt idx="0">
                  <c:v>1.9492240000000001E-2</c:v>
                </c:pt>
                <c:pt idx="1">
                  <c:v>0.14406276700000001</c:v>
                </c:pt>
                <c:pt idx="2">
                  <c:v>1.4906922E-2</c:v>
                </c:pt>
                <c:pt idx="3">
                  <c:v>1.952287E-3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EC-47DE-A1EA-49D01B3157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5869983"/>
        <c:axId val="1175868063"/>
      </c:scatterChart>
      <c:valAx>
        <c:axId val="1175869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(hrs)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868063"/>
        <c:crosses val="autoZero"/>
        <c:crossBetween val="midCat"/>
      </c:valAx>
      <c:valAx>
        <c:axId val="117586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Tauc*</a:t>
                </a:r>
                <a:r>
                  <a:rPr lang="en-US" baseline="0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869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Tauc - Avg Magnitude Between Events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average tau*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43325667681579"/>
                  <c:y val="0.25898178838900737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'4. Shortfall D50'!$E$4:$E$7</c:f>
              <c:numCache>
                <c:formatCode>0.0000</c:formatCode>
                <c:ptCount val="4"/>
                <c:pt idx="0">
                  <c:v>3.4420816326530602E-3</c:v>
                </c:pt>
                <c:pt idx="1">
                  <c:v>4.1178349416968199E-2</c:v>
                </c:pt>
                <c:pt idx="2">
                  <c:v>2.5695154185021999E-2</c:v>
                </c:pt>
                <c:pt idx="3">
                  <c:v>7.7153268551236704E-4</c:v>
                </c:pt>
              </c:numCache>
            </c:numRef>
          </c:xVal>
          <c:yVal>
            <c:numRef>
              <c:f>'4. Shortfall D50'!$C$4:$C$7</c:f>
              <c:numCache>
                <c:formatCode>0.0000</c:formatCode>
                <c:ptCount val="4"/>
                <c:pt idx="0">
                  <c:v>1.9492240000000001E-2</c:v>
                </c:pt>
                <c:pt idx="1">
                  <c:v>0.14406276700000001</c:v>
                </c:pt>
                <c:pt idx="2">
                  <c:v>1.4906922E-2</c:v>
                </c:pt>
                <c:pt idx="3">
                  <c:v>1.952287E-3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AA-45F4-8498-0716844DC8E0}"/>
            </c:ext>
          </c:extLst>
        </c:ser>
        <c:ser>
          <c:idx val="1"/>
          <c:order val="1"/>
          <c:tx>
            <c:v>average tau* below tauc*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3951445595324332E-2"/>
                  <c:y val="-3.4039574538468034E-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'4. Shortfall D50'!$E$13:$E$16</c:f>
              <c:numCache>
                <c:formatCode>0.0000</c:formatCode>
                <c:ptCount val="4"/>
                <c:pt idx="0">
                  <c:v>2.20044776119403E-3</c:v>
                </c:pt>
                <c:pt idx="1">
                  <c:v>3.88911206719934E-2</c:v>
                </c:pt>
                <c:pt idx="2">
                  <c:v>3.28278706316474E-3</c:v>
                </c:pt>
                <c:pt idx="3">
                  <c:v>7.1870029538741197E-4</c:v>
                </c:pt>
              </c:numCache>
            </c:numRef>
          </c:xVal>
          <c:yVal>
            <c:numRef>
              <c:f>'4. Shortfall D50'!$C$13:$C$16</c:f>
              <c:numCache>
                <c:formatCode>0.0000</c:formatCode>
                <c:ptCount val="4"/>
                <c:pt idx="0">
                  <c:v>1.9492240000000001E-2</c:v>
                </c:pt>
                <c:pt idx="1">
                  <c:v>0.14406276700000001</c:v>
                </c:pt>
                <c:pt idx="2">
                  <c:v>1.4906922E-2</c:v>
                </c:pt>
                <c:pt idx="3">
                  <c:v>1.952287E-3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5AA-45F4-8498-0716844DC8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5869983"/>
        <c:axId val="1175868063"/>
      </c:scatterChart>
      <c:valAx>
        <c:axId val="1175869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(hrs)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868063"/>
        <c:crosses val="autoZero"/>
        <c:crossBetween val="midCat"/>
      </c:valAx>
      <c:valAx>
        <c:axId val="117586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Tauc*</a:t>
                </a:r>
                <a:r>
                  <a:rPr lang="en-US" baseline="0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8699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256761</xdr:colOff>
      <xdr:row>0</xdr:row>
      <xdr:rowOff>177248</xdr:rowOff>
    </xdr:from>
    <xdr:to>
      <xdr:col>13</xdr:col>
      <xdr:colOff>438979</xdr:colOff>
      <xdr:row>13</xdr:row>
      <xdr:rowOff>107674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48DA9C9-7CC9-7079-B212-407FE250E1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256761</xdr:colOff>
      <xdr:row>13</xdr:row>
      <xdr:rowOff>173935</xdr:rowOff>
    </xdr:from>
    <xdr:to>
      <xdr:col>13</xdr:col>
      <xdr:colOff>356152</xdr:colOff>
      <xdr:row>28</xdr:row>
      <xdr:rowOff>182217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5FD7293-BAA0-483F-A73A-C453A57733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1388909</xdr:colOff>
      <xdr:row>26</xdr:row>
      <xdr:rowOff>122406</xdr:rowOff>
    </xdr:from>
    <xdr:to>
      <xdr:col>6</xdr:col>
      <xdr:colOff>110820</xdr:colOff>
      <xdr:row>41</xdr:row>
      <xdr:rowOff>8106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DDCBAAE-D779-5233-3F52-105A8A1184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256761</xdr:colOff>
      <xdr:row>0</xdr:row>
      <xdr:rowOff>177248</xdr:rowOff>
    </xdr:from>
    <xdr:to>
      <xdr:col>13</xdr:col>
      <xdr:colOff>438979</xdr:colOff>
      <xdr:row>13</xdr:row>
      <xdr:rowOff>107674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FD3F76-E646-433B-9691-28E14C8D75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256761</xdr:colOff>
      <xdr:row>13</xdr:row>
      <xdr:rowOff>173935</xdr:rowOff>
    </xdr:from>
    <xdr:to>
      <xdr:col>13</xdr:col>
      <xdr:colOff>356152</xdr:colOff>
      <xdr:row>28</xdr:row>
      <xdr:rowOff>182217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C82C27-74AA-4030-8875-4247C2FAE9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256761</xdr:colOff>
      <xdr:row>0</xdr:row>
      <xdr:rowOff>177248</xdr:rowOff>
    </xdr:from>
    <xdr:to>
      <xdr:col>13</xdr:col>
      <xdr:colOff>438979</xdr:colOff>
      <xdr:row>13</xdr:row>
      <xdr:rowOff>107674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0F154D-DF3A-4ECC-9FE7-40C6CD5257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256761</xdr:colOff>
      <xdr:row>13</xdr:row>
      <xdr:rowOff>173935</xdr:rowOff>
    </xdr:from>
    <xdr:to>
      <xdr:col>13</xdr:col>
      <xdr:colOff>356152</xdr:colOff>
      <xdr:row>28</xdr:row>
      <xdr:rowOff>182217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114C7C-89DA-4224-8AA9-9AF0D72686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256761</xdr:colOff>
      <xdr:row>0</xdr:row>
      <xdr:rowOff>177248</xdr:rowOff>
    </xdr:from>
    <xdr:to>
      <xdr:col>13</xdr:col>
      <xdr:colOff>438979</xdr:colOff>
      <xdr:row>13</xdr:row>
      <xdr:rowOff>107674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2AB222-E5BE-4054-87C1-21F2D90FAA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256761</xdr:colOff>
      <xdr:row>13</xdr:row>
      <xdr:rowOff>173935</xdr:rowOff>
    </xdr:from>
    <xdr:to>
      <xdr:col>13</xdr:col>
      <xdr:colOff>356152</xdr:colOff>
      <xdr:row>28</xdr:row>
      <xdr:rowOff>182217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59E7A1-52A4-4090-85D8-F58B922B67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zoomScale="130" zoomScaleNormal="130" workbookViewId="0">
      <selection activeCell="I9" sqref="I9"/>
    </sheetView>
  </sheetViews>
  <sheetFormatPr defaultRowHeight="15" x14ac:dyDescent="0.25"/>
  <cols>
    <col min="1" max="1" width="16" customWidth="1"/>
    <col min="2" max="2" width="20.5703125" customWidth="1"/>
    <col min="4" max="4" width="25.85546875" customWidth="1"/>
    <col min="5" max="5" width="24" bestFit="1" customWidth="1"/>
    <col min="6" max="6" width="19.28515625" customWidth="1"/>
    <col min="7" max="7" width="25.140625" customWidth="1"/>
  </cols>
  <sheetData>
    <row r="1" spans="1:8" x14ac:dyDescent="0.25">
      <c r="F1" s="2"/>
      <c r="G1" s="2"/>
      <c r="H1" s="2"/>
    </row>
    <row r="2" spans="1:8" x14ac:dyDescent="0.25">
      <c r="A2" s="9" t="s">
        <v>8</v>
      </c>
      <c r="B2" s="9"/>
      <c r="C2" s="9"/>
      <c r="D2" s="9"/>
      <c r="E2" s="9"/>
      <c r="F2" s="8"/>
      <c r="G2" s="8"/>
      <c r="H2" s="8"/>
    </row>
    <row r="3" spans="1:8" x14ac:dyDescent="0.25">
      <c r="A3" s="2" t="s">
        <v>0</v>
      </c>
      <c r="B3" s="2" t="s">
        <v>1</v>
      </c>
      <c r="C3" s="2" t="s">
        <v>2</v>
      </c>
      <c r="D3" s="2" t="s">
        <v>5</v>
      </c>
      <c r="E3" s="2" t="s">
        <v>10</v>
      </c>
      <c r="F3" s="2" t="s">
        <v>9</v>
      </c>
      <c r="H3" s="2"/>
    </row>
    <row r="4" spans="1:8" x14ac:dyDescent="0.25">
      <c r="A4" s="3">
        <v>44776.621527777781</v>
      </c>
      <c r="B4" s="3">
        <v>44781.600694444445</v>
      </c>
      <c r="C4" s="5">
        <v>2.5559101000000001E-2</v>
      </c>
      <c r="D4" s="6">
        <v>119.5</v>
      </c>
      <c r="E4" s="4">
        <v>2.6187866108786598E-3</v>
      </c>
      <c r="F4" s="2">
        <v>478</v>
      </c>
      <c r="H4" s="2" t="s">
        <v>20</v>
      </c>
    </row>
    <row r="5" spans="1:8" x14ac:dyDescent="0.25">
      <c r="A5" s="3">
        <v>44781.600694444445</v>
      </c>
      <c r="B5" s="3">
        <v>45044.115277777775</v>
      </c>
      <c r="C5" s="5">
        <v>9.5490195999999999E-2</v>
      </c>
      <c r="D5" s="6">
        <v>6300.35</v>
      </c>
      <c r="E5" s="4">
        <v>3.4735868859554202E-2</v>
      </c>
      <c r="F5" s="2">
        <v>9363</v>
      </c>
      <c r="H5" s="2" t="s">
        <v>21</v>
      </c>
    </row>
    <row r="6" spans="1:8" x14ac:dyDescent="0.25">
      <c r="A6" s="3">
        <v>45044.115277777775</v>
      </c>
      <c r="B6" s="3">
        <v>45136.609722222223</v>
      </c>
      <c r="C6" s="5">
        <v>2.5044461000000001E-2</v>
      </c>
      <c r="D6" s="6">
        <v>2219.86666666666</v>
      </c>
      <c r="E6" s="4">
        <v>3.36860795134587E-2</v>
      </c>
      <c r="F6" s="2">
        <v>8879</v>
      </c>
      <c r="H6" s="2" t="s">
        <v>22</v>
      </c>
    </row>
    <row r="7" spans="1:8" x14ac:dyDescent="0.25">
      <c r="A7" s="3">
        <v>45136.609722222223</v>
      </c>
      <c r="B7" s="3">
        <v>45183.938194444447</v>
      </c>
      <c r="C7" s="5">
        <v>2.1145859999999999E-3</v>
      </c>
      <c r="D7" s="6">
        <v>1135.88333333333</v>
      </c>
      <c r="E7" s="4">
        <v>8.0523767605633796E-4</v>
      </c>
      <c r="F7" s="2">
        <v>4544</v>
      </c>
      <c r="H7" s="2" t="s">
        <v>23</v>
      </c>
    </row>
    <row r="8" spans="1:8" x14ac:dyDescent="0.25">
      <c r="A8" s="10"/>
      <c r="B8" s="10"/>
      <c r="C8" s="10"/>
      <c r="D8" s="10"/>
      <c r="E8" s="10"/>
      <c r="F8" s="10"/>
      <c r="G8" s="10"/>
      <c r="H8" s="11"/>
    </row>
    <row r="9" spans="1:8" x14ac:dyDescent="0.25">
      <c r="A9" s="3"/>
      <c r="B9" s="2"/>
      <c r="E9" s="7"/>
      <c r="F9" s="2"/>
      <c r="G9" s="2"/>
      <c r="H9" s="2"/>
    </row>
    <row r="11" spans="1:8" x14ac:dyDescent="0.25">
      <c r="A11" s="9" t="s">
        <v>7</v>
      </c>
      <c r="B11" s="9"/>
      <c r="C11" s="9"/>
      <c r="D11" s="9"/>
      <c r="E11" s="9"/>
      <c r="F11" s="9"/>
      <c r="G11" s="9"/>
      <c r="H11" s="8"/>
    </row>
    <row r="12" spans="1:8" x14ac:dyDescent="0.25">
      <c r="A12" s="2" t="s">
        <v>0</v>
      </c>
      <c r="B12" s="2" t="s">
        <v>1</v>
      </c>
      <c r="C12" t="s">
        <v>2</v>
      </c>
      <c r="D12" s="2" t="s">
        <v>5</v>
      </c>
      <c r="E12" s="2" t="s">
        <v>6</v>
      </c>
      <c r="F12" s="2" t="s">
        <v>3</v>
      </c>
      <c r="G12" s="2" t="s">
        <v>4</v>
      </c>
      <c r="H12" s="2"/>
    </row>
    <row r="13" spans="1:8" x14ac:dyDescent="0.25">
      <c r="A13" s="3">
        <v>44776.621527777781</v>
      </c>
      <c r="B13" s="3">
        <v>44781.600694444445</v>
      </c>
      <c r="C13" s="5">
        <v>2.5559101000000001E-2</v>
      </c>
      <c r="D13" s="6">
        <v>119.5</v>
      </c>
      <c r="E13" s="4">
        <v>2.3870253164556899E-3</v>
      </c>
      <c r="F13" s="2">
        <v>478</v>
      </c>
      <c r="G13" s="2">
        <v>474</v>
      </c>
      <c r="H13" s="2" t="s">
        <v>20</v>
      </c>
    </row>
    <row r="14" spans="1:8" x14ac:dyDescent="0.25">
      <c r="A14" s="3">
        <v>44781.600694444445</v>
      </c>
      <c r="B14" s="3">
        <v>45044.115277777775</v>
      </c>
      <c r="C14" s="5">
        <v>9.5490195999999999E-2</v>
      </c>
      <c r="D14" s="6">
        <v>6300.35</v>
      </c>
      <c r="E14" s="4">
        <v>2.6766358839050101E-2</v>
      </c>
      <c r="F14" s="2">
        <v>9363</v>
      </c>
      <c r="G14" s="2">
        <v>8338</v>
      </c>
      <c r="H14" s="2" t="s">
        <v>21</v>
      </c>
    </row>
    <row r="15" spans="1:8" x14ac:dyDescent="0.25">
      <c r="A15" s="3">
        <v>45044.115277777775</v>
      </c>
      <c r="B15" s="3">
        <v>45136.609722222223</v>
      </c>
      <c r="C15" s="5">
        <v>2.5044461000000001E-2</v>
      </c>
      <c r="D15" s="6">
        <v>2219.86666666666</v>
      </c>
      <c r="E15" s="4">
        <v>4.8949065880039304E-3</v>
      </c>
      <c r="F15" s="2">
        <v>8879</v>
      </c>
      <c r="G15" s="2">
        <v>5085</v>
      </c>
      <c r="H15" s="2" t="s">
        <v>22</v>
      </c>
    </row>
    <row r="16" spans="1:8" x14ac:dyDescent="0.25">
      <c r="A16" s="3">
        <v>45136.609722222223</v>
      </c>
      <c r="B16" s="3">
        <v>45183.938194444447</v>
      </c>
      <c r="C16" s="5">
        <v>2.1145859999999999E-3</v>
      </c>
      <c r="D16" s="6">
        <v>1135.88333333333</v>
      </c>
      <c r="E16" s="4">
        <v>7.3214125056230296E-4</v>
      </c>
      <c r="F16" s="2">
        <v>4544</v>
      </c>
      <c r="G16" s="2">
        <v>4446</v>
      </c>
      <c r="H16" s="2" t="s">
        <v>23</v>
      </c>
    </row>
    <row r="17" spans="1:8" x14ac:dyDescent="0.25">
      <c r="A17" s="10"/>
      <c r="B17" s="10"/>
      <c r="C17" s="10"/>
      <c r="D17" s="10"/>
      <c r="E17" s="10"/>
      <c r="F17" s="10"/>
      <c r="G17" s="10"/>
      <c r="H17" s="10"/>
    </row>
    <row r="19" spans="1:8" x14ac:dyDescent="0.25">
      <c r="A19" s="10"/>
      <c r="B19" s="10"/>
      <c r="C19" s="10"/>
      <c r="D19" s="10"/>
      <c r="E19" s="10"/>
      <c r="F19" s="10"/>
      <c r="G19" s="10"/>
      <c r="H19" s="10"/>
    </row>
    <row r="20" spans="1:8" x14ac:dyDescent="0.25">
      <c r="A20" s="9" t="s">
        <v>11</v>
      </c>
      <c r="B20" s="9"/>
      <c r="C20" s="9"/>
      <c r="D20" s="9"/>
      <c r="E20" s="9"/>
      <c r="F20" s="9"/>
      <c r="G20" s="9"/>
      <c r="H20" s="8"/>
    </row>
    <row r="21" spans="1:8" x14ac:dyDescent="0.25">
      <c r="A21" s="2" t="s">
        <v>0</v>
      </c>
      <c r="B21" s="2" t="s">
        <v>1</v>
      </c>
      <c r="C21" t="s">
        <v>2</v>
      </c>
      <c r="D21" s="2" t="s">
        <v>5</v>
      </c>
      <c r="E21" s="2" t="s">
        <v>12</v>
      </c>
      <c r="F21" s="2" t="s">
        <v>13</v>
      </c>
      <c r="G21" s="2" t="s">
        <v>26</v>
      </c>
      <c r="H21" s="2"/>
    </row>
    <row r="22" spans="1:8" x14ac:dyDescent="0.25">
      <c r="A22" s="3">
        <v>44776.621527777781</v>
      </c>
      <c r="B22" s="3">
        <v>44781.600694444445</v>
      </c>
      <c r="C22" s="5">
        <v>2.5559101000000001E-2</v>
      </c>
      <c r="D22" s="6">
        <v>119.5</v>
      </c>
      <c r="E22" s="6">
        <v>1126.6019999999901</v>
      </c>
      <c r="F22" s="2">
        <v>478</v>
      </c>
      <c r="G22" s="4">
        <f>E4/E22*F22</f>
        <v>1.1111111111111202E-3</v>
      </c>
      <c r="H22" s="2" t="s">
        <v>20</v>
      </c>
    </row>
    <row r="23" spans="1:8" x14ac:dyDescent="0.25">
      <c r="A23" s="3">
        <v>44781.600694444445</v>
      </c>
      <c r="B23" s="3">
        <v>45044.115277777775</v>
      </c>
      <c r="C23" s="5">
        <v>9.5490195999999999E-2</v>
      </c>
      <c r="D23" s="6">
        <v>6300.35</v>
      </c>
      <c r="E23" s="6">
        <v>288926.01</v>
      </c>
      <c r="F23" s="2">
        <v>9363</v>
      </c>
      <c r="G23" s="4">
        <f t="shared" ref="G23:G25" si="0">E5/E23*F23</f>
        <v>1.1256582269350067E-3</v>
      </c>
      <c r="H23" s="2" t="s">
        <v>21</v>
      </c>
    </row>
    <row r="24" spans="1:8" x14ac:dyDescent="0.25">
      <c r="A24" s="3">
        <v>45044.115277777775</v>
      </c>
      <c r="B24" s="3">
        <v>45136.609722222223</v>
      </c>
      <c r="C24" s="5">
        <v>2.5044461000000001E-2</v>
      </c>
      <c r="D24" s="6">
        <v>2219.86666666666</v>
      </c>
      <c r="E24" s="6">
        <v>269188.83</v>
      </c>
      <c r="F24" s="2">
        <v>8879</v>
      </c>
      <c r="G24" s="4">
        <f t="shared" si="0"/>
        <v>1.1111111111111105E-3</v>
      </c>
      <c r="H24" s="2" t="s">
        <v>22</v>
      </c>
    </row>
    <row r="25" spans="1:8" x14ac:dyDescent="0.25">
      <c r="A25" s="3">
        <v>45136.609722222223</v>
      </c>
      <c r="B25" s="3">
        <v>45183.938194444447</v>
      </c>
      <c r="C25" s="5">
        <v>2.1145859999999999E-3</v>
      </c>
      <c r="D25" s="6">
        <v>1135.88333333333</v>
      </c>
      <c r="E25" s="6">
        <v>3293.0999999999899</v>
      </c>
      <c r="F25" s="2">
        <v>4544</v>
      </c>
      <c r="G25" s="4">
        <f t="shared" si="0"/>
        <v>1.1111111111111146E-3</v>
      </c>
      <c r="H25" s="2" t="s">
        <v>23</v>
      </c>
    </row>
    <row r="26" spans="1:8" x14ac:dyDescent="0.25">
      <c r="A26" s="10"/>
      <c r="B26" s="10"/>
      <c r="C26" s="10"/>
      <c r="D26" s="10"/>
      <c r="E26" s="12"/>
      <c r="F26" s="10"/>
      <c r="G26" s="10"/>
      <c r="H26" s="10"/>
    </row>
    <row r="27" spans="1:8" x14ac:dyDescent="0.25">
      <c r="A27" s="2"/>
      <c r="B27" s="2" t="s">
        <v>16</v>
      </c>
      <c r="C27" s="2" t="s">
        <v>17</v>
      </c>
    </row>
    <row r="28" spans="1:8" x14ac:dyDescent="0.25">
      <c r="A28" s="2" t="s">
        <v>15</v>
      </c>
      <c r="B28" s="5">
        <f>0.14*(B33^0.7)+0.0075</f>
        <v>3.4349135189301633E-2</v>
      </c>
      <c r="C28" s="5">
        <f>1.4*(B33^0.7)+0.075</f>
        <v>0.34349135189301633</v>
      </c>
      <c r="D28" s="6"/>
      <c r="E28" s="13"/>
    </row>
    <row r="29" spans="1:8" x14ac:dyDescent="0.25">
      <c r="A29" s="2" t="s">
        <v>14</v>
      </c>
      <c r="B29" s="5">
        <f>MIN(C22:C25)</f>
        <v>2.1145859999999999E-3</v>
      </c>
      <c r="C29" s="5">
        <f>MAX(C22:C25)</f>
        <v>9.5490195999999999E-2</v>
      </c>
      <c r="E29" s="13"/>
    </row>
    <row r="30" spans="1:8" x14ac:dyDescent="0.25">
      <c r="A30" s="2" t="s">
        <v>25</v>
      </c>
      <c r="B30" s="5">
        <f>0.14*(B34^0.7)+0.0075</f>
        <v>1.2433141081696839E-2</v>
      </c>
      <c r="C30" s="2">
        <f>1.4*(B34^0.7)+0.075</f>
        <v>0.12433141081696839</v>
      </c>
    </row>
    <row r="33" spans="1:3" x14ac:dyDescent="0.25">
      <c r="A33" s="2" t="s">
        <v>18</v>
      </c>
      <c r="B33" s="2">
        <v>9.4500000000000001E-2</v>
      </c>
      <c r="C33" s="2" t="s">
        <v>19</v>
      </c>
    </row>
    <row r="34" spans="1:3" x14ac:dyDescent="0.25">
      <c r="A34" s="2" t="s">
        <v>24</v>
      </c>
      <c r="B34" s="2">
        <v>8.3999999999999995E-3</v>
      </c>
      <c r="C34" s="2" t="s">
        <v>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2A4D5-9BDE-4D53-9528-7807C057FDCA}">
  <dimension ref="A1:H34"/>
  <sheetViews>
    <sheetView zoomScale="115" zoomScaleNormal="115" workbookViewId="0">
      <selection activeCell="F16" sqref="F16"/>
    </sheetView>
  </sheetViews>
  <sheetFormatPr defaultRowHeight="15" x14ac:dyDescent="0.25"/>
  <cols>
    <col min="1" max="1" width="16" customWidth="1"/>
    <col min="2" max="2" width="20.5703125" customWidth="1"/>
    <col min="4" max="4" width="25.85546875" customWidth="1"/>
    <col min="5" max="5" width="24" bestFit="1" customWidth="1"/>
    <col min="6" max="6" width="19.28515625" customWidth="1"/>
    <col min="7" max="7" width="25.140625" customWidth="1"/>
  </cols>
  <sheetData>
    <row r="1" spans="1:8" x14ac:dyDescent="0.25">
      <c r="F1" s="2"/>
      <c r="G1" s="2"/>
      <c r="H1" s="2"/>
    </row>
    <row r="2" spans="1:8" x14ac:dyDescent="0.25">
      <c r="A2" s="9" t="s">
        <v>8</v>
      </c>
      <c r="B2" s="9"/>
      <c r="C2" s="9"/>
      <c r="D2" s="9"/>
      <c r="E2" s="9"/>
      <c r="F2" s="8"/>
      <c r="G2" s="8"/>
      <c r="H2" s="8"/>
    </row>
    <row r="3" spans="1:8" x14ac:dyDescent="0.25">
      <c r="A3" s="2" t="s">
        <v>0</v>
      </c>
      <c r="B3" s="2" t="s">
        <v>1</v>
      </c>
      <c r="C3" s="2" t="s">
        <v>2</v>
      </c>
      <c r="D3" s="2" t="s">
        <v>5</v>
      </c>
      <c r="E3" s="2" t="s">
        <v>10</v>
      </c>
      <c r="F3" s="2" t="s">
        <v>9</v>
      </c>
      <c r="H3" s="2"/>
    </row>
    <row r="4" spans="1:8" x14ac:dyDescent="0.25">
      <c r="A4" s="3">
        <v>44776.625694444447</v>
      </c>
      <c r="B4" s="3">
        <v>44781.604861111111</v>
      </c>
      <c r="C4" s="5">
        <v>2.9847195999999999E-2</v>
      </c>
      <c r="D4" s="6">
        <v>119.5</v>
      </c>
      <c r="E4" s="4">
        <v>2.6644979079497901E-3</v>
      </c>
      <c r="F4" s="2">
        <v>478</v>
      </c>
      <c r="H4" s="2" t="s">
        <v>20</v>
      </c>
    </row>
    <row r="5" spans="1:8" x14ac:dyDescent="0.25">
      <c r="A5" s="3">
        <v>44781.604861111111</v>
      </c>
      <c r="B5" s="3">
        <v>45044.125</v>
      </c>
      <c r="C5" s="5">
        <v>9.4362567999999994E-2</v>
      </c>
      <c r="D5" s="6">
        <v>6300.4833333333299</v>
      </c>
      <c r="E5" s="4">
        <v>3.4736974353424897E-2</v>
      </c>
      <c r="F5" s="2">
        <v>9362</v>
      </c>
      <c r="H5" s="2" t="s">
        <v>21</v>
      </c>
    </row>
    <row r="6" spans="1:8" x14ac:dyDescent="0.25">
      <c r="A6" s="3">
        <v>45044.125</v>
      </c>
      <c r="B6" s="3">
        <v>45136.614583333336</v>
      </c>
      <c r="C6" s="5">
        <v>2.8499633999999999E-2</v>
      </c>
      <c r="D6" s="6">
        <v>2219.75</v>
      </c>
      <c r="E6" s="4">
        <v>3.3679240820004501E-2</v>
      </c>
      <c r="F6" s="2">
        <v>8878</v>
      </c>
      <c r="H6" s="2" t="s">
        <v>22</v>
      </c>
    </row>
    <row r="7" spans="1:8" x14ac:dyDescent="0.25">
      <c r="A7" s="3">
        <v>45136.614583333336</v>
      </c>
      <c r="B7" s="3">
        <v>45183.947916666664</v>
      </c>
      <c r="C7" s="5">
        <v>2.9169130000000001E-3</v>
      </c>
      <c r="D7" s="6">
        <v>1136</v>
      </c>
      <c r="E7" s="4">
        <v>8.0405018710103405E-4</v>
      </c>
      <c r="F7" s="2">
        <v>4543</v>
      </c>
      <c r="H7" s="2" t="s">
        <v>23</v>
      </c>
    </row>
    <row r="8" spans="1:8" x14ac:dyDescent="0.25">
      <c r="A8" s="10"/>
      <c r="B8" s="10"/>
      <c r="C8" s="10"/>
      <c r="D8" s="10"/>
      <c r="E8" s="10"/>
      <c r="F8" s="10"/>
      <c r="G8" s="10"/>
      <c r="H8" s="11"/>
    </row>
    <row r="9" spans="1:8" x14ac:dyDescent="0.25">
      <c r="A9" s="3"/>
      <c r="B9" s="2"/>
      <c r="E9" s="7"/>
      <c r="F9" s="2"/>
      <c r="G9" s="2"/>
      <c r="H9" s="2"/>
    </row>
    <row r="11" spans="1:8" x14ac:dyDescent="0.25">
      <c r="A11" s="9" t="s">
        <v>7</v>
      </c>
      <c r="B11" s="9"/>
      <c r="C11" s="9"/>
      <c r="D11" s="9"/>
      <c r="E11" s="9"/>
      <c r="F11" s="9"/>
      <c r="G11" s="9"/>
      <c r="H11" s="8"/>
    </row>
    <row r="12" spans="1:8" x14ac:dyDescent="0.25">
      <c r="A12" s="2" t="s">
        <v>0</v>
      </c>
      <c r="B12" s="2" t="s">
        <v>1</v>
      </c>
      <c r="C12" t="s">
        <v>2</v>
      </c>
      <c r="D12" s="2" t="s">
        <v>5</v>
      </c>
      <c r="E12" s="2" t="s">
        <v>6</v>
      </c>
      <c r="F12" s="2" t="s">
        <v>3</v>
      </c>
      <c r="G12" s="2" t="s">
        <v>4</v>
      </c>
      <c r="H12" s="2"/>
    </row>
    <row r="13" spans="1:8" x14ac:dyDescent="0.25">
      <c r="A13" s="3">
        <v>44776.625694444447</v>
      </c>
      <c r="B13" s="3">
        <v>44781.604861111111</v>
      </c>
      <c r="C13" s="5">
        <v>2.9847195999999999E-2</v>
      </c>
      <c r="D13" s="6">
        <v>119.5</v>
      </c>
      <c r="E13" s="4">
        <v>2.4833473684210501E-3</v>
      </c>
      <c r="F13" s="2">
        <v>478</v>
      </c>
      <c r="G13" s="2">
        <v>475</v>
      </c>
      <c r="H13" s="2" t="s">
        <v>20</v>
      </c>
    </row>
    <row r="14" spans="1:8" x14ac:dyDescent="0.25">
      <c r="A14" s="3">
        <v>44781.604861111111</v>
      </c>
      <c r="B14" s="3">
        <v>45044.125</v>
      </c>
      <c r="C14" s="5">
        <v>9.4362567999999994E-2</v>
      </c>
      <c r="D14" s="6">
        <v>6300.4833333333299</v>
      </c>
      <c r="E14" s="4">
        <v>2.6357666224206499E-2</v>
      </c>
      <c r="F14" s="2">
        <v>9362</v>
      </c>
      <c r="G14" s="2">
        <v>8287</v>
      </c>
      <c r="H14" s="2" t="s">
        <v>21</v>
      </c>
    </row>
    <row r="15" spans="1:8" x14ac:dyDescent="0.25">
      <c r="A15" s="3">
        <v>45044.125</v>
      </c>
      <c r="B15" s="3">
        <v>45136.614583333336</v>
      </c>
      <c r="C15" s="5">
        <v>2.8499633999999999E-2</v>
      </c>
      <c r="D15" s="6">
        <v>2219.75</v>
      </c>
      <c r="E15" s="4">
        <v>5.5669397865853601E-3</v>
      </c>
      <c r="F15" s="2">
        <v>8878</v>
      </c>
      <c r="G15" s="2">
        <v>5248</v>
      </c>
      <c r="H15" s="2" t="s">
        <v>22</v>
      </c>
    </row>
    <row r="16" spans="1:8" x14ac:dyDescent="0.25">
      <c r="A16" s="3">
        <v>45136.614583333336</v>
      </c>
      <c r="B16" s="3">
        <v>45183.947916666664</v>
      </c>
      <c r="C16" s="5">
        <v>2.9169130000000001E-3</v>
      </c>
      <c r="D16" s="6">
        <v>1136</v>
      </c>
      <c r="E16" s="4">
        <v>7.5488454706927101E-4</v>
      </c>
      <c r="F16" s="2">
        <v>4543</v>
      </c>
      <c r="G16" s="2">
        <v>4504</v>
      </c>
      <c r="H16" s="2" t="s">
        <v>23</v>
      </c>
    </row>
    <row r="17" spans="1:8" x14ac:dyDescent="0.25">
      <c r="A17" s="10"/>
      <c r="B17" s="10"/>
      <c r="C17" s="10"/>
      <c r="D17" s="10"/>
      <c r="E17" s="10"/>
      <c r="F17" s="10"/>
      <c r="G17" s="10"/>
      <c r="H17" s="10"/>
    </row>
    <row r="19" spans="1:8" x14ac:dyDescent="0.25">
      <c r="A19" s="10"/>
      <c r="B19" s="10"/>
      <c r="C19" s="10"/>
      <c r="D19" s="10"/>
      <c r="E19" s="10"/>
      <c r="F19" s="10"/>
      <c r="G19" s="10"/>
      <c r="H19" s="10"/>
    </row>
    <row r="20" spans="1:8" x14ac:dyDescent="0.25">
      <c r="A20" s="9" t="s">
        <v>11</v>
      </c>
      <c r="B20" s="9"/>
      <c r="C20" s="9"/>
      <c r="D20" s="9"/>
      <c r="E20" s="9"/>
      <c r="F20" s="9"/>
      <c r="G20" s="9"/>
      <c r="H20" s="8"/>
    </row>
    <row r="21" spans="1:8" x14ac:dyDescent="0.25">
      <c r="A21" s="2" t="s">
        <v>0</v>
      </c>
      <c r="B21" s="2" t="s">
        <v>1</v>
      </c>
      <c r="C21" t="s">
        <v>2</v>
      </c>
      <c r="D21" s="2" t="s">
        <v>5</v>
      </c>
      <c r="E21" s="2" t="s">
        <v>12</v>
      </c>
      <c r="F21" s="2" t="s">
        <v>9</v>
      </c>
      <c r="G21" s="2" t="s">
        <v>26</v>
      </c>
      <c r="H21" s="2"/>
    </row>
    <row r="22" spans="1:8" x14ac:dyDescent="0.25">
      <c r="A22" s="3">
        <v>44776.625694444447</v>
      </c>
      <c r="B22" s="3">
        <v>44781.604861111111</v>
      </c>
      <c r="C22" s="5">
        <v>2.9847195999999999E-2</v>
      </c>
      <c r="D22" s="2">
        <v>119.5</v>
      </c>
      <c r="E22" s="2">
        <v>1146.2670000000001</v>
      </c>
      <c r="F22" s="2">
        <v>478</v>
      </c>
      <c r="G22" s="4">
        <f>E4/E22*F22</f>
        <v>1.1111111111111109E-3</v>
      </c>
      <c r="H22" s="2" t="s">
        <v>20</v>
      </c>
    </row>
    <row r="23" spans="1:8" x14ac:dyDescent="0.25">
      <c r="A23" s="3">
        <v>44781.604861111111</v>
      </c>
      <c r="B23" s="3">
        <v>45044.125</v>
      </c>
      <c r="C23" s="5">
        <v>9.4362567999999994E-2</v>
      </c>
      <c r="D23" s="2">
        <v>6300.4833333333299</v>
      </c>
      <c r="E23" s="2">
        <v>288903.94199999998</v>
      </c>
      <c r="F23" s="2">
        <v>9362</v>
      </c>
      <c r="G23" s="4">
        <f t="shared" ref="G23:G25" si="0">E5/E23*F23</f>
        <v>1.1256598011278223E-3</v>
      </c>
      <c r="H23" s="2" t="s">
        <v>21</v>
      </c>
    </row>
    <row r="24" spans="1:8" x14ac:dyDescent="0.25">
      <c r="A24" s="3">
        <v>45044.125</v>
      </c>
      <c r="B24" s="3">
        <v>45136.614583333336</v>
      </c>
      <c r="C24" s="5">
        <v>2.8499633999999999E-2</v>
      </c>
      <c r="D24" s="2">
        <v>2219.75</v>
      </c>
      <c r="E24" s="2">
        <v>269103.87</v>
      </c>
      <c r="F24" s="2">
        <v>8878</v>
      </c>
      <c r="G24" s="4">
        <f t="shared" si="0"/>
        <v>1.1111111111111111E-3</v>
      </c>
      <c r="H24" s="2" t="s">
        <v>22</v>
      </c>
    </row>
    <row r="25" spans="1:8" x14ac:dyDescent="0.25">
      <c r="A25" s="3">
        <v>45136.614583333336</v>
      </c>
      <c r="B25" s="3">
        <v>45183.947916666664</v>
      </c>
      <c r="C25" s="5">
        <v>2.9169130000000001E-3</v>
      </c>
      <c r="D25" s="2">
        <v>1136</v>
      </c>
      <c r="E25" s="2">
        <v>3287.52</v>
      </c>
      <c r="F25" s="2">
        <v>4543</v>
      </c>
      <c r="G25" s="4">
        <f t="shared" si="0"/>
        <v>1.1111111111111105E-3</v>
      </c>
      <c r="H25" s="2" t="s">
        <v>23</v>
      </c>
    </row>
    <row r="26" spans="1:8" x14ac:dyDescent="0.25">
      <c r="A26" s="10"/>
      <c r="B26" s="10"/>
      <c r="C26" s="10"/>
      <c r="D26" s="10"/>
      <c r="E26" s="12"/>
      <c r="F26" s="10"/>
      <c r="G26" s="10"/>
      <c r="H26" s="10"/>
    </row>
    <row r="27" spans="1:8" x14ac:dyDescent="0.25">
      <c r="A27" s="2"/>
      <c r="B27" s="2" t="s">
        <v>16</v>
      </c>
      <c r="C27" s="2" t="s">
        <v>17</v>
      </c>
    </row>
    <row r="28" spans="1:8" x14ac:dyDescent="0.25">
      <c r="A28" s="2" t="s">
        <v>15</v>
      </c>
      <c r="B28" s="5">
        <f>0.14*(B33^0.7)+0.0075</f>
        <v>3.4349135189301633E-2</v>
      </c>
      <c r="C28" s="5">
        <f>1.4*(B33^0.7)+0.075</f>
        <v>0.34349135189301633</v>
      </c>
      <c r="D28" s="6"/>
      <c r="E28" s="13"/>
    </row>
    <row r="29" spans="1:8" x14ac:dyDescent="0.25">
      <c r="A29" s="2" t="s">
        <v>14</v>
      </c>
      <c r="B29" s="5">
        <f>MIN(C22:C25)</f>
        <v>2.9169130000000001E-3</v>
      </c>
      <c r="C29" s="5">
        <f>MAX(C22:C25)</f>
        <v>9.4362567999999994E-2</v>
      </c>
      <c r="E29" s="13"/>
    </row>
    <row r="30" spans="1:8" x14ac:dyDescent="0.25">
      <c r="A30" s="2" t="s">
        <v>25</v>
      </c>
      <c r="B30" s="5">
        <f>0.14*(B34^0.7)+0.0075</f>
        <v>1.2433141081696839E-2</v>
      </c>
      <c r="C30" s="2">
        <f>1.4*(B34^0.7)+0.075</f>
        <v>0.12433141081696839</v>
      </c>
    </row>
    <row r="33" spans="1:3" x14ac:dyDescent="0.25">
      <c r="A33" s="2" t="s">
        <v>18</v>
      </c>
      <c r="B33" s="2">
        <v>9.4500000000000001E-2</v>
      </c>
      <c r="C33" s="2" t="s">
        <v>19</v>
      </c>
    </row>
    <row r="34" spans="1:3" x14ac:dyDescent="0.25">
      <c r="A34" s="2" t="s">
        <v>24</v>
      </c>
      <c r="B34" s="2">
        <v>8.3999999999999995E-3</v>
      </c>
      <c r="C34" s="2" t="s">
        <v>19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60785-EBAE-4911-B919-4A12E9080B64}">
  <dimension ref="A1:H34"/>
  <sheetViews>
    <sheetView zoomScale="115" zoomScaleNormal="115" workbookViewId="0">
      <selection activeCell="F26" sqref="F26"/>
    </sheetView>
  </sheetViews>
  <sheetFormatPr defaultRowHeight="15" x14ac:dyDescent="0.25"/>
  <cols>
    <col min="1" max="1" width="16" customWidth="1"/>
    <col min="2" max="2" width="20.5703125" customWidth="1"/>
    <col min="4" max="4" width="25.85546875" customWidth="1"/>
    <col min="5" max="5" width="24" bestFit="1" customWidth="1"/>
    <col min="6" max="6" width="19.28515625" customWidth="1"/>
    <col min="7" max="7" width="25.140625" customWidth="1"/>
  </cols>
  <sheetData>
    <row r="1" spans="1:8" x14ac:dyDescent="0.25">
      <c r="F1" s="2"/>
      <c r="G1" s="2"/>
      <c r="H1" s="2"/>
    </row>
    <row r="2" spans="1:8" x14ac:dyDescent="0.25">
      <c r="A2" s="9" t="s">
        <v>8</v>
      </c>
      <c r="B2" s="9"/>
      <c r="C2" s="9"/>
      <c r="D2" s="9"/>
      <c r="E2" s="9"/>
      <c r="F2" s="8"/>
      <c r="G2" s="8"/>
      <c r="H2" s="8"/>
    </row>
    <row r="3" spans="1:8" x14ac:dyDescent="0.25">
      <c r="A3" s="2" t="s">
        <v>0</v>
      </c>
      <c r="B3" s="2" t="s">
        <v>1</v>
      </c>
      <c r="C3" s="2" t="s">
        <v>2</v>
      </c>
      <c r="D3" s="2" t="s">
        <v>5</v>
      </c>
      <c r="E3" s="2" t="s">
        <v>10</v>
      </c>
      <c r="F3" s="2" t="s">
        <v>9</v>
      </c>
      <c r="H3" s="2"/>
    </row>
    <row r="4" spans="1:8" x14ac:dyDescent="0.25">
      <c r="A4" s="3">
        <v>44776.655555555553</v>
      </c>
      <c r="B4" s="3">
        <v>44781.754861111112</v>
      </c>
      <c r="C4">
        <v>2.0720242E-2</v>
      </c>
      <c r="D4" s="6">
        <v>122.383333333333</v>
      </c>
      <c r="E4" s="2">
        <v>3.4428571428571399E-3</v>
      </c>
      <c r="F4" s="2">
        <v>490</v>
      </c>
      <c r="H4" s="2" t="s">
        <v>20</v>
      </c>
    </row>
    <row r="5" spans="1:8" x14ac:dyDescent="0.25">
      <c r="A5" s="3">
        <v>44781.754861111112</v>
      </c>
      <c r="B5" s="3">
        <v>45051.644444444442</v>
      </c>
      <c r="C5">
        <v>0.14419332000000001</v>
      </c>
      <c r="D5" s="6">
        <v>6477.35</v>
      </c>
      <c r="E5" s="2">
        <v>4.1176626796662903E-2</v>
      </c>
      <c r="F5" s="2">
        <v>10070</v>
      </c>
      <c r="H5" s="2" t="s">
        <v>21</v>
      </c>
    </row>
    <row r="6" spans="1:8" x14ac:dyDescent="0.25">
      <c r="A6" s="3">
        <v>45051.644444444442</v>
      </c>
      <c r="B6" s="3">
        <v>45136.775694444441</v>
      </c>
      <c r="C6">
        <v>2.2070355E-2</v>
      </c>
      <c r="D6" s="6">
        <v>2043.15</v>
      </c>
      <c r="E6" s="2">
        <v>2.57096415025082E-2</v>
      </c>
      <c r="F6" s="2">
        <v>8173</v>
      </c>
      <c r="H6" s="2" t="s">
        <v>22</v>
      </c>
    </row>
    <row r="7" spans="1:8" x14ac:dyDescent="0.25">
      <c r="A7" s="3">
        <v>45136.775694444441</v>
      </c>
      <c r="B7" s="3">
        <v>45183.948611111111</v>
      </c>
      <c r="C7">
        <v>2.8322149999999999E-3</v>
      </c>
      <c r="D7" s="6">
        <v>1132.1500000000001</v>
      </c>
      <c r="E7" s="2">
        <v>7.7200264959152102E-4</v>
      </c>
      <c r="F7" s="2">
        <v>4529</v>
      </c>
      <c r="H7" s="2" t="s">
        <v>23</v>
      </c>
    </row>
    <row r="8" spans="1:8" x14ac:dyDescent="0.25">
      <c r="A8" s="10"/>
      <c r="B8" s="10"/>
      <c r="C8" s="10"/>
      <c r="D8" s="10"/>
      <c r="E8" s="10"/>
      <c r="F8" s="10"/>
      <c r="G8" s="10"/>
      <c r="H8" s="11"/>
    </row>
    <row r="9" spans="1:8" x14ac:dyDescent="0.25">
      <c r="A9" s="3"/>
      <c r="B9" s="2"/>
      <c r="E9" s="7"/>
      <c r="F9" s="2"/>
      <c r="G9" s="2"/>
      <c r="H9" s="2"/>
    </row>
    <row r="11" spans="1:8" x14ac:dyDescent="0.25">
      <c r="A11" s="9" t="s">
        <v>7</v>
      </c>
      <c r="B11" s="9"/>
      <c r="C11" s="9"/>
      <c r="D11" s="9"/>
      <c r="E11" s="9"/>
      <c r="F11" s="9"/>
      <c r="G11" s="9"/>
      <c r="H11" s="8"/>
    </row>
    <row r="12" spans="1:8" x14ac:dyDescent="0.25">
      <c r="A12" s="2" t="s">
        <v>0</v>
      </c>
      <c r="B12" s="2" t="s">
        <v>1</v>
      </c>
      <c r="C12" t="s">
        <v>2</v>
      </c>
      <c r="D12" s="2" t="s">
        <v>5</v>
      </c>
      <c r="E12" s="2" t="s">
        <v>6</v>
      </c>
      <c r="F12" s="2" t="s">
        <v>3</v>
      </c>
      <c r="G12" s="2" t="s">
        <v>4</v>
      </c>
      <c r="H12" s="2"/>
    </row>
    <row r="13" spans="1:8" x14ac:dyDescent="0.25">
      <c r="A13" s="3">
        <v>44776.655555555553</v>
      </c>
      <c r="B13" s="3">
        <v>44781.754861111112</v>
      </c>
      <c r="C13" s="2">
        <v>2.0720242E-2</v>
      </c>
      <c r="D13" s="6">
        <v>122.383333333333</v>
      </c>
      <c r="E13" s="2">
        <v>2.20044776119403E-3</v>
      </c>
      <c r="F13" s="2">
        <v>490</v>
      </c>
      <c r="G13" s="2">
        <v>475</v>
      </c>
      <c r="H13" s="2" t="s">
        <v>20</v>
      </c>
    </row>
    <row r="14" spans="1:8" x14ac:dyDescent="0.25">
      <c r="A14" s="3">
        <v>44781.754861111112</v>
      </c>
      <c r="B14" s="3">
        <v>45051.644444444442</v>
      </c>
      <c r="C14" s="2">
        <v>0.14419332000000001</v>
      </c>
      <c r="D14" s="6">
        <v>6477.35</v>
      </c>
      <c r="E14" s="2">
        <v>3.8921918902314098E-2</v>
      </c>
      <c r="F14" s="2">
        <v>10070</v>
      </c>
      <c r="G14" s="2">
        <v>8287</v>
      </c>
      <c r="H14" s="2" t="s">
        <v>21</v>
      </c>
    </row>
    <row r="15" spans="1:8" x14ac:dyDescent="0.25">
      <c r="A15" s="3">
        <v>45051.644444444442</v>
      </c>
      <c r="B15" s="3">
        <v>45136.775694444441</v>
      </c>
      <c r="C15" s="2">
        <v>2.2070355E-2</v>
      </c>
      <c r="D15" s="6">
        <v>2043.15</v>
      </c>
      <c r="E15" s="2">
        <v>4.3622276029055603E-3</v>
      </c>
      <c r="F15" s="2">
        <v>8173</v>
      </c>
      <c r="G15" s="2">
        <v>5248</v>
      </c>
      <c r="H15" s="2" t="s">
        <v>22</v>
      </c>
    </row>
    <row r="16" spans="1:8" x14ac:dyDescent="0.25">
      <c r="A16" s="3">
        <v>45136.775694444441</v>
      </c>
      <c r="B16" s="3">
        <v>45183.948611111111</v>
      </c>
      <c r="C16" s="2">
        <v>2.8322149999999999E-3</v>
      </c>
      <c r="D16" s="6">
        <v>1132.1500000000001</v>
      </c>
      <c r="E16" s="2">
        <v>7.5202312138728303E-4</v>
      </c>
      <c r="F16" s="2">
        <v>4529</v>
      </c>
      <c r="G16" s="2">
        <v>4504</v>
      </c>
      <c r="H16" s="2" t="s">
        <v>23</v>
      </c>
    </row>
    <row r="17" spans="1:8" x14ac:dyDescent="0.25">
      <c r="A17" s="10"/>
      <c r="B17" s="10"/>
      <c r="C17" s="10"/>
      <c r="D17" s="10"/>
      <c r="E17" s="10"/>
      <c r="F17" s="10"/>
      <c r="G17" s="10"/>
      <c r="H17" s="10"/>
    </row>
    <row r="19" spans="1:8" x14ac:dyDescent="0.25">
      <c r="A19" s="10"/>
      <c r="B19" s="10"/>
      <c r="C19" s="10"/>
      <c r="D19" s="10"/>
      <c r="E19" s="10"/>
      <c r="F19" s="10"/>
      <c r="G19" s="10"/>
      <c r="H19" s="10"/>
    </row>
    <row r="20" spans="1:8" x14ac:dyDescent="0.25">
      <c r="A20" s="9" t="s">
        <v>11</v>
      </c>
      <c r="B20" s="9"/>
      <c r="C20" s="9"/>
      <c r="D20" s="9"/>
      <c r="E20" s="9"/>
      <c r="F20" s="9"/>
      <c r="G20" s="9"/>
      <c r="H20" s="8"/>
    </row>
    <row r="21" spans="1:8" x14ac:dyDescent="0.25">
      <c r="A21" s="2" t="s">
        <v>0</v>
      </c>
      <c r="B21" s="2" t="s">
        <v>1</v>
      </c>
      <c r="C21" t="s">
        <v>2</v>
      </c>
      <c r="D21" s="2" t="s">
        <v>5</v>
      </c>
      <c r="E21" s="2" t="s">
        <v>12</v>
      </c>
      <c r="F21" s="2" t="s">
        <v>9</v>
      </c>
      <c r="G21" s="2" t="s">
        <v>26</v>
      </c>
      <c r="H21" s="2"/>
    </row>
    <row r="22" spans="1:8" x14ac:dyDescent="0.25">
      <c r="A22" s="3">
        <v>44776.655555555553</v>
      </c>
      <c r="B22" s="3">
        <v>44781.754861111112</v>
      </c>
      <c r="C22">
        <v>2.0720242E-2</v>
      </c>
      <c r="D22" s="6">
        <v>122.383333333333</v>
      </c>
      <c r="E22" s="6">
        <v>1518.3</v>
      </c>
      <c r="F22" s="2">
        <v>490</v>
      </c>
      <c r="G22" s="5">
        <f>E4/E22*F22</f>
        <v>1.1111111111111102E-3</v>
      </c>
      <c r="H22" s="2" t="s">
        <v>20</v>
      </c>
    </row>
    <row r="23" spans="1:8" x14ac:dyDescent="0.25">
      <c r="A23" s="3">
        <v>44781.754861111112</v>
      </c>
      <c r="B23" s="3">
        <v>45051.644444444442</v>
      </c>
      <c r="C23">
        <v>0.14419332000000001</v>
      </c>
      <c r="D23" s="6">
        <v>6477.35</v>
      </c>
      <c r="E23" s="6">
        <v>368699.63400000002</v>
      </c>
      <c r="F23" s="2">
        <v>10070</v>
      </c>
      <c r="G23" s="5">
        <f t="shared" ref="G23:G25" si="0">E5/E23*F23</f>
        <v>1.124624473704781E-3</v>
      </c>
      <c r="H23" s="2" t="s">
        <v>21</v>
      </c>
    </row>
    <row r="24" spans="1:8" x14ac:dyDescent="0.25">
      <c r="A24" s="3">
        <v>45051.644444444442</v>
      </c>
      <c r="B24" s="3">
        <v>45136.775694444441</v>
      </c>
      <c r="C24">
        <v>2.2070355E-2</v>
      </c>
      <c r="D24" s="6">
        <v>2043.15</v>
      </c>
      <c r="E24" s="6">
        <v>189112.41</v>
      </c>
      <c r="F24" s="2">
        <v>8173</v>
      </c>
      <c r="G24" s="5">
        <f t="shared" si="0"/>
        <v>1.1111111111111087E-3</v>
      </c>
      <c r="H24" s="2" t="s">
        <v>22</v>
      </c>
    </row>
    <row r="25" spans="1:8" x14ac:dyDescent="0.25">
      <c r="A25" s="3">
        <v>45136.775694444441</v>
      </c>
      <c r="B25" s="3">
        <v>45183.948611111111</v>
      </c>
      <c r="C25">
        <v>2.8322149999999999E-3</v>
      </c>
      <c r="D25" s="6">
        <v>1132.1500000000001</v>
      </c>
      <c r="E25" s="6">
        <v>3146.76</v>
      </c>
      <c r="F25" s="2">
        <v>4529</v>
      </c>
      <c r="G25" s="5">
        <f t="shared" si="0"/>
        <v>1.1111111111111107E-3</v>
      </c>
      <c r="H25" s="2" t="s">
        <v>23</v>
      </c>
    </row>
    <row r="26" spans="1:8" x14ac:dyDescent="0.25">
      <c r="A26" s="10"/>
      <c r="B26" s="10"/>
      <c r="C26" s="10"/>
      <c r="D26" s="10"/>
      <c r="E26" s="12"/>
      <c r="F26" s="10"/>
      <c r="G26" s="10"/>
      <c r="H26" s="10"/>
    </row>
    <row r="27" spans="1:8" x14ac:dyDescent="0.25">
      <c r="A27" s="2"/>
      <c r="B27" s="2" t="s">
        <v>16</v>
      </c>
      <c r="C27" s="2" t="s">
        <v>17</v>
      </c>
    </row>
    <row r="28" spans="1:8" x14ac:dyDescent="0.25">
      <c r="A28" s="2" t="s">
        <v>15</v>
      </c>
      <c r="B28" s="5">
        <f>0.14*(B33^0.7)+0.0075</f>
        <v>3.4349135189301633E-2</v>
      </c>
      <c r="C28" s="5">
        <f>1.4*(B33^0.7)+0.075</f>
        <v>0.34349135189301633</v>
      </c>
      <c r="D28" s="6"/>
      <c r="E28" s="13"/>
    </row>
    <row r="29" spans="1:8" x14ac:dyDescent="0.25">
      <c r="A29" s="2" t="s">
        <v>14</v>
      </c>
      <c r="B29" s="5">
        <f>MIN(C22:C25)</f>
        <v>2.8322149999999999E-3</v>
      </c>
      <c r="C29" s="5">
        <f>MAX(C22:C25)</f>
        <v>0.14419332000000001</v>
      </c>
      <c r="E29" s="13"/>
    </row>
    <row r="30" spans="1:8" x14ac:dyDescent="0.25">
      <c r="A30" s="2" t="s">
        <v>25</v>
      </c>
      <c r="B30" s="5">
        <f>0.14*(B34^0.7)+0.0075</f>
        <v>1.2433141081696839E-2</v>
      </c>
      <c r="C30" s="2">
        <f>1.4*(B34^0.7)+0.075</f>
        <v>0.12433141081696839</v>
      </c>
    </row>
    <row r="33" spans="1:3" x14ac:dyDescent="0.25">
      <c r="A33" s="2" t="s">
        <v>18</v>
      </c>
      <c r="B33" s="2">
        <v>9.4500000000000001E-2</v>
      </c>
      <c r="C33" s="2" t="s">
        <v>19</v>
      </c>
    </row>
    <row r="34" spans="1:3" x14ac:dyDescent="0.25">
      <c r="A34" s="2" t="s">
        <v>24</v>
      </c>
      <c r="B34" s="2">
        <v>8.3999999999999995E-3</v>
      </c>
      <c r="C34" s="2" t="s">
        <v>19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A12B-EF3C-4AF1-9FEA-FF0501E7AF50}">
  <dimension ref="A1:H34"/>
  <sheetViews>
    <sheetView zoomScale="115" zoomScaleNormal="115" workbookViewId="0">
      <selection activeCell="D28" sqref="D28"/>
    </sheetView>
  </sheetViews>
  <sheetFormatPr defaultRowHeight="15" x14ac:dyDescent="0.25"/>
  <cols>
    <col min="1" max="1" width="16" customWidth="1"/>
    <col min="2" max="2" width="20.5703125" customWidth="1"/>
    <col min="4" max="4" width="25.85546875" customWidth="1"/>
    <col min="5" max="5" width="24" bestFit="1" customWidth="1"/>
    <col min="6" max="6" width="19.28515625" customWidth="1"/>
    <col min="7" max="7" width="25.140625" customWidth="1"/>
  </cols>
  <sheetData>
    <row r="1" spans="1:8" x14ac:dyDescent="0.25">
      <c r="F1" s="2"/>
      <c r="G1" s="2"/>
      <c r="H1" s="2"/>
    </row>
    <row r="2" spans="1:8" x14ac:dyDescent="0.25">
      <c r="A2" s="9" t="s">
        <v>8</v>
      </c>
      <c r="B2" s="9"/>
      <c r="C2" s="9"/>
      <c r="D2" s="9"/>
      <c r="E2" s="9"/>
      <c r="F2" s="8"/>
      <c r="G2" s="8"/>
      <c r="H2" s="8"/>
    </row>
    <row r="3" spans="1:8" x14ac:dyDescent="0.25">
      <c r="A3" s="2" t="s">
        <v>0</v>
      </c>
      <c r="B3" s="2" t="s">
        <v>1</v>
      </c>
      <c r="C3" s="2" t="s">
        <v>2</v>
      </c>
      <c r="D3" s="2" t="s">
        <v>5</v>
      </c>
      <c r="E3" s="2" t="s">
        <v>10</v>
      </c>
      <c r="F3" s="2" t="s">
        <v>9</v>
      </c>
      <c r="H3" s="2"/>
    </row>
    <row r="4" spans="1:8" x14ac:dyDescent="0.25">
      <c r="A4" s="1">
        <v>44776.656944444447</v>
      </c>
      <c r="B4" s="1">
        <v>44781.761111111111</v>
      </c>
      <c r="C4" s="5">
        <v>1.9492240000000001E-2</v>
      </c>
      <c r="D4" s="6">
        <v>122.5</v>
      </c>
      <c r="E4" s="5">
        <v>3.4420816326530602E-3</v>
      </c>
      <c r="F4" s="2">
        <v>490</v>
      </c>
      <c r="H4" s="2" t="s">
        <v>20</v>
      </c>
    </row>
    <row r="5" spans="1:8" x14ac:dyDescent="0.25">
      <c r="A5" s="1">
        <v>44781.761111111111</v>
      </c>
      <c r="B5" s="1">
        <v>45051.645833333336</v>
      </c>
      <c r="C5" s="5">
        <v>0.14406276700000001</v>
      </c>
      <c r="D5" s="6">
        <v>6477.2333333333299</v>
      </c>
      <c r="E5" s="5">
        <v>4.1178349416968199E-2</v>
      </c>
      <c r="F5" s="2">
        <v>10069</v>
      </c>
      <c r="H5" s="2" t="s">
        <v>21</v>
      </c>
    </row>
    <row r="6" spans="1:8" x14ac:dyDescent="0.25">
      <c r="A6" s="1">
        <v>45051.645833333336</v>
      </c>
      <c r="B6" s="1">
        <v>45136.78125</v>
      </c>
      <c r="C6" s="5">
        <v>1.4906922E-2</v>
      </c>
      <c r="D6" s="6">
        <v>2043.25</v>
      </c>
      <c r="E6" s="5">
        <v>2.5695154185021999E-2</v>
      </c>
      <c r="F6" s="2">
        <v>8172</v>
      </c>
      <c r="H6" s="2" t="s">
        <v>22</v>
      </c>
    </row>
    <row r="7" spans="1:8" x14ac:dyDescent="0.25">
      <c r="A7" s="1">
        <v>45136.78125</v>
      </c>
      <c r="B7" s="1">
        <v>45183.958333333336</v>
      </c>
      <c r="C7" s="5">
        <v>1.952287E-3</v>
      </c>
      <c r="D7" s="6">
        <v>1132.25</v>
      </c>
      <c r="E7" s="5">
        <v>7.7153268551236704E-4</v>
      </c>
      <c r="F7" s="2">
        <v>4528</v>
      </c>
      <c r="H7" s="2" t="s">
        <v>23</v>
      </c>
    </row>
    <row r="8" spans="1:8" x14ac:dyDescent="0.25">
      <c r="A8" s="10"/>
      <c r="B8" s="10"/>
      <c r="C8" s="10"/>
      <c r="D8" s="10"/>
      <c r="E8" s="10"/>
      <c r="F8" s="10"/>
      <c r="G8" s="10"/>
      <c r="H8" s="11"/>
    </row>
    <row r="9" spans="1:8" x14ac:dyDescent="0.25">
      <c r="A9" s="3"/>
      <c r="B9" s="2"/>
      <c r="E9" s="7"/>
      <c r="F9" s="2"/>
      <c r="G9" s="2"/>
      <c r="H9" s="2"/>
    </row>
    <row r="11" spans="1:8" x14ac:dyDescent="0.25">
      <c r="A11" s="9" t="s">
        <v>7</v>
      </c>
      <c r="B11" s="9"/>
      <c r="C11" s="9"/>
      <c r="D11" s="9"/>
      <c r="E11" s="9"/>
      <c r="F11" s="9"/>
      <c r="G11" s="9"/>
      <c r="H11" s="8"/>
    </row>
    <row r="12" spans="1:8" x14ac:dyDescent="0.25">
      <c r="A12" s="2" t="s">
        <v>0</v>
      </c>
      <c r="B12" s="2" t="s">
        <v>1</v>
      </c>
      <c r="C12" t="s">
        <v>2</v>
      </c>
      <c r="D12" s="2" t="s">
        <v>5</v>
      </c>
      <c r="E12" s="2" t="s">
        <v>6</v>
      </c>
      <c r="F12" s="2" t="s">
        <v>3</v>
      </c>
      <c r="G12" s="2" t="s">
        <v>4</v>
      </c>
      <c r="H12" s="2"/>
    </row>
    <row r="13" spans="1:8" x14ac:dyDescent="0.25">
      <c r="A13" s="3">
        <v>44776.656944444447</v>
      </c>
      <c r="B13" s="3">
        <v>44781.761111111111</v>
      </c>
      <c r="C13" s="5">
        <v>1.9492240000000001E-2</v>
      </c>
      <c r="D13" s="2">
        <v>122.5</v>
      </c>
      <c r="E13" s="5">
        <v>2.20044776119403E-3</v>
      </c>
      <c r="F13" s="2">
        <v>490</v>
      </c>
      <c r="G13" s="2">
        <v>469</v>
      </c>
      <c r="H13" s="2" t="s">
        <v>20</v>
      </c>
    </row>
    <row r="14" spans="1:8" x14ac:dyDescent="0.25">
      <c r="A14" s="3">
        <v>44781.761111111111</v>
      </c>
      <c r="B14" s="3">
        <v>45051.645833333336</v>
      </c>
      <c r="C14" s="5">
        <v>0.14406276700000001</v>
      </c>
      <c r="D14" s="2">
        <v>6477.2333333333299</v>
      </c>
      <c r="E14" s="5">
        <v>3.88911206719934E-2</v>
      </c>
      <c r="F14" s="2">
        <v>10069</v>
      </c>
      <c r="G14" s="2">
        <v>9762</v>
      </c>
      <c r="H14" s="2" t="s">
        <v>21</v>
      </c>
    </row>
    <row r="15" spans="1:8" x14ac:dyDescent="0.25">
      <c r="A15" s="3">
        <v>45051.645833333336</v>
      </c>
      <c r="B15" s="3">
        <v>45136.78125</v>
      </c>
      <c r="C15" s="5">
        <v>1.4906922E-2</v>
      </c>
      <c r="D15" s="2">
        <v>2043.25</v>
      </c>
      <c r="E15" s="5">
        <v>3.28278706316474E-3</v>
      </c>
      <c r="F15" s="2">
        <v>8172</v>
      </c>
      <c r="G15" s="2">
        <v>4607</v>
      </c>
      <c r="H15" s="2" t="s">
        <v>22</v>
      </c>
    </row>
    <row r="16" spans="1:8" x14ac:dyDescent="0.25">
      <c r="A16" s="3">
        <v>45136.78125</v>
      </c>
      <c r="B16" s="3">
        <v>45183.958333333336</v>
      </c>
      <c r="C16" s="5">
        <v>1.952287E-3</v>
      </c>
      <c r="D16" s="2">
        <v>1132.25</v>
      </c>
      <c r="E16" s="5">
        <v>7.1870029538741197E-4</v>
      </c>
      <c r="F16" s="2">
        <v>4528</v>
      </c>
      <c r="G16" s="2">
        <v>4401</v>
      </c>
      <c r="H16" s="2" t="s">
        <v>23</v>
      </c>
    </row>
    <row r="17" spans="1:8" x14ac:dyDescent="0.25">
      <c r="A17" s="10"/>
      <c r="B17" s="10"/>
      <c r="C17" s="10"/>
      <c r="D17" s="10"/>
      <c r="E17" s="10"/>
      <c r="F17" s="10"/>
      <c r="G17" s="10"/>
      <c r="H17" s="10"/>
    </row>
    <row r="19" spans="1:8" x14ac:dyDescent="0.25">
      <c r="A19" s="10"/>
      <c r="B19" s="10"/>
      <c r="C19" s="10"/>
      <c r="D19" s="10"/>
      <c r="E19" s="10"/>
      <c r="F19" s="10"/>
      <c r="G19" s="10"/>
      <c r="H19" s="10"/>
    </row>
    <row r="20" spans="1:8" x14ac:dyDescent="0.25">
      <c r="A20" s="9" t="s">
        <v>11</v>
      </c>
      <c r="B20" s="9"/>
      <c r="C20" s="9"/>
      <c r="D20" s="9"/>
      <c r="E20" s="9"/>
      <c r="F20" s="9"/>
      <c r="G20" s="9"/>
      <c r="H20" s="8"/>
    </row>
    <row r="21" spans="1:8" x14ac:dyDescent="0.25">
      <c r="A21" s="2" t="s">
        <v>0</v>
      </c>
      <c r="B21" s="2" t="s">
        <v>1</v>
      </c>
      <c r="C21" t="s">
        <v>2</v>
      </c>
      <c r="D21" s="2" t="s">
        <v>5</v>
      </c>
      <c r="E21" s="2" t="s">
        <v>12</v>
      </c>
      <c r="F21" s="2" t="s">
        <v>9</v>
      </c>
      <c r="G21" s="2" t="s">
        <v>26</v>
      </c>
      <c r="H21" s="2"/>
    </row>
    <row r="22" spans="1:8" x14ac:dyDescent="0.25">
      <c r="A22" s="3">
        <v>44776.656944444447</v>
      </c>
      <c r="B22" s="3">
        <v>44781.761111111111</v>
      </c>
      <c r="C22" s="5">
        <v>1.9492240000000001E-2</v>
      </c>
      <c r="D22" s="6">
        <v>122.5</v>
      </c>
      <c r="E22" s="6">
        <v>1517.9580000000001</v>
      </c>
      <c r="F22" s="2">
        <v>490</v>
      </c>
      <c r="G22" s="5">
        <f>E4/E22*F22</f>
        <v>1.1111111111111107E-3</v>
      </c>
      <c r="H22" s="2" t="s">
        <v>20</v>
      </c>
    </row>
    <row r="23" spans="1:8" x14ac:dyDescent="0.25">
      <c r="A23" s="3">
        <v>44781.761111111111</v>
      </c>
      <c r="B23" s="3">
        <v>45051.645833333336</v>
      </c>
      <c r="C23" s="5">
        <v>0.14406276700000001</v>
      </c>
      <c r="D23" s="6">
        <v>6477.2333333333299</v>
      </c>
      <c r="E23" s="6">
        <v>368677.99799999897</v>
      </c>
      <c r="F23" s="2">
        <v>10069</v>
      </c>
      <c r="G23" s="5">
        <f t="shared" ref="G23:G25" si="0">E5/E23*F23</f>
        <v>1.1246258321047245E-3</v>
      </c>
      <c r="H23" s="2" t="s">
        <v>21</v>
      </c>
    </row>
    <row r="24" spans="1:8" x14ac:dyDescent="0.25">
      <c r="A24" s="3">
        <v>45051.645833333336</v>
      </c>
      <c r="B24" s="3">
        <v>45136.78125</v>
      </c>
      <c r="C24" s="5">
        <v>1.4906922E-2</v>
      </c>
      <c r="D24" s="6">
        <v>2043.25</v>
      </c>
      <c r="E24" s="6">
        <v>188982.72</v>
      </c>
      <c r="F24" s="2">
        <v>8172</v>
      </c>
      <c r="G24" s="5">
        <f t="shared" si="0"/>
        <v>1.1111111111111098E-3</v>
      </c>
      <c r="H24" s="2" t="s">
        <v>22</v>
      </c>
    </row>
    <row r="25" spans="1:8" x14ac:dyDescent="0.25">
      <c r="A25" s="3">
        <v>45136.78125</v>
      </c>
      <c r="B25" s="3">
        <v>45183.958333333336</v>
      </c>
      <c r="C25" s="5">
        <v>1.952287E-3</v>
      </c>
      <c r="D25" s="6">
        <v>1132.25</v>
      </c>
      <c r="E25" s="6">
        <v>3144.1499999999901</v>
      </c>
      <c r="F25" s="2">
        <v>4528</v>
      </c>
      <c r="G25" s="5">
        <f t="shared" si="0"/>
        <v>1.1111111111111139E-3</v>
      </c>
      <c r="H25" s="2" t="s">
        <v>23</v>
      </c>
    </row>
    <row r="26" spans="1:8" x14ac:dyDescent="0.25">
      <c r="A26" s="10"/>
      <c r="B26" s="10"/>
      <c r="C26" s="10"/>
      <c r="D26" s="10"/>
      <c r="E26" s="12"/>
      <c r="F26" s="10"/>
      <c r="G26" s="10"/>
      <c r="H26" s="10"/>
    </row>
    <row r="27" spans="1:8" x14ac:dyDescent="0.25">
      <c r="A27" s="2"/>
      <c r="B27" s="2" t="s">
        <v>16</v>
      </c>
      <c r="C27" s="2" t="s">
        <v>17</v>
      </c>
    </row>
    <row r="28" spans="1:8" x14ac:dyDescent="0.25">
      <c r="A28" s="2" t="s">
        <v>15</v>
      </c>
      <c r="B28" s="5">
        <f>0.14*(B33^0.7)+0.0075</f>
        <v>3.4349135189301633E-2</v>
      </c>
      <c r="C28" s="5">
        <f>1.4*(B33^0.7)+0.075</f>
        <v>0.34349135189301633</v>
      </c>
      <c r="D28" s="6"/>
      <c r="E28" s="13"/>
    </row>
    <row r="29" spans="1:8" x14ac:dyDescent="0.25">
      <c r="A29" s="2" t="s">
        <v>14</v>
      </c>
      <c r="B29" s="5">
        <f>MIN(C22:C25)</f>
        <v>1.952287E-3</v>
      </c>
      <c r="C29" s="5">
        <f>MAX(C22:C25)</f>
        <v>0.14406276700000001</v>
      </c>
      <c r="E29" s="13"/>
    </row>
    <row r="30" spans="1:8" x14ac:dyDescent="0.25">
      <c r="A30" s="2" t="s">
        <v>25</v>
      </c>
      <c r="B30" s="5">
        <f>0.14*(B34^0.7)+0.0075</f>
        <v>1.2433141081696839E-2</v>
      </c>
      <c r="C30" s="2">
        <f>1.4*(B34^0.7)+0.075</f>
        <v>0.12433141081696839</v>
      </c>
    </row>
    <row r="33" spans="1:3" x14ac:dyDescent="0.25">
      <c r="A33" s="2" t="s">
        <v>18</v>
      </c>
      <c r="B33" s="2">
        <v>9.4500000000000001E-2</v>
      </c>
      <c r="C33" s="2" t="s">
        <v>19</v>
      </c>
    </row>
    <row r="34" spans="1:3" x14ac:dyDescent="0.25">
      <c r="A34" s="2" t="s">
        <v>24</v>
      </c>
      <c r="B34" s="2">
        <v>8.3999999999999995E-3</v>
      </c>
      <c r="C34" s="2" t="s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Interpolated Rising</vt:lpstr>
      <vt:lpstr>2. Exceedance D50</vt:lpstr>
      <vt:lpstr>3. Interpolated Falling</vt:lpstr>
      <vt:lpstr>4. Shortfall D50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Hucke</dc:creator>
  <cp:lastModifiedBy>Hucke Nunez, Nicole (huck4481@vandals.uidaho.edu)</cp:lastModifiedBy>
  <dcterms:created xsi:type="dcterms:W3CDTF">2015-06-05T18:17:20Z</dcterms:created>
  <dcterms:modified xsi:type="dcterms:W3CDTF">2026-02-20T00:11:34Z</dcterms:modified>
</cp:coreProperties>
</file>