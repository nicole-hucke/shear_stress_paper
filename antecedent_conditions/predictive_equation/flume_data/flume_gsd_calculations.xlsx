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wnloads\"/>
    </mc:Choice>
  </mc:AlternateContent>
  <xr:revisionPtr revIDLastSave="0" documentId="8_{0364EC33-50C9-4500-B348-99FF4E9A418F}" xr6:coauthVersionLast="47" xr6:coauthVersionMax="47" xr10:uidLastSave="{00000000-0000-0000-0000-000000000000}"/>
  <bookViews>
    <workbookView xWindow="-120" yWindow="-120" windowWidth="29040" windowHeight="15720" xr2:uid="{C52AAA2B-5456-47A3-BB89-53ACEE1D2EFA}"/>
  </bookViews>
  <sheets>
    <sheet name="seg_0_0_gsd" sheetId="1" r:id="rId1"/>
  </sheets>
  <calcPr calcId="0"/>
</workbook>
</file>

<file path=xl/calcChain.xml><?xml version="1.0" encoding="utf-8"?>
<calcChain xmlns="http://schemas.openxmlformats.org/spreadsheetml/2006/main">
  <c r="G26" i="1" l="1"/>
  <c r="F26" i="1"/>
  <c r="G25" i="1" s="1"/>
  <c r="G24" i="1"/>
  <c r="F24" i="1"/>
  <c r="G19" i="1"/>
  <c r="F19" i="1"/>
  <c r="G17" i="1"/>
  <c r="F17" i="1"/>
  <c r="G12" i="1"/>
  <c r="F12" i="1"/>
  <c r="G10" i="1"/>
  <c r="F10" i="1"/>
  <c r="B15" i="1"/>
  <c r="B16" i="1"/>
  <c r="B17" i="1"/>
  <c r="B18" i="1"/>
  <c r="B19" i="1"/>
  <c r="B20" i="1"/>
  <c r="B21" i="1"/>
  <c r="B22" i="1"/>
  <c r="B14" i="1"/>
  <c r="A15" i="1"/>
  <c r="A16" i="1"/>
  <c r="A17" i="1"/>
  <c r="A18" i="1"/>
  <c r="A19" i="1"/>
  <c r="A20" i="1"/>
  <c r="A21" i="1"/>
  <c r="A22" i="1"/>
  <c r="A14" i="1"/>
  <c r="G18" i="1" l="1"/>
  <c r="G11" i="1"/>
</calcChain>
</file>

<file path=xl/sharedStrings.xml><?xml version="1.0" encoding="utf-8"?>
<sst xmlns="http://schemas.openxmlformats.org/spreadsheetml/2006/main" count="15" uniqueCount="11">
  <si>
    <t>grain_size_m</t>
  </si>
  <si>
    <t>cumulative_fraction</t>
  </si>
  <si>
    <t>fi_proportions</t>
  </si>
  <si>
    <t>d50_m</t>
  </si>
  <si>
    <t>size</t>
  </si>
  <si>
    <t>% finer</t>
  </si>
  <si>
    <t>Bed D50</t>
  </si>
  <si>
    <t>%</t>
  </si>
  <si>
    <t>Size</t>
  </si>
  <si>
    <t>Bed D84</t>
  </si>
  <si>
    <t>Bed 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</si>
</sst>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53F7-EB21-4F3F-97F9-80E51A2060F1}">
  <dimension ref="A1:G26"/>
  <sheetViews>
    <sheetView tabSelected="1" workbookViewId="0">
      <selection activeCell="S11" sqref="S11"/>
    </sheetView>
  </sheetViews>
  <sheetFormatPr defaultRowHeight="15" x14ac:dyDescent="0.25"/>
  <cols>
    <col min="1" max="1" width="21.140625" customWidth="1"/>
    <col min="2" max="2" width="20.140625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3.1399999999999997E-2</v>
      </c>
      <c r="B2">
        <v>1</v>
      </c>
      <c r="C2">
        <v>0</v>
      </c>
      <c r="F2" t="s">
        <v>3</v>
      </c>
    </row>
    <row r="3" spans="1:7" x14ac:dyDescent="0.25">
      <c r="A3">
        <v>2.24E-2</v>
      </c>
      <c r="B3">
        <v>0.89074269877963197</v>
      </c>
      <c r="C3">
        <v>0.109257301220367</v>
      </c>
      <c r="F3">
        <v>1.67E-2</v>
      </c>
    </row>
    <row r="4" spans="1:7" x14ac:dyDescent="0.25">
      <c r="A4">
        <v>1.6E-2</v>
      </c>
      <c r="B4">
        <v>0.60187256899602104</v>
      </c>
      <c r="C4">
        <v>0.28887012978361098</v>
      </c>
    </row>
    <row r="5" spans="1:7" x14ac:dyDescent="0.25">
      <c r="A5">
        <v>1.12E-2</v>
      </c>
      <c r="B5">
        <v>0.38169914984453901</v>
      </c>
      <c r="C5">
        <v>0.220173419151481</v>
      </c>
    </row>
    <row r="6" spans="1:7" x14ac:dyDescent="0.25">
      <c r="A6">
        <v>8.0000000000000002E-3</v>
      </c>
      <c r="B6">
        <v>0.14831134742930999</v>
      </c>
      <c r="C6">
        <v>0.233387802415229</v>
      </c>
    </row>
    <row r="7" spans="1:7" x14ac:dyDescent="0.25">
      <c r="A7">
        <v>5.5999999999999999E-3</v>
      </c>
      <c r="B7">
        <v>1.61694181959725E-2</v>
      </c>
      <c r="C7">
        <v>0.13214192923333701</v>
      </c>
    </row>
    <row r="8" spans="1:7" x14ac:dyDescent="0.25">
      <c r="A8">
        <v>4.0000000000000001E-3</v>
      </c>
      <c r="B8">
        <v>4.45396569494712E-4</v>
      </c>
      <c r="C8">
        <v>1.5724021626477801E-2</v>
      </c>
      <c r="F8" s="1" t="s">
        <v>6</v>
      </c>
    </row>
    <row r="9" spans="1:7" x14ac:dyDescent="0.25">
      <c r="A9">
        <v>2.8E-3</v>
      </c>
      <c r="B9">
        <v>0</v>
      </c>
      <c r="C9">
        <v>4.45396569494712E-4</v>
      </c>
      <c r="F9" s="1" t="s">
        <v>7</v>
      </c>
      <c r="G9" s="1" t="s">
        <v>8</v>
      </c>
    </row>
    <row r="10" spans="1:7" x14ac:dyDescent="0.25">
      <c r="A10">
        <v>2E-3</v>
      </c>
      <c r="B10">
        <v>0</v>
      </c>
      <c r="C10">
        <v>0</v>
      </c>
      <c r="F10" s="3">
        <f>B16</f>
        <v>60.187256899602104</v>
      </c>
      <c r="G10" s="4">
        <f>A16</f>
        <v>16</v>
      </c>
    </row>
    <row r="11" spans="1:7" x14ac:dyDescent="0.25">
      <c r="F11" s="5">
        <v>50</v>
      </c>
      <c r="G11" s="6">
        <f>G10 + (F11 - F10) * ((G12 - G10) / (F12 - F10))</f>
        <v>13.779076452255705</v>
      </c>
    </row>
    <row r="12" spans="1:7" x14ac:dyDescent="0.25">
      <c r="F12" s="3">
        <f>B17</f>
        <v>38.169914984453904</v>
      </c>
      <c r="G12" s="4">
        <f>A17</f>
        <v>11.2</v>
      </c>
    </row>
    <row r="13" spans="1:7" x14ac:dyDescent="0.25">
      <c r="A13" s="1" t="s">
        <v>4</v>
      </c>
      <c r="B13" s="1" t="s">
        <v>5</v>
      </c>
      <c r="F13" s="1"/>
    </row>
    <row r="14" spans="1:7" x14ac:dyDescent="0.25">
      <c r="A14" s="1">
        <f>A2*1000</f>
        <v>31.4</v>
      </c>
      <c r="B14" s="2">
        <f>B2*100</f>
        <v>100</v>
      </c>
      <c r="F14" s="1"/>
    </row>
    <row r="15" spans="1:7" x14ac:dyDescent="0.25">
      <c r="A15" s="1">
        <f t="shared" ref="A15:A23" si="0">A3*1000</f>
        <v>22.4</v>
      </c>
      <c r="B15" s="2">
        <f t="shared" ref="B15:B22" si="1">B3*100</f>
        <v>89.074269877963204</v>
      </c>
      <c r="F15" s="1" t="s">
        <v>9</v>
      </c>
    </row>
    <row r="16" spans="1:7" x14ac:dyDescent="0.25">
      <c r="A16" s="1">
        <f t="shared" si="0"/>
        <v>16</v>
      </c>
      <c r="B16" s="2">
        <f t="shared" si="1"/>
        <v>60.187256899602104</v>
      </c>
      <c r="F16" s="1" t="s">
        <v>7</v>
      </c>
      <c r="G16" s="1" t="s">
        <v>8</v>
      </c>
    </row>
    <row r="17" spans="1:7" x14ac:dyDescent="0.25">
      <c r="A17" s="1">
        <f t="shared" si="0"/>
        <v>11.2</v>
      </c>
      <c r="B17" s="2">
        <f t="shared" si="1"/>
        <v>38.169914984453904</v>
      </c>
      <c r="F17" s="3">
        <f>B15</f>
        <v>89.074269877963204</v>
      </c>
      <c r="G17" s="4">
        <f>A15</f>
        <v>22.4</v>
      </c>
    </row>
    <row r="18" spans="1:7" x14ac:dyDescent="0.25">
      <c r="A18" s="1">
        <f t="shared" si="0"/>
        <v>8</v>
      </c>
      <c r="B18" s="2">
        <f t="shared" si="1"/>
        <v>14.831134742930999</v>
      </c>
      <c r="F18" s="5">
        <v>84</v>
      </c>
      <c r="G18" s="6">
        <f>G17 + (F18 - F17) * ((G19 - G17) / (F19 - F17))</f>
        <v>21.275781056238269</v>
      </c>
    </row>
    <row r="19" spans="1:7" x14ac:dyDescent="0.25">
      <c r="A19" s="1">
        <f t="shared" si="0"/>
        <v>5.6</v>
      </c>
      <c r="B19" s="2">
        <f t="shared" si="1"/>
        <v>1.61694181959725</v>
      </c>
      <c r="F19" s="3">
        <f>B16</f>
        <v>60.187256899602104</v>
      </c>
      <c r="G19" s="4">
        <f>A16</f>
        <v>16</v>
      </c>
    </row>
    <row r="20" spans="1:7" x14ac:dyDescent="0.25">
      <c r="A20" s="1">
        <f t="shared" si="0"/>
        <v>4</v>
      </c>
      <c r="B20" s="2">
        <f t="shared" si="1"/>
        <v>4.45396569494712E-2</v>
      </c>
      <c r="F20" s="1"/>
    </row>
    <row r="21" spans="1:7" x14ac:dyDescent="0.25">
      <c r="A21" s="1">
        <f t="shared" si="0"/>
        <v>2.8</v>
      </c>
      <c r="B21" s="1">
        <f t="shared" si="1"/>
        <v>0</v>
      </c>
      <c r="F21" s="1"/>
    </row>
    <row r="22" spans="1:7" x14ac:dyDescent="0.25">
      <c r="A22" s="1">
        <f t="shared" si="0"/>
        <v>2</v>
      </c>
      <c r="B22" s="1">
        <f t="shared" si="1"/>
        <v>0</v>
      </c>
      <c r="F22" s="1" t="s">
        <v>10</v>
      </c>
    </row>
    <row r="23" spans="1:7" x14ac:dyDescent="0.25">
      <c r="F23" s="1" t="s">
        <v>7</v>
      </c>
      <c r="G23" s="1" t="s">
        <v>8</v>
      </c>
    </row>
    <row r="24" spans="1:7" x14ac:dyDescent="0.25">
      <c r="F24" s="3">
        <f>B17</f>
        <v>38.169914984453904</v>
      </c>
      <c r="G24" s="4">
        <f>A17</f>
        <v>11.2</v>
      </c>
    </row>
    <row r="25" spans="1:7" x14ac:dyDescent="0.25">
      <c r="F25" s="5">
        <v>16</v>
      </c>
      <c r="G25" s="6">
        <f>G24 + (F25 - F24) * ((G26 - G24) / (F26 - F24))</f>
        <v>8.1602641090885371</v>
      </c>
    </row>
    <row r="26" spans="1:7" x14ac:dyDescent="0.25">
      <c r="F26" s="3">
        <f>B18</f>
        <v>14.831134742930999</v>
      </c>
      <c r="G26" s="4">
        <f>A18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seg_0_0_gsd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2026-05-06T22:07:06Z</dcterms:created>
  <dcterms:modified xsi:type="dcterms:W3CDTF">2026-05-06T22:08:50Z</dcterms:modified>
</cp:coreProperties>
</file>