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wnloads\"/>
    </mc:Choice>
  </mc:AlternateContent>
  <xr:revisionPtr revIDLastSave="0" documentId="13_ncr:1_{3182F36E-6C70-417E-BB39-EE2591DF0782}" xr6:coauthVersionLast="47" xr6:coauthVersionMax="47" xr10:uidLastSave="{00000000-0000-0000-0000-000000000000}"/>
  <bookViews>
    <workbookView xWindow="-25320" yWindow="360" windowWidth="25440" windowHeight="15270" xr2:uid="{101E173D-39B1-4489-851B-96C7C0845D77}"/>
  </bookViews>
  <sheets>
    <sheet name="Sheet1" sheetId="1" r:id="rId1"/>
  </sheets>
  <definedNames>
    <definedName name="solver_adj" localSheetId="0" hidden="1">Sheet1!$U$7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Sheet1!$AG$28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0" i="1" l="1"/>
  <c r="AF30" i="1"/>
  <c r="AG30" i="1"/>
  <c r="AD30" i="1"/>
  <c r="AE29" i="1"/>
  <c r="AF29" i="1"/>
  <c r="AG29" i="1"/>
  <c r="AD29" i="1"/>
  <c r="S5" i="1"/>
  <c r="T5" i="1"/>
  <c r="U5" i="1"/>
  <c r="R5" i="1"/>
  <c r="P97" i="1"/>
  <c r="J97" i="1" s="1"/>
  <c r="Q97" i="1"/>
  <c r="J98" i="1" s="1"/>
  <c r="R97" i="1"/>
  <c r="O97" i="1"/>
  <c r="U6" i="1"/>
  <c r="E118" i="1"/>
  <c r="E119" i="1"/>
  <c r="E120" i="1"/>
  <c r="E121" i="1"/>
  <c r="E122" i="1"/>
  <c r="E123" i="1"/>
  <c r="E117" i="1"/>
  <c r="F124" i="1"/>
  <c r="D118" i="1"/>
  <c r="D119" i="1"/>
  <c r="D120" i="1"/>
  <c r="D121" i="1"/>
  <c r="D122" i="1"/>
  <c r="D123" i="1"/>
  <c r="D117" i="1"/>
  <c r="F116" i="1"/>
  <c r="P94" i="1"/>
  <c r="Q94" i="1"/>
  <c r="R94" i="1"/>
  <c r="O94" i="1"/>
  <c r="G97" i="1"/>
  <c r="E107" i="1"/>
  <c r="E98" i="1"/>
  <c r="E100" i="1"/>
  <c r="E101" i="1"/>
  <c r="E102" i="1"/>
  <c r="E97" i="1"/>
  <c r="D108" i="1"/>
  <c r="E108" i="1" s="1"/>
  <c r="D109" i="1"/>
  <c r="E109" i="1" s="1"/>
  <c r="D110" i="1"/>
  <c r="E110" i="1" s="1"/>
  <c r="D107" i="1"/>
  <c r="D98" i="1"/>
  <c r="D99" i="1"/>
  <c r="E99" i="1" s="1"/>
  <c r="D100" i="1"/>
  <c r="D101" i="1"/>
  <c r="D102" i="1"/>
  <c r="D103" i="1"/>
  <c r="E103" i="1" s="1"/>
  <c r="D97" i="1"/>
  <c r="J99" i="1" l="1"/>
  <c r="J100" i="1"/>
  <c r="J101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62" i="1"/>
  <c r="C59" i="1"/>
  <c r="D59" i="1"/>
  <c r="E59" i="1"/>
  <c r="F59" i="1"/>
  <c r="R95" i="1"/>
  <c r="O95" i="1"/>
  <c r="S4" i="1"/>
  <c r="D56" i="1" s="1"/>
  <c r="J59" i="1" s="1"/>
  <c r="T4" i="1"/>
  <c r="E56" i="1" s="1"/>
  <c r="K59" i="1" s="1"/>
  <c r="U4" i="1"/>
  <c r="F56" i="1" s="1"/>
  <c r="L59" i="1" s="1"/>
  <c r="R4" i="1"/>
  <c r="C56" i="1" s="1"/>
  <c r="I59" i="1" s="1"/>
  <c r="S3" i="1"/>
  <c r="D55" i="1" s="1"/>
  <c r="T3" i="1"/>
  <c r="E55" i="1" s="1"/>
  <c r="U3" i="1"/>
  <c r="F55" i="1" s="1"/>
  <c r="R3" i="1"/>
  <c r="C55" i="1" s="1"/>
  <c r="D57" i="1" l="1"/>
  <c r="P95" i="1"/>
  <c r="H97" i="1" s="1"/>
  <c r="S6" i="1"/>
  <c r="S36" i="1" s="1"/>
  <c r="D88" i="1" s="1"/>
  <c r="Q95" i="1"/>
  <c r="T6" i="1"/>
  <c r="T9" i="1" s="1"/>
  <c r="U15" i="1"/>
  <c r="F67" i="1" s="1"/>
  <c r="F57" i="1"/>
  <c r="U16" i="1"/>
  <c r="F68" i="1" s="1"/>
  <c r="U23" i="1"/>
  <c r="AA24" i="1" s="1"/>
  <c r="AG24" i="1" s="1"/>
  <c r="U31" i="1"/>
  <c r="F83" i="1" s="1"/>
  <c r="U36" i="1"/>
  <c r="F88" i="1" s="1"/>
  <c r="E57" i="1"/>
  <c r="T10" i="1"/>
  <c r="E62" i="1" s="1"/>
  <c r="T14" i="1"/>
  <c r="E66" i="1" s="1"/>
  <c r="T18" i="1"/>
  <c r="E70" i="1" s="1"/>
  <c r="T22" i="1"/>
  <c r="E74" i="1" s="1"/>
  <c r="T26" i="1"/>
  <c r="E78" i="1" s="1"/>
  <c r="T30" i="1"/>
  <c r="E82" i="1" s="1"/>
  <c r="T34" i="1"/>
  <c r="Z26" i="1" s="1"/>
  <c r="AF26" i="1" s="1"/>
  <c r="T38" i="1"/>
  <c r="E90" i="1" s="1"/>
  <c r="S37" i="1"/>
  <c r="D89" i="1" s="1"/>
  <c r="S34" i="1"/>
  <c r="Y26" i="1" s="1"/>
  <c r="AE26" i="1" s="1"/>
  <c r="S33" i="1"/>
  <c r="D85" i="1" s="1"/>
  <c r="S29" i="1"/>
  <c r="D81" i="1" s="1"/>
  <c r="S26" i="1"/>
  <c r="D78" i="1" s="1"/>
  <c r="S25" i="1"/>
  <c r="D77" i="1" s="1"/>
  <c r="S21" i="1"/>
  <c r="D73" i="1" s="1"/>
  <c r="S18" i="1"/>
  <c r="D70" i="1" s="1"/>
  <c r="S17" i="1"/>
  <c r="D69" i="1" s="1"/>
  <c r="S13" i="1"/>
  <c r="D65" i="1" s="1"/>
  <c r="S10" i="1"/>
  <c r="D62" i="1" s="1"/>
  <c r="C57" i="1"/>
  <c r="R6" i="1"/>
  <c r="T37" i="1" l="1"/>
  <c r="E89" i="1" s="1"/>
  <c r="K90" i="1" s="1"/>
  <c r="Q90" i="1" s="1"/>
  <c r="T33" i="1"/>
  <c r="E85" i="1" s="1"/>
  <c r="T29" i="1"/>
  <c r="E81" i="1" s="1"/>
  <c r="K82" i="1" s="1"/>
  <c r="Q82" i="1" s="1"/>
  <c r="T25" i="1"/>
  <c r="E77" i="1" s="1"/>
  <c r="K78" i="1" s="1"/>
  <c r="Q78" i="1" s="1"/>
  <c r="T21" i="1"/>
  <c r="E73" i="1" s="1"/>
  <c r="K74" i="1" s="1"/>
  <c r="Q74" i="1" s="1"/>
  <c r="T17" i="1"/>
  <c r="E69" i="1" s="1"/>
  <c r="K70" i="1" s="1"/>
  <c r="Q70" i="1" s="1"/>
  <c r="T13" i="1"/>
  <c r="E65" i="1" s="1"/>
  <c r="K66" i="1" s="1"/>
  <c r="Q66" i="1" s="1"/>
  <c r="H101" i="1"/>
  <c r="H100" i="1"/>
  <c r="H99" i="1"/>
  <c r="H98" i="1"/>
  <c r="T36" i="1"/>
  <c r="E88" i="1" s="1"/>
  <c r="T32" i="1"/>
  <c r="E84" i="1" s="1"/>
  <c r="T28" i="1"/>
  <c r="Z25" i="1" s="1"/>
  <c r="AF25" i="1" s="1"/>
  <c r="T24" i="1"/>
  <c r="E76" i="1" s="1"/>
  <c r="T20" i="1"/>
  <c r="E72" i="1" s="1"/>
  <c r="T16" i="1"/>
  <c r="E68" i="1" s="1"/>
  <c r="T12" i="1"/>
  <c r="E64" i="1" s="1"/>
  <c r="S14" i="1"/>
  <c r="D66" i="1" s="1"/>
  <c r="J66" i="1" s="1"/>
  <c r="P66" i="1" s="1"/>
  <c r="S22" i="1"/>
  <c r="D74" i="1" s="1"/>
  <c r="J74" i="1" s="1"/>
  <c r="P74" i="1" s="1"/>
  <c r="S30" i="1"/>
  <c r="D82" i="1" s="1"/>
  <c r="J82" i="1" s="1"/>
  <c r="P82" i="1" s="1"/>
  <c r="S38" i="1"/>
  <c r="D90" i="1" s="1"/>
  <c r="T35" i="1"/>
  <c r="E87" i="1" s="1"/>
  <c r="T31" i="1"/>
  <c r="E83" i="1" s="1"/>
  <c r="T27" i="1"/>
  <c r="E79" i="1" s="1"/>
  <c r="K79" i="1" s="1"/>
  <c r="Q79" i="1" s="1"/>
  <c r="T23" i="1"/>
  <c r="I29" i="1" s="1"/>
  <c r="T19" i="1"/>
  <c r="Z23" i="1" s="1"/>
  <c r="AF23" i="1" s="1"/>
  <c r="T15" i="1"/>
  <c r="E67" i="1" s="1"/>
  <c r="T11" i="1"/>
  <c r="E63" i="1" s="1"/>
  <c r="K63" i="1" s="1"/>
  <c r="Q63" i="1" s="1"/>
  <c r="S11" i="1"/>
  <c r="D63" i="1" s="1"/>
  <c r="J63" i="1" s="1"/>
  <c r="P63" i="1" s="1"/>
  <c r="S15" i="1"/>
  <c r="D67" i="1" s="1"/>
  <c r="J67" i="1" s="1"/>
  <c r="P67" i="1" s="1"/>
  <c r="S19" i="1"/>
  <c r="H28" i="1" s="1"/>
  <c r="S23" i="1"/>
  <c r="Y24" i="1" s="1"/>
  <c r="AE24" i="1" s="1"/>
  <c r="S27" i="1"/>
  <c r="D79" i="1" s="1"/>
  <c r="J79" i="1" s="1"/>
  <c r="P79" i="1" s="1"/>
  <c r="S31" i="1"/>
  <c r="D83" i="1" s="1"/>
  <c r="S35" i="1"/>
  <c r="D87" i="1" s="1"/>
  <c r="J88" i="1" s="1"/>
  <c r="P88" i="1" s="1"/>
  <c r="S9" i="1"/>
  <c r="H27" i="1" s="1"/>
  <c r="S12" i="1"/>
  <c r="D64" i="1" s="1"/>
  <c r="J65" i="1" s="1"/>
  <c r="P65" i="1" s="1"/>
  <c r="S16" i="1"/>
  <c r="D68" i="1" s="1"/>
  <c r="J69" i="1" s="1"/>
  <c r="P69" i="1" s="1"/>
  <c r="S20" i="1"/>
  <c r="D72" i="1" s="1"/>
  <c r="J73" i="1" s="1"/>
  <c r="P73" i="1" s="1"/>
  <c r="S24" i="1"/>
  <c r="D76" i="1" s="1"/>
  <c r="J77" i="1" s="1"/>
  <c r="P77" i="1" s="1"/>
  <c r="S28" i="1"/>
  <c r="Y25" i="1" s="1"/>
  <c r="AE25" i="1" s="1"/>
  <c r="S32" i="1"/>
  <c r="D84" i="1" s="1"/>
  <c r="J85" i="1" s="1"/>
  <c r="P85" i="1" s="1"/>
  <c r="U35" i="1"/>
  <c r="F87" i="1" s="1"/>
  <c r="L88" i="1" s="1"/>
  <c r="R88" i="1" s="1"/>
  <c r="U28" i="1"/>
  <c r="AA25" i="1" s="1"/>
  <c r="AG25" i="1" s="1"/>
  <c r="U22" i="1"/>
  <c r="F74" i="1" s="1"/>
  <c r="U12" i="1"/>
  <c r="F64" i="1" s="1"/>
  <c r="U34" i="1"/>
  <c r="AA26" i="1" s="1"/>
  <c r="AG26" i="1" s="1"/>
  <c r="U27" i="1"/>
  <c r="F79" i="1" s="1"/>
  <c r="U20" i="1"/>
  <c r="F72" i="1" s="1"/>
  <c r="U11" i="1"/>
  <c r="F63" i="1" s="1"/>
  <c r="U38" i="1"/>
  <c r="F90" i="1" s="1"/>
  <c r="U32" i="1"/>
  <c r="F84" i="1" s="1"/>
  <c r="L84" i="1" s="1"/>
  <c r="R84" i="1" s="1"/>
  <c r="U26" i="1"/>
  <c r="F78" i="1" s="1"/>
  <c r="U18" i="1"/>
  <c r="F70" i="1" s="1"/>
  <c r="U10" i="1"/>
  <c r="F62" i="1" s="1"/>
  <c r="E61" i="1"/>
  <c r="K62" i="1" s="1"/>
  <c r="Q62" i="1" s="1"/>
  <c r="Z22" i="1"/>
  <c r="AF22" i="1" s="1"/>
  <c r="I27" i="1"/>
  <c r="F58" i="1"/>
  <c r="R96" i="1"/>
  <c r="U9" i="1"/>
  <c r="D58" i="1"/>
  <c r="P96" i="1"/>
  <c r="I97" i="1" s="1"/>
  <c r="L97" i="1" s="1"/>
  <c r="F117" i="1" s="1"/>
  <c r="E58" i="1"/>
  <c r="Q96" i="1"/>
  <c r="R33" i="1"/>
  <c r="C85" i="1" s="1"/>
  <c r="O96" i="1"/>
  <c r="U30" i="1"/>
  <c r="F82" i="1" s="1"/>
  <c r="L83" i="1" s="1"/>
  <c r="R83" i="1" s="1"/>
  <c r="U24" i="1"/>
  <c r="F76" i="1" s="1"/>
  <c r="U19" i="1"/>
  <c r="AA23" i="1" s="1"/>
  <c r="AG23" i="1" s="1"/>
  <c r="U14" i="1"/>
  <c r="F66" i="1" s="1"/>
  <c r="L67" i="1" s="1"/>
  <c r="R67" i="1" s="1"/>
  <c r="J70" i="1"/>
  <c r="P70" i="1" s="1"/>
  <c r="J78" i="1"/>
  <c r="P78" i="1" s="1"/>
  <c r="J90" i="1"/>
  <c r="P90" i="1" s="1"/>
  <c r="J89" i="1"/>
  <c r="P89" i="1" s="1"/>
  <c r="R13" i="1"/>
  <c r="C65" i="1" s="1"/>
  <c r="R17" i="1"/>
  <c r="C69" i="1" s="1"/>
  <c r="R21" i="1"/>
  <c r="C73" i="1" s="1"/>
  <c r="R25" i="1"/>
  <c r="C77" i="1" s="1"/>
  <c r="R29" i="1"/>
  <c r="C81" i="1" s="1"/>
  <c r="I31" i="1"/>
  <c r="E86" i="1"/>
  <c r="U37" i="1"/>
  <c r="F89" i="1" s="1"/>
  <c r="L89" i="1" s="1"/>
  <c r="R89" i="1" s="1"/>
  <c r="U33" i="1"/>
  <c r="F85" i="1" s="1"/>
  <c r="U29" i="1"/>
  <c r="F81" i="1" s="1"/>
  <c r="U25" i="1"/>
  <c r="F77" i="1" s="1"/>
  <c r="U21" i="1"/>
  <c r="F73" i="1" s="1"/>
  <c r="U17" i="1"/>
  <c r="F69" i="1" s="1"/>
  <c r="L69" i="1" s="1"/>
  <c r="R69" i="1" s="1"/>
  <c r="U13" i="1"/>
  <c r="C58" i="1"/>
  <c r="R35" i="1"/>
  <c r="C87" i="1" s="1"/>
  <c r="R38" i="1"/>
  <c r="C90" i="1" s="1"/>
  <c r="R36" i="1"/>
  <c r="C88" i="1" s="1"/>
  <c r="R37" i="1"/>
  <c r="C89" i="1" s="1"/>
  <c r="R12" i="1"/>
  <c r="C64" i="1" s="1"/>
  <c r="R16" i="1"/>
  <c r="C68" i="1" s="1"/>
  <c r="R20" i="1"/>
  <c r="C72" i="1" s="1"/>
  <c r="R24" i="1"/>
  <c r="C76" i="1" s="1"/>
  <c r="R28" i="1"/>
  <c r="R32" i="1"/>
  <c r="C84" i="1" s="1"/>
  <c r="R10" i="1"/>
  <c r="C62" i="1" s="1"/>
  <c r="R14" i="1"/>
  <c r="C66" i="1" s="1"/>
  <c r="R18" i="1"/>
  <c r="C70" i="1" s="1"/>
  <c r="R22" i="1"/>
  <c r="C74" i="1" s="1"/>
  <c r="R26" i="1"/>
  <c r="C78" i="1" s="1"/>
  <c r="I78" i="1" s="1"/>
  <c r="O78" i="1" s="1"/>
  <c r="R30" i="1"/>
  <c r="C82" i="1" s="1"/>
  <c r="R34" i="1"/>
  <c r="F80" i="1"/>
  <c r="L80" i="1" s="1"/>
  <c r="R80" i="1" s="1"/>
  <c r="L68" i="1"/>
  <c r="R68" i="1" s="1"/>
  <c r="R11" i="1"/>
  <c r="C63" i="1" s="1"/>
  <c r="R15" i="1"/>
  <c r="C67" i="1" s="1"/>
  <c r="R19" i="1"/>
  <c r="R23" i="1"/>
  <c r="R27" i="1"/>
  <c r="C79" i="1" s="1"/>
  <c r="R31" i="1"/>
  <c r="C83" i="1" s="1"/>
  <c r="H31" i="1"/>
  <c r="D86" i="1"/>
  <c r="J86" i="1" s="1"/>
  <c r="P86" i="1" s="1"/>
  <c r="R9" i="1"/>
  <c r="J29" i="1"/>
  <c r="F75" i="1"/>
  <c r="F61" i="1"/>
  <c r="L82" i="1" l="1"/>
  <c r="R82" i="1" s="1"/>
  <c r="L63" i="1"/>
  <c r="R63" i="1" s="1"/>
  <c r="L75" i="1"/>
  <c r="R75" i="1" s="1"/>
  <c r="L79" i="1"/>
  <c r="R79" i="1" s="1"/>
  <c r="L73" i="1"/>
  <c r="R73" i="1" s="1"/>
  <c r="K85" i="1"/>
  <c r="Q85" i="1" s="1"/>
  <c r="E80" i="1"/>
  <c r="K80" i="1" s="1"/>
  <c r="Q80" i="1" s="1"/>
  <c r="K68" i="1"/>
  <c r="Q68" i="1" s="1"/>
  <c r="K84" i="1"/>
  <c r="Q84" i="1" s="1"/>
  <c r="K73" i="1"/>
  <c r="Q73" i="1" s="1"/>
  <c r="I30" i="1"/>
  <c r="K86" i="1"/>
  <c r="Q86" i="1" s="1"/>
  <c r="E75" i="1"/>
  <c r="K75" i="1" s="1"/>
  <c r="Q75" i="1" s="1"/>
  <c r="K64" i="1"/>
  <c r="Q64" i="1" s="1"/>
  <c r="E71" i="1"/>
  <c r="K71" i="1" s="1"/>
  <c r="Q71" i="1" s="1"/>
  <c r="K65" i="1"/>
  <c r="Q65" i="1" s="1"/>
  <c r="I28" i="1"/>
  <c r="K67" i="1"/>
  <c r="Q67" i="1" s="1"/>
  <c r="K77" i="1"/>
  <c r="Q77" i="1" s="1"/>
  <c r="K88" i="1"/>
  <c r="Q88" i="1" s="1"/>
  <c r="K76" i="1"/>
  <c r="Q76" i="1" s="1"/>
  <c r="Z24" i="1"/>
  <c r="AF24" i="1" s="1"/>
  <c r="K69" i="1"/>
  <c r="Q69" i="1" s="1"/>
  <c r="K89" i="1"/>
  <c r="Q89" i="1" s="1"/>
  <c r="I85" i="1"/>
  <c r="O85" i="1" s="1"/>
  <c r="J83" i="1"/>
  <c r="P83" i="1" s="1"/>
  <c r="Z30" i="1"/>
  <c r="Z32" i="1" s="1"/>
  <c r="K83" i="1"/>
  <c r="Q83" i="1" s="1"/>
  <c r="I100" i="1"/>
  <c r="I101" i="1"/>
  <c r="J31" i="1"/>
  <c r="J64" i="1"/>
  <c r="P64" i="1" s="1"/>
  <c r="H30" i="1"/>
  <c r="D71" i="1"/>
  <c r="J71" i="1" s="1"/>
  <c r="P71" i="1" s="1"/>
  <c r="D80" i="1"/>
  <c r="J80" i="1" s="1"/>
  <c r="P80" i="1" s="1"/>
  <c r="J84" i="1"/>
  <c r="P84" i="1" s="1"/>
  <c r="J68" i="1"/>
  <c r="P68" i="1" s="1"/>
  <c r="Y22" i="1"/>
  <c r="AE22" i="1" s="1"/>
  <c r="AE28" i="1" s="1"/>
  <c r="Y30" i="1"/>
  <c r="Y33" i="1" s="1"/>
  <c r="D75" i="1"/>
  <c r="J75" i="1" s="1"/>
  <c r="P75" i="1" s="1"/>
  <c r="D61" i="1"/>
  <c r="J62" i="1" s="1"/>
  <c r="P62" i="1" s="1"/>
  <c r="H29" i="1"/>
  <c r="L64" i="1"/>
  <c r="R64" i="1" s="1"/>
  <c r="AA22" i="1"/>
  <c r="AG22" i="1" s="1"/>
  <c r="AG28" i="1" s="1"/>
  <c r="J27" i="1"/>
  <c r="L77" i="1"/>
  <c r="R77" i="1" s="1"/>
  <c r="F86" i="1"/>
  <c r="L87" i="1" s="1"/>
  <c r="R87" i="1" s="1"/>
  <c r="J30" i="1"/>
  <c r="L85" i="1"/>
  <c r="R85" i="1" s="1"/>
  <c r="L62" i="1"/>
  <c r="R62" i="1" s="1"/>
  <c r="F71" i="1"/>
  <c r="L71" i="1" s="1"/>
  <c r="R71" i="1" s="1"/>
  <c r="J28" i="1"/>
  <c r="G98" i="1"/>
  <c r="K98" i="1" s="1"/>
  <c r="L98" i="1" s="1"/>
  <c r="F118" i="1" s="1"/>
  <c r="I99" i="1"/>
  <c r="I98" i="1"/>
  <c r="I82" i="1"/>
  <c r="O82" i="1" s="1"/>
  <c r="I66" i="1"/>
  <c r="O66" i="1" s="1"/>
  <c r="AF28" i="1"/>
  <c r="K87" i="1"/>
  <c r="Q87" i="1" s="1"/>
  <c r="I74" i="1"/>
  <c r="O74" i="1" s="1"/>
  <c r="I89" i="1"/>
  <c r="O89" i="1" s="1"/>
  <c r="I83" i="1"/>
  <c r="O83" i="1" s="1"/>
  <c r="I67" i="1"/>
  <c r="O67" i="1" s="1"/>
  <c r="I69" i="1"/>
  <c r="O69" i="1" s="1"/>
  <c r="I88" i="1"/>
  <c r="O88" i="1" s="1"/>
  <c r="I79" i="1"/>
  <c r="O79" i="1" s="1"/>
  <c r="I63" i="1"/>
  <c r="O63" i="1" s="1"/>
  <c r="L76" i="1"/>
  <c r="R76" i="1" s="1"/>
  <c r="I65" i="1"/>
  <c r="O65" i="1" s="1"/>
  <c r="L70" i="1"/>
  <c r="R70" i="1" s="1"/>
  <c r="C75" i="1"/>
  <c r="I75" i="1" s="1"/>
  <c r="O75" i="1" s="1"/>
  <c r="G29" i="1"/>
  <c r="X24" i="1"/>
  <c r="AD24" i="1" s="1"/>
  <c r="G31" i="1"/>
  <c r="C86" i="1"/>
  <c r="I86" i="1" s="1"/>
  <c r="O86" i="1" s="1"/>
  <c r="X26" i="1"/>
  <c r="AD26" i="1" s="1"/>
  <c r="I70" i="1"/>
  <c r="O70" i="1" s="1"/>
  <c r="I84" i="1"/>
  <c r="O84" i="1" s="1"/>
  <c r="I68" i="1"/>
  <c r="O68" i="1" s="1"/>
  <c r="I90" i="1"/>
  <c r="O90" i="1" s="1"/>
  <c r="F65" i="1"/>
  <c r="AA30" i="1"/>
  <c r="L81" i="1"/>
  <c r="R81" i="1" s="1"/>
  <c r="I77" i="1"/>
  <c r="O77" i="1" s="1"/>
  <c r="L74" i="1"/>
  <c r="R74" i="1" s="1"/>
  <c r="G27" i="1"/>
  <c r="C61" i="1"/>
  <c r="I62" i="1" s="1"/>
  <c r="O62" i="1" s="1"/>
  <c r="X30" i="1"/>
  <c r="X31" i="1" s="1"/>
  <c r="X22" i="1"/>
  <c r="AD22" i="1" s="1"/>
  <c r="X23" i="1"/>
  <c r="AD23" i="1" s="1"/>
  <c r="C71" i="1"/>
  <c r="I71" i="1" s="1"/>
  <c r="O71" i="1" s="1"/>
  <c r="G28" i="1"/>
  <c r="G30" i="1"/>
  <c r="C80" i="1"/>
  <c r="I80" i="1" s="1"/>
  <c r="O80" i="1" s="1"/>
  <c r="X25" i="1"/>
  <c r="AD25" i="1" s="1"/>
  <c r="I64" i="1"/>
  <c r="O64" i="1" s="1"/>
  <c r="I73" i="1"/>
  <c r="O73" i="1" s="1"/>
  <c r="L78" i="1"/>
  <c r="R78" i="1" s="1"/>
  <c r="L90" i="1"/>
  <c r="R90" i="1" s="1"/>
  <c r="J87" i="1"/>
  <c r="P87" i="1" s="1"/>
  <c r="K72" i="1" l="1"/>
  <c r="Q72" i="1" s="1"/>
  <c r="K81" i="1"/>
  <c r="Q81" i="1" s="1"/>
  <c r="Z33" i="1"/>
  <c r="Z34" i="1"/>
  <c r="Z35" i="1"/>
  <c r="Z31" i="1"/>
  <c r="J72" i="1"/>
  <c r="P72" i="1" s="1"/>
  <c r="Y34" i="1"/>
  <c r="J81" i="1"/>
  <c r="P81" i="1" s="1"/>
  <c r="Y35" i="1"/>
  <c r="J76" i="1"/>
  <c r="P76" i="1" s="1"/>
  <c r="Y31" i="1"/>
  <c r="L72" i="1"/>
  <c r="R72" i="1" s="1"/>
  <c r="L86" i="1"/>
  <c r="R86" i="1" s="1"/>
  <c r="AD28" i="1"/>
  <c r="I76" i="1"/>
  <c r="O76" i="1" s="1"/>
  <c r="X33" i="1"/>
  <c r="X34" i="1"/>
  <c r="X35" i="1"/>
  <c r="X32" i="1"/>
  <c r="L65" i="1"/>
  <c r="R65" i="1" s="1"/>
  <c r="L66" i="1"/>
  <c r="R66" i="1" s="1"/>
  <c r="I81" i="1"/>
  <c r="O81" i="1" s="1"/>
  <c r="Z38" i="1" a="1"/>
  <c r="Z38" i="1" s="1"/>
  <c r="AA34" i="1"/>
  <c r="AA32" i="1"/>
  <c r="AA31" i="1"/>
  <c r="AA35" i="1"/>
  <c r="AA33" i="1"/>
  <c r="I87" i="1"/>
  <c r="O87" i="1" s="1"/>
  <c r="I72" i="1"/>
  <c r="O72" i="1" s="1"/>
  <c r="Y38" i="1" l="1" a="1"/>
  <c r="Y38" i="1" s="1"/>
  <c r="G99" i="1"/>
  <c r="X38" i="1" a="1"/>
  <c r="X38" i="1" s="1"/>
  <c r="AA38" i="1" a="1"/>
  <c r="AA38" i="1" s="1"/>
  <c r="K99" i="1" l="1"/>
  <c r="L99" i="1" s="1"/>
  <c r="G100" i="1" l="1"/>
  <c r="K100" i="1" s="1"/>
  <c r="L100" i="1" s="1"/>
  <c r="F119" i="1"/>
  <c r="G101" i="1" l="1"/>
  <c r="K101" i="1" s="1"/>
  <c r="L101" i="1" s="1"/>
  <c r="F121" i="1" s="1"/>
  <c r="F1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<sst xmlns="http://schemas.openxmlformats.org/spreadsheetml/2006/main" count="97" uniqueCount="55">
  <si>
    <t>tau*c50</t>
  </si>
  <si>
    <t>duration</t>
  </si>
  <si>
    <t>Variation of critical shear stress with flow magnitude and duration</t>
  </si>
  <si>
    <t>Case</t>
  </si>
  <si>
    <t>surface GSD, from SEG, by area, per experiment</t>
  </si>
  <si>
    <t>averaging power function slopes over flow magnitude</t>
  </si>
  <si>
    <t>tau*</t>
  </si>
  <si>
    <t>tau*/tau*ref</t>
  </si>
  <si>
    <t>tau_Pa</t>
  </si>
  <si>
    <t>d50_mm</t>
  </si>
  <si>
    <t>time_min</t>
  </si>
  <si>
    <t>tau*ref</t>
  </si>
  <si>
    <t>tau*c,max</t>
  </si>
  <si>
    <t>Dtau*c</t>
  </si>
  <si>
    <t>k</t>
  </si>
  <si>
    <t>tau*c</t>
  </si>
  <si>
    <t>Error</t>
  </si>
  <si>
    <t>Fit</t>
  </si>
  <si>
    <t>ss_total</t>
  </si>
  <si>
    <t>y_pred - mean(y_pred)</t>
  </si>
  <si>
    <t>mean</t>
  </si>
  <si>
    <t>r2</t>
  </si>
  <si>
    <t>Model values</t>
  </si>
  <si>
    <t>Calculations</t>
  </si>
  <si>
    <t>dt</t>
  </si>
  <si>
    <t>d tau*c</t>
  </si>
  <si>
    <t>magnitude</t>
  </si>
  <si>
    <t>time</t>
  </si>
  <si>
    <t>d tau*c/dt</t>
  </si>
  <si>
    <t>Error2</t>
  </si>
  <si>
    <t>tau*cmax</t>
  </si>
  <si>
    <t>0.0266*ratio + 0.0239</t>
  </si>
  <si>
    <t>sum(Err2)</t>
  </si>
  <si>
    <t>Testing the weakening</t>
  </si>
  <si>
    <t>First stability test</t>
  </si>
  <si>
    <t>sample</t>
  </si>
  <si>
    <t>tau_pa</t>
  </si>
  <si>
    <t>Second stability test</t>
  </si>
  <si>
    <t>tau*tau*ref</t>
  </si>
  <si>
    <t>tau*c,end</t>
  </si>
  <si>
    <t>tau*c,ini</t>
  </si>
  <si>
    <t>flow</t>
  </si>
  <si>
    <t>dTAU*c</t>
  </si>
  <si>
    <t>dtau*c</t>
  </si>
  <si>
    <t>t_to_ini</t>
  </si>
  <si>
    <t>weakening</t>
  </si>
  <si>
    <t>The experiment in time</t>
  </si>
  <si>
    <t>something</t>
  </si>
  <si>
    <t>after stability test</t>
  </si>
  <si>
    <t>step</t>
  </si>
  <si>
    <t>after st</t>
  </si>
  <si>
    <t>ST after</t>
  </si>
  <si>
    <t>limit</t>
  </si>
  <si>
    <t>Err</t>
  </si>
  <si>
    <t>Rel,Err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</si>
</sst>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"/>
    <numFmt numFmtId="167" formatCode="0.000000"/>
    <numFmt numFmtId="168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0" borderId="1" xfId="0" applyFont="1" applyBorder="1"/>
    <xf numFmtId="164" fontId="0" fillId="0" borderId="0" xfId="0" applyNumberFormat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0" xfId="0" applyFont="1"/>
    <xf numFmtId="0" fontId="0" fillId="0" borderId="4" xfId="0" applyBorder="1"/>
    <xf numFmtId="164" fontId="0" fillId="0" borderId="4" xfId="0" applyNumberFormat="1" applyBorder="1"/>
    <xf numFmtId="2" fontId="0" fillId="0" borderId="0" xfId="0" applyNumberFormat="1"/>
    <xf numFmtId="2" fontId="0" fillId="0" borderId="4" xfId="0" applyNumberFormat="1" applyBorder="1"/>
    <xf numFmtId="0" fontId="0" fillId="0" borderId="2" xfId="0" applyBorder="1"/>
    <xf numFmtId="164" fontId="2" fillId="0" borderId="0" xfId="0" applyNumberFormat="1" applyFon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0" borderId="0" xfId="0" applyNumberFormat="1"/>
    <xf numFmtId="164" fontId="1" fillId="0" borderId="0" xfId="0" applyNumberFormat="1" applyFont="1"/>
    <xf numFmtId="2" fontId="1" fillId="0" borderId="0" xfId="0" applyNumberFormat="1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168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Ockelford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4000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Sheet1!$R$9:$R$38</c:f>
              <c:numCache>
                <c:formatCode>0.0000</c:formatCode>
                <c:ptCount val="30"/>
                <c:pt idx="0">
                  <c:v>0.04</c:v>
                </c:pt>
                <c:pt idx="1">
                  <c:v>4.0311603077862107E-2</c:v>
                </c:pt>
                <c:pt idx="2">
                  <c:v>4.061362878377843E-2</c:v>
                </c:pt>
                <c:pt idx="3">
                  <c:v>4.0906371486001097E-2</c:v>
                </c:pt>
                <c:pt idx="4">
                  <c:v>4.1190116505136556E-2</c:v>
                </c:pt>
                <c:pt idx="5">
                  <c:v>4.1465140392232286E-2</c:v>
                </c:pt>
                <c:pt idx="6">
                  <c:v>4.1731711198316222E-2</c:v>
                </c:pt>
                <c:pt idx="7">
                  <c:v>4.1990088735651757E-2</c:v>
                </c:pt>
                <c:pt idx="8">
                  <c:v>4.2240524830962793E-2</c:v>
                </c:pt>
                <c:pt idx="9">
                  <c:v>4.2483263570875736E-2</c:v>
                </c:pt>
                <c:pt idx="10">
                  <c:v>4.2718541539817648E-2</c:v>
                </c:pt>
                <c:pt idx="11">
                  <c:v>4.379080358726193E-2</c:v>
                </c:pt>
                <c:pt idx="12">
                  <c:v>4.4708104405602772E-2</c:v>
                </c:pt>
                <c:pt idx="13">
                  <c:v>4.5492838690784583E-2</c:v>
                </c:pt>
                <c:pt idx="14">
                  <c:v>4.6164164700777305E-2</c:v>
                </c:pt>
                <c:pt idx="15">
                  <c:v>4.6738471979308312E-2</c:v>
                </c:pt>
                <c:pt idx="16">
                  <c:v>4.722978148506881E-2</c:v>
                </c:pt>
                <c:pt idx="17">
                  <c:v>4.7650087895024222E-2</c:v>
                </c:pt>
                <c:pt idx="18">
                  <c:v>4.8009652438714766E-2</c:v>
                </c:pt>
                <c:pt idx="19">
                  <c:v>4.8580400491210041E-2</c:v>
                </c:pt>
                <c:pt idx="20">
                  <c:v>4.8998102083895635E-2</c:v>
                </c:pt>
                <c:pt idx="21">
                  <c:v>4.9303796724060045E-2</c:v>
                </c:pt>
                <c:pt idx="22">
                  <c:v>4.9527519148541171E-2</c:v>
                </c:pt>
                <c:pt idx="23">
                  <c:v>4.9691250260047719E-2</c:v>
                </c:pt>
                <c:pt idx="24">
                  <c:v>4.9811076767995427E-2</c:v>
                </c:pt>
                <c:pt idx="25">
                  <c:v>4.9898771720254823E-2</c:v>
                </c:pt>
                <c:pt idx="26">
                  <c:v>4.9933360843754653E-2</c:v>
                </c:pt>
                <c:pt idx="27">
                  <c:v>5.0044295695458076E-2</c:v>
                </c:pt>
                <c:pt idx="28">
                  <c:v>5.0095125944735232E-2</c:v>
                </c:pt>
                <c:pt idx="29">
                  <c:v>5.0118416319237961E-2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A3-4B74-8635-AB85BA9E86AD}"/>
            </c:ext>
          </c:extLst>
        </c:ser>
        <c:ser>
          <c:idx val="1"/>
          <c:order val="1"/>
          <c:tx>
            <c:v>5000</c:v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Sheet1!$S$9:$S$38</c:f>
              <c:numCache>
                <c:formatCode>0.0000</c:formatCode>
                <c:ptCount val="30"/>
                <c:pt idx="0">
                  <c:v>0.04</c:v>
                </c:pt>
                <c:pt idx="1">
                  <c:v>4.0560114495126726E-2</c:v>
                </c:pt>
                <c:pt idx="2">
                  <c:v>4.1093441931822079E-2</c:v>
                </c:pt>
                <c:pt idx="3">
                  <c:v>4.1601263381198565E-2</c:v>
                </c:pt>
                <c:pt idx="4">
                  <c:v>4.2084798648097166E-2</c:v>
                </c:pt>
                <c:pt idx="5">
                  <c:v>4.2545209201101136E-2</c:v>
                </c:pt>
                <c:pt idx="6">
                  <c:v>4.298360096242404E-2</c:v>
                </c:pt>
                <c:pt idx="7">
                  <c:v>4.3401026964373521E-2</c:v>
                </c:pt>
                <c:pt idx="8">
                  <c:v>4.3798489878771656E-2</c:v>
                </c:pt>
                <c:pt idx="9">
                  <c:v>4.4176944425407622E-2</c:v>
                </c:pt>
                <c:pt idx="10">
                  <c:v>4.4537299665307985E-2</c:v>
                </c:pt>
                <c:pt idx="11">
                  <c:v>4.6096473825085103E-2</c:v>
                </c:pt>
                <c:pt idx="12">
                  <c:v>4.7316812009618604E-2</c:v>
                </c:pt>
                <c:pt idx="13">
                  <c:v>4.8271949237420918E-2</c:v>
                </c:pt>
                <c:pt idx="14">
                  <c:v>4.9019518342031561E-2</c:v>
                </c:pt>
                <c:pt idx="15">
                  <c:v>4.9604627528335873E-2</c:v>
                </c:pt>
                <c:pt idx="16">
                  <c:v>5.0062582194715502E-2</c:v>
                </c:pt>
                <c:pt idx="17">
                  <c:v>5.0421015255361051E-2</c:v>
                </c:pt>
                <c:pt idx="18">
                  <c:v>5.0701554506067656E-2</c:v>
                </c:pt>
                <c:pt idx="19">
                  <c:v>5.109298367277125E-2</c:v>
                </c:pt>
                <c:pt idx="20">
                  <c:v>5.1332769951181412E-2</c:v>
                </c:pt>
                <c:pt idx="21">
                  <c:v>5.1479661047207817E-2</c:v>
                </c:pt>
                <c:pt idx="22">
                  <c:v>5.1569645320848907E-2</c:v>
                </c:pt>
                <c:pt idx="23">
                  <c:v>5.1624768944552139E-2</c:v>
                </c:pt>
                <c:pt idx="24">
                  <c:v>5.1658537221687936E-2</c:v>
                </c:pt>
                <c:pt idx="25">
                  <c:v>5.167922338968841E-2</c:v>
                </c:pt>
                <c:pt idx="26">
                  <c:v>5.1686331877333111E-2</c:v>
                </c:pt>
                <c:pt idx="27">
                  <c:v>5.1704413906313813E-2</c:v>
                </c:pt>
                <c:pt idx="28">
                  <c:v>5.1709724890656006E-2</c:v>
                </c:pt>
                <c:pt idx="29">
                  <c:v>5.1711284812648896E-2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A3-4B74-8635-AB85BA9E86AD}"/>
            </c:ext>
          </c:extLst>
        </c:ser>
        <c:ser>
          <c:idx val="2"/>
          <c:order val="2"/>
          <c:tx>
            <c:v>6000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Sheet1!$T$9:$T$38</c:f>
              <c:numCache>
                <c:formatCode>0.0000</c:formatCode>
                <c:ptCount val="30"/>
                <c:pt idx="0">
                  <c:v>0.04</c:v>
                </c:pt>
                <c:pt idx="1">
                  <c:v>4.0630454609474065E-2</c:v>
                </c:pt>
                <c:pt idx="2">
                  <c:v>4.1231777211169135E-2</c:v>
                </c:pt>
                <c:pt idx="3">
                  <c:v>4.1805313935107093E-2</c:v>
                </c:pt>
                <c:pt idx="4">
                  <c:v>4.2352348709416607E-2</c:v>
                </c:pt>
                <c:pt idx="5">
                  <c:v>4.2874106134554467E-2</c:v>
                </c:pt>
                <c:pt idx="6">
                  <c:v>4.3371754224714912E-2</c:v>
                </c:pt>
                <c:pt idx="7">
                  <c:v>4.3846407022564239E-2</c:v>
                </c:pt>
                <c:pt idx="8">
                  <c:v>4.4299127093153784E-2</c:v>
                </c:pt>
                <c:pt idx="9">
                  <c:v>4.473092790259442E-2</c:v>
                </c:pt>
                <c:pt idx="10">
                  <c:v>4.5142776086817382E-2</c:v>
                </c:pt>
                <c:pt idx="11">
                  <c:v>4.6933546194581149E-2</c:v>
                </c:pt>
                <c:pt idx="12">
                  <c:v>4.8347087012037451E-2</c:v>
                </c:pt>
                <c:pt idx="13">
                  <c:v>4.9462862640607758E-2</c:v>
                </c:pt>
                <c:pt idx="14">
                  <c:v>5.0343597910461356E-2</c:v>
                </c:pt>
                <c:pt idx="15">
                  <c:v>5.1038804541348272E-2</c:v>
                </c:pt>
                <c:pt idx="16">
                  <c:v>5.1587564510628806E-2</c:v>
                </c:pt>
                <c:pt idx="17">
                  <c:v>5.2020727099283327E-2</c:v>
                </c:pt>
                <c:pt idx="18">
                  <c:v>5.2362643125803784E-2</c:v>
                </c:pt>
                <c:pt idx="19">
                  <c:v>5.2845571573899339E-2</c:v>
                </c:pt>
                <c:pt idx="20">
                  <c:v>5.3146469936225238E-2</c:v>
                </c:pt>
                <c:pt idx="21">
                  <c:v>5.3333950762437604E-2</c:v>
                </c:pt>
                <c:pt idx="22">
                  <c:v>5.3450764492913146E-2</c:v>
                </c:pt>
                <c:pt idx="23">
                  <c:v>5.3523547656414663E-2</c:v>
                </c:pt>
                <c:pt idx="24">
                  <c:v>5.3568896682318741E-2</c:v>
                </c:pt>
                <c:pt idx="25">
                  <c:v>5.3597152312488024E-2</c:v>
                </c:pt>
                <c:pt idx="26">
                  <c:v>5.36069912277021E-2</c:v>
                </c:pt>
                <c:pt idx="27">
                  <c:v>5.363256150688972E-2</c:v>
                </c:pt>
                <c:pt idx="28">
                  <c:v>5.3640397211517941E-2</c:v>
                </c:pt>
                <c:pt idx="29">
                  <c:v>5.3642798368993397E-2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A3-4B74-8635-AB85BA9E86AD}"/>
            </c:ext>
          </c:extLst>
        </c:ser>
        <c:ser>
          <c:idx val="3"/>
          <c:order val="3"/>
          <c:tx>
            <c:v>7000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Sheet1!$U$9:$U$38</c:f>
              <c:numCache>
                <c:formatCode>0.0000</c:formatCode>
                <c:ptCount val="30"/>
                <c:pt idx="0">
                  <c:v>0.04</c:v>
                </c:pt>
                <c:pt idx="1">
                  <c:v>4.3462758577594018E-2</c:v>
                </c:pt>
                <c:pt idx="2">
                  <c:v>4.5587804829214811E-2</c:v>
                </c:pt>
                <c:pt idx="3">
                  <c:v>4.6891915835031807E-2</c:v>
                </c:pt>
                <c:pt idx="4">
                  <c:v>4.7692230423100598E-2</c:v>
                </c:pt>
                <c:pt idx="5">
                  <c:v>4.8183372233129615E-2</c:v>
                </c:pt>
                <c:pt idx="6">
                  <c:v>4.84847790563398E-2</c:v>
                </c:pt>
                <c:pt idx="7">
                  <c:v>4.8669748185871421E-2</c:v>
                </c:pt>
                <c:pt idx="8">
                  <c:v>4.8783261139942226E-2</c:v>
                </c:pt>
                <c:pt idx="9">
                  <c:v>4.8852922443828502E-2</c:v>
                </c:pt>
                <c:pt idx="10">
                  <c:v>4.8895672606564189E-2</c:v>
                </c:pt>
                <c:pt idx="11">
                  <c:v>4.895767294182219E-2</c:v>
                </c:pt>
                <c:pt idx="12">
                  <c:v>4.8963069599911202E-2</c:v>
                </c:pt>
                <c:pt idx="13">
                  <c:v>4.8963539337992593E-2</c:v>
                </c:pt>
                <c:pt idx="14">
                  <c:v>4.8963580225123385E-2</c:v>
                </c:pt>
                <c:pt idx="15">
                  <c:v>4.8963583784037451E-2</c:v>
                </c:pt>
                <c:pt idx="16">
                  <c:v>4.8963584093813878E-2</c:v>
                </c:pt>
                <c:pt idx="17">
                  <c:v>4.8963584120777559E-2</c:v>
                </c:pt>
                <c:pt idx="18">
                  <c:v>4.8963584123124543E-2</c:v>
                </c:pt>
                <c:pt idx="19">
                  <c:v>4.8963584123346615E-2</c:v>
                </c:pt>
                <c:pt idx="20">
                  <c:v>4.8963584123348294E-2</c:v>
                </c:pt>
                <c:pt idx="21">
                  <c:v>4.8963584123348308E-2</c:v>
                </c:pt>
                <c:pt idx="22">
                  <c:v>4.8963584123348308E-2</c:v>
                </c:pt>
                <c:pt idx="23">
                  <c:v>4.8963584123348308E-2</c:v>
                </c:pt>
                <c:pt idx="24">
                  <c:v>4.8963584123348308E-2</c:v>
                </c:pt>
                <c:pt idx="25">
                  <c:v>4.8963584123348308E-2</c:v>
                </c:pt>
                <c:pt idx="26">
                  <c:v>4.8963584123348308E-2</c:v>
                </c:pt>
                <c:pt idx="27">
                  <c:v>4.8963584123348308E-2</c:v>
                </c:pt>
                <c:pt idx="28">
                  <c:v>4.8963584123348308E-2</c:v>
                </c:pt>
                <c:pt idx="29">
                  <c:v>4.8963584123348308E-2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A3-4B74-8635-AB85BA9E86AD}"/>
            </c:ext>
          </c:extLst>
        </c:ser>
        <c:ser>
          <c:idx val="4"/>
          <c:order val="4"/>
          <c:tx>
            <c:v>4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  <a:alpha val="5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Sheet1!$K$9:$K$13</c:f>
              <c:numCache>
                <c:formatCode>0.000</c:formatCode>
                <c:ptCount val="5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1A3-4B74-8635-AB85BA9E86AD}"/>
            </c:ext>
          </c:extLst>
        </c:ser>
        <c:ser>
          <c:idx val="5"/>
          <c:order val="5"/>
          <c:tx>
            <c:v>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  <a:alpha val="50000"/>
                </a:schemeClr>
              </a:solidFill>
              <a:ln w="9525">
                <a:solidFill>
                  <a:schemeClr val="accent1">
                    <a:lumMod val="75000"/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Sheet1!$L$9:$L$13</c:f>
              <c:numCache>
                <c:formatCode>0.000</c:formatCode>
                <c:ptCount val="5"/>
                <c:pt idx="0">
                  <c:v>0.04</c:v>
                </c:pt>
                <c:pt idx="2">
                  <c:v>4.880607945181633E-2</c:v>
                </c:pt>
                <c:pt idx="3">
                  <c:v>5.166825839488183E-2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A3-4B74-8635-AB85BA9E86AD}"/>
            </c:ext>
          </c:extLst>
        </c:ser>
        <c:ser>
          <c:idx val="6"/>
          <c:order val="6"/>
          <c:tx>
            <c:v>6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alpha val="50000"/>
                </a:schemeClr>
              </a:solidFill>
              <a:ln w="9525">
                <a:solidFill>
                  <a:schemeClr val="tx1"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Sheet1!$M$9:$M$13</c:f>
              <c:numCache>
                <c:formatCode>0.000</c:formatCode>
                <c:ptCount val="5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1A3-4B74-8635-AB85BA9E86AD}"/>
            </c:ext>
          </c:extLst>
        </c:ser>
        <c:ser>
          <c:idx val="7"/>
          <c:order val="7"/>
          <c:tx>
            <c:v>7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  <a:alpha val="5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Sheet1!$N$9:$N$13</c:f>
              <c:numCache>
                <c:formatCode>0.000</c:formatCode>
                <c:ptCount val="5"/>
                <c:pt idx="0">
                  <c:v>0.04</c:v>
                </c:pt>
                <c:pt idx="1">
                  <c:v>4.8895149728212996E-2</c:v>
                </c:pt>
                <c:pt idx="2">
                  <c:v>5.1999999999999998E-2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A3-4B74-8635-AB85BA9E8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131312"/>
        <c:axId val="314133232"/>
      </c:scatterChart>
      <c:valAx>
        <c:axId val="314131312"/>
        <c:scaling>
          <c:orientation val="minMax"/>
          <c:max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33232"/>
        <c:crosses val="autoZero"/>
        <c:crossBetween val="midCat"/>
      </c:valAx>
      <c:valAx>
        <c:axId val="314133232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31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Ockelford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4000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Sheet1!$R$9:$R$38</c:f>
              <c:numCache>
                <c:formatCode>0.0000</c:formatCode>
                <c:ptCount val="30"/>
                <c:pt idx="0">
                  <c:v>0.04</c:v>
                </c:pt>
                <c:pt idx="1">
                  <c:v>4.0311603077862107E-2</c:v>
                </c:pt>
                <c:pt idx="2">
                  <c:v>4.061362878377843E-2</c:v>
                </c:pt>
                <c:pt idx="3">
                  <c:v>4.0906371486001097E-2</c:v>
                </c:pt>
                <c:pt idx="4">
                  <c:v>4.1190116505136556E-2</c:v>
                </c:pt>
                <c:pt idx="5">
                  <c:v>4.1465140392232286E-2</c:v>
                </c:pt>
                <c:pt idx="6">
                  <c:v>4.1731711198316222E-2</c:v>
                </c:pt>
                <c:pt idx="7">
                  <c:v>4.1990088735651757E-2</c:v>
                </c:pt>
                <c:pt idx="8">
                  <c:v>4.2240524830962793E-2</c:v>
                </c:pt>
                <c:pt idx="9">
                  <c:v>4.2483263570875736E-2</c:v>
                </c:pt>
                <c:pt idx="10">
                  <c:v>4.2718541539817648E-2</c:v>
                </c:pt>
                <c:pt idx="11">
                  <c:v>4.379080358726193E-2</c:v>
                </c:pt>
                <c:pt idx="12">
                  <c:v>4.4708104405602772E-2</c:v>
                </c:pt>
                <c:pt idx="13">
                  <c:v>4.5492838690784583E-2</c:v>
                </c:pt>
                <c:pt idx="14">
                  <c:v>4.6164164700777305E-2</c:v>
                </c:pt>
                <c:pt idx="15">
                  <c:v>4.6738471979308312E-2</c:v>
                </c:pt>
                <c:pt idx="16">
                  <c:v>4.722978148506881E-2</c:v>
                </c:pt>
                <c:pt idx="17">
                  <c:v>4.7650087895024222E-2</c:v>
                </c:pt>
                <c:pt idx="18">
                  <c:v>4.8009652438714766E-2</c:v>
                </c:pt>
                <c:pt idx="19">
                  <c:v>4.8580400491210041E-2</c:v>
                </c:pt>
                <c:pt idx="20">
                  <c:v>4.8998102083895635E-2</c:v>
                </c:pt>
                <c:pt idx="21">
                  <c:v>4.9303796724060045E-2</c:v>
                </c:pt>
                <c:pt idx="22">
                  <c:v>4.9527519148541171E-2</c:v>
                </c:pt>
                <c:pt idx="23">
                  <c:v>4.9691250260047719E-2</c:v>
                </c:pt>
                <c:pt idx="24">
                  <c:v>4.9811076767995427E-2</c:v>
                </c:pt>
                <c:pt idx="25">
                  <c:v>4.9898771720254823E-2</c:v>
                </c:pt>
                <c:pt idx="26">
                  <c:v>4.9933360843754653E-2</c:v>
                </c:pt>
                <c:pt idx="27">
                  <c:v>5.0044295695458076E-2</c:v>
                </c:pt>
                <c:pt idx="28">
                  <c:v>5.0095125944735232E-2</c:v>
                </c:pt>
                <c:pt idx="29">
                  <c:v>5.0118416319237961E-2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21-46EF-A034-D225535A0818}"/>
            </c:ext>
          </c:extLst>
        </c:ser>
        <c:ser>
          <c:idx val="1"/>
          <c:order val="1"/>
          <c:tx>
            <c:v>5000</c:v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Sheet1!$S$9:$S$38</c:f>
              <c:numCache>
                <c:formatCode>0.0000</c:formatCode>
                <c:ptCount val="30"/>
                <c:pt idx="0">
                  <c:v>0.04</c:v>
                </c:pt>
                <c:pt idx="1">
                  <c:v>4.0560114495126726E-2</c:v>
                </c:pt>
                <c:pt idx="2">
                  <c:v>4.1093441931822079E-2</c:v>
                </c:pt>
                <c:pt idx="3">
                  <c:v>4.1601263381198565E-2</c:v>
                </c:pt>
                <c:pt idx="4">
                  <c:v>4.2084798648097166E-2</c:v>
                </c:pt>
                <c:pt idx="5">
                  <c:v>4.2545209201101136E-2</c:v>
                </c:pt>
                <c:pt idx="6">
                  <c:v>4.298360096242404E-2</c:v>
                </c:pt>
                <c:pt idx="7">
                  <c:v>4.3401026964373521E-2</c:v>
                </c:pt>
                <c:pt idx="8">
                  <c:v>4.3798489878771656E-2</c:v>
                </c:pt>
                <c:pt idx="9">
                  <c:v>4.4176944425407622E-2</c:v>
                </c:pt>
                <c:pt idx="10">
                  <c:v>4.4537299665307985E-2</c:v>
                </c:pt>
                <c:pt idx="11">
                  <c:v>4.6096473825085103E-2</c:v>
                </c:pt>
                <c:pt idx="12">
                  <c:v>4.7316812009618604E-2</c:v>
                </c:pt>
                <c:pt idx="13">
                  <c:v>4.8271949237420918E-2</c:v>
                </c:pt>
                <c:pt idx="14">
                  <c:v>4.9019518342031561E-2</c:v>
                </c:pt>
                <c:pt idx="15">
                  <c:v>4.9604627528335873E-2</c:v>
                </c:pt>
                <c:pt idx="16">
                  <c:v>5.0062582194715502E-2</c:v>
                </c:pt>
                <c:pt idx="17">
                  <c:v>5.0421015255361051E-2</c:v>
                </c:pt>
                <c:pt idx="18">
                  <c:v>5.0701554506067656E-2</c:v>
                </c:pt>
                <c:pt idx="19">
                  <c:v>5.109298367277125E-2</c:v>
                </c:pt>
                <c:pt idx="20">
                  <c:v>5.1332769951181412E-2</c:v>
                </c:pt>
                <c:pt idx="21">
                  <c:v>5.1479661047207817E-2</c:v>
                </c:pt>
                <c:pt idx="22">
                  <c:v>5.1569645320848907E-2</c:v>
                </c:pt>
                <c:pt idx="23">
                  <c:v>5.1624768944552139E-2</c:v>
                </c:pt>
                <c:pt idx="24">
                  <c:v>5.1658537221687936E-2</c:v>
                </c:pt>
                <c:pt idx="25">
                  <c:v>5.167922338968841E-2</c:v>
                </c:pt>
                <c:pt idx="26">
                  <c:v>5.1686331877333111E-2</c:v>
                </c:pt>
                <c:pt idx="27">
                  <c:v>5.1704413906313813E-2</c:v>
                </c:pt>
                <c:pt idx="28">
                  <c:v>5.1709724890656006E-2</c:v>
                </c:pt>
                <c:pt idx="29">
                  <c:v>5.1711284812648896E-2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1-46EF-A034-D225535A0818}"/>
            </c:ext>
          </c:extLst>
        </c:ser>
        <c:ser>
          <c:idx val="2"/>
          <c:order val="2"/>
          <c:tx>
            <c:v>6000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Sheet1!$T$9:$T$38</c:f>
              <c:numCache>
                <c:formatCode>0.0000</c:formatCode>
                <c:ptCount val="30"/>
                <c:pt idx="0">
                  <c:v>0.04</c:v>
                </c:pt>
                <c:pt idx="1">
                  <c:v>4.0630454609474065E-2</c:v>
                </c:pt>
                <c:pt idx="2">
                  <c:v>4.1231777211169135E-2</c:v>
                </c:pt>
                <c:pt idx="3">
                  <c:v>4.1805313935107093E-2</c:v>
                </c:pt>
                <c:pt idx="4">
                  <c:v>4.2352348709416607E-2</c:v>
                </c:pt>
                <c:pt idx="5">
                  <c:v>4.2874106134554467E-2</c:v>
                </c:pt>
                <c:pt idx="6">
                  <c:v>4.3371754224714912E-2</c:v>
                </c:pt>
                <c:pt idx="7">
                  <c:v>4.3846407022564239E-2</c:v>
                </c:pt>
                <c:pt idx="8">
                  <c:v>4.4299127093153784E-2</c:v>
                </c:pt>
                <c:pt idx="9">
                  <c:v>4.473092790259442E-2</c:v>
                </c:pt>
                <c:pt idx="10">
                  <c:v>4.5142776086817382E-2</c:v>
                </c:pt>
                <c:pt idx="11">
                  <c:v>4.6933546194581149E-2</c:v>
                </c:pt>
                <c:pt idx="12">
                  <c:v>4.8347087012037451E-2</c:v>
                </c:pt>
                <c:pt idx="13">
                  <c:v>4.9462862640607758E-2</c:v>
                </c:pt>
                <c:pt idx="14">
                  <c:v>5.0343597910461356E-2</c:v>
                </c:pt>
                <c:pt idx="15">
                  <c:v>5.1038804541348272E-2</c:v>
                </c:pt>
                <c:pt idx="16">
                  <c:v>5.1587564510628806E-2</c:v>
                </c:pt>
                <c:pt idx="17">
                  <c:v>5.2020727099283327E-2</c:v>
                </c:pt>
                <c:pt idx="18">
                  <c:v>5.2362643125803784E-2</c:v>
                </c:pt>
                <c:pt idx="19">
                  <c:v>5.2845571573899339E-2</c:v>
                </c:pt>
                <c:pt idx="20">
                  <c:v>5.3146469936225238E-2</c:v>
                </c:pt>
                <c:pt idx="21">
                  <c:v>5.3333950762437604E-2</c:v>
                </c:pt>
                <c:pt idx="22">
                  <c:v>5.3450764492913146E-2</c:v>
                </c:pt>
                <c:pt idx="23">
                  <c:v>5.3523547656414663E-2</c:v>
                </c:pt>
                <c:pt idx="24">
                  <c:v>5.3568896682318741E-2</c:v>
                </c:pt>
                <c:pt idx="25">
                  <c:v>5.3597152312488024E-2</c:v>
                </c:pt>
                <c:pt idx="26">
                  <c:v>5.36069912277021E-2</c:v>
                </c:pt>
                <c:pt idx="27">
                  <c:v>5.363256150688972E-2</c:v>
                </c:pt>
                <c:pt idx="28">
                  <c:v>5.3640397211517941E-2</c:v>
                </c:pt>
                <c:pt idx="29">
                  <c:v>5.3642798368993397E-2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21-46EF-A034-D225535A0818}"/>
            </c:ext>
          </c:extLst>
        </c:ser>
        <c:ser>
          <c:idx val="3"/>
          <c:order val="3"/>
          <c:tx>
            <c:v>7000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Sheet1!$Q$9:$Q$38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 formatCode="0">
                  <c:v>3</c:v>
                </c:pt>
                <c:pt idx="4" formatCode="0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  <c:pt idx="17">
                  <c:v>45</c:v>
                </c:pt>
                <c:pt idx="18">
                  <c:v>50</c:v>
                </c:pt>
                <c:pt idx="19">
                  <c:v>60</c:v>
                </c:pt>
                <c:pt idx="20">
                  <c:v>70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  <c:pt idx="24">
                  <c:v>110</c:v>
                </c:pt>
                <c:pt idx="25">
                  <c:v>120</c:v>
                </c:pt>
                <c:pt idx="26">
                  <c:v>125</c:v>
                </c:pt>
                <c:pt idx="27">
                  <c:v>150</c:v>
                </c:pt>
                <c:pt idx="28">
                  <c:v>175</c:v>
                </c:pt>
                <c:pt idx="29">
                  <c:v>200</c:v>
                </c:pt>
              </c:numCache>
            </c:numRef>
          </c:xVal>
          <c:yVal>
            <c:numRef>
              <c:f>Sheet1!$U$9:$U$38</c:f>
              <c:numCache>
                <c:formatCode>0.0000</c:formatCode>
                <c:ptCount val="30"/>
                <c:pt idx="0">
                  <c:v>0.04</c:v>
                </c:pt>
                <c:pt idx="1">
                  <c:v>4.3462758577594018E-2</c:v>
                </c:pt>
                <c:pt idx="2">
                  <c:v>4.5587804829214811E-2</c:v>
                </c:pt>
                <c:pt idx="3">
                  <c:v>4.6891915835031807E-2</c:v>
                </c:pt>
                <c:pt idx="4">
                  <c:v>4.7692230423100598E-2</c:v>
                </c:pt>
                <c:pt idx="5">
                  <c:v>4.8183372233129615E-2</c:v>
                </c:pt>
                <c:pt idx="6">
                  <c:v>4.84847790563398E-2</c:v>
                </c:pt>
                <c:pt idx="7">
                  <c:v>4.8669748185871421E-2</c:v>
                </c:pt>
                <c:pt idx="8">
                  <c:v>4.8783261139942226E-2</c:v>
                </c:pt>
                <c:pt idx="9">
                  <c:v>4.8852922443828502E-2</c:v>
                </c:pt>
                <c:pt idx="10">
                  <c:v>4.8895672606564189E-2</c:v>
                </c:pt>
                <c:pt idx="11">
                  <c:v>4.895767294182219E-2</c:v>
                </c:pt>
                <c:pt idx="12">
                  <c:v>4.8963069599911202E-2</c:v>
                </c:pt>
                <c:pt idx="13">
                  <c:v>4.8963539337992593E-2</c:v>
                </c:pt>
                <c:pt idx="14">
                  <c:v>4.8963580225123385E-2</c:v>
                </c:pt>
                <c:pt idx="15">
                  <c:v>4.8963583784037451E-2</c:v>
                </c:pt>
                <c:pt idx="16">
                  <c:v>4.8963584093813878E-2</c:v>
                </c:pt>
                <c:pt idx="17">
                  <c:v>4.8963584120777559E-2</c:v>
                </c:pt>
                <c:pt idx="18">
                  <c:v>4.8963584123124543E-2</c:v>
                </c:pt>
                <c:pt idx="19">
                  <c:v>4.8963584123346615E-2</c:v>
                </c:pt>
                <c:pt idx="20">
                  <c:v>4.8963584123348294E-2</c:v>
                </c:pt>
                <c:pt idx="21">
                  <c:v>4.8963584123348308E-2</c:v>
                </c:pt>
                <c:pt idx="22">
                  <c:v>4.8963584123348308E-2</c:v>
                </c:pt>
                <c:pt idx="23">
                  <c:v>4.8963584123348308E-2</c:v>
                </c:pt>
                <c:pt idx="24">
                  <c:v>4.8963584123348308E-2</c:v>
                </c:pt>
                <c:pt idx="25">
                  <c:v>4.8963584123348308E-2</c:v>
                </c:pt>
                <c:pt idx="26">
                  <c:v>4.8963584123348308E-2</c:v>
                </c:pt>
                <c:pt idx="27">
                  <c:v>4.8963584123348308E-2</c:v>
                </c:pt>
                <c:pt idx="28">
                  <c:v>4.8963584123348308E-2</c:v>
                </c:pt>
                <c:pt idx="29">
                  <c:v>4.8963584123348308E-2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1-46EF-A034-D225535A0818}"/>
            </c:ext>
          </c:extLst>
        </c:ser>
        <c:ser>
          <c:idx val="4"/>
          <c:order val="4"/>
          <c:tx>
            <c:v>4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  <a:alpha val="5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Sheet1!$K$9:$K$13</c:f>
              <c:numCache>
                <c:formatCode>0.000</c:formatCode>
                <c:ptCount val="5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21-46EF-A034-D225535A0818}"/>
            </c:ext>
          </c:extLst>
        </c:ser>
        <c:ser>
          <c:idx val="5"/>
          <c:order val="5"/>
          <c:tx>
            <c:v>5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  <a:alpha val="50000"/>
                </a:schemeClr>
              </a:solidFill>
              <a:ln w="9525">
                <a:solidFill>
                  <a:schemeClr val="accent1">
                    <a:lumMod val="75000"/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Sheet1!$L$9:$L$13</c:f>
              <c:numCache>
                <c:formatCode>0.000</c:formatCode>
                <c:ptCount val="5"/>
                <c:pt idx="0">
                  <c:v>0.04</c:v>
                </c:pt>
                <c:pt idx="2">
                  <c:v>4.880607945181633E-2</c:v>
                </c:pt>
                <c:pt idx="3">
                  <c:v>5.166825839488183E-2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1-46EF-A034-D225535A0818}"/>
            </c:ext>
          </c:extLst>
        </c:ser>
        <c:ser>
          <c:idx val="6"/>
          <c:order val="6"/>
          <c:tx>
            <c:v>6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alpha val="50000"/>
                </a:schemeClr>
              </a:solidFill>
              <a:ln w="9525">
                <a:solidFill>
                  <a:schemeClr val="tx1"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Sheet1!$M$9:$M$13</c:f>
              <c:numCache>
                <c:formatCode>0.000</c:formatCode>
                <c:ptCount val="5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E21-46EF-A034-D225535A0818}"/>
            </c:ext>
          </c:extLst>
        </c:ser>
        <c:ser>
          <c:idx val="7"/>
          <c:order val="7"/>
          <c:tx>
            <c:v>7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  <a:alpha val="5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  <a:alpha val="50000"/>
                  </a:schemeClr>
                </a:solidFill>
              </a:ln>
              <a:effectLst/>
            </c:spPr>
          </c:marker>
          <c:xVal>
            <c:numRef>
              <c:f>Sheet1!$B$9:$B$13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Sheet1!$N$9:$N$13</c:f>
              <c:numCache>
                <c:formatCode>0.000</c:formatCode>
                <c:ptCount val="5"/>
                <c:pt idx="0">
                  <c:v>0.04</c:v>
                </c:pt>
                <c:pt idx="1">
                  <c:v>4.8895149728212996E-2</c:v>
                </c:pt>
                <c:pt idx="2">
                  <c:v>5.1999999999999998E-2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1-46EF-A034-D225535A0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131312"/>
        <c:axId val="314133232"/>
      </c:scatterChart>
      <c:valAx>
        <c:axId val="314131312"/>
        <c:scaling>
          <c:orientation val="minMax"/>
          <c:max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33232"/>
        <c:crosses val="autoZero"/>
        <c:crossBetween val="midCat"/>
      </c:valAx>
      <c:valAx>
        <c:axId val="314133232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31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tau*c with flow magnitude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v>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Sheet1!$C$27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Sheet1!$G$27</c:f>
              <c:numCache>
                <c:formatCode>0.000</c:formatCode>
                <c:ptCount val="1"/>
                <c:pt idx="0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04-4291-9423-F0D2BC8BA49C}"/>
            </c:ext>
          </c:extLst>
        </c:ser>
        <c:ser>
          <c:idx val="0"/>
          <c:order val="1"/>
          <c:tx>
            <c:v>10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Sheet1!$C$28:$F$28</c:f>
              <c:numCache>
                <c:formatCode>0.00</c:formatCode>
                <c:ptCount val="4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  <c:pt idx="3">
                  <c:v>1.3678935834624455</c:v>
                </c:pt>
              </c:numCache>
            </c:numRef>
          </c:xVal>
          <c:yVal>
            <c:numRef>
              <c:f>Sheet1!$G$28:$J$28</c:f>
              <c:numCache>
                <c:formatCode>0.000</c:formatCode>
                <c:ptCount val="4"/>
                <c:pt idx="0">
                  <c:v>4.2718541539817648E-2</c:v>
                </c:pt>
                <c:pt idx="1">
                  <c:v>4.4537299665307985E-2</c:v>
                </c:pt>
                <c:pt idx="2">
                  <c:v>4.5142776086817382E-2</c:v>
                </c:pt>
                <c:pt idx="3">
                  <c:v>4.8895672606564189E-2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4-4291-9423-F0D2BC8BA49C}"/>
            </c:ext>
          </c:extLst>
        </c:ser>
        <c:ser>
          <c:idx val="1"/>
          <c:order val="2"/>
          <c:tx>
            <c:v>30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75000"/>
                </a:schemeClr>
              </a:solidFill>
              <a:ln w="9525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xVal>
            <c:numRef>
              <c:f>Sheet1!$C$29:$F$29</c:f>
              <c:numCache>
                <c:formatCode>0.00</c:formatCode>
                <c:ptCount val="4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  <c:pt idx="3">
                  <c:v>1.3678935834624455</c:v>
                </c:pt>
              </c:numCache>
            </c:numRef>
          </c:xVal>
          <c:yVal>
            <c:numRef>
              <c:f>Sheet1!$G$29:$J$29</c:f>
              <c:numCache>
                <c:formatCode>0.000</c:formatCode>
                <c:ptCount val="4"/>
                <c:pt idx="0">
                  <c:v>4.6164164700777305E-2</c:v>
                </c:pt>
                <c:pt idx="1">
                  <c:v>4.9019518342031561E-2</c:v>
                </c:pt>
                <c:pt idx="2">
                  <c:v>5.0343597910461356E-2</c:v>
                </c:pt>
                <c:pt idx="3">
                  <c:v>4.8963580225123385E-2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04-4291-9423-F0D2BC8BA49C}"/>
            </c:ext>
          </c:extLst>
        </c:ser>
        <c:ser>
          <c:idx val="2"/>
          <c:order val="3"/>
          <c:tx>
            <c:v>60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50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xVal>
            <c:numRef>
              <c:f>Sheet1!$C$30:$F$30</c:f>
              <c:numCache>
                <c:formatCode>0.00</c:formatCode>
                <c:ptCount val="4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  <c:pt idx="3">
                  <c:v>1.3678935834624455</c:v>
                </c:pt>
              </c:numCache>
            </c:numRef>
          </c:xVal>
          <c:yVal>
            <c:numRef>
              <c:f>Sheet1!$G$30:$J$30</c:f>
              <c:numCache>
                <c:formatCode>0.000</c:formatCode>
                <c:ptCount val="4"/>
                <c:pt idx="0">
                  <c:v>4.8580400491210041E-2</c:v>
                </c:pt>
                <c:pt idx="1">
                  <c:v>5.109298367277125E-2</c:v>
                </c:pt>
                <c:pt idx="2">
                  <c:v>5.2845571573899339E-2</c:v>
                </c:pt>
                <c:pt idx="3">
                  <c:v>4.8963584123346615E-2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04-4291-9423-F0D2BC8BA49C}"/>
            </c:ext>
          </c:extLst>
        </c:ser>
        <c:ser>
          <c:idx val="3"/>
          <c:order val="4"/>
          <c:tx>
            <c:v>120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10000"/>
                </a:schemeClr>
              </a:solidFill>
              <a:ln w="9525">
                <a:solidFill>
                  <a:schemeClr val="bg2">
                    <a:lumMod val="10000"/>
                  </a:schemeClr>
                </a:solidFill>
              </a:ln>
              <a:effectLst/>
            </c:spPr>
          </c:marker>
          <c:xVal>
            <c:numRef>
              <c:f>Sheet1!$C$31:$F$31</c:f>
              <c:numCache>
                <c:formatCode>0.00</c:formatCode>
                <c:ptCount val="4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  <c:pt idx="3">
                  <c:v>1.3678935834624455</c:v>
                </c:pt>
              </c:numCache>
            </c:numRef>
          </c:xVal>
          <c:yVal>
            <c:numRef>
              <c:f>Sheet1!$G$31:$J$31</c:f>
              <c:numCache>
                <c:formatCode>0.000</c:formatCode>
                <c:ptCount val="4"/>
                <c:pt idx="0">
                  <c:v>4.9898771720254823E-2</c:v>
                </c:pt>
                <c:pt idx="1">
                  <c:v>5.167922338968841E-2</c:v>
                </c:pt>
                <c:pt idx="2">
                  <c:v>5.3597152312488024E-2</c:v>
                </c:pt>
                <c:pt idx="3">
                  <c:v>4.8963584123348308E-2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04-4291-9423-F0D2BC8BA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9698944"/>
        <c:axId val="1799699424"/>
      </c:scatterChart>
      <c:valAx>
        <c:axId val="1799698944"/>
        <c:scaling>
          <c:orientation val="minMax"/>
          <c:max val="1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tau*/tau*ref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699424"/>
        <c:crosses val="autoZero"/>
        <c:crossBetween val="midCat"/>
      </c:valAx>
      <c:valAx>
        <c:axId val="1799699424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698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Ockelford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4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Sheet1!$N$62:$N$90</c:f>
              <c:numCache>
                <c:formatCode>General</c:formatCode>
                <c:ptCount val="29"/>
                <c:pt idx="0">
                  <c:v>1</c:v>
                </c:pt>
                <c:pt idx="1">
                  <c:v>2</c:v>
                </c:pt>
                <c:pt idx="2" formatCode="0">
                  <c:v>3</c:v>
                </c:pt>
                <c:pt idx="3" formatCode="0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15</c:v>
                </c:pt>
                <c:pt idx="11">
                  <c:v>20</c:v>
                </c:pt>
                <c:pt idx="12">
                  <c:v>25</c:v>
                </c:pt>
                <c:pt idx="13">
                  <c:v>30</c:v>
                </c:pt>
                <c:pt idx="14">
                  <c:v>35</c:v>
                </c:pt>
                <c:pt idx="15">
                  <c:v>40</c:v>
                </c:pt>
                <c:pt idx="16">
                  <c:v>45</c:v>
                </c:pt>
                <c:pt idx="17">
                  <c:v>50</c:v>
                </c:pt>
                <c:pt idx="18">
                  <c:v>60</c:v>
                </c:pt>
                <c:pt idx="19">
                  <c:v>70</c:v>
                </c:pt>
                <c:pt idx="20">
                  <c:v>80</c:v>
                </c:pt>
                <c:pt idx="21">
                  <c:v>90</c:v>
                </c:pt>
                <c:pt idx="22">
                  <c:v>100</c:v>
                </c:pt>
                <c:pt idx="23">
                  <c:v>110</c:v>
                </c:pt>
                <c:pt idx="24">
                  <c:v>120</c:v>
                </c:pt>
                <c:pt idx="25">
                  <c:v>125</c:v>
                </c:pt>
                <c:pt idx="26">
                  <c:v>150</c:v>
                </c:pt>
                <c:pt idx="27">
                  <c:v>175</c:v>
                </c:pt>
                <c:pt idx="28">
                  <c:v>200</c:v>
                </c:pt>
              </c:numCache>
            </c:numRef>
          </c:xVal>
          <c:yVal>
            <c:numRef>
              <c:f>Sheet1!$O$62:$O$90</c:f>
              <c:numCache>
                <c:formatCode>General</c:formatCode>
                <c:ptCount val="29"/>
                <c:pt idx="0">
                  <c:v>3.1160307786210623E-4</c:v>
                </c:pt>
                <c:pt idx="1">
                  <c:v>3.0202570591632283E-4</c:v>
                </c:pt>
                <c:pt idx="2">
                  <c:v>2.9274270222266752E-4</c:v>
                </c:pt>
                <c:pt idx="3">
                  <c:v>2.8374501913545902E-4</c:v>
                </c:pt>
                <c:pt idx="4">
                  <c:v>2.7502388709572945E-4</c:v>
                </c:pt>
                <c:pt idx="5">
                  <c:v>2.6657080608393641E-4</c:v>
                </c:pt>
                <c:pt idx="6">
                  <c:v>2.5837753733553431E-4</c:v>
                </c:pt>
                <c:pt idx="7">
                  <c:v>2.5043609531103656E-4</c:v>
                </c:pt>
                <c:pt idx="8">
                  <c:v>2.427387399129427E-4</c:v>
                </c:pt>
                <c:pt idx="9">
                  <c:v>2.3527796894191183E-4</c:v>
                </c:pt>
                <c:pt idx="10">
                  <c:v>2.1445240948885641E-4</c:v>
                </c:pt>
                <c:pt idx="11">
                  <c:v>1.8346016366816846E-4</c:v>
                </c:pt>
                <c:pt idx="12">
                  <c:v>1.5694685703636219E-4</c:v>
                </c:pt>
                <c:pt idx="13">
                  <c:v>1.3426520199854436E-4</c:v>
                </c:pt>
                <c:pt idx="14">
                  <c:v>1.1486145570620138E-4</c:v>
                </c:pt>
                <c:pt idx="15">
                  <c:v>9.8261901152099651E-5</c:v>
                </c:pt>
                <c:pt idx="16">
                  <c:v>8.4061281991082429E-5</c:v>
                </c:pt>
                <c:pt idx="17">
                  <c:v>7.1912908738108741E-5</c:v>
                </c:pt>
                <c:pt idx="18">
                  <c:v>5.7074805249527488E-5</c:v>
                </c:pt>
                <c:pt idx="19">
                  <c:v>4.1770159268559456E-5</c:v>
                </c:pt>
                <c:pt idx="20">
                  <c:v>3.0569464016440978E-5</c:v>
                </c:pt>
                <c:pt idx="21">
                  <c:v>2.2372242448112644E-5</c:v>
                </c:pt>
                <c:pt idx="22">
                  <c:v>1.6373111150654734E-5</c:v>
                </c:pt>
                <c:pt idx="23">
                  <c:v>1.1982650794770816E-5</c:v>
                </c:pt>
                <c:pt idx="24">
                  <c:v>8.7694952259395616E-6</c:v>
                </c:pt>
                <c:pt idx="25">
                  <c:v>6.9178246999659911E-6</c:v>
                </c:pt>
                <c:pt idx="26">
                  <c:v>4.4373940681369239E-6</c:v>
                </c:pt>
                <c:pt idx="27">
                  <c:v>2.0332099710862472E-6</c:v>
                </c:pt>
                <c:pt idx="28">
                  <c:v>9.3161498010918554E-7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5C-4D30-8C80-467CB1200408}"/>
            </c:ext>
          </c:extLst>
        </c:ser>
        <c:ser>
          <c:idx val="1"/>
          <c:order val="1"/>
          <c:tx>
            <c:v>5</c:v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Sheet1!$N$62:$N$90</c:f>
              <c:numCache>
                <c:formatCode>General</c:formatCode>
                <c:ptCount val="29"/>
                <c:pt idx="0">
                  <c:v>1</c:v>
                </c:pt>
                <c:pt idx="1">
                  <c:v>2</c:v>
                </c:pt>
                <c:pt idx="2" formatCode="0">
                  <c:v>3</c:v>
                </c:pt>
                <c:pt idx="3" formatCode="0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15</c:v>
                </c:pt>
                <c:pt idx="11">
                  <c:v>20</c:v>
                </c:pt>
                <c:pt idx="12">
                  <c:v>25</c:v>
                </c:pt>
                <c:pt idx="13">
                  <c:v>30</c:v>
                </c:pt>
                <c:pt idx="14">
                  <c:v>35</c:v>
                </c:pt>
                <c:pt idx="15">
                  <c:v>40</c:v>
                </c:pt>
                <c:pt idx="16">
                  <c:v>45</c:v>
                </c:pt>
                <c:pt idx="17">
                  <c:v>50</c:v>
                </c:pt>
                <c:pt idx="18">
                  <c:v>60</c:v>
                </c:pt>
                <c:pt idx="19">
                  <c:v>70</c:v>
                </c:pt>
                <c:pt idx="20">
                  <c:v>80</c:v>
                </c:pt>
                <c:pt idx="21">
                  <c:v>90</c:v>
                </c:pt>
                <c:pt idx="22">
                  <c:v>100</c:v>
                </c:pt>
                <c:pt idx="23">
                  <c:v>110</c:v>
                </c:pt>
                <c:pt idx="24">
                  <c:v>120</c:v>
                </c:pt>
                <c:pt idx="25">
                  <c:v>125</c:v>
                </c:pt>
                <c:pt idx="26">
                  <c:v>150</c:v>
                </c:pt>
                <c:pt idx="27">
                  <c:v>175</c:v>
                </c:pt>
                <c:pt idx="28">
                  <c:v>200</c:v>
                </c:pt>
              </c:numCache>
            </c:numRef>
          </c:xVal>
          <c:yVal>
            <c:numRef>
              <c:f>Sheet1!$P$62:$P$90</c:f>
              <c:numCache>
                <c:formatCode>General</c:formatCode>
                <c:ptCount val="29"/>
                <c:pt idx="0">
                  <c:v>5.6011449512672479E-4</c:v>
                </c:pt>
                <c:pt idx="1">
                  <c:v>5.333274366953536E-4</c:v>
                </c:pt>
                <c:pt idx="2">
                  <c:v>5.0782144937648599E-4</c:v>
                </c:pt>
                <c:pt idx="3">
                  <c:v>4.8353526689860066E-4</c:v>
                </c:pt>
                <c:pt idx="4">
                  <c:v>4.6041055300397038E-4</c:v>
                </c:pt>
                <c:pt idx="5">
                  <c:v>4.3839176132290381E-4</c:v>
                </c:pt>
                <c:pt idx="6">
                  <c:v>4.1742600194948076E-4</c:v>
                </c:pt>
                <c:pt idx="7">
                  <c:v>3.974629143981348E-4</c:v>
                </c:pt>
                <c:pt idx="8">
                  <c:v>3.7845454663596595E-4</c:v>
                </c:pt>
                <c:pt idx="9">
                  <c:v>3.6035523990036317E-4</c:v>
                </c:pt>
                <c:pt idx="10">
                  <c:v>3.118348319554237E-4</c:v>
                </c:pt>
                <c:pt idx="11">
                  <c:v>2.440676369067002E-4</c:v>
                </c:pt>
                <c:pt idx="12">
                  <c:v>1.9102744556046268E-4</c:v>
                </c:pt>
                <c:pt idx="13">
                  <c:v>1.495138209221286E-4</c:v>
                </c:pt>
                <c:pt idx="14">
                  <c:v>1.1702183726086252E-4</c:v>
                </c:pt>
                <c:pt idx="15">
                  <c:v>9.1590933275925707E-5</c:v>
                </c:pt>
                <c:pt idx="16">
                  <c:v>7.168661212910987E-5</c:v>
                </c:pt>
                <c:pt idx="17">
                  <c:v>5.6107850141320917E-5</c:v>
                </c:pt>
                <c:pt idx="18">
                  <c:v>3.9142916670359409E-5</c:v>
                </c:pt>
                <c:pt idx="19">
                  <c:v>2.3978627841016176E-5</c:v>
                </c:pt>
                <c:pt idx="20">
                  <c:v>1.4689109602640526E-5</c:v>
                </c:pt>
                <c:pt idx="21">
                  <c:v>8.998427364109024E-6</c:v>
                </c:pt>
                <c:pt idx="22">
                  <c:v>5.5123623703232096E-6</c:v>
                </c:pt>
                <c:pt idx="23">
                  <c:v>3.3768277135796942E-6</c:v>
                </c:pt>
                <c:pt idx="24">
                  <c:v>2.0686168000473571E-6</c:v>
                </c:pt>
                <c:pt idx="25">
                  <c:v>1.4216975289402246E-6</c:v>
                </c:pt>
                <c:pt idx="26">
                  <c:v>7.2328115922809525E-7</c:v>
                </c:pt>
                <c:pt idx="27">
                  <c:v>2.1243937368770061E-7</c:v>
                </c:pt>
                <c:pt idx="28">
                  <c:v>6.239687971559826E-8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5C-4D30-8C80-467CB1200408}"/>
            </c:ext>
          </c:extLst>
        </c:ser>
        <c:ser>
          <c:idx val="2"/>
          <c:order val="2"/>
          <c:tx>
            <c:v>6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Sheet1!$N$62:$N$90</c:f>
              <c:numCache>
                <c:formatCode>General</c:formatCode>
                <c:ptCount val="29"/>
                <c:pt idx="0">
                  <c:v>1</c:v>
                </c:pt>
                <c:pt idx="1">
                  <c:v>2</c:v>
                </c:pt>
                <c:pt idx="2" formatCode="0">
                  <c:v>3</c:v>
                </c:pt>
                <c:pt idx="3" formatCode="0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15</c:v>
                </c:pt>
                <c:pt idx="11">
                  <c:v>20</c:v>
                </c:pt>
                <c:pt idx="12">
                  <c:v>25</c:v>
                </c:pt>
                <c:pt idx="13">
                  <c:v>30</c:v>
                </c:pt>
                <c:pt idx="14">
                  <c:v>35</c:v>
                </c:pt>
                <c:pt idx="15">
                  <c:v>40</c:v>
                </c:pt>
                <c:pt idx="16">
                  <c:v>45</c:v>
                </c:pt>
                <c:pt idx="17">
                  <c:v>50</c:v>
                </c:pt>
                <c:pt idx="18">
                  <c:v>60</c:v>
                </c:pt>
                <c:pt idx="19">
                  <c:v>70</c:v>
                </c:pt>
                <c:pt idx="20">
                  <c:v>80</c:v>
                </c:pt>
                <c:pt idx="21">
                  <c:v>90</c:v>
                </c:pt>
                <c:pt idx="22">
                  <c:v>100</c:v>
                </c:pt>
                <c:pt idx="23">
                  <c:v>110</c:v>
                </c:pt>
                <c:pt idx="24">
                  <c:v>120</c:v>
                </c:pt>
                <c:pt idx="25">
                  <c:v>125</c:v>
                </c:pt>
                <c:pt idx="26">
                  <c:v>150</c:v>
                </c:pt>
                <c:pt idx="27">
                  <c:v>175</c:v>
                </c:pt>
                <c:pt idx="28">
                  <c:v>200</c:v>
                </c:pt>
              </c:numCache>
            </c:numRef>
          </c:xVal>
          <c:yVal>
            <c:numRef>
              <c:f>Sheet1!$Q$62:$Q$90</c:f>
              <c:numCache>
                <c:formatCode>General</c:formatCode>
                <c:ptCount val="29"/>
                <c:pt idx="0">
                  <c:v>6.3045460947406401E-4</c:v>
                </c:pt>
                <c:pt idx="1">
                  <c:v>6.0132260169507012E-4</c:v>
                </c:pt>
                <c:pt idx="2">
                  <c:v>5.7353672393795768E-4</c:v>
                </c:pt>
                <c:pt idx="3">
                  <c:v>5.4703477430951414E-4</c:v>
                </c:pt>
                <c:pt idx="4">
                  <c:v>5.2175742513786011E-4</c:v>
                </c:pt>
                <c:pt idx="5">
                  <c:v>4.9764809016044492E-4</c:v>
                </c:pt>
                <c:pt idx="6">
                  <c:v>4.7465279784932729E-4</c:v>
                </c:pt>
                <c:pt idx="7">
                  <c:v>4.5272007058954483E-4</c:v>
                </c:pt>
                <c:pt idx="8">
                  <c:v>4.3180080944063559E-4</c:v>
                </c:pt>
                <c:pt idx="9">
                  <c:v>4.1184818422296265E-4</c:v>
                </c:pt>
                <c:pt idx="10">
                  <c:v>3.5815402155275346E-4</c:v>
                </c:pt>
                <c:pt idx="11">
                  <c:v>2.8270816349126036E-4</c:v>
                </c:pt>
                <c:pt idx="12">
                  <c:v>2.2315512571406126E-4</c:v>
                </c:pt>
                <c:pt idx="13">
                  <c:v>1.7614705397071966E-4</c:v>
                </c:pt>
                <c:pt idx="14">
                  <c:v>1.3904132617738318E-4</c:v>
                </c:pt>
                <c:pt idx="15">
                  <c:v>1.0975199385610673E-4</c:v>
                </c:pt>
                <c:pt idx="16">
                  <c:v>8.6632517730904352E-5</c:v>
                </c:pt>
                <c:pt idx="17">
                  <c:v>6.8383205304091421E-5</c:v>
                </c:pt>
                <c:pt idx="18">
                  <c:v>4.8292844809555425E-5</c:v>
                </c:pt>
                <c:pt idx="19">
                  <c:v>3.0089836232589928E-5</c:v>
                </c:pt>
                <c:pt idx="20">
                  <c:v>1.8748082621236618E-5</c:v>
                </c:pt>
                <c:pt idx="21">
                  <c:v>1.168137304755415E-5</c:v>
                </c:pt>
                <c:pt idx="22">
                  <c:v>7.2783163501517752E-6</c:v>
                </c:pt>
                <c:pt idx="23">
                  <c:v>4.5349025904077581E-6</c:v>
                </c:pt>
                <c:pt idx="24">
                  <c:v>2.8255630169282674E-6</c:v>
                </c:pt>
                <c:pt idx="25">
                  <c:v>1.967783042815252E-6</c:v>
                </c:pt>
                <c:pt idx="26">
                  <c:v>1.0228111675048002E-6</c:v>
                </c:pt>
                <c:pt idx="27">
                  <c:v>3.1342818512886119E-7</c:v>
                </c:pt>
                <c:pt idx="28">
                  <c:v>9.6046299018215375E-8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5C-4D30-8C80-467CB1200408}"/>
            </c:ext>
          </c:extLst>
        </c:ser>
        <c:ser>
          <c:idx val="3"/>
          <c:order val="3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Sheet1!$N$62:$N$81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 formatCode="0">
                  <c:v>3</c:v>
                </c:pt>
                <c:pt idx="3" formatCode="0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15</c:v>
                </c:pt>
                <c:pt idx="11">
                  <c:v>20</c:v>
                </c:pt>
                <c:pt idx="12">
                  <c:v>25</c:v>
                </c:pt>
                <c:pt idx="13">
                  <c:v>30</c:v>
                </c:pt>
                <c:pt idx="14">
                  <c:v>35</c:v>
                </c:pt>
                <c:pt idx="15">
                  <c:v>40</c:v>
                </c:pt>
                <c:pt idx="16">
                  <c:v>45</c:v>
                </c:pt>
                <c:pt idx="17">
                  <c:v>50</c:v>
                </c:pt>
                <c:pt idx="18">
                  <c:v>60</c:v>
                </c:pt>
                <c:pt idx="19">
                  <c:v>70</c:v>
                </c:pt>
              </c:numCache>
            </c:numRef>
          </c:xVal>
          <c:yVal>
            <c:numRef>
              <c:f>Sheet1!$R$62:$R$81</c:f>
              <c:numCache>
                <c:formatCode>General</c:formatCode>
                <c:ptCount val="20"/>
                <c:pt idx="0">
                  <c:v>3.4627585775940176E-3</c:v>
                </c:pt>
                <c:pt idx="1">
                  <c:v>2.1250462516207921E-3</c:v>
                </c:pt>
                <c:pt idx="2">
                  <c:v>1.3041110058169963E-3</c:v>
                </c:pt>
                <c:pt idx="3">
                  <c:v>8.0031458806879147E-4</c:v>
                </c:pt>
                <c:pt idx="4">
                  <c:v>4.9114181002901658E-4</c:v>
                </c:pt>
                <c:pt idx="5">
                  <c:v>3.0140682321018464E-4</c:v>
                </c:pt>
                <c:pt idx="6">
                  <c:v>1.8496912953162165E-4</c:v>
                </c:pt>
                <c:pt idx="7">
                  <c:v>1.1351295407080464E-4</c:v>
                </c:pt>
                <c:pt idx="8">
                  <c:v>6.9661303886275894E-5</c:v>
                </c:pt>
                <c:pt idx="9">
                  <c:v>4.2750162735687158E-5</c:v>
                </c:pt>
                <c:pt idx="10">
                  <c:v>1.2400067051600295E-5</c:v>
                </c:pt>
                <c:pt idx="11">
                  <c:v>1.0793316178023259E-6</c:v>
                </c:pt>
                <c:pt idx="12">
                  <c:v>9.3947616278122764E-8</c:v>
                </c:pt>
                <c:pt idx="13">
                  <c:v>8.1774261584399707E-9</c:v>
                </c:pt>
                <c:pt idx="14">
                  <c:v>7.1178281324524306E-10</c:v>
                </c:pt>
                <c:pt idx="15">
                  <c:v>6.1955285346471098E-11</c:v>
                </c:pt>
                <c:pt idx="16">
                  <c:v>5.3927362575478807E-12</c:v>
                </c:pt>
                <c:pt idx="17">
                  <c:v>4.6939674369639304E-13</c:v>
                </c:pt>
                <c:pt idx="18">
                  <c:v>2.2207236050064694E-14</c:v>
                </c:pt>
                <c:pt idx="19">
                  <c:v>1.6792123247455492E-16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5C-4D30-8C80-467CB1200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131312"/>
        <c:axId val="314133232"/>
      </c:scatterChart>
      <c:valAx>
        <c:axId val="314131312"/>
        <c:scaling>
          <c:orientation val="minMax"/>
          <c:max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33232"/>
        <c:crosses val="autoZero"/>
        <c:crossBetween val="midCat"/>
      </c:valAx>
      <c:valAx>
        <c:axId val="31413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tau*c</a:t>
                </a:r>
                <a:r>
                  <a:rPr lang="en-US" baseline="0"/>
                  <a:t> / dt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131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tau*c with flow magnitude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v>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Sheet1!$C$27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Sheet1!$G$27</c:f>
              <c:numCache>
                <c:formatCode>0.000</c:formatCode>
                <c:ptCount val="1"/>
                <c:pt idx="0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4A-4FAD-8419-B91C6AD3F2E3}"/>
            </c:ext>
          </c:extLst>
        </c:ser>
        <c:ser>
          <c:idx val="0"/>
          <c:order val="1"/>
          <c:tx>
            <c:v>10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194299830168288"/>
                  <c:y val="7.773932453662547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Sheet1!$C$28:$E$28</c:f>
              <c:numCache>
                <c:formatCode>0.00</c:formatCode>
                <c:ptCount val="3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</c:numCache>
            </c:numRef>
          </c:xVal>
          <c:yVal>
            <c:numRef>
              <c:f>Sheet1!$G$28:$I$28</c:f>
              <c:numCache>
                <c:formatCode>0.000</c:formatCode>
                <c:ptCount val="3"/>
                <c:pt idx="0">
                  <c:v>4.2718541539817648E-2</c:v>
                </c:pt>
                <c:pt idx="1">
                  <c:v>4.4537299665307985E-2</c:v>
                </c:pt>
                <c:pt idx="2">
                  <c:v>4.5142776086817382E-2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4A-4FAD-8419-B91C6AD3F2E3}"/>
            </c:ext>
          </c:extLst>
        </c:ser>
        <c:ser>
          <c:idx val="1"/>
          <c:order val="2"/>
          <c:tx>
            <c:v>30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75000"/>
                </a:schemeClr>
              </a:solidFill>
              <a:ln w="9525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56684884977613"/>
                  <c:y val="7.57672187853708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Sheet1!$C$29:$E$29</c:f>
              <c:numCache>
                <c:formatCode>0.00</c:formatCode>
                <c:ptCount val="3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</c:numCache>
            </c:numRef>
          </c:xVal>
          <c:yVal>
            <c:numRef>
              <c:f>Sheet1!$G$29:$I$29</c:f>
              <c:numCache>
                <c:formatCode>0.000</c:formatCode>
                <c:ptCount val="3"/>
                <c:pt idx="0">
                  <c:v>4.6164164700777305E-2</c:v>
                </c:pt>
                <c:pt idx="1">
                  <c:v>4.9019518342031561E-2</c:v>
                </c:pt>
                <c:pt idx="2">
                  <c:v>5.0343597910461356E-2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4A-4FAD-8419-B91C6AD3F2E3}"/>
            </c:ext>
          </c:extLst>
        </c:ser>
        <c:ser>
          <c:idx val="2"/>
          <c:order val="3"/>
          <c:tx>
            <c:v>60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50000"/>
                </a:schemeClr>
              </a:solidFill>
              <a:ln w="9525">
                <a:solidFill>
                  <a:schemeClr val="bg2">
                    <a:lumMod val="5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52339045854562"/>
                  <c:y val="2.920212402788532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Sheet1!$C$30:$E$30</c:f>
              <c:numCache>
                <c:formatCode>0.00</c:formatCode>
                <c:ptCount val="3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</c:numCache>
            </c:numRef>
          </c:xVal>
          <c:yVal>
            <c:numRef>
              <c:f>Sheet1!$G$30:$I$30</c:f>
              <c:numCache>
                <c:formatCode>0.000</c:formatCode>
                <c:ptCount val="3"/>
                <c:pt idx="0">
                  <c:v>4.8580400491210041E-2</c:v>
                </c:pt>
                <c:pt idx="1">
                  <c:v>5.109298367277125E-2</c:v>
                </c:pt>
                <c:pt idx="2">
                  <c:v>5.2845571573899339E-2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4A-4FAD-8419-B91C6AD3F2E3}"/>
            </c:ext>
          </c:extLst>
        </c:ser>
        <c:ser>
          <c:idx val="3"/>
          <c:order val="4"/>
          <c:tx>
            <c:v>120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10000"/>
                </a:schemeClr>
              </a:solidFill>
              <a:ln w="9525">
                <a:solidFill>
                  <a:schemeClr val="bg2">
                    <a:lumMod val="1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7841358653697701"/>
                  <c:y val="-4.45113325746375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Sheet1!$C$31:$E$31</c:f>
              <c:numCache>
                <c:formatCode>0.00</c:formatCode>
                <c:ptCount val="3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</c:numCache>
            </c:numRef>
          </c:xVal>
          <c:yVal>
            <c:numRef>
              <c:f>Sheet1!$G$31:$I$31</c:f>
              <c:numCache>
                <c:formatCode>0.000</c:formatCode>
                <c:ptCount val="3"/>
                <c:pt idx="0">
                  <c:v>4.9898771720254823E-2</c:v>
                </c:pt>
                <c:pt idx="1">
                  <c:v>5.167922338968841E-2</c:v>
                </c:pt>
                <c:pt idx="2">
                  <c:v>5.3597152312488024E-2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4A-4FAD-8419-B91C6AD3F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9698944"/>
        <c:axId val="1799699424"/>
      </c:scatterChart>
      <c:valAx>
        <c:axId val="1799698944"/>
        <c:scaling>
          <c:orientation val="minMax"/>
          <c:max val="1.4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tau*/tau*ref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699424"/>
        <c:crosses val="autoZero"/>
        <c:crossBetween val="midCat"/>
      </c:valAx>
      <c:valAx>
        <c:axId val="1799699424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698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 against tau*/tau*ref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chemeClr val="bg2">
                  <a:lumMod val="10000"/>
                </a:schemeClr>
              </a:solidFill>
              <a:ln w="9525">
                <a:solidFill>
                  <a:schemeClr val="bg2">
                    <a:lumMod val="1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1709795050073678E-2"/>
                  <c:y val="-2.73629337999416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Sheet1!$O$94:$R$94</c:f>
              <c:numCache>
                <c:formatCode>0.00</c:formatCode>
                <c:ptCount val="4"/>
                <c:pt idx="0">
                  <c:v>1.0155990589489787</c:v>
                </c:pt>
                <c:pt idx="1">
                  <c:v>1.0653180442633792</c:v>
                </c:pt>
                <c:pt idx="2">
                  <c:v>1.1830040600377434</c:v>
                </c:pt>
                <c:pt idx="3">
                  <c:v>1.3678935834624455</c:v>
                </c:pt>
              </c:numCache>
            </c:numRef>
          </c:xVal>
          <c:yVal>
            <c:numRef>
              <c:f>Sheet1!$O$97:$R$97</c:f>
              <c:numCache>
                <c:formatCode>0.000</c:formatCode>
                <c:ptCount val="4"/>
                <c:pt idx="0">
                  <c:v>3.121805887337744E-2</c:v>
                </c:pt>
                <c:pt idx="1">
                  <c:v>4.9005655112017259E-2</c:v>
                </c:pt>
                <c:pt idx="2">
                  <c:v>4.7309596105447098E-2</c:v>
                </c:pt>
                <c:pt idx="3">
                  <c:v>0.48827198056649751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AA-48AC-9387-47F99CCB5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061456"/>
        <c:axId val="1770064816"/>
      </c:scatterChart>
      <c:valAx>
        <c:axId val="1770061456"/>
        <c:scaling>
          <c:orientation val="minMax"/>
          <c:max val="1.6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tau*/tau*ref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064816"/>
        <c:crosses val="autoZero"/>
        <c:crossBetween val="midCat"/>
      </c:valAx>
      <c:valAx>
        <c:axId val="177006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061456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tau*c during the 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1"/>
          <c:tx>
            <c:v>tau/tau,ref</c:v>
          </c:tx>
          <c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>
                  <a:lumMod val="20000"/>
                  <a:lumOff val="80000"/>
                </a:schemeClr>
              </a:solidFill>
            </a:ln>
            <a:effectLst/>
          </c:spPr>
          <c:invertIfNegative val="0"/>
          <c:val>
            <c:numRef>
              <c:f>Sheet1!$E$116:$E$124</c:f>
              <c:numCache>
                <c:formatCode>0.00</c:formatCode>
                <c:ptCount val="9"/>
                <c:pt idx="0" formatCode="General">
                  <c:v>0</c:v>
                </c:pt>
                <c:pt idx="1">
                  <c:v>1.1073424247076942</c:v>
                </c:pt>
                <c:pt idx="2">
                  <c:v>1.1897953230478051</c:v>
                </c:pt>
                <c:pt idx="3">
                  <c:v>1.2168177014954049</c:v>
                </c:pt>
                <c:pt idx="4">
                  <c:v>1.243613951253066</c:v>
                </c:pt>
                <c:pt idx="5">
                  <c:v>1.2701868989294141</c:v>
                </c:pt>
                <c:pt idx="6">
                  <c:v>1.3226739608686457</c:v>
                </c:pt>
                <c:pt idx="7">
                  <c:v>1.3743005791695297</c:v>
                </c:pt>
                <c:pt idx="8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6C-42A3-9474-2EB820F9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9619744"/>
        <c:axId val="1799618784"/>
      </c:barChart>
      <c:lineChart>
        <c:grouping val="standard"/>
        <c:varyColors val="0"/>
        <c:ser>
          <c:idx val="0"/>
          <c:order val="0"/>
          <c:tx>
            <c:v>tauc</c:v>
          </c:tx>
          <c:spPr>
            <a:ln w="1905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25000"/>
                </a:schemeClr>
              </a:solidFill>
              <a:ln w="9525">
                <a:solidFill>
                  <a:schemeClr val="bg2">
                    <a:lumMod val="25000"/>
                  </a:schemeClr>
                </a:solidFill>
              </a:ln>
              <a:effectLst/>
            </c:spPr>
          </c:marker>
          <c:cat>
            <c:strRef>
              <c:f>Sheet1!$C$116:$C$124</c:f>
              <c:strCache>
                <c:ptCount val="9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ST after</c:v>
                </c:pt>
              </c:strCache>
            </c:strRef>
          </c:cat>
          <c:val>
            <c:numRef>
              <c:f>Sheet1!$F$116:$F$124</c:f>
              <c:numCache>
                <c:formatCode>0.000</c:formatCode>
                <c:ptCount val="9"/>
                <c:pt idx="0">
                  <c:v>0.04</c:v>
                </c:pt>
                <c:pt idx="1">
                  <c:v>4.4537299665307985E-2</c:v>
                </c:pt>
                <c:pt idx="2">
                  <c:v>4.7969832649869343E-2</c:v>
                </c:pt>
                <c:pt idx="3">
                  <c:v>5.0108541930213475E-2</c:v>
                </c:pt>
                <c:pt idx="4">
                  <c:v>5.1441108115710642E-2</c:v>
                </c:pt>
                <c:pt idx="5">
                  <c:v>5.2271390499132452E-2</c:v>
                </c:pt>
                <c:pt idx="8" formatCode="General">
                  <c:v>5.0999999999999997E-2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6C-42A3-9474-2EB820F9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025456"/>
        <c:axId val="1770041776"/>
      </c:lineChart>
      <c:lineChart>
        <c:grouping val="stacked"/>
        <c:varyColors val="0"/>
        <c:ser>
          <c:idx val="1"/>
          <c:order val="2"/>
          <c:tx>
            <c:v>limit</c:v>
          </c:tx>
          <c:spPr>
            <a:ln w="19050" cap="rnd">
              <a:solidFill>
                <a:srgbClr val="FF0000">
                  <a:alpha val="3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Sheet1!$G$116:$G$124</c:f>
              <c:numCache>
                <c:formatCode>General</c:formatCode>
                <c:ptCount val="9"/>
                <c:pt idx="0">
                  <c:v>1.3</c:v>
                </c:pt>
                <c:pt idx="1">
                  <c:v>1.3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1.3</c:v>
                </c:pt>
                <c:pt idx="6">
                  <c:v>1.3</c:v>
                </c:pt>
                <c:pt idx="7">
                  <c:v>1.3</c:v>
                </c:pt>
                <c:pt idx="8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6C-42A3-9474-2EB820F9F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9619744"/>
        <c:axId val="1799618784"/>
      </c:lineChart>
      <c:catAx>
        <c:axId val="177002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041776"/>
        <c:crosses val="autoZero"/>
        <c:auto val="1"/>
        <c:lblAlgn val="ctr"/>
        <c:lblOffset val="100"/>
        <c:noMultiLvlLbl val="0"/>
      </c:catAx>
      <c:valAx>
        <c:axId val="1770041776"/>
        <c:scaling>
          <c:orientation val="minMax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025456"/>
        <c:crosses val="autoZero"/>
        <c:crossBetween val="between"/>
        <c:majorUnit val="5.000000000000001E-3"/>
      </c:valAx>
      <c:valAx>
        <c:axId val="1799618784"/>
        <c:scaling>
          <c:orientation val="minMax"/>
          <c:min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tau*/tau*ref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619744"/>
        <c:crosses val="max"/>
        <c:crossBetween val="between"/>
      </c:valAx>
      <c:catAx>
        <c:axId val="1799619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99618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9524</xdr:colOff>
      <xdr:row>1</xdr:row>
      <xdr:rowOff>14286</xdr:rowOff>
    </xdr:from>
    <xdr:to>
      <xdr:col>30</xdr:col>
      <xdr:colOff>571499</xdr:colOff>
      <xdr:row>17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8755C3-0298-22C8-6208-B2AD95E7E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32</xdr:row>
      <xdr:rowOff>9525</xdr:rowOff>
    </xdr:from>
    <xdr:to>
      <xdr:col>9</xdr:col>
      <xdr:colOff>0</xdr:colOff>
      <xdr:row>49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A8F892-9107-4E75-9505-76F5C54DD3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25853</xdr:colOff>
      <xdr:row>32</xdr:row>
      <xdr:rowOff>9523</xdr:rowOff>
    </xdr:from>
    <xdr:to>
      <xdr:col>16</xdr:col>
      <xdr:colOff>16328</xdr:colOff>
      <xdr:row>48</xdr:row>
      <xdr:rowOff>190498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2C3A1F-5048-8C3A-2581-E04390C79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57</xdr:row>
      <xdr:rowOff>1</xdr:rowOff>
    </xdr:from>
    <xdr:to>
      <xdr:col>27</xdr:col>
      <xdr:colOff>66675</xdr:colOff>
      <xdr:row>81</xdr:row>
      <xdr:rowOff>133351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7E6DB4-BF62-417B-978E-AB77981E4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152400</xdr:colOff>
      <xdr:row>32</xdr:row>
      <xdr:rowOff>161924</xdr:rowOff>
    </xdr:from>
    <xdr:to>
      <xdr:col>34</xdr:col>
      <xdr:colOff>542925</xdr:colOff>
      <xdr:row>48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44F196F-45F5-4A78-A7C9-DFF5CA611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180975</xdr:colOff>
      <xdr:row>84</xdr:row>
      <xdr:rowOff>33337</xdr:rowOff>
    </xdr:from>
    <xdr:to>
      <xdr:col>26</xdr:col>
      <xdr:colOff>476250</xdr:colOff>
      <xdr:row>98</xdr:row>
      <xdr:rowOff>109537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8AC3EC-3161-0DEA-4024-CAB57748F6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219075</xdr:colOff>
      <xdr:row>108</xdr:row>
      <xdr:rowOff>38099</xdr:rowOff>
    </xdr:from>
    <xdr:to>
      <xdr:col>19</xdr:col>
      <xdr:colOff>388326</xdr:colOff>
      <xdr:row>131</xdr:row>
      <xdr:rowOff>102576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E5F9C9-0B26-448C-AC24-FB6DB9C5E0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920C-7F3D-42CB-9690-1ECB1FA4D1B3}">
  <dimension ref="A2:AG124"/>
  <sheetViews>
    <sheetView tabSelected="1" zoomScale="70" zoomScaleNormal="70" workbookViewId="0">
      <selection activeCell="R17" sqref="R17"/>
    </sheetView>
  </sheetViews>
  <sheetFormatPr defaultRowHeight="15" x14ac:dyDescent="0.25"/>
  <cols>
    <col min="8" max="8" width="10.28515625" customWidth="1"/>
    <col min="17" max="17" width="12.42578125" customWidth="1"/>
    <col min="24" max="24" width="9.28515625" customWidth="1"/>
  </cols>
  <sheetData>
    <row r="2" spans="2:22" x14ac:dyDescent="0.25">
      <c r="B2" s="1" t="s">
        <v>2</v>
      </c>
      <c r="D2" s="1"/>
      <c r="Q2" s="1" t="s">
        <v>17</v>
      </c>
      <c r="R2" s="1">
        <v>4000</v>
      </c>
      <c r="S2" s="1">
        <v>5000</v>
      </c>
      <c r="T2" s="1">
        <v>6000</v>
      </c>
      <c r="U2" s="1">
        <v>7000</v>
      </c>
    </row>
    <row r="3" spans="2:22" x14ac:dyDescent="0.25">
      <c r="Q3" t="s">
        <v>11</v>
      </c>
      <c r="R3" s="3">
        <f>+K9</f>
        <v>0.04</v>
      </c>
      <c r="S3" s="3">
        <f>+L9</f>
        <v>0.04</v>
      </c>
      <c r="T3" s="3">
        <f>+M9</f>
        <v>0.04</v>
      </c>
      <c r="U3" s="3">
        <f>+N9</f>
        <v>0.04</v>
      </c>
    </row>
    <row r="4" spans="2:22" x14ac:dyDescent="0.25">
      <c r="B4" s="1" t="s">
        <v>3</v>
      </c>
      <c r="C4" t="s">
        <v>4</v>
      </c>
      <c r="Q4" t="s">
        <v>7</v>
      </c>
      <c r="R4" s="10">
        <f>+G10</f>
        <v>1.0155990589489787</v>
      </c>
      <c r="S4" s="10">
        <f>+H10</f>
        <v>1.0653180442633792</v>
      </c>
      <c r="T4" s="10">
        <f>+I10</f>
        <v>1.1830040600377434</v>
      </c>
      <c r="U4" s="10">
        <f>+J10</f>
        <v>1.3678935834624455</v>
      </c>
    </row>
    <row r="5" spans="2:22" x14ac:dyDescent="0.25">
      <c r="C5" t="s">
        <v>5</v>
      </c>
      <c r="Q5" t="s">
        <v>12</v>
      </c>
      <c r="R5" s="3">
        <f>+AVERAGE(K12:K13)</f>
        <v>5.0138112906420021E-2</v>
      </c>
      <c r="S5" s="3">
        <f t="shared" ref="S5:U5" si="0">+AVERAGE(L12:L13)</f>
        <v>5.1711933523973123E-2</v>
      </c>
      <c r="T5" s="3">
        <f t="shared" si="0"/>
        <v>5.3643859277484912E-2</v>
      </c>
      <c r="U5" s="3">
        <f t="shared" si="0"/>
        <v>4.8963584123348308E-2</v>
      </c>
    </row>
    <row r="6" spans="2:22" x14ac:dyDescent="0.25">
      <c r="Q6" t="s">
        <v>13</v>
      </c>
      <c r="R6" s="3">
        <f>+R5-R3</f>
        <v>1.013811290642002E-2</v>
      </c>
      <c r="S6" s="3">
        <f t="shared" ref="S6:U6" si="1">+S5-S3</f>
        <v>1.1711933523973123E-2</v>
      </c>
      <c r="T6" s="3">
        <f t="shared" si="1"/>
        <v>1.3643859277484911E-2</v>
      </c>
      <c r="U6" s="3">
        <f t="shared" si="1"/>
        <v>8.9635841233483074E-3</v>
      </c>
    </row>
    <row r="7" spans="2:22" x14ac:dyDescent="0.25">
      <c r="C7" s="1" t="s">
        <v>6</v>
      </c>
      <c r="G7" s="1" t="s">
        <v>7</v>
      </c>
      <c r="K7" s="1" t="s">
        <v>0</v>
      </c>
      <c r="Q7" t="s">
        <v>14</v>
      </c>
      <c r="R7" s="3">
        <v>3.121805887337744E-2</v>
      </c>
      <c r="S7" s="3">
        <v>4.9005655112017259E-2</v>
      </c>
      <c r="T7" s="3">
        <v>4.7309596105447098E-2</v>
      </c>
      <c r="U7" s="3">
        <v>0.48827198056649751</v>
      </c>
    </row>
    <row r="8" spans="2:22" x14ac:dyDescent="0.25">
      <c r="B8" s="4" t="s">
        <v>1</v>
      </c>
      <c r="C8" s="2">
        <v>4000</v>
      </c>
      <c r="D8" s="2">
        <v>5000</v>
      </c>
      <c r="E8" s="2">
        <v>6000</v>
      </c>
      <c r="F8" s="4">
        <v>7000</v>
      </c>
      <c r="G8" s="5">
        <v>4000</v>
      </c>
      <c r="H8" s="2">
        <v>5000</v>
      </c>
      <c r="I8" s="2">
        <v>6000</v>
      </c>
      <c r="J8" s="4">
        <v>7000</v>
      </c>
      <c r="K8" s="2">
        <v>4000</v>
      </c>
      <c r="L8" s="2">
        <v>5000</v>
      </c>
      <c r="M8" s="2">
        <v>6000</v>
      </c>
      <c r="N8" s="2">
        <v>7000</v>
      </c>
      <c r="Q8" s="1" t="s">
        <v>10</v>
      </c>
      <c r="R8" s="1" t="s">
        <v>15</v>
      </c>
      <c r="S8" s="1" t="s">
        <v>15</v>
      </c>
      <c r="T8" s="1" t="s">
        <v>15</v>
      </c>
      <c r="U8" s="1" t="s">
        <v>15</v>
      </c>
    </row>
    <row r="9" spans="2:22" x14ac:dyDescent="0.25">
      <c r="B9" s="6">
        <v>0</v>
      </c>
      <c r="C9" s="7">
        <v>0</v>
      </c>
      <c r="D9" s="7">
        <v>0</v>
      </c>
      <c r="E9" s="7">
        <v>0</v>
      </c>
      <c r="F9" s="6">
        <v>0</v>
      </c>
      <c r="G9" s="7">
        <v>0</v>
      </c>
      <c r="H9" s="7">
        <v>0</v>
      </c>
      <c r="I9" s="7">
        <v>0</v>
      </c>
      <c r="J9" s="6">
        <v>0</v>
      </c>
      <c r="K9" s="13">
        <v>0.04</v>
      </c>
      <c r="L9" s="13">
        <v>0.04</v>
      </c>
      <c r="M9" s="13">
        <v>0.04</v>
      </c>
      <c r="N9" s="13">
        <v>0.04</v>
      </c>
      <c r="Q9">
        <v>0</v>
      </c>
      <c r="R9" s="16">
        <f>+R$5-R$6*EXP(-R$7*$Q9)</f>
        <v>0.04</v>
      </c>
      <c r="S9" s="16">
        <f t="shared" ref="S9:U24" si="2">+S$5-S$6*EXP(-S$7*$Q9)</f>
        <v>0.04</v>
      </c>
      <c r="T9" s="16">
        <f t="shared" si="2"/>
        <v>0.04</v>
      </c>
      <c r="U9" s="16">
        <f t="shared" si="2"/>
        <v>0.04</v>
      </c>
      <c r="V9" s="16"/>
    </row>
    <row r="10" spans="2:22" x14ac:dyDescent="0.25">
      <c r="B10" s="8">
        <v>10</v>
      </c>
      <c r="C10" s="3">
        <v>4.0623962357959148E-2</v>
      </c>
      <c r="D10" s="3">
        <v>4.261272177053517E-2</v>
      </c>
      <c r="E10" s="3">
        <v>4.7320162401509734E-2</v>
      </c>
      <c r="F10" s="9">
        <v>5.4715743338497824E-2</v>
      </c>
      <c r="G10" s="10">
        <v>1.0155990589489787</v>
      </c>
      <c r="H10" s="10">
        <v>1.0653180442633792</v>
      </c>
      <c r="I10" s="10">
        <v>1.1830040600377434</v>
      </c>
      <c r="J10" s="11">
        <v>1.3678935834624455</v>
      </c>
      <c r="K10" s="3">
        <v>4.0883015185033886E-2</v>
      </c>
      <c r="L10" s="3"/>
      <c r="M10" s="3">
        <v>4.5627026419976936E-2</v>
      </c>
      <c r="N10" s="3">
        <v>4.8895149728212996E-2</v>
      </c>
      <c r="Q10">
        <v>1</v>
      </c>
      <c r="R10" s="16">
        <f t="shared" ref="R10:U38" si="3">+R$5-R$6*EXP(-R$7*$Q10)</f>
        <v>4.0311603077862107E-2</v>
      </c>
      <c r="S10" s="16">
        <f t="shared" si="2"/>
        <v>4.0560114495126726E-2</v>
      </c>
      <c r="T10" s="16">
        <f t="shared" si="2"/>
        <v>4.0630454609474065E-2</v>
      </c>
      <c r="U10" s="16">
        <f t="shared" si="2"/>
        <v>4.3462758577594018E-2</v>
      </c>
      <c r="V10" s="16"/>
    </row>
    <row r="11" spans="2:22" x14ac:dyDescent="0.25">
      <c r="B11" s="8">
        <v>30</v>
      </c>
      <c r="C11" s="3">
        <v>4.0623962357959148E-2</v>
      </c>
      <c r="D11" s="3">
        <v>4.261272177053517E-2</v>
      </c>
      <c r="E11" s="3">
        <v>4.7320162401509734E-2</v>
      </c>
      <c r="F11" s="9">
        <v>5.4715743338497824E-2</v>
      </c>
      <c r="G11" s="10">
        <v>1.0155990589489787</v>
      </c>
      <c r="H11" s="10">
        <v>1.0653180442633792</v>
      </c>
      <c r="I11" s="10">
        <v>1.1830040600377434</v>
      </c>
      <c r="J11" s="11">
        <v>1.3678935834624455</v>
      </c>
      <c r="K11" s="3">
        <v>4.7200498607488234E-2</v>
      </c>
      <c r="L11" s="3">
        <v>4.880607945181633E-2</v>
      </c>
      <c r="M11" s="3">
        <v>4.860357919174027E-2</v>
      </c>
      <c r="N11" s="3">
        <v>5.1999999999999998E-2</v>
      </c>
      <c r="Q11">
        <v>2</v>
      </c>
      <c r="R11" s="16">
        <f t="shared" si="3"/>
        <v>4.061362878377843E-2</v>
      </c>
      <c r="S11" s="16">
        <f t="shared" si="2"/>
        <v>4.1093441931822079E-2</v>
      </c>
      <c r="T11" s="16">
        <f t="shared" si="2"/>
        <v>4.1231777211169135E-2</v>
      </c>
      <c r="U11" s="16">
        <f t="shared" si="2"/>
        <v>4.5587804829214811E-2</v>
      </c>
      <c r="V11" s="16"/>
    </row>
    <row r="12" spans="2:22" x14ac:dyDescent="0.25">
      <c r="B12" s="8">
        <v>60</v>
      </c>
      <c r="C12" s="3">
        <v>4.0623962357959148E-2</v>
      </c>
      <c r="D12" s="3">
        <v>4.261272177053517E-2</v>
      </c>
      <c r="E12" s="3">
        <v>4.7320162401509734E-2</v>
      </c>
      <c r="F12" s="9">
        <v>5.4715743338497824E-2</v>
      </c>
      <c r="G12" s="10">
        <v>1.0155990589489787</v>
      </c>
      <c r="H12" s="10">
        <v>1.0653180442633792</v>
      </c>
      <c r="I12" s="10">
        <v>1.1830040600377434</v>
      </c>
      <c r="J12" s="11">
        <v>1.3678935834624455</v>
      </c>
      <c r="K12" s="3">
        <v>4.7978393655140922E-2</v>
      </c>
      <c r="L12" s="3">
        <v>5.166825839488183E-2</v>
      </c>
      <c r="M12" s="3">
        <v>5.5833646253055487E-2</v>
      </c>
      <c r="N12" s="3">
        <v>4.8961843624642065E-2</v>
      </c>
      <c r="Q12" s="15">
        <v>3</v>
      </c>
      <c r="R12" s="16">
        <f t="shared" si="3"/>
        <v>4.0906371486001097E-2</v>
      </c>
      <c r="S12" s="16">
        <f t="shared" si="2"/>
        <v>4.1601263381198565E-2</v>
      </c>
      <c r="T12" s="16">
        <f t="shared" si="2"/>
        <v>4.1805313935107093E-2</v>
      </c>
      <c r="U12" s="16">
        <f t="shared" si="2"/>
        <v>4.6891915835031807E-2</v>
      </c>
      <c r="V12" s="16"/>
    </row>
    <row r="13" spans="2:22" x14ac:dyDescent="0.25">
      <c r="B13" s="8">
        <v>120</v>
      </c>
      <c r="C13" s="3">
        <v>4.0623962357959148E-2</v>
      </c>
      <c r="D13" s="3">
        <v>4.261272177053517E-2</v>
      </c>
      <c r="E13" s="3">
        <v>4.7320162401509734E-2</v>
      </c>
      <c r="F13" s="9">
        <v>5.4715743338497824E-2</v>
      </c>
      <c r="G13" s="10">
        <v>1.0155990589489787</v>
      </c>
      <c r="H13" s="10">
        <v>1.0653180442633792</v>
      </c>
      <c r="I13" s="10">
        <v>1.1830040600377434</v>
      </c>
      <c r="J13" s="11">
        <v>1.3678935834624455</v>
      </c>
      <c r="K13" s="3">
        <v>5.2297832157699113E-2</v>
      </c>
      <c r="L13" s="3">
        <v>5.1755608653064417E-2</v>
      </c>
      <c r="M13" s="3">
        <v>5.145407230191433E-2</v>
      </c>
      <c r="N13" s="3">
        <v>4.8965324622054551E-2</v>
      </c>
      <c r="Q13" s="15">
        <v>4</v>
      </c>
      <c r="R13" s="16">
        <f t="shared" si="3"/>
        <v>4.1190116505136556E-2</v>
      </c>
      <c r="S13" s="16">
        <f t="shared" si="2"/>
        <v>4.2084798648097166E-2</v>
      </c>
      <c r="T13" s="16">
        <f t="shared" si="2"/>
        <v>4.2352348709416607E-2</v>
      </c>
      <c r="U13" s="16">
        <f t="shared" si="2"/>
        <v>4.7692230423100598E-2</v>
      </c>
      <c r="V13" s="16"/>
    </row>
    <row r="14" spans="2:22" x14ac:dyDescent="0.25">
      <c r="Q14">
        <v>5</v>
      </c>
      <c r="R14" s="16">
        <f t="shared" si="3"/>
        <v>4.1465140392232286E-2</v>
      </c>
      <c r="S14" s="16">
        <f t="shared" si="2"/>
        <v>4.2545209201101136E-2</v>
      </c>
      <c r="T14" s="16">
        <f t="shared" si="2"/>
        <v>4.2874106134554467E-2</v>
      </c>
      <c r="U14" s="16">
        <f t="shared" si="2"/>
        <v>4.8183372233129615E-2</v>
      </c>
      <c r="V14" s="16"/>
    </row>
    <row r="15" spans="2:22" x14ac:dyDescent="0.25">
      <c r="Q15">
        <v>6</v>
      </c>
      <c r="R15" s="16">
        <f t="shared" si="3"/>
        <v>4.1731711198316222E-2</v>
      </c>
      <c r="S15" s="16">
        <f t="shared" si="2"/>
        <v>4.298360096242404E-2</v>
      </c>
      <c r="T15" s="16">
        <f t="shared" si="2"/>
        <v>4.3371754224714912E-2</v>
      </c>
      <c r="U15" s="16">
        <f t="shared" si="2"/>
        <v>4.84847790563398E-2</v>
      </c>
      <c r="V15" s="16"/>
    </row>
    <row r="16" spans="2:22" x14ac:dyDescent="0.25">
      <c r="B16" s="12"/>
      <c r="C16" s="2" t="s">
        <v>8</v>
      </c>
      <c r="D16" s="2" t="s">
        <v>9</v>
      </c>
      <c r="Q16">
        <v>7</v>
      </c>
      <c r="R16" s="16">
        <f t="shared" si="3"/>
        <v>4.1990088735651757E-2</v>
      </c>
      <c r="S16" s="16">
        <f t="shared" si="2"/>
        <v>4.3401026964373521E-2</v>
      </c>
      <c r="T16" s="16">
        <f t="shared" si="2"/>
        <v>4.3846407022564239E-2</v>
      </c>
      <c r="U16" s="16">
        <f t="shared" si="2"/>
        <v>4.8669748185871421E-2</v>
      </c>
      <c r="V16" s="16"/>
    </row>
    <row r="17" spans="2:33" x14ac:dyDescent="0.25">
      <c r="B17" s="8">
        <v>4000</v>
      </c>
      <c r="C17" s="10">
        <v>10.981248104008666</v>
      </c>
      <c r="D17">
        <v>16.7</v>
      </c>
      <c r="Q17">
        <v>8</v>
      </c>
      <c r="R17" s="16">
        <f t="shared" si="3"/>
        <v>4.2240524830962793E-2</v>
      </c>
      <c r="S17" s="16">
        <f t="shared" si="2"/>
        <v>4.3798489878771656E-2</v>
      </c>
      <c r="T17" s="16">
        <f t="shared" si="2"/>
        <v>4.4299127093153784E-2</v>
      </c>
      <c r="U17" s="16">
        <f t="shared" si="2"/>
        <v>4.8783261139942226E-2</v>
      </c>
      <c r="V17" s="16"/>
    </row>
    <row r="18" spans="2:33" x14ac:dyDescent="0.25">
      <c r="B18" s="8">
        <v>5000</v>
      </c>
      <c r="C18" s="10">
        <v>11.518838709677418</v>
      </c>
      <c r="D18">
        <v>16.7</v>
      </c>
      <c r="Q18">
        <v>9</v>
      </c>
      <c r="R18" s="16">
        <f t="shared" si="3"/>
        <v>4.2483263570875736E-2</v>
      </c>
      <c r="S18" s="16">
        <f t="shared" si="2"/>
        <v>4.4176944425407622E-2</v>
      </c>
      <c r="T18" s="16">
        <f t="shared" si="2"/>
        <v>4.473092790259442E-2</v>
      </c>
      <c r="U18" s="16">
        <f t="shared" si="2"/>
        <v>4.8852922443828502E-2</v>
      </c>
      <c r="V18" s="16"/>
    </row>
    <row r="19" spans="2:33" x14ac:dyDescent="0.25">
      <c r="B19" s="8">
        <v>6000</v>
      </c>
      <c r="C19" s="10">
        <v>12.791328405491022</v>
      </c>
      <c r="D19">
        <v>16.7</v>
      </c>
      <c r="Q19">
        <v>10</v>
      </c>
      <c r="R19" s="16">
        <f t="shared" si="3"/>
        <v>4.2718541539817648E-2</v>
      </c>
      <c r="S19" s="16">
        <f t="shared" si="2"/>
        <v>4.4537299665307985E-2</v>
      </c>
      <c r="T19" s="16">
        <f t="shared" si="2"/>
        <v>4.5142776086817382E-2</v>
      </c>
      <c r="U19" s="16">
        <f t="shared" si="2"/>
        <v>4.8895672606564189E-2</v>
      </c>
      <c r="V19" s="16"/>
    </row>
    <row r="20" spans="2:33" x14ac:dyDescent="0.25">
      <c r="B20" s="8">
        <v>7000</v>
      </c>
      <c r="C20" s="10">
        <v>14.790461538461537</v>
      </c>
      <c r="D20">
        <v>16.7</v>
      </c>
      <c r="Q20">
        <v>15</v>
      </c>
      <c r="R20" s="16">
        <f t="shared" si="3"/>
        <v>4.379080358726193E-2</v>
      </c>
      <c r="S20" s="16">
        <f t="shared" si="2"/>
        <v>4.6096473825085103E-2</v>
      </c>
      <c r="T20" s="16">
        <f t="shared" si="2"/>
        <v>4.6933546194581149E-2</v>
      </c>
      <c r="U20" s="16">
        <f t="shared" si="2"/>
        <v>4.895767294182219E-2</v>
      </c>
      <c r="V20" s="16"/>
    </row>
    <row r="21" spans="2:33" x14ac:dyDescent="0.25">
      <c r="Q21">
        <v>20</v>
      </c>
      <c r="R21" s="16">
        <f t="shared" si="3"/>
        <v>4.4708104405602772E-2</v>
      </c>
      <c r="S21" s="16">
        <f t="shared" si="2"/>
        <v>4.7316812009618604E-2</v>
      </c>
      <c r="T21" s="16">
        <f t="shared" si="2"/>
        <v>4.8347087012037451E-2</v>
      </c>
      <c r="U21" s="16">
        <f t="shared" si="2"/>
        <v>4.8963069599911202E-2</v>
      </c>
      <c r="V21" s="16"/>
      <c r="W21" s="1" t="s">
        <v>16</v>
      </c>
      <c r="X21" s="1">
        <v>4000</v>
      </c>
      <c r="Y21" s="1">
        <v>5000</v>
      </c>
      <c r="Z21" s="1">
        <v>6000</v>
      </c>
      <c r="AA21" s="1">
        <v>7000</v>
      </c>
      <c r="AC21" s="1" t="s">
        <v>29</v>
      </c>
      <c r="AD21" s="1">
        <v>4000</v>
      </c>
      <c r="AE21" s="1">
        <v>5000</v>
      </c>
      <c r="AF21" s="1">
        <v>6000</v>
      </c>
      <c r="AG21" s="1">
        <v>7000</v>
      </c>
    </row>
    <row r="22" spans="2:33" x14ac:dyDescent="0.25">
      <c r="Q22">
        <v>25</v>
      </c>
      <c r="R22" s="16">
        <f t="shared" si="3"/>
        <v>4.5492838690784583E-2</v>
      </c>
      <c r="S22" s="16">
        <f t="shared" si="2"/>
        <v>4.8271949237420918E-2</v>
      </c>
      <c r="T22" s="16">
        <f t="shared" si="2"/>
        <v>4.9462862640607758E-2</v>
      </c>
      <c r="U22" s="16">
        <f t="shared" si="2"/>
        <v>4.8963539337992593E-2</v>
      </c>
      <c r="V22" s="16"/>
      <c r="W22">
        <v>0</v>
      </c>
      <c r="X22" s="3">
        <f>+K9-R9</f>
        <v>0</v>
      </c>
      <c r="Y22" s="3">
        <f>+L9-S9</f>
        <v>0</v>
      </c>
      <c r="Z22" s="3">
        <f>+M9-T9</f>
        <v>0</v>
      </c>
      <c r="AA22" s="3">
        <f>+N9-U9</f>
        <v>0</v>
      </c>
      <c r="AC22">
        <v>0</v>
      </c>
      <c r="AD22" s="3">
        <f>X22^2</f>
        <v>0</v>
      </c>
      <c r="AE22" s="3">
        <f t="shared" ref="AE22:AG22" si="4">Y22^2</f>
        <v>0</v>
      </c>
      <c r="AF22" s="3">
        <f t="shared" si="4"/>
        <v>0</v>
      </c>
      <c r="AG22" s="3">
        <f t="shared" si="4"/>
        <v>0</v>
      </c>
    </row>
    <row r="23" spans="2:33" x14ac:dyDescent="0.25">
      <c r="B23" s="1" t="s">
        <v>22</v>
      </c>
      <c r="Q23">
        <v>30</v>
      </c>
      <c r="R23" s="16">
        <f t="shared" si="3"/>
        <v>4.6164164700777305E-2</v>
      </c>
      <c r="S23" s="16">
        <f t="shared" si="2"/>
        <v>4.9019518342031561E-2</v>
      </c>
      <c r="T23" s="16">
        <f t="shared" si="2"/>
        <v>5.0343597910461356E-2</v>
      </c>
      <c r="U23" s="16">
        <f t="shared" si="2"/>
        <v>4.8963580225123385E-2</v>
      </c>
      <c r="V23" s="16"/>
      <c r="W23">
        <v>10</v>
      </c>
      <c r="X23" s="3">
        <f>+K10-R19</f>
        <v>-1.8355263547837619E-3</v>
      </c>
      <c r="Y23" s="3"/>
      <c r="Z23" s="3">
        <f>+M10-T19</f>
        <v>4.8425033315955407E-4</v>
      </c>
      <c r="AA23" s="3">
        <f>+N10-U19</f>
        <v>-5.2287835119319004E-7</v>
      </c>
      <c r="AC23">
        <v>10</v>
      </c>
      <c r="AD23" s="3">
        <f t="shared" ref="AD23:AD26" si="5">X23^2</f>
        <v>3.3691569991057646E-6</v>
      </c>
      <c r="AE23" s="3"/>
      <c r="AF23" s="3">
        <f t="shared" ref="AF23:AF26" si="6">Z23^2</f>
        <v>2.3449838516513911E-7</v>
      </c>
      <c r="AG23" s="3">
        <f t="shared" ref="AG23:AG26" si="7">AA23^2</f>
        <v>2.7340177014650896E-13</v>
      </c>
    </row>
    <row r="24" spans="2:33" x14ac:dyDescent="0.25">
      <c r="Q24">
        <v>35</v>
      </c>
      <c r="R24" s="16">
        <f t="shared" si="3"/>
        <v>4.6738471979308312E-2</v>
      </c>
      <c r="S24" s="16">
        <f t="shared" si="2"/>
        <v>4.9604627528335873E-2</v>
      </c>
      <c r="T24" s="16">
        <f t="shared" si="2"/>
        <v>5.1038804541348272E-2</v>
      </c>
      <c r="U24" s="16">
        <f t="shared" si="2"/>
        <v>4.8963583784037451E-2</v>
      </c>
      <c r="V24" s="16"/>
      <c r="W24">
        <v>30</v>
      </c>
      <c r="X24" s="3">
        <f>+K11-R23</f>
        <v>1.036333906710929E-3</v>
      </c>
      <c r="Y24" s="3">
        <f>+L11-S23</f>
        <v>-2.1343889021523121E-4</v>
      </c>
      <c r="Z24" s="3">
        <f>+M11-T23</f>
        <v>-1.7400187187210855E-3</v>
      </c>
      <c r="AA24" s="3">
        <f>+N11-U23</f>
        <v>3.0364197748766128E-3</v>
      </c>
      <c r="AC24">
        <v>30</v>
      </c>
      <c r="AD24" s="3">
        <f t="shared" si="5"/>
        <v>1.0739879661987364E-6</v>
      </c>
      <c r="AE24" s="3">
        <f t="shared" ref="AE24:AE26" si="8">Y24^2</f>
        <v>4.5556159856309522E-8</v>
      </c>
      <c r="AF24" s="3">
        <f t="shared" si="6"/>
        <v>3.0276651414997684E-6</v>
      </c>
      <c r="AG24" s="3">
        <f t="shared" si="7"/>
        <v>9.2198450492617396E-6</v>
      </c>
    </row>
    <row r="25" spans="2:33" x14ac:dyDescent="0.25">
      <c r="C25" s="1" t="s">
        <v>7</v>
      </c>
      <c r="G25" s="1" t="s">
        <v>0</v>
      </c>
      <c r="Q25">
        <v>40</v>
      </c>
      <c r="R25" s="16">
        <f t="shared" si="3"/>
        <v>4.722978148506881E-2</v>
      </c>
      <c r="S25" s="16">
        <f t="shared" si="3"/>
        <v>5.0062582194715502E-2</v>
      </c>
      <c r="T25" s="16">
        <f t="shared" si="3"/>
        <v>5.1587564510628806E-2</v>
      </c>
      <c r="U25" s="16">
        <f t="shared" si="3"/>
        <v>4.8963584093813878E-2</v>
      </c>
      <c r="V25" s="16"/>
      <c r="W25">
        <v>60</v>
      </c>
      <c r="X25" s="3">
        <f>+K12-R28</f>
        <v>-6.0200683606911887E-4</v>
      </c>
      <c r="Y25" s="3">
        <f>+L12-S28</f>
        <v>5.7527472211058028E-4</v>
      </c>
      <c r="Z25" s="3">
        <f>+M12-T28</f>
        <v>2.9880746791561483E-3</v>
      </c>
      <c r="AA25" s="3">
        <f>+N12-U28</f>
        <v>-1.7404987045499531E-6</v>
      </c>
      <c r="AC25">
        <v>60</v>
      </c>
      <c r="AD25" s="3">
        <f t="shared" si="5"/>
        <v>3.6241223067395094E-7</v>
      </c>
      <c r="AE25" s="3">
        <f t="shared" si="8"/>
        <v>3.3094100589940538E-7</v>
      </c>
      <c r="AF25" s="3">
        <f t="shared" si="6"/>
        <v>8.9285902882141179E-6</v>
      </c>
      <c r="AG25" s="3">
        <f t="shared" si="7"/>
        <v>3.0293357405400649E-12</v>
      </c>
    </row>
    <row r="26" spans="2:33" x14ac:dyDescent="0.25">
      <c r="B26" s="4" t="s">
        <v>1</v>
      </c>
      <c r="C26" s="5">
        <v>4000</v>
      </c>
      <c r="D26" s="2">
        <v>5000</v>
      </c>
      <c r="E26" s="2">
        <v>6000</v>
      </c>
      <c r="F26" s="4">
        <v>7000</v>
      </c>
      <c r="G26" s="2">
        <v>4000</v>
      </c>
      <c r="H26" s="2">
        <v>5000</v>
      </c>
      <c r="I26" s="2">
        <v>6000</v>
      </c>
      <c r="J26" s="2">
        <v>7000</v>
      </c>
      <c r="Q26">
        <v>45</v>
      </c>
      <c r="R26" s="16">
        <f t="shared" si="3"/>
        <v>4.7650087895024222E-2</v>
      </c>
      <c r="S26" s="16">
        <f t="shared" si="3"/>
        <v>5.0421015255361051E-2</v>
      </c>
      <c r="T26" s="16">
        <f t="shared" si="3"/>
        <v>5.2020727099283327E-2</v>
      </c>
      <c r="U26" s="16">
        <f t="shared" si="3"/>
        <v>4.8963584120777559E-2</v>
      </c>
      <c r="V26" s="16"/>
      <c r="W26">
        <v>120</v>
      </c>
      <c r="X26" s="3">
        <f>+K13-R34</f>
        <v>2.3990604374442906E-3</v>
      </c>
      <c r="Y26" s="3">
        <f>+L13-S34</f>
        <v>7.6385263376006762E-5</v>
      </c>
      <c r="Z26" s="3">
        <f>+M13-T34</f>
        <v>-2.1430800105736933E-3</v>
      </c>
      <c r="AA26" s="3">
        <f>+N13-U34</f>
        <v>1.7404987062430433E-6</v>
      </c>
      <c r="AC26">
        <v>120</v>
      </c>
      <c r="AD26" s="3">
        <f t="shared" si="5"/>
        <v>5.7554909825103906E-6</v>
      </c>
      <c r="AE26" s="3">
        <f t="shared" si="8"/>
        <v>5.8347084610219198E-9</v>
      </c>
      <c r="AF26" s="3">
        <f t="shared" si="6"/>
        <v>4.5927919317205412E-6</v>
      </c>
      <c r="AG26" s="3">
        <f t="shared" si="7"/>
        <v>3.0293357464337074E-12</v>
      </c>
    </row>
    <row r="27" spans="2:33" x14ac:dyDescent="0.25">
      <c r="B27" s="6">
        <v>0</v>
      </c>
      <c r="C27" s="7">
        <v>0</v>
      </c>
      <c r="D27" s="7">
        <v>0</v>
      </c>
      <c r="E27" s="7">
        <v>0</v>
      </c>
      <c r="F27" s="6">
        <v>0</v>
      </c>
      <c r="G27" s="13">
        <f>+R9</f>
        <v>0.04</v>
      </c>
      <c r="H27" s="13">
        <f>+S9</f>
        <v>0.04</v>
      </c>
      <c r="I27" s="13">
        <f>+T9</f>
        <v>0.04</v>
      </c>
      <c r="J27" s="13">
        <f>+U9</f>
        <v>0.04</v>
      </c>
      <c r="Q27">
        <v>50</v>
      </c>
      <c r="R27" s="16">
        <f t="shared" si="3"/>
        <v>4.8009652438714766E-2</v>
      </c>
      <c r="S27" s="16">
        <f t="shared" si="3"/>
        <v>5.0701554506067656E-2</v>
      </c>
      <c r="T27" s="16">
        <f t="shared" si="3"/>
        <v>5.2362643125803784E-2</v>
      </c>
      <c r="U27" s="16">
        <f t="shared" si="3"/>
        <v>4.8963584123124543E-2</v>
      </c>
      <c r="V27" s="16"/>
      <c r="X27" s="3"/>
      <c r="Y27" s="3"/>
      <c r="Z27" s="3"/>
      <c r="AA27" s="3"/>
    </row>
    <row r="28" spans="2:33" x14ac:dyDescent="0.25">
      <c r="B28" s="8">
        <v>10</v>
      </c>
      <c r="C28" s="10">
        <v>1.0155990589489787</v>
      </c>
      <c r="D28" s="10">
        <v>1.0653180442633792</v>
      </c>
      <c r="E28" s="10">
        <v>1.1830040600377434</v>
      </c>
      <c r="F28" s="11">
        <v>1.3678935834624455</v>
      </c>
      <c r="G28" s="3">
        <f>+R19</f>
        <v>4.2718541539817648E-2</v>
      </c>
      <c r="H28" s="3">
        <f>+S19</f>
        <v>4.4537299665307985E-2</v>
      </c>
      <c r="I28" s="3">
        <f>+T19</f>
        <v>4.5142776086817382E-2</v>
      </c>
      <c r="J28" s="3">
        <f>+U19</f>
        <v>4.8895672606564189E-2</v>
      </c>
      <c r="Q28">
        <v>60</v>
      </c>
      <c r="R28" s="16">
        <f t="shared" si="3"/>
        <v>4.8580400491210041E-2</v>
      </c>
      <c r="S28" s="16">
        <f t="shared" si="3"/>
        <v>5.109298367277125E-2</v>
      </c>
      <c r="T28" s="16">
        <f t="shared" si="3"/>
        <v>5.2845571573899339E-2</v>
      </c>
      <c r="U28" s="16">
        <f t="shared" si="3"/>
        <v>4.8963584123346615E-2</v>
      </c>
      <c r="V28" s="16"/>
      <c r="W28" s="1" t="s">
        <v>18</v>
      </c>
      <c r="X28" t="s">
        <v>19</v>
      </c>
      <c r="AC28" s="1" t="s">
        <v>32</v>
      </c>
      <c r="AD28" s="17">
        <f>SUM(AD22:AD26)</f>
        <v>1.0561048178488843E-5</v>
      </c>
      <c r="AE28" s="17">
        <f t="shared" ref="AE28:AG28" si="9">SUM(AE22:AE26)</f>
        <v>3.8233187421673681E-7</v>
      </c>
      <c r="AF28" s="17">
        <f t="shared" si="9"/>
        <v>1.6783545746599569E-5</v>
      </c>
      <c r="AG28" s="17">
        <f t="shared" si="9"/>
        <v>9.2198513813349958E-6</v>
      </c>
    </row>
    <row r="29" spans="2:33" x14ac:dyDescent="0.25">
      <c r="B29" s="8">
        <v>30</v>
      </c>
      <c r="C29" s="10">
        <v>1.0155990589489787</v>
      </c>
      <c r="D29" s="10">
        <v>1.0653180442633792</v>
      </c>
      <c r="E29" s="10">
        <v>1.1830040600377434</v>
      </c>
      <c r="F29" s="11">
        <v>1.3678935834624455</v>
      </c>
      <c r="G29" s="3">
        <f>+R23</f>
        <v>4.6164164700777305E-2</v>
      </c>
      <c r="H29" s="3">
        <f>+S23</f>
        <v>4.9019518342031561E-2</v>
      </c>
      <c r="I29" s="3">
        <f>+T23</f>
        <v>5.0343597910461356E-2</v>
      </c>
      <c r="J29" s="3">
        <f>+U23</f>
        <v>4.8963580225123385E-2</v>
      </c>
      <c r="Q29">
        <v>70</v>
      </c>
      <c r="R29" s="16">
        <f t="shared" si="3"/>
        <v>4.8998102083895635E-2</v>
      </c>
      <c r="S29" s="16">
        <f t="shared" si="3"/>
        <v>5.1332769951181412E-2</v>
      </c>
      <c r="T29" s="16">
        <f t="shared" si="3"/>
        <v>5.3146469936225238E-2</v>
      </c>
      <c r="U29" s="16">
        <f t="shared" si="3"/>
        <v>4.8963584123348294E-2</v>
      </c>
      <c r="V29" s="16"/>
      <c r="X29" s="1">
        <v>4000</v>
      </c>
      <c r="Y29" s="1">
        <v>5000</v>
      </c>
      <c r="Z29" s="1">
        <v>6000</v>
      </c>
      <c r="AA29" s="1">
        <v>7000</v>
      </c>
      <c r="AC29" t="s">
        <v>53</v>
      </c>
      <c r="AD29" s="3">
        <f>+SQRT(AD28)</f>
        <v>3.2497766351687685E-3</v>
      </c>
      <c r="AE29" s="3">
        <f t="shared" ref="AE29:AG29" si="10">+SQRT(AE28)</f>
        <v>6.1832990726370083E-4</v>
      </c>
      <c r="AF29" s="3">
        <f t="shared" si="10"/>
        <v>4.096772601280131E-3</v>
      </c>
      <c r="AG29" s="3">
        <f t="shared" si="10"/>
        <v>3.0364208175638297E-3</v>
      </c>
    </row>
    <row r="30" spans="2:33" x14ac:dyDescent="0.25">
      <c r="B30" s="8">
        <v>60</v>
      </c>
      <c r="C30" s="10">
        <v>1.0155990589489787</v>
      </c>
      <c r="D30" s="10">
        <v>1.0653180442633792</v>
      </c>
      <c r="E30" s="10">
        <v>1.1830040600377434</v>
      </c>
      <c r="F30" s="11">
        <v>1.3678935834624455</v>
      </c>
      <c r="G30" s="3">
        <f>+R28</f>
        <v>4.8580400491210041E-2</v>
      </c>
      <c r="H30" s="3">
        <f>+S28</f>
        <v>5.109298367277125E-2</v>
      </c>
      <c r="I30" s="3">
        <f>+T28</f>
        <v>5.2845571573899339E-2</v>
      </c>
      <c r="J30" s="3">
        <f>+U28</f>
        <v>4.8963584123346615E-2</v>
      </c>
      <c r="Q30">
        <v>80</v>
      </c>
      <c r="R30" s="16">
        <f t="shared" si="3"/>
        <v>4.9303796724060045E-2</v>
      </c>
      <c r="S30" s="16">
        <f t="shared" si="3"/>
        <v>5.1479661047207817E-2</v>
      </c>
      <c r="T30" s="16">
        <f t="shared" si="3"/>
        <v>5.3333950762437604E-2</v>
      </c>
      <c r="U30" s="16">
        <f t="shared" si="3"/>
        <v>4.8963584123348308E-2</v>
      </c>
      <c r="V30" s="16"/>
      <c r="W30" t="s">
        <v>20</v>
      </c>
      <c r="X30" s="3">
        <f>AVERAGE(R9:R38)</f>
        <v>4.5714567043412271E-2</v>
      </c>
      <c r="Y30" s="3">
        <f t="shared" ref="Y30:AA30" si="11">AVERAGE(S9:S38)</f>
        <v>4.751753558290521E-2</v>
      </c>
      <c r="Z30" s="3">
        <f t="shared" si="11"/>
        <v>4.8679030923203935E-2</v>
      </c>
      <c r="AA30" s="3">
        <f t="shared" si="11"/>
        <v>4.8193536297134958E-2</v>
      </c>
      <c r="AC30" t="s">
        <v>54</v>
      </c>
      <c r="AD30" s="22">
        <f>+AD29/R3</f>
        <v>8.1244415879219212E-2</v>
      </c>
      <c r="AE30" s="22">
        <f t="shared" ref="AE30:AG30" si="12">+AE29/S3</f>
        <v>1.545824768159252E-2</v>
      </c>
      <c r="AF30" s="22">
        <f t="shared" si="12"/>
        <v>0.10241931503200327</v>
      </c>
      <c r="AG30" s="22">
        <f t="shared" si="12"/>
        <v>7.5910520439095741E-2</v>
      </c>
    </row>
    <row r="31" spans="2:33" x14ac:dyDescent="0.25">
      <c r="B31" s="8">
        <v>120</v>
      </c>
      <c r="C31" s="10">
        <v>1.0155990589489787</v>
      </c>
      <c r="D31" s="10">
        <v>1.0653180442633792</v>
      </c>
      <c r="E31" s="10">
        <v>1.1830040600377434</v>
      </c>
      <c r="F31" s="11">
        <v>1.3678935834624455</v>
      </c>
      <c r="G31" s="3">
        <f>+R34</f>
        <v>4.9898771720254823E-2</v>
      </c>
      <c r="H31" s="3">
        <f>+S34</f>
        <v>5.167922338968841E-2</v>
      </c>
      <c r="I31" s="3">
        <f>+T34</f>
        <v>5.3597152312488024E-2</v>
      </c>
      <c r="J31" s="3">
        <f>+U34</f>
        <v>4.8963584123348308E-2</v>
      </c>
      <c r="Q31">
        <v>90</v>
      </c>
      <c r="R31" s="16">
        <f t="shared" si="3"/>
        <v>4.9527519148541171E-2</v>
      </c>
      <c r="S31" s="16">
        <f t="shared" si="3"/>
        <v>5.1569645320848907E-2</v>
      </c>
      <c r="T31" s="16">
        <f t="shared" si="3"/>
        <v>5.3450764492913146E-2</v>
      </c>
      <c r="U31" s="16">
        <f t="shared" si="3"/>
        <v>4.8963584123348308E-2</v>
      </c>
      <c r="V31" s="16"/>
      <c r="W31">
        <v>0</v>
      </c>
      <c r="X31" s="3">
        <f>+R9-X$30</f>
        <v>-5.7145670434122706E-3</v>
      </c>
      <c r="Y31" s="3">
        <f t="shared" ref="Y31:AA31" si="13">+S9-Y$30</f>
        <v>-7.517535582905209E-3</v>
      </c>
      <c r="Z31" s="3">
        <f t="shared" si="13"/>
        <v>-8.6790309232039342E-3</v>
      </c>
      <c r="AA31" s="3">
        <f t="shared" si="13"/>
        <v>-8.1935362971349568E-3</v>
      </c>
    </row>
    <row r="32" spans="2:33" x14ac:dyDescent="0.25">
      <c r="Q32">
        <v>100</v>
      </c>
      <c r="R32" s="16">
        <f t="shared" si="3"/>
        <v>4.9691250260047719E-2</v>
      </c>
      <c r="S32" s="16">
        <f t="shared" si="3"/>
        <v>5.1624768944552139E-2</v>
      </c>
      <c r="T32" s="16">
        <f t="shared" si="3"/>
        <v>5.3523547656414663E-2</v>
      </c>
      <c r="U32" s="16">
        <f t="shared" si="3"/>
        <v>4.8963584123348308E-2</v>
      </c>
      <c r="V32" s="16"/>
      <c r="W32">
        <v>10</v>
      </c>
      <c r="X32" s="3">
        <f>+R19-X$30</f>
        <v>-2.9960255035946237E-3</v>
      </c>
      <c r="Y32" s="3"/>
      <c r="Z32" s="3">
        <f t="shared" ref="Z32:AA32" si="14">+T19-Z$30</f>
        <v>-3.5362548363865529E-3</v>
      </c>
      <c r="AA32" s="3">
        <f t="shared" si="14"/>
        <v>7.0213630942923128E-4</v>
      </c>
    </row>
    <row r="33" spans="17:27" x14ac:dyDescent="0.25">
      <c r="Q33">
        <v>110</v>
      </c>
      <c r="R33" s="16">
        <f t="shared" si="3"/>
        <v>4.9811076767995427E-2</v>
      </c>
      <c r="S33" s="16">
        <f t="shared" si="3"/>
        <v>5.1658537221687936E-2</v>
      </c>
      <c r="T33" s="16">
        <f t="shared" si="3"/>
        <v>5.3568896682318741E-2</v>
      </c>
      <c r="U33" s="16">
        <f t="shared" si="3"/>
        <v>4.8963584123348308E-2</v>
      </c>
      <c r="V33" s="16"/>
      <c r="W33">
        <v>30</v>
      </c>
      <c r="X33" s="3">
        <f>+R23-X$30</f>
        <v>4.4959765736503343E-4</v>
      </c>
      <c r="Y33" s="3">
        <f t="shared" ref="Y33:AA33" si="15">+S23-Y$30</f>
        <v>1.501982759126351E-3</v>
      </c>
      <c r="Z33" s="3">
        <f t="shared" si="15"/>
        <v>1.6645669872574209E-3</v>
      </c>
      <c r="AA33" s="3">
        <f t="shared" si="15"/>
        <v>7.7004392798842719E-4</v>
      </c>
    </row>
    <row r="34" spans="17:27" x14ac:dyDescent="0.25">
      <c r="Q34">
        <v>120</v>
      </c>
      <c r="R34" s="16">
        <f t="shared" si="3"/>
        <v>4.9898771720254823E-2</v>
      </c>
      <c r="S34" s="16">
        <f t="shared" si="3"/>
        <v>5.167922338968841E-2</v>
      </c>
      <c r="T34" s="16">
        <f t="shared" si="3"/>
        <v>5.3597152312488024E-2</v>
      </c>
      <c r="U34" s="16">
        <f t="shared" si="3"/>
        <v>4.8963584123348308E-2</v>
      </c>
      <c r="V34" s="16"/>
      <c r="W34">
        <v>60</v>
      </c>
      <c r="X34" s="3">
        <f>+R28-X$30</f>
        <v>2.8658334477977693E-3</v>
      </c>
      <c r="Y34" s="3">
        <f t="shared" ref="Y34:AA34" si="16">+S28-Y$30</f>
        <v>3.5754480898660401E-3</v>
      </c>
      <c r="Z34" s="3">
        <f t="shared" si="16"/>
        <v>4.1665406506954036E-3</v>
      </c>
      <c r="AA34" s="3">
        <f t="shared" si="16"/>
        <v>7.7004782621165752E-4</v>
      </c>
    </row>
    <row r="35" spans="17:27" x14ac:dyDescent="0.25">
      <c r="Q35">
        <v>125</v>
      </c>
      <c r="R35" s="16">
        <f t="shared" si="3"/>
        <v>4.9933360843754653E-2</v>
      </c>
      <c r="S35" s="16">
        <f t="shared" si="3"/>
        <v>5.1686331877333111E-2</v>
      </c>
      <c r="T35" s="16">
        <f t="shared" si="3"/>
        <v>5.36069912277021E-2</v>
      </c>
      <c r="U35" s="16">
        <f t="shared" si="3"/>
        <v>4.8963584123348308E-2</v>
      </c>
      <c r="V35" s="16"/>
      <c r="W35">
        <v>120</v>
      </c>
      <c r="X35" s="3">
        <f>+R34-X$30</f>
        <v>4.1842046768425512E-3</v>
      </c>
      <c r="Y35" s="3">
        <f t="shared" ref="Y35:AA35" si="17">+S34-Y$30</f>
        <v>4.1616878067832E-3</v>
      </c>
      <c r="Z35" s="3">
        <f t="shared" si="17"/>
        <v>4.9181213892840886E-3</v>
      </c>
      <c r="AA35" s="3">
        <f t="shared" si="17"/>
        <v>7.7004782621335061E-4</v>
      </c>
    </row>
    <row r="36" spans="17:27" x14ac:dyDescent="0.25">
      <c r="Q36">
        <v>150</v>
      </c>
      <c r="R36" s="16">
        <f t="shared" si="3"/>
        <v>5.0044295695458076E-2</v>
      </c>
      <c r="S36" s="16">
        <f t="shared" si="3"/>
        <v>5.1704413906313813E-2</v>
      </c>
      <c r="T36" s="16">
        <f t="shared" si="3"/>
        <v>5.363256150688972E-2</v>
      </c>
      <c r="U36" s="16">
        <f t="shared" si="3"/>
        <v>4.8963584123348308E-2</v>
      </c>
      <c r="V36" s="16"/>
    </row>
    <row r="37" spans="17:27" x14ac:dyDescent="0.25">
      <c r="Q37">
        <v>175</v>
      </c>
      <c r="R37" s="16">
        <f t="shared" si="3"/>
        <v>5.0095125944735232E-2</v>
      </c>
      <c r="S37" s="16">
        <f t="shared" si="3"/>
        <v>5.1709724890656006E-2</v>
      </c>
      <c r="T37" s="16">
        <f t="shared" si="3"/>
        <v>5.3640397211517941E-2</v>
      </c>
      <c r="U37" s="16">
        <f t="shared" si="3"/>
        <v>4.8963584123348308E-2</v>
      </c>
      <c r="V37" s="16"/>
      <c r="X37" s="1">
        <v>4000</v>
      </c>
      <c r="Y37" s="1">
        <v>5000</v>
      </c>
      <c r="Z37" s="1">
        <v>6000</v>
      </c>
      <c r="AA37" s="1">
        <v>7000</v>
      </c>
    </row>
    <row r="38" spans="17:27" x14ac:dyDescent="0.25">
      <c r="Q38">
        <v>200</v>
      </c>
      <c r="R38" s="16">
        <f t="shared" si="3"/>
        <v>5.0118416319237961E-2</v>
      </c>
      <c r="S38" s="16">
        <f t="shared" si="3"/>
        <v>5.1711284812648896E-2</v>
      </c>
      <c r="T38" s="16">
        <f t="shared" si="3"/>
        <v>5.3642798368993397E-2</v>
      </c>
      <c r="U38" s="16">
        <f t="shared" si="3"/>
        <v>4.8963584123348308E-2</v>
      </c>
      <c r="V38" s="16"/>
      <c r="W38" s="1" t="s">
        <v>21</v>
      </c>
      <c r="X38" cm="1">
        <f t="array" ref="X38">1-(SUM(X22:X26^2)/SUM(X31:X35^2))</f>
        <v>0.84366776430324153</v>
      </c>
      <c r="Y38" cm="1">
        <f t="array" ref="Y38">1-(SUM(Y22:Y26^2)/SUM(Y31:Y35^2))</f>
        <v>0.99569798619667982</v>
      </c>
      <c r="Z38" cm="1">
        <f t="array" ref="Z38">1-(SUM(Z22:Z26^2)/SUM(Z31:Z35^2))</f>
        <v>0.87299570876176247</v>
      </c>
      <c r="AA38" cm="1">
        <f t="array" ref="AA38">1-(SUM(AA22:AA26^2)/SUM(AA31:AA35^2))</f>
        <v>0.86716049956218233</v>
      </c>
    </row>
    <row r="44" spans="17:27" x14ac:dyDescent="0.25">
      <c r="X44" t="s">
        <v>30</v>
      </c>
      <c r="Y44" t="s">
        <v>31</v>
      </c>
    </row>
    <row r="52" spans="2:18" x14ac:dyDescent="0.25">
      <c r="B52" s="1" t="s">
        <v>23</v>
      </c>
    </row>
    <row r="54" spans="2:18" x14ac:dyDescent="0.25">
      <c r="B54" s="1" t="s">
        <v>17</v>
      </c>
      <c r="C54" s="1">
        <v>4000</v>
      </c>
      <c r="D54" s="1">
        <v>5000</v>
      </c>
      <c r="E54" s="1">
        <v>6000</v>
      </c>
      <c r="F54" s="1">
        <v>7000</v>
      </c>
    </row>
    <row r="55" spans="2:18" x14ac:dyDescent="0.25">
      <c r="B55" t="s">
        <v>11</v>
      </c>
      <c r="C55" s="3">
        <f>R3</f>
        <v>0.04</v>
      </c>
      <c r="D55" s="3">
        <f t="shared" ref="D55:F55" si="18">S3</f>
        <v>0.04</v>
      </c>
      <c r="E55" s="3">
        <f t="shared" si="18"/>
        <v>0.04</v>
      </c>
      <c r="F55" s="3">
        <f t="shared" si="18"/>
        <v>0.04</v>
      </c>
    </row>
    <row r="56" spans="2:18" x14ac:dyDescent="0.25">
      <c r="B56" t="s">
        <v>7</v>
      </c>
      <c r="C56" s="3">
        <f t="shared" ref="C56:C59" si="19">R4</f>
        <v>1.0155990589489787</v>
      </c>
      <c r="D56" s="3">
        <f t="shared" ref="D56:D59" si="20">S4</f>
        <v>1.0653180442633792</v>
      </c>
      <c r="E56" s="3">
        <f t="shared" ref="E56:E59" si="21">T4</f>
        <v>1.1830040600377434</v>
      </c>
      <c r="F56" s="3">
        <f t="shared" ref="F56:F59" si="22">U4</f>
        <v>1.3678935834624455</v>
      </c>
    </row>
    <row r="57" spans="2:18" x14ac:dyDescent="0.25">
      <c r="B57" t="s">
        <v>12</v>
      </c>
      <c r="C57" s="3">
        <f t="shared" si="19"/>
        <v>5.0138112906420021E-2</v>
      </c>
      <c r="D57" s="3">
        <f t="shared" si="20"/>
        <v>5.1711933523973123E-2</v>
      </c>
      <c r="E57" s="3">
        <f t="shared" si="21"/>
        <v>5.3643859277484912E-2</v>
      </c>
      <c r="F57" s="3">
        <f t="shared" si="22"/>
        <v>4.8963584123348308E-2</v>
      </c>
    </row>
    <row r="58" spans="2:18" x14ac:dyDescent="0.25">
      <c r="B58" t="s">
        <v>13</v>
      </c>
      <c r="C58" s="3">
        <f t="shared" si="19"/>
        <v>1.013811290642002E-2</v>
      </c>
      <c r="D58" s="3">
        <f t="shared" si="20"/>
        <v>1.1711933523973123E-2</v>
      </c>
      <c r="E58" s="3">
        <f t="shared" si="21"/>
        <v>1.3643859277484911E-2</v>
      </c>
      <c r="F58" s="3">
        <f t="shared" si="22"/>
        <v>8.9635841233483074E-3</v>
      </c>
      <c r="H58" s="1" t="s">
        <v>26</v>
      </c>
      <c r="I58" s="1">
        <v>4000</v>
      </c>
      <c r="J58" s="1">
        <v>5000</v>
      </c>
      <c r="K58" s="1">
        <v>6000</v>
      </c>
      <c r="L58" s="1">
        <v>7000</v>
      </c>
      <c r="N58" s="1" t="s">
        <v>26</v>
      </c>
      <c r="O58" s="1">
        <v>4000</v>
      </c>
      <c r="P58" s="1">
        <v>5000</v>
      </c>
      <c r="Q58" s="1">
        <v>6000</v>
      </c>
      <c r="R58" s="1">
        <v>7000</v>
      </c>
    </row>
    <row r="59" spans="2:18" x14ac:dyDescent="0.25">
      <c r="B59" t="s">
        <v>14</v>
      </c>
      <c r="C59" s="3">
        <f t="shared" si="19"/>
        <v>3.121805887337744E-2</v>
      </c>
      <c r="D59" s="3">
        <f t="shared" si="20"/>
        <v>4.9005655112017259E-2</v>
      </c>
      <c r="E59" s="3">
        <f t="shared" si="21"/>
        <v>4.7309596105447098E-2</v>
      </c>
      <c r="F59" s="3">
        <f t="shared" si="22"/>
        <v>0.48827198056649751</v>
      </c>
      <c r="H59" t="s">
        <v>7</v>
      </c>
      <c r="I59" s="3">
        <f>C56</f>
        <v>1.0155990589489787</v>
      </c>
      <c r="J59" s="3">
        <f t="shared" ref="J59:L59" si="23">D56</f>
        <v>1.0653180442633792</v>
      </c>
      <c r="K59" s="3">
        <f t="shared" si="23"/>
        <v>1.1830040600377434</v>
      </c>
      <c r="L59" s="3">
        <f t="shared" si="23"/>
        <v>1.3678935834624455</v>
      </c>
      <c r="N59" t="s">
        <v>7</v>
      </c>
      <c r="O59" s="3">
        <v>1.0155990589489787</v>
      </c>
      <c r="P59" s="3">
        <v>1.0653180442633792</v>
      </c>
      <c r="Q59" s="3">
        <v>1.1830040600377434</v>
      </c>
      <c r="R59" s="3">
        <v>1.3678935834624455</v>
      </c>
    </row>
    <row r="60" spans="2:18" x14ac:dyDescent="0.25">
      <c r="B60" s="1" t="s">
        <v>10</v>
      </c>
      <c r="C60" s="1" t="s">
        <v>15</v>
      </c>
      <c r="D60" s="1" t="s">
        <v>15</v>
      </c>
      <c r="E60" s="1" t="s">
        <v>15</v>
      </c>
      <c r="F60" s="1" t="s">
        <v>15</v>
      </c>
      <c r="H60" s="1" t="s">
        <v>24</v>
      </c>
      <c r="I60" s="1" t="s">
        <v>25</v>
      </c>
      <c r="J60" s="1" t="s">
        <v>25</v>
      </c>
      <c r="K60" s="1" t="s">
        <v>25</v>
      </c>
      <c r="L60" s="1" t="s">
        <v>25</v>
      </c>
      <c r="N60" s="1" t="s">
        <v>27</v>
      </c>
      <c r="O60" s="1" t="s">
        <v>28</v>
      </c>
    </row>
    <row r="61" spans="2:18" x14ac:dyDescent="0.25">
      <c r="B61">
        <v>0</v>
      </c>
      <c r="C61" s="16">
        <f>R9</f>
        <v>0.04</v>
      </c>
      <c r="D61" s="16">
        <f t="shared" ref="D61:F61" si="24">S9</f>
        <v>0.04</v>
      </c>
      <c r="E61" s="16">
        <f t="shared" si="24"/>
        <v>0.04</v>
      </c>
      <c r="F61" s="16">
        <f t="shared" si="24"/>
        <v>0.04</v>
      </c>
    </row>
    <row r="62" spans="2:18" x14ac:dyDescent="0.25">
      <c r="B62">
        <v>1</v>
      </c>
      <c r="C62" s="16">
        <f t="shared" ref="C62:C90" si="25">R10</f>
        <v>4.0311603077862107E-2</v>
      </c>
      <c r="D62" s="16">
        <f t="shared" ref="D62:D90" si="26">S10</f>
        <v>4.0560114495126726E-2</v>
      </c>
      <c r="E62" s="16">
        <f t="shared" ref="E62:E90" si="27">T10</f>
        <v>4.0630454609474065E-2</v>
      </c>
      <c r="F62" s="16">
        <f t="shared" ref="F62:F90" si="28">U10</f>
        <v>4.3462758577594018E-2</v>
      </c>
      <c r="H62" s="16">
        <f t="shared" ref="H62:H90" si="29">+B62-B61</f>
        <v>1</v>
      </c>
      <c r="I62" s="16">
        <f t="shared" ref="I62:I90" si="30">+C62-C61</f>
        <v>3.1160307786210623E-4</v>
      </c>
      <c r="J62" s="16">
        <f t="shared" ref="J62:J90" si="31">+D62-D61</f>
        <v>5.6011449512672479E-4</v>
      </c>
      <c r="K62" s="16">
        <f t="shared" ref="K62:K90" si="32">+E62-E61</f>
        <v>6.3045460947406401E-4</v>
      </c>
      <c r="L62" s="16">
        <f t="shared" ref="L62:L90" si="33">+F62-F61</f>
        <v>3.4627585775940176E-3</v>
      </c>
      <c r="N62">
        <v>1</v>
      </c>
      <c r="O62">
        <f>+I62/$H62</f>
        <v>3.1160307786210623E-4</v>
      </c>
      <c r="P62">
        <f t="shared" ref="P62:R62" si="34">+J62/$H62</f>
        <v>5.6011449512672479E-4</v>
      </c>
      <c r="Q62">
        <f t="shared" si="34"/>
        <v>6.3045460947406401E-4</v>
      </c>
      <c r="R62">
        <f t="shared" si="34"/>
        <v>3.4627585775940176E-3</v>
      </c>
    </row>
    <row r="63" spans="2:18" x14ac:dyDescent="0.25">
      <c r="B63">
        <v>2</v>
      </c>
      <c r="C63" s="16">
        <f t="shared" si="25"/>
        <v>4.061362878377843E-2</v>
      </c>
      <c r="D63" s="16">
        <f t="shared" si="26"/>
        <v>4.1093441931822079E-2</v>
      </c>
      <c r="E63" s="16">
        <f t="shared" si="27"/>
        <v>4.1231777211169135E-2</v>
      </c>
      <c r="F63" s="16">
        <f t="shared" si="28"/>
        <v>4.5587804829214811E-2</v>
      </c>
      <c r="H63" s="16">
        <f t="shared" si="29"/>
        <v>1</v>
      </c>
      <c r="I63" s="16">
        <f t="shared" si="30"/>
        <v>3.0202570591632283E-4</v>
      </c>
      <c r="J63" s="16">
        <f t="shared" si="31"/>
        <v>5.333274366953536E-4</v>
      </c>
      <c r="K63" s="16">
        <f t="shared" si="32"/>
        <v>6.0132260169507012E-4</v>
      </c>
      <c r="L63" s="16">
        <f t="shared" si="33"/>
        <v>2.1250462516207921E-3</v>
      </c>
      <c r="N63">
        <v>2</v>
      </c>
      <c r="O63">
        <f t="shared" ref="O63:O90" si="35">+I63/$H63</f>
        <v>3.0202570591632283E-4</v>
      </c>
      <c r="P63">
        <f t="shared" ref="P63:P90" si="36">+J63/$H63</f>
        <v>5.333274366953536E-4</v>
      </c>
      <c r="Q63">
        <f t="shared" ref="Q63:Q90" si="37">+K63/$H63</f>
        <v>6.0132260169507012E-4</v>
      </c>
      <c r="R63">
        <f t="shared" ref="R63:R90" si="38">+L63/$H63</f>
        <v>2.1250462516207921E-3</v>
      </c>
    </row>
    <row r="64" spans="2:18" x14ac:dyDescent="0.25">
      <c r="B64" s="15">
        <v>3</v>
      </c>
      <c r="C64" s="16">
        <f t="shared" si="25"/>
        <v>4.0906371486001097E-2</v>
      </c>
      <c r="D64" s="16">
        <f t="shared" si="26"/>
        <v>4.1601263381198565E-2</v>
      </c>
      <c r="E64" s="16">
        <f t="shared" si="27"/>
        <v>4.1805313935107093E-2</v>
      </c>
      <c r="F64" s="16">
        <f t="shared" si="28"/>
        <v>4.6891915835031807E-2</v>
      </c>
      <c r="H64" s="16">
        <f t="shared" si="29"/>
        <v>1</v>
      </c>
      <c r="I64" s="16">
        <f t="shared" si="30"/>
        <v>2.9274270222266752E-4</v>
      </c>
      <c r="J64" s="16">
        <f t="shared" si="31"/>
        <v>5.0782144937648599E-4</v>
      </c>
      <c r="K64" s="16">
        <f t="shared" si="32"/>
        <v>5.7353672393795768E-4</v>
      </c>
      <c r="L64" s="16">
        <f t="shared" si="33"/>
        <v>1.3041110058169963E-3</v>
      </c>
      <c r="N64" s="15">
        <v>3</v>
      </c>
      <c r="O64">
        <f t="shared" si="35"/>
        <v>2.9274270222266752E-4</v>
      </c>
      <c r="P64">
        <f t="shared" si="36"/>
        <v>5.0782144937648599E-4</v>
      </c>
      <c r="Q64">
        <f t="shared" si="37"/>
        <v>5.7353672393795768E-4</v>
      </c>
      <c r="R64">
        <f t="shared" si="38"/>
        <v>1.3041110058169963E-3</v>
      </c>
    </row>
    <row r="65" spans="2:18" x14ac:dyDescent="0.25">
      <c r="B65" s="15">
        <v>4</v>
      </c>
      <c r="C65" s="16">
        <f t="shared" si="25"/>
        <v>4.1190116505136556E-2</v>
      </c>
      <c r="D65" s="16">
        <f t="shared" si="26"/>
        <v>4.2084798648097166E-2</v>
      </c>
      <c r="E65" s="16">
        <f t="shared" si="27"/>
        <v>4.2352348709416607E-2</v>
      </c>
      <c r="F65" s="16">
        <f t="shared" si="28"/>
        <v>4.7692230423100598E-2</v>
      </c>
      <c r="H65" s="16">
        <f t="shared" si="29"/>
        <v>1</v>
      </c>
      <c r="I65" s="16">
        <f t="shared" si="30"/>
        <v>2.8374501913545902E-4</v>
      </c>
      <c r="J65" s="16">
        <f t="shared" si="31"/>
        <v>4.8353526689860066E-4</v>
      </c>
      <c r="K65" s="16">
        <f t="shared" si="32"/>
        <v>5.4703477430951414E-4</v>
      </c>
      <c r="L65" s="16">
        <f t="shared" si="33"/>
        <v>8.0031458806879147E-4</v>
      </c>
      <c r="N65" s="15">
        <v>4</v>
      </c>
      <c r="O65">
        <f t="shared" si="35"/>
        <v>2.8374501913545902E-4</v>
      </c>
      <c r="P65">
        <f t="shared" si="36"/>
        <v>4.8353526689860066E-4</v>
      </c>
      <c r="Q65">
        <f t="shared" si="37"/>
        <v>5.4703477430951414E-4</v>
      </c>
      <c r="R65">
        <f t="shared" si="38"/>
        <v>8.0031458806879147E-4</v>
      </c>
    </row>
    <row r="66" spans="2:18" x14ac:dyDescent="0.25">
      <c r="B66">
        <v>5</v>
      </c>
      <c r="C66" s="16">
        <f t="shared" si="25"/>
        <v>4.1465140392232286E-2</v>
      </c>
      <c r="D66" s="16">
        <f t="shared" si="26"/>
        <v>4.2545209201101136E-2</v>
      </c>
      <c r="E66" s="16">
        <f t="shared" si="27"/>
        <v>4.2874106134554467E-2</v>
      </c>
      <c r="F66" s="16">
        <f t="shared" si="28"/>
        <v>4.8183372233129615E-2</v>
      </c>
      <c r="H66" s="16">
        <f t="shared" si="29"/>
        <v>1</v>
      </c>
      <c r="I66" s="16">
        <f t="shared" si="30"/>
        <v>2.7502388709572945E-4</v>
      </c>
      <c r="J66" s="16">
        <f t="shared" si="31"/>
        <v>4.6041055300397038E-4</v>
      </c>
      <c r="K66" s="16">
        <f t="shared" si="32"/>
        <v>5.2175742513786011E-4</v>
      </c>
      <c r="L66" s="16">
        <f t="shared" si="33"/>
        <v>4.9114181002901658E-4</v>
      </c>
      <c r="N66">
        <v>5</v>
      </c>
      <c r="O66">
        <f t="shared" si="35"/>
        <v>2.7502388709572945E-4</v>
      </c>
      <c r="P66">
        <f t="shared" si="36"/>
        <v>4.6041055300397038E-4</v>
      </c>
      <c r="Q66">
        <f t="shared" si="37"/>
        <v>5.2175742513786011E-4</v>
      </c>
      <c r="R66">
        <f t="shared" si="38"/>
        <v>4.9114181002901658E-4</v>
      </c>
    </row>
    <row r="67" spans="2:18" x14ac:dyDescent="0.25">
      <c r="B67">
        <v>6</v>
      </c>
      <c r="C67" s="16">
        <f t="shared" si="25"/>
        <v>4.1731711198316222E-2</v>
      </c>
      <c r="D67" s="16">
        <f t="shared" si="26"/>
        <v>4.298360096242404E-2</v>
      </c>
      <c r="E67" s="16">
        <f t="shared" si="27"/>
        <v>4.3371754224714912E-2</v>
      </c>
      <c r="F67" s="16">
        <f t="shared" si="28"/>
        <v>4.84847790563398E-2</v>
      </c>
      <c r="H67" s="16">
        <f t="shared" si="29"/>
        <v>1</v>
      </c>
      <c r="I67" s="16">
        <f t="shared" si="30"/>
        <v>2.6657080608393641E-4</v>
      </c>
      <c r="J67" s="16">
        <f t="shared" si="31"/>
        <v>4.3839176132290381E-4</v>
      </c>
      <c r="K67" s="16">
        <f t="shared" si="32"/>
        <v>4.9764809016044492E-4</v>
      </c>
      <c r="L67" s="16">
        <f t="shared" si="33"/>
        <v>3.0140682321018464E-4</v>
      </c>
      <c r="N67">
        <v>6</v>
      </c>
      <c r="O67">
        <f t="shared" si="35"/>
        <v>2.6657080608393641E-4</v>
      </c>
      <c r="P67">
        <f t="shared" si="36"/>
        <v>4.3839176132290381E-4</v>
      </c>
      <c r="Q67">
        <f t="shared" si="37"/>
        <v>4.9764809016044492E-4</v>
      </c>
      <c r="R67">
        <f t="shared" si="38"/>
        <v>3.0140682321018464E-4</v>
      </c>
    </row>
    <row r="68" spans="2:18" x14ac:dyDescent="0.25">
      <c r="B68">
        <v>7</v>
      </c>
      <c r="C68" s="16">
        <f t="shared" si="25"/>
        <v>4.1990088735651757E-2</v>
      </c>
      <c r="D68" s="16">
        <f t="shared" si="26"/>
        <v>4.3401026964373521E-2</v>
      </c>
      <c r="E68" s="16">
        <f t="shared" si="27"/>
        <v>4.3846407022564239E-2</v>
      </c>
      <c r="F68" s="16">
        <f t="shared" si="28"/>
        <v>4.8669748185871421E-2</v>
      </c>
      <c r="H68" s="16">
        <f t="shared" si="29"/>
        <v>1</v>
      </c>
      <c r="I68" s="16">
        <f t="shared" si="30"/>
        <v>2.5837753733553431E-4</v>
      </c>
      <c r="J68" s="16">
        <f t="shared" si="31"/>
        <v>4.1742600194948076E-4</v>
      </c>
      <c r="K68" s="16">
        <f t="shared" si="32"/>
        <v>4.7465279784932729E-4</v>
      </c>
      <c r="L68" s="16">
        <f t="shared" si="33"/>
        <v>1.8496912953162165E-4</v>
      </c>
      <c r="N68">
        <v>7</v>
      </c>
      <c r="O68">
        <f t="shared" si="35"/>
        <v>2.5837753733553431E-4</v>
      </c>
      <c r="P68">
        <f t="shared" si="36"/>
        <v>4.1742600194948076E-4</v>
      </c>
      <c r="Q68">
        <f t="shared" si="37"/>
        <v>4.7465279784932729E-4</v>
      </c>
      <c r="R68">
        <f t="shared" si="38"/>
        <v>1.8496912953162165E-4</v>
      </c>
    </row>
    <row r="69" spans="2:18" x14ac:dyDescent="0.25">
      <c r="B69">
        <v>8</v>
      </c>
      <c r="C69" s="16">
        <f t="shared" si="25"/>
        <v>4.2240524830962793E-2</v>
      </c>
      <c r="D69" s="16">
        <f t="shared" si="26"/>
        <v>4.3798489878771656E-2</v>
      </c>
      <c r="E69" s="16">
        <f t="shared" si="27"/>
        <v>4.4299127093153784E-2</v>
      </c>
      <c r="F69" s="16">
        <f t="shared" si="28"/>
        <v>4.8783261139942226E-2</v>
      </c>
      <c r="H69" s="16">
        <f t="shared" si="29"/>
        <v>1</v>
      </c>
      <c r="I69" s="16">
        <f t="shared" si="30"/>
        <v>2.5043609531103656E-4</v>
      </c>
      <c r="J69" s="16">
        <f t="shared" si="31"/>
        <v>3.974629143981348E-4</v>
      </c>
      <c r="K69" s="16">
        <f t="shared" si="32"/>
        <v>4.5272007058954483E-4</v>
      </c>
      <c r="L69" s="16">
        <f t="shared" si="33"/>
        <v>1.1351295407080464E-4</v>
      </c>
      <c r="N69">
        <v>8</v>
      </c>
      <c r="O69">
        <f t="shared" si="35"/>
        <v>2.5043609531103656E-4</v>
      </c>
      <c r="P69">
        <f t="shared" si="36"/>
        <v>3.974629143981348E-4</v>
      </c>
      <c r="Q69">
        <f t="shared" si="37"/>
        <v>4.5272007058954483E-4</v>
      </c>
      <c r="R69">
        <f t="shared" si="38"/>
        <v>1.1351295407080464E-4</v>
      </c>
    </row>
    <row r="70" spans="2:18" x14ac:dyDescent="0.25">
      <c r="B70">
        <v>9</v>
      </c>
      <c r="C70" s="16">
        <f t="shared" si="25"/>
        <v>4.2483263570875736E-2</v>
      </c>
      <c r="D70" s="16">
        <f t="shared" si="26"/>
        <v>4.4176944425407622E-2</v>
      </c>
      <c r="E70" s="16">
        <f t="shared" si="27"/>
        <v>4.473092790259442E-2</v>
      </c>
      <c r="F70" s="16">
        <f t="shared" si="28"/>
        <v>4.8852922443828502E-2</v>
      </c>
      <c r="H70" s="16">
        <f t="shared" si="29"/>
        <v>1</v>
      </c>
      <c r="I70" s="16">
        <f t="shared" si="30"/>
        <v>2.427387399129427E-4</v>
      </c>
      <c r="J70" s="16">
        <f t="shared" si="31"/>
        <v>3.7845454663596595E-4</v>
      </c>
      <c r="K70" s="16">
        <f t="shared" si="32"/>
        <v>4.3180080944063559E-4</v>
      </c>
      <c r="L70" s="16">
        <f t="shared" si="33"/>
        <v>6.9661303886275894E-5</v>
      </c>
      <c r="N70">
        <v>9</v>
      </c>
      <c r="O70">
        <f t="shared" si="35"/>
        <v>2.427387399129427E-4</v>
      </c>
      <c r="P70">
        <f t="shared" si="36"/>
        <v>3.7845454663596595E-4</v>
      </c>
      <c r="Q70">
        <f t="shared" si="37"/>
        <v>4.3180080944063559E-4</v>
      </c>
      <c r="R70">
        <f t="shared" si="38"/>
        <v>6.9661303886275894E-5</v>
      </c>
    </row>
    <row r="71" spans="2:18" x14ac:dyDescent="0.25">
      <c r="B71">
        <v>10</v>
      </c>
      <c r="C71" s="16">
        <f t="shared" si="25"/>
        <v>4.2718541539817648E-2</v>
      </c>
      <c r="D71" s="16">
        <f t="shared" si="26"/>
        <v>4.4537299665307985E-2</v>
      </c>
      <c r="E71" s="16">
        <f t="shared" si="27"/>
        <v>4.5142776086817382E-2</v>
      </c>
      <c r="F71" s="16">
        <f t="shared" si="28"/>
        <v>4.8895672606564189E-2</v>
      </c>
      <c r="H71" s="16">
        <f t="shared" si="29"/>
        <v>1</v>
      </c>
      <c r="I71" s="16">
        <f t="shared" si="30"/>
        <v>2.3527796894191183E-4</v>
      </c>
      <c r="J71" s="16">
        <f t="shared" si="31"/>
        <v>3.6035523990036317E-4</v>
      </c>
      <c r="K71" s="16">
        <f t="shared" si="32"/>
        <v>4.1184818422296265E-4</v>
      </c>
      <c r="L71" s="16">
        <f t="shared" si="33"/>
        <v>4.2750162735687158E-5</v>
      </c>
      <c r="N71">
        <v>10</v>
      </c>
      <c r="O71">
        <f t="shared" si="35"/>
        <v>2.3527796894191183E-4</v>
      </c>
      <c r="P71">
        <f t="shared" si="36"/>
        <v>3.6035523990036317E-4</v>
      </c>
      <c r="Q71">
        <f t="shared" si="37"/>
        <v>4.1184818422296265E-4</v>
      </c>
      <c r="R71">
        <f t="shared" si="38"/>
        <v>4.2750162735687158E-5</v>
      </c>
    </row>
    <row r="72" spans="2:18" x14ac:dyDescent="0.25">
      <c r="B72">
        <v>15</v>
      </c>
      <c r="C72" s="16">
        <f t="shared" si="25"/>
        <v>4.379080358726193E-2</v>
      </c>
      <c r="D72" s="16">
        <f t="shared" si="26"/>
        <v>4.6096473825085103E-2</v>
      </c>
      <c r="E72" s="16">
        <f t="shared" si="27"/>
        <v>4.6933546194581149E-2</v>
      </c>
      <c r="F72" s="16">
        <f t="shared" si="28"/>
        <v>4.895767294182219E-2</v>
      </c>
      <c r="H72" s="16">
        <f t="shared" si="29"/>
        <v>5</v>
      </c>
      <c r="I72" s="16">
        <f t="shared" si="30"/>
        <v>1.0722620474442821E-3</v>
      </c>
      <c r="J72" s="16">
        <f t="shared" si="31"/>
        <v>1.5591741597771186E-3</v>
      </c>
      <c r="K72" s="16">
        <f t="shared" si="32"/>
        <v>1.7907701077637672E-3</v>
      </c>
      <c r="L72" s="16">
        <f t="shared" si="33"/>
        <v>6.2000335258001471E-5</v>
      </c>
      <c r="N72">
        <v>15</v>
      </c>
      <c r="O72">
        <f t="shared" si="35"/>
        <v>2.1445240948885641E-4</v>
      </c>
      <c r="P72">
        <f t="shared" si="36"/>
        <v>3.118348319554237E-4</v>
      </c>
      <c r="Q72">
        <f t="shared" si="37"/>
        <v>3.5815402155275346E-4</v>
      </c>
      <c r="R72">
        <f t="shared" si="38"/>
        <v>1.2400067051600295E-5</v>
      </c>
    </row>
    <row r="73" spans="2:18" x14ac:dyDescent="0.25">
      <c r="B73">
        <v>20</v>
      </c>
      <c r="C73" s="16">
        <f t="shared" si="25"/>
        <v>4.4708104405602772E-2</v>
      </c>
      <c r="D73" s="16">
        <f t="shared" si="26"/>
        <v>4.7316812009618604E-2</v>
      </c>
      <c r="E73" s="16">
        <f t="shared" si="27"/>
        <v>4.8347087012037451E-2</v>
      </c>
      <c r="F73" s="16">
        <f t="shared" si="28"/>
        <v>4.8963069599911202E-2</v>
      </c>
      <c r="H73" s="16">
        <f t="shared" si="29"/>
        <v>5</v>
      </c>
      <c r="I73" s="16">
        <f t="shared" si="30"/>
        <v>9.1730081834084237E-4</v>
      </c>
      <c r="J73" s="16">
        <f t="shared" si="31"/>
        <v>1.220338184533501E-3</v>
      </c>
      <c r="K73" s="16">
        <f t="shared" si="32"/>
        <v>1.4135408174563019E-3</v>
      </c>
      <c r="L73" s="16">
        <f t="shared" si="33"/>
        <v>5.39665808901163E-6</v>
      </c>
      <c r="N73">
        <v>20</v>
      </c>
      <c r="O73">
        <f t="shared" si="35"/>
        <v>1.8346016366816846E-4</v>
      </c>
      <c r="P73">
        <f t="shared" si="36"/>
        <v>2.440676369067002E-4</v>
      </c>
      <c r="Q73">
        <f t="shared" si="37"/>
        <v>2.8270816349126036E-4</v>
      </c>
      <c r="R73">
        <f t="shared" si="38"/>
        <v>1.0793316178023259E-6</v>
      </c>
    </row>
    <row r="74" spans="2:18" x14ac:dyDescent="0.25">
      <c r="B74">
        <v>25</v>
      </c>
      <c r="C74" s="16">
        <f t="shared" si="25"/>
        <v>4.5492838690784583E-2</v>
      </c>
      <c r="D74" s="16">
        <f t="shared" si="26"/>
        <v>4.8271949237420918E-2</v>
      </c>
      <c r="E74" s="16">
        <f t="shared" si="27"/>
        <v>4.9462862640607758E-2</v>
      </c>
      <c r="F74" s="16">
        <f t="shared" si="28"/>
        <v>4.8963539337992593E-2</v>
      </c>
      <c r="H74" s="16">
        <f t="shared" si="29"/>
        <v>5</v>
      </c>
      <c r="I74" s="16">
        <f t="shared" si="30"/>
        <v>7.8473428518181093E-4</v>
      </c>
      <c r="J74" s="16">
        <f t="shared" si="31"/>
        <v>9.5513722780231347E-4</v>
      </c>
      <c r="K74" s="16">
        <f t="shared" si="32"/>
        <v>1.1157756285703063E-3</v>
      </c>
      <c r="L74" s="16">
        <f t="shared" si="33"/>
        <v>4.6973808139061379E-7</v>
      </c>
      <c r="N74">
        <v>25</v>
      </c>
      <c r="O74">
        <f t="shared" si="35"/>
        <v>1.5694685703636219E-4</v>
      </c>
      <c r="P74">
        <f t="shared" si="36"/>
        <v>1.9102744556046268E-4</v>
      </c>
      <c r="Q74">
        <f t="shared" si="37"/>
        <v>2.2315512571406126E-4</v>
      </c>
      <c r="R74">
        <f t="shared" si="38"/>
        <v>9.3947616278122764E-8</v>
      </c>
    </row>
    <row r="75" spans="2:18" x14ac:dyDescent="0.25">
      <c r="B75">
        <v>30</v>
      </c>
      <c r="C75" s="16">
        <f t="shared" si="25"/>
        <v>4.6164164700777305E-2</v>
      </c>
      <c r="D75" s="16">
        <f t="shared" si="26"/>
        <v>4.9019518342031561E-2</v>
      </c>
      <c r="E75" s="16">
        <f t="shared" si="27"/>
        <v>5.0343597910461356E-2</v>
      </c>
      <c r="F75" s="16">
        <f t="shared" si="28"/>
        <v>4.8963580225123385E-2</v>
      </c>
      <c r="H75" s="16">
        <f t="shared" si="29"/>
        <v>5</v>
      </c>
      <c r="I75" s="16">
        <f t="shared" si="30"/>
        <v>6.7132600999272179E-4</v>
      </c>
      <c r="J75" s="16">
        <f t="shared" si="31"/>
        <v>7.4756910461064308E-4</v>
      </c>
      <c r="K75" s="16">
        <f t="shared" si="32"/>
        <v>8.8073526985359835E-4</v>
      </c>
      <c r="L75" s="16">
        <f t="shared" si="33"/>
        <v>4.0887130792199855E-8</v>
      </c>
      <c r="N75">
        <v>30</v>
      </c>
      <c r="O75">
        <f t="shared" si="35"/>
        <v>1.3426520199854436E-4</v>
      </c>
      <c r="P75">
        <f t="shared" si="36"/>
        <v>1.495138209221286E-4</v>
      </c>
      <c r="Q75">
        <f t="shared" si="37"/>
        <v>1.7614705397071966E-4</v>
      </c>
      <c r="R75">
        <f t="shared" si="38"/>
        <v>8.1774261584399707E-9</v>
      </c>
    </row>
    <row r="76" spans="2:18" x14ac:dyDescent="0.25">
      <c r="B76">
        <v>35</v>
      </c>
      <c r="C76" s="16">
        <f t="shared" si="25"/>
        <v>4.6738471979308312E-2</v>
      </c>
      <c r="D76" s="16">
        <f t="shared" si="26"/>
        <v>4.9604627528335873E-2</v>
      </c>
      <c r="E76" s="16">
        <f t="shared" si="27"/>
        <v>5.1038804541348272E-2</v>
      </c>
      <c r="F76" s="16">
        <f t="shared" si="28"/>
        <v>4.8963583784037451E-2</v>
      </c>
      <c r="H76" s="16">
        <f t="shared" si="29"/>
        <v>5</v>
      </c>
      <c r="I76" s="16">
        <f t="shared" si="30"/>
        <v>5.7430727853100688E-4</v>
      </c>
      <c r="J76" s="16">
        <f t="shared" si="31"/>
        <v>5.8510918630431258E-4</v>
      </c>
      <c r="K76" s="16">
        <f t="shared" si="32"/>
        <v>6.9520663088691592E-4</v>
      </c>
      <c r="L76" s="16">
        <f t="shared" si="33"/>
        <v>3.5589140662262153E-9</v>
      </c>
      <c r="N76">
        <v>35</v>
      </c>
      <c r="O76">
        <f t="shared" si="35"/>
        <v>1.1486145570620138E-4</v>
      </c>
      <c r="P76">
        <f t="shared" si="36"/>
        <v>1.1702183726086252E-4</v>
      </c>
      <c r="Q76">
        <f t="shared" si="37"/>
        <v>1.3904132617738318E-4</v>
      </c>
      <c r="R76">
        <f t="shared" si="38"/>
        <v>7.1178281324524306E-10</v>
      </c>
    </row>
    <row r="77" spans="2:18" x14ac:dyDescent="0.25">
      <c r="B77">
        <v>40</v>
      </c>
      <c r="C77" s="16">
        <f t="shared" si="25"/>
        <v>4.722978148506881E-2</v>
      </c>
      <c r="D77" s="16">
        <f t="shared" si="26"/>
        <v>5.0062582194715502E-2</v>
      </c>
      <c r="E77" s="16">
        <f t="shared" si="27"/>
        <v>5.1587564510628806E-2</v>
      </c>
      <c r="F77" s="16">
        <f t="shared" si="28"/>
        <v>4.8963584093813878E-2</v>
      </c>
      <c r="H77" s="16">
        <f t="shared" si="29"/>
        <v>5</v>
      </c>
      <c r="I77" s="16">
        <f t="shared" si="30"/>
        <v>4.9130950576049826E-4</v>
      </c>
      <c r="J77" s="16">
        <f t="shared" si="31"/>
        <v>4.5795466637962856E-4</v>
      </c>
      <c r="K77" s="16">
        <f t="shared" si="32"/>
        <v>5.4875996928053367E-4</v>
      </c>
      <c r="L77" s="16">
        <f t="shared" si="33"/>
        <v>3.097764267323555E-10</v>
      </c>
      <c r="N77">
        <v>40</v>
      </c>
      <c r="O77">
        <f t="shared" si="35"/>
        <v>9.8261901152099651E-5</v>
      </c>
      <c r="P77">
        <f t="shared" si="36"/>
        <v>9.1590933275925707E-5</v>
      </c>
      <c r="Q77">
        <f t="shared" si="37"/>
        <v>1.0975199385610673E-4</v>
      </c>
      <c r="R77">
        <f t="shared" si="38"/>
        <v>6.1955285346471098E-11</v>
      </c>
    </row>
    <row r="78" spans="2:18" x14ac:dyDescent="0.25">
      <c r="B78">
        <v>45</v>
      </c>
      <c r="C78" s="16">
        <f t="shared" si="25"/>
        <v>4.7650087895024222E-2</v>
      </c>
      <c r="D78" s="16">
        <f t="shared" si="26"/>
        <v>5.0421015255361051E-2</v>
      </c>
      <c r="E78" s="16">
        <f t="shared" si="27"/>
        <v>5.2020727099283327E-2</v>
      </c>
      <c r="F78" s="16">
        <f t="shared" si="28"/>
        <v>4.8963584120777559E-2</v>
      </c>
      <c r="H78" s="16">
        <f t="shared" si="29"/>
        <v>5</v>
      </c>
      <c r="I78" s="16">
        <f t="shared" si="30"/>
        <v>4.2030640995541213E-4</v>
      </c>
      <c r="J78" s="16">
        <f t="shared" si="31"/>
        <v>3.5843306064554936E-4</v>
      </c>
      <c r="K78" s="16">
        <f t="shared" si="32"/>
        <v>4.3316258865452179E-4</v>
      </c>
      <c r="L78" s="16">
        <f t="shared" si="33"/>
        <v>2.6963681287739405E-11</v>
      </c>
      <c r="N78">
        <v>45</v>
      </c>
      <c r="O78">
        <f t="shared" si="35"/>
        <v>8.4061281991082429E-5</v>
      </c>
      <c r="P78">
        <f t="shared" si="36"/>
        <v>7.168661212910987E-5</v>
      </c>
      <c r="Q78">
        <f t="shared" si="37"/>
        <v>8.6632517730904352E-5</v>
      </c>
      <c r="R78">
        <f t="shared" si="38"/>
        <v>5.3927362575478807E-12</v>
      </c>
    </row>
    <row r="79" spans="2:18" x14ac:dyDescent="0.25">
      <c r="B79">
        <v>50</v>
      </c>
      <c r="C79" s="16">
        <f t="shared" si="25"/>
        <v>4.8009652438714766E-2</v>
      </c>
      <c r="D79" s="16">
        <f t="shared" si="26"/>
        <v>5.0701554506067656E-2</v>
      </c>
      <c r="E79" s="16">
        <f t="shared" si="27"/>
        <v>5.2362643125803784E-2</v>
      </c>
      <c r="F79" s="16">
        <f t="shared" si="28"/>
        <v>4.8963584123124543E-2</v>
      </c>
      <c r="H79" s="16">
        <f t="shared" si="29"/>
        <v>5</v>
      </c>
      <c r="I79" s="16">
        <f t="shared" si="30"/>
        <v>3.5956454369054369E-4</v>
      </c>
      <c r="J79" s="16">
        <f t="shared" si="31"/>
        <v>2.8053925070660457E-4</v>
      </c>
      <c r="K79" s="16">
        <f t="shared" si="32"/>
        <v>3.4191602652045711E-4</v>
      </c>
      <c r="L79" s="16">
        <f t="shared" si="33"/>
        <v>2.3469837184819653E-12</v>
      </c>
      <c r="N79">
        <v>50</v>
      </c>
      <c r="O79">
        <f t="shared" si="35"/>
        <v>7.1912908738108741E-5</v>
      </c>
      <c r="P79">
        <f t="shared" si="36"/>
        <v>5.6107850141320917E-5</v>
      </c>
      <c r="Q79">
        <f t="shared" si="37"/>
        <v>6.8383205304091421E-5</v>
      </c>
      <c r="R79">
        <f t="shared" si="38"/>
        <v>4.6939674369639304E-13</v>
      </c>
    </row>
    <row r="80" spans="2:18" x14ac:dyDescent="0.25">
      <c r="B80">
        <v>60</v>
      </c>
      <c r="C80" s="16">
        <f t="shared" si="25"/>
        <v>4.8580400491210041E-2</v>
      </c>
      <c r="D80" s="16">
        <f t="shared" si="26"/>
        <v>5.109298367277125E-2</v>
      </c>
      <c r="E80" s="16">
        <f t="shared" si="27"/>
        <v>5.2845571573899339E-2</v>
      </c>
      <c r="F80" s="16">
        <f t="shared" si="28"/>
        <v>4.8963584123346615E-2</v>
      </c>
      <c r="H80" s="16">
        <f t="shared" si="29"/>
        <v>10</v>
      </c>
      <c r="I80" s="16">
        <f t="shared" si="30"/>
        <v>5.7074805249527488E-4</v>
      </c>
      <c r="J80" s="16">
        <f t="shared" si="31"/>
        <v>3.9142916670359407E-4</v>
      </c>
      <c r="K80" s="16">
        <f t="shared" si="32"/>
        <v>4.8292844809555424E-4</v>
      </c>
      <c r="L80" s="16">
        <f t="shared" si="33"/>
        <v>2.2207236050064694E-13</v>
      </c>
      <c r="N80">
        <v>60</v>
      </c>
      <c r="O80">
        <f t="shared" si="35"/>
        <v>5.7074805249527488E-5</v>
      </c>
      <c r="P80">
        <f t="shared" si="36"/>
        <v>3.9142916670359409E-5</v>
      </c>
      <c r="Q80">
        <f t="shared" si="37"/>
        <v>4.8292844809555425E-5</v>
      </c>
      <c r="R80">
        <f t="shared" si="38"/>
        <v>2.2207236050064694E-14</v>
      </c>
    </row>
    <row r="81" spans="2:18" x14ac:dyDescent="0.25">
      <c r="B81">
        <v>70</v>
      </c>
      <c r="C81" s="16">
        <f t="shared" si="25"/>
        <v>4.8998102083895635E-2</v>
      </c>
      <c r="D81" s="16">
        <f t="shared" si="26"/>
        <v>5.1332769951181412E-2</v>
      </c>
      <c r="E81" s="16">
        <f t="shared" si="27"/>
        <v>5.3146469936225238E-2</v>
      </c>
      <c r="F81" s="16">
        <f t="shared" si="28"/>
        <v>4.8963584123348294E-2</v>
      </c>
      <c r="H81" s="16">
        <f t="shared" si="29"/>
        <v>10</v>
      </c>
      <c r="I81" s="16">
        <f t="shared" si="30"/>
        <v>4.1770159268559454E-4</v>
      </c>
      <c r="J81" s="16">
        <f t="shared" si="31"/>
        <v>2.3978627841016176E-4</v>
      </c>
      <c r="K81" s="16">
        <f t="shared" si="32"/>
        <v>3.0089836232589928E-4</v>
      </c>
      <c r="L81" s="16">
        <f t="shared" si="33"/>
        <v>1.6792123247455493E-15</v>
      </c>
      <c r="N81">
        <v>70</v>
      </c>
      <c r="O81">
        <f t="shared" si="35"/>
        <v>4.1770159268559456E-5</v>
      </c>
      <c r="P81">
        <f t="shared" si="36"/>
        <v>2.3978627841016176E-5</v>
      </c>
      <c r="Q81">
        <f t="shared" si="37"/>
        <v>3.0089836232589928E-5</v>
      </c>
      <c r="R81">
        <f t="shared" si="38"/>
        <v>1.6792123247455492E-16</v>
      </c>
    </row>
    <row r="82" spans="2:18" x14ac:dyDescent="0.25">
      <c r="B82">
        <v>80</v>
      </c>
      <c r="C82" s="16">
        <f t="shared" si="25"/>
        <v>4.9303796724060045E-2</v>
      </c>
      <c r="D82" s="16">
        <f t="shared" si="26"/>
        <v>5.1479661047207817E-2</v>
      </c>
      <c r="E82" s="16">
        <f t="shared" si="27"/>
        <v>5.3333950762437604E-2</v>
      </c>
      <c r="F82" s="16">
        <f t="shared" si="28"/>
        <v>4.8963584123348308E-2</v>
      </c>
      <c r="H82" s="16">
        <f t="shared" si="29"/>
        <v>10</v>
      </c>
      <c r="I82" s="16">
        <f t="shared" si="30"/>
        <v>3.0569464016440978E-4</v>
      </c>
      <c r="J82" s="16">
        <f t="shared" si="31"/>
        <v>1.4689109602640527E-4</v>
      </c>
      <c r="K82" s="16">
        <f t="shared" si="32"/>
        <v>1.8748082621236617E-4</v>
      </c>
      <c r="L82" s="16">
        <f t="shared" si="33"/>
        <v>0</v>
      </c>
      <c r="N82">
        <v>80</v>
      </c>
      <c r="O82">
        <f t="shared" si="35"/>
        <v>3.0569464016440978E-5</v>
      </c>
      <c r="P82">
        <f t="shared" si="36"/>
        <v>1.4689109602640526E-5</v>
      </c>
      <c r="Q82">
        <f t="shared" si="37"/>
        <v>1.8748082621236618E-5</v>
      </c>
      <c r="R82">
        <f t="shared" si="38"/>
        <v>0</v>
      </c>
    </row>
    <row r="83" spans="2:18" x14ac:dyDescent="0.25">
      <c r="B83">
        <v>90</v>
      </c>
      <c r="C83" s="16">
        <f t="shared" si="25"/>
        <v>4.9527519148541171E-2</v>
      </c>
      <c r="D83" s="16">
        <f t="shared" si="26"/>
        <v>5.1569645320848907E-2</v>
      </c>
      <c r="E83" s="16">
        <f t="shared" si="27"/>
        <v>5.3450764492913146E-2</v>
      </c>
      <c r="F83" s="16">
        <f t="shared" si="28"/>
        <v>4.8963584123348308E-2</v>
      </c>
      <c r="H83" s="16">
        <f t="shared" si="29"/>
        <v>10</v>
      </c>
      <c r="I83" s="16">
        <f t="shared" si="30"/>
        <v>2.2372242448112645E-4</v>
      </c>
      <c r="J83" s="16">
        <f t="shared" si="31"/>
        <v>8.998427364109024E-5</v>
      </c>
      <c r="K83" s="16">
        <f t="shared" si="32"/>
        <v>1.168137304755415E-4</v>
      </c>
      <c r="L83" s="16">
        <f t="shared" si="33"/>
        <v>0</v>
      </c>
      <c r="N83">
        <v>90</v>
      </c>
      <c r="O83">
        <f t="shared" si="35"/>
        <v>2.2372242448112644E-5</v>
      </c>
      <c r="P83">
        <f t="shared" si="36"/>
        <v>8.998427364109024E-6</v>
      </c>
      <c r="Q83">
        <f t="shared" si="37"/>
        <v>1.168137304755415E-5</v>
      </c>
      <c r="R83">
        <f t="shared" si="38"/>
        <v>0</v>
      </c>
    </row>
    <row r="84" spans="2:18" x14ac:dyDescent="0.25">
      <c r="B84">
        <v>100</v>
      </c>
      <c r="C84" s="16">
        <f t="shared" si="25"/>
        <v>4.9691250260047719E-2</v>
      </c>
      <c r="D84" s="16">
        <f t="shared" si="26"/>
        <v>5.1624768944552139E-2</v>
      </c>
      <c r="E84" s="16">
        <f t="shared" si="27"/>
        <v>5.3523547656414663E-2</v>
      </c>
      <c r="F84" s="16">
        <f t="shared" si="28"/>
        <v>4.8963584123348308E-2</v>
      </c>
      <c r="H84" s="16">
        <f t="shared" si="29"/>
        <v>10</v>
      </c>
      <c r="I84" s="16">
        <f t="shared" si="30"/>
        <v>1.6373111150654734E-4</v>
      </c>
      <c r="J84" s="16">
        <f t="shared" si="31"/>
        <v>5.5123623703232094E-5</v>
      </c>
      <c r="K84" s="16">
        <f t="shared" si="32"/>
        <v>7.2783163501517756E-5</v>
      </c>
      <c r="L84" s="16">
        <f t="shared" si="33"/>
        <v>0</v>
      </c>
      <c r="N84">
        <v>100</v>
      </c>
      <c r="O84">
        <f t="shared" si="35"/>
        <v>1.6373111150654734E-5</v>
      </c>
      <c r="P84">
        <f t="shared" si="36"/>
        <v>5.5123623703232096E-6</v>
      </c>
      <c r="Q84">
        <f t="shared" si="37"/>
        <v>7.2783163501517752E-6</v>
      </c>
      <c r="R84">
        <f t="shared" si="38"/>
        <v>0</v>
      </c>
    </row>
    <row r="85" spans="2:18" x14ac:dyDescent="0.25">
      <c r="B85">
        <v>110</v>
      </c>
      <c r="C85" s="16">
        <f t="shared" si="25"/>
        <v>4.9811076767995427E-2</v>
      </c>
      <c r="D85" s="16">
        <f t="shared" si="26"/>
        <v>5.1658537221687936E-2</v>
      </c>
      <c r="E85" s="16">
        <f t="shared" si="27"/>
        <v>5.3568896682318741E-2</v>
      </c>
      <c r="F85" s="16">
        <f t="shared" si="28"/>
        <v>4.8963584123348308E-2</v>
      </c>
      <c r="H85" s="16">
        <f t="shared" si="29"/>
        <v>10</v>
      </c>
      <c r="I85" s="16">
        <f t="shared" si="30"/>
        <v>1.1982650794770816E-4</v>
      </c>
      <c r="J85" s="16">
        <f t="shared" si="31"/>
        <v>3.3768277135796942E-5</v>
      </c>
      <c r="K85" s="16">
        <f t="shared" si="32"/>
        <v>4.5349025904077578E-5</v>
      </c>
      <c r="L85" s="16">
        <f t="shared" si="33"/>
        <v>0</v>
      </c>
      <c r="N85">
        <v>110</v>
      </c>
      <c r="O85">
        <f t="shared" si="35"/>
        <v>1.1982650794770816E-5</v>
      </c>
      <c r="P85">
        <f t="shared" si="36"/>
        <v>3.3768277135796942E-6</v>
      </c>
      <c r="Q85">
        <f t="shared" si="37"/>
        <v>4.5349025904077581E-6</v>
      </c>
      <c r="R85">
        <f t="shared" si="38"/>
        <v>0</v>
      </c>
    </row>
    <row r="86" spans="2:18" x14ac:dyDescent="0.25">
      <c r="B86">
        <v>120</v>
      </c>
      <c r="C86" s="16">
        <f t="shared" si="25"/>
        <v>4.9898771720254823E-2</v>
      </c>
      <c r="D86" s="16">
        <f t="shared" si="26"/>
        <v>5.167922338968841E-2</v>
      </c>
      <c r="E86" s="16">
        <f t="shared" si="27"/>
        <v>5.3597152312488024E-2</v>
      </c>
      <c r="F86" s="16">
        <f t="shared" si="28"/>
        <v>4.8963584123348308E-2</v>
      </c>
      <c r="H86" s="16">
        <f t="shared" si="29"/>
        <v>10</v>
      </c>
      <c r="I86" s="16">
        <f t="shared" si="30"/>
        <v>8.7694952259395609E-5</v>
      </c>
      <c r="J86" s="16">
        <f t="shared" si="31"/>
        <v>2.068616800047357E-5</v>
      </c>
      <c r="K86" s="16">
        <f t="shared" si="32"/>
        <v>2.8255630169282675E-5</v>
      </c>
      <c r="L86" s="16">
        <f t="shared" si="33"/>
        <v>0</v>
      </c>
      <c r="N86">
        <v>120</v>
      </c>
      <c r="O86">
        <f t="shared" si="35"/>
        <v>8.7694952259395616E-6</v>
      </c>
      <c r="P86">
        <f t="shared" si="36"/>
        <v>2.0686168000473571E-6</v>
      </c>
      <c r="Q86">
        <f t="shared" si="37"/>
        <v>2.8255630169282674E-6</v>
      </c>
      <c r="R86">
        <f t="shared" si="38"/>
        <v>0</v>
      </c>
    </row>
    <row r="87" spans="2:18" x14ac:dyDescent="0.25">
      <c r="B87">
        <v>125</v>
      </c>
      <c r="C87" s="16">
        <f t="shared" si="25"/>
        <v>4.9933360843754653E-2</v>
      </c>
      <c r="D87" s="16">
        <f t="shared" si="26"/>
        <v>5.1686331877333111E-2</v>
      </c>
      <c r="E87" s="16">
        <f t="shared" si="27"/>
        <v>5.36069912277021E-2</v>
      </c>
      <c r="F87" s="16">
        <f t="shared" si="28"/>
        <v>4.8963584123348308E-2</v>
      </c>
      <c r="H87" s="16">
        <f t="shared" si="29"/>
        <v>5</v>
      </c>
      <c r="I87" s="16">
        <f t="shared" si="30"/>
        <v>3.4589123499829955E-5</v>
      </c>
      <c r="J87" s="16">
        <f t="shared" si="31"/>
        <v>7.1084876447011225E-6</v>
      </c>
      <c r="K87" s="16">
        <f t="shared" si="32"/>
        <v>9.8389152140762604E-6</v>
      </c>
      <c r="L87" s="16">
        <f t="shared" si="33"/>
        <v>0</v>
      </c>
      <c r="N87">
        <v>125</v>
      </c>
      <c r="O87">
        <f t="shared" si="35"/>
        <v>6.9178246999659911E-6</v>
      </c>
      <c r="P87">
        <f t="shared" si="36"/>
        <v>1.4216975289402246E-6</v>
      </c>
      <c r="Q87">
        <f t="shared" si="37"/>
        <v>1.967783042815252E-6</v>
      </c>
      <c r="R87">
        <f t="shared" si="38"/>
        <v>0</v>
      </c>
    </row>
    <row r="88" spans="2:18" x14ac:dyDescent="0.25">
      <c r="B88">
        <v>150</v>
      </c>
      <c r="C88" s="16">
        <f t="shared" si="25"/>
        <v>5.0044295695458076E-2</v>
      </c>
      <c r="D88" s="16">
        <f t="shared" si="26"/>
        <v>5.1704413906313813E-2</v>
      </c>
      <c r="E88" s="16">
        <f t="shared" si="27"/>
        <v>5.363256150688972E-2</v>
      </c>
      <c r="F88" s="16">
        <f t="shared" si="28"/>
        <v>4.8963584123348308E-2</v>
      </c>
      <c r="H88" s="16">
        <f t="shared" si="29"/>
        <v>25</v>
      </c>
      <c r="I88" s="16">
        <f t="shared" si="30"/>
        <v>1.109348517034231E-4</v>
      </c>
      <c r="J88" s="16">
        <f t="shared" si="31"/>
        <v>1.808202898070238E-5</v>
      </c>
      <c r="K88" s="16">
        <f t="shared" si="32"/>
        <v>2.5570279187620004E-5</v>
      </c>
      <c r="L88" s="16">
        <f t="shared" si="33"/>
        <v>0</v>
      </c>
      <c r="N88">
        <v>150</v>
      </c>
      <c r="O88">
        <f t="shared" si="35"/>
        <v>4.4373940681369239E-6</v>
      </c>
      <c r="P88">
        <f t="shared" si="36"/>
        <v>7.2328115922809525E-7</v>
      </c>
      <c r="Q88">
        <f t="shared" si="37"/>
        <v>1.0228111675048002E-6</v>
      </c>
      <c r="R88">
        <f t="shared" si="38"/>
        <v>0</v>
      </c>
    </row>
    <row r="89" spans="2:18" x14ac:dyDescent="0.25">
      <c r="B89">
        <v>175</v>
      </c>
      <c r="C89" s="16">
        <f t="shared" si="25"/>
        <v>5.0095125944735232E-2</v>
      </c>
      <c r="D89" s="16">
        <f t="shared" si="26"/>
        <v>5.1709724890656006E-2</v>
      </c>
      <c r="E89" s="16">
        <f t="shared" si="27"/>
        <v>5.3640397211517941E-2</v>
      </c>
      <c r="F89" s="16">
        <f t="shared" si="28"/>
        <v>4.8963584123348308E-2</v>
      </c>
      <c r="H89" s="16">
        <f t="shared" si="29"/>
        <v>25</v>
      </c>
      <c r="I89" s="16">
        <f t="shared" si="30"/>
        <v>5.0830249277156181E-5</v>
      </c>
      <c r="J89" s="16">
        <f t="shared" si="31"/>
        <v>5.3109843421925151E-6</v>
      </c>
      <c r="K89" s="16">
        <f t="shared" si="32"/>
        <v>7.8357046282215292E-6</v>
      </c>
      <c r="L89" s="16">
        <f t="shared" si="33"/>
        <v>0</v>
      </c>
      <c r="N89">
        <v>175</v>
      </c>
      <c r="O89">
        <f t="shared" si="35"/>
        <v>2.0332099710862472E-6</v>
      </c>
      <c r="P89">
        <f t="shared" si="36"/>
        <v>2.1243937368770061E-7</v>
      </c>
      <c r="Q89">
        <f t="shared" si="37"/>
        <v>3.1342818512886119E-7</v>
      </c>
      <c r="R89">
        <f t="shared" si="38"/>
        <v>0</v>
      </c>
    </row>
    <row r="90" spans="2:18" x14ac:dyDescent="0.25">
      <c r="B90">
        <v>200</v>
      </c>
      <c r="C90" s="16">
        <f t="shared" si="25"/>
        <v>5.0118416319237961E-2</v>
      </c>
      <c r="D90" s="16">
        <f t="shared" si="26"/>
        <v>5.1711284812648896E-2</v>
      </c>
      <c r="E90" s="16">
        <f t="shared" si="27"/>
        <v>5.3642798368993397E-2</v>
      </c>
      <c r="F90" s="16">
        <f t="shared" si="28"/>
        <v>4.8963584123348308E-2</v>
      </c>
      <c r="H90" s="16">
        <f t="shared" si="29"/>
        <v>25</v>
      </c>
      <c r="I90" s="16">
        <f t="shared" si="30"/>
        <v>2.3290374502729638E-5</v>
      </c>
      <c r="J90" s="16">
        <f t="shared" si="31"/>
        <v>1.5599219928899566E-6</v>
      </c>
      <c r="K90" s="16">
        <f t="shared" si="32"/>
        <v>2.4011574754553844E-6</v>
      </c>
      <c r="L90" s="16">
        <f t="shared" si="33"/>
        <v>0</v>
      </c>
      <c r="N90">
        <v>200</v>
      </c>
      <c r="O90">
        <f t="shared" si="35"/>
        <v>9.3161498010918554E-7</v>
      </c>
      <c r="P90">
        <f t="shared" si="36"/>
        <v>6.239687971559826E-8</v>
      </c>
      <c r="Q90">
        <f t="shared" si="37"/>
        <v>9.6046299018215375E-8</v>
      </c>
      <c r="R90">
        <f t="shared" si="38"/>
        <v>0</v>
      </c>
    </row>
    <row r="93" spans="2:18" x14ac:dyDescent="0.25">
      <c r="B93" s="1" t="s">
        <v>33</v>
      </c>
      <c r="F93" t="s">
        <v>9</v>
      </c>
      <c r="G93" s="14">
        <v>16.7</v>
      </c>
      <c r="N93" t="s">
        <v>41</v>
      </c>
      <c r="O93">
        <v>4000</v>
      </c>
      <c r="P93">
        <v>5000</v>
      </c>
      <c r="Q93">
        <v>6000</v>
      </c>
      <c r="R93">
        <v>7000</v>
      </c>
    </row>
    <row r="94" spans="2:18" x14ac:dyDescent="0.25">
      <c r="F94" t="s">
        <v>11</v>
      </c>
      <c r="G94">
        <v>0.04</v>
      </c>
      <c r="N94" t="s">
        <v>7</v>
      </c>
      <c r="O94" s="10">
        <f>+C28</f>
        <v>1.0155990589489787</v>
      </c>
      <c r="P94" s="10">
        <f>+D28</f>
        <v>1.0653180442633792</v>
      </c>
      <c r="Q94" s="10">
        <f>+E28</f>
        <v>1.1830040600377434</v>
      </c>
      <c r="R94" s="10">
        <f>+F28</f>
        <v>1.3678935834624455</v>
      </c>
    </row>
    <row r="95" spans="2:18" x14ac:dyDescent="0.25">
      <c r="B95" s="1" t="s">
        <v>34</v>
      </c>
      <c r="N95" t="s">
        <v>12</v>
      </c>
      <c r="O95" s="3">
        <f t="shared" ref="O95:R97" si="39">+R5</f>
        <v>5.0138112906420021E-2</v>
      </c>
      <c r="P95" s="3">
        <f t="shared" si="39"/>
        <v>5.1711933523973123E-2</v>
      </c>
      <c r="Q95" s="3">
        <f t="shared" si="39"/>
        <v>5.3643859277484912E-2</v>
      </c>
      <c r="R95" s="3">
        <f t="shared" si="39"/>
        <v>4.8963584123348308E-2</v>
      </c>
    </row>
    <row r="96" spans="2:18" x14ac:dyDescent="0.25">
      <c r="B96" t="s">
        <v>35</v>
      </c>
      <c r="C96" t="s">
        <v>36</v>
      </c>
      <c r="D96" t="s">
        <v>6</v>
      </c>
      <c r="E96" t="s">
        <v>7</v>
      </c>
      <c r="G96" t="s">
        <v>40</v>
      </c>
      <c r="H96" t="s">
        <v>12</v>
      </c>
      <c r="I96" t="s">
        <v>43</v>
      </c>
      <c r="J96" t="s">
        <v>14</v>
      </c>
      <c r="K96" t="s">
        <v>44</v>
      </c>
      <c r="L96" t="s">
        <v>39</v>
      </c>
      <c r="N96" t="s">
        <v>42</v>
      </c>
      <c r="O96" s="3">
        <f t="shared" si="39"/>
        <v>1.013811290642002E-2</v>
      </c>
      <c r="P96" s="3">
        <f t="shared" si="39"/>
        <v>1.1711933523973123E-2</v>
      </c>
      <c r="Q96" s="3">
        <f t="shared" si="39"/>
        <v>1.3643859277484911E-2</v>
      </c>
      <c r="R96" s="3">
        <f t="shared" si="39"/>
        <v>8.9635841233483074E-3</v>
      </c>
    </row>
    <row r="97" spans="2:18" x14ac:dyDescent="0.25">
      <c r="B97">
        <v>5400</v>
      </c>
      <c r="C97" s="10">
        <v>11.973230769230769</v>
      </c>
      <c r="D97" s="3">
        <f>C97/(1650*9.81*$G$93/1000)</f>
        <v>4.4293696988307769E-2</v>
      </c>
      <c r="E97" s="10">
        <f>+D97/$G$94</f>
        <v>1.1073424247076942</v>
      </c>
      <c r="G97" s="18">
        <f>+G94</f>
        <v>0.04</v>
      </c>
      <c r="H97" s="3">
        <f>+P95</f>
        <v>5.1711933523973123E-2</v>
      </c>
      <c r="I97" s="3">
        <f>+P96</f>
        <v>1.1711933523973123E-2</v>
      </c>
      <c r="J97" s="3">
        <f>+P97</f>
        <v>4.9005655112017259E-2</v>
      </c>
      <c r="K97">
        <v>0</v>
      </c>
      <c r="L97" s="18">
        <f>+H97-I97*EXP(-1*J97*10)</f>
        <v>4.4537299665307985E-2</v>
      </c>
      <c r="N97" t="s">
        <v>14</v>
      </c>
      <c r="O97" s="3">
        <f>+R7</f>
        <v>3.121805887337744E-2</v>
      </c>
      <c r="P97" s="3">
        <f t="shared" si="39"/>
        <v>4.9005655112017259E-2</v>
      </c>
      <c r="Q97" s="3">
        <f t="shared" si="39"/>
        <v>4.7309596105447098E-2</v>
      </c>
      <c r="R97" s="3">
        <f t="shared" si="39"/>
        <v>0.48827198056649751</v>
      </c>
    </row>
    <row r="98" spans="2:18" x14ac:dyDescent="0.25">
      <c r="B98">
        <v>6300</v>
      </c>
      <c r="C98" s="10">
        <v>12.864759493670883</v>
      </c>
      <c r="D98" s="3">
        <f t="shared" ref="D98:D103" si="40">C98/(1650*9.81*$G$93/1000)</f>
        <v>4.7591812921912204E-2</v>
      </c>
      <c r="E98" s="10">
        <f t="shared" ref="E98:E103" si="41">+D98/$G$94</f>
        <v>1.1897953230478051</v>
      </c>
      <c r="G98" s="18">
        <f>+L97</f>
        <v>4.4537299665307985E-2</v>
      </c>
      <c r="H98" s="3">
        <f>+Q95</f>
        <v>5.3643859277484912E-2</v>
      </c>
      <c r="I98" s="3">
        <f>+Q96</f>
        <v>1.3643859277484911E-2</v>
      </c>
      <c r="J98" s="3">
        <f>+Q97</f>
        <v>4.7309596105447098E-2</v>
      </c>
      <c r="K98" s="15">
        <f>LN((H98-G98)/(I98))/(-1*J98)</f>
        <v>8.5457199714586256</v>
      </c>
      <c r="L98" s="18">
        <f>H98-I98*EXP(-1*J98*(10+K98))</f>
        <v>4.7969832649869343E-2</v>
      </c>
    </row>
    <row r="99" spans="2:18" x14ac:dyDescent="0.25">
      <c r="B99">
        <v>6500</v>
      </c>
      <c r="C99" s="10">
        <v>13.156941176470587</v>
      </c>
      <c r="D99" s="3">
        <f t="shared" si="40"/>
        <v>4.8672708059816196E-2</v>
      </c>
      <c r="E99" s="10">
        <f t="shared" si="41"/>
        <v>1.2168177014954049</v>
      </c>
      <c r="G99" s="18">
        <f>+L98</f>
        <v>4.7969832649869343E-2</v>
      </c>
      <c r="H99" s="3">
        <f>+Q95</f>
        <v>5.3643859277484912E-2</v>
      </c>
      <c r="I99" s="3">
        <f>+Q96</f>
        <v>1.3643859277484911E-2</v>
      </c>
      <c r="J99" s="3">
        <f>+Q97</f>
        <v>4.7309596105447098E-2</v>
      </c>
      <c r="K99" s="15">
        <f>LN((H99-G99)/(I99))/(-1*J99)</f>
        <v>18.545719971458631</v>
      </c>
      <c r="L99" s="18">
        <f>H99-I99*EXP(-1*J99*(10+K99))</f>
        <v>5.0108541930213475E-2</v>
      </c>
    </row>
    <row r="100" spans="2:18" x14ac:dyDescent="0.25">
      <c r="B100">
        <v>6900</v>
      </c>
      <c r="C100" s="10">
        <v>13.44667782426778</v>
      </c>
      <c r="D100" s="3">
        <f t="shared" si="40"/>
        <v>4.9744558050122643E-2</v>
      </c>
      <c r="E100" s="10">
        <f t="shared" si="41"/>
        <v>1.243613951253066</v>
      </c>
      <c r="G100" s="18">
        <f t="shared" ref="G100:G101" si="42">+L99</f>
        <v>5.0108541930213475E-2</v>
      </c>
      <c r="H100" s="3">
        <f>+Q95</f>
        <v>5.3643859277484912E-2</v>
      </c>
      <c r="I100" s="3">
        <f>+Q96</f>
        <v>1.3643859277484911E-2</v>
      </c>
      <c r="J100" s="3">
        <f>+Q97</f>
        <v>4.7309596105447098E-2</v>
      </c>
      <c r="K100" s="15">
        <f>LN((H100-G100)/(I100))/(-1*J100)</f>
        <v>28.545719971458613</v>
      </c>
      <c r="L100" s="18">
        <f>H100-I100*EXP(-1*J100*(10+K100))</f>
        <v>5.1441108115710642E-2</v>
      </c>
    </row>
    <row r="101" spans="2:18" x14ac:dyDescent="0.25">
      <c r="B101">
        <v>7400</v>
      </c>
      <c r="C101" s="10">
        <v>13.734000000000002</v>
      </c>
      <c r="D101" s="3">
        <f t="shared" si="40"/>
        <v>5.0807475957176565E-2</v>
      </c>
      <c r="E101" s="19">
        <f t="shared" si="41"/>
        <v>1.2701868989294141</v>
      </c>
      <c r="G101" s="18">
        <f t="shared" si="42"/>
        <v>5.1441108115710642E-2</v>
      </c>
      <c r="H101" s="3">
        <f>+Q95</f>
        <v>5.3643859277484912E-2</v>
      </c>
      <c r="I101" s="3">
        <f>+Q96</f>
        <v>1.3643859277484911E-2</v>
      </c>
      <c r="J101" s="3">
        <f>+Q97</f>
        <v>4.7309596105447098E-2</v>
      </c>
      <c r="K101" s="15">
        <f>LN((H101-G101)/(I101))/(-1*J101)</f>
        <v>38.54571997145861</v>
      </c>
      <c r="L101" s="18">
        <f>H101-I101*EXP(-1*J101*(10+K101))</f>
        <v>5.2271390499132452E-2</v>
      </c>
    </row>
    <row r="102" spans="2:18" x14ac:dyDescent="0.25">
      <c r="B102">
        <v>7800</v>
      </c>
      <c r="C102" s="10">
        <v>14.301520661157024</v>
      </c>
      <c r="D102" s="3">
        <f t="shared" si="40"/>
        <v>5.2906958434745834E-2</v>
      </c>
      <c r="E102" s="10">
        <f t="shared" si="41"/>
        <v>1.3226739608686457</v>
      </c>
      <c r="G102" s="20" t="s">
        <v>45</v>
      </c>
      <c r="K102" s="1"/>
      <c r="L102" s="21" t="s">
        <v>47</v>
      </c>
    </row>
    <row r="103" spans="2:18" x14ac:dyDescent="0.25">
      <c r="B103">
        <v>8100</v>
      </c>
      <c r="C103" s="10">
        <v>14.859737704918032</v>
      </c>
      <c r="D103" s="3">
        <f t="shared" si="40"/>
        <v>5.4972023166781188E-2</v>
      </c>
      <c r="E103" s="10">
        <f t="shared" si="41"/>
        <v>1.3743005791695297</v>
      </c>
      <c r="G103" t="s">
        <v>45</v>
      </c>
      <c r="K103" s="1"/>
      <c r="L103" s="21" t="s">
        <v>47</v>
      </c>
    </row>
    <row r="104" spans="2:18" x14ac:dyDescent="0.25">
      <c r="E104" s="10"/>
      <c r="G104" s="1" t="s">
        <v>48</v>
      </c>
      <c r="L104" s="1">
        <v>5.0999999999999997E-2</v>
      </c>
    </row>
    <row r="105" spans="2:18" x14ac:dyDescent="0.25">
      <c r="B105" s="1" t="s">
        <v>37</v>
      </c>
      <c r="E105" s="10"/>
    </row>
    <row r="106" spans="2:18" x14ac:dyDescent="0.25">
      <c r="B106" t="s">
        <v>35</v>
      </c>
      <c r="C106" t="s">
        <v>36</v>
      </c>
      <c r="D106" t="s">
        <v>6</v>
      </c>
      <c r="E106" s="10" t="s">
        <v>38</v>
      </c>
    </row>
    <row r="107" spans="2:18" x14ac:dyDescent="0.25">
      <c r="B107">
        <v>6500</v>
      </c>
      <c r="C107" s="10">
        <v>14.018937759336097</v>
      </c>
      <c r="D107" s="3">
        <f>C107/(1650*9.81*$G$93/1000)</f>
        <v>5.1861572968736225E-2</v>
      </c>
      <c r="E107" s="10">
        <f>+D107/$G$94</f>
        <v>1.2965393242184056</v>
      </c>
    </row>
    <row r="108" spans="2:18" x14ac:dyDescent="0.25">
      <c r="B108">
        <v>6900</v>
      </c>
      <c r="C108" s="10">
        <v>14.301520661157024</v>
      </c>
      <c r="D108" s="3">
        <f t="shared" ref="D108:D110" si="43">C108/(1650*9.81*$G$93/1000)</f>
        <v>5.2906958434745834E-2</v>
      </c>
      <c r="E108" s="10">
        <f t="shared" ref="E108:E110" si="44">+D108/$G$94</f>
        <v>1.3226739608686457</v>
      </c>
    </row>
    <row r="109" spans="2:18" x14ac:dyDescent="0.25">
      <c r="B109">
        <v>7400</v>
      </c>
      <c r="C109" s="10">
        <v>14.581777777777777</v>
      </c>
      <c r="D109" s="3">
        <f t="shared" si="43"/>
        <v>5.3943739905150417E-2</v>
      </c>
      <c r="E109" s="10">
        <f t="shared" si="44"/>
        <v>1.3485934976287604</v>
      </c>
    </row>
    <row r="110" spans="2:18" x14ac:dyDescent="0.25">
      <c r="B110">
        <v>7600</v>
      </c>
      <c r="C110" s="10">
        <v>14.859737704918032</v>
      </c>
      <c r="D110" s="3">
        <f t="shared" si="43"/>
        <v>5.4972023166781188E-2</v>
      </c>
      <c r="E110" s="10">
        <f t="shared" si="44"/>
        <v>1.3743005791695297</v>
      </c>
    </row>
    <row r="113" spans="1:7" x14ac:dyDescent="0.25">
      <c r="B113" s="1" t="s">
        <v>46</v>
      </c>
    </row>
    <row r="115" spans="1:7" x14ac:dyDescent="0.25">
      <c r="B115" t="s">
        <v>49</v>
      </c>
      <c r="C115" t="s">
        <v>27</v>
      </c>
      <c r="D115" t="s">
        <v>6</v>
      </c>
      <c r="E115" t="s">
        <v>7</v>
      </c>
      <c r="F115" t="s">
        <v>15</v>
      </c>
      <c r="G115" t="s">
        <v>52</v>
      </c>
    </row>
    <row r="116" spans="1:7" x14ac:dyDescent="0.25">
      <c r="D116" s="3">
        <v>0</v>
      </c>
      <c r="E116">
        <v>0</v>
      </c>
      <c r="F116" s="3">
        <f>+G97</f>
        <v>0.04</v>
      </c>
      <c r="G116">
        <v>1.3</v>
      </c>
    </row>
    <row r="117" spans="1:7" x14ac:dyDescent="0.25">
      <c r="B117">
        <v>5400</v>
      </c>
      <c r="C117">
        <v>10</v>
      </c>
      <c r="D117" s="3">
        <f>+D97</f>
        <v>4.4293696988307769E-2</v>
      </c>
      <c r="E117" s="10">
        <f>+E97</f>
        <v>1.1073424247076942</v>
      </c>
      <c r="F117" s="3">
        <f>+L97</f>
        <v>4.4537299665307985E-2</v>
      </c>
      <c r="G117">
        <v>1.3</v>
      </c>
    </row>
    <row r="118" spans="1:7" x14ac:dyDescent="0.25">
      <c r="B118">
        <v>6300</v>
      </c>
      <c r="C118">
        <v>20</v>
      </c>
      <c r="D118" s="3">
        <f t="shared" ref="D118:E123" si="45">+D98</f>
        <v>4.7591812921912204E-2</v>
      </c>
      <c r="E118" s="10">
        <f t="shared" si="45"/>
        <v>1.1897953230478051</v>
      </c>
      <c r="F118" s="3">
        <f>+L98</f>
        <v>4.7969832649869343E-2</v>
      </c>
      <c r="G118">
        <v>1.3</v>
      </c>
    </row>
    <row r="119" spans="1:7" x14ac:dyDescent="0.25">
      <c r="B119">
        <v>6500</v>
      </c>
      <c r="C119">
        <v>30</v>
      </c>
      <c r="D119" s="3">
        <f t="shared" si="45"/>
        <v>4.8672708059816196E-2</v>
      </c>
      <c r="E119" s="10">
        <f t="shared" si="45"/>
        <v>1.2168177014954049</v>
      </c>
      <c r="F119" s="3">
        <f>+L99</f>
        <v>5.0108541930213475E-2</v>
      </c>
      <c r="G119">
        <v>1.3</v>
      </c>
    </row>
    <row r="120" spans="1:7" x14ac:dyDescent="0.25">
      <c r="B120">
        <v>6900</v>
      </c>
      <c r="C120">
        <v>40</v>
      </c>
      <c r="D120" s="3">
        <f t="shared" si="45"/>
        <v>4.9744558050122643E-2</v>
      </c>
      <c r="E120" s="10">
        <f t="shared" si="45"/>
        <v>1.243613951253066</v>
      </c>
      <c r="F120" s="3">
        <f>+L100</f>
        <v>5.1441108115710642E-2</v>
      </c>
      <c r="G120">
        <v>1.3</v>
      </c>
    </row>
    <row r="121" spans="1:7" x14ac:dyDescent="0.25">
      <c r="B121">
        <v>7400</v>
      </c>
      <c r="C121">
        <v>50</v>
      </c>
      <c r="D121" s="3">
        <f t="shared" si="45"/>
        <v>5.0807475957176565E-2</v>
      </c>
      <c r="E121" s="10">
        <f t="shared" si="45"/>
        <v>1.2701868989294141</v>
      </c>
      <c r="F121" s="3">
        <f>+L101</f>
        <v>5.2271390499132452E-2</v>
      </c>
      <c r="G121">
        <v>1.3</v>
      </c>
    </row>
    <row r="122" spans="1:7" x14ac:dyDescent="0.25">
      <c r="B122">
        <v>7800</v>
      </c>
      <c r="C122">
        <v>60</v>
      </c>
      <c r="D122" s="3">
        <f t="shared" si="45"/>
        <v>5.2906958434745834E-2</v>
      </c>
      <c r="E122" s="10">
        <f t="shared" si="45"/>
        <v>1.3226739608686457</v>
      </c>
      <c r="F122" s="3"/>
      <c r="G122">
        <v>1.3</v>
      </c>
    </row>
    <row r="123" spans="1:7" x14ac:dyDescent="0.25">
      <c r="B123">
        <v>8100</v>
      </c>
      <c r="C123">
        <v>70</v>
      </c>
      <c r="D123" s="3">
        <f t="shared" si="45"/>
        <v>5.4972023166781188E-2</v>
      </c>
      <c r="E123" s="10">
        <f t="shared" si="45"/>
        <v>1.3743005791695297</v>
      </c>
      <c r="G123">
        <v>1.3</v>
      </c>
    </row>
    <row r="124" spans="1:7" x14ac:dyDescent="0.25">
      <c r="A124" t="s">
        <v>50</v>
      </c>
      <c r="C124" t="s">
        <v>51</v>
      </c>
      <c r="D124">
        <v>0</v>
      </c>
      <c r="E124">
        <v>0</v>
      </c>
      <c r="F124">
        <f>+L104</f>
        <v>5.0999999999999997E-2</v>
      </c>
      <c r="G124">
        <v>1.3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Bernal Vallejos, Sebastian (bern9483@vandals.uidaho.edu)</dc:creator>
  <cp:lastModifiedBy>Hucke Nunez, Nicole (huck4481@vandals.uidaho.edu)</cp:lastModifiedBy>
  <dcterms:created xsi:type="dcterms:W3CDTF">2026-03-10T21:55:01Z</dcterms:created>
  <dcterms:modified xsi:type="dcterms:W3CDTF">2026-03-17T00:40:55Z</dcterms:modified>
</cp:coreProperties>
</file>