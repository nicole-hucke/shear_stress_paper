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2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cuments\shear_stress_paper\antecedent_conditions\flume_data\"/>
    </mc:Choice>
  </mc:AlternateContent>
  <xr:revisionPtr revIDLastSave="0" documentId="13_ncr:1_{9FCB9F4C-644B-421E-979D-E4BDD0E1B52C}" xr6:coauthVersionLast="47" xr6:coauthVersionMax="47" xr10:uidLastSave="{00000000-0000-0000-0000-000000000000}"/>
  <bookViews>
    <workbookView xWindow="-108" yWindow="-108" windowWidth="23256" windowHeight="12456" activeTab="1" xr2:uid="{0627FB22-753D-46C0-9E76-44A6937BF82A}"/>
  </bookViews>
  <sheets>
    <sheet name="summary" sheetId="1" r:id="rId1"/>
    <sheet name="using SP rocks" sheetId="4" r:id="rId2"/>
    <sheet name="using SE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50" i="4" l="1"/>
  <c r="CC51" i="4"/>
  <c r="CC52" i="4"/>
  <c r="CC53" i="4"/>
  <c r="CC54" i="4"/>
  <c r="CC49" i="4"/>
  <c r="CC41" i="4"/>
  <c r="CC42" i="4"/>
  <c r="CC43" i="4"/>
  <c r="CC44" i="4"/>
  <c r="CC45" i="4"/>
  <c r="CC40" i="4"/>
  <c r="CC32" i="4"/>
  <c r="CC33" i="4"/>
  <c r="CC34" i="4"/>
  <c r="CC35" i="4"/>
  <c r="CC36" i="4"/>
  <c r="CC31" i="4"/>
  <c r="CC23" i="4"/>
  <c r="CC24" i="4"/>
  <c r="CC25" i="4"/>
  <c r="CC26" i="4"/>
  <c r="CC27" i="4"/>
  <c r="CC22" i="4"/>
  <c r="BV3" i="4"/>
  <c r="BE3" i="4"/>
  <c r="BK22" i="4"/>
  <c r="BL50" i="4"/>
  <c r="BL51" i="4"/>
  <c r="BL52" i="4"/>
  <c r="BL53" i="4"/>
  <c r="BL54" i="4"/>
  <c r="BL49" i="4"/>
  <c r="BL41" i="4"/>
  <c r="BL42" i="4"/>
  <c r="BL43" i="4"/>
  <c r="BL44" i="4"/>
  <c r="BL45" i="4"/>
  <c r="BL40" i="4"/>
  <c r="BL32" i="4"/>
  <c r="BL33" i="4"/>
  <c r="BL34" i="4"/>
  <c r="BL35" i="4"/>
  <c r="BL36" i="4"/>
  <c r="BL31" i="4"/>
  <c r="BL23" i="4"/>
  <c r="BL24" i="4"/>
  <c r="BL25" i="4"/>
  <c r="BL26" i="4"/>
  <c r="BL27" i="4"/>
  <c r="BL22" i="4"/>
  <c r="AU50" i="4"/>
  <c r="AU51" i="4"/>
  <c r="AU52" i="4"/>
  <c r="AU53" i="4"/>
  <c r="AU54" i="4"/>
  <c r="AU49" i="4"/>
  <c r="AU41" i="4"/>
  <c r="AU42" i="4"/>
  <c r="AU43" i="4"/>
  <c r="AU44" i="4"/>
  <c r="AU45" i="4"/>
  <c r="AU40" i="4"/>
  <c r="AU32" i="4"/>
  <c r="AU33" i="4"/>
  <c r="AU34" i="4"/>
  <c r="AU35" i="4"/>
  <c r="AU36" i="4"/>
  <c r="AU31" i="4"/>
  <c r="AU23" i="4"/>
  <c r="AU24" i="4"/>
  <c r="AU25" i="4"/>
  <c r="AU26" i="4"/>
  <c r="AU27" i="4"/>
  <c r="AU22" i="4"/>
  <c r="AD50" i="4"/>
  <c r="AD51" i="4"/>
  <c r="AD52" i="4"/>
  <c r="AD53" i="4"/>
  <c r="AD54" i="4"/>
  <c r="AD49" i="4"/>
  <c r="AD41" i="4"/>
  <c r="AD42" i="4"/>
  <c r="AD43" i="4"/>
  <c r="AD44" i="4"/>
  <c r="AD45" i="4"/>
  <c r="AD40" i="4"/>
  <c r="AD32" i="4"/>
  <c r="AD33" i="4"/>
  <c r="AD34" i="4"/>
  <c r="AD35" i="4"/>
  <c r="AD36" i="4"/>
  <c r="AD31" i="4"/>
  <c r="AD23" i="4"/>
  <c r="AD24" i="4"/>
  <c r="AD25" i="4"/>
  <c r="AD26" i="4"/>
  <c r="AD27" i="4"/>
  <c r="AD22" i="4"/>
  <c r="W3" i="4"/>
  <c r="AO3" i="4"/>
  <c r="AT40" i="4" s="1"/>
  <c r="AN6" i="4"/>
  <c r="Y3" i="4"/>
  <c r="AC31" i="4" s="1"/>
  <c r="M22" i="4" a="1"/>
  <c r="M22" i="4"/>
  <c r="M31" i="4" a="1"/>
  <c r="M31" i="4"/>
  <c r="M40" i="4" a="1"/>
  <c r="M40" i="4"/>
  <c r="M49" i="4" a="1"/>
  <c r="M49" i="4" s="1"/>
  <c r="B8" i="4"/>
  <c r="W9" i="4" s="1"/>
  <c r="H2" i="4"/>
  <c r="G2" i="4"/>
  <c r="F2" i="4"/>
  <c r="F4" i="4" s="1"/>
  <c r="E2" i="4"/>
  <c r="M16" i="1"/>
  <c r="C16" i="1"/>
  <c r="P20" i="1"/>
  <c r="O20" i="1"/>
  <c r="N20" i="1"/>
  <c r="M20" i="1"/>
  <c r="P19" i="1"/>
  <c r="O19" i="1"/>
  <c r="N19" i="1"/>
  <c r="M19" i="1"/>
  <c r="P18" i="1"/>
  <c r="O18" i="1"/>
  <c r="N18" i="1"/>
  <c r="M18" i="1"/>
  <c r="P17" i="1"/>
  <c r="O17" i="1"/>
  <c r="N17" i="1"/>
  <c r="M17" i="1"/>
  <c r="P16" i="1"/>
  <c r="O16" i="1"/>
  <c r="N16" i="1"/>
  <c r="P15" i="1"/>
  <c r="O15" i="1"/>
  <c r="N15" i="1"/>
  <c r="M15" i="1"/>
  <c r="E3" i="4"/>
  <c r="Y5" i="4"/>
  <c r="B7" i="4"/>
  <c r="AO5" i="4" s="1"/>
  <c r="V7" i="4"/>
  <c r="V8" i="4" s="1"/>
  <c r="V9" i="4" s="1"/>
  <c r="BU6" i="4"/>
  <c r="BU7" i="4" s="1"/>
  <c r="V6" i="4"/>
  <c r="W6" i="4" s="1"/>
  <c r="BU5" i="4"/>
  <c r="BY5" i="4" s="1"/>
  <c r="D5" i="4"/>
  <c r="BU4" i="4"/>
  <c r="BD4" i="4"/>
  <c r="AM4" i="4"/>
  <c r="AM5" i="4" s="1"/>
  <c r="AM6" i="4" s="1"/>
  <c r="AM7" i="4" s="1"/>
  <c r="V4" i="4"/>
  <c r="V5" i="4" s="1"/>
  <c r="E4" i="4"/>
  <c r="D4" i="4"/>
  <c r="BU6" i="2"/>
  <c r="BU5" i="2"/>
  <c r="BU4" i="2"/>
  <c r="BD4" i="2"/>
  <c r="AM4" i="2"/>
  <c r="AM5" i="2" s="1"/>
  <c r="V4" i="2"/>
  <c r="V5" i="2" s="1"/>
  <c r="AQ3" i="4" l="1"/>
  <c r="AT22" i="4" s="1"/>
  <c r="BV4" i="4"/>
  <c r="BK49" i="4"/>
  <c r="X4" i="4"/>
  <c r="F5" i="4"/>
  <c r="AO6" i="4"/>
  <c r="BW3" i="4"/>
  <c r="CB40" i="4" s="1"/>
  <c r="Y4" i="4"/>
  <c r="W5" i="4"/>
  <c r="H3" i="4"/>
  <c r="K22" i="4" s="1"/>
  <c r="Z4" i="4"/>
  <c r="X9" i="4"/>
  <c r="AC49" i="4"/>
  <c r="BH3" i="4"/>
  <c r="G4" i="4"/>
  <c r="Z5" i="4"/>
  <c r="AP6" i="4"/>
  <c r="X3" i="4"/>
  <c r="AC40" i="4" s="1"/>
  <c r="CB49" i="4"/>
  <c r="H4" i="4"/>
  <c r="BE4" i="4"/>
  <c r="BY7" i="4"/>
  <c r="AM8" i="4"/>
  <c r="AO8" i="4" s="1"/>
  <c r="AN7" i="4"/>
  <c r="AO7" i="4"/>
  <c r="BH4" i="4"/>
  <c r="BX7" i="4"/>
  <c r="G5" i="4"/>
  <c r="BV5" i="4"/>
  <c r="AQ6" i="4"/>
  <c r="X8" i="4"/>
  <c r="Y9" i="4"/>
  <c r="AP4" i="4"/>
  <c r="AQ5" i="4"/>
  <c r="X6" i="4"/>
  <c r="AN4" i="4"/>
  <c r="F3" i="4"/>
  <c r="K40" i="4" s="1"/>
  <c r="BF4" i="4"/>
  <c r="BY3" i="4"/>
  <c r="CB22" i="4" s="1"/>
  <c r="BF3" i="4"/>
  <c r="BK40" i="4" s="1"/>
  <c r="Z3" i="4"/>
  <c r="AC22" i="4" s="1"/>
  <c r="Z7" i="4"/>
  <c r="Y8" i="4"/>
  <c r="Z9" i="4"/>
  <c r="K49" i="4"/>
  <c r="AP3" i="4"/>
  <c r="AT31" i="4" s="1"/>
  <c r="BX3" i="4"/>
  <c r="CB31" i="4" s="1"/>
  <c r="AQ4" i="4"/>
  <c r="BW4" i="4"/>
  <c r="X5" i="4"/>
  <c r="BD5" i="4"/>
  <c r="D6" i="4"/>
  <c r="Y6" i="4"/>
  <c r="Z8" i="4"/>
  <c r="V10" i="4"/>
  <c r="BV7" i="4"/>
  <c r="BU8" i="4"/>
  <c r="BW7" i="4"/>
  <c r="BX6" i="4"/>
  <c r="E5" i="4"/>
  <c r="BY6" i="4"/>
  <c r="AP5" i="4"/>
  <c r="W7" i="4"/>
  <c r="BX4" i="4"/>
  <c r="H5" i="4"/>
  <c r="BE5" i="4"/>
  <c r="BW5" i="4"/>
  <c r="G6" i="4"/>
  <c r="Z6" i="4"/>
  <c r="BV6" i="4"/>
  <c r="X7" i="4"/>
  <c r="AP7" i="4"/>
  <c r="BX8" i="4"/>
  <c r="G3" i="4"/>
  <c r="K31" i="4" s="1"/>
  <c r="AN3" i="4"/>
  <c r="AT49" i="4" s="1"/>
  <c r="BG3" i="4"/>
  <c r="BK31" i="4" s="1"/>
  <c r="W4" i="4"/>
  <c r="AO4" i="4"/>
  <c r="BG4" i="4"/>
  <c r="BY4" i="4"/>
  <c r="AN5" i="4"/>
  <c r="BF5" i="4"/>
  <c r="BX5" i="4"/>
  <c r="H6" i="4"/>
  <c r="BW6" i="4"/>
  <c r="Y7" i="4"/>
  <c r="AQ7" i="4"/>
  <c r="W8" i="4"/>
  <c r="BY8" i="4"/>
  <c r="AN8" i="4"/>
  <c r="Z10" i="4"/>
  <c r="BU7" i="2"/>
  <c r="BD5" i="2"/>
  <c r="AM6" i="2"/>
  <c r="V6" i="2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B8" i="2"/>
  <c r="B7" i="2"/>
  <c r="D16" i="1"/>
  <c r="E16" i="1"/>
  <c r="F16" i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D15" i="1"/>
  <c r="E15" i="1"/>
  <c r="F15" i="1"/>
  <c r="C15" i="1"/>
  <c r="D24" i="1"/>
  <c r="D23" i="1"/>
  <c r="C24" i="1"/>
  <c r="C23" i="1"/>
  <c r="BW8" i="4" l="1"/>
  <c r="BU9" i="4"/>
  <c r="BV8" i="4"/>
  <c r="E6" i="4"/>
  <c r="D7" i="4"/>
  <c r="F6" i="4"/>
  <c r="BD6" i="4"/>
  <c r="BH5" i="4"/>
  <c r="BG5" i="4"/>
  <c r="Y10" i="4"/>
  <c r="X10" i="4"/>
  <c r="W10" i="4"/>
  <c r="V11" i="4"/>
  <c r="AM9" i="4"/>
  <c r="AP8" i="4"/>
  <c r="AQ8" i="4"/>
  <c r="H4" i="2"/>
  <c r="BY4" i="2"/>
  <c r="BY10" i="2"/>
  <c r="BY16" i="2"/>
  <c r="BY22" i="2"/>
  <c r="BY28" i="2"/>
  <c r="BY34" i="2"/>
  <c r="BY40" i="2"/>
  <c r="BY46" i="2"/>
  <c r="BY52" i="2"/>
  <c r="BY58" i="2"/>
  <c r="BX8" i="2"/>
  <c r="BX14" i="2"/>
  <c r="BX20" i="2"/>
  <c r="BX26" i="2"/>
  <c r="BX32" i="2"/>
  <c r="BX38" i="2"/>
  <c r="BX44" i="2"/>
  <c r="BX50" i="2"/>
  <c r="BX56" i="2"/>
  <c r="BW6" i="2"/>
  <c r="BW12" i="2"/>
  <c r="BW18" i="2"/>
  <c r="BW24" i="2"/>
  <c r="BW30" i="2"/>
  <c r="BW36" i="2"/>
  <c r="BW42" i="2"/>
  <c r="BW48" i="2"/>
  <c r="BW54" i="2"/>
  <c r="BV4" i="2"/>
  <c r="BV10" i="2"/>
  <c r="BV16" i="2"/>
  <c r="BV22" i="2"/>
  <c r="BV28" i="2"/>
  <c r="BV34" i="2"/>
  <c r="BV40" i="2"/>
  <c r="BV46" i="2"/>
  <c r="BV52" i="2"/>
  <c r="BV58" i="2"/>
  <c r="BH9" i="2"/>
  <c r="BH15" i="2"/>
  <c r="BH21" i="2"/>
  <c r="BH27" i="2"/>
  <c r="BH33" i="2"/>
  <c r="BH39" i="2"/>
  <c r="BH45" i="2"/>
  <c r="BH51" i="2"/>
  <c r="BH57" i="2"/>
  <c r="BG7" i="2"/>
  <c r="BG13" i="2"/>
  <c r="BG19" i="2"/>
  <c r="BG25" i="2"/>
  <c r="BG31" i="2"/>
  <c r="BG37" i="2"/>
  <c r="BG43" i="2"/>
  <c r="BG49" i="2"/>
  <c r="BG55" i="2"/>
  <c r="BF5" i="2"/>
  <c r="BF11" i="2"/>
  <c r="BF17" i="2"/>
  <c r="BF23" i="2"/>
  <c r="BF29" i="2"/>
  <c r="BF35" i="2"/>
  <c r="BF41" i="2"/>
  <c r="BF47" i="2"/>
  <c r="BF53" i="2"/>
  <c r="BF59" i="2"/>
  <c r="BE9" i="2"/>
  <c r="BE15" i="2"/>
  <c r="BE21" i="2"/>
  <c r="BE27" i="2"/>
  <c r="BE33" i="2"/>
  <c r="BE39" i="2"/>
  <c r="BE45" i="2"/>
  <c r="BE51" i="2"/>
  <c r="BE57" i="2"/>
  <c r="BE3" i="2"/>
  <c r="BK49" i="2" s="1"/>
  <c r="AN3" i="2"/>
  <c r="AT49" i="2" s="1"/>
  <c r="AQ9" i="2"/>
  <c r="AQ15" i="2"/>
  <c r="AQ21" i="2"/>
  <c r="AQ27" i="2"/>
  <c r="AQ33" i="2"/>
  <c r="AQ39" i="2"/>
  <c r="AQ45" i="2"/>
  <c r="BY5" i="2"/>
  <c r="BY11" i="2"/>
  <c r="BY17" i="2"/>
  <c r="BY23" i="2"/>
  <c r="BY29" i="2"/>
  <c r="BY35" i="2"/>
  <c r="BY41" i="2"/>
  <c r="BY47" i="2"/>
  <c r="BY53" i="2"/>
  <c r="BY59" i="2"/>
  <c r="BX9" i="2"/>
  <c r="BX15" i="2"/>
  <c r="BX21" i="2"/>
  <c r="BX27" i="2"/>
  <c r="BX33" i="2"/>
  <c r="BX39" i="2"/>
  <c r="BX45" i="2"/>
  <c r="BX51" i="2"/>
  <c r="BX57" i="2"/>
  <c r="BY6" i="2"/>
  <c r="BY12" i="2"/>
  <c r="BY18" i="2"/>
  <c r="BY24" i="2"/>
  <c r="BY30" i="2"/>
  <c r="BY36" i="2"/>
  <c r="BY42" i="2"/>
  <c r="BY48" i="2"/>
  <c r="BY54" i="2"/>
  <c r="BX4" i="2"/>
  <c r="BX10" i="2"/>
  <c r="BX16" i="2"/>
  <c r="BX22" i="2"/>
  <c r="BX28" i="2"/>
  <c r="BX34" i="2"/>
  <c r="BX40" i="2"/>
  <c r="BX46" i="2"/>
  <c r="BX52" i="2"/>
  <c r="BX58" i="2"/>
  <c r="BW8" i="2"/>
  <c r="BW14" i="2"/>
  <c r="BW20" i="2"/>
  <c r="BW26" i="2"/>
  <c r="BW32" i="2"/>
  <c r="BW38" i="2"/>
  <c r="BW44" i="2"/>
  <c r="BW50" i="2"/>
  <c r="BW56" i="2"/>
  <c r="BV6" i="2"/>
  <c r="BV12" i="2"/>
  <c r="BV18" i="2"/>
  <c r="BV24" i="2"/>
  <c r="BV30" i="2"/>
  <c r="BV36" i="2"/>
  <c r="BV42" i="2"/>
  <c r="BV48" i="2"/>
  <c r="BV54" i="2"/>
  <c r="BV3" i="2"/>
  <c r="CB49" i="2" s="1"/>
  <c r="BH5" i="2"/>
  <c r="BH11" i="2"/>
  <c r="BH17" i="2"/>
  <c r="BH23" i="2"/>
  <c r="BH29" i="2"/>
  <c r="BH35" i="2"/>
  <c r="BH41" i="2"/>
  <c r="BH47" i="2"/>
  <c r="BH53" i="2"/>
  <c r="BH59" i="2"/>
  <c r="BG9" i="2"/>
  <c r="BG15" i="2"/>
  <c r="BG21" i="2"/>
  <c r="BG27" i="2"/>
  <c r="BG33" i="2"/>
  <c r="BG39" i="2"/>
  <c r="BG45" i="2"/>
  <c r="BG51" i="2"/>
  <c r="BG57" i="2"/>
  <c r="BF7" i="2"/>
  <c r="BF13" i="2"/>
  <c r="BF19" i="2"/>
  <c r="BF25" i="2"/>
  <c r="BF31" i="2"/>
  <c r="BF37" i="2"/>
  <c r="BF43" i="2"/>
  <c r="BF49" i="2"/>
  <c r="BF55" i="2"/>
  <c r="BE5" i="2"/>
  <c r="BE11" i="2"/>
  <c r="BE17" i="2"/>
  <c r="BE23" i="2"/>
  <c r="BE29" i="2"/>
  <c r="BE35" i="2"/>
  <c r="BE41" i="2"/>
  <c r="BE47" i="2"/>
  <c r="BE53" i="2"/>
  <c r="BE59" i="2"/>
  <c r="BY7" i="2"/>
  <c r="BY13" i="2"/>
  <c r="BY19" i="2"/>
  <c r="BY25" i="2"/>
  <c r="BY31" i="2"/>
  <c r="BY37" i="2"/>
  <c r="BY43" i="2"/>
  <c r="BY49" i="2"/>
  <c r="BY55" i="2"/>
  <c r="BX5" i="2"/>
  <c r="BX11" i="2"/>
  <c r="BX17" i="2"/>
  <c r="BX23" i="2"/>
  <c r="BX29" i="2"/>
  <c r="BX35" i="2"/>
  <c r="BX41" i="2"/>
  <c r="BX47" i="2"/>
  <c r="BX53" i="2"/>
  <c r="BX59" i="2"/>
  <c r="BW9" i="2"/>
  <c r="BW15" i="2"/>
  <c r="BW21" i="2"/>
  <c r="BW27" i="2"/>
  <c r="BW33" i="2"/>
  <c r="BW39" i="2"/>
  <c r="BW45" i="2"/>
  <c r="BW51" i="2"/>
  <c r="BW57" i="2"/>
  <c r="BV7" i="2"/>
  <c r="BV13" i="2"/>
  <c r="BV19" i="2"/>
  <c r="BV25" i="2"/>
  <c r="BV31" i="2"/>
  <c r="BV37" i="2"/>
  <c r="BV43" i="2"/>
  <c r="BV49" i="2"/>
  <c r="BV55" i="2"/>
  <c r="BX3" i="2"/>
  <c r="CB31" i="2" s="1"/>
  <c r="BH6" i="2"/>
  <c r="BH12" i="2"/>
  <c r="BH18" i="2"/>
  <c r="BH24" i="2"/>
  <c r="BH30" i="2"/>
  <c r="BH36" i="2"/>
  <c r="BH42" i="2"/>
  <c r="BH48" i="2"/>
  <c r="BH54" i="2"/>
  <c r="BG4" i="2"/>
  <c r="BG10" i="2"/>
  <c r="BG16" i="2"/>
  <c r="BG22" i="2"/>
  <c r="BG28" i="2"/>
  <c r="BG34" i="2"/>
  <c r="BG40" i="2"/>
  <c r="BG46" i="2"/>
  <c r="BG52" i="2"/>
  <c r="BG58" i="2"/>
  <c r="BF8" i="2"/>
  <c r="BF14" i="2"/>
  <c r="BF20" i="2"/>
  <c r="BF26" i="2"/>
  <c r="BF32" i="2"/>
  <c r="BF38" i="2"/>
  <c r="BF44" i="2"/>
  <c r="BF50" i="2"/>
  <c r="BF56" i="2"/>
  <c r="BE6" i="2"/>
  <c r="BE12" i="2"/>
  <c r="BE18" i="2"/>
  <c r="BE24" i="2"/>
  <c r="BE30" i="2"/>
  <c r="BE36" i="2"/>
  <c r="BE42" i="2"/>
  <c r="BE48" i="2"/>
  <c r="BE54" i="2"/>
  <c r="BH3" i="2"/>
  <c r="BK22" i="2" s="1"/>
  <c r="AQ6" i="2"/>
  <c r="AQ12" i="2"/>
  <c r="AQ18" i="2"/>
  <c r="AQ24" i="2"/>
  <c r="AQ30" i="2"/>
  <c r="AQ36" i="2"/>
  <c r="AQ42" i="2"/>
  <c r="AQ48" i="2"/>
  <c r="BY8" i="2"/>
  <c r="BY14" i="2"/>
  <c r="BY20" i="2"/>
  <c r="BY26" i="2"/>
  <c r="BY32" i="2"/>
  <c r="BY38" i="2"/>
  <c r="BY44" i="2"/>
  <c r="BY50" i="2"/>
  <c r="BY56" i="2"/>
  <c r="BX6" i="2"/>
  <c r="BX12" i="2"/>
  <c r="BX18" i="2"/>
  <c r="BX24" i="2"/>
  <c r="BX30" i="2"/>
  <c r="BX36" i="2"/>
  <c r="BX42" i="2"/>
  <c r="BX48" i="2"/>
  <c r="BY9" i="2"/>
  <c r="BY27" i="2"/>
  <c r="BX7" i="2"/>
  <c r="BX43" i="2"/>
  <c r="BW7" i="2"/>
  <c r="BW19" i="2"/>
  <c r="BW31" i="2"/>
  <c r="BW43" i="2"/>
  <c r="BW55" i="2"/>
  <c r="BV11" i="2"/>
  <c r="BV23" i="2"/>
  <c r="BV35" i="2"/>
  <c r="BV47" i="2"/>
  <c r="BV59" i="2"/>
  <c r="BH10" i="2"/>
  <c r="BH22" i="2"/>
  <c r="BH34" i="2"/>
  <c r="BH46" i="2"/>
  <c r="BH58" i="2"/>
  <c r="BG14" i="2"/>
  <c r="BG26" i="2"/>
  <c r="BG38" i="2"/>
  <c r="BG50" i="2"/>
  <c r="BF6" i="2"/>
  <c r="BF18" i="2"/>
  <c r="BF30" i="2"/>
  <c r="BF42" i="2"/>
  <c r="BF54" i="2"/>
  <c r="BE10" i="2"/>
  <c r="BE22" i="2"/>
  <c r="BE34" i="2"/>
  <c r="BE46" i="2"/>
  <c r="BE58" i="2"/>
  <c r="AQ4" i="2"/>
  <c r="AQ13" i="2"/>
  <c r="AQ22" i="2"/>
  <c r="AQ31" i="2"/>
  <c r="AQ40" i="2"/>
  <c r="AQ49" i="2"/>
  <c r="AQ55" i="2"/>
  <c r="AP4" i="2"/>
  <c r="AP10" i="2"/>
  <c r="AP16" i="2"/>
  <c r="AP22" i="2"/>
  <c r="AP28" i="2"/>
  <c r="AP34" i="2"/>
  <c r="AP40" i="2"/>
  <c r="AP46" i="2"/>
  <c r="AP52" i="2"/>
  <c r="AP58" i="2"/>
  <c r="AO7" i="2"/>
  <c r="AO13" i="2"/>
  <c r="AO19" i="2"/>
  <c r="AO25" i="2"/>
  <c r="AO31" i="2"/>
  <c r="AO37" i="2"/>
  <c r="AO43" i="2"/>
  <c r="AO49" i="2"/>
  <c r="AO55" i="2"/>
  <c r="AN4" i="2"/>
  <c r="AN10" i="2"/>
  <c r="AN16" i="2"/>
  <c r="AN22" i="2"/>
  <c r="AN28" i="2"/>
  <c r="AN34" i="2"/>
  <c r="AN40" i="2"/>
  <c r="AN46" i="2"/>
  <c r="AN52" i="2"/>
  <c r="AN58" i="2"/>
  <c r="Z7" i="2"/>
  <c r="Z13" i="2"/>
  <c r="Z19" i="2"/>
  <c r="Z25" i="2"/>
  <c r="Z31" i="2"/>
  <c r="Z37" i="2"/>
  <c r="Z43" i="2"/>
  <c r="Z49" i="2"/>
  <c r="Z55" i="2"/>
  <c r="Y4" i="2"/>
  <c r="Y10" i="2"/>
  <c r="Y16" i="2"/>
  <c r="Y22" i="2"/>
  <c r="Y28" i="2"/>
  <c r="Y34" i="2"/>
  <c r="Y40" i="2"/>
  <c r="Y46" i="2"/>
  <c r="Y52" i="2"/>
  <c r="Y58" i="2"/>
  <c r="X7" i="2"/>
  <c r="X13" i="2"/>
  <c r="X19" i="2"/>
  <c r="X25" i="2"/>
  <c r="X31" i="2"/>
  <c r="X37" i="2"/>
  <c r="X43" i="2"/>
  <c r="X49" i="2"/>
  <c r="X55" i="2"/>
  <c r="W4" i="2"/>
  <c r="W10" i="2"/>
  <c r="W16" i="2"/>
  <c r="W22" i="2"/>
  <c r="W28" i="2"/>
  <c r="W34" i="2"/>
  <c r="W40" i="2"/>
  <c r="W46" i="2"/>
  <c r="W52" i="2"/>
  <c r="W58" i="2"/>
  <c r="BY33" i="2"/>
  <c r="BX13" i="2"/>
  <c r="BX49" i="2"/>
  <c r="BW10" i="2"/>
  <c r="BW22" i="2"/>
  <c r="BW34" i="2"/>
  <c r="BW46" i="2"/>
  <c r="BW58" i="2"/>
  <c r="BV14" i="2"/>
  <c r="BV26" i="2"/>
  <c r="BV38" i="2"/>
  <c r="BV50" i="2"/>
  <c r="BY3" i="2"/>
  <c r="CB22" i="2" s="1"/>
  <c r="BH13" i="2"/>
  <c r="BH25" i="2"/>
  <c r="BH37" i="2"/>
  <c r="BH49" i="2"/>
  <c r="BG5" i="2"/>
  <c r="BG17" i="2"/>
  <c r="BG29" i="2"/>
  <c r="BG41" i="2"/>
  <c r="BG53" i="2"/>
  <c r="BF9" i="2"/>
  <c r="BF21" i="2"/>
  <c r="BF33" i="2"/>
  <c r="BF45" i="2"/>
  <c r="BF57" i="2"/>
  <c r="BE13" i="2"/>
  <c r="BE25" i="2"/>
  <c r="BE37" i="2"/>
  <c r="BE49" i="2"/>
  <c r="BG3" i="2"/>
  <c r="BK31" i="2" s="1"/>
  <c r="AQ5" i="2"/>
  <c r="AQ14" i="2"/>
  <c r="AQ23" i="2"/>
  <c r="AQ32" i="2"/>
  <c r="AQ41" i="2"/>
  <c r="AQ50" i="2"/>
  <c r="AQ56" i="2"/>
  <c r="AP5" i="2"/>
  <c r="AP11" i="2"/>
  <c r="AP17" i="2"/>
  <c r="AP23" i="2"/>
  <c r="AP29" i="2"/>
  <c r="AP35" i="2"/>
  <c r="AP41" i="2"/>
  <c r="AP47" i="2"/>
  <c r="AP53" i="2"/>
  <c r="AP59" i="2"/>
  <c r="AO8" i="2"/>
  <c r="AO14" i="2"/>
  <c r="AO20" i="2"/>
  <c r="AO26" i="2"/>
  <c r="AO32" i="2"/>
  <c r="AO38" i="2"/>
  <c r="AO44" i="2"/>
  <c r="AO50" i="2"/>
  <c r="AO56" i="2"/>
  <c r="AN5" i="2"/>
  <c r="AN11" i="2"/>
  <c r="AN17" i="2"/>
  <c r="BY45" i="2"/>
  <c r="BX37" i="2"/>
  <c r="BW13" i="2"/>
  <c r="BW29" i="2"/>
  <c r="BW49" i="2"/>
  <c r="BV9" i="2"/>
  <c r="BV29" i="2"/>
  <c r="BV45" i="2"/>
  <c r="BH4" i="2"/>
  <c r="BH20" i="2"/>
  <c r="BH40" i="2"/>
  <c r="BH56" i="2"/>
  <c r="BG20" i="2"/>
  <c r="BG36" i="2"/>
  <c r="BG56" i="2"/>
  <c r="BF16" i="2"/>
  <c r="BF36" i="2"/>
  <c r="BF52" i="2"/>
  <c r="BE16" i="2"/>
  <c r="BE32" i="2"/>
  <c r="BE52" i="2"/>
  <c r="AQ8" i="2"/>
  <c r="AQ20" i="2"/>
  <c r="AQ35" i="2"/>
  <c r="AQ47" i="2"/>
  <c r="AQ58" i="2"/>
  <c r="AP9" i="2"/>
  <c r="AP19" i="2"/>
  <c r="AP27" i="2"/>
  <c r="AP37" i="2"/>
  <c r="AP45" i="2"/>
  <c r="AP55" i="2"/>
  <c r="AO6" i="2"/>
  <c r="AO16" i="2"/>
  <c r="AO24" i="2"/>
  <c r="AO34" i="2"/>
  <c r="AO42" i="2"/>
  <c r="AO52" i="2"/>
  <c r="AO3" i="2"/>
  <c r="AT40" i="2" s="1"/>
  <c r="AN13" i="2"/>
  <c r="AN21" i="2"/>
  <c r="AN29" i="2"/>
  <c r="AN36" i="2"/>
  <c r="AN43" i="2"/>
  <c r="AN50" i="2"/>
  <c r="AN57" i="2"/>
  <c r="Z8" i="2"/>
  <c r="Z15" i="2"/>
  <c r="Z22" i="2"/>
  <c r="Z29" i="2"/>
  <c r="Z36" i="2"/>
  <c r="Z44" i="2"/>
  <c r="Z51" i="2"/>
  <c r="Z58" i="2"/>
  <c r="Y8" i="2"/>
  <c r="Y15" i="2"/>
  <c r="Y23" i="2"/>
  <c r="Y30" i="2"/>
  <c r="Y37" i="2"/>
  <c r="Y44" i="2"/>
  <c r="Y51" i="2"/>
  <c r="Y59" i="2"/>
  <c r="X9" i="2"/>
  <c r="X16" i="2"/>
  <c r="X23" i="2"/>
  <c r="X30" i="2"/>
  <c r="X38" i="2"/>
  <c r="X45" i="2"/>
  <c r="X52" i="2"/>
  <c r="X59" i="2"/>
  <c r="W9" i="2"/>
  <c r="W17" i="2"/>
  <c r="W24" i="2"/>
  <c r="W31" i="2"/>
  <c r="W38" i="2"/>
  <c r="W45" i="2"/>
  <c r="W53" i="2"/>
  <c r="W3" i="2"/>
  <c r="AC49" i="2" s="1"/>
  <c r="W11" i="2"/>
  <c r="W32" i="2"/>
  <c r="W47" i="2"/>
  <c r="W54" i="2"/>
  <c r="BY57" i="2"/>
  <c r="BE4" i="2"/>
  <c r="AQ11" i="2"/>
  <c r="BY51" i="2"/>
  <c r="BX54" i="2"/>
  <c r="BW16" i="2"/>
  <c r="BW35" i="2"/>
  <c r="BW52" i="2"/>
  <c r="BV15" i="2"/>
  <c r="BV32" i="2"/>
  <c r="BV51" i="2"/>
  <c r="BH7" i="2"/>
  <c r="BH26" i="2"/>
  <c r="BH43" i="2"/>
  <c r="BG6" i="2"/>
  <c r="BG23" i="2"/>
  <c r="BG42" i="2"/>
  <c r="BG59" i="2"/>
  <c r="BF22" i="2"/>
  <c r="BF39" i="2"/>
  <c r="BF58" i="2"/>
  <c r="BE19" i="2"/>
  <c r="BE38" i="2"/>
  <c r="BE55" i="2"/>
  <c r="AQ10" i="2"/>
  <c r="AQ25" i="2"/>
  <c r="AQ37" i="2"/>
  <c r="AQ51" i="2"/>
  <c r="AQ59" i="2"/>
  <c r="AP12" i="2"/>
  <c r="AP20" i="2"/>
  <c r="AP30" i="2"/>
  <c r="AP38" i="2"/>
  <c r="AP48" i="2"/>
  <c r="AP56" i="2"/>
  <c r="AO9" i="2"/>
  <c r="AO17" i="2"/>
  <c r="AO27" i="2"/>
  <c r="AO35" i="2"/>
  <c r="AO45" i="2"/>
  <c r="AO53" i="2"/>
  <c r="AN6" i="2"/>
  <c r="AN14" i="2"/>
  <c r="AN23" i="2"/>
  <c r="AN30" i="2"/>
  <c r="AN37" i="2"/>
  <c r="AN44" i="2"/>
  <c r="AN51" i="2"/>
  <c r="AN59" i="2"/>
  <c r="Z9" i="2"/>
  <c r="Z16" i="2"/>
  <c r="Z23" i="2"/>
  <c r="Z30" i="2"/>
  <c r="Z38" i="2"/>
  <c r="Z45" i="2"/>
  <c r="Z52" i="2"/>
  <c r="Z59" i="2"/>
  <c r="Y9" i="2"/>
  <c r="Y17" i="2"/>
  <c r="Y24" i="2"/>
  <c r="Y31" i="2"/>
  <c r="Y38" i="2"/>
  <c r="Y45" i="2"/>
  <c r="Y53" i="2"/>
  <c r="Y3" i="2"/>
  <c r="AC31" i="2" s="1"/>
  <c r="X10" i="2"/>
  <c r="X17" i="2"/>
  <c r="X24" i="2"/>
  <c r="X32" i="2"/>
  <c r="X39" i="2"/>
  <c r="X46" i="2"/>
  <c r="X53" i="2"/>
  <c r="X3" i="2"/>
  <c r="AC40" i="2" s="1"/>
  <c r="W18" i="2"/>
  <c r="W25" i="2"/>
  <c r="W39" i="2"/>
  <c r="BX55" i="2"/>
  <c r="BW17" i="2"/>
  <c r="BW37" i="2"/>
  <c r="BW53" i="2"/>
  <c r="BV17" i="2"/>
  <c r="BV33" i="2"/>
  <c r="BV53" i="2"/>
  <c r="BH8" i="2"/>
  <c r="BH28" i="2"/>
  <c r="BH44" i="2"/>
  <c r="BG8" i="2"/>
  <c r="BG24" i="2"/>
  <c r="BG44" i="2"/>
  <c r="BF4" i="2"/>
  <c r="BF24" i="2"/>
  <c r="BF40" i="2"/>
  <c r="BE20" i="2"/>
  <c r="BE40" i="2"/>
  <c r="BE56" i="2"/>
  <c r="AQ26" i="2"/>
  <c r="AQ52" i="2"/>
  <c r="BX25" i="2"/>
  <c r="BW25" i="2"/>
  <c r="BV5" i="2"/>
  <c r="BV41" i="2"/>
  <c r="BH16" i="2"/>
  <c r="BH52" i="2"/>
  <c r="BG32" i="2"/>
  <c r="BF12" i="2"/>
  <c r="BF48" i="2"/>
  <c r="BE28" i="2"/>
  <c r="AQ7" i="2"/>
  <c r="AQ34" i="2"/>
  <c r="AQ54" i="2"/>
  <c r="AP13" i="2"/>
  <c r="AP25" i="2"/>
  <c r="AP39" i="2"/>
  <c r="AP51" i="2"/>
  <c r="AO10" i="2"/>
  <c r="AO22" i="2"/>
  <c r="AO36" i="2"/>
  <c r="AO48" i="2"/>
  <c r="AN7" i="2"/>
  <c r="AN19" i="2"/>
  <c r="AN31" i="2"/>
  <c r="AN41" i="2"/>
  <c r="AN53" i="2"/>
  <c r="Z5" i="2"/>
  <c r="Z17" i="2"/>
  <c r="Z27" i="2"/>
  <c r="Z39" i="2"/>
  <c r="Z48" i="2"/>
  <c r="Z3" i="2"/>
  <c r="AC22" i="2" s="1"/>
  <c r="Y13" i="2"/>
  <c r="Y25" i="2"/>
  <c r="Y35" i="2"/>
  <c r="Y47" i="2"/>
  <c r="Y56" i="2"/>
  <c r="X11" i="2"/>
  <c r="X21" i="2"/>
  <c r="X33" i="2"/>
  <c r="X42" i="2"/>
  <c r="X54" i="2"/>
  <c r="BX31" i="2"/>
  <c r="BW28" i="2"/>
  <c r="BV8" i="2"/>
  <c r="BV44" i="2"/>
  <c r="BH19" i="2"/>
  <c r="BH55" i="2"/>
  <c r="BG35" i="2"/>
  <c r="BF15" i="2"/>
  <c r="BF51" i="2"/>
  <c r="BE31" i="2"/>
  <c r="AQ16" i="2"/>
  <c r="AQ38" i="2"/>
  <c r="AQ57" i="2"/>
  <c r="AP14" i="2"/>
  <c r="AP26" i="2"/>
  <c r="AP42" i="2"/>
  <c r="AP54" i="2"/>
  <c r="AO11" i="2"/>
  <c r="AO23" i="2"/>
  <c r="AO39" i="2"/>
  <c r="AO51" i="2"/>
  <c r="AN8" i="2"/>
  <c r="AN20" i="2"/>
  <c r="AN32" i="2"/>
  <c r="AN42" i="2"/>
  <c r="AN54" i="2"/>
  <c r="Z6" i="2"/>
  <c r="Z18" i="2"/>
  <c r="Z28" i="2"/>
  <c r="Z40" i="2"/>
  <c r="Z50" i="2"/>
  <c r="Y5" i="2"/>
  <c r="Y14" i="2"/>
  <c r="Y26" i="2"/>
  <c r="Y36" i="2"/>
  <c r="Y48" i="2"/>
  <c r="Y57" i="2"/>
  <c r="X12" i="2"/>
  <c r="X22" i="2"/>
  <c r="X34" i="2"/>
  <c r="X44" i="2"/>
  <c r="X56" i="2"/>
  <c r="W8" i="2"/>
  <c r="W20" i="2"/>
  <c r="W30" i="2"/>
  <c r="W42" i="2"/>
  <c r="W51" i="2"/>
  <c r="BY15" i="2"/>
  <c r="BW4" i="2"/>
  <c r="BW40" i="2"/>
  <c r="BV20" i="2"/>
  <c r="BV56" i="2"/>
  <c r="BH31" i="2"/>
  <c r="BG11" i="2"/>
  <c r="BG47" i="2"/>
  <c r="BF27" i="2"/>
  <c r="BE7" i="2"/>
  <c r="BE43" i="2"/>
  <c r="AQ17" i="2"/>
  <c r="AQ43" i="2"/>
  <c r="AQ3" i="2"/>
  <c r="AT22" i="2" s="1"/>
  <c r="AP15" i="2"/>
  <c r="AP31" i="2"/>
  <c r="AP43" i="2"/>
  <c r="AP57" i="2"/>
  <c r="AO12" i="2"/>
  <c r="AO28" i="2"/>
  <c r="AO40" i="2"/>
  <c r="AO54" i="2"/>
  <c r="AN9" i="2"/>
  <c r="AN24" i="2"/>
  <c r="AN33" i="2"/>
  <c r="AN45" i="2"/>
  <c r="AN55" i="2"/>
  <c r="Z10" i="2"/>
  <c r="Z20" i="2"/>
  <c r="Z32" i="2"/>
  <c r="Z41" i="2"/>
  <c r="Z53" i="2"/>
  <c r="Y6" i="2"/>
  <c r="Y18" i="2"/>
  <c r="Y27" i="2"/>
  <c r="Y39" i="2"/>
  <c r="Y49" i="2"/>
  <c r="BW23" i="2"/>
  <c r="BV39" i="2"/>
  <c r="BH50" i="2"/>
  <c r="BF10" i="2"/>
  <c r="BE26" i="2"/>
  <c r="AQ29" i="2"/>
  <c r="AP8" i="2"/>
  <c r="AP36" i="2"/>
  <c r="AO5" i="2"/>
  <c r="AO33" i="2"/>
  <c r="AO59" i="2"/>
  <c r="AN27" i="2"/>
  <c r="AN49" i="2"/>
  <c r="Z14" i="2"/>
  <c r="Z35" i="2"/>
  <c r="Z57" i="2"/>
  <c r="Y21" i="2"/>
  <c r="Y43" i="2"/>
  <c r="X5" i="2"/>
  <c r="X26" i="2"/>
  <c r="X40" i="2"/>
  <c r="X57" i="2"/>
  <c r="W13" i="2"/>
  <c r="W26" i="2"/>
  <c r="W37" i="2"/>
  <c r="W50" i="2"/>
  <c r="BY21" i="2"/>
  <c r="BW41" i="2"/>
  <c r="BV57" i="2"/>
  <c r="BG12" i="2"/>
  <c r="BF28" i="2"/>
  <c r="BE44" i="2"/>
  <c r="AQ44" i="2"/>
  <c r="AP18" i="2"/>
  <c r="AP44" i="2"/>
  <c r="AO15" i="2"/>
  <c r="AO41" i="2"/>
  <c r="AN12" i="2"/>
  <c r="AN35" i="2"/>
  <c r="AN56" i="2"/>
  <c r="Z21" i="2"/>
  <c r="Z42" i="2"/>
  <c r="Y7" i="2"/>
  <c r="Y29" i="2"/>
  <c r="Y50" i="2"/>
  <c r="X8" i="2"/>
  <c r="X27" i="2"/>
  <c r="X41" i="2"/>
  <c r="X58" i="2"/>
  <c r="W14" i="2"/>
  <c r="W27" i="2"/>
  <c r="W41" i="2"/>
  <c r="W55" i="2"/>
  <c r="BY39" i="2"/>
  <c r="BW47" i="2"/>
  <c r="BW3" i="2"/>
  <c r="CB40" i="2" s="1"/>
  <c r="BG18" i="2"/>
  <c r="BF34" i="2"/>
  <c r="BE50" i="2"/>
  <c r="AQ46" i="2"/>
  <c r="AP21" i="2"/>
  <c r="AP49" i="2"/>
  <c r="AO18" i="2"/>
  <c r="AO46" i="2"/>
  <c r="AN15" i="2"/>
  <c r="AN38" i="2"/>
  <c r="Z24" i="2"/>
  <c r="Z46" i="2"/>
  <c r="Y11" i="2"/>
  <c r="Y32" i="2"/>
  <c r="Y54" i="2"/>
  <c r="X14" i="2"/>
  <c r="X28" i="2"/>
  <c r="X47" i="2"/>
  <c r="W5" i="2"/>
  <c r="W15" i="2"/>
  <c r="W29" i="2"/>
  <c r="W43" i="2"/>
  <c r="W56" i="2"/>
  <c r="BX19" i="2"/>
  <c r="BW59" i="2"/>
  <c r="BH14" i="2"/>
  <c r="BG30" i="2"/>
  <c r="BF46" i="2"/>
  <c r="BF3" i="2"/>
  <c r="BK40" i="2" s="1"/>
  <c r="AQ53" i="2"/>
  <c r="AT27" i="2" s="1"/>
  <c r="AP24" i="2"/>
  <c r="AP50" i="2"/>
  <c r="AO21" i="2"/>
  <c r="AO47" i="2"/>
  <c r="AN18" i="2"/>
  <c r="AN39" i="2"/>
  <c r="Z4" i="2"/>
  <c r="Z26" i="2"/>
  <c r="Z47" i="2"/>
  <c r="Y12" i="2"/>
  <c r="Y33" i="2"/>
  <c r="Y55" i="2"/>
  <c r="X15" i="2"/>
  <c r="X29" i="2"/>
  <c r="X48" i="2"/>
  <c r="W6" i="2"/>
  <c r="W19" i="2"/>
  <c r="W33" i="2"/>
  <c r="W44" i="2"/>
  <c r="W57" i="2"/>
  <c r="BW5" i="2"/>
  <c r="BV21" i="2"/>
  <c r="BH32" i="2"/>
  <c r="BG48" i="2"/>
  <c r="BE8" i="2"/>
  <c r="AQ19" i="2"/>
  <c r="AP6" i="2"/>
  <c r="AP32" i="2"/>
  <c r="AP3" i="2"/>
  <c r="AT31" i="2" s="1"/>
  <c r="AO29" i="2"/>
  <c r="AO57" i="2"/>
  <c r="AN25" i="2"/>
  <c r="AN47" i="2"/>
  <c r="Z11" i="2"/>
  <c r="Z33" i="2"/>
  <c r="Z54" i="2"/>
  <c r="Y19" i="2"/>
  <c r="Y41" i="2"/>
  <c r="X6" i="2"/>
  <c r="X18" i="2"/>
  <c r="X35" i="2"/>
  <c r="X50" i="2"/>
  <c r="W7" i="2"/>
  <c r="W21" i="2"/>
  <c r="W35" i="2"/>
  <c r="W48" i="2"/>
  <c r="W59" i="2"/>
  <c r="BW11" i="2"/>
  <c r="BV27" i="2"/>
  <c r="BH38" i="2"/>
  <c r="BG54" i="2"/>
  <c r="BE14" i="2"/>
  <c r="AQ28" i="2"/>
  <c r="AP7" i="2"/>
  <c r="AP33" i="2"/>
  <c r="AO4" i="2"/>
  <c r="AO30" i="2"/>
  <c r="AO58" i="2"/>
  <c r="AN26" i="2"/>
  <c r="AN48" i="2"/>
  <c r="Z12" i="2"/>
  <c r="Z34" i="2"/>
  <c r="Z56" i="2"/>
  <c r="Y20" i="2"/>
  <c r="Y42" i="2"/>
  <c r="X4" i="2"/>
  <c r="X20" i="2"/>
  <c r="X36" i="2"/>
  <c r="X51" i="2"/>
  <c r="W12" i="2"/>
  <c r="W23" i="2"/>
  <c r="W36" i="2"/>
  <c r="W49" i="2"/>
  <c r="BU8" i="2"/>
  <c r="BD6" i="2"/>
  <c r="AM7" i="2"/>
  <c r="V7" i="2"/>
  <c r="E37" i="2"/>
  <c r="E13" i="2"/>
  <c r="K50" i="2" s="1"/>
  <c r="F45" i="2"/>
  <c r="F33" i="2"/>
  <c r="F15" i="2"/>
  <c r="F9" i="2"/>
  <c r="G54" i="2"/>
  <c r="G36" i="2"/>
  <c r="G30" i="2"/>
  <c r="G24" i="2"/>
  <c r="G18" i="2"/>
  <c r="G12" i="2"/>
  <c r="G6" i="2"/>
  <c r="H57" i="2"/>
  <c r="H51" i="2"/>
  <c r="H45" i="2"/>
  <c r="H39" i="2"/>
  <c r="H33" i="2"/>
  <c r="H27" i="2"/>
  <c r="E10" i="2"/>
  <c r="E4" i="2"/>
  <c r="E54" i="2"/>
  <c r="E48" i="2"/>
  <c r="E42" i="2"/>
  <c r="E36" i="2"/>
  <c r="E30" i="2"/>
  <c r="E24" i="2"/>
  <c r="E18" i="2"/>
  <c r="E12" i="2"/>
  <c r="F56" i="2"/>
  <c r="F50" i="2"/>
  <c r="F44" i="2"/>
  <c r="F38" i="2"/>
  <c r="F32" i="2"/>
  <c r="F26" i="2"/>
  <c r="F20" i="2"/>
  <c r="F14" i="2"/>
  <c r="F8" i="2"/>
  <c r="G59" i="2"/>
  <c r="G53" i="2"/>
  <c r="K36" i="2" s="1"/>
  <c r="G47" i="2"/>
  <c r="G41" i="2"/>
  <c r="K35" i="2" s="1"/>
  <c r="G35" i="2"/>
  <c r="G29" i="2"/>
  <c r="G23" i="2"/>
  <c r="G17" i="2"/>
  <c r="G11" i="2"/>
  <c r="G5" i="2"/>
  <c r="H56" i="2"/>
  <c r="H50" i="2"/>
  <c r="H44" i="2"/>
  <c r="H38" i="2"/>
  <c r="H32" i="2"/>
  <c r="H26" i="2"/>
  <c r="H20" i="2"/>
  <c r="H14" i="2"/>
  <c r="H8" i="2"/>
  <c r="E11" i="2"/>
  <c r="E43" i="2"/>
  <c r="E25" i="2"/>
  <c r="K51" i="2" s="1"/>
  <c r="F57" i="2"/>
  <c r="F27" i="2"/>
  <c r="G48" i="2"/>
  <c r="H15" i="2"/>
  <c r="E9" i="2"/>
  <c r="E59" i="2"/>
  <c r="E53" i="2"/>
  <c r="K54" i="2" s="1"/>
  <c r="E47" i="2"/>
  <c r="E41" i="2"/>
  <c r="K53" i="2" s="1"/>
  <c r="E35" i="2"/>
  <c r="E29" i="2"/>
  <c r="E23" i="2"/>
  <c r="E17" i="2"/>
  <c r="E3" i="2"/>
  <c r="K49" i="2" s="1"/>
  <c r="F55" i="2"/>
  <c r="F49" i="2"/>
  <c r="F43" i="2"/>
  <c r="F37" i="2"/>
  <c r="F31" i="2"/>
  <c r="K43" i="2" s="1"/>
  <c r="F25" i="2"/>
  <c r="K42" i="2" s="1"/>
  <c r="F19" i="2"/>
  <c r="F13" i="2"/>
  <c r="K41" i="2" s="1"/>
  <c r="F7" i="2"/>
  <c r="G58" i="2"/>
  <c r="G52" i="2"/>
  <c r="G46" i="2"/>
  <c r="G40" i="2"/>
  <c r="G34" i="2"/>
  <c r="G28" i="2"/>
  <c r="G22" i="2"/>
  <c r="G16" i="2"/>
  <c r="G10" i="2"/>
  <c r="G4" i="2"/>
  <c r="H55" i="2"/>
  <c r="H49" i="2"/>
  <c r="H43" i="2"/>
  <c r="H37" i="2"/>
  <c r="H31" i="2"/>
  <c r="K25" i="2" s="1"/>
  <c r="H25" i="2"/>
  <c r="K24" i="2" s="1"/>
  <c r="H19" i="2"/>
  <c r="H13" i="2"/>
  <c r="K23" i="2" s="1"/>
  <c r="H7" i="2"/>
  <c r="E55" i="2"/>
  <c r="H21" i="2"/>
  <c r="E8" i="2"/>
  <c r="E58" i="2"/>
  <c r="E52" i="2"/>
  <c r="E46" i="2"/>
  <c r="E40" i="2"/>
  <c r="E34" i="2"/>
  <c r="E28" i="2"/>
  <c r="E22" i="2"/>
  <c r="E16" i="2"/>
  <c r="F3" i="2"/>
  <c r="K40" i="2" s="1"/>
  <c r="F54" i="2"/>
  <c r="F48" i="2"/>
  <c r="F42" i="2"/>
  <c r="F36" i="2"/>
  <c r="F30" i="2"/>
  <c r="F24" i="2"/>
  <c r="F18" i="2"/>
  <c r="F12" i="2"/>
  <c r="F6" i="2"/>
  <c r="G57" i="2"/>
  <c r="G51" i="2"/>
  <c r="G45" i="2"/>
  <c r="G39" i="2"/>
  <c r="G33" i="2"/>
  <c r="G27" i="2"/>
  <c r="G21" i="2"/>
  <c r="G15" i="2"/>
  <c r="G9" i="2"/>
  <c r="H3" i="2"/>
  <c r="K22" i="2" s="1"/>
  <c r="H54" i="2"/>
  <c r="H48" i="2"/>
  <c r="H42" i="2"/>
  <c r="H36" i="2"/>
  <c r="H30" i="2"/>
  <c r="H24" i="2"/>
  <c r="H18" i="2"/>
  <c r="H12" i="2"/>
  <c r="H6" i="2"/>
  <c r="E5" i="2"/>
  <c r="E31" i="2"/>
  <c r="K52" i="2" s="1"/>
  <c r="F51" i="2"/>
  <c r="F21" i="2"/>
  <c r="G42" i="2"/>
  <c r="H9" i="2"/>
  <c r="E7" i="2"/>
  <c r="E57" i="2"/>
  <c r="E51" i="2"/>
  <c r="E45" i="2"/>
  <c r="E39" i="2"/>
  <c r="E33" i="2"/>
  <c r="E27" i="2"/>
  <c r="E21" i="2"/>
  <c r="E15" i="2"/>
  <c r="F59" i="2"/>
  <c r="F53" i="2"/>
  <c r="K45" i="2" s="1"/>
  <c r="F47" i="2"/>
  <c r="F41" i="2"/>
  <c r="K44" i="2" s="1"/>
  <c r="F35" i="2"/>
  <c r="F29" i="2"/>
  <c r="F23" i="2"/>
  <c r="F17" i="2"/>
  <c r="F11" i="2"/>
  <c r="F5" i="2"/>
  <c r="G56" i="2"/>
  <c r="G50" i="2"/>
  <c r="G44" i="2"/>
  <c r="G38" i="2"/>
  <c r="G32" i="2"/>
  <c r="G26" i="2"/>
  <c r="G20" i="2"/>
  <c r="G14" i="2"/>
  <c r="G8" i="2"/>
  <c r="H59" i="2"/>
  <c r="H53" i="2"/>
  <c r="K27" i="2" s="1"/>
  <c r="H47" i="2"/>
  <c r="H41" i="2"/>
  <c r="K26" i="2" s="1"/>
  <c r="H35" i="2"/>
  <c r="H29" i="2"/>
  <c r="H23" i="2"/>
  <c r="H17" i="2"/>
  <c r="H11" i="2"/>
  <c r="H5" i="2"/>
  <c r="E49" i="2"/>
  <c r="E19" i="2"/>
  <c r="F39" i="2"/>
  <c r="G3" i="2"/>
  <c r="K31" i="2" s="1"/>
  <c r="E6" i="2"/>
  <c r="E56" i="2"/>
  <c r="E50" i="2"/>
  <c r="E44" i="2"/>
  <c r="E38" i="2"/>
  <c r="E32" i="2"/>
  <c r="E26" i="2"/>
  <c r="E20" i="2"/>
  <c r="E14" i="2"/>
  <c r="F58" i="2"/>
  <c r="F52" i="2"/>
  <c r="F46" i="2"/>
  <c r="F40" i="2"/>
  <c r="F34" i="2"/>
  <c r="F28" i="2"/>
  <c r="F22" i="2"/>
  <c r="F16" i="2"/>
  <c r="F10" i="2"/>
  <c r="F4" i="2"/>
  <c r="G55" i="2"/>
  <c r="G49" i="2"/>
  <c r="G43" i="2"/>
  <c r="G37" i="2"/>
  <c r="G31" i="2"/>
  <c r="K34" i="2" s="1"/>
  <c r="G25" i="2"/>
  <c r="K33" i="2" s="1"/>
  <c r="G19" i="2"/>
  <c r="G13" i="2"/>
  <c r="K32" i="2" s="1"/>
  <c r="G7" i="2"/>
  <c r="H58" i="2"/>
  <c r="H52" i="2"/>
  <c r="H46" i="2"/>
  <c r="H40" i="2"/>
  <c r="H34" i="2"/>
  <c r="H28" i="2"/>
  <c r="H22" i="2"/>
  <c r="H16" i="2"/>
  <c r="H10" i="2"/>
  <c r="BD7" i="4" l="1"/>
  <c r="BH6" i="4"/>
  <c r="BF6" i="4"/>
  <c r="BG6" i="4"/>
  <c r="BE6" i="4"/>
  <c r="D8" i="4"/>
  <c r="H7" i="4"/>
  <c r="G7" i="4"/>
  <c r="E7" i="4"/>
  <c r="F7" i="4"/>
  <c r="BY9" i="4"/>
  <c r="BV9" i="4"/>
  <c r="BU10" i="4"/>
  <c r="BW9" i="4"/>
  <c r="BX9" i="4"/>
  <c r="AM10" i="4"/>
  <c r="AQ9" i="4"/>
  <c r="AP9" i="4"/>
  <c r="AO9" i="4"/>
  <c r="AN9" i="4"/>
  <c r="X11" i="4"/>
  <c r="V12" i="4"/>
  <c r="Y11" i="4"/>
  <c r="Z11" i="4"/>
  <c r="W11" i="4"/>
  <c r="M22" i="2" a="1"/>
  <c r="M22" i="2" s="1"/>
  <c r="M40" i="2" a="1"/>
  <c r="M40" i="2" s="1"/>
  <c r="M31" i="2" a="1"/>
  <c r="M31" i="2" s="1"/>
  <c r="M49" i="2" a="1"/>
  <c r="M49" i="2" s="1"/>
  <c r="BU9" i="2"/>
  <c r="BD7" i="2"/>
  <c r="AM8" i="2"/>
  <c r="V8" i="2"/>
  <c r="BU11" i="4" l="1"/>
  <c r="BY10" i="4"/>
  <c r="BW10" i="4"/>
  <c r="BV10" i="4"/>
  <c r="BX10" i="4"/>
  <c r="BD8" i="4"/>
  <c r="BE7" i="4"/>
  <c r="BG7" i="4"/>
  <c r="BH7" i="4"/>
  <c r="BF7" i="4"/>
  <c r="D9" i="4"/>
  <c r="H8" i="4"/>
  <c r="F8" i="4"/>
  <c r="G8" i="4"/>
  <c r="E8" i="4"/>
  <c r="V13" i="4"/>
  <c r="Z12" i="4"/>
  <c r="W12" i="4"/>
  <c r="Y12" i="4"/>
  <c r="X12" i="4"/>
  <c r="AM11" i="4"/>
  <c r="AQ10" i="4"/>
  <c r="AN10" i="4"/>
  <c r="AO10" i="4"/>
  <c r="AP10" i="4"/>
  <c r="BU10" i="2"/>
  <c r="BD8" i="2"/>
  <c r="AM9" i="2"/>
  <c r="V9" i="2"/>
  <c r="BU12" i="4" l="1"/>
  <c r="BW11" i="4"/>
  <c r="BY11" i="4"/>
  <c r="BX11" i="4"/>
  <c r="BV11" i="4"/>
  <c r="BD9" i="4"/>
  <c r="BE8" i="4"/>
  <c r="BF8" i="4"/>
  <c r="BH8" i="4"/>
  <c r="BG8" i="4"/>
  <c r="D10" i="4"/>
  <c r="G9" i="4"/>
  <c r="F9" i="4"/>
  <c r="E9" i="4"/>
  <c r="H9" i="4"/>
  <c r="V14" i="4"/>
  <c r="Y13" i="4"/>
  <c r="AC32" i="4" s="1"/>
  <c r="Z13" i="4"/>
  <c r="AC23" i="4" s="1"/>
  <c r="X13" i="4"/>
  <c r="AC41" i="4" s="1"/>
  <c r="W13" i="4"/>
  <c r="AC50" i="4" s="1"/>
  <c r="AN11" i="4"/>
  <c r="AM12" i="4"/>
  <c r="AO11" i="4"/>
  <c r="AP11" i="4"/>
  <c r="AQ11" i="4"/>
  <c r="BU11" i="2"/>
  <c r="BD9" i="2"/>
  <c r="AM10" i="2"/>
  <c r="V10" i="2"/>
  <c r="BV12" i="4" l="1"/>
  <c r="BU13" i="4"/>
  <c r="BX12" i="4"/>
  <c r="BW12" i="4"/>
  <c r="BY12" i="4"/>
  <c r="BD10" i="4"/>
  <c r="BG9" i="4"/>
  <c r="BE9" i="4"/>
  <c r="BF9" i="4"/>
  <c r="BH9" i="4"/>
  <c r="E10" i="4"/>
  <c r="D11" i="4"/>
  <c r="F10" i="4"/>
  <c r="G10" i="4"/>
  <c r="H10" i="4"/>
  <c r="AO12" i="4"/>
  <c r="AN12" i="4"/>
  <c r="AM13" i="4"/>
  <c r="AQ12" i="4"/>
  <c r="AP12" i="4"/>
  <c r="Y14" i="4"/>
  <c r="X14" i="4"/>
  <c r="V15" i="4"/>
  <c r="Z14" i="4"/>
  <c r="W14" i="4"/>
  <c r="BU12" i="2"/>
  <c r="BD10" i="2"/>
  <c r="AM11" i="2"/>
  <c r="V11" i="2"/>
  <c r="AQ13" i="4" l="1"/>
  <c r="AT23" i="4" s="1"/>
  <c r="AN13" i="4"/>
  <c r="AT50" i="4" s="1"/>
  <c r="AM14" i="4"/>
  <c r="AO13" i="4"/>
  <c r="AT41" i="4" s="1"/>
  <c r="AP13" i="4"/>
  <c r="AT32" i="4" s="1"/>
  <c r="H11" i="4"/>
  <c r="E11" i="4"/>
  <c r="D12" i="4"/>
  <c r="G11" i="4"/>
  <c r="F11" i="4"/>
  <c r="BU14" i="4"/>
  <c r="BW13" i="4"/>
  <c r="CB41" i="4" s="1"/>
  <c r="BV13" i="4"/>
  <c r="CB50" i="4" s="1"/>
  <c r="BX13" i="4"/>
  <c r="CB32" i="4" s="1"/>
  <c r="BY13" i="4"/>
  <c r="CB23" i="4" s="1"/>
  <c r="V16" i="4"/>
  <c r="Z15" i="4"/>
  <c r="Y15" i="4"/>
  <c r="X15" i="4"/>
  <c r="W15" i="4"/>
  <c r="BD11" i="4"/>
  <c r="BF10" i="4"/>
  <c r="BH10" i="4"/>
  <c r="BG10" i="4"/>
  <c r="BE10" i="4"/>
  <c r="BU13" i="2"/>
  <c r="BD11" i="2"/>
  <c r="AM12" i="2"/>
  <c r="V12" i="2"/>
  <c r="BU15" i="4" l="1"/>
  <c r="BX14" i="4"/>
  <c r="BW14" i="4"/>
  <c r="BV14" i="4"/>
  <c r="BY14" i="4"/>
  <c r="V17" i="4"/>
  <c r="Z16" i="4"/>
  <c r="Y16" i="4"/>
  <c r="X16" i="4"/>
  <c r="W16" i="4"/>
  <c r="BH11" i="4"/>
  <c r="BG11" i="4"/>
  <c r="BF11" i="4"/>
  <c r="BD12" i="4"/>
  <c r="BE11" i="4"/>
  <c r="AM15" i="4"/>
  <c r="AQ14" i="4"/>
  <c r="AP14" i="4"/>
  <c r="AO14" i="4"/>
  <c r="AN14" i="4"/>
  <c r="D13" i="4"/>
  <c r="G12" i="4"/>
  <c r="H12" i="4"/>
  <c r="E12" i="4"/>
  <c r="F12" i="4"/>
  <c r="CB23" i="2"/>
  <c r="CB32" i="2"/>
  <c r="BU14" i="2"/>
  <c r="CB41" i="2"/>
  <c r="CB50" i="2"/>
  <c r="BD12" i="2"/>
  <c r="AM13" i="2"/>
  <c r="V13" i="2"/>
  <c r="D14" i="4" l="1"/>
  <c r="H13" i="4"/>
  <c r="K23" i="4" s="1"/>
  <c r="G13" i="4"/>
  <c r="K32" i="4" s="1"/>
  <c r="E13" i="4"/>
  <c r="K50" i="4" s="1"/>
  <c r="F13" i="4"/>
  <c r="K41" i="4" s="1"/>
  <c r="AM16" i="4"/>
  <c r="AO15" i="4"/>
  <c r="AN15" i="4"/>
  <c r="AQ15" i="4"/>
  <c r="AP15" i="4"/>
  <c r="V18" i="4"/>
  <c r="Z17" i="4"/>
  <c r="W17" i="4"/>
  <c r="X17" i="4"/>
  <c r="Y17" i="4"/>
  <c r="BU16" i="4"/>
  <c r="BX15" i="4"/>
  <c r="BY15" i="4"/>
  <c r="BW15" i="4"/>
  <c r="BV15" i="4"/>
  <c r="BD13" i="4"/>
  <c r="BG12" i="4"/>
  <c r="BH12" i="4"/>
  <c r="BF12" i="4"/>
  <c r="BE12" i="4"/>
  <c r="BU15" i="2"/>
  <c r="BD13" i="2"/>
  <c r="AT41" i="2"/>
  <c r="AT32" i="2"/>
  <c r="AT50" i="2"/>
  <c r="AM14" i="2"/>
  <c r="AT23" i="2"/>
  <c r="AC41" i="2"/>
  <c r="V14" i="2"/>
  <c r="AC23" i="2"/>
  <c r="AC50" i="2"/>
  <c r="AC32" i="2"/>
  <c r="AP16" i="4" l="1"/>
  <c r="AM17" i="4"/>
  <c r="AQ16" i="4"/>
  <c r="AN16" i="4"/>
  <c r="AO16" i="4"/>
  <c r="Z18" i="4"/>
  <c r="V19" i="4"/>
  <c r="W18" i="4"/>
  <c r="Y18" i="4"/>
  <c r="X18" i="4"/>
  <c r="BV16" i="4"/>
  <c r="BU17" i="4"/>
  <c r="BW16" i="4"/>
  <c r="BX16" i="4"/>
  <c r="BY16" i="4"/>
  <c r="BD14" i="4"/>
  <c r="BE13" i="4"/>
  <c r="BK50" i="4" s="1"/>
  <c r="BF13" i="4"/>
  <c r="BK41" i="4" s="1"/>
  <c r="BG13" i="4"/>
  <c r="BK32" i="4" s="1"/>
  <c r="BH13" i="4"/>
  <c r="BK23" i="4" s="1"/>
  <c r="D15" i="4"/>
  <c r="H14" i="4"/>
  <c r="E14" i="4"/>
  <c r="F14" i="4"/>
  <c r="G14" i="4"/>
  <c r="BU16" i="2"/>
  <c r="BK23" i="2"/>
  <c r="BK50" i="2"/>
  <c r="BD14" i="2"/>
  <c r="BK32" i="2"/>
  <c r="BK41" i="2"/>
  <c r="AM15" i="2"/>
  <c r="V15" i="2"/>
  <c r="BU18" i="4" l="1"/>
  <c r="BW17" i="4"/>
  <c r="BX17" i="4"/>
  <c r="BY17" i="4"/>
  <c r="BV17" i="4"/>
  <c r="BD15" i="4"/>
  <c r="BH14" i="4"/>
  <c r="BE14" i="4"/>
  <c r="BG14" i="4"/>
  <c r="BF14" i="4"/>
  <c r="AM18" i="4"/>
  <c r="AP17" i="4"/>
  <c r="AQ17" i="4"/>
  <c r="AO17" i="4"/>
  <c r="AN17" i="4"/>
  <c r="V20" i="4"/>
  <c r="W19" i="4"/>
  <c r="Y19" i="4"/>
  <c r="X19" i="4"/>
  <c r="Z19" i="4"/>
  <c r="D16" i="4"/>
  <c r="H15" i="4"/>
  <c r="G15" i="4"/>
  <c r="F15" i="4"/>
  <c r="E15" i="4"/>
  <c r="BU17" i="2"/>
  <c r="BD15" i="2"/>
  <c r="AM16" i="2"/>
  <c r="V16" i="2"/>
  <c r="BD16" i="4" l="1"/>
  <c r="BE15" i="4"/>
  <c r="BG15" i="4"/>
  <c r="BF15" i="4"/>
  <c r="BH15" i="4"/>
  <c r="BX18" i="4"/>
  <c r="BV18" i="4"/>
  <c r="BU19" i="4"/>
  <c r="BY18" i="4"/>
  <c r="BW18" i="4"/>
  <c r="D17" i="4"/>
  <c r="E16" i="4"/>
  <c r="F16" i="4"/>
  <c r="H16" i="4"/>
  <c r="G16" i="4"/>
  <c r="X20" i="4"/>
  <c r="W20" i="4"/>
  <c r="V21" i="4"/>
  <c r="Z20" i="4"/>
  <c r="Y20" i="4"/>
  <c r="AQ18" i="4"/>
  <c r="AM19" i="4"/>
  <c r="AP18" i="4"/>
  <c r="AO18" i="4"/>
  <c r="AN18" i="4"/>
  <c r="BU18" i="2"/>
  <c r="BD16" i="2"/>
  <c r="AM17" i="2"/>
  <c r="V17" i="2"/>
  <c r="AN19" i="4" l="1"/>
  <c r="AM20" i="4"/>
  <c r="AO19" i="4"/>
  <c r="AP19" i="4"/>
  <c r="AQ19" i="4"/>
  <c r="V22" i="4"/>
  <c r="X21" i="4"/>
  <c r="W21" i="4"/>
  <c r="Z21" i="4"/>
  <c r="Y21" i="4"/>
  <c r="H17" i="4"/>
  <c r="D18" i="4"/>
  <c r="G17" i="4"/>
  <c r="E17" i="4"/>
  <c r="F17" i="4"/>
  <c r="BU20" i="4"/>
  <c r="BY19" i="4"/>
  <c r="BX19" i="4"/>
  <c r="BV19" i="4"/>
  <c r="BW19" i="4"/>
  <c r="BD17" i="4"/>
  <c r="BE16" i="4"/>
  <c r="BF16" i="4"/>
  <c r="BH16" i="4"/>
  <c r="BG16" i="4"/>
  <c r="BU19" i="2"/>
  <c r="BD17" i="2"/>
  <c r="AM18" i="2"/>
  <c r="V18" i="2"/>
  <c r="D19" i="4" l="1"/>
  <c r="F18" i="4"/>
  <c r="E18" i="4"/>
  <c r="G18" i="4"/>
  <c r="H18" i="4"/>
  <c r="X22" i="4"/>
  <c r="W22" i="4"/>
  <c r="V23" i="4"/>
  <c r="Y22" i="4"/>
  <c r="Z22" i="4"/>
  <c r="BY20" i="4"/>
  <c r="BU21" i="4"/>
  <c r="BV20" i="4"/>
  <c r="BW20" i="4"/>
  <c r="BX20" i="4"/>
  <c r="AM21" i="4"/>
  <c r="AP20" i="4"/>
  <c r="AO20" i="4"/>
  <c r="AQ20" i="4"/>
  <c r="AN20" i="4"/>
  <c r="BG17" i="4"/>
  <c r="BE17" i="4"/>
  <c r="BD18" i="4"/>
  <c r="BH17" i="4"/>
  <c r="BF17" i="4"/>
  <c r="BU20" i="2"/>
  <c r="BD18" i="2"/>
  <c r="AM19" i="2"/>
  <c r="V19" i="2"/>
  <c r="BD19" i="4" l="1"/>
  <c r="BH18" i="4"/>
  <c r="BG18" i="4"/>
  <c r="BF18" i="4"/>
  <c r="BE18" i="4"/>
  <c r="BU22" i="4"/>
  <c r="BY21" i="4"/>
  <c r="BV21" i="4"/>
  <c r="BX21" i="4"/>
  <c r="BW21" i="4"/>
  <c r="AQ21" i="4"/>
  <c r="AO21" i="4"/>
  <c r="AN21" i="4"/>
  <c r="AM22" i="4"/>
  <c r="AP21" i="4"/>
  <c r="V24" i="4"/>
  <c r="Z23" i="4"/>
  <c r="Y23" i="4"/>
  <c r="X23" i="4"/>
  <c r="W23" i="4"/>
  <c r="D20" i="4"/>
  <c r="F19" i="4"/>
  <c r="E19" i="4"/>
  <c r="H19" i="4"/>
  <c r="G19" i="4"/>
  <c r="BU21" i="2"/>
  <c r="BD19" i="2"/>
  <c r="AM20" i="2"/>
  <c r="V20" i="2"/>
  <c r="BX22" i="4" l="1"/>
  <c r="BU23" i="4"/>
  <c r="BW22" i="4"/>
  <c r="BV22" i="4"/>
  <c r="BY22" i="4"/>
  <c r="V25" i="4"/>
  <c r="Y24" i="4"/>
  <c r="Z24" i="4"/>
  <c r="W24" i="4"/>
  <c r="X24" i="4"/>
  <c r="D21" i="4"/>
  <c r="G20" i="4"/>
  <c r="H20" i="4"/>
  <c r="E20" i="4"/>
  <c r="F20" i="4"/>
  <c r="AM23" i="4"/>
  <c r="AN22" i="4"/>
  <c r="AQ22" i="4"/>
  <c r="AP22" i="4"/>
  <c r="AO22" i="4"/>
  <c r="BH19" i="4"/>
  <c r="BD20" i="4"/>
  <c r="BG19" i="4"/>
  <c r="BF19" i="4"/>
  <c r="BE19" i="4"/>
  <c r="BU22" i="2"/>
  <c r="BD20" i="2"/>
  <c r="AM21" i="2"/>
  <c r="V21" i="2"/>
  <c r="Y25" i="4" l="1"/>
  <c r="AC33" i="4" s="1"/>
  <c r="W25" i="4"/>
  <c r="AC51" i="4" s="1"/>
  <c r="V26" i="4"/>
  <c r="Z25" i="4"/>
  <c r="AC24" i="4" s="1"/>
  <c r="X25" i="4"/>
  <c r="AC42" i="4" s="1"/>
  <c r="D22" i="4"/>
  <c r="H21" i="4"/>
  <c r="G21" i="4"/>
  <c r="F21" i="4"/>
  <c r="E21" i="4"/>
  <c r="BD21" i="4"/>
  <c r="BE20" i="4"/>
  <c r="BF20" i="4"/>
  <c r="BG20" i="4"/>
  <c r="BH20" i="4"/>
  <c r="BV23" i="4"/>
  <c r="BU24" i="4"/>
  <c r="BX23" i="4"/>
  <c r="BY23" i="4"/>
  <c r="BW23" i="4"/>
  <c r="AN23" i="4"/>
  <c r="AM24" i="4"/>
  <c r="AQ23" i="4"/>
  <c r="AP23" i="4"/>
  <c r="AO23" i="4"/>
  <c r="BU23" i="2"/>
  <c r="BD21" i="2"/>
  <c r="AM22" i="2"/>
  <c r="V22" i="2"/>
  <c r="D23" i="4" l="1"/>
  <c r="F22" i="4"/>
  <c r="E22" i="4"/>
  <c r="G22" i="4"/>
  <c r="H22" i="4"/>
  <c r="BX24" i="4"/>
  <c r="BV24" i="4"/>
  <c r="BU25" i="4"/>
  <c r="BY24" i="4"/>
  <c r="BW24" i="4"/>
  <c r="Y26" i="4"/>
  <c r="W26" i="4"/>
  <c r="V27" i="4"/>
  <c r="Z26" i="4"/>
  <c r="X26" i="4"/>
  <c r="BD22" i="4"/>
  <c r="BF21" i="4"/>
  <c r="BG21" i="4"/>
  <c r="BE21" i="4"/>
  <c r="BH21" i="4"/>
  <c r="AM25" i="4"/>
  <c r="AQ24" i="4"/>
  <c r="AN24" i="4"/>
  <c r="AO24" i="4"/>
  <c r="AP24" i="4"/>
  <c r="BU24" i="2"/>
  <c r="BD22" i="2"/>
  <c r="AM23" i="2"/>
  <c r="V23" i="2"/>
  <c r="AM26" i="4" l="1"/>
  <c r="AQ25" i="4"/>
  <c r="AT24" i="4" s="1"/>
  <c r="AO25" i="4"/>
  <c r="AT42" i="4" s="1"/>
  <c r="AN25" i="4"/>
  <c r="AT51" i="4" s="1"/>
  <c r="AP25" i="4"/>
  <c r="AT33" i="4" s="1"/>
  <c r="V28" i="4"/>
  <c r="Y27" i="4"/>
  <c r="W27" i="4"/>
  <c r="Z27" i="4"/>
  <c r="X27" i="4"/>
  <c r="BV25" i="4"/>
  <c r="CB51" i="4" s="1"/>
  <c r="BU26" i="4"/>
  <c r="BY25" i="4"/>
  <c r="CB24" i="4" s="1"/>
  <c r="BX25" i="4"/>
  <c r="CB33" i="4" s="1"/>
  <c r="BW25" i="4"/>
  <c r="CB42" i="4" s="1"/>
  <c r="BD23" i="4"/>
  <c r="BG22" i="4"/>
  <c r="BF22" i="4"/>
  <c r="BE22" i="4"/>
  <c r="BH22" i="4"/>
  <c r="D24" i="4"/>
  <c r="H23" i="4"/>
  <c r="G23" i="4"/>
  <c r="E23" i="4"/>
  <c r="F23" i="4"/>
  <c r="BU25" i="2"/>
  <c r="BD23" i="2"/>
  <c r="AM24" i="2"/>
  <c r="V24" i="2"/>
  <c r="H24" i="4" l="1"/>
  <c r="G24" i="4"/>
  <c r="D25" i="4"/>
  <c r="E24" i="4"/>
  <c r="F24" i="4"/>
  <c r="BU27" i="4"/>
  <c r="BV26" i="4"/>
  <c r="BY26" i="4"/>
  <c r="BW26" i="4"/>
  <c r="BX26" i="4"/>
  <c r="V29" i="4"/>
  <c r="W28" i="4"/>
  <c r="X28" i="4"/>
  <c r="Z28" i="4"/>
  <c r="Y28" i="4"/>
  <c r="BG23" i="4"/>
  <c r="BD24" i="4"/>
  <c r="BE23" i="4"/>
  <c r="BH23" i="4"/>
  <c r="BF23" i="4"/>
  <c r="AM27" i="4"/>
  <c r="AN26" i="4"/>
  <c r="AQ26" i="4"/>
  <c r="AP26" i="4"/>
  <c r="AO26" i="4"/>
  <c r="CB51" i="2"/>
  <c r="BU26" i="2"/>
  <c r="CB24" i="2"/>
  <c r="CB33" i="2"/>
  <c r="CB42" i="2"/>
  <c r="BD24" i="2"/>
  <c r="AM25" i="2"/>
  <c r="V25" i="2"/>
  <c r="BU28" i="4" l="1"/>
  <c r="BX27" i="4"/>
  <c r="BW27" i="4"/>
  <c r="BY27" i="4"/>
  <c r="BV27" i="4"/>
  <c r="D26" i="4"/>
  <c r="H25" i="4"/>
  <c r="K24" i="4" s="1"/>
  <c r="E25" i="4"/>
  <c r="K51" i="4" s="1"/>
  <c r="G25" i="4"/>
  <c r="K33" i="4" s="1"/>
  <c r="F25" i="4"/>
  <c r="K42" i="4" s="1"/>
  <c r="BD25" i="4"/>
  <c r="BH24" i="4"/>
  <c r="BE24" i="4"/>
  <c r="BG24" i="4"/>
  <c r="BF24" i="4"/>
  <c r="AM28" i="4"/>
  <c r="AN27" i="4"/>
  <c r="AP27" i="4"/>
  <c r="AQ27" i="4"/>
  <c r="AO27" i="4"/>
  <c r="V30" i="4"/>
  <c r="W29" i="4"/>
  <c r="Y29" i="4"/>
  <c r="Z29" i="4"/>
  <c r="X29" i="4"/>
  <c r="BU27" i="2"/>
  <c r="BD25" i="2"/>
  <c r="AT33" i="2"/>
  <c r="AT24" i="2"/>
  <c r="AT42" i="2"/>
  <c r="AT51" i="2"/>
  <c r="AM26" i="2"/>
  <c r="AC33" i="2"/>
  <c r="AC42" i="2"/>
  <c r="AC51" i="2"/>
  <c r="V26" i="2"/>
  <c r="AC24" i="2"/>
  <c r="D27" i="4" l="1"/>
  <c r="E26" i="4"/>
  <c r="G26" i="4"/>
  <c r="H26" i="4"/>
  <c r="F26" i="4"/>
  <c r="BD26" i="4"/>
  <c r="BH25" i="4"/>
  <c r="BK24" i="4" s="1"/>
  <c r="BG25" i="4"/>
  <c r="BK33" i="4" s="1"/>
  <c r="BE25" i="4"/>
  <c r="BK51" i="4" s="1"/>
  <c r="BF25" i="4"/>
  <c r="BK42" i="4" s="1"/>
  <c r="AP28" i="4"/>
  <c r="AM29" i="4"/>
  <c r="AO28" i="4"/>
  <c r="AN28" i="4"/>
  <c r="AQ28" i="4"/>
  <c r="V31" i="4"/>
  <c r="X30" i="4"/>
  <c r="Y30" i="4"/>
  <c r="Z30" i="4"/>
  <c r="W30" i="4"/>
  <c r="BU29" i="4"/>
  <c r="BW28" i="4"/>
  <c r="BV28" i="4"/>
  <c r="BY28" i="4"/>
  <c r="BX28" i="4"/>
  <c r="BU28" i="2"/>
  <c r="BK24" i="2"/>
  <c r="BK51" i="2"/>
  <c r="BD26" i="2"/>
  <c r="BK33" i="2"/>
  <c r="BK42" i="2"/>
  <c r="AM27" i="2"/>
  <c r="V27" i="2"/>
  <c r="V32" i="4" l="1"/>
  <c r="X31" i="4"/>
  <c r="AC43" i="4" s="1"/>
  <c r="Z31" i="4"/>
  <c r="AC25" i="4" s="1"/>
  <c r="Y31" i="4"/>
  <c r="AC34" i="4" s="1"/>
  <c r="W31" i="4"/>
  <c r="AC52" i="4" s="1"/>
  <c r="AM30" i="4"/>
  <c r="AN29" i="4"/>
  <c r="AO29" i="4"/>
  <c r="AQ29" i="4"/>
  <c r="AP29" i="4"/>
  <c r="BD27" i="4"/>
  <c r="BH26" i="4"/>
  <c r="BG26" i="4"/>
  <c r="BE26" i="4"/>
  <c r="BF26" i="4"/>
  <c r="BU30" i="4"/>
  <c r="BY29" i="4"/>
  <c r="BX29" i="4"/>
  <c r="BV29" i="4"/>
  <c r="BW29" i="4"/>
  <c r="E27" i="4"/>
  <c r="D28" i="4"/>
  <c r="G27" i="4"/>
  <c r="H27" i="4"/>
  <c r="F27" i="4"/>
  <c r="BU29" i="2"/>
  <c r="BD27" i="2"/>
  <c r="AM28" i="2"/>
  <c r="V28" i="2"/>
  <c r="AM31" i="4" l="1"/>
  <c r="AQ30" i="4"/>
  <c r="AN30" i="4"/>
  <c r="AP30" i="4"/>
  <c r="AO30" i="4"/>
  <c r="V33" i="4"/>
  <c r="X32" i="4"/>
  <c r="Z32" i="4"/>
  <c r="Y32" i="4"/>
  <c r="W32" i="4"/>
  <c r="BU31" i="4"/>
  <c r="BV30" i="4"/>
  <c r="BW30" i="4"/>
  <c r="BX30" i="4"/>
  <c r="BY30" i="4"/>
  <c r="BD28" i="4"/>
  <c r="BH27" i="4"/>
  <c r="BG27" i="4"/>
  <c r="BE27" i="4"/>
  <c r="BF27" i="4"/>
  <c r="D29" i="4"/>
  <c r="H28" i="4"/>
  <c r="E28" i="4"/>
  <c r="G28" i="4"/>
  <c r="F28" i="4"/>
  <c r="BU30" i="2"/>
  <c r="BD28" i="2"/>
  <c r="AM29" i="2"/>
  <c r="V29" i="2"/>
  <c r="V34" i="4" l="1"/>
  <c r="Z33" i="4"/>
  <c r="Y33" i="4"/>
  <c r="X33" i="4"/>
  <c r="W33" i="4"/>
  <c r="BD29" i="4"/>
  <c r="BG28" i="4"/>
  <c r="BH28" i="4"/>
  <c r="BF28" i="4"/>
  <c r="BE28" i="4"/>
  <c r="BU32" i="4"/>
  <c r="BV31" i="4"/>
  <c r="CB52" i="4" s="1"/>
  <c r="BY31" i="4"/>
  <c r="CB25" i="4" s="1"/>
  <c r="BX31" i="4"/>
  <c r="CB34" i="4" s="1"/>
  <c r="BW31" i="4"/>
  <c r="CB43" i="4" s="1"/>
  <c r="D30" i="4"/>
  <c r="F29" i="4"/>
  <c r="G29" i="4"/>
  <c r="H29" i="4"/>
  <c r="E29" i="4"/>
  <c r="AM32" i="4"/>
  <c r="AO31" i="4"/>
  <c r="AT43" i="4" s="1"/>
  <c r="AP31" i="4"/>
  <c r="AT34" i="4" s="1"/>
  <c r="AN31" i="4"/>
  <c r="AT52" i="4" s="1"/>
  <c r="AQ31" i="4"/>
  <c r="AT25" i="4" s="1"/>
  <c r="BU31" i="2"/>
  <c r="BD29" i="2"/>
  <c r="AM30" i="2"/>
  <c r="V30" i="2"/>
  <c r="BD30" i="4" l="1"/>
  <c r="BE29" i="4"/>
  <c r="BF29" i="4"/>
  <c r="BG29" i="4"/>
  <c r="BH29" i="4"/>
  <c r="D31" i="4"/>
  <c r="H30" i="4"/>
  <c r="F30" i="4"/>
  <c r="G30" i="4"/>
  <c r="E30" i="4"/>
  <c r="AM33" i="4"/>
  <c r="AP32" i="4"/>
  <c r="AO32" i="4"/>
  <c r="AQ32" i="4"/>
  <c r="AN32" i="4"/>
  <c r="BU33" i="4"/>
  <c r="BX32" i="4"/>
  <c r="BW32" i="4"/>
  <c r="BY32" i="4"/>
  <c r="BV32" i="4"/>
  <c r="V35" i="4"/>
  <c r="Y34" i="4"/>
  <c r="X34" i="4"/>
  <c r="Z34" i="4"/>
  <c r="W34" i="4"/>
  <c r="CB25" i="2"/>
  <c r="CB34" i="2"/>
  <c r="BU32" i="2"/>
  <c r="CB43" i="2"/>
  <c r="CB52" i="2"/>
  <c r="BD30" i="2"/>
  <c r="AM31" i="2"/>
  <c r="V31" i="2"/>
  <c r="D32" i="4" l="1"/>
  <c r="G31" i="4"/>
  <c r="K34" i="4" s="1"/>
  <c r="H31" i="4"/>
  <c r="K25" i="4" s="1"/>
  <c r="E31" i="4"/>
  <c r="K52" i="4" s="1"/>
  <c r="F31" i="4"/>
  <c r="K43" i="4" s="1"/>
  <c r="AM34" i="4"/>
  <c r="AP33" i="4"/>
  <c r="AO33" i="4"/>
  <c r="AQ33" i="4"/>
  <c r="AN33" i="4"/>
  <c r="BU34" i="4"/>
  <c r="BV33" i="4"/>
  <c r="BX33" i="4"/>
  <c r="BW33" i="4"/>
  <c r="BY33" i="4"/>
  <c r="V36" i="4"/>
  <c r="X35" i="4"/>
  <c r="Z35" i="4"/>
  <c r="W35" i="4"/>
  <c r="Y35" i="4"/>
  <c r="BD31" i="4"/>
  <c r="BH30" i="4"/>
  <c r="BE30" i="4"/>
  <c r="BF30" i="4"/>
  <c r="BG30" i="4"/>
  <c r="BU33" i="2"/>
  <c r="BD31" i="2"/>
  <c r="AT52" i="2"/>
  <c r="AT25" i="2"/>
  <c r="AT43" i="2"/>
  <c r="AT34" i="2"/>
  <c r="AM32" i="2"/>
  <c r="AC25" i="2"/>
  <c r="AC34" i="2"/>
  <c r="V32" i="2"/>
  <c r="AC43" i="2"/>
  <c r="AC52" i="2"/>
  <c r="AM35" i="4" l="1"/>
  <c r="AP34" i="4"/>
  <c r="AO34" i="4"/>
  <c r="AQ34" i="4"/>
  <c r="AN34" i="4"/>
  <c r="V37" i="4"/>
  <c r="Z36" i="4"/>
  <c r="Y36" i="4"/>
  <c r="W36" i="4"/>
  <c r="X36" i="4"/>
  <c r="BD32" i="4"/>
  <c r="BE31" i="4"/>
  <c r="BK52" i="4" s="1"/>
  <c r="BG31" i="4"/>
  <c r="BK34" i="4" s="1"/>
  <c r="BF31" i="4"/>
  <c r="BK43" i="4" s="1"/>
  <c r="BH31" i="4"/>
  <c r="BK25" i="4" s="1"/>
  <c r="BU35" i="4"/>
  <c r="BW34" i="4"/>
  <c r="BX34" i="4"/>
  <c r="BY34" i="4"/>
  <c r="BV34" i="4"/>
  <c r="D33" i="4"/>
  <c r="G32" i="4"/>
  <c r="F32" i="4"/>
  <c r="H32" i="4"/>
  <c r="E32" i="4"/>
  <c r="BU34" i="2"/>
  <c r="BD32" i="2"/>
  <c r="BK43" i="2"/>
  <c r="BK52" i="2"/>
  <c r="BK34" i="2"/>
  <c r="BK25" i="2"/>
  <c r="AM33" i="2"/>
  <c r="V33" i="2"/>
  <c r="V38" i="4" l="1"/>
  <c r="Z37" i="4"/>
  <c r="W37" i="4"/>
  <c r="X37" i="4"/>
  <c r="Y37" i="4"/>
  <c r="BU36" i="4"/>
  <c r="BV35" i="4"/>
  <c r="BW35" i="4"/>
  <c r="BY35" i="4"/>
  <c r="BX35" i="4"/>
  <c r="D34" i="4"/>
  <c r="G33" i="4"/>
  <c r="F33" i="4"/>
  <c r="H33" i="4"/>
  <c r="E33" i="4"/>
  <c r="BD33" i="4"/>
  <c r="BH32" i="4"/>
  <c r="BG32" i="4"/>
  <c r="BF32" i="4"/>
  <c r="BE32" i="4"/>
  <c r="AM36" i="4"/>
  <c r="AQ35" i="4"/>
  <c r="AP35" i="4"/>
  <c r="AO35" i="4"/>
  <c r="AN35" i="4"/>
  <c r="BU35" i="2"/>
  <c r="BD33" i="2"/>
  <c r="AM34" i="2"/>
  <c r="V34" i="2"/>
  <c r="BU37" i="4" l="1"/>
  <c r="BY36" i="4"/>
  <c r="BW36" i="4"/>
  <c r="BV36" i="4"/>
  <c r="BX36" i="4"/>
  <c r="BD34" i="4"/>
  <c r="BG33" i="4"/>
  <c r="BH33" i="4"/>
  <c r="BF33" i="4"/>
  <c r="BE33" i="4"/>
  <c r="D35" i="4"/>
  <c r="F34" i="4"/>
  <c r="H34" i="4"/>
  <c r="G34" i="4"/>
  <c r="E34" i="4"/>
  <c r="AM37" i="4"/>
  <c r="AP36" i="4"/>
  <c r="AN36" i="4"/>
  <c r="AQ36" i="4"/>
  <c r="AO36" i="4"/>
  <c r="V39" i="4"/>
  <c r="Z38" i="4"/>
  <c r="Y38" i="4"/>
  <c r="X38" i="4"/>
  <c r="W38" i="4"/>
  <c r="BU36" i="2"/>
  <c r="BD34" i="2"/>
  <c r="AM35" i="2"/>
  <c r="V35" i="2"/>
  <c r="BD35" i="4" l="1"/>
  <c r="BH34" i="4"/>
  <c r="BG34" i="4"/>
  <c r="BF34" i="4"/>
  <c r="BE34" i="4"/>
  <c r="D36" i="4"/>
  <c r="G35" i="4"/>
  <c r="H35" i="4"/>
  <c r="F35" i="4"/>
  <c r="E35" i="4"/>
  <c r="AM38" i="4"/>
  <c r="AP37" i="4"/>
  <c r="AO37" i="4"/>
  <c r="AN37" i="4"/>
  <c r="AQ37" i="4"/>
  <c r="V40" i="4"/>
  <c r="Z39" i="4"/>
  <c r="X39" i="4"/>
  <c r="Y39" i="4"/>
  <c r="W39" i="4"/>
  <c r="BU38" i="4"/>
  <c r="BW37" i="4"/>
  <c r="BX37" i="4"/>
  <c r="BV37" i="4"/>
  <c r="BY37" i="4"/>
  <c r="BU37" i="2"/>
  <c r="BD35" i="2"/>
  <c r="AM36" i="2"/>
  <c r="V36" i="2"/>
  <c r="D37" i="4" l="1"/>
  <c r="G36" i="4"/>
  <c r="E36" i="4"/>
  <c r="H36" i="4"/>
  <c r="F36" i="4"/>
  <c r="AM39" i="4"/>
  <c r="AN38" i="4"/>
  <c r="AP38" i="4"/>
  <c r="AO38" i="4"/>
  <c r="AQ38" i="4"/>
  <c r="BU39" i="4"/>
  <c r="BX38" i="4"/>
  <c r="BW38" i="4"/>
  <c r="BY38" i="4"/>
  <c r="BV38" i="4"/>
  <c r="V41" i="4"/>
  <c r="Y40" i="4"/>
  <c r="Z40" i="4"/>
  <c r="W40" i="4"/>
  <c r="X40" i="4"/>
  <c r="BD36" i="4"/>
  <c r="BH35" i="4"/>
  <c r="BG35" i="4"/>
  <c r="BF35" i="4"/>
  <c r="BE35" i="4"/>
  <c r="BU38" i="2"/>
  <c r="BD36" i="2"/>
  <c r="AM37" i="2"/>
  <c r="V37" i="2"/>
  <c r="AM40" i="4" l="1"/>
  <c r="AQ39" i="4"/>
  <c r="AN39" i="4"/>
  <c r="AP39" i="4"/>
  <c r="AO39" i="4"/>
  <c r="BU40" i="4"/>
  <c r="BV39" i="4"/>
  <c r="BX39" i="4"/>
  <c r="BW39" i="4"/>
  <c r="BY39" i="4"/>
  <c r="V42" i="4"/>
  <c r="Z41" i="4"/>
  <c r="AC26" i="4" s="1"/>
  <c r="Y41" i="4"/>
  <c r="AC35" i="4" s="1"/>
  <c r="X41" i="4"/>
  <c r="AC44" i="4" s="1"/>
  <c r="W41" i="4"/>
  <c r="AC53" i="4" s="1"/>
  <c r="BD37" i="4"/>
  <c r="BH36" i="4"/>
  <c r="BG36" i="4"/>
  <c r="BE36" i="4"/>
  <c r="BF36" i="4"/>
  <c r="D38" i="4"/>
  <c r="H37" i="4"/>
  <c r="E37" i="4"/>
  <c r="F37" i="4"/>
  <c r="G37" i="4"/>
  <c r="BU39" i="2"/>
  <c r="BD37" i="2"/>
  <c r="AM38" i="2"/>
  <c r="V38" i="2"/>
  <c r="BU41" i="4" l="1"/>
  <c r="BV40" i="4"/>
  <c r="BW40" i="4"/>
  <c r="BX40" i="4"/>
  <c r="BY40" i="4"/>
  <c r="V43" i="4"/>
  <c r="Z42" i="4"/>
  <c r="W42" i="4"/>
  <c r="X42" i="4"/>
  <c r="Y42" i="4"/>
  <c r="D39" i="4"/>
  <c r="H38" i="4"/>
  <c r="F38" i="4"/>
  <c r="G38" i="4"/>
  <c r="E38" i="4"/>
  <c r="BD38" i="4"/>
  <c r="BG37" i="4"/>
  <c r="BH37" i="4"/>
  <c r="BE37" i="4"/>
  <c r="BF37" i="4"/>
  <c r="AM41" i="4"/>
  <c r="AP40" i="4"/>
  <c r="AQ40" i="4"/>
  <c r="AO40" i="4"/>
  <c r="AN40" i="4"/>
  <c r="BU40" i="2"/>
  <c r="BD38" i="2"/>
  <c r="AM39" i="2"/>
  <c r="V39" i="2"/>
  <c r="V44" i="4" l="1"/>
  <c r="X43" i="4"/>
  <c r="Y43" i="4"/>
  <c r="Z43" i="4"/>
  <c r="W43" i="4"/>
  <c r="BD39" i="4"/>
  <c r="BF38" i="4"/>
  <c r="BG38" i="4"/>
  <c r="BE38" i="4"/>
  <c r="BH38" i="4"/>
  <c r="D40" i="4"/>
  <c r="H39" i="4"/>
  <c r="E39" i="4"/>
  <c r="F39" i="4"/>
  <c r="G39" i="4"/>
  <c r="AM42" i="4"/>
  <c r="AO41" i="4"/>
  <c r="AT44" i="4" s="1"/>
  <c r="AP41" i="4"/>
  <c r="AT35" i="4" s="1"/>
  <c r="AQ41" i="4"/>
  <c r="AT26" i="4" s="1"/>
  <c r="AN41" i="4"/>
  <c r="AT53" i="4" s="1"/>
  <c r="BU42" i="4"/>
  <c r="BW41" i="4"/>
  <c r="CB44" i="4" s="1"/>
  <c r="BX41" i="4"/>
  <c r="CB35" i="4" s="1"/>
  <c r="BY41" i="4"/>
  <c r="CB26" i="4" s="1"/>
  <c r="BV41" i="4"/>
  <c r="CB53" i="4" s="1"/>
  <c r="BU41" i="2"/>
  <c r="BD39" i="2"/>
  <c r="AM40" i="2"/>
  <c r="V40" i="2"/>
  <c r="BD40" i="4" l="1"/>
  <c r="BE39" i="4"/>
  <c r="BH39" i="4"/>
  <c r="BG39" i="4"/>
  <c r="BF39" i="4"/>
  <c r="D41" i="4"/>
  <c r="G40" i="4"/>
  <c r="E40" i="4"/>
  <c r="H40" i="4"/>
  <c r="F40" i="4"/>
  <c r="AM43" i="4"/>
  <c r="AP42" i="4"/>
  <c r="AN42" i="4"/>
  <c r="AQ42" i="4"/>
  <c r="AO42" i="4"/>
  <c r="BU43" i="4"/>
  <c r="BV42" i="4"/>
  <c r="BW42" i="4"/>
  <c r="BY42" i="4"/>
  <c r="BX42" i="4"/>
  <c r="V45" i="4"/>
  <c r="X44" i="4"/>
  <c r="Z44" i="4"/>
  <c r="W44" i="4"/>
  <c r="Y44" i="4"/>
  <c r="CB35" i="2"/>
  <c r="CB44" i="2"/>
  <c r="CB53" i="2"/>
  <c r="BU42" i="2"/>
  <c r="CB26" i="2"/>
  <c r="BD40" i="2"/>
  <c r="AM41" i="2"/>
  <c r="V41" i="2"/>
  <c r="D42" i="4" l="1"/>
  <c r="H41" i="4"/>
  <c r="K26" i="4" s="1"/>
  <c r="F41" i="4"/>
  <c r="K44" i="4" s="1"/>
  <c r="E41" i="4"/>
  <c r="K53" i="4" s="1"/>
  <c r="G41" i="4"/>
  <c r="K35" i="4" s="1"/>
  <c r="AM44" i="4"/>
  <c r="AP43" i="4"/>
  <c r="AN43" i="4"/>
  <c r="AO43" i="4"/>
  <c r="AQ43" i="4"/>
  <c r="V46" i="4"/>
  <c r="Y45" i="4"/>
  <c r="W45" i="4"/>
  <c r="Z45" i="4"/>
  <c r="X45" i="4"/>
  <c r="BU44" i="4"/>
  <c r="BV43" i="4"/>
  <c r="BX43" i="4"/>
  <c r="BY43" i="4"/>
  <c r="BW43" i="4"/>
  <c r="BD41" i="4"/>
  <c r="BE40" i="4"/>
  <c r="BG40" i="4"/>
  <c r="BF40" i="4"/>
  <c r="BH40" i="4"/>
  <c r="BU43" i="2"/>
  <c r="BD41" i="2"/>
  <c r="AM42" i="2"/>
  <c r="AT26" i="2"/>
  <c r="AT35" i="2"/>
  <c r="AT53" i="2"/>
  <c r="AT44" i="2"/>
  <c r="AC26" i="2"/>
  <c r="AC35" i="2"/>
  <c r="AC44" i="2"/>
  <c r="AC53" i="2"/>
  <c r="V42" i="2"/>
  <c r="AM45" i="4" l="1"/>
  <c r="AP44" i="4"/>
  <c r="AQ44" i="4"/>
  <c r="AO44" i="4"/>
  <c r="AN44" i="4"/>
  <c r="BU45" i="4"/>
  <c r="BV44" i="4"/>
  <c r="BX44" i="4"/>
  <c r="BY44" i="4"/>
  <c r="BW44" i="4"/>
  <c r="BD42" i="4"/>
  <c r="BG41" i="4"/>
  <c r="BK35" i="4" s="1"/>
  <c r="BF41" i="4"/>
  <c r="BK44" i="4" s="1"/>
  <c r="BH41" i="4"/>
  <c r="BK26" i="4" s="1"/>
  <c r="BE41" i="4"/>
  <c r="BK53" i="4" s="1"/>
  <c r="V47" i="4"/>
  <c r="X46" i="4"/>
  <c r="Z46" i="4"/>
  <c r="W46" i="4"/>
  <c r="Y46" i="4"/>
  <c r="D43" i="4"/>
  <c r="H42" i="4"/>
  <c r="G42" i="4"/>
  <c r="F42" i="4"/>
  <c r="E42" i="4"/>
  <c r="BU44" i="2"/>
  <c r="BK53" i="2"/>
  <c r="BD42" i="2"/>
  <c r="BK35" i="2"/>
  <c r="BK44" i="2"/>
  <c r="BK26" i="2"/>
  <c r="AM43" i="2"/>
  <c r="V43" i="2"/>
  <c r="BU46" i="4" l="1"/>
  <c r="BV45" i="4"/>
  <c r="BW45" i="4"/>
  <c r="BY45" i="4"/>
  <c r="BX45" i="4"/>
  <c r="BD43" i="4"/>
  <c r="BG42" i="4"/>
  <c r="BH42" i="4"/>
  <c r="BF42" i="4"/>
  <c r="BE42" i="4"/>
  <c r="D44" i="4"/>
  <c r="G43" i="4"/>
  <c r="F43" i="4"/>
  <c r="H43" i="4"/>
  <c r="E43" i="4"/>
  <c r="V48" i="4"/>
  <c r="Y47" i="4"/>
  <c r="W47" i="4"/>
  <c r="X47" i="4"/>
  <c r="Z47" i="4"/>
  <c r="AM46" i="4"/>
  <c r="AO45" i="4"/>
  <c r="AN45" i="4"/>
  <c r="AP45" i="4"/>
  <c r="AQ45" i="4"/>
  <c r="BU45" i="2"/>
  <c r="BD43" i="2"/>
  <c r="AM44" i="2"/>
  <c r="V44" i="2"/>
  <c r="BD44" i="4" l="1"/>
  <c r="BE43" i="4"/>
  <c r="BH43" i="4"/>
  <c r="BG43" i="4"/>
  <c r="BF43" i="4"/>
  <c r="D45" i="4"/>
  <c r="E44" i="4"/>
  <c r="H44" i="4"/>
  <c r="G44" i="4"/>
  <c r="F44" i="4"/>
  <c r="V49" i="4"/>
  <c r="W48" i="4"/>
  <c r="Y48" i="4"/>
  <c r="X48" i="4"/>
  <c r="Z48" i="4"/>
  <c r="AM47" i="4"/>
  <c r="AP46" i="4"/>
  <c r="AO46" i="4"/>
  <c r="AN46" i="4"/>
  <c r="AQ46" i="4"/>
  <c r="BU47" i="4"/>
  <c r="BX46" i="4"/>
  <c r="BY46" i="4"/>
  <c r="BV46" i="4"/>
  <c r="BW46" i="4"/>
  <c r="BU46" i="2"/>
  <c r="BD44" i="2"/>
  <c r="AM45" i="2"/>
  <c r="V45" i="2"/>
  <c r="D46" i="4" l="1"/>
  <c r="G45" i="4"/>
  <c r="H45" i="4"/>
  <c r="E45" i="4"/>
  <c r="F45" i="4"/>
  <c r="AM48" i="4"/>
  <c r="AN47" i="4"/>
  <c r="AO47" i="4"/>
  <c r="AP47" i="4"/>
  <c r="AQ47" i="4"/>
  <c r="V50" i="4"/>
  <c r="Z49" i="4"/>
  <c r="Y49" i="4"/>
  <c r="X49" i="4"/>
  <c r="W49" i="4"/>
  <c r="BU48" i="4"/>
  <c r="BY47" i="4"/>
  <c r="BX47" i="4"/>
  <c r="BV47" i="4"/>
  <c r="BW47" i="4"/>
  <c r="BD45" i="4"/>
  <c r="BE44" i="4"/>
  <c r="BH44" i="4"/>
  <c r="BF44" i="4"/>
  <c r="BG44" i="4"/>
  <c r="BU47" i="2"/>
  <c r="BD45" i="2"/>
  <c r="AM46" i="2"/>
  <c r="V46" i="2"/>
  <c r="AM49" i="4" l="1"/>
  <c r="AN48" i="4"/>
  <c r="AP48" i="4"/>
  <c r="AO48" i="4"/>
  <c r="AQ48" i="4"/>
  <c r="V51" i="4"/>
  <c r="W50" i="4"/>
  <c r="X50" i="4"/>
  <c r="Y50" i="4"/>
  <c r="Z50" i="4"/>
  <c r="BU49" i="4"/>
  <c r="BY48" i="4"/>
  <c r="BW48" i="4"/>
  <c r="BV48" i="4"/>
  <c r="BX48" i="4"/>
  <c r="BD46" i="4"/>
  <c r="BF45" i="4"/>
  <c r="BG45" i="4"/>
  <c r="BE45" i="4"/>
  <c r="BH45" i="4"/>
  <c r="D47" i="4"/>
  <c r="E46" i="4"/>
  <c r="H46" i="4"/>
  <c r="G46" i="4"/>
  <c r="F46" i="4"/>
  <c r="BU48" i="2"/>
  <c r="BD46" i="2"/>
  <c r="AM47" i="2"/>
  <c r="V47" i="2"/>
  <c r="V52" i="4" l="1"/>
  <c r="Y51" i="4"/>
  <c r="Z51" i="4"/>
  <c r="W51" i="4"/>
  <c r="X51" i="4"/>
  <c r="BU50" i="4"/>
  <c r="BW49" i="4"/>
  <c r="BV49" i="4"/>
  <c r="BX49" i="4"/>
  <c r="BY49" i="4"/>
  <c r="D48" i="4"/>
  <c r="E47" i="4"/>
  <c r="G47" i="4"/>
  <c r="H47" i="4"/>
  <c r="F47" i="4"/>
  <c r="BD47" i="4"/>
  <c r="BE46" i="4"/>
  <c r="BF46" i="4"/>
  <c r="BH46" i="4"/>
  <c r="BG46" i="4"/>
  <c r="AM50" i="4"/>
  <c r="AP49" i="4"/>
  <c r="AO49" i="4"/>
  <c r="AN49" i="4"/>
  <c r="AQ49" i="4"/>
  <c r="BU49" i="2"/>
  <c r="BD47" i="2"/>
  <c r="AM48" i="2"/>
  <c r="V48" i="2"/>
  <c r="AM51" i="4" l="1"/>
  <c r="AQ50" i="4"/>
  <c r="AP50" i="4"/>
  <c r="AN50" i="4"/>
  <c r="AO50" i="4"/>
  <c r="BU51" i="4"/>
  <c r="BW50" i="4"/>
  <c r="BX50" i="4"/>
  <c r="BV50" i="4"/>
  <c r="BY50" i="4"/>
  <c r="D49" i="4"/>
  <c r="G48" i="4"/>
  <c r="H48" i="4"/>
  <c r="E48" i="4"/>
  <c r="F48" i="4"/>
  <c r="BD48" i="4"/>
  <c r="BF47" i="4"/>
  <c r="BE47" i="4"/>
  <c r="BG47" i="4"/>
  <c r="BH47" i="4"/>
  <c r="V53" i="4"/>
  <c r="Y52" i="4"/>
  <c r="Z52" i="4"/>
  <c r="W52" i="4"/>
  <c r="X52" i="4"/>
  <c r="BU50" i="2"/>
  <c r="BD48" i="2"/>
  <c r="AM49" i="2"/>
  <c r="V49" i="2"/>
  <c r="D50" i="4" l="1"/>
  <c r="F49" i="4"/>
  <c r="E49" i="4"/>
  <c r="G49" i="4"/>
  <c r="H49" i="4"/>
  <c r="BU52" i="4"/>
  <c r="BW51" i="4"/>
  <c r="BY51" i="4"/>
  <c r="BV51" i="4"/>
  <c r="BX51" i="4"/>
  <c r="BD49" i="4"/>
  <c r="BG48" i="4"/>
  <c r="BE48" i="4"/>
  <c r="BF48" i="4"/>
  <c r="BH48" i="4"/>
  <c r="V54" i="4"/>
  <c r="X53" i="4"/>
  <c r="AC45" i="4" s="1"/>
  <c r="AE40" i="4" s="1" a="1"/>
  <c r="AE40" i="4" s="1"/>
  <c r="Y53" i="4"/>
  <c r="AC36" i="4" s="1"/>
  <c r="AE31" i="4" s="1" a="1"/>
  <c r="AE31" i="4" s="1"/>
  <c r="Z53" i="4"/>
  <c r="AC27" i="4" s="1"/>
  <c r="AE22" i="4" s="1" a="1"/>
  <c r="AE22" i="4" s="1"/>
  <c r="W53" i="4"/>
  <c r="AC54" i="4" s="1"/>
  <c r="AE49" i="4" s="1" a="1"/>
  <c r="AE49" i="4" s="1"/>
  <c r="AM52" i="4"/>
  <c r="AN51" i="4"/>
  <c r="AQ51" i="4"/>
  <c r="AO51" i="4"/>
  <c r="AP51" i="4"/>
  <c r="BU51" i="2"/>
  <c r="BD49" i="2"/>
  <c r="AM50" i="2"/>
  <c r="V50" i="2"/>
  <c r="BD50" i="4" l="1"/>
  <c r="BH49" i="4"/>
  <c r="BG49" i="4"/>
  <c r="BF49" i="4"/>
  <c r="BE49" i="4"/>
  <c r="BU53" i="4"/>
  <c r="BX52" i="4"/>
  <c r="BY52" i="4"/>
  <c r="BV52" i="4"/>
  <c r="BW52" i="4"/>
  <c r="V55" i="4"/>
  <c r="Y54" i="4"/>
  <c r="X54" i="4"/>
  <c r="Z54" i="4"/>
  <c r="W54" i="4"/>
  <c r="AM53" i="4"/>
  <c r="AQ52" i="4"/>
  <c r="AN52" i="4"/>
  <c r="AP52" i="4"/>
  <c r="AO52" i="4"/>
  <c r="D51" i="4"/>
  <c r="G50" i="4"/>
  <c r="H50" i="4"/>
  <c r="F50" i="4"/>
  <c r="E50" i="4"/>
  <c r="BU52" i="2"/>
  <c r="BD50" i="2"/>
  <c r="AM51" i="2"/>
  <c r="V51" i="2"/>
  <c r="AM54" i="4" l="1"/>
  <c r="AN53" i="4"/>
  <c r="AT54" i="4" s="1"/>
  <c r="AV49" i="4" s="1" a="1"/>
  <c r="AV49" i="4" s="1"/>
  <c r="AP53" i="4"/>
  <c r="AT36" i="4" s="1"/>
  <c r="AV31" i="4" s="1" a="1"/>
  <c r="AV31" i="4" s="1"/>
  <c r="AO53" i="4"/>
  <c r="AT45" i="4" s="1"/>
  <c r="AV40" i="4" s="1" a="1"/>
  <c r="AV40" i="4" s="1"/>
  <c r="AQ53" i="4"/>
  <c r="AT27" i="4" s="1"/>
  <c r="AV22" i="4" s="1" a="1"/>
  <c r="AV22" i="4" s="1"/>
  <c r="BU54" i="4"/>
  <c r="BV53" i="4"/>
  <c r="CB54" i="4" s="1"/>
  <c r="CD49" i="4" s="1" a="1"/>
  <c r="CD49" i="4" s="1"/>
  <c r="BW53" i="4"/>
  <c r="CB45" i="4" s="1"/>
  <c r="CD40" i="4" s="1" a="1"/>
  <c r="CD40" i="4" s="1"/>
  <c r="BY53" i="4"/>
  <c r="CB27" i="4" s="1"/>
  <c r="CD22" i="4" s="1" a="1"/>
  <c r="CD22" i="4" s="1"/>
  <c r="BX53" i="4"/>
  <c r="CB36" i="4" s="1"/>
  <c r="CD31" i="4" s="1" a="1"/>
  <c r="CD31" i="4" s="1"/>
  <c r="V56" i="4"/>
  <c r="X55" i="4"/>
  <c r="Z55" i="4"/>
  <c r="Y55" i="4"/>
  <c r="W55" i="4"/>
  <c r="D52" i="4"/>
  <c r="G51" i="4"/>
  <c r="E51" i="4"/>
  <c r="F51" i="4"/>
  <c r="H51" i="4"/>
  <c r="BD51" i="4"/>
  <c r="BF50" i="4"/>
  <c r="BG50" i="4"/>
  <c r="BE50" i="4"/>
  <c r="BH50" i="4"/>
  <c r="BU53" i="2"/>
  <c r="BD51" i="2"/>
  <c r="AM52" i="2"/>
  <c r="V52" i="2"/>
  <c r="V57" i="4" l="1"/>
  <c r="W56" i="4"/>
  <c r="Y56" i="4"/>
  <c r="X56" i="4"/>
  <c r="Z56" i="4"/>
  <c r="BU55" i="4"/>
  <c r="BX54" i="4"/>
  <c r="BY54" i="4"/>
  <c r="BW54" i="4"/>
  <c r="BV54" i="4"/>
  <c r="D53" i="4"/>
  <c r="G52" i="4"/>
  <c r="F52" i="4"/>
  <c r="H52" i="4"/>
  <c r="E52" i="4"/>
  <c r="BD52" i="4"/>
  <c r="BE51" i="4"/>
  <c r="BG51" i="4"/>
  <c r="BH51" i="4"/>
  <c r="BF51" i="4"/>
  <c r="AM55" i="4"/>
  <c r="AP54" i="4"/>
  <c r="AQ54" i="4"/>
  <c r="AO54" i="4"/>
  <c r="AN54" i="4"/>
  <c r="CB27" i="2"/>
  <c r="CD22" i="2" s="1" a="1"/>
  <c r="CD22" i="2" s="1"/>
  <c r="CB36" i="2"/>
  <c r="CD31" i="2" s="1" a="1"/>
  <c r="CD31" i="2" s="1"/>
  <c r="CB45" i="2"/>
  <c r="CD40" i="2" s="1" a="1"/>
  <c r="CD40" i="2" s="1"/>
  <c r="CB54" i="2"/>
  <c r="CD49" i="2" s="1" a="1"/>
  <c r="CD49" i="2" s="1"/>
  <c r="BU54" i="2"/>
  <c r="BD52" i="2"/>
  <c r="AM53" i="2"/>
  <c r="V53" i="2"/>
  <c r="BU56" i="4" l="1"/>
  <c r="BW55" i="4"/>
  <c r="BY55" i="4"/>
  <c r="BV55" i="4"/>
  <c r="BX55" i="4"/>
  <c r="D54" i="4"/>
  <c r="F53" i="4"/>
  <c r="K45" i="4" s="1"/>
  <c r="H53" i="4"/>
  <c r="K27" i="4" s="1"/>
  <c r="E53" i="4"/>
  <c r="K54" i="4" s="1"/>
  <c r="G53" i="4"/>
  <c r="K36" i="4" s="1"/>
  <c r="AM56" i="4"/>
  <c r="AQ55" i="4"/>
  <c r="AN55" i="4"/>
  <c r="AP55" i="4"/>
  <c r="AO55" i="4"/>
  <c r="BD53" i="4"/>
  <c r="BG52" i="4"/>
  <c r="BE52" i="4"/>
  <c r="BF52" i="4"/>
  <c r="BH52" i="4"/>
  <c r="V58" i="4"/>
  <c r="X57" i="4"/>
  <c r="Z57" i="4"/>
  <c r="W57" i="4"/>
  <c r="Y57" i="4"/>
  <c r="BU55" i="2"/>
  <c r="BD53" i="2"/>
  <c r="AM54" i="2"/>
  <c r="AV22" i="2" a="1"/>
  <c r="AV22" i="2" s="1"/>
  <c r="AT45" i="2"/>
  <c r="AV40" i="2" s="1" a="1"/>
  <c r="AV40" i="2" s="1"/>
  <c r="AT36" i="2"/>
  <c r="AV31" i="2" s="1" a="1"/>
  <c r="AV31" i="2" s="1"/>
  <c r="AT54" i="2"/>
  <c r="AV49" i="2" s="1" a="1"/>
  <c r="AV49" i="2" s="1"/>
  <c r="V54" i="2"/>
  <c r="AC27" i="2"/>
  <c r="AE22" i="2" s="1" a="1"/>
  <c r="AE22" i="2" s="1"/>
  <c r="AC36" i="2"/>
  <c r="AE31" i="2" s="1" a="1"/>
  <c r="AE31" i="2" s="1"/>
  <c r="AC45" i="2"/>
  <c r="AE40" i="2" s="1" a="1"/>
  <c r="AE40" i="2" s="1"/>
  <c r="AC54" i="2"/>
  <c r="AE49" i="2" s="1" a="1"/>
  <c r="AE49" i="2" s="1"/>
  <c r="D55" i="4" l="1"/>
  <c r="H54" i="4"/>
  <c r="G54" i="4"/>
  <c r="E54" i="4"/>
  <c r="F54" i="4"/>
  <c r="AM57" i="4"/>
  <c r="AQ56" i="4"/>
  <c r="AP56" i="4"/>
  <c r="AN56" i="4"/>
  <c r="AO56" i="4"/>
  <c r="BD54" i="4"/>
  <c r="BF53" i="4"/>
  <c r="BK45" i="4" s="1"/>
  <c r="BM40" i="4" s="1" a="1"/>
  <c r="BM40" i="4" s="1"/>
  <c r="BH53" i="4"/>
  <c r="BK27" i="4" s="1"/>
  <c r="BM22" i="4" s="1" a="1"/>
  <c r="BM22" i="4" s="1"/>
  <c r="BE53" i="4"/>
  <c r="BK54" i="4" s="1"/>
  <c r="BM49" i="4" s="1" a="1"/>
  <c r="BM49" i="4" s="1"/>
  <c r="BG53" i="4"/>
  <c r="BK36" i="4" s="1"/>
  <c r="BM31" i="4" s="1" a="1"/>
  <c r="BM31" i="4" s="1"/>
  <c r="V59" i="4"/>
  <c r="X58" i="4"/>
  <c r="Y58" i="4"/>
  <c r="W58" i="4"/>
  <c r="Z58" i="4"/>
  <c r="BU57" i="4"/>
  <c r="BW56" i="4"/>
  <c r="BY56" i="4"/>
  <c r="BV56" i="4"/>
  <c r="BX56" i="4"/>
  <c r="BU56" i="2"/>
  <c r="BD54" i="2"/>
  <c r="BK45" i="2"/>
  <c r="BM40" i="2" s="1" a="1"/>
  <c r="BM40" i="2" s="1"/>
  <c r="BK54" i="2"/>
  <c r="BM49" i="2" s="1" a="1"/>
  <c r="BM49" i="2" s="1"/>
  <c r="BK27" i="2"/>
  <c r="BM22" i="2" s="1" a="1"/>
  <c r="BM22" i="2" s="1"/>
  <c r="BK36" i="2"/>
  <c r="BM31" i="2" s="1" a="1"/>
  <c r="BM31" i="2" s="1"/>
  <c r="AM55" i="2"/>
  <c r="V55" i="2"/>
  <c r="AM58" i="4" l="1"/>
  <c r="AO57" i="4"/>
  <c r="AN57" i="4"/>
  <c r="AQ57" i="4"/>
  <c r="AP57" i="4"/>
  <c r="BD55" i="4"/>
  <c r="BG54" i="4"/>
  <c r="BE54" i="4"/>
  <c r="BF54" i="4"/>
  <c r="BH54" i="4"/>
  <c r="W59" i="4"/>
  <c r="X59" i="4"/>
  <c r="Z59" i="4"/>
  <c r="Y59" i="4"/>
  <c r="BU58" i="4"/>
  <c r="BW57" i="4"/>
  <c r="BX57" i="4"/>
  <c r="BY57" i="4"/>
  <c r="BV57" i="4"/>
  <c r="D56" i="4"/>
  <c r="E55" i="4"/>
  <c r="G55" i="4"/>
  <c r="F55" i="4"/>
  <c r="H55" i="4"/>
  <c r="BU57" i="2"/>
  <c r="BD55" i="2"/>
  <c r="AM56" i="2"/>
  <c r="V56" i="2"/>
  <c r="BD56" i="4" l="1"/>
  <c r="BE55" i="4"/>
  <c r="BF55" i="4"/>
  <c r="BH55" i="4"/>
  <c r="BG55" i="4"/>
  <c r="BU59" i="4"/>
  <c r="BW58" i="4"/>
  <c r="BY58" i="4"/>
  <c r="BX58" i="4"/>
  <c r="BV58" i="4"/>
  <c r="D57" i="4"/>
  <c r="F56" i="4"/>
  <c r="E56" i="4"/>
  <c r="H56" i="4"/>
  <c r="G56" i="4"/>
  <c r="AM59" i="4"/>
  <c r="AQ58" i="4"/>
  <c r="AN58" i="4"/>
  <c r="AP58" i="4"/>
  <c r="AO58" i="4"/>
  <c r="BU58" i="2"/>
  <c r="BD56" i="2"/>
  <c r="AM57" i="2"/>
  <c r="V57" i="2"/>
  <c r="BV59" i="4" l="1"/>
  <c r="BW59" i="4"/>
  <c r="BY59" i="4"/>
  <c r="BX59" i="4"/>
  <c r="D58" i="4"/>
  <c r="E57" i="4"/>
  <c r="F57" i="4"/>
  <c r="G57" i="4"/>
  <c r="H57" i="4"/>
  <c r="AP59" i="4"/>
  <c r="AQ59" i="4"/>
  <c r="AN59" i="4"/>
  <c r="AO59" i="4"/>
  <c r="BD57" i="4"/>
  <c r="BG56" i="4"/>
  <c r="BH56" i="4"/>
  <c r="BF56" i="4"/>
  <c r="BE56" i="4"/>
  <c r="BU59" i="2"/>
  <c r="BD57" i="2"/>
  <c r="AM58" i="2"/>
  <c r="V58" i="2"/>
  <c r="D59" i="4" l="1"/>
  <c r="G58" i="4"/>
  <c r="F58" i="4"/>
  <c r="E58" i="4"/>
  <c r="H58" i="4"/>
  <c r="BD58" i="4"/>
  <c r="BG57" i="4"/>
  <c r="BH57" i="4"/>
  <c r="BF57" i="4"/>
  <c r="BE57" i="4"/>
  <c r="BD58" i="2"/>
  <c r="AM59" i="2"/>
  <c r="V59" i="2"/>
  <c r="BD59" i="4" l="1"/>
  <c r="BE58" i="4"/>
  <c r="BF58" i="4"/>
  <c r="BG58" i="4"/>
  <c r="BH58" i="4"/>
  <c r="H59" i="4"/>
  <c r="E59" i="4"/>
  <c r="G59" i="4"/>
  <c r="F59" i="4"/>
  <c r="BD59" i="2"/>
  <c r="BH59" i="4" l="1"/>
  <c r="BG59" i="4"/>
  <c r="BF59" i="4"/>
  <c r="BE5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<sst xmlns="http://schemas.openxmlformats.org/spreadsheetml/2006/main" count="258" uniqueCount="28">
  <si>
    <t>tau*/tau*ref</t>
  </si>
  <si>
    <t>tau*c50</t>
  </si>
  <si>
    <t>duration</t>
  </si>
  <si>
    <t>d50</t>
  </si>
  <si>
    <t>mm</t>
  </si>
  <si>
    <t>Using GSD by weight from spray-painted rocks</t>
  </si>
  <si>
    <t>Using GSD by b-axis from SEG</t>
  </si>
  <si>
    <t>applied tau</t>
  </si>
  <si>
    <t>min tauc</t>
  </si>
  <si>
    <t>max tauc</t>
  </si>
  <si>
    <t>GPM</t>
  </si>
  <si>
    <t>Time (mins)</t>
  </si>
  <si>
    <t>K values (assuming k=τ)</t>
  </si>
  <si>
    <t xml:space="preserve">τ* </t>
  </si>
  <si>
    <t>τ*c</t>
  </si>
  <si>
    <t xml:space="preserve">Predicted τ*c </t>
  </si>
  <si>
    <t>Measured τ*c</t>
  </si>
  <si>
    <t>High Flow: (τ* = 0.108)</t>
  </si>
  <si>
    <t>Med High Flow (τ* = 0.089)</t>
  </si>
  <si>
    <t>Med Low Flow (τ* = 0.086)</t>
  </si>
  <si>
    <t>Low Flow (τ* = 0.075)</t>
  </si>
  <si>
    <t>RMSE</t>
  </si>
  <si>
    <t>K values (assuming k=τ^2)</t>
  </si>
  <si>
    <t>K values (assuming k=τ^0.5)</t>
  </si>
  <si>
    <t>K values (assuming k=τ/2)</t>
  </si>
  <si>
    <t>K values (assuming k=2τ)</t>
  </si>
  <si>
    <t>SEG</t>
  </si>
  <si>
    <t>SPRAY PAINTED ROCKS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</si>
</sst>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/>
    <xf numFmtId="0" fontId="0" fillId="0" borderId="4" xfId="0" applyBorder="1"/>
    <xf numFmtId="164" fontId="0" fillId="0" borderId="0" xfId="0" applyNumberFormat="1"/>
    <xf numFmtId="164" fontId="2" fillId="2" borderId="0" xfId="0" applyNumberFormat="1" applyFont="1" applyFill="1"/>
    <xf numFmtId="0" fontId="2" fillId="2" borderId="0" xfId="0" applyFont="1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2" fillId="6" borderId="4" xfId="0" applyFont="1" applyFill="1" applyBorder="1" applyAlignment="1">
      <alignment horizontal="center"/>
    </xf>
    <xf numFmtId="165" fontId="0" fillId="6" borderId="9" xfId="0" applyNumberFormat="1" applyFill="1" applyBorder="1" applyAlignment="1">
      <alignment horizontal="center"/>
    </xf>
    <xf numFmtId="165" fontId="0" fillId="5" borderId="9" xfId="0" applyNumberFormat="1" applyFill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165" fontId="0" fillId="4" borderId="9" xfId="0" applyNumberFormat="1" applyFill="1" applyBorder="1" applyAlignment="1">
      <alignment horizontal="center"/>
    </xf>
    <xf numFmtId="164" fontId="0" fillId="4" borderId="0" xfId="0" applyNumberFormat="1" applyFill="1" applyAlignment="1">
      <alignment horizontal="center"/>
    </xf>
    <xf numFmtId="165" fontId="0" fillId="3" borderId="9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0" fontId="1" fillId="6" borderId="0" xfId="0" applyFont="1" applyFill="1" applyAlignment="1">
      <alignment horizontal="center"/>
    </xf>
    <xf numFmtId="164" fontId="1" fillId="5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6" borderId="0" xfId="0" applyNumberFormat="1" applyFill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164" fontId="0" fillId="5" borderId="4" xfId="0" applyNumberFormat="1" applyFill="1" applyBorder="1" applyAlignment="1">
      <alignment horizontal="center"/>
    </xf>
    <xf numFmtId="164" fontId="0" fillId="6" borderId="4" xfId="0" applyNumberFormat="1" applyFill="1" applyBorder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6" borderId="0" xfId="0" applyNumberFormat="1" applyFont="1" applyFill="1" applyAlignment="1">
      <alignment horizontal="center"/>
    </xf>
    <xf numFmtId="164" fontId="0" fillId="3" borderId="0" xfId="0" quotePrefix="1" applyNumberFormat="1" applyFill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Testing</a:t>
            </a:r>
            <a:r>
              <a:rPr lang="en-US" baseline="0"/>
              <a:t> Equation with flume data (k=</a:t>
            </a:r>
            <a:r>
              <a:rPr lang="el-GR" baseline="0"/>
              <a:t>τ</a:t>
            </a:r>
            <a:r>
              <a:rPr lang="en-US" baseline="0"/>
              <a:t>) </a:t>
            </a:r>
            <a:endParaRPr lang="en-US"/>
          </a:p>
        </c:rich>
      </c:tx>
      <c:layout>
        <c:manualLayout>
          <c:xMode val="edge"/>
          <c:yMode val="edge"/>
          <c:x val="0.1763585791018838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'using SP rocks'!$H$2</c:f>
              <c:strCache>
                <c:ptCount val="1"/>
                <c:pt idx="0">
                  <c:v>0.049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'using SP rocks'!$D$4:$D$59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rocks'!$H$4:$H$59</c:f>
              <c:numCache>
                <c:formatCode>0.0000</c:formatCode>
                <c:ptCount val="56"/>
                <c:pt idx="0">
                  <c:v>3.4658062983648902E-2</c:v>
                </c:pt>
                <c:pt idx="1">
                  <c:v>3.5284971514747514E-2</c:v>
                </c:pt>
                <c:pt idx="2">
                  <c:v>3.5882200527972051E-2</c:v>
                </c:pt>
                <c:pt idx="3">
                  <c:v>3.6451155130666782E-2</c:v>
                </c:pt>
                <c:pt idx="4">
                  <c:v>3.6993173908655759E-2</c:v>
                </c:pt>
                <c:pt idx="5">
                  <c:v>3.7509532075548538E-2</c:v>
                </c:pt>
                <c:pt idx="6">
                  <c:v>3.8001444472949446E-2</c:v>
                </c:pt>
                <c:pt idx="7">
                  <c:v>3.8470068428628955E-2</c:v>
                </c:pt>
                <c:pt idx="8">
                  <c:v>3.8916506479381566E-2</c:v>
                </c:pt>
                <c:pt idx="9">
                  <c:v>3.9341808964976438E-2</c:v>
                </c:pt>
                <c:pt idx="10">
                  <c:v>3.9746976499303401E-2</c:v>
                </c:pt>
                <c:pt idx="11">
                  <c:v>4.013296232452844E-2</c:v>
                </c:pt>
                <c:pt idx="12">
                  <c:v>4.0500674553797085E-2</c:v>
                </c:pt>
                <c:pt idx="13">
                  <c:v>4.0850978307762367E-2</c:v>
                </c:pt>
                <c:pt idx="14">
                  <c:v>4.1184697749963785E-2</c:v>
                </c:pt>
                <c:pt idx="15">
                  <c:v>4.1502618025846011E-2</c:v>
                </c:pt>
                <c:pt idx="16">
                  <c:v>4.1805487109979354E-2</c:v>
                </c:pt>
                <c:pt idx="17">
                  <c:v>4.2094017565827813E-2</c:v>
                </c:pt>
                <c:pt idx="18">
                  <c:v>4.2368888222205116E-2</c:v>
                </c:pt>
                <c:pt idx="19">
                  <c:v>4.2630745770362757E-2</c:v>
                </c:pt>
                <c:pt idx="20">
                  <c:v>4.376540722922781E-2</c:v>
                </c:pt>
                <c:pt idx="21">
                  <c:v>4.4655734941773995E-2</c:v>
                </c:pt>
                <c:pt idx="22">
                  <c:v>4.535434282127368E-2</c:v>
                </c:pt>
                <c:pt idx="23">
                  <c:v>4.590251509808993E-2</c:v>
                </c:pt>
                <c:pt idx="24">
                  <c:v>4.6332646011135327E-2</c:v>
                </c:pt>
                <c:pt idx="25">
                  <c:v>4.6670154145314988E-2</c:v>
                </c:pt>
                <c:pt idx="26">
                  <c:v>4.6934984542718702E-2</c:v>
                </c:pt>
                <c:pt idx="27">
                  <c:v>4.7142787354818257E-2</c:v>
                </c:pt>
                <c:pt idx="28">
                  <c:v>4.7305842688117695E-2</c:v>
                </c:pt>
                <c:pt idx="29">
                  <c:v>4.7433786297007133E-2</c:v>
                </c:pt>
                <c:pt idx="30">
                  <c:v>4.7534179008637059E-2</c:v>
                </c:pt>
                <c:pt idx="31">
                  <c:v>4.7612953529974196E-2</c:v>
                </c:pt>
                <c:pt idx="32">
                  <c:v>4.7674765041100305E-2</c:v>
                </c:pt>
                <c:pt idx="33">
                  <c:v>4.7723266293064025E-2</c:v>
                </c:pt>
                <c:pt idx="34">
                  <c:v>4.7761323467192141E-2</c:v>
                </c:pt>
                <c:pt idx="35">
                  <c:v>4.7791185552065761E-2</c:v>
                </c:pt>
                <c:pt idx="36">
                  <c:v>4.7833003249439433E-2</c:v>
                </c:pt>
                <c:pt idx="37">
                  <c:v>4.7858750288487545E-2</c:v>
                </c:pt>
                <c:pt idx="38">
                  <c:v>4.7874602668254447E-2</c:v>
                </c:pt>
                <c:pt idx="39">
                  <c:v>4.7884362934038971E-2</c:v>
                </c:pt>
                <c:pt idx="40">
                  <c:v>4.7890372302322175E-2</c:v>
                </c:pt>
                <c:pt idx="41">
                  <c:v>4.7894072253528465E-2</c:v>
                </c:pt>
                <c:pt idx="42">
                  <c:v>4.789635030311435E-2</c:v>
                </c:pt>
                <c:pt idx="43">
                  <c:v>4.7897752891858464E-2</c:v>
                </c:pt>
                <c:pt idx="44">
                  <c:v>4.789861646181643E-2</c:v>
                </c:pt>
                <c:pt idx="45">
                  <c:v>4.7899148159418758E-2</c:v>
                </c:pt>
                <c:pt idx="46">
                  <c:v>4.7899475524142039E-2</c:v>
                </c:pt>
                <c:pt idx="47">
                  <c:v>4.789967708168448E-2</c:v>
                </c:pt>
                <c:pt idx="48">
                  <c:v>4.7899801180098352E-2</c:v>
                </c:pt>
                <c:pt idx="49">
                  <c:v>4.7899877587143896E-2</c:v>
                </c:pt>
                <c:pt idx="50">
                  <c:v>4.7899924630747645E-2</c:v>
                </c:pt>
                <c:pt idx="51">
                  <c:v>4.7899953595362602E-2</c:v>
                </c:pt>
                <c:pt idx="52">
                  <c:v>4.7899971428794839E-2</c:v>
                </c:pt>
                <c:pt idx="53">
                  <c:v>4.7899982408789073E-2</c:v>
                </c:pt>
                <c:pt idx="54">
                  <c:v>4.789998916914074E-2</c:v>
                </c:pt>
                <c:pt idx="55">
                  <c:v>4.7899993331470318E-2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18-4476-836A-8DA2BAADCA84}"/>
            </c:ext>
          </c:extLst>
        </c:ser>
        <c:ser>
          <c:idx val="2"/>
          <c:order val="1"/>
          <c:tx>
            <c:strRef>
              <c:f>'using SP rocks'!$G$2</c:f>
              <c:strCache>
                <c:ptCount val="1"/>
                <c:pt idx="0">
                  <c:v>0.040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'using SP rocks'!$D$4:$D$59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rocks'!$G$4:$G$59</c:f>
              <c:numCache>
                <c:formatCode>0.0000</c:formatCode>
                <c:ptCount val="56"/>
                <c:pt idx="0">
                  <c:v>3.454502679578271E-2</c:v>
                </c:pt>
                <c:pt idx="1">
                  <c:v>3.5068682785225763E-2</c:v>
                </c:pt>
                <c:pt idx="2">
                  <c:v>3.5571805929631509E-2</c:v>
                </c:pt>
                <c:pt idx="3">
                  <c:v>3.605520133336966E-2</c:v>
                </c:pt>
                <c:pt idx="4">
                  <c:v>3.6519642532216054E-2</c:v>
                </c:pt>
                <c:pt idx="5">
                  <c:v>3.6965872731174909E-2</c:v>
                </c:pt>
                <c:pt idx="6">
                  <c:v>3.7394605993765415E-2</c:v>
                </c:pt>
                <c:pt idx="7">
                  <c:v>3.78065283846757E-2</c:v>
                </c:pt>
                <c:pt idx="8">
                  <c:v>3.8202299067612668E-2</c:v>
                </c:pt>
                <c:pt idx="9">
                  <c:v>3.8582551360104612E-2</c:v>
                </c:pt>
                <c:pt idx="10">
                  <c:v>3.8947893746944337E-2</c:v>
                </c:pt>
                <c:pt idx="11">
                  <c:v>3.9298910853894642E-2</c:v>
                </c:pt>
                <c:pt idx="12">
                  <c:v>3.9636164383214295E-2</c:v>
                </c:pt>
                <c:pt idx="13">
                  <c:v>3.9960194012501477E-2</c:v>
                </c:pt>
                <c:pt idx="14">
                  <c:v>4.0271518258293032E-2</c:v>
                </c:pt>
                <c:pt idx="15">
                  <c:v>4.0570635305801628E-2</c:v>
                </c:pt>
                <c:pt idx="16">
                  <c:v>4.0858023806118304E-2</c:v>
                </c:pt>
                <c:pt idx="17">
                  <c:v>4.1134143642156396E-2</c:v>
                </c:pt>
                <c:pt idx="18">
                  <c:v>4.1399436664562264E-2</c:v>
                </c:pt>
                <c:pt idx="19">
                  <c:v>4.1654327398770619E-2</c:v>
                </c:pt>
                <c:pt idx="20">
                  <c:v>4.278647576771695E-2</c:v>
                </c:pt>
                <c:pt idx="21">
                  <c:v>4.371340045442039E-2</c:v>
                </c:pt>
                <c:pt idx="22">
                  <c:v>4.4472302201211671E-2</c:v>
                </c:pt>
                <c:pt idx="23">
                  <c:v>4.5093638399874292E-2</c:v>
                </c:pt>
                <c:pt idx="24">
                  <c:v>4.5602345453719946E-2</c:v>
                </c:pt>
                <c:pt idx="25">
                  <c:v>4.6018839563011081E-2</c:v>
                </c:pt>
                <c:pt idx="26">
                  <c:v>4.6359836098763554E-2</c:v>
                </c:pt>
                <c:pt idx="27">
                  <c:v>4.6639020449277167E-2</c:v>
                </c:pt>
                <c:pt idx="28">
                  <c:v>4.6867597262820755E-2</c:v>
                </c:pt>
                <c:pt idx="29">
                  <c:v>4.705474012950947E-2</c:v>
                </c:pt>
                <c:pt idx="30">
                  <c:v>4.7207959749686688E-2</c:v>
                </c:pt>
                <c:pt idx="31">
                  <c:v>4.7333405364700709E-2</c:v>
                </c:pt>
                <c:pt idx="32">
                  <c:v>4.7436111547551466E-2</c:v>
                </c:pt>
                <c:pt idx="33">
                  <c:v>4.7520200257982634E-2</c:v>
                </c:pt>
                <c:pt idx="34">
                  <c:v>4.7589046271199295E-2</c:v>
                </c:pt>
                <c:pt idx="35">
                  <c:v>4.7645412619446596E-2</c:v>
                </c:pt>
                <c:pt idx="36">
                  <c:v>4.7729344975347344E-2</c:v>
                </c:pt>
                <c:pt idx="37">
                  <c:v>4.7785606516018618E-2</c:v>
                </c:pt>
                <c:pt idx="38">
                  <c:v>4.7823319754551424E-2</c:v>
                </c:pt>
                <c:pt idx="39">
                  <c:v>4.7848599694340882E-2</c:v>
                </c:pt>
                <c:pt idx="40">
                  <c:v>4.7865545344744333E-2</c:v>
                </c:pt>
                <c:pt idx="41">
                  <c:v>4.7876904353902877E-2</c:v>
                </c:pt>
                <c:pt idx="42">
                  <c:v>4.7884518525444952E-2</c:v>
                </c:pt>
                <c:pt idx="43">
                  <c:v>4.788962245726356E-2</c:v>
                </c:pt>
                <c:pt idx="44">
                  <c:v>4.7893043725075177E-2</c:v>
                </c:pt>
                <c:pt idx="45">
                  <c:v>4.7895337069472153E-2</c:v>
                </c:pt>
                <c:pt idx="46">
                  <c:v>4.7896874344193915E-2</c:v>
                </c:pt>
                <c:pt idx="47">
                  <c:v>4.7897904810256173E-2</c:v>
                </c:pt>
                <c:pt idx="48">
                  <c:v>4.789859555231446E-2</c:v>
                </c:pt>
                <c:pt idx="49">
                  <c:v>4.7899058570562772E-2</c:v>
                </c:pt>
                <c:pt idx="50">
                  <c:v>4.7899368940976302E-2</c:v>
                </c:pt>
                <c:pt idx="51">
                  <c:v>4.7899576988486181E-2</c:v>
                </c:pt>
                <c:pt idx="52">
                  <c:v>4.7899716446902586E-2</c:v>
                </c:pt>
                <c:pt idx="53">
                  <c:v>4.7899809928674687E-2</c:v>
                </c:pt>
                <c:pt idx="54">
                  <c:v>4.7899872591380462E-2</c:v>
                </c:pt>
                <c:pt idx="55">
                  <c:v>4.789991459544829E-2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18-4476-836A-8DA2BAADCA84}"/>
            </c:ext>
          </c:extLst>
        </c:ser>
        <c:ser>
          <c:idx val="1"/>
          <c:order val="2"/>
          <c:tx>
            <c:strRef>
              <c:f>'using SP rocks'!$F$2</c:f>
              <c:strCache>
                <c:ptCount val="1"/>
                <c:pt idx="0">
                  <c:v>0.037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SP rocks'!$D$4:$D$59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rocks'!$F$4:$F$59</c:f>
              <c:numCache>
                <c:formatCode>0.0000</c:formatCode>
                <c:ptCount val="56"/>
                <c:pt idx="0">
                  <c:v>3.4498202494841097E-2</c:v>
                </c:pt>
                <c:pt idx="1">
                  <c:v>3.4978548462641479E-2</c:v>
                </c:pt>
                <c:pt idx="2">
                  <c:v>3.544167791536669E-2</c:v>
                </c:pt>
                <c:pt idx="3">
                  <c:v>3.5888207925733467E-2</c:v>
                </c:pt>
                <c:pt idx="4">
                  <c:v>3.6318733449396207E-2</c:v>
                </c:pt>
                <c:pt idx="5">
                  <c:v>3.6733828117664596E-2</c:v>
                </c:pt>
                <c:pt idx="6">
                  <c:v>3.7134045001808766E-2</c:v>
                </c:pt>
                <c:pt idx="7">
                  <c:v>3.7519917349970337E-2</c:v>
                </c:pt>
                <c:pt idx="8">
                  <c:v>3.7891959297661093E-2</c:v>
                </c:pt>
                <c:pt idx="9">
                  <c:v>3.8250666552796096E-2</c:v>
                </c:pt>
                <c:pt idx="10">
                  <c:v>3.859651705617384E-2</c:v>
                </c:pt>
                <c:pt idx="11">
                  <c:v>3.8929971618283606E-2</c:v>
                </c:pt>
                <c:pt idx="12">
                  <c:v>3.9251474533288394E-2</c:v>
                </c:pt>
                <c:pt idx="13">
                  <c:v>3.9561454171001521E-2</c:v>
                </c:pt>
                <c:pt idx="14">
                  <c:v>3.9860323547645682E-2</c:v>
                </c:pt>
                <c:pt idx="15">
                  <c:v>4.0148480876154906E-2</c:v>
                </c:pt>
                <c:pt idx="16">
                  <c:v>4.0426310096752606E-2</c:v>
                </c:pt>
                <c:pt idx="17">
                  <c:v>4.0694181388512794E-2</c:v>
                </c:pt>
                <c:pt idx="18">
                  <c:v>4.0952451662585841E-2</c:v>
                </c:pt>
                <c:pt idx="19">
                  <c:v>4.1201465037746188E-2</c:v>
                </c:pt>
                <c:pt idx="20">
                  <c:v>4.2318883532633085E-2</c:v>
                </c:pt>
                <c:pt idx="21">
                  <c:v>4.3249899463414357E-2</c:v>
                </c:pt>
                <c:pt idx="22">
                  <c:v>4.4025607640193948E-2</c:v>
                </c:pt>
                <c:pt idx="23">
                  <c:v>4.4671915781256351E-2</c:v>
                </c:pt>
                <c:pt idx="24">
                  <c:v>4.5210409799635413E-2</c:v>
                </c:pt>
                <c:pt idx="25">
                  <c:v>4.5659074746596105E-2</c:v>
                </c:pt>
                <c:pt idx="26">
                  <c:v>4.6032895490672666E-2</c:v>
                </c:pt>
                <c:pt idx="27">
                  <c:v>4.634435719421913E-2</c:v>
                </c:pt>
                <c:pt idx="28">
                  <c:v>4.6603862302785792E-2</c:v>
                </c:pt>
                <c:pt idx="29">
                  <c:v>4.6820077974264497E-2</c:v>
                </c:pt>
                <c:pt idx="30">
                  <c:v>4.70002255515172E-2</c:v>
                </c:pt>
                <c:pt idx="31">
                  <c:v>4.7150321746525052E-2</c:v>
                </c:pt>
                <c:pt idx="32">
                  <c:v>4.7275379591317661E-2</c:v>
                </c:pt>
                <c:pt idx="33">
                  <c:v>4.7379575867201637E-2</c:v>
                </c:pt>
                <c:pt idx="34">
                  <c:v>4.7466390604222683E-2</c:v>
                </c:pt>
                <c:pt idx="35">
                  <c:v>4.75387233099753E-2</c:v>
                </c:pt>
                <c:pt idx="36">
                  <c:v>4.7649202931744572E-2</c:v>
                </c:pt>
                <c:pt idx="37">
                  <c:v>4.7725897515167065E-2</c:v>
                </c:pt>
                <c:pt idx="38">
                  <c:v>4.7779138638119438E-2</c:v>
                </c:pt>
                <c:pt idx="39">
                  <c:v>4.7816098447361961E-2</c:v>
                </c:pt>
                <c:pt idx="40">
                  <c:v>4.784175582315521E-2</c:v>
                </c:pt>
                <c:pt idx="41">
                  <c:v>4.7859567087501206E-2</c:v>
                </c:pt>
                <c:pt idx="42">
                  <c:v>4.7871931607558094E-2</c:v>
                </c:pt>
                <c:pt idx="43">
                  <c:v>4.7880515015971299E-2</c:v>
                </c:pt>
                <c:pt idx="44">
                  <c:v>4.7886473589344863E-2</c:v>
                </c:pt>
                <c:pt idx="45">
                  <c:v>4.7890610011024806E-2</c:v>
                </c:pt>
                <c:pt idx="46">
                  <c:v>4.7893481501101634E-2</c:v>
                </c:pt>
                <c:pt idx="47">
                  <c:v>4.7895474879896004E-2</c:v>
                </c:pt>
                <c:pt idx="48">
                  <c:v>4.7896858676778988E-2</c:v>
                </c:pt>
                <c:pt idx="49">
                  <c:v>4.7897819303940645E-2</c:v>
                </c:pt>
                <c:pt idx="50">
                  <c:v>4.7898486168099011E-2</c:v>
                </c:pt>
                <c:pt idx="51">
                  <c:v>4.7898949102964342E-2</c:v>
                </c:pt>
                <c:pt idx="52">
                  <c:v>4.789927047079743E-2</c:v>
                </c:pt>
                <c:pt idx="53">
                  <c:v>4.7899493563270855E-2</c:v>
                </c:pt>
                <c:pt idx="54">
                  <c:v>4.7899648433318745E-2</c:v>
                </c:pt>
                <c:pt idx="55">
                  <c:v>4.7899755943587315E-2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718-4476-836A-8DA2BAADCA84}"/>
            </c:ext>
          </c:extLst>
        </c:ser>
        <c:ser>
          <c:idx val="0"/>
          <c:order val="3"/>
          <c:tx>
            <c:strRef>
              <c:f>'using SP rocks'!$E$2</c:f>
              <c:strCache>
                <c:ptCount val="1"/>
                <c:pt idx="0">
                  <c:v>0.034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SP rocks'!$D$4:$D$59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rocks'!$E$4:$E$59</c:f>
              <c:numCache>
                <c:formatCode>General</c:formatCode>
                <c:ptCount val="56"/>
                <c:pt idx="0">
                  <c:v>3.4457936733883504E-2</c:v>
                </c:pt>
                <c:pt idx="1">
                  <c:v>3.4900786701418808E-2</c:v>
                </c:pt>
                <c:pt idx="2">
                  <c:v>3.5329046937462492E-2</c:v>
                </c:pt>
                <c:pt idx="3">
                  <c:v>3.5743198102013658E-2</c:v>
                </c:pt>
                <c:pt idx="4">
                  <c:v>3.6143705019685071E-2</c:v>
                </c:pt>
                <c:pt idx="5">
                  <c:v>3.6531017201401353E-2</c:v>
                </c:pt>
                <c:pt idx="6">
                  <c:v>3.6905569348909845E-2</c:v>
                </c:pt>
                <c:pt idx="7">
                  <c:v>3.726778184267019E-2</c:v>
                </c:pt>
                <c:pt idx="8">
                  <c:v>3.7618061213670513E-2</c:v>
                </c:pt>
                <c:pt idx="9">
                  <c:v>3.7956800599699421E-2</c:v>
                </c:pt>
                <c:pt idx="10">
                  <c:v>3.8284380186586184E-2</c:v>
                </c:pt>
                <c:pt idx="11">
                  <c:v>3.8601167634904184E-2</c:v>
                </c:pt>
                <c:pt idx="12">
                  <c:v>3.8907518492616568E-2</c:v>
                </c:pt>
                <c:pt idx="13">
                  <c:v>3.9203776594127285E-2</c:v>
                </c:pt>
                <c:pt idx="14">
                  <c:v>3.949027444618531E-2</c:v>
                </c:pt>
                <c:pt idx="15">
                  <c:v>3.9767333601075275E-2</c:v>
                </c:pt>
                <c:pt idx="16">
                  <c:v>4.0035265017513234E-2</c:v>
                </c:pt>
                <c:pt idx="17">
                  <c:v>4.0294369409652753E-2</c:v>
                </c:pt>
                <c:pt idx="18">
                  <c:v>4.0544937584592898E-2</c:v>
                </c:pt>
                <c:pt idx="19">
                  <c:v>4.0787250768767061E-2</c:v>
                </c:pt>
                <c:pt idx="20">
                  <c:v>4.188420301558398E-2</c:v>
                </c:pt>
                <c:pt idx="21">
                  <c:v>4.2811979576224186E-2</c:v>
                </c:pt>
                <c:pt idx="22">
                  <c:v>4.3596671297282341E-2</c:v>
                </c:pt>
                <c:pt idx="23">
                  <c:v>4.426034520673347E-2</c:v>
                </c:pt>
                <c:pt idx="24">
                  <c:v>4.4821665080851905E-2</c:v>
                </c:pt>
                <c:pt idx="25">
                  <c:v>4.5296416305200794E-2</c:v>
                </c:pt>
                <c:pt idx="26">
                  <c:v>4.5697949789784337E-2</c:v>
                </c:pt>
                <c:pt idx="27">
                  <c:v>4.6037557422103609E-2</c:v>
                </c:pt>
                <c:pt idx="28">
                  <c:v>4.6324789616572076E-2</c:v>
                </c:pt>
                <c:pt idx="29">
                  <c:v>4.6567723890386069E-2</c:v>
                </c:pt>
                <c:pt idx="30">
                  <c:v>4.6773192018715985E-2</c:v>
                </c:pt>
                <c:pt idx="31">
                  <c:v>4.6946972157255538E-2</c:v>
                </c:pt>
                <c:pt idx="32">
                  <c:v>4.7093951334981503E-2</c:v>
                </c:pt>
                <c:pt idx="33">
                  <c:v>4.7218262886730464E-2</c:v>
                </c:pt>
                <c:pt idx="34">
                  <c:v>4.7323402690458628E-2</c:v>
                </c:pt>
                <c:pt idx="35">
                  <c:v>4.7412327477998249E-2</c:v>
                </c:pt>
                <c:pt idx="36">
                  <c:v>4.7551149271344545E-2</c:v>
                </c:pt>
                <c:pt idx="37">
                  <c:v>4.765045378734091E-2</c:v>
                </c:pt>
                <c:pt idx="38">
                  <c:v>4.7721490089779918E-2</c:v>
                </c:pt>
                <c:pt idx="39">
                  <c:v>4.7772305062428196E-2</c:v>
                </c:pt>
                <c:pt idx="40">
                  <c:v>4.7808654947720478E-2</c:v>
                </c:pt>
                <c:pt idx="41">
                  <c:v>4.7834657405104591E-2</c:v>
                </c:pt>
                <c:pt idx="42">
                  <c:v>4.7853257953210208E-2</c:v>
                </c:pt>
                <c:pt idx="43">
                  <c:v>4.7866563633697186E-2</c:v>
                </c:pt>
                <c:pt idx="44">
                  <c:v>4.7876081693714365E-2</c:v>
                </c:pt>
                <c:pt idx="45">
                  <c:v>4.7882890324552833E-2</c:v>
                </c:pt>
                <c:pt idx="46">
                  <c:v>4.7887760797507513E-2</c:v>
                </c:pt>
                <c:pt idx="47">
                  <c:v>4.7891244832310539E-2</c:v>
                </c:pt>
                <c:pt idx="48">
                  <c:v>4.789373709509933E-2</c:v>
                </c:pt>
                <c:pt idx="49">
                  <c:v>4.7895519905593341E-2</c:v>
                </c:pt>
                <c:pt idx="50">
                  <c:v>4.789679521784046E-2</c:v>
                </c:pt>
                <c:pt idx="51">
                  <c:v>4.7897707497262819E-2</c:v>
                </c:pt>
                <c:pt idx="52">
                  <c:v>4.7898360085479028E-2</c:v>
                </c:pt>
                <c:pt idx="53">
                  <c:v>4.7898826906684781E-2</c:v>
                </c:pt>
                <c:pt idx="54">
                  <c:v>4.7899160841672783E-2</c:v>
                </c:pt>
                <c:pt idx="55">
                  <c:v>4.7899399718088057E-2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718-4476-836A-8DA2BAADC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 vs Predicted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(k=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'using SP rocks'!$J$47</c:f>
              <c:strCache>
                <c:ptCount val="1"/>
                <c:pt idx="0">
                  <c:v>Low Flow (τ* = 0.075)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SP rocks'!$K$49:$K$54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3.7956800599699421E-2</c:v>
                </c:pt>
                <c:pt idx="2">
                  <c:v>4.2811979576224186E-2</c:v>
                </c:pt>
                <c:pt idx="3">
                  <c:v>4.6037557422103609E-2</c:v>
                </c:pt>
                <c:pt idx="4">
                  <c:v>4.765045378734091E-2</c:v>
                </c:pt>
                <c:pt idx="5">
                  <c:v>4.7895519905593341E-2</c:v>
                </c:pt>
              </c:numCache>
            </c:numRef>
          </c:xVal>
          <c:yVal>
            <c:numRef>
              <c:f>'using SP rocks'!$L$49:$L$54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3.9800000000000002E-2</c:v>
                </c:pt>
                <c:pt idx="2">
                  <c:v>4.24E-2</c:v>
                </c:pt>
                <c:pt idx="3">
                  <c:v>4.2799999999999998E-2</c:v>
                </c:pt>
                <c:pt idx="4">
                  <c:v>4.3799999999999999E-2</c:v>
                </c:pt>
                <c:pt idx="5">
                  <c:v>3.9100000000000003E-2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EA-409B-9ED3-364158BC1502}"/>
            </c:ext>
          </c:extLst>
        </c:ser>
        <c:ser>
          <c:idx val="1"/>
          <c:order val="1"/>
          <c:tx>
            <c:strRef>
              <c:f>'using SP rocks'!$J$38</c:f>
              <c:strCache>
                <c:ptCount val="1"/>
                <c:pt idx="0">
                  <c:v>Med Low Flow (τ* = 0.086)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SP rocks'!$K$40:$K$45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3.8250666552796096E-2</c:v>
                </c:pt>
                <c:pt idx="2">
                  <c:v>4.3249899463414357E-2</c:v>
                </c:pt>
                <c:pt idx="3">
                  <c:v>4.634435719421913E-2</c:v>
                </c:pt>
                <c:pt idx="4">
                  <c:v>4.7725897515167065E-2</c:v>
                </c:pt>
                <c:pt idx="5">
                  <c:v>4.7897819303940645E-2</c:v>
                </c:pt>
              </c:numCache>
            </c:numRef>
          </c:xVal>
          <c:yVal>
            <c:numRef>
              <c:f>'using SP rocks'!$L$40:$L$45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4.2900000000000001E-2</c:v>
                </c:pt>
                <c:pt idx="2">
                  <c:v>4.3999999999999997E-2</c:v>
                </c:pt>
                <c:pt idx="3">
                  <c:v>4.6800000000000001E-2</c:v>
                </c:pt>
                <c:pt idx="4">
                  <c:v>4.4400000000000002E-2</c:v>
                </c:pt>
                <c:pt idx="5">
                  <c:v>4.1300000000000003E-2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EA-409B-9ED3-364158BC1502}"/>
            </c:ext>
          </c:extLst>
        </c:ser>
        <c:ser>
          <c:idx val="2"/>
          <c:order val="2"/>
          <c:tx>
            <c:strRef>
              <c:f>'using SP rocks'!$J$29</c:f>
              <c:strCache>
                <c:ptCount val="1"/>
                <c:pt idx="0">
                  <c:v>Med High Flow (τ* = 0.089)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'using SP rocks'!$K$31:$K$36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3.8582551360104612E-2</c:v>
                </c:pt>
                <c:pt idx="2">
                  <c:v>4.371340045442039E-2</c:v>
                </c:pt>
                <c:pt idx="3">
                  <c:v>4.6639020449277167E-2</c:v>
                </c:pt>
                <c:pt idx="4">
                  <c:v>4.7785606516018618E-2</c:v>
                </c:pt>
                <c:pt idx="5">
                  <c:v>4.7899058570562772E-2</c:v>
                </c:pt>
              </c:numCache>
            </c:numRef>
          </c:xVal>
          <c:yVal>
            <c:numRef>
              <c:f>'using SP rocks'!$L$31:$L$36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4.2700000000000002E-2</c:v>
                </c:pt>
                <c:pt idx="2">
                  <c:v>4.2000000000000003E-2</c:v>
                </c:pt>
                <c:pt idx="3">
                  <c:v>4.7899999999999998E-2</c:v>
                </c:pt>
                <c:pt idx="4">
                  <c:v>4.4999999999999998E-2</c:v>
                </c:pt>
                <c:pt idx="5">
                  <c:v>4.3799999999999999E-2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EA-409B-9ED3-364158BC1502}"/>
            </c:ext>
          </c:extLst>
        </c:ser>
        <c:ser>
          <c:idx val="3"/>
          <c:order val="3"/>
          <c:tx>
            <c:strRef>
              <c:f>'using SP rocks'!$J$20</c:f>
              <c:strCache>
                <c:ptCount val="1"/>
                <c:pt idx="0">
                  <c:v>High Flow: (τ* = 0.108)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'using SP rocks'!$K$22:$K$27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3.9341808964976438E-2</c:v>
                </c:pt>
                <c:pt idx="2">
                  <c:v>4.4655734941773995E-2</c:v>
                </c:pt>
                <c:pt idx="3">
                  <c:v>4.7142787354818257E-2</c:v>
                </c:pt>
                <c:pt idx="4">
                  <c:v>4.7858750288487545E-2</c:v>
                </c:pt>
                <c:pt idx="5">
                  <c:v>4.7899877587143896E-2</c:v>
                </c:pt>
              </c:numCache>
            </c:numRef>
          </c:xVal>
          <c:yVal>
            <c:numRef>
              <c:f>'using SP rocks'!$L$22:$L$27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4.1500000000000002E-2</c:v>
                </c:pt>
                <c:pt idx="2">
                  <c:v>4.3700000000000003E-2</c:v>
                </c:pt>
                <c:pt idx="3">
                  <c:v>4.36E-2</c:v>
                </c:pt>
                <c:pt idx="4">
                  <c:v>4.2799999999999998E-2</c:v>
                </c:pt>
                <c:pt idx="5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EA-409B-9ED3-364158BC1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99248"/>
        <c:axId val="1496091088"/>
      </c:scatterChar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>
                    <a:lumMod val="50000"/>
                    <a:lumOff val="5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0EA-409B-9ED3-364158BC1502}"/>
              </c:ext>
            </c:extLst>
          </c:dPt>
          <c:xVal>
            <c:numRef>
              <c:f>'using SP rocks'!$J$56:$J$57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xVal>
          <c:yVal>
            <c:numRef>
              <c:f>'using SP rocks'!$K$56:$K$57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0EA-409B-9ED3-364158BC1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99248"/>
        <c:axId val="1496091088"/>
      </c:scatterChart>
      <c:valAx>
        <c:axId val="1496099248"/>
        <c:scaling>
          <c:orientation val="minMax"/>
          <c:max val="5.000000000000001E-2"/>
          <c:min val="3.000000000000000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91088"/>
        <c:crosses val="autoZero"/>
        <c:crossBetween val="midCat"/>
      </c:valAx>
      <c:valAx>
        <c:axId val="1496091088"/>
        <c:scaling>
          <c:orientation val="minMax"/>
          <c:max val="5.000000000000001E-2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99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High Flow: (</a:t>
            </a:r>
            <a:r>
              <a:rPr lang="el-GR" sz="1200" baseline="0"/>
              <a:t>τ* = 0.108</a:t>
            </a:r>
            <a:r>
              <a:rPr lang="en-US" sz="1200" baseline="0"/>
              <a:t>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SP rocks'!$L$21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SP rocks'!$J$22:$J$27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SP rocks'!$L$22:$L$27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4.1500000000000002E-2</c:v>
                </c:pt>
                <c:pt idx="2">
                  <c:v>4.3700000000000003E-2</c:v>
                </c:pt>
                <c:pt idx="3">
                  <c:v>4.36E-2</c:v>
                </c:pt>
                <c:pt idx="4">
                  <c:v>4.2799999999999998E-2</c:v>
                </c:pt>
                <c:pt idx="5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6E-4EEB-B6ED-8A5B5C4EA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SP rocks'!$K$21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'using SP rocks'!$D$4:$D$59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rocks'!$H$4:$H$59</c:f>
              <c:numCache>
                <c:formatCode>0.0000</c:formatCode>
                <c:ptCount val="56"/>
                <c:pt idx="0">
                  <c:v>3.4658062983648902E-2</c:v>
                </c:pt>
                <c:pt idx="1">
                  <c:v>3.5284971514747514E-2</c:v>
                </c:pt>
                <c:pt idx="2">
                  <c:v>3.5882200527972051E-2</c:v>
                </c:pt>
                <c:pt idx="3">
                  <c:v>3.6451155130666782E-2</c:v>
                </c:pt>
                <c:pt idx="4">
                  <c:v>3.6993173908655759E-2</c:v>
                </c:pt>
                <c:pt idx="5">
                  <c:v>3.7509532075548538E-2</c:v>
                </c:pt>
                <c:pt idx="6">
                  <c:v>3.8001444472949446E-2</c:v>
                </c:pt>
                <c:pt idx="7">
                  <c:v>3.8470068428628955E-2</c:v>
                </c:pt>
                <c:pt idx="8">
                  <c:v>3.8916506479381566E-2</c:v>
                </c:pt>
                <c:pt idx="9">
                  <c:v>3.9341808964976438E-2</c:v>
                </c:pt>
                <c:pt idx="10">
                  <c:v>3.9746976499303401E-2</c:v>
                </c:pt>
                <c:pt idx="11">
                  <c:v>4.013296232452844E-2</c:v>
                </c:pt>
                <c:pt idx="12">
                  <c:v>4.0500674553797085E-2</c:v>
                </c:pt>
                <c:pt idx="13">
                  <c:v>4.0850978307762367E-2</c:v>
                </c:pt>
                <c:pt idx="14">
                  <c:v>4.1184697749963785E-2</c:v>
                </c:pt>
                <c:pt idx="15">
                  <c:v>4.1502618025846011E-2</c:v>
                </c:pt>
                <c:pt idx="16">
                  <c:v>4.1805487109979354E-2</c:v>
                </c:pt>
                <c:pt idx="17">
                  <c:v>4.2094017565827813E-2</c:v>
                </c:pt>
                <c:pt idx="18">
                  <c:v>4.2368888222205116E-2</c:v>
                </c:pt>
                <c:pt idx="19">
                  <c:v>4.2630745770362757E-2</c:v>
                </c:pt>
                <c:pt idx="20">
                  <c:v>4.376540722922781E-2</c:v>
                </c:pt>
                <c:pt idx="21">
                  <c:v>4.4655734941773995E-2</c:v>
                </c:pt>
                <c:pt idx="22">
                  <c:v>4.535434282127368E-2</c:v>
                </c:pt>
                <c:pt idx="23">
                  <c:v>4.590251509808993E-2</c:v>
                </c:pt>
                <c:pt idx="24">
                  <c:v>4.6332646011135327E-2</c:v>
                </c:pt>
                <c:pt idx="25">
                  <c:v>4.6670154145314988E-2</c:v>
                </c:pt>
                <c:pt idx="26">
                  <c:v>4.6934984542718702E-2</c:v>
                </c:pt>
                <c:pt idx="27">
                  <c:v>4.7142787354818257E-2</c:v>
                </c:pt>
                <c:pt idx="28">
                  <c:v>4.7305842688117695E-2</c:v>
                </c:pt>
                <c:pt idx="29">
                  <c:v>4.7433786297007133E-2</c:v>
                </c:pt>
                <c:pt idx="30">
                  <c:v>4.7534179008637059E-2</c:v>
                </c:pt>
                <c:pt idx="31">
                  <c:v>4.7612953529974196E-2</c:v>
                </c:pt>
                <c:pt idx="32">
                  <c:v>4.7674765041100305E-2</c:v>
                </c:pt>
                <c:pt idx="33">
                  <c:v>4.7723266293064025E-2</c:v>
                </c:pt>
                <c:pt idx="34">
                  <c:v>4.7761323467192141E-2</c:v>
                </c:pt>
                <c:pt idx="35">
                  <c:v>4.7791185552065761E-2</c:v>
                </c:pt>
                <c:pt idx="36">
                  <c:v>4.7833003249439433E-2</c:v>
                </c:pt>
                <c:pt idx="37">
                  <c:v>4.7858750288487545E-2</c:v>
                </c:pt>
                <c:pt idx="38">
                  <c:v>4.7874602668254447E-2</c:v>
                </c:pt>
                <c:pt idx="39">
                  <c:v>4.7884362934038971E-2</c:v>
                </c:pt>
                <c:pt idx="40">
                  <c:v>4.7890372302322175E-2</c:v>
                </c:pt>
                <c:pt idx="41">
                  <c:v>4.7894072253528465E-2</c:v>
                </c:pt>
                <c:pt idx="42">
                  <c:v>4.789635030311435E-2</c:v>
                </c:pt>
                <c:pt idx="43">
                  <c:v>4.7897752891858464E-2</c:v>
                </c:pt>
                <c:pt idx="44">
                  <c:v>4.789861646181643E-2</c:v>
                </c:pt>
                <c:pt idx="45">
                  <c:v>4.7899148159418758E-2</c:v>
                </c:pt>
                <c:pt idx="46">
                  <c:v>4.7899475524142039E-2</c:v>
                </c:pt>
                <c:pt idx="47">
                  <c:v>4.789967708168448E-2</c:v>
                </c:pt>
                <c:pt idx="48">
                  <c:v>4.7899801180098352E-2</c:v>
                </c:pt>
                <c:pt idx="49">
                  <c:v>4.7899877587143896E-2</c:v>
                </c:pt>
                <c:pt idx="50">
                  <c:v>4.7899924630747645E-2</c:v>
                </c:pt>
                <c:pt idx="51">
                  <c:v>4.7899953595362602E-2</c:v>
                </c:pt>
                <c:pt idx="52">
                  <c:v>4.7899971428794839E-2</c:v>
                </c:pt>
                <c:pt idx="53">
                  <c:v>4.7899982408789073E-2</c:v>
                </c:pt>
                <c:pt idx="54">
                  <c:v>4.789998916914074E-2</c:v>
                </c:pt>
                <c:pt idx="55">
                  <c:v>4.7899993331470318E-2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6E-4EEB-B6ED-8A5B5C4EA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Med High Flow (</a:t>
            </a:r>
            <a:r>
              <a:rPr lang="el-GR" sz="1200" baseline="0"/>
              <a:t>τ* = 0.089)</a:t>
            </a:r>
            <a:endParaRPr lang="en-US" sz="1200"/>
          </a:p>
        </c:rich>
      </c:tx>
      <c:layout>
        <c:manualLayout>
          <c:xMode val="edge"/>
          <c:yMode val="edge"/>
          <c:x val="0.31548891171212295"/>
          <c:y val="5.21310178693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SP rocks'!$L$30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'using SP rocks'!$J$31:$J$36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SP rocks'!$L$31:$L$36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4.2700000000000002E-2</c:v>
                </c:pt>
                <c:pt idx="2">
                  <c:v>4.2000000000000003E-2</c:v>
                </c:pt>
                <c:pt idx="3">
                  <c:v>4.7899999999999998E-2</c:v>
                </c:pt>
                <c:pt idx="4">
                  <c:v>4.4999999999999998E-2</c:v>
                </c:pt>
                <c:pt idx="5">
                  <c:v>4.3799999999999999E-2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52-4638-9C0C-056FA594A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SP rocks'!$K$30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SP rocks'!$D$4:$D$59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rocks'!$G$4:$G$59</c:f>
              <c:numCache>
                <c:formatCode>0.0000</c:formatCode>
                <c:ptCount val="56"/>
                <c:pt idx="0">
                  <c:v>3.454502679578271E-2</c:v>
                </c:pt>
                <c:pt idx="1">
                  <c:v>3.5068682785225763E-2</c:v>
                </c:pt>
                <c:pt idx="2">
                  <c:v>3.5571805929631509E-2</c:v>
                </c:pt>
                <c:pt idx="3">
                  <c:v>3.605520133336966E-2</c:v>
                </c:pt>
                <c:pt idx="4">
                  <c:v>3.6519642532216054E-2</c:v>
                </c:pt>
                <c:pt idx="5">
                  <c:v>3.6965872731174909E-2</c:v>
                </c:pt>
                <c:pt idx="6">
                  <c:v>3.7394605993765415E-2</c:v>
                </c:pt>
                <c:pt idx="7">
                  <c:v>3.78065283846757E-2</c:v>
                </c:pt>
                <c:pt idx="8">
                  <c:v>3.8202299067612668E-2</c:v>
                </c:pt>
                <c:pt idx="9">
                  <c:v>3.8582551360104612E-2</c:v>
                </c:pt>
                <c:pt idx="10">
                  <c:v>3.8947893746944337E-2</c:v>
                </c:pt>
                <c:pt idx="11">
                  <c:v>3.9298910853894642E-2</c:v>
                </c:pt>
                <c:pt idx="12">
                  <c:v>3.9636164383214295E-2</c:v>
                </c:pt>
                <c:pt idx="13">
                  <c:v>3.9960194012501477E-2</c:v>
                </c:pt>
                <c:pt idx="14">
                  <c:v>4.0271518258293032E-2</c:v>
                </c:pt>
                <c:pt idx="15">
                  <c:v>4.0570635305801628E-2</c:v>
                </c:pt>
                <c:pt idx="16">
                  <c:v>4.0858023806118304E-2</c:v>
                </c:pt>
                <c:pt idx="17">
                  <c:v>4.1134143642156396E-2</c:v>
                </c:pt>
                <c:pt idx="18">
                  <c:v>4.1399436664562264E-2</c:v>
                </c:pt>
                <c:pt idx="19">
                  <c:v>4.1654327398770619E-2</c:v>
                </c:pt>
                <c:pt idx="20">
                  <c:v>4.278647576771695E-2</c:v>
                </c:pt>
                <c:pt idx="21">
                  <c:v>4.371340045442039E-2</c:v>
                </c:pt>
                <c:pt idx="22">
                  <c:v>4.4472302201211671E-2</c:v>
                </c:pt>
                <c:pt idx="23">
                  <c:v>4.5093638399874292E-2</c:v>
                </c:pt>
                <c:pt idx="24">
                  <c:v>4.5602345453719946E-2</c:v>
                </c:pt>
                <c:pt idx="25">
                  <c:v>4.6018839563011081E-2</c:v>
                </c:pt>
                <c:pt idx="26">
                  <c:v>4.6359836098763554E-2</c:v>
                </c:pt>
                <c:pt idx="27">
                  <c:v>4.6639020449277167E-2</c:v>
                </c:pt>
                <c:pt idx="28">
                  <c:v>4.6867597262820755E-2</c:v>
                </c:pt>
                <c:pt idx="29">
                  <c:v>4.705474012950947E-2</c:v>
                </c:pt>
                <c:pt idx="30">
                  <c:v>4.7207959749686688E-2</c:v>
                </c:pt>
                <c:pt idx="31">
                  <c:v>4.7333405364700709E-2</c:v>
                </c:pt>
                <c:pt idx="32">
                  <c:v>4.7436111547551466E-2</c:v>
                </c:pt>
                <c:pt idx="33">
                  <c:v>4.7520200257982634E-2</c:v>
                </c:pt>
                <c:pt idx="34">
                  <c:v>4.7589046271199295E-2</c:v>
                </c:pt>
                <c:pt idx="35">
                  <c:v>4.7645412619446596E-2</c:v>
                </c:pt>
                <c:pt idx="36">
                  <c:v>4.7729344975347344E-2</c:v>
                </c:pt>
                <c:pt idx="37">
                  <c:v>4.7785606516018618E-2</c:v>
                </c:pt>
                <c:pt idx="38">
                  <c:v>4.7823319754551424E-2</c:v>
                </c:pt>
                <c:pt idx="39">
                  <c:v>4.7848599694340882E-2</c:v>
                </c:pt>
                <c:pt idx="40">
                  <c:v>4.7865545344744333E-2</c:v>
                </c:pt>
                <c:pt idx="41">
                  <c:v>4.7876904353902877E-2</c:v>
                </c:pt>
                <c:pt idx="42">
                  <c:v>4.7884518525444952E-2</c:v>
                </c:pt>
                <c:pt idx="43">
                  <c:v>4.788962245726356E-2</c:v>
                </c:pt>
                <c:pt idx="44">
                  <c:v>4.7893043725075177E-2</c:v>
                </c:pt>
                <c:pt idx="45">
                  <c:v>4.7895337069472153E-2</c:v>
                </c:pt>
                <c:pt idx="46">
                  <c:v>4.7896874344193915E-2</c:v>
                </c:pt>
                <c:pt idx="47">
                  <c:v>4.7897904810256173E-2</c:v>
                </c:pt>
                <c:pt idx="48">
                  <c:v>4.789859555231446E-2</c:v>
                </c:pt>
                <c:pt idx="49">
                  <c:v>4.7899058570562772E-2</c:v>
                </c:pt>
                <c:pt idx="50">
                  <c:v>4.7899368940976302E-2</c:v>
                </c:pt>
                <c:pt idx="51">
                  <c:v>4.7899576988486181E-2</c:v>
                </c:pt>
                <c:pt idx="52">
                  <c:v>4.7899716446902586E-2</c:v>
                </c:pt>
                <c:pt idx="53">
                  <c:v>4.7899809928674687E-2</c:v>
                </c:pt>
                <c:pt idx="54">
                  <c:v>4.7899872591380462E-2</c:v>
                </c:pt>
                <c:pt idx="55">
                  <c:v>4.789991459544829E-2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52-4638-9C0C-056FA594A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ax val="5.000000000000001E-2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Med Low Flow (</a:t>
            </a:r>
            <a:r>
              <a:rPr lang="el-GR" sz="1200" baseline="0"/>
              <a:t>τ* = 0.086</a:t>
            </a:r>
            <a:r>
              <a:rPr lang="en-US" sz="1200" baseline="0"/>
              <a:t>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SP rocks'!$L$39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SP rocks'!$J$40:$J$45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SP rocks'!$L$40:$L$45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4.2900000000000001E-2</c:v>
                </c:pt>
                <c:pt idx="2">
                  <c:v>4.3999999999999997E-2</c:v>
                </c:pt>
                <c:pt idx="3">
                  <c:v>4.6800000000000001E-2</c:v>
                </c:pt>
                <c:pt idx="4">
                  <c:v>4.4400000000000002E-2</c:v>
                </c:pt>
                <c:pt idx="5">
                  <c:v>4.1300000000000003E-2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B0-4EC1-A317-D7C92F77C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SP rocks'!$K$39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SP rocks'!$D$4:$D$59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rocks'!$F$4:$F$59</c:f>
              <c:numCache>
                <c:formatCode>0.0000</c:formatCode>
                <c:ptCount val="56"/>
                <c:pt idx="0">
                  <c:v>3.4498202494841097E-2</c:v>
                </c:pt>
                <c:pt idx="1">
                  <c:v>3.4978548462641479E-2</c:v>
                </c:pt>
                <c:pt idx="2">
                  <c:v>3.544167791536669E-2</c:v>
                </c:pt>
                <c:pt idx="3">
                  <c:v>3.5888207925733467E-2</c:v>
                </c:pt>
                <c:pt idx="4">
                  <c:v>3.6318733449396207E-2</c:v>
                </c:pt>
                <c:pt idx="5">
                  <c:v>3.6733828117664596E-2</c:v>
                </c:pt>
                <c:pt idx="6">
                  <c:v>3.7134045001808766E-2</c:v>
                </c:pt>
                <c:pt idx="7">
                  <c:v>3.7519917349970337E-2</c:v>
                </c:pt>
                <c:pt idx="8">
                  <c:v>3.7891959297661093E-2</c:v>
                </c:pt>
                <c:pt idx="9">
                  <c:v>3.8250666552796096E-2</c:v>
                </c:pt>
                <c:pt idx="10">
                  <c:v>3.859651705617384E-2</c:v>
                </c:pt>
                <c:pt idx="11">
                  <c:v>3.8929971618283606E-2</c:v>
                </c:pt>
                <c:pt idx="12">
                  <c:v>3.9251474533288394E-2</c:v>
                </c:pt>
                <c:pt idx="13">
                  <c:v>3.9561454171001521E-2</c:v>
                </c:pt>
                <c:pt idx="14">
                  <c:v>3.9860323547645682E-2</c:v>
                </c:pt>
                <c:pt idx="15">
                  <c:v>4.0148480876154906E-2</c:v>
                </c:pt>
                <c:pt idx="16">
                  <c:v>4.0426310096752606E-2</c:v>
                </c:pt>
                <c:pt idx="17">
                  <c:v>4.0694181388512794E-2</c:v>
                </c:pt>
                <c:pt idx="18">
                  <c:v>4.0952451662585841E-2</c:v>
                </c:pt>
                <c:pt idx="19">
                  <c:v>4.1201465037746188E-2</c:v>
                </c:pt>
                <c:pt idx="20">
                  <c:v>4.2318883532633085E-2</c:v>
                </c:pt>
                <c:pt idx="21">
                  <c:v>4.3249899463414357E-2</c:v>
                </c:pt>
                <c:pt idx="22">
                  <c:v>4.4025607640193948E-2</c:v>
                </c:pt>
                <c:pt idx="23">
                  <c:v>4.4671915781256351E-2</c:v>
                </c:pt>
                <c:pt idx="24">
                  <c:v>4.5210409799635413E-2</c:v>
                </c:pt>
                <c:pt idx="25">
                  <c:v>4.5659074746596105E-2</c:v>
                </c:pt>
                <c:pt idx="26">
                  <c:v>4.6032895490672666E-2</c:v>
                </c:pt>
                <c:pt idx="27">
                  <c:v>4.634435719421913E-2</c:v>
                </c:pt>
                <c:pt idx="28">
                  <c:v>4.6603862302785792E-2</c:v>
                </c:pt>
                <c:pt idx="29">
                  <c:v>4.6820077974264497E-2</c:v>
                </c:pt>
                <c:pt idx="30">
                  <c:v>4.70002255515172E-2</c:v>
                </c:pt>
                <c:pt idx="31">
                  <c:v>4.7150321746525052E-2</c:v>
                </c:pt>
                <c:pt idx="32">
                  <c:v>4.7275379591317661E-2</c:v>
                </c:pt>
                <c:pt idx="33">
                  <c:v>4.7379575867201637E-2</c:v>
                </c:pt>
                <c:pt idx="34">
                  <c:v>4.7466390604222683E-2</c:v>
                </c:pt>
                <c:pt idx="35">
                  <c:v>4.75387233099753E-2</c:v>
                </c:pt>
                <c:pt idx="36">
                  <c:v>4.7649202931744572E-2</c:v>
                </c:pt>
                <c:pt idx="37">
                  <c:v>4.7725897515167065E-2</c:v>
                </c:pt>
                <c:pt idx="38">
                  <c:v>4.7779138638119438E-2</c:v>
                </c:pt>
                <c:pt idx="39">
                  <c:v>4.7816098447361961E-2</c:v>
                </c:pt>
                <c:pt idx="40">
                  <c:v>4.784175582315521E-2</c:v>
                </c:pt>
                <c:pt idx="41">
                  <c:v>4.7859567087501206E-2</c:v>
                </c:pt>
                <c:pt idx="42">
                  <c:v>4.7871931607558094E-2</c:v>
                </c:pt>
                <c:pt idx="43">
                  <c:v>4.7880515015971299E-2</c:v>
                </c:pt>
                <c:pt idx="44">
                  <c:v>4.7886473589344863E-2</c:v>
                </c:pt>
                <c:pt idx="45">
                  <c:v>4.7890610011024806E-2</c:v>
                </c:pt>
                <c:pt idx="46">
                  <c:v>4.7893481501101634E-2</c:v>
                </c:pt>
                <c:pt idx="47">
                  <c:v>4.7895474879896004E-2</c:v>
                </c:pt>
                <c:pt idx="48">
                  <c:v>4.7896858676778988E-2</c:v>
                </c:pt>
                <c:pt idx="49">
                  <c:v>4.7897819303940645E-2</c:v>
                </c:pt>
                <c:pt idx="50">
                  <c:v>4.7898486168099011E-2</c:v>
                </c:pt>
                <c:pt idx="51">
                  <c:v>4.7898949102964342E-2</c:v>
                </c:pt>
                <c:pt idx="52">
                  <c:v>4.789927047079743E-2</c:v>
                </c:pt>
                <c:pt idx="53">
                  <c:v>4.7899493563270855E-2</c:v>
                </c:pt>
                <c:pt idx="54">
                  <c:v>4.7899648433318745E-2</c:v>
                </c:pt>
                <c:pt idx="55">
                  <c:v>4.7899755943587315E-2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B0-4EC1-A317-D7C92F77C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Low Flow (</a:t>
            </a:r>
            <a:r>
              <a:rPr lang="el-GR" sz="1200" b="0" i="0" u="none" strike="noStrike" baseline="0">
                <a:effectLst/>
              </a:rPr>
              <a:t>τ* = 0.075)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SP rocks'!$L$48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SP rocks'!$J$49:$J$54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SP rocks'!$L$49:$L$54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3.9800000000000002E-2</c:v>
                </c:pt>
                <c:pt idx="2">
                  <c:v>4.24E-2</c:v>
                </c:pt>
                <c:pt idx="3">
                  <c:v>4.2799999999999998E-2</c:v>
                </c:pt>
                <c:pt idx="4">
                  <c:v>4.3799999999999999E-2</c:v>
                </c:pt>
                <c:pt idx="5">
                  <c:v>3.9100000000000003E-2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2E-445B-9348-519A03C7E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SP rocks'!$K$21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SP rocks'!$D$4:$D$59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rocks'!$E$4:$E$59</c:f>
              <c:numCache>
                <c:formatCode>General</c:formatCode>
                <c:ptCount val="56"/>
                <c:pt idx="0">
                  <c:v>3.4457936733883504E-2</c:v>
                </c:pt>
                <c:pt idx="1">
                  <c:v>3.4900786701418808E-2</c:v>
                </c:pt>
                <c:pt idx="2">
                  <c:v>3.5329046937462492E-2</c:v>
                </c:pt>
                <c:pt idx="3">
                  <c:v>3.5743198102013658E-2</c:v>
                </c:pt>
                <c:pt idx="4">
                  <c:v>3.6143705019685071E-2</c:v>
                </c:pt>
                <c:pt idx="5">
                  <c:v>3.6531017201401353E-2</c:v>
                </c:pt>
                <c:pt idx="6">
                  <c:v>3.6905569348909845E-2</c:v>
                </c:pt>
                <c:pt idx="7">
                  <c:v>3.726778184267019E-2</c:v>
                </c:pt>
                <c:pt idx="8">
                  <c:v>3.7618061213670513E-2</c:v>
                </c:pt>
                <c:pt idx="9">
                  <c:v>3.7956800599699421E-2</c:v>
                </c:pt>
                <c:pt idx="10">
                  <c:v>3.8284380186586184E-2</c:v>
                </c:pt>
                <c:pt idx="11">
                  <c:v>3.8601167634904184E-2</c:v>
                </c:pt>
                <c:pt idx="12">
                  <c:v>3.8907518492616568E-2</c:v>
                </c:pt>
                <c:pt idx="13">
                  <c:v>3.9203776594127285E-2</c:v>
                </c:pt>
                <c:pt idx="14">
                  <c:v>3.949027444618531E-2</c:v>
                </c:pt>
                <c:pt idx="15">
                  <c:v>3.9767333601075275E-2</c:v>
                </c:pt>
                <c:pt idx="16">
                  <c:v>4.0035265017513234E-2</c:v>
                </c:pt>
                <c:pt idx="17">
                  <c:v>4.0294369409652753E-2</c:v>
                </c:pt>
                <c:pt idx="18">
                  <c:v>4.0544937584592898E-2</c:v>
                </c:pt>
                <c:pt idx="19">
                  <c:v>4.0787250768767061E-2</c:v>
                </c:pt>
                <c:pt idx="20">
                  <c:v>4.188420301558398E-2</c:v>
                </c:pt>
                <c:pt idx="21">
                  <c:v>4.2811979576224186E-2</c:v>
                </c:pt>
                <c:pt idx="22">
                  <c:v>4.3596671297282341E-2</c:v>
                </c:pt>
                <c:pt idx="23">
                  <c:v>4.426034520673347E-2</c:v>
                </c:pt>
                <c:pt idx="24">
                  <c:v>4.4821665080851905E-2</c:v>
                </c:pt>
                <c:pt idx="25">
                  <c:v>4.5296416305200794E-2</c:v>
                </c:pt>
                <c:pt idx="26">
                  <c:v>4.5697949789784337E-2</c:v>
                </c:pt>
                <c:pt idx="27">
                  <c:v>4.6037557422103609E-2</c:v>
                </c:pt>
                <c:pt idx="28">
                  <c:v>4.6324789616572076E-2</c:v>
                </c:pt>
                <c:pt idx="29">
                  <c:v>4.6567723890386069E-2</c:v>
                </c:pt>
                <c:pt idx="30">
                  <c:v>4.6773192018715985E-2</c:v>
                </c:pt>
                <c:pt idx="31">
                  <c:v>4.6946972157255538E-2</c:v>
                </c:pt>
                <c:pt idx="32">
                  <c:v>4.7093951334981503E-2</c:v>
                </c:pt>
                <c:pt idx="33">
                  <c:v>4.7218262886730464E-2</c:v>
                </c:pt>
                <c:pt idx="34">
                  <c:v>4.7323402690458628E-2</c:v>
                </c:pt>
                <c:pt idx="35">
                  <c:v>4.7412327477998249E-2</c:v>
                </c:pt>
                <c:pt idx="36">
                  <c:v>4.7551149271344545E-2</c:v>
                </c:pt>
                <c:pt idx="37">
                  <c:v>4.765045378734091E-2</c:v>
                </c:pt>
                <c:pt idx="38">
                  <c:v>4.7721490089779918E-2</c:v>
                </c:pt>
                <c:pt idx="39">
                  <c:v>4.7772305062428196E-2</c:v>
                </c:pt>
                <c:pt idx="40">
                  <c:v>4.7808654947720478E-2</c:v>
                </c:pt>
                <c:pt idx="41">
                  <c:v>4.7834657405104591E-2</c:v>
                </c:pt>
                <c:pt idx="42">
                  <c:v>4.7853257953210208E-2</c:v>
                </c:pt>
                <c:pt idx="43">
                  <c:v>4.7866563633697186E-2</c:v>
                </c:pt>
                <c:pt idx="44">
                  <c:v>4.7876081693714365E-2</c:v>
                </c:pt>
                <c:pt idx="45">
                  <c:v>4.7882890324552833E-2</c:v>
                </c:pt>
                <c:pt idx="46">
                  <c:v>4.7887760797507513E-2</c:v>
                </c:pt>
                <c:pt idx="47">
                  <c:v>4.7891244832310539E-2</c:v>
                </c:pt>
                <c:pt idx="48">
                  <c:v>4.789373709509933E-2</c:v>
                </c:pt>
                <c:pt idx="49">
                  <c:v>4.7895519905593341E-2</c:v>
                </c:pt>
                <c:pt idx="50">
                  <c:v>4.789679521784046E-2</c:v>
                </c:pt>
                <c:pt idx="51">
                  <c:v>4.7897707497262819E-2</c:v>
                </c:pt>
                <c:pt idx="52">
                  <c:v>4.7898360085479028E-2</c:v>
                </c:pt>
                <c:pt idx="53">
                  <c:v>4.7898826906684781E-2</c:v>
                </c:pt>
                <c:pt idx="54">
                  <c:v>4.7899160841672783E-2</c:v>
                </c:pt>
                <c:pt idx="55">
                  <c:v>4.7899399718088057E-2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2E-445B-9348-519A03C7E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Testing</a:t>
            </a:r>
            <a:r>
              <a:rPr lang="en-US" baseline="0"/>
              <a:t> Equation with flume data (k=</a:t>
            </a:r>
            <a:r>
              <a:rPr lang="el-GR" baseline="0"/>
              <a:t>τ</a:t>
            </a:r>
            <a:r>
              <a:rPr lang="en-US" baseline="0"/>
              <a:t>^2) </a:t>
            </a:r>
            <a:endParaRPr lang="en-US"/>
          </a:p>
        </c:rich>
      </c:tx>
      <c:layout>
        <c:manualLayout>
          <c:xMode val="edge"/>
          <c:yMode val="edge"/>
          <c:x val="0.1763585791018838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'using SP rocks'!$Z$2</c:f>
              <c:strCache>
                <c:ptCount val="1"/>
                <c:pt idx="0">
                  <c:v>0.049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'using SP rocks'!$V$4:$V$59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rocks'!$Z$4:$Z$59</c:f>
              <c:numCache>
                <c:formatCode>0.0000</c:formatCode>
                <c:ptCount val="56"/>
                <c:pt idx="0">
                  <c:v>3.4032657850227695E-2</c:v>
                </c:pt>
                <c:pt idx="1">
                  <c:v>3.4065238971305645E-2</c:v>
                </c:pt>
                <c:pt idx="2">
                  <c:v>3.4097743543507877E-2</c:v>
                </c:pt>
                <c:pt idx="3">
                  <c:v>3.4130171746684881E-2</c:v>
                </c:pt>
                <c:pt idx="4">
                  <c:v>3.4162523760264581E-2</c:v>
                </c:pt>
                <c:pt idx="5">
                  <c:v>3.419479976325334E-2</c:v>
                </c:pt>
                <c:pt idx="6">
                  <c:v>3.4226999934236953E-2</c:v>
                </c:pt>
                <c:pt idx="7">
                  <c:v>3.4259124451381628E-2</c:v>
                </c:pt>
                <c:pt idx="8">
                  <c:v>3.4291173492434962E-2</c:v>
                </c:pt>
                <c:pt idx="9">
                  <c:v>3.4323147234726958E-2</c:v>
                </c:pt>
                <c:pt idx="10">
                  <c:v>3.4355045855170969E-2</c:v>
                </c:pt>
                <c:pt idx="11">
                  <c:v>3.4386869530264694E-2</c:v>
                </c:pt>
                <c:pt idx="12">
                  <c:v>3.4418618436091161E-2</c:v>
                </c:pt>
                <c:pt idx="13">
                  <c:v>3.4450292748319691E-2</c:v>
                </c:pt>
                <c:pt idx="14">
                  <c:v>3.4481892642206864E-2</c:v>
                </c:pt>
                <c:pt idx="15">
                  <c:v>3.4513418292597506E-2</c:v>
                </c:pt>
                <c:pt idx="16">
                  <c:v>3.4544869873925646E-2</c:v>
                </c:pt>
                <c:pt idx="17">
                  <c:v>3.4576247560215483E-2</c:v>
                </c:pt>
                <c:pt idx="18">
                  <c:v>3.4607551525082339E-2</c:v>
                </c:pt>
                <c:pt idx="19">
                  <c:v>3.463878194173365E-2</c:v>
                </c:pt>
                <c:pt idx="20">
                  <c:v>3.4793836835583861E-2</c:v>
                </c:pt>
                <c:pt idx="21">
                  <c:v>3.4947078772283285E-2</c:v>
                </c:pt>
                <c:pt idx="22">
                  <c:v>3.5098528949573889E-2</c:v>
                </c:pt>
                <c:pt idx="23">
                  <c:v>3.5248208317346076E-2</c:v>
                </c:pt>
                <c:pt idx="24">
                  <c:v>3.5396137580536648E-2</c:v>
                </c:pt>
                <c:pt idx="25">
                  <c:v>3.5542337201992916E-2</c:v>
                </c:pt>
                <c:pt idx="26">
                  <c:v>3.5686827405303261E-2</c:v>
                </c:pt>
                <c:pt idx="27">
                  <c:v>3.5829628177594657E-2</c:v>
                </c:pt>
                <c:pt idx="28">
                  <c:v>3.5970759272297453E-2</c:v>
                </c:pt>
                <c:pt idx="29">
                  <c:v>3.611024021187785E-2</c:v>
                </c:pt>
                <c:pt idx="30">
                  <c:v>3.6248090290538409E-2</c:v>
                </c:pt>
                <c:pt idx="31">
                  <c:v>3.6384328576886976E-2</c:v>
                </c:pt>
                <c:pt idx="32">
                  <c:v>3.6518973916574431E-2</c:v>
                </c:pt>
                <c:pt idx="33">
                  <c:v>3.6652044934901595E-2</c:v>
                </c:pt>
                <c:pt idx="34">
                  <c:v>3.6783560039395605E-2</c:v>
                </c:pt>
                <c:pt idx="35">
                  <c:v>3.6913537422356243E-2</c:v>
                </c:pt>
                <c:pt idx="36">
                  <c:v>3.7168950731809244E-2</c:v>
                </c:pt>
                <c:pt idx="37">
                  <c:v>3.7418426192005978E-2</c:v>
                </c:pt>
                <c:pt idx="38">
                  <c:v>3.7662101846080778E-2</c:v>
                </c:pt>
                <c:pt idx="39">
                  <c:v>3.7900112527940864E-2</c:v>
                </c:pt>
                <c:pt idx="40">
                  <c:v>3.8132589936874434E-2</c:v>
                </c:pt>
                <c:pt idx="41">
                  <c:v>3.8359662710424312E-2</c:v>
                </c:pt>
                <c:pt idx="42">
                  <c:v>3.8581456495567393E-2</c:v>
                </c:pt>
                <c:pt idx="43">
                  <c:v>3.8798094018239353E-2</c:v>
                </c:pt>
                <c:pt idx="44">
                  <c:v>3.9009695151243001E-2</c:v>
                </c:pt>
                <c:pt idx="45">
                  <c:v>3.9216376980577929E-2</c:v>
                </c:pt>
                <c:pt idx="46">
                  <c:v>3.9418253870228112E-2</c:v>
                </c:pt>
                <c:pt idx="47">
                  <c:v>3.9615437525443352E-2</c:v>
                </c:pt>
                <c:pt idx="48">
                  <c:v>3.9808037054549522E-2</c:v>
                </c:pt>
                <c:pt idx="49">
                  <c:v>3.9996159029321847E-2</c:v>
                </c:pt>
                <c:pt idx="50">
                  <c:v>4.0179907543954674E-2</c:v>
                </c:pt>
                <c:pt idx="51">
                  <c:v>4.035938427266024E-2</c:v>
                </c:pt>
                <c:pt idx="52">
                  <c:v>4.0534688525928474E-2</c:v>
                </c:pt>
                <c:pt idx="53">
                  <c:v>4.0705917305478762E-2</c:v>
                </c:pt>
                <c:pt idx="54">
                  <c:v>4.0873165357934269E-2</c:v>
                </c:pt>
                <c:pt idx="55">
                  <c:v>4.1036525227248453E-2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D3-4425-9D40-C765C635E275}"/>
            </c:ext>
          </c:extLst>
        </c:ser>
        <c:ser>
          <c:idx val="2"/>
          <c:order val="1"/>
          <c:tx>
            <c:strRef>
              <c:f>'using SP rocks'!$Y$2</c:f>
              <c:strCache>
                <c:ptCount val="1"/>
                <c:pt idx="0">
                  <c:v>0.040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'using SP rocks'!$V$4:$V$59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rocks'!$Y$4:$Y$59</c:f>
              <c:numCache>
                <c:formatCode>0.0000</c:formatCode>
                <c:ptCount val="56"/>
                <c:pt idx="0">
                  <c:v>3.4022222217485271E-2</c:v>
                </c:pt>
                <c:pt idx="1">
                  <c:v>3.4044408907851847E-2</c:v>
                </c:pt>
                <c:pt idx="2">
                  <c:v>3.4066560127897653E-2</c:v>
                </c:pt>
                <c:pt idx="3">
                  <c:v>3.4088675934329835E-2</c:v>
                </c:pt>
                <c:pt idx="4">
                  <c:v>3.4110756383764859E-2</c:v>
                </c:pt>
                <c:pt idx="5">
                  <c:v>3.4132801532728699E-2</c:v>
                </c:pt>
                <c:pt idx="6">
                  <c:v>3.4154811437656946E-2</c:v>
                </c:pt>
                <c:pt idx="7">
                  <c:v>3.4176786154894966E-2</c:v>
                </c:pt>
                <c:pt idx="8">
                  <c:v>3.4198725740698044E-2</c:v>
                </c:pt>
                <c:pt idx="9">
                  <c:v>3.4220630251231537E-2</c:v>
                </c:pt>
                <c:pt idx="10">
                  <c:v>3.4242499742571007E-2</c:v>
                </c:pt>
                <c:pt idx="11">
                  <c:v>3.4264334270702357E-2</c:v>
                </c:pt>
                <c:pt idx="12">
                  <c:v>3.4286133891521992E-2</c:v>
                </c:pt>
                <c:pt idx="13">
                  <c:v>3.4307898660836951E-2</c:v>
                </c:pt>
                <c:pt idx="14">
                  <c:v>3.4329628634365061E-2</c:v>
                </c:pt>
                <c:pt idx="15">
                  <c:v>3.4351323867735067E-2</c:v>
                </c:pt>
                <c:pt idx="16">
                  <c:v>3.4372984416486771E-2</c:v>
                </c:pt>
                <c:pt idx="17">
                  <c:v>3.4394610336071198E-2</c:v>
                </c:pt>
                <c:pt idx="18">
                  <c:v>3.4416201681850708E-2</c:v>
                </c:pt>
                <c:pt idx="19">
                  <c:v>3.4437758509099158E-2</c:v>
                </c:pt>
                <c:pt idx="20">
                  <c:v>3.454502679578271E-2</c:v>
                </c:pt>
                <c:pt idx="21">
                  <c:v>3.4651440359622684E-2</c:v>
                </c:pt>
                <c:pt idx="22">
                  <c:v>3.4757006011123498E-2</c:v>
                </c:pt>
                <c:pt idx="23">
                  <c:v>3.4861730506522859E-2</c:v>
                </c:pt>
                <c:pt idx="24">
                  <c:v>3.4965620548224247E-2</c:v>
                </c:pt>
                <c:pt idx="25">
                  <c:v>3.5068682785225763E-2</c:v>
                </c:pt>
                <c:pt idx="26">
                  <c:v>3.5170923813545779E-2</c:v>
                </c:pt>
                <c:pt idx="27">
                  <c:v>3.5272350176644984E-2</c:v>
                </c:pt>
                <c:pt idx="28">
                  <c:v>3.5372968365845255E-2</c:v>
                </c:pt>
                <c:pt idx="29">
                  <c:v>3.5472784820745035E-2</c:v>
                </c:pt>
                <c:pt idx="30">
                  <c:v>3.5571805929631509E-2</c:v>
                </c:pt>
                <c:pt idx="31">
                  <c:v>3.5670038029889453E-2</c:v>
                </c:pt>
                <c:pt idx="32">
                  <c:v>3.5767487408406802E-2</c:v>
                </c:pt>
                <c:pt idx="33">
                  <c:v>3.5864160301977054E-2</c:v>
                </c:pt>
                <c:pt idx="34">
                  <c:v>3.5960062897698389E-2</c:v>
                </c:pt>
                <c:pt idx="35">
                  <c:v>3.605520133336966E-2</c:v>
                </c:pt>
                <c:pt idx="36">
                  <c:v>3.6243210031614674E-2</c:v>
                </c:pt>
                <c:pt idx="37">
                  <c:v>3.6428234527965619E-2</c:v>
                </c:pt>
                <c:pt idx="38">
                  <c:v>3.6610322189704052E-2</c:v>
                </c:pt>
                <c:pt idx="39">
                  <c:v>3.678951963226583E-2</c:v>
                </c:pt>
                <c:pt idx="40">
                  <c:v>3.6965872731174909E-2</c:v>
                </c:pt>
                <c:pt idx="41">
                  <c:v>3.7139426633787748E-2</c:v>
                </c:pt>
                <c:pt idx="42">
                  <c:v>3.731022577085126E-2</c:v>
                </c:pt>
                <c:pt idx="43">
                  <c:v>3.7478313867877325E-2</c:v>
                </c:pt>
                <c:pt idx="44">
                  <c:v>3.7643733956336786E-2</c:v>
                </c:pt>
                <c:pt idx="45">
                  <c:v>3.78065283846757E-2</c:v>
                </c:pt>
                <c:pt idx="46">
                  <c:v>3.7966738829156806E-2</c:v>
                </c:pt>
                <c:pt idx="47">
                  <c:v>3.812440630452886E-2</c:v>
                </c:pt>
                <c:pt idx="48">
                  <c:v>3.8279571174526648E-2</c:v>
                </c:pt>
                <c:pt idx="49">
                  <c:v>3.8432273162204295E-2</c:v>
                </c:pt>
                <c:pt idx="50">
                  <c:v>3.8582551360104612E-2</c:v>
                </c:pt>
                <c:pt idx="51">
                  <c:v>3.873044424026699E-2</c:v>
                </c:pt>
                <c:pt idx="52">
                  <c:v>3.8875989664076453E-2</c:v>
                </c:pt>
                <c:pt idx="53">
                  <c:v>3.9019224891956361E-2</c:v>
                </c:pt>
                <c:pt idx="54">
                  <c:v>3.9160186592907334E-2</c:v>
                </c:pt>
                <c:pt idx="55">
                  <c:v>3.9298910853894642E-2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D3-4425-9D40-C765C635E275}"/>
            </c:ext>
          </c:extLst>
        </c:ser>
        <c:ser>
          <c:idx val="1"/>
          <c:order val="2"/>
          <c:tx>
            <c:strRef>
              <c:f>'using SP rocks'!$X$2</c:f>
              <c:strCache>
                <c:ptCount val="1"/>
                <c:pt idx="0">
                  <c:v>0.037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SP rocks'!$V$4:$V$59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rocks'!$X$4:$X$59</c:f>
              <c:numCache>
                <c:formatCode>0.0000</c:formatCode>
                <c:ptCount val="56"/>
                <c:pt idx="0">
                  <c:v>3.4018505944990229E-2</c:v>
                </c:pt>
                <c:pt idx="1">
                  <c:v>3.4036987251850961E-2</c:v>
                </c:pt>
                <c:pt idx="2">
                  <c:v>3.4055443953384487E-2</c:v>
                </c:pt>
                <c:pt idx="3">
                  <c:v>3.4073876082349436E-2</c:v>
                </c:pt>
                <c:pt idx="4">
                  <c:v>3.4092283671460805E-2</c:v>
                </c:pt>
                <c:pt idx="5">
                  <c:v>3.4110666753390056E-2</c:v>
                </c:pt>
                <c:pt idx="6">
                  <c:v>3.412902536076514E-2</c:v>
                </c:pt>
                <c:pt idx="7">
                  <c:v>3.4147359526170568E-2</c:v>
                </c:pt>
                <c:pt idx="8">
                  <c:v>3.4165669282147482E-2</c:v>
                </c:pt>
                <c:pt idx="9">
                  <c:v>3.4183954661193672E-2</c:v>
                </c:pt>
                <c:pt idx="10">
                  <c:v>3.4202215695763705E-2</c:v>
                </c:pt>
                <c:pt idx="11">
                  <c:v>3.422045241826889E-2</c:v>
                </c:pt>
                <c:pt idx="12">
                  <c:v>3.4238664861077434E-2</c:v>
                </c:pt>
                <c:pt idx="13">
                  <c:v>3.4256853056514408E-2</c:v>
                </c:pt>
                <c:pt idx="14">
                  <c:v>3.4275017036861866E-2</c:v>
                </c:pt>
                <c:pt idx="15">
                  <c:v>3.4293156834358886E-2</c:v>
                </c:pt>
                <c:pt idx="16">
                  <c:v>3.4311272481201624E-2</c:v>
                </c:pt>
                <c:pt idx="17">
                  <c:v>3.4329364009543353E-2</c:v>
                </c:pt>
                <c:pt idx="18">
                  <c:v>3.4347431451494555E-2</c:v>
                </c:pt>
                <c:pt idx="19">
                  <c:v>3.4365474839122966E-2</c:v>
                </c:pt>
                <c:pt idx="20">
                  <c:v>3.445533208180817E-2</c:v>
                </c:pt>
                <c:pt idx="21">
                  <c:v>3.4544592752100402E-2</c:v>
                </c:pt>
                <c:pt idx="22">
                  <c:v>3.4633260810711219E-2</c:v>
                </c:pt>
                <c:pt idx="23">
                  <c:v>3.4721340192056582E-2</c:v>
                </c:pt>
                <c:pt idx="24">
                  <c:v>3.4808834804431393E-2</c:v>
                </c:pt>
                <c:pt idx="25">
                  <c:v>3.4895748530182971E-2</c:v>
                </c:pt>
                <c:pt idx="26">
                  <c:v>3.498208522588328E-2</c:v>
                </c:pt>
                <c:pt idx="27">
                  <c:v>3.5067848722500058E-2</c:v>
                </c:pt>
                <c:pt idx="28">
                  <c:v>3.5153042825566833E-2</c:v>
                </c:pt>
                <c:pt idx="29">
                  <c:v>3.5237671315351743E-2</c:v>
                </c:pt>
                <c:pt idx="30">
                  <c:v>3.5321737947025325E-2</c:v>
                </c:pt>
                <c:pt idx="31">
                  <c:v>3.5405246450827099E-2</c:v>
                </c:pt>
                <c:pt idx="32">
                  <c:v>3.5488200532231097E-2</c:v>
                </c:pt>
                <c:pt idx="33">
                  <c:v>3.55706038721103E-2</c:v>
                </c:pt>
                <c:pt idx="34">
                  <c:v>3.565246012689996E-2</c:v>
                </c:pt>
                <c:pt idx="35">
                  <c:v>3.573377292875983E-2</c:v>
                </c:pt>
                <c:pt idx="36">
                  <c:v>3.5894782581917764E-2</c:v>
                </c:pt>
                <c:pt idx="37">
                  <c:v>3.6053661409450113E-2</c:v>
                </c:pt>
                <c:pt idx="38">
                  <c:v>3.6210437611019192E-2</c:v>
                </c:pt>
                <c:pt idx="39">
                  <c:v>3.6365139013088778E-2</c:v>
                </c:pt>
                <c:pt idx="40">
                  <c:v>3.6517793073863117E-2</c:v>
                </c:pt>
                <c:pt idx="41">
                  <c:v>3.6668426888160514E-2</c:v>
                </c:pt>
                <c:pt idx="42">
                  <c:v>3.6817067192222407E-2</c:v>
                </c:pt>
                <c:pt idx="43">
                  <c:v>3.6963740368458883E-2</c:v>
                </c:pt>
                <c:pt idx="44">
                  <c:v>3.7108472450131269E-2</c:v>
                </c:pt>
                <c:pt idx="45">
                  <c:v>3.7251289125972871E-2</c:v>
                </c:pt>
                <c:pt idx="46">
                  <c:v>3.7392215744748485E-2</c:v>
                </c:pt>
                <c:pt idx="47">
                  <c:v>3.7531277319753586E-2</c:v>
                </c:pt>
                <c:pt idx="48">
                  <c:v>3.7668498533254012E-2</c:v>
                </c:pt>
                <c:pt idx="49">
                  <c:v>3.7803903740866805E-2</c:v>
                </c:pt>
                <c:pt idx="50">
                  <c:v>3.793751697588317E-2</c:v>
                </c:pt>
                <c:pt idx="51">
                  <c:v>3.8069361953534192E-2</c:v>
                </c:pt>
                <c:pt idx="52">
                  <c:v>3.819946207520003E-2</c:v>
                </c:pt>
                <c:pt idx="53">
                  <c:v>3.8327840432563556E-2</c:v>
                </c:pt>
                <c:pt idx="54">
                  <c:v>3.8454519811708845E-2</c:v>
                </c:pt>
                <c:pt idx="55">
                  <c:v>3.857952269716558E-2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BD3-4425-9D40-C765C635E275}"/>
            </c:ext>
          </c:extLst>
        </c:ser>
        <c:ser>
          <c:idx val="0"/>
          <c:order val="3"/>
          <c:tx>
            <c:strRef>
              <c:f>'using SP rocks'!$W$2</c:f>
              <c:strCache>
                <c:ptCount val="1"/>
                <c:pt idx="0">
                  <c:v>0.034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SP rocks'!$V$4:$V$59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rocks'!$W$4:$W$59</c:f>
              <c:numCache>
                <c:formatCode>0.0000</c:formatCode>
                <c:ptCount val="56"/>
                <c:pt idx="0">
                  <c:v>3.4015590525130306E-2</c:v>
                </c:pt>
                <c:pt idx="1">
                  <c:v>3.4031163563607816E-2</c:v>
                </c:pt>
                <c:pt idx="2">
                  <c:v>3.4046719135045915E-2</c:v>
                </c:pt>
                <c:pt idx="3">
                  <c:v>3.4062257259036E-2</c:v>
                </c:pt>
                <c:pt idx="4">
                  <c:v>3.4077777955147485E-2</c:v>
                </c:pt>
                <c:pt idx="5">
                  <c:v>3.4093281242927841E-2</c:v>
                </c:pt>
                <c:pt idx="6">
                  <c:v>3.4108767141902599E-2</c:v>
                </c:pt>
                <c:pt idx="7">
                  <c:v>3.4124235671575402E-2</c:v>
                </c:pt>
                <c:pt idx="8">
                  <c:v>3.4139686851428028E-2</c:v>
                </c:pt>
                <c:pt idx="9">
                  <c:v>3.4155120700920374E-2</c:v>
                </c:pt>
                <c:pt idx="10">
                  <c:v>3.4170537239490539E-2</c:v>
                </c:pt>
                <c:pt idx="11">
                  <c:v>3.4185936486554797E-2</c:v>
                </c:pt>
                <c:pt idx="12">
                  <c:v>3.4201318461507674E-2</c:v>
                </c:pt>
                <c:pt idx="13">
                  <c:v>3.421668318372191E-2</c:v>
                </c:pt>
                <c:pt idx="14">
                  <c:v>3.4232030672548527E-2</c:v>
                </c:pt>
                <c:pt idx="15">
                  <c:v>3.4247360947316868E-2</c:v>
                </c:pt>
                <c:pt idx="16">
                  <c:v>3.4262674027334544E-2</c:v>
                </c:pt>
                <c:pt idx="17">
                  <c:v>3.4277969931887566E-2</c:v>
                </c:pt>
                <c:pt idx="18">
                  <c:v>3.4293248680240279E-2</c:v>
                </c:pt>
                <c:pt idx="19">
                  <c:v>3.4308510291635418E-2</c:v>
                </c:pt>
                <c:pt idx="20">
                  <c:v>3.4384561966234316E-2</c:v>
                </c:pt>
                <c:pt idx="21">
                  <c:v>3.446018809092416E-2</c:v>
                </c:pt>
                <c:pt idx="22">
                  <c:v>3.4535391046884932E-2</c:v>
                </c:pt>
                <c:pt idx="23">
                  <c:v>3.4610173201972634E-2</c:v>
                </c:pt>
                <c:pt idx="24">
                  <c:v>3.4684536910793845E-2</c:v>
                </c:pt>
                <c:pt idx="25">
                  <c:v>3.475848451477985E-2</c:v>
                </c:pt>
                <c:pt idx="26">
                  <c:v>3.4832018342260386E-2</c:v>
                </c:pt>
                <c:pt idx="27">
                  <c:v>3.4905140708536925E-2</c:v>
                </c:pt>
                <c:pt idx="28">
                  <c:v>3.4977853915955578E-2</c:v>
                </c:pt>
                <c:pt idx="29">
                  <c:v>3.5050160253979612E-2</c:v>
                </c:pt>
                <c:pt idx="30">
                  <c:v>3.5122061999261503E-2</c:v>
                </c:pt>
                <c:pt idx="31">
                  <c:v>3.5193561415714655E-2</c:v>
                </c:pt>
                <c:pt idx="32">
                  <c:v>3.5264660754584641E-2</c:v>
                </c:pt>
                <c:pt idx="33">
                  <c:v>3.5335362254520122E-2</c:v>
                </c:pt>
                <c:pt idx="34">
                  <c:v>3.5405668141643309E-2</c:v>
                </c:pt>
                <c:pt idx="35">
                  <c:v>3.5475580629620078E-2</c:v>
                </c:pt>
                <c:pt idx="36">
                  <c:v>3.5614234200933889E-2</c:v>
                </c:pt>
                <c:pt idx="37">
                  <c:v>3.5751340431300405E-2</c:v>
                </c:pt>
                <c:pt idx="38">
                  <c:v>3.5886916588677362E-2</c:v>
                </c:pt>
                <c:pt idx="39">
                  <c:v>3.6020979748316154E-2</c:v>
                </c:pt>
                <c:pt idx="40">
                  <c:v>3.615354679491245E-2</c:v>
                </c:pt>
                <c:pt idx="41">
                  <c:v>3.6284634424732704E-2</c:v>
                </c:pt>
                <c:pt idx="42">
                  <c:v>3.6414259147717003E-2</c:v>
                </c:pt>
                <c:pt idx="43">
                  <c:v>3.6542437289558437E-2</c:v>
                </c:pt>
                <c:pt idx="44">
                  <c:v>3.6669184993759207E-2</c:v>
                </c:pt>
                <c:pt idx="45">
                  <c:v>3.6794518223663891E-2</c:v>
                </c:pt>
                <c:pt idx="46">
                  <c:v>3.6918452764469908E-2</c:v>
                </c:pt>
                <c:pt idx="47">
                  <c:v>3.704100422521564E-2</c:v>
                </c:pt>
                <c:pt idx="48">
                  <c:v>3.716218804074628E-2</c:v>
                </c:pt>
                <c:pt idx="49">
                  <c:v>3.7282019473657828E-2</c:v>
                </c:pt>
                <c:pt idx="50">
                  <c:v>3.7400513616219343E-2</c:v>
                </c:pt>
                <c:pt idx="51">
                  <c:v>3.7517685392273729E-2</c:v>
                </c:pt>
                <c:pt idx="52">
                  <c:v>3.7633549559117345E-2</c:v>
                </c:pt>
                <c:pt idx="53">
                  <c:v>3.7748120709358637E-2</c:v>
                </c:pt>
                <c:pt idx="54">
                  <c:v>3.7861413272755995E-2</c:v>
                </c:pt>
                <c:pt idx="55">
                  <c:v>3.7973441518035139E-2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BD3-4425-9D40-C765C635E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ax val="5.000000000000001E-2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 vs Predicted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(k=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^2)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'using SP rocks'!$AB$47</c:f>
              <c:strCache>
                <c:ptCount val="1"/>
                <c:pt idx="0">
                  <c:v>Low Flow (τ* = 0.075)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SP rocks'!$AC$49:$AC$54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3.4155120700920374E-2</c:v>
                </c:pt>
                <c:pt idx="2">
                  <c:v>3.446018809092416E-2</c:v>
                </c:pt>
                <c:pt idx="3">
                  <c:v>3.4905140708536925E-2</c:v>
                </c:pt>
                <c:pt idx="4">
                  <c:v>3.5751340431300405E-2</c:v>
                </c:pt>
                <c:pt idx="5">
                  <c:v>3.7282019473657828E-2</c:v>
                </c:pt>
              </c:numCache>
            </c:numRef>
          </c:xVal>
          <c:yVal>
            <c:numRef>
              <c:f>'using SP rocks'!$AD$49:$AD$54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3.9800000000000002E-2</c:v>
                </c:pt>
                <c:pt idx="2">
                  <c:v>4.24E-2</c:v>
                </c:pt>
                <c:pt idx="3">
                  <c:v>4.2799999999999998E-2</c:v>
                </c:pt>
                <c:pt idx="4">
                  <c:v>4.3799999999999999E-2</c:v>
                </c:pt>
                <c:pt idx="5">
                  <c:v>3.9100000000000003E-2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3C-4539-A737-B903A3137D04}"/>
            </c:ext>
          </c:extLst>
        </c:ser>
        <c:ser>
          <c:idx val="1"/>
          <c:order val="1"/>
          <c:tx>
            <c:strRef>
              <c:f>'using SP rocks'!$AB$38</c:f>
              <c:strCache>
                <c:ptCount val="1"/>
                <c:pt idx="0">
                  <c:v>Med Low Flow (τ* = 0.086)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SP rocks'!$AC$40:$AC$45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3.4183954661193672E-2</c:v>
                </c:pt>
                <c:pt idx="2">
                  <c:v>3.4544592752100402E-2</c:v>
                </c:pt>
                <c:pt idx="3">
                  <c:v>3.5067848722500058E-2</c:v>
                </c:pt>
                <c:pt idx="4">
                  <c:v>3.6053661409450113E-2</c:v>
                </c:pt>
                <c:pt idx="5">
                  <c:v>3.7803903740866805E-2</c:v>
                </c:pt>
              </c:numCache>
            </c:numRef>
          </c:xVal>
          <c:yVal>
            <c:numRef>
              <c:f>'using SP rocks'!$AD$40:$AD$45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4.2900000000000001E-2</c:v>
                </c:pt>
                <c:pt idx="2">
                  <c:v>4.3999999999999997E-2</c:v>
                </c:pt>
                <c:pt idx="3">
                  <c:v>4.6800000000000001E-2</c:v>
                </c:pt>
                <c:pt idx="4">
                  <c:v>4.4400000000000002E-2</c:v>
                </c:pt>
                <c:pt idx="5">
                  <c:v>4.1300000000000003E-2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3C-4539-A737-B903A3137D04}"/>
            </c:ext>
          </c:extLst>
        </c:ser>
        <c:ser>
          <c:idx val="2"/>
          <c:order val="2"/>
          <c:tx>
            <c:strRef>
              <c:f>'using SP rocks'!$AB$29</c:f>
              <c:strCache>
                <c:ptCount val="1"/>
                <c:pt idx="0">
                  <c:v>Med High Flow (τ* = 0.089)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'using SP rocks'!$AC$31:$AC$36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3.4220630251231537E-2</c:v>
                </c:pt>
                <c:pt idx="2">
                  <c:v>3.4651440359622684E-2</c:v>
                </c:pt>
                <c:pt idx="3">
                  <c:v>3.5272350176644984E-2</c:v>
                </c:pt>
                <c:pt idx="4">
                  <c:v>3.6428234527965619E-2</c:v>
                </c:pt>
                <c:pt idx="5">
                  <c:v>3.8432273162204295E-2</c:v>
                </c:pt>
              </c:numCache>
            </c:numRef>
          </c:xVal>
          <c:yVal>
            <c:numRef>
              <c:f>'using SP rocks'!$AD$31:$AD$36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4.2700000000000002E-2</c:v>
                </c:pt>
                <c:pt idx="2">
                  <c:v>4.2000000000000003E-2</c:v>
                </c:pt>
                <c:pt idx="3">
                  <c:v>4.7899999999999998E-2</c:v>
                </c:pt>
                <c:pt idx="4">
                  <c:v>4.4999999999999998E-2</c:v>
                </c:pt>
                <c:pt idx="5">
                  <c:v>4.3799999999999999E-2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3C-4539-A737-B903A3137D04}"/>
            </c:ext>
          </c:extLst>
        </c:ser>
        <c:ser>
          <c:idx val="3"/>
          <c:order val="3"/>
          <c:tx>
            <c:strRef>
              <c:f>'using SP rocks'!$AB$20</c:f>
              <c:strCache>
                <c:ptCount val="1"/>
                <c:pt idx="0">
                  <c:v>High Flow: (τ* = 0.108)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'using SP rocks'!$AC$22:$AC$27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3.4323147234726958E-2</c:v>
                </c:pt>
                <c:pt idx="2">
                  <c:v>3.4947078772283285E-2</c:v>
                </c:pt>
                <c:pt idx="3">
                  <c:v>3.5829628177594657E-2</c:v>
                </c:pt>
                <c:pt idx="4">
                  <c:v>3.7418426192005978E-2</c:v>
                </c:pt>
                <c:pt idx="5">
                  <c:v>3.9996159029321847E-2</c:v>
                </c:pt>
              </c:numCache>
            </c:numRef>
          </c:xVal>
          <c:yVal>
            <c:numRef>
              <c:f>'using SP rocks'!$AD$22:$AD$27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4.1500000000000002E-2</c:v>
                </c:pt>
                <c:pt idx="2">
                  <c:v>4.3700000000000003E-2</c:v>
                </c:pt>
                <c:pt idx="3">
                  <c:v>4.36E-2</c:v>
                </c:pt>
                <c:pt idx="4">
                  <c:v>4.2799999999999998E-2</c:v>
                </c:pt>
                <c:pt idx="5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3C-4539-A737-B903A3137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99248"/>
        <c:axId val="1496091088"/>
      </c:scatterChar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>
                    <a:lumMod val="50000"/>
                    <a:lumOff val="5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3C-4539-A737-B903A3137D04}"/>
              </c:ext>
            </c:extLst>
          </c:dPt>
          <c:xVal>
            <c:numRef>
              <c:f>'using SP rocks'!$J$56:$J$57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xVal>
          <c:yVal>
            <c:numRef>
              <c:f>'using SP rocks'!$K$56:$K$57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93C-4539-A737-B903A3137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99248"/>
        <c:axId val="1496091088"/>
      </c:scatterChart>
      <c:valAx>
        <c:axId val="1496099248"/>
        <c:scaling>
          <c:orientation val="minMax"/>
          <c:max val="6.0000000000000012E-2"/>
          <c:min val="3.000000000000000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91088"/>
        <c:crosses val="autoZero"/>
        <c:crossBetween val="midCat"/>
      </c:valAx>
      <c:valAx>
        <c:axId val="1496091088"/>
        <c:scaling>
          <c:orientation val="minMax"/>
          <c:max val="6.0000000000000012E-2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99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High Flow: (</a:t>
            </a:r>
            <a:r>
              <a:rPr lang="el-GR" sz="1200" baseline="0"/>
              <a:t>τ* = 0.108</a:t>
            </a:r>
            <a:r>
              <a:rPr lang="en-US" sz="1200" baseline="0"/>
              <a:t>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SP rocks'!$AD$21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SP rocks'!$AB$22:$AB$27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SP rocks'!$AD$22:$AD$27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4.1500000000000002E-2</c:v>
                </c:pt>
                <c:pt idx="2">
                  <c:v>4.3700000000000003E-2</c:v>
                </c:pt>
                <c:pt idx="3">
                  <c:v>4.36E-2</c:v>
                </c:pt>
                <c:pt idx="4">
                  <c:v>4.2799999999999998E-2</c:v>
                </c:pt>
                <c:pt idx="5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B3-4EFA-B408-662B02724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SP rocks'!$K$21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'using SP rocks'!$V$4:$V$59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rocks'!$Z$4:$Z$59</c:f>
              <c:numCache>
                <c:formatCode>0.0000</c:formatCode>
                <c:ptCount val="56"/>
                <c:pt idx="0">
                  <c:v>3.4032657850227695E-2</c:v>
                </c:pt>
                <c:pt idx="1">
                  <c:v>3.4065238971305645E-2</c:v>
                </c:pt>
                <c:pt idx="2">
                  <c:v>3.4097743543507877E-2</c:v>
                </c:pt>
                <c:pt idx="3">
                  <c:v>3.4130171746684881E-2</c:v>
                </c:pt>
                <c:pt idx="4">
                  <c:v>3.4162523760264581E-2</c:v>
                </c:pt>
                <c:pt idx="5">
                  <c:v>3.419479976325334E-2</c:v>
                </c:pt>
                <c:pt idx="6">
                  <c:v>3.4226999934236953E-2</c:v>
                </c:pt>
                <c:pt idx="7">
                  <c:v>3.4259124451381628E-2</c:v>
                </c:pt>
                <c:pt idx="8">
                  <c:v>3.4291173492434962E-2</c:v>
                </c:pt>
                <c:pt idx="9">
                  <c:v>3.4323147234726958E-2</c:v>
                </c:pt>
                <c:pt idx="10">
                  <c:v>3.4355045855170969E-2</c:v>
                </c:pt>
                <c:pt idx="11">
                  <c:v>3.4386869530264694E-2</c:v>
                </c:pt>
                <c:pt idx="12">
                  <c:v>3.4418618436091161E-2</c:v>
                </c:pt>
                <c:pt idx="13">
                  <c:v>3.4450292748319691E-2</c:v>
                </c:pt>
                <c:pt idx="14">
                  <c:v>3.4481892642206864E-2</c:v>
                </c:pt>
                <c:pt idx="15">
                  <c:v>3.4513418292597506E-2</c:v>
                </c:pt>
                <c:pt idx="16">
                  <c:v>3.4544869873925646E-2</c:v>
                </c:pt>
                <c:pt idx="17">
                  <c:v>3.4576247560215483E-2</c:v>
                </c:pt>
                <c:pt idx="18">
                  <c:v>3.4607551525082339E-2</c:v>
                </c:pt>
                <c:pt idx="19">
                  <c:v>3.463878194173365E-2</c:v>
                </c:pt>
                <c:pt idx="20">
                  <c:v>3.4793836835583861E-2</c:v>
                </c:pt>
                <c:pt idx="21">
                  <c:v>3.4947078772283285E-2</c:v>
                </c:pt>
                <c:pt idx="22">
                  <c:v>3.5098528949573889E-2</c:v>
                </c:pt>
                <c:pt idx="23">
                  <c:v>3.5248208317346076E-2</c:v>
                </c:pt>
                <c:pt idx="24">
                  <c:v>3.5396137580536648E-2</c:v>
                </c:pt>
                <c:pt idx="25">
                  <c:v>3.5542337201992916E-2</c:v>
                </c:pt>
                <c:pt idx="26">
                  <c:v>3.5686827405303261E-2</c:v>
                </c:pt>
                <c:pt idx="27">
                  <c:v>3.5829628177594657E-2</c:v>
                </c:pt>
                <c:pt idx="28">
                  <c:v>3.5970759272297453E-2</c:v>
                </c:pt>
                <c:pt idx="29">
                  <c:v>3.611024021187785E-2</c:v>
                </c:pt>
                <c:pt idx="30">
                  <c:v>3.6248090290538409E-2</c:v>
                </c:pt>
                <c:pt idx="31">
                  <c:v>3.6384328576886976E-2</c:v>
                </c:pt>
                <c:pt idx="32">
                  <c:v>3.6518973916574431E-2</c:v>
                </c:pt>
                <c:pt idx="33">
                  <c:v>3.6652044934901595E-2</c:v>
                </c:pt>
                <c:pt idx="34">
                  <c:v>3.6783560039395605E-2</c:v>
                </c:pt>
                <c:pt idx="35">
                  <c:v>3.6913537422356243E-2</c:v>
                </c:pt>
                <c:pt idx="36">
                  <c:v>3.7168950731809244E-2</c:v>
                </c:pt>
                <c:pt idx="37">
                  <c:v>3.7418426192005978E-2</c:v>
                </c:pt>
                <c:pt idx="38">
                  <c:v>3.7662101846080778E-2</c:v>
                </c:pt>
                <c:pt idx="39">
                  <c:v>3.7900112527940864E-2</c:v>
                </c:pt>
                <c:pt idx="40">
                  <c:v>3.8132589936874434E-2</c:v>
                </c:pt>
                <c:pt idx="41">
                  <c:v>3.8359662710424312E-2</c:v>
                </c:pt>
                <c:pt idx="42">
                  <c:v>3.8581456495567393E-2</c:v>
                </c:pt>
                <c:pt idx="43">
                  <c:v>3.8798094018239353E-2</c:v>
                </c:pt>
                <c:pt idx="44">
                  <c:v>3.9009695151243001E-2</c:v>
                </c:pt>
                <c:pt idx="45">
                  <c:v>3.9216376980577929E-2</c:v>
                </c:pt>
                <c:pt idx="46">
                  <c:v>3.9418253870228112E-2</c:v>
                </c:pt>
                <c:pt idx="47">
                  <c:v>3.9615437525443352E-2</c:v>
                </c:pt>
                <c:pt idx="48">
                  <c:v>3.9808037054549522E-2</c:v>
                </c:pt>
                <c:pt idx="49">
                  <c:v>3.9996159029321847E-2</c:v>
                </c:pt>
                <c:pt idx="50">
                  <c:v>4.0179907543954674E-2</c:v>
                </c:pt>
                <c:pt idx="51">
                  <c:v>4.035938427266024E-2</c:v>
                </c:pt>
                <c:pt idx="52">
                  <c:v>4.0534688525928474E-2</c:v>
                </c:pt>
                <c:pt idx="53">
                  <c:v>4.0705917305478762E-2</c:v>
                </c:pt>
                <c:pt idx="54">
                  <c:v>4.0873165357934269E-2</c:v>
                </c:pt>
                <c:pt idx="55">
                  <c:v>4.1036525227248453E-2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B3-4EFA-B408-662B02724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ax val="5.000000000000001E-2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Med High Flow (</a:t>
            </a:r>
            <a:r>
              <a:rPr lang="el-GR" sz="1200" baseline="0"/>
              <a:t>τ* = 0.089)</a:t>
            </a:r>
            <a:endParaRPr lang="en-US" sz="1200"/>
          </a:p>
        </c:rich>
      </c:tx>
      <c:layout>
        <c:manualLayout>
          <c:xMode val="edge"/>
          <c:yMode val="edge"/>
          <c:x val="0.31548891171212295"/>
          <c:y val="5.21310178693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SP rocks'!$AD$30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'using SP rocks'!$AB$31:$AB$36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SP rocks'!$AD$31:$AD$36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4.2700000000000002E-2</c:v>
                </c:pt>
                <c:pt idx="2">
                  <c:v>4.2000000000000003E-2</c:v>
                </c:pt>
                <c:pt idx="3">
                  <c:v>4.7899999999999998E-2</c:v>
                </c:pt>
                <c:pt idx="4">
                  <c:v>4.4999999999999998E-2</c:v>
                </c:pt>
                <c:pt idx="5">
                  <c:v>4.3799999999999999E-2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D8-424E-8A18-87F256666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SP rocks'!$K$30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SP rocks'!$V$4:$V$59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rocks'!$Y$4:$Y$59</c:f>
              <c:numCache>
                <c:formatCode>0.0000</c:formatCode>
                <c:ptCount val="56"/>
                <c:pt idx="0">
                  <c:v>3.4022222217485271E-2</c:v>
                </c:pt>
                <c:pt idx="1">
                  <c:v>3.4044408907851847E-2</c:v>
                </c:pt>
                <c:pt idx="2">
                  <c:v>3.4066560127897653E-2</c:v>
                </c:pt>
                <c:pt idx="3">
                  <c:v>3.4088675934329835E-2</c:v>
                </c:pt>
                <c:pt idx="4">
                  <c:v>3.4110756383764859E-2</c:v>
                </c:pt>
                <c:pt idx="5">
                  <c:v>3.4132801532728699E-2</c:v>
                </c:pt>
                <c:pt idx="6">
                  <c:v>3.4154811437656946E-2</c:v>
                </c:pt>
                <c:pt idx="7">
                  <c:v>3.4176786154894966E-2</c:v>
                </c:pt>
                <c:pt idx="8">
                  <c:v>3.4198725740698044E-2</c:v>
                </c:pt>
                <c:pt idx="9">
                  <c:v>3.4220630251231537E-2</c:v>
                </c:pt>
                <c:pt idx="10">
                  <c:v>3.4242499742571007E-2</c:v>
                </c:pt>
                <c:pt idx="11">
                  <c:v>3.4264334270702357E-2</c:v>
                </c:pt>
                <c:pt idx="12">
                  <c:v>3.4286133891521992E-2</c:v>
                </c:pt>
                <c:pt idx="13">
                  <c:v>3.4307898660836951E-2</c:v>
                </c:pt>
                <c:pt idx="14">
                  <c:v>3.4329628634365061E-2</c:v>
                </c:pt>
                <c:pt idx="15">
                  <c:v>3.4351323867735067E-2</c:v>
                </c:pt>
                <c:pt idx="16">
                  <c:v>3.4372984416486771E-2</c:v>
                </c:pt>
                <c:pt idx="17">
                  <c:v>3.4394610336071198E-2</c:v>
                </c:pt>
                <c:pt idx="18">
                  <c:v>3.4416201681850708E-2</c:v>
                </c:pt>
                <c:pt idx="19">
                  <c:v>3.4437758509099158E-2</c:v>
                </c:pt>
                <c:pt idx="20">
                  <c:v>3.454502679578271E-2</c:v>
                </c:pt>
                <c:pt idx="21">
                  <c:v>3.4651440359622684E-2</c:v>
                </c:pt>
                <c:pt idx="22">
                  <c:v>3.4757006011123498E-2</c:v>
                </c:pt>
                <c:pt idx="23">
                  <c:v>3.4861730506522859E-2</c:v>
                </c:pt>
                <c:pt idx="24">
                  <c:v>3.4965620548224247E-2</c:v>
                </c:pt>
                <c:pt idx="25">
                  <c:v>3.5068682785225763E-2</c:v>
                </c:pt>
                <c:pt idx="26">
                  <c:v>3.5170923813545779E-2</c:v>
                </c:pt>
                <c:pt idx="27">
                  <c:v>3.5272350176644984E-2</c:v>
                </c:pt>
                <c:pt idx="28">
                  <c:v>3.5372968365845255E-2</c:v>
                </c:pt>
                <c:pt idx="29">
                  <c:v>3.5472784820745035E-2</c:v>
                </c:pt>
                <c:pt idx="30">
                  <c:v>3.5571805929631509E-2</c:v>
                </c:pt>
                <c:pt idx="31">
                  <c:v>3.5670038029889453E-2</c:v>
                </c:pt>
                <c:pt idx="32">
                  <c:v>3.5767487408406802E-2</c:v>
                </c:pt>
                <c:pt idx="33">
                  <c:v>3.5864160301977054E-2</c:v>
                </c:pt>
                <c:pt idx="34">
                  <c:v>3.5960062897698389E-2</c:v>
                </c:pt>
                <c:pt idx="35">
                  <c:v>3.605520133336966E-2</c:v>
                </c:pt>
                <c:pt idx="36">
                  <c:v>3.6243210031614674E-2</c:v>
                </c:pt>
                <c:pt idx="37">
                  <c:v>3.6428234527965619E-2</c:v>
                </c:pt>
                <c:pt idx="38">
                  <c:v>3.6610322189704052E-2</c:v>
                </c:pt>
                <c:pt idx="39">
                  <c:v>3.678951963226583E-2</c:v>
                </c:pt>
                <c:pt idx="40">
                  <c:v>3.6965872731174909E-2</c:v>
                </c:pt>
                <c:pt idx="41">
                  <c:v>3.7139426633787748E-2</c:v>
                </c:pt>
                <c:pt idx="42">
                  <c:v>3.731022577085126E-2</c:v>
                </c:pt>
                <c:pt idx="43">
                  <c:v>3.7478313867877325E-2</c:v>
                </c:pt>
                <c:pt idx="44">
                  <c:v>3.7643733956336786E-2</c:v>
                </c:pt>
                <c:pt idx="45">
                  <c:v>3.78065283846757E-2</c:v>
                </c:pt>
                <c:pt idx="46">
                  <c:v>3.7966738829156806E-2</c:v>
                </c:pt>
                <c:pt idx="47">
                  <c:v>3.812440630452886E-2</c:v>
                </c:pt>
                <c:pt idx="48">
                  <c:v>3.8279571174526648E-2</c:v>
                </c:pt>
                <c:pt idx="49">
                  <c:v>3.8432273162204295E-2</c:v>
                </c:pt>
                <c:pt idx="50">
                  <c:v>3.8582551360104612E-2</c:v>
                </c:pt>
                <c:pt idx="51">
                  <c:v>3.873044424026699E-2</c:v>
                </c:pt>
                <c:pt idx="52">
                  <c:v>3.8875989664076453E-2</c:v>
                </c:pt>
                <c:pt idx="53">
                  <c:v>3.9019224891956361E-2</c:v>
                </c:pt>
                <c:pt idx="54">
                  <c:v>3.9160186592907334E-2</c:v>
                </c:pt>
                <c:pt idx="55">
                  <c:v>3.9298910853894642E-2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D8-424E-8A18-87F256666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Med Low Flow (</a:t>
            </a:r>
            <a:r>
              <a:rPr lang="el-GR" sz="1200" baseline="0"/>
              <a:t>τ* = 0.086</a:t>
            </a:r>
            <a:r>
              <a:rPr lang="en-US" sz="1200" baseline="0"/>
              <a:t>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SP rocks'!$AD$39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SP rocks'!$AB$40:$AB$45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SP rocks'!$AD$40:$AD$45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4.2900000000000001E-2</c:v>
                </c:pt>
                <c:pt idx="2">
                  <c:v>4.3999999999999997E-2</c:v>
                </c:pt>
                <c:pt idx="3">
                  <c:v>4.6800000000000001E-2</c:v>
                </c:pt>
                <c:pt idx="4">
                  <c:v>4.4400000000000002E-2</c:v>
                </c:pt>
                <c:pt idx="5">
                  <c:v>4.1300000000000003E-2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57-4140-8EA7-4EF908ECB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SP rocks'!$K$39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SP rocks'!$V$4:$V$59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rocks'!$X$4:$X$59</c:f>
              <c:numCache>
                <c:formatCode>0.0000</c:formatCode>
                <c:ptCount val="56"/>
                <c:pt idx="0">
                  <c:v>3.4018505944990229E-2</c:v>
                </c:pt>
                <c:pt idx="1">
                  <c:v>3.4036987251850961E-2</c:v>
                </c:pt>
                <c:pt idx="2">
                  <c:v>3.4055443953384487E-2</c:v>
                </c:pt>
                <c:pt idx="3">
                  <c:v>3.4073876082349436E-2</c:v>
                </c:pt>
                <c:pt idx="4">
                  <c:v>3.4092283671460805E-2</c:v>
                </c:pt>
                <c:pt idx="5">
                  <c:v>3.4110666753390056E-2</c:v>
                </c:pt>
                <c:pt idx="6">
                  <c:v>3.412902536076514E-2</c:v>
                </c:pt>
                <c:pt idx="7">
                  <c:v>3.4147359526170568E-2</c:v>
                </c:pt>
                <c:pt idx="8">
                  <c:v>3.4165669282147482E-2</c:v>
                </c:pt>
                <c:pt idx="9">
                  <c:v>3.4183954661193672E-2</c:v>
                </c:pt>
                <c:pt idx="10">
                  <c:v>3.4202215695763705E-2</c:v>
                </c:pt>
                <c:pt idx="11">
                  <c:v>3.422045241826889E-2</c:v>
                </c:pt>
                <c:pt idx="12">
                  <c:v>3.4238664861077434E-2</c:v>
                </c:pt>
                <c:pt idx="13">
                  <c:v>3.4256853056514408E-2</c:v>
                </c:pt>
                <c:pt idx="14">
                  <c:v>3.4275017036861866E-2</c:v>
                </c:pt>
                <c:pt idx="15">
                  <c:v>3.4293156834358886E-2</c:v>
                </c:pt>
                <c:pt idx="16">
                  <c:v>3.4311272481201624E-2</c:v>
                </c:pt>
                <c:pt idx="17">
                  <c:v>3.4329364009543353E-2</c:v>
                </c:pt>
                <c:pt idx="18">
                  <c:v>3.4347431451494555E-2</c:v>
                </c:pt>
                <c:pt idx="19">
                  <c:v>3.4365474839122966E-2</c:v>
                </c:pt>
                <c:pt idx="20">
                  <c:v>3.445533208180817E-2</c:v>
                </c:pt>
                <c:pt idx="21">
                  <c:v>3.4544592752100402E-2</c:v>
                </c:pt>
                <c:pt idx="22">
                  <c:v>3.4633260810711219E-2</c:v>
                </c:pt>
                <c:pt idx="23">
                  <c:v>3.4721340192056582E-2</c:v>
                </c:pt>
                <c:pt idx="24">
                  <c:v>3.4808834804431393E-2</c:v>
                </c:pt>
                <c:pt idx="25">
                  <c:v>3.4895748530182971E-2</c:v>
                </c:pt>
                <c:pt idx="26">
                  <c:v>3.498208522588328E-2</c:v>
                </c:pt>
                <c:pt idx="27">
                  <c:v>3.5067848722500058E-2</c:v>
                </c:pt>
                <c:pt idx="28">
                  <c:v>3.5153042825566833E-2</c:v>
                </c:pt>
                <c:pt idx="29">
                  <c:v>3.5237671315351743E-2</c:v>
                </c:pt>
                <c:pt idx="30">
                  <c:v>3.5321737947025325E-2</c:v>
                </c:pt>
                <c:pt idx="31">
                  <c:v>3.5405246450827099E-2</c:v>
                </c:pt>
                <c:pt idx="32">
                  <c:v>3.5488200532231097E-2</c:v>
                </c:pt>
                <c:pt idx="33">
                  <c:v>3.55706038721103E-2</c:v>
                </c:pt>
                <c:pt idx="34">
                  <c:v>3.565246012689996E-2</c:v>
                </c:pt>
                <c:pt idx="35">
                  <c:v>3.573377292875983E-2</c:v>
                </c:pt>
                <c:pt idx="36">
                  <c:v>3.5894782581917764E-2</c:v>
                </c:pt>
                <c:pt idx="37">
                  <c:v>3.6053661409450113E-2</c:v>
                </c:pt>
                <c:pt idx="38">
                  <c:v>3.6210437611019192E-2</c:v>
                </c:pt>
                <c:pt idx="39">
                  <c:v>3.6365139013088778E-2</c:v>
                </c:pt>
                <c:pt idx="40">
                  <c:v>3.6517793073863117E-2</c:v>
                </c:pt>
                <c:pt idx="41">
                  <c:v>3.6668426888160514E-2</c:v>
                </c:pt>
                <c:pt idx="42">
                  <c:v>3.6817067192222407E-2</c:v>
                </c:pt>
                <c:pt idx="43">
                  <c:v>3.6963740368458883E-2</c:v>
                </c:pt>
                <c:pt idx="44">
                  <c:v>3.7108472450131269E-2</c:v>
                </c:pt>
                <c:pt idx="45">
                  <c:v>3.7251289125972871E-2</c:v>
                </c:pt>
                <c:pt idx="46">
                  <c:v>3.7392215744748485E-2</c:v>
                </c:pt>
                <c:pt idx="47">
                  <c:v>3.7531277319753586E-2</c:v>
                </c:pt>
                <c:pt idx="48">
                  <c:v>3.7668498533254012E-2</c:v>
                </c:pt>
                <c:pt idx="49">
                  <c:v>3.7803903740866805E-2</c:v>
                </c:pt>
                <c:pt idx="50">
                  <c:v>3.793751697588317E-2</c:v>
                </c:pt>
                <c:pt idx="51">
                  <c:v>3.8069361953534192E-2</c:v>
                </c:pt>
                <c:pt idx="52">
                  <c:v>3.819946207520003E-2</c:v>
                </c:pt>
                <c:pt idx="53">
                  <c:v>3.8327840432563556E-2</c:v>
                </c:pt>
                <c:pt idx="54">
                  <c:v>3.8454519811708845E-2</c:v>
                </c:pt>
                <c:pt idx="55">
                  <c:v>3.857952269716558E-2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57-4140-8EA7-4EF908ECB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Low Flow (</a:t>
            </a:r>
            <a:r>
              <a:rPr lang="el-GR" sz="1200" b="0" i="0" u="none" strike="noStrike" baseline="0">
                <a:effectLst/>
              </a:rPr>
              <a:t>τ* = 0.075)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SP rocks'!$AD$48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SP rocks'!$AB$49:$AB$54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SP rocks'!$AD$49:$AD$54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3.9800000000000002E-2</c:v>
                </c:pt>
                <c:pt idx="2">
                  <c:v>4.24E-2</c:v>
                </c:pt>
                <c:pt idx="3">
                  <c:v>4.2799999999999998E-2</c:v>
                </c:pt>
                <c:pt idx="4">
                  <c:v>4.3799999999999999E-2</c:v>
                </c:pt>
                <c:pt idx="5">
                  <c:v>3.9100000000000003E-2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7B-49CA-97C7-381EE6D3D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SP rocks'!$K$21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SP rocks'!$V$4:$V$59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rocks'!$W$4:$W$59</c:f>
              <c:numCache>
                <c:formatCode>0.0000</c:formatCode>
                <c:ptCount val="56"/>
                <c:pt idx="0">
                  <c:v>3.4015590525130306E-2</c:v>
                </c:pt>
                <c:pt idx="1">
                  <c:v>3.4031163563607816E-2</c:v>
                </c:pt>
                <c:pt idx="2">
                  <c:v>3.4046719135045915E-2</c:v>
                </c:pt>
                <c:pt idx="3">
                  <c:v>3.4062257259036E-2</c:v>
                </c:pt>
                <c:pt idx="4">
                  <c:v>3.4077777955147485E-2</c:v>
                </c:pt>
                <c:pt idx="5">
                  <c:v>3.4093281242927841E-2</c:v>
                </c:pt>
                <c:pt idx="6">
                  <c:v>3.4108767141902599E-2</c:v>
                </c:pt>
                <c:pt idx="7">
                  <c:v>3.4124235671575402E-2</c:v>
                </c:pt>
                <c:pt idx="8">
                  <c:v>3.4139686851428028E-2</c:v>
                </c:pt>
                <c:pt idx="9">
                  <c:v>3.4155120700920374E-2</c:v>
                </c:pt>
                <c:pt idx="10">
                  <c:v>3.4170537239490539E-2</c:v>
                </c:pt>
                <c:pt idx="11">
                  <c:v>3.4185936486554797E-2</c:v>
                </c:pt>
                <c:pt idx="12">
                  <c:v>3.4201318461507674E-2</c:v>
                </c:pt>
                <c:pt idx="13">
                  <c:v>3.421668318372191E-2</c:v>
                </c:pt>
                <c:pt idx="14">
                  <c:v>3.4232030672548527E-2</c:v>
                </c:pt>
                <c:pt idx="15">
                  <c:v>3.4247360947316868E-2</c:v>
                </c:pt>
                <c:pt idx="16">
                  <c:v>3.4262674027334544E-2</c:v>
                </c:pt>
                <c:pt idx="17">
                  <c:v>3.4277969931887566E-2</c:v>
                </c:pt>
                <c:pt idx="18">
                  <c:v>3.4293248680240279E-2</c:v>
                </c:pt>
                <c:pt idx="19">
                  <c:v>3.4308510291635418E-2</c:v>
                </c:pt>
                <c:pt idx="20">
                  <c:v>3.4384561966234316E-2</c:v>
                </c:pt>
                <c:pt idx="21">
                  <c:v>3.446018809092416E-2</c:v>
                </c:pt>
                <c:pt idx="22">
                  <c:v>3.4535391046884932E-2</c:v>
                </c:pt>
                <c:pt idx="23">
                  <c:v>3.4610173201972634E-2</c:v>
                </c:pt>
                <c:pt idx="24">
                  <c:v>3.4684536910793845E-2</c:v>
                </c:pt>
                <c:pt idx="25">
                  <c:v>3.475848451477985E-2</c:v>
                </c:pt>
                <c:pt idx="26">
                  <c:v>3.4832018342260386E-2</c:v>
                </c:pt>
                <c:pt idx="27">
                  <c:v>3.4905140708536925E-2</c:v>
                </c:pt>
                <c:pt idx="28">
                  <c:v>3.4977853915955578E-2</c:v>
                </c:pt>
                <c:pt idx="29">
                  <c:v>3.5050160253979612E-2</c:v>
                </c:pt>
                <c:pt idx="30">
                  <c:v>3.5122061999261503E-2</c:v>
                </c:pt>
                <c:pt idx="31">
                  <c:v>3.5193561415714655E-2</c:v>
                </c:pt>
                <c:pt idx="32">
                  <c:v>3.5264660754584641E-2</c:v>
                </c:pt>
                <c:pt idx="33">
                  <c:v>3.5335362254520122E-2</c:v>
                </c:pt>
                <c:pt idx="34">
                  <c:v>3.5405668141643309E-2</c:v>
                </c:pt>
                <c:pt idx="35">
                  <c:v>3.5475580629620078E-2</c:v>
                </c:pt>
                <c:pt idx="36">
                  <c:v>3.5614234200933889E-2</c:v>
                </c:pt>
                <c:pt idx="37">
                  <c:v>3.5751340431300405E-2</c:v>
                </c:pt>
                <c:pt idx="38">
                  <c:v>3.5886916588677362E-2</c:v>
                </c:pt>
                <c:pt idx="39">
                  <c:v>3.6020979748316154E-2</c:v>
                </c:pt>
                <c:pt idx="40">
                  <c:v>3.615354679491245E-2</c:v>
                </c:pt>
                <c:pt idx="41">
                  <c:v>3.6284634424732704E-2</c:v>
                </c:pt>
                <c:pt idx="42">
                  <c:v>3.6414259147717003E-2</c:v>
                </c:pt>
                <c:pt idx="43">
                  <c:v>3.6542437289558437E-2</c:v>
                </c:pt>
                <c:pt idx="44">
                  <c:v>3.6669184993759207E-2</c:v>
                </c:pt>
                <c:pt idx="45">
                  <c:v>3.6794518223663891E-2</c:v>
                </c:pt>
                <c:pt idx="46">
                  <c:v>3.6918452764469908E-2</c:v>
                </c:pt>
                <c:pt idx="47">
                  <c:v>3.704100422521564E-2</c:v>
                </c:pt>
                <c:pt idx="48">
                  <c:v>3.716218804074628E-2</c:v>
                </c:pt>
                <c:pt idx="49">
                  <c:v>3.7282019473657828E-2</c:v>
                </c:pt>
                <c:pt idx="50">
                  <c:v>3.7400513616219343E-2</c:v>
                </c:pt>
                <c:pt idx="51">
                  <c:v>3.7517685392273729E-2</c:v>
                </c:pt>
                <c:pt idx="52">
                  <c:v>3.7633549559117345E-2</c:v>
                </c:pt>
                <c:pt idx="53">
                  <c:v>3.7748120709358637E-2</c:v>
                </c:pt>
                <c:pt idx="54">
                  <c:v>3.7861413272755995E-2</c:v>
                </c:pt>
                <c:pt idx="55">
                  <c:v>3.7973441518035139E-2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7B-49CA-97C7-381EE6D3D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ax val="5.000000000000001E-2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Testing</a:t>
            </a:r>
            <a:r>
              <a:rPr lang="en-US" baseline="0"/>
              <a:t> Equation with flume data (k=</a:t>
            </a:r>
            <a:r>
              <a:rPr lang="el-GR" baseline="0"/>
              <a:t>τ</a:t>
            </a:r>
            <a:r>
              <a:rPr lang="en-US" baseline="0"/>
              <a:t>^0.5) </a:t>
            </a:r>
            <a:endParaRPr lang="en-US"/>
          </a:p>
        </c:rich>
      </c:tx>
      <c:layout>
        <c:manualLayout>
          <c:xMode val="edge"/>
          <c:yMode val="edge"/>
          <c:x val="0.1763585791018838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'using SP rocks'!$AQ$2</c:f>
              <c:strCache>
                <c:ptCount val="1"/>
                <c:pt idx="0">
                  <c:v>0.049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'using SP rocks'!$V$4:$V$59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rocks'!$AQ$4:$AQ$59</c:f>
              <c:numCache>
                <c:formatCode>0.0000</c:formatCode>
                <c:ptCount val="56"/>
                <c:pt idx="0">
                  <c:v>3.6747522342216815E-2</c:v>
                </c:pt>
                <c:pt idx="1">
                  <c:v>3.8951959862780348E-2</c:v>
                </c:pt>
                <c:pt idx="2">
                  <c:v>4.0720660596310118E-2</c:v>
                </c:pt>
                <c:pt idx="3">
                  <c:v>4.2139753791561589E-2</c:v>
                </c:pt>
                <c:pt idx="4">
                  <c:v>4.3278344090435988E-2</c:v>
                </c:pt>
                <c:pt idx="5">
                  <c:v>4.4191876670980269E-2</c:v>
                </c:pt>
                <c:pt idx="6">
                  <c:v>4.4924837224518191E-2</c:v>
                </c:pt>
                <c:pt idx="7">
                  <c:v>4.5512918245911575E-2</c:v>
                </c:pt>
                <c:pt idx="8">
                  <c:v>4.5984757127354454E-2</c:v>
                </c:pt>
                <c:pt idx="9">
                  <c:v>4.6363330694503026E-2</c:v>
                </c:pt>
                <c:pt idx="10">
                  <c:v>4.6667074093744154E-2</c:v>
                </c:pt>
                <c:pt idx="11">
                  <c:v>4.6910778516315081E-2</c:v>
                </c:pt>
                <c:pt idx="12">
                  <c:v>4.7106311475151423E-2</c:v>
                </c:pt>
                <c:pt idx="13">
                  <c:v>4.726319470930844E-2</c:v>
                </c:pt>
                <c:pt idx="14">
                  <c:v>4.7389067857784482E-2</c:v>
                </c:pt>
                <c:pt idx="15">
                  <c:v>4.7490060481963893E-2</c:v>
                </c:pt>
                <c:pt idx="16">
                  <c:v>4.7571090552810065E-2</c:v>
                </c:pt>
                <c:pt idx="17">
                  <c:v>4.7636103938041754E-2</c:v>
                </c:pt>
                <c:pt idx="18">
                  <c:v>4.7688266551441275E-2</c:v>
                </c:pt>
                <c:pt idx="19">
                  <c:v>4.7730118521262119E-2</c:v>
                </c:pt>
                <c:pt idx="20">
                  <c:v>4.7843515558263709E-2</c:v>
                </c:pt>
                <c:pt idx="21">
                  <c:v>4.7881219305471297E-2</c:v>
                </c:pt>
                <c:pt idx="22">
                  <c:v>4.7893755546197535E-2</c:v>
                </c:pt>
                <c:pt idx="23">
                  <c:v>4.7897923761379989E-2</c:v>
                </c:pt>
                <c:pt idx="24">
                  <c:v>4.7899309664713105E-2</c:v>
                </c:pt>
                <c:pt idx="25">
                  <c:v>4.789977046819005E-2</c:v>
                </c:pt>
                <c:pt idx="26">
                  <c:v>4.7899923682226911E-2</c:v>
                </c:pt>
                <c:pt idx="27">
                  <c:v>4.7899974624857053E-2</c:v>
                </c:pt>
                <c:pt idx="28">
                  <c:v>4.7899991562936735E-2</c:v>
                </c:pt>
                <c:pt idx="29">
                  <c:v>4.7899997194733576E-2</c:v>
                </c:pt>
                <c:pt idx="30">
                  <c:v>4.7899999067267898E-2</c:v>
                </c:pt>
                <c:pt idx="31">
                  <c:v>4.7899999689872887E-2</c:v>
                </c:pt>
                <c:pt idx="32">
                  <c:v>4.7899999896884836E-2</c:v>
                </c:pt>
                <c:pt idx="33">
                  <c:v>4.7899999965714903E-2</c:v>
                </c:pt>
                <c:pt idx="34">
                  <c:v>4.7899999988600436E-2</c:v>
                </c:pt>
                <c:pt idx="35">
                  <c:v>4.7899999996209724E-2</c:v>
                </c:pt>
                <c:pt idx="36">
                  <c:v>4.7899999999580979E-2</c:v>
                </c:pt>
                <c:pt idx="37">
                  <c:v>4.7899999999953674E-2</c:v>
                </c:pt>
                <c:pt idx="38">
                  <c:v>4.7899999999994877E-2</c:v>
                </c:pt>
                <c:pt idx="39">
                  <c:v>4.7899999999999429E-2</c:v>
                </c:pt>
                <c:pt idx="40">
                  <c:v>4.7899999999999936E-2</c:v>
                </c:pt>
                <c:pt idx="41">
                  <c:v>4.7899999999999991E-2</c:v>
                </c:pt>
                <c:pt idx="42">
                  <c:v>4.7899999999999998E-2</c:v>
                </c:pt>
                <c:pt idx="43">
                  <c:v>4.7899999999999998E-2</c:v>
                </c:pt>
                <c:pt idx="44">
                  <c:v>4.7899999999999998E-2</c:v>
                </c:pt>
                <c:pt idx="45">
                  <c:v>4.7899999999999998E-2</c:v>
                </c:pt>
                <c:pt idx="46">
                  <c:v>4.7899999999999998E-2</c:v>
                </c:pt>
                <c:pt idx="47">
                  <c:v>4.7899999999999998E-2</c:v>
                </c:pt>
                <c:pt idx="48">
                  <c:v>4.7899999999999998E-2</c:v>
                </c:pt>
                <c:pt idx="49">
                  <c:v>4.7899999999999998E-2</c:v>
                </c:pt>
                <c:pt idx="50">
                  <c:v>4.7899999999999998E-2</c:v>
                </c:pt>
                <c:pt idx="51">
                  <c:v>4.7899999999999998E-2</c:v>
                </c:pt>
                <c:pt idx="52">
                  <c:v>4.7899999999999998E-2</c:v>
                </c:pt>
                <c:pt idx="53">
                  <c:v>4.7899999999999998E-2</c:v>
                </c:pt>
                <c:pt idx="54">
                  <c:v>4.7899999999999998E-2</c:v>
                </c:pt>
                <c:pt idx="55">
                  <c:v>4.7899999999999998E-2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16-45A4-B0C5-07C0D19788D6}"/>
            </c:ext>
          </c:extLst>
        </c:ser>
        <c:ser>
          <c:idx val="2"/>
          <c:order val="1"/>
          <c:tx>
            <c:strRef>
              <c:f>'using SP rocks'!$AP$2</c:f>
              <c:strCache>
                <c:ptCount val="1"/>
                <c:pt idx="0">
                  <c:v>0.040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'using SP rocks'!$AM$4:$AM$59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rocks'!$AP$4:$AP$59</c:f>
              <c:numCache>
                <c:formatCode>0.0000</c:formatCode>
                <c:ptCount val="56"/>
                <c:pt idx="0">
                  <c:v>3.6519642532216054E-2</c:v>
                </c:pt>
                <c:pt idx="1">
                  <c:v>3.8582551360104612E-2</c:v>
                </c:pt>
                <c:pt idx="2">
                  <c:v>4.0271518258293032E-2</c:v>
                </c:pt>
                <c:pt idx="3">
                  <c:v>4.1654327398770619E-2</c:v>
                </c:pt>
                <c:pt idx="4">
                  <c:v>4.278647576771695E-2</c:v>
                </c:pt>
                <c:pt idx="5">
                  <c:v>4.371340045442039E-2</c:v>
                </c:pt>
                <c:pt idx="6">
                  <c:v>4.4472302201211671E-2</c:v>
                </c:pt>
                <c:pt idx="7">
                  <c:v>4.5093638399874292E-2</c:v>
                </c:pt>
                <c:pt idx="8">
                  <c:v>4.5602345453719946E-2</c:v>
                </c:pt>
                <c:pt idx="9">
                  <c:v>4.6018839563011081E-2</c:v>
                </c:pt>
                <c:pt idx="10">
                  <c:v>4.6359836098763554E-2</c:v>
                </c:pt>
                <c:pt idx="11">
                  <c:v>4.6639020449277167E-2</c:v>
                </c:pt>
                <c:pt idx="12">
                  <c:v>4.6867597262820755E-2</c:v>
                </c:pt>
                <c:pt idx="13">
                  <c:v>4.705474012950947E-2</c:v>
                </c:pt>
                <c:pt idx="14">
                  <c:v>4.7207959749686688E-2</c:v>
                </c:pt>
                <c:pt idx="15">
                  <c:v>4.7333405364700709E-2</c:v>
                </c:pt>
                <c:pt idx="16">
                  <c:v>4.7436111547551466E-2</c:v>
                </c:pt>
                <c:pt idx="17">
                  <c:v>4.7520200257982634E-2</c:v>
                </c:pt>
                <c:pt idx="18">
                  <c:v>4.7589046271199295E-2</c:v>
                </c:pt>
                <c:pt idx="19">
                  <c:v>4.7645412619446596E-2</c:v>
                </c:pt>
                <c:pt idx="20">
                  <c:v>4.7806342536712711E-2</c:v>
                </c:pt>
                <c:pt idx="21">
                  <c:v>4.7865545344744333E-2</c:v>
                </c:pt>
                <c:pt idx="22">
                  <c:v>4.7887324840678792E-2</c:v>
                </c:pt>
                <c:pt idx="23">
                  <c:v>4.7895337069472153E-2</c:v>
                </c:pt>
                <c:pt idx="24">
                  <c:v>4.7898284603723196E-2</c:v>
                </c:pt>
                <c:pt idx="25">
                  <c:v>4.7899368940976302E-2</c:v>
                </c:pt>
                <c:pt idx="26">
                  <c:v>4.7899767846359013E-2</c:v>
                </c:pt>
                <c:pt idx="27">
                  <c:v>4.789991459544829E-2</c:v>
                </c:pt>
                <c:pt idx="28">
                  <c:v>4.7899968581421239E-2</c:v>
                </c:pt>
                <c:pt idx="29">
                  <c:v>4.78999884417508E-2</c:v>
                </c:pt>
                <c:pt idx="30">
                  <c:v>4.7899995747957745E-2</c:v>
                </c:pt>
                <c:pt idx="31">
                  <c:v>4.7899998435761072E-2</c:v>
                </c:pt>
                <c:pt idx="32">
                  <c:v>4.7899999424548652E-2</c:v>
                </c:pt>
                <c:pt idx="33">
                  <c:v>4.7899999788303282E-2</c:v>
                </c:pt>
                <c:pt idx="34">
                  <c:v>4.7899999922121128E-2</c:v>
                </c:pt>
                <c:pt idx="35">
                  <c:v>4.7899999971349964E-2</c:v>
                </c:pt>
                <c:pt idx="36">
                  <c:v>4.7899999996122634E-2</c:v>
                </c:pt>
                <c:pt idx="37">
                  <c:v>4.7899999999475251E-2</c:v>
                </c:pt>
                <c:pt idx="38">
                  <c:v>4.7899999999928979E-2</c:v>
                </c:pt>
                <c:pt idx="39">
                  <c:v>4.7899999999990388E-2</c:v>
                </c:pt>
                <c:pt idx="40">
                  <c:v>4.7899999999998701E-2</c:v>
                </c:pt>
                <c:pt idx="41">
                  <c:v>4.7899999999999825E-2</c:v>
                </c:pt>
                <c:pt idx="42">
                  <c:v>4.7899999999999977E-2</c:v>
                </c:pt>
                <c:pt idx="43">
                  <c:v>4.7899999999999998E-2</c:v>
                </c:pt>
                <c:pt idx="44">
                  <c:v>4.7899999999999998E-2</c:v>
                </c:pt>
                <c:pt idx="45">
                  <c:v>4.7899999999999998E-2</c:v>
                </c:pt>
                <c:pt idx="46">
                  <c:v>4.7899999999999998E-2</c:v>
                </c:pt>
                <c:pt idx="47">
                  <c:v>4.7899999999999998E-2</c:v>
                </c:pt>
                <c:pt idx="48">
                  <c:v>4.7899999999999998E-2</c:v>
                </c:pt>
                <c:pt idx="49">
                  <c:v>4.7899999999999998E-2</c:v>
                </c:pt>
                <c:pt idx="50">
                  <c:v>4.7899999999999998E-2</c:v>
                </c:pt>
                <c:pt idx="51">
                  <c:v>4.7899999999999998E-2</c:v>
                </c:pt>
                <c:pt idx="52">
                  <c:v>4.7899999999999998E-2</c:v>
                </c:pt>
                <c:pt idx="53">
                  <c:v>4.7899999999999998E-2</c:v>
                </c:pt>
                <c:pt idx="54">
                  <c:v>4.7899999999999998E-2</c:v>
                </c:pt>
                <c:pt idx="55">
                  <c:v>4.7899999999999998E-2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16-45A4-B0C5-07C0D19788D6}"/>
            </c:ext>
          </c:extLst>
        </c:ser>
        <c:ser>
          <c:idx val="1"/>
          <c:order val="2"/>
          <c:tx>
            <c:strRef>
              <c:f>'using SP rocks'!$AO$2</c:f>
              <c:strCache>
                <c:ptCount val="1"/>
                <c:pt idx="0">
                  <c:v>0.037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SP rocks'!$AM$4:$AM$59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rocks'!$AO$4:$AO$59</c:f>
              <c:numCache>
                <c:formatCode>0.0000</c:formatCode>
                <c:ptCount val="56"/>
                <c:pt idx="0">
                  <c:v>3.6417328092214533E-2</c:v>
                </c:pt>
                <c:pt idx="1">
                  <c:v>3.8414262291953556E-2</c:v>
                </c:pt>
                <c:pt idx="2">
                  <c:v>4.0063912668718976E-2</c:v>
                </c:pt>
                <c:pt idx="3">
                  <c:v>4.142667482979466E-2</c:v>
                </c:pt>
                <c:pt idx="4">
                  <c:v>4.2552441073246225E-2</c:v>
                </c:pt>
                <c:pt idx="5">
                  <c:v>4.3482427002628568E-2</c:v>
                </c:pt>
                <c:pt idx="6">
                  <c:v>4.4250680477877079E-2</c:v>
                </c:pt>
                <c:pt idx="7">
                  <c:v>4.4885328146819135E-2</c:v>
                </c:pt>
                <c:pt idx="8">
                  <c:v>4.5409605194265366E-2</c:v>
                </c:pt>
                <c:pt idx="9">
                  <c:v>4.5842706008985323E-2</c:v>
                </c:pt>
                <c:pt idx="10">
                  <c:v>4.6200486912469065E-2</c:v>
                </c:pt>
                <c:pt idx="11">
                  <c:v>4.6496046677186674E-2</c:v>
                </c:pt>
                <c:pt idx="12">
                  <c:v>4.6740206087790601E-2</c:v>
                </c:pt>
                <c:pt idx="13">
                  <c:v>4.6941904102550537E-2</c:v>
                </c:pt>
                <c:pt idx="14">
                  <c:v>4.7108525118949106E-2</c:v>
                </c:pt>
                <c:pt idx="15">
                  <c:v>4.7246169325010003E-2</c:v>
                </c:pt>
                <c:pt idx="16">
                  <c:v>4.7359876034233375E-2</c:v>
                </c:pt>
                <c:pt idx="17">
                  <c:v>4.7453808180688485E-2</c:v>
                </c:pt>
                <c:pt idx="18">
                  <c:v>4.7531404728842298E-2</c:v>
                </c:pt>
                <c:pt idx="19">
                  <c:v>4.7595506578024097E-2</c:v>
                </c:pt>
                <c:pt idx="20">
                  <c:v>4.7782856365696035E-2</c:v>
                </c:pt>
                <c:pt idx="21">
                  <c:v>4.7854932914580248E-2</c:v>
                </c:pt>
                <c:pt idx="22">
                  <c:v>4.7882661950004374E-2</c:v>
                </c:pt>
                <c:pt idx="23">
                  <c:v>4.7893329766616789E-2</c:v>
                </c:pt>
                <c:pt idx="24">
                  <c:v>4.7897433851361734E-2</c:v>
                </c:pt>
                <c:pt idx="25">
                  <c:v>4.789901276035554E-2</c:v>
                </c:pt>
                <c:pt idx="26">
                  <c:v>4.7899620192649379E-2</c:v>
                </c:pt>
                <c:pt idx="27">
                  <c:v>4.7899853881856962E-2</c:v>
                </c:pt>
                <c:pt idx="28">
                  <c:v>4.7899943785943873E-2</c:v>
                </c:pt>
                <c:pt idx="29">
                  <c:v>4.7899978373526789E-2</c:v>
                </c:pt>
                <c:pt idx="30">
                  <c:v>4.7899991679939573E-2</c:v>
                </c:pt>
                <c:pt idx="31">
                  <c:v>4.7899996799135723E-2</c:v>
                </c:pt>
                <c:pt idx="32">
                  <c:v>4.7899998768574793E-2</c:v>
                </c:pt>
                <c:pt idx="33">
                  <c:v>4.7899999526250445E-2</c:v>
                </c:pt>
                <c:pt idx="34">
                  <c:v>4.7899999817740742E-2</c:v>
                </c:pt>
                <c:pt idx="35">
                  <c:v>4.7899999929881858E-2</c:v>
                </c:pt>
                <c:pt idx="36">
                  <c:v>4.7899999989622043E-2</c:v>
                </c:pt>
                <c:pt idx="37">
                  <c:v>4.7899999998463991E-2</c:v>
                </c:pt>
                <c:pt idx="38">
                  <c:v>4.7899999999772659E-2</c:v>
                </c:pt>
                <c:pt idx="39">
                  <c:v>4.7899999999966351E-2</c:v>
                </c:pt>
                <c:pt idx="40">
                  <c:v>4.7899999999995016E-2</c:v>
                </c:pt>
                <c:pt idx="41">
                  <c:v>4.7899999999999263E-2</c:v>
                </c:pt>
                <c:pt idx="42">
                  <c:v>4.7899999999999887E-2</c:v>
                </c:pt>
                <c:pt idx="43">
                  <c:v>4.7899999999999984E-2</c:v>
                </c:pt>
                <c:pt idx="44">
                  <c:v>4.7899999999999998E-2</c:v>
                </c:pt>
                <c:pt idx="45">
                  <c:v>4.7899999999999998E-2</c:v>
                </c:pt>
                <c:pt idx="46">
                  <c:v>4.7899999999999998E-2</c:v>
                </c:pt>
                <c:pt idx="47">
                  <c:v>4.7899999999999998E-2</c:v>
                </c:pt>
                <c:pt idx="48">
                  <c:v>4.7899999999999998E-2</c:v>
                </c:pt>
                <c:pt idx="49">
                  <c:v>4.7899999999999998E-2</c:v>
                </c:pt>
                <c:pt idx="50">
                  <c:v>4.7899999999999998E-2</c:v>
                </c:pt>
                <c:pt idx="51">
                  <c:v>4.7899999999999998E-2</c:v>
                </c:pt>
                <c:pt idx="52">
                  <c:v>4.7899999999999998E-2</c:v>
                </c:pt>
                <c:pt idx="53">
                  <c:v>4.7899999999999998E-2</c:v>
                </c:pt>
                <c:pt idx="54">
                  <c:v>4.7899999999999998E-2</c:v>
                </c:pt>
                <c:pt idx="55">
                  <c:v>4.7899999999999998E-2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16-45A4-B0C5-07C0D19788D6}"/>
            </c:ext>
          </c:extLst>
        </c:ser>
        <c:ser>
          <c:idx val="0"/>
          <c:order val="3"/>
          <c:tx>
            <c:strRef>
              <c:f>'using SP rocks'!$AN$2</c:f>
              <c:strCache>
                <c:ptCount val="1"/>
                <c:pt idx="0">
                  <c:v>0.034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SP rocks'!$AM$4:$AM$59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rocks'!$AN$4:$AN$59</c:f>
              <c:numCache>
                <c:formatCode>0.0000</c:formatCode>
                <c:ptCount val="56"/>
                <c:pt idx="0">
                  <c:v>3.6324870498324696E-2</c:v>
                </c:pt>
                <c:pt idx="1">
                  <c:v>3.8260890433053661E-2</c:v>
                </c:pt>
                <c:pt idx="2">
                  <c:v>3.9873097732500626E-2</c:v>
                </c:pt>
                <c:pt idx="3">
                  <c:v>4.121565228463335E-2</c:v>
                </c:pt>
                <c:pt idx="4">
                  <c:v>4.2333655364057809E-2</c:v>
                </c:pt>
                <c:pt idx="5">
                  <c:v>4.3264664747339095E-2</c:v>
                </c:pt>
                <c:pt idx="6">
                  <c:v>4.4039956414875479E-2</c:v>
                </c:pt>
                <c:pt idx="7">
                  <c:v>4.468557522446566E-2</c:v>
                </c:pt>
                <c:pt idx="8">
                  <c:v>4.5223209852503339E-2</c:v>
                </c:pt>
                <c:pt idx="9">
                  <c:v>4.5670921395245867E-2</c:v>
                </c:pt>
                <c:pt idx="10">
                  <c:v>4.6043750106514909E-2</c:v>
                </c:pt>
                <c:pt idx="11">
                  <c:v>4.6354220654348133E-2</c:v>
                </c:pt>
                <c:pt idx="12">
                  <c:v>4.6612762870004654E-2</c:v>
                </c:pt>
                <c:pt idx="13">
                  <c:v>4.6828062123808564E-2</c:v>
                </c:pt>
                <c:pt idx="14">
                  <c:v>4.7007351098225417E-2</c:v>
                </c:pt>
                <c:pt idx="15">
                  <c:v>4.7156652759887119E-2</c:v>
                </c:pt>
                <c:pt idx="16">
                  <c:v>4.7280982692876297E-2</c:v>
                </c:pt>
                <c:pt idx="17">
                  <c:v>4.7384517590378761E-2</c:v>
                </c:pt>
                <c:pt idx="18">
                  <c:v>4.7470735564949532E-2</c:v>
                </c:pt>
                <c:pt idx="19">
                  <c:v>4.7542532990922828E-2</c:v>
                </c:pt>
                <c:pt idx="20">
                  <c:v>4.7756850031042949E-2</c:v>
                </c:pt>
                <c:pt idx="21">
                  <c:v>4.7842674671810116E-2</c:v>
                </c:pt>
                <c:pt idx="22">
                  <c:v>4.7877043702656587E-2</c:v>
                </c:pt>
                <c:pt idx="23">
                  <c:v>4.7890807002692187E-2</c:v>
                </c:pt>
                <c:pt idx="24">
                  <c:v>4.7896318604945858E-2</c:v>
                </c:pt>
                <c:pt idx="25">
                  <c:v>4.7898525761610619E-2</c:v>
                </c:pt>
                <c:pt idx="26">
                  <c:v>4.7899409631730151E-2</c:v>
                </c:pt>
                <c:pt idx="27">
                  <c:v>4.7899763583219276E-2</c:v>
                </c:pt>
                <c:pt idx="28">
                  <c:v>4.7899905325375594E-2</c:v>
                </c:pt>
                <c:pt idx="29">
                  <c:v>4.7899962086936136E-2</c:v>
                </c:pt>
                <c:pt idx="30">
                  <c:v>4.7899984817469085E-2</c:v>
                </c:pt>
                <c:pt idx="31">
                  <c:v>4.7899993920057587E-2</c:v>
                </c:pt>
                <c:pt idx="32">
                  <c:v>4.7899997565247855E-2</c:v>
                </c:pt>
                <c:pt idx="33">
                  <c:v>4.7899999024987802E-2</c:v>
                </c:pt>
                <c:pt idx="34">
                  <c:v>4.7899999609550076E-2</c:v>
                </c:pt>
                <c:pt idx="35">
                  <c:v>4.7899999843641808E-2</c:v>
                </c:pt>
                <c:pt idx="36">
                  <c:v>4.7899999974925563E-2</c:v>
                </c:pt>
                <c:pt idx="37">
                  <c:v>4.789999999597893E-2</c:v>
                </c:pt>
                <c:pt idx="38">
                  <c:v>4.789999999935516E-2</c:v>
                </c:pt>
                <c:pt idx="39">
                  <c:v>4.7899999999896588E-2</c:v>
                </c:pt>
                <c:pt idx="40">
                  <c:v>4.7899999999983414E-2</c:v>
                </c:pt>
                <c:pt idx="41">
                  <c:v>4.7899999999997341E-2</c:v>
                </c:pt>
                <c:pt idx="42">
                  <c:v>4.7899999999999575E-2</c:v>
                </c:pt>
                <c:pt idx="43">
                  <c:v>4.7899999999999929E-2</c:v>
                </c:pt>
                <c:pt idx="44">
                  <c:v>4.7899999999999984E-2</c:v>
                </c:pt>
                <c:pt idx="45">
                  <c:v>4.7899999999999998E-2</c:v>
                </c:pt>
                <c:pt idx="46">
                  <c:v>4.7899999999999998E-2</c:v>
                </c:pt>
                <c:pt idx="47">
                  <c:v>4.7899999999999998E-2</c:v>
                </c:pt>
                <c:pt idx="48">
                  <c:v>4.7899999999999998E-2</c:v>
                </c:pt>
                <c:pt idx="49">
                  <c:v>4.7899999999999998E-2</c:v>
                </c:pt>
                <c:pt idx="50">
                  <c:v>4.7899999999999998E-2</c:v>
                </c:pt>
                <c:pt idx="51">
                  <c:v>4.7899999999999998E-2</c:v>
                </c:pt>
                <c:pt idx="52">
                  <c:v>4.7899999999999998E-2</c:v>
                </c:pt>
                <c:pt idx="53">
                  <c:v>4.7899999999999998E-2</c:v>
                </c:pt>
                <c:pt idx="54">
                  <c:v>4.7899999999999998E-2</c:v>
                </c:pt>
                <c:pt idx="55">
                  <c:v>4.7899999999999998E-2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A16-45A4-B0C5-07C0D1978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 vs Predicted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(k=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^0.5)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'using SP rocks'!$AS$47</c:f>
              <c:strCache>
                <c:ptCount val="1"/>
                <c:pt idx="0">
                  <c:v>Low Flow (τ* = 0.075)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SP rocks'!$AT$49:$AT$54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4.5670921395245867E-2</c:v>
                </c:pt>
                <c:pt idx="2">
                  <c:v>4.7842674671810116E-2</c:v>
                </c:pt>
                <c:pt idx="3">
                  <c:v>4.7899763583219276E-2</c:v>
                </c:pt>
                <c:pt idx="4">
                  <c:v>4.789999999597893E-2</c:v>
                </c:pt>
                <c:pt idx="5">
                  <c:v>4.7899999999999998E-2</c:v>
                </c:pt>
              </c:numCache>
            </c:numRef>
          </c:xVal>
          <c:yVal>
            <c:numRef>
              <c:f>'using SP rocks'!$AU$49:$AU$54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3.9800000000000002E-2</c:v>
                </c:pt>
                <c:pt idx="2">
                  <c:v>4.24E-2</c:v>
                </c:pt>
                <c:pt idx="3">
                  <c:v>4.2799999999999998E-2</c:v>
                </c:pt>
                <c:pt idx="4">
                  <c:v>4.3799999999999999E-2</c:v>
                </c:pt>
                <c:pt idx="5">
                  <c:v>3.9100000000000003E-2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04-414F-BE62-773FF3724F22}"/>
            </c:ext>
          </c:extLst>
        </c:ser>
        <c:ser>
          <c:idx val="1"/>
          <c:order val="1"/>
          <c:tx>
            <c:strRef>
              <c:f>'using SP rocks'!$AS$38</c:f>
              <c:strCache>
                <c:ptCount val="1"/>
                <c:pt idx="0">
                  <c:v>Med Low Flow (τ* = 0.086)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SP rocks'!$AT$40:$AT$45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4.5842706008985323E-2</c:v>
                </c:pt>
                <c:pt idx="2">
                  <c:v>4.7854932914580248E-2</c:v>
                </c:pt>
                <c:pt idx="3">
                  <c:v>4.7899853881856962E-2</c:v>
                </c:pt>
                <c:pt idx="4">
                  <c:v>4.7899999998463991E-2</c:v>
                </c:pt>
                <c:pt idx="5">
                  <c:v>4.7899999999999998E-2</c:v>
                </c:pt>
              </c:numCache>
            </c:numRef>
          </c:xVal>
          <c:yVal>
            <c:numRef>
              <c:f>'using SP rocks'!$AU$40:$AU$45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4.2900000000000001E-2</c:v>
                </c:pt>
                <c:pt idx="2">
                  <c:v>4.3999999999999997E-2</c:v>
                </c:pt>
                <c:pt idx="3">
                  <c:v>4.6800000000000001E-2</c:v>
                </c:pt>
                <c:pt idx="4">
                  <c:v>4.4400000000000002E-2</c:v>
                </c:pt>
                <c:pt idx="5">
                  <c:v>4.1300000000000003E-2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04-414F-BE62-773FF3724F22}"/>
            </c:ext>
          </c:extLst>
        </c:ser>
        <c:ser>
          <c:idx val="2"/>
          <c:order val="2"/>
          <c:tx>
            <c:strRef>
              <c:f>'using SP rocks'!$AS$29</c:f>
              <c:strCache>
                <c:ptCount val="1"/>
                <c:pt idx="0">
                  <c:v>Med High Flow (τ* = 0.089)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'using SP rocks'!$AT$31:$AT$36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4.6018839563011081E-2</c:v>
                </c:pt>
                <c:pt idx="2">
                  <c:v>4.7865545344744333E-2</c:v>
                </c:pt>
                <c:pt idx="3">
                  <c:v>4.789991459544829E-2</c:v>
                </c:pt>
                <c:pt idx="4">
                  <c:v>4.7899999999475251E-2</c:v>
                </c:pt>
                <c:pt idx="5">
                  <c:v>4.7899999999999998E-2</c:v>
                </c:pt>
              </c:numCache>
            </c:numRef>
          </c:xVal>
          <c:yVal>
            <c:numRef>
              <c:f>'using SP rocks'!$AU$31:$AU$36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4.2700000000000002E-2</c:v>
                </c:pt>
                <c:pt idx="2">
                  <c:v>4.2000000000000003E-2</c:v>
                </c:pt>
                <c:pt idx="3">
                  <c:v>4.7899999999999998E-2</c:v>
                </c:pt>
                <c:pt idx="4">
                  <c:v>4.4999999999999998E-2</c:v>
                </c:pt>
                <c:pt idx="5">
                  <c:v>4.3799999999999999E-2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04-414F-BE62-773FF3724F22}"/>
            </c:ext>
          </c:extLst>
        </c:ser>
        <c:ser>
          <c:idx val="3"/>
          <c:order val="3"/>
          <c:tx>
            <c:strRef>
              <c:f>'using SP rocks'!$AS$20</c:f>
              <c:strCache>
                <c:ptCount val="1"/>
                <c:pt idx="0">
                  <c:v>High Flow: (τ* = 0.108)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'using SP rocks'!$AT$22:$AT$27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4.6363330694503026E-2</c:v>
                </c:pt>
                <c:pt idx="2">
                  <c:v>4.7881219305471297E-2</c:v>
                </c:pt>
                <c:pt idx="3">
                  <c:v>4.7899974624857053E-2</c:v>
                </c:pt>
                <c:pt idx="4">
                  <c:v>4.7899999999953674E-2</c:v>
                </c:pt>
                <c:pt idx="5">
                  <c:v>4.7899999999999998E-2</c:v>
                </c:pt>
              </c:numCache>
            </c:numRef>
          </c:xVal>
          <c:yVal>
            <c:numRef>
              <c:f>'using SP rocks'!$AU$22:$AU$27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4.1500000000000002E-2</c:v>
                </c:pt>
                <c:pt idx="2">
                  <c:v>4.3700000000000003E-2</c:v>
                </c:pt>
                <c:pt idx="3">
                  <c:v>4.36E-2</c:v>
                </c:pt>
                <c:pt idx="4">
                  <c:v>4.2799999999999998E-2</c:v>
                </c:pt>
                <c:pt idx="5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04-414F-BE62-773FF3724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99248"/>
        <c:axId val="1496091088"/>
      </c:scatterChar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>
                    <a:lumMod val="50000"/>
                    <a:lumOff val="5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104-414F-BE62-773FF3724F22}"/>
              </c:ext>
            </c:extLst>
          </c:dPt>
          <c:xVal>
            <c:numRef>
              <c:f>'using SP rocks'!$J$56:$J$57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xVal>
          <c:yVal>
            <c:numRef>
              <c:f>'using SP rocks'!$K$56:$K$57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104-414F-BE62-773FF3724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99248"/>
        <c:axId val="1496091088"/>
      </c:scatterChart>
      <c:valAx>
        <c:axId val="1496099248"/>
        <c:scaling>
          <c:orientation val="minMax"/>
          <c:max val="6.0000000000000012E-2"/>
          <c:min val="3.000000000000000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91088"/>
        <c:crosses val="autoZero"/>
        <c:crossBetween val="midCat"/>
      </c:valAx>
      <c:valAx>
        <c:axId val="1496091088"/>
        <c:scaling>
          <c:orientation val="minMax"/>
          <c:max val="6.0000000000000012E-2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99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High Flow: (</a:t>
            </a:r>
            <a:r>
              <a:rPr lang="el-GR" sz="1200" baseline="0"/>
              <a:t>τ* = 0.108</a:t>
            </a:r>
            <a:r>
              <a:rPr lang="en-US" sz="1200" baseline="0"/>
              <a:t>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SP rocks'!$AU$21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SP rocks'!$AS$22:$AS$27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SP rocks'!$AU$22:$AU$27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4.1500000000000002E-2</c:v>
                </c:pt>
                <c:pt idx="2">
                  <c:v>4.3700000000000003E-2</c:v>
                </c:pt>
                <c:pt idx="3">
                  <c:v>4.36E-2</c:v>
                </c:pt>
                <c:pt idx="4">
                  <c:v>4.2799999999999998E-2</c:v>
                </c:pt>
                <c:pt idx="5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66-47CC-9DB5-1B4BDD3F8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SP rocks'!$K$21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'using SP rocks'!$V$4:$V$59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rocks'!$AQ$4:$AQ$59</c:f>
              <c:numCache>
                <c:formatCode>0.0000</c:formatCode>
                <c:ptCount val="56"/>
                <c:pt idx="0">
                  <c:v>3.6747522342216815E-2</c:v>
                </c:pt>
                <c:pt idx="1">
                  <c:v>3.8951959862780348E-2</c:v>
                </c:pt>
                <c:pt idx="2">
                  <c:v>4.0720660596310118E-2</c:v>
                </c:pt>
                <c:pt idx="3">
                  <c:v>4.2139753791561589E-2</c:v>
                </c:pt>
                <c:pt idx="4">
                  <c:v>4.3278344090435988E-2</c:v>
                </c:pt>
                <c:pt idx="5">
                  <c:v>4.4191876670980269E-2</c:v>
                </c:pt>
                <c:pt idx="6">
                  <c:v>4.4924837224518191E-2</c:v>
                </c:pt>
                <c:pt idx="7">
                  <c:v>4.5512918245911575E-2</c:v>
                </c:pt>
                <c:pt idx="8">
                  <c:v>4.5984757127354454E-2</c:v>
                </c:pt>
                <c:pt idx="9">
                  <c:v>4.6363330694503026E-2</c:v>
                </c:pt>
                <c:pt idx="10">
                  <c:v>4.6667074093744154E-2</c:v>
                </c:pt>
                <c:pt idx="11">
                  <c:v>4.6910778516315081E-2</c:v>
                </c:pt>
                <c:pt idx="12">
                  <c:v>4.7106311475151423E-2</c:v>
                </c:pt>
                <c:pt idx="13">
                  <c:v>4.726319470930844E-2</c:v>
                </c:pt>
                <c:pt idx="14">
                  <c:v>4.7389067857784482E-2</c:v>
                </c:pt>
                <c:pt idx="15">
                  <c:v>4.7490060481963893E-2</c:v>
                </c:pt>
                <c:pt idx="16">
                  <c:v>4.7571090552810065E-2</c:v>
                </c:pt>
                <c:pt idx="17">
                  <c:v>4.7636103938041754E-2</c:v>
                </c:pt>
                <c:pt idx="18">
                  <c:v>4.7688266551441275E-2</c:v>
                </c:pt>
                <c:pt idx="19">
                  <c:v>4.7730118521262119E-2</c:v>
                </c:pt>
                <c:pt idx="20">
                  <c:v>4.7843515558263709E-2</c:v>
                </c:pt>
                <c:pt idx="21">
                  <c:v>4.7881219305471297E-2</c:v>
                </c:pt>
                <c:pt idx="22">
                  <c:v>4.7893755546197535E-2</c:v>
                </c:pt>
                <c:pt idx="23">
                  <c:v>4.7897923761379989E-2</c:v>
                </c:pt>
                <c:pt idx="24">
                  <c:v>4.7899309664713105E-2</c:v>
                </c:pt>
                <c:pt idx="25">
                  <c:v>4.789977046819005E-2</c:v>
                </c:pt>
                <c:pt idx="26">
                  <c:v>4.7899923682226911E-2</c:v>
                </c:pt>
                <c:pt idx="27">
                  <c:v>4.7899974624857053E-2</c:v>
                </c:pt>
                <c:pt idx="28">
                  <c:v>4.7899991562936735E-2</c:v>
                </c:pt>
                <c:pt idx="29">
                  <c:v>4.7899997194733576E-2</c:v>
                </c:pt>
                <c:pt idx="30">
                  <c:v>4.7899999067267898E-2</c:v>
                </c:pt>
                <c:pt idx="31">
                  <c:v>4.7899999689872887E-2</c:v>
                </c:pt>
                <c:pt idx="32">
                  <c:v>4.7899999896884836E-2</c:v>
                </c:pt>
                <c:pt idx="33">
                  <c:v>4.7899999965714903E-2</c:v>
                </c:pt>
                <c:pt idx="34">
                  <c:v>4.7899999988600436E-2</c:v>
                </c:pt>
                <c:pt idx="35">
                  <c:v>4.7899999996209724E-2</c:v>
                </c:pt>
                <c:pt idx="36">
                  <c:v>4.7899999999580979E-2</c:v>
                </c:pt>
                <c:pt idx="37">
                  <c:v>4.7899999999953674E-2</c:v>
                </c:pt>
                <c:pt idx="38">
                  <c:v>4.7899999999994877E-2</c:v>
                </c:pt>
                <c:pt idx="39">
                  <c:v>4.7899999999999429E-2</c:v>
                </c:pt>
                <c:pt idx="40">
                  <c:v>4.7899999999999936E-2</c:v>
                </c:pt>
                <c:pt idx="41">
                  <c:v>4.7899999999999991E-2</c:v>
                </c:pt>
                <c:pt idx="42">
                  <c:v>4.7899999999999998E-2</c:v>
                </c:pt>
                <c:pt idx="43">
                  <c:v>4.7899999999999998E-2</c:v>
                </c:pt>
                <c:pt idx="44">
                  <c:v>4.7899999999999998E-2</c:v>
                </c:pt>
                <c:pt idx="45">
                  <c:v>4.7899999999999998E-2</c:v>
                </c:pt>
                <c:pt idx="46">
                  <c:v>4.7899999999999998E-2</c:v>
                </c:pt>
                <c:pt idx="47">
                  <c:v>4.7899999999999998E-2</c:v>
                </c:pt>
                <c:pt idx="48">
                  <c:v>4.7899999999999998E-2</c:v>
                </c:pt>
                <c:pt idx="49">
                  <c:v>4.7899999999999998E-2</c:v>
                </c:pt>
                <c:pt idx="50">
                  <c:v>4.7899999999999998E-2</c:v>
                </c:pt>
                <c:pt idx="51">
                  <c:v>4.7899999999999998E-2</c:v>
                </c:pt>
                <c:pt idx="52">
                  <c:v>4.7899999999999998E-2</c:v>
                </c:pt>
                <c:pt idx="53">
                  <c:v>4.7899999999999998E-2</c:v>
                </c:pt>
                <c:pt idx="54">
                  <c:v>4.7899999999999998E-2</c:v>
                </c:pt>
                <c:pt idx="55">
                  <c:v>4.7899999999999998E-2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66-47CC-9DB5-1B4BDD3F8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Med High Flow (</a:t>
            </a:r>
            <a:r>
              <a:rPr lang="el-GR" sz="1200" baseline="0"/>
              <a:t>τ* = 0.089)</a:t>
            </a:r>
            <a:endParaRPr lang="en-US" sz="1200"/>
          </a:p>
        </c:rich>
      </c:tx>
      <c:layout>
        <c:manualLayout>
          <c:xMode val="edge"/>
          <c:yMode val="edge"/>
          <c:x val="0.31548891171212295"/>
          <c:y val="5.21310178693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SP rocks'!$AU$30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'using SP rocks'!$AS$31:$AS$36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SP rocks'!$AU$31:$AU$36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4.2700000000000002E-2</c:v>
                </c:pt>
                <c:pt idx="2">
                  <c:v>4.2000000000000003E-2</c:v>
                </c:pt>
                <c:pt idx="3">
                  <c:v>4.7899999999999998E-2</c:v>
                </c:pt>
                <c:pt idx="4">
                  <c:v>4.4999999999999998E-2</c:v>
                </c:pt>
                <c:pt idx="5">
                  <c:v>4.3799999999999999E-2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50-4E55-B696-F1F04B77B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SP rocks'!$K$30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SP rocks'!$AM$4:$AM$59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rocks'!$AP$4:$AP$59</c:f>
              <c:numCache>
                <c:formatCode>0.0000</c:formatCode>
                <c:ptCount val="56"/>
                <c:pt idx="0">
                  <c:v>3.6519642532216054E-2</c:v>
                </c:pt>
                <c:pt idx="1">
                  <c:v>3.8582551360104612E-2</c:v>
                </c:pt>
                <c:pt idx="2">
                  <c:v>4.0271518258293032E-2</c:v>
                </c:pt>
                <c:pt idx="3">
                  <c:v>4.1654327398770619E-2</c:v>
                </c:pt>
                <c:pt idx="4">
                  <c:v>4.278647576771695E-2</c:v>
                </c:pt>
                <c:pt idx="5">
                  <c:v>4.371340045442039E-2</c:v>
                </c:pt>
                <c:pt idx="6">
                  <c:v>4.4472302201211671E-2</c:v>
                </c:pt>
                <c:pt idx="7">
                  <c:v>4.5093638399874292E-2</c:v>
                </c:pt>
                <c:pt idx="8">
                  <c:v>4.5602345453719946E-2</c:v>
                </c:pt>
                <c:pt idx="9">
                  <c:v>4.6018839563011081E-2</c:v>
                </c:pt>
                <c:pt idx="10">
                  <c:v>4.6359836098763554E-2</c:v>
                </c:pt>
                <c:pt idx="11">
                  <c:v>4.6639020449277167E-2</c:v>
                </c:pt>
                <c:pt idx="12">
                  <c:v>4.6867597262820755E-2</c:v>
                </c:pt>
                <c:pt idx="13">
                  <c:v>4.705474012950947E-2</c:v>
                </c:pt>
                <c:pt idx="14">
                  <c:v>4.7207959749686688E-2</c:v>
                </c:pt>
                <c:pt idx="15">
                  <c:v>4.7333405364700709E-2</c:v>
                </c:pt>
                <c:pt idx="16">
                  <c:v>4.7436111547551466E-2</c:v>
                </c:pt>
                <c:pt idx="17">
                  <c:v>4.7520200257982634E-2</c:v>
                </c:pt>
                <c:pt idx="18">
                  <c:v>4.7589046271199295E-2</c:v>
                </c:pt>
                <c:pt idx="19">
                  <c:v>4.7645412619446596E-2</c:v>
                </c:pt>
                <c:pt idx="20">
                  <c:v>4.7806342536712711E-2</c:v>
                </c:pt>
                <c:pt idx="21">
                  <c:v>4.7865545344744333E-2</c:v>
                </c:pt>
                <c:pt idx="22">
                  <c:v>4.7887324840678792E-2</c:v>
                </c:pt>
                <c:pt idx="23">
                  <c:v>4.7895337069472153E-2</c:v>
                </c:pt>
                <c:pt idx="24">
                  <c:v>4.7898284603723196E-2</c:v>
                </c:pt>
                <c:pt idx="25">
                  <c:v>4.7899368940976302E-2</c:v>
                </c:pt>
                <c:pt idx="26">
                  <c:v>4.7899767846359013E-2</c:v>
                </c:pt>
                <c:pt idx="27">
                  <c:v>4.789991459544829E-2</c:v>
                </c:pt>
                <c:pt idx="28">
                  <c:v>4.7899968581421239E-2</c:v>
                </c:pt>
                <c:pt idx="29">
                  <c:v>4.78999884417508E-2</c:v>
                </c:pt>
                <c:pt idx="30">
                  <c:v>4.7899995747957745E-2</c:v>
                </c:pt>
                <c:pt idx="31">
                  <c:v>4.7899998435761072E-2</c:v>
                </c:pt>
                <c:pt idx="32">
                  <c:v>4.7899999424548652E-2</c:v>
                </c:pt>
                <c:pt idx="33">
                  <c:v>4.7899999788303282E-2</c:v>
                </c:pt>
                <c:pt idx="34">
                  <c:v>4.7899999922121128E-2</c:v>
                </c:pt>
                <c:pt idx="35">
                  <c:v>4.7899999971349964E-2</c:v>
                </c:pt>
                <c:pt idx="36">
                  <c:v>4.7899999996122634E-2</c:v>
                </c:pt>
                <c:pt idx="37">
                  <c:v>4.7899999999475251E-2</c:v>
                </c:pt>
                <c:pt idx="38">
                  <c:v>4.7899999999928979E-2</c:v>
                </c:pt>
                <c:pt idx="39">
                  <c:v>4.7899999999990388E-2</c:v>
                </c:pt>
                <c:pt idx="40">
                  <c:v>4.7899999999998701E-2</c:v>
                </c:pt>
                <c:pt idx="41">
                  <c:v>4.7899999999999825E-2</c:v>
                </c:pt>
                <c:pt idx="42">
                  <c:v>4.7899999999999977E-2</c:v>
                </c:pt>
                <c:pt idx="43">
                  <c:v>4.7899999999999998E-2</c:v>
                </c:pt>
                <c:pt idx="44">
                  <c:v>4.7899999999999998E-2</c:v>
                </c:pt>
                <c:pt idx="45">
                  <c:v>4.7899999999999998E-2</c:v>
                </c:pt>
                <c:pt idx="46">
                  <c:v>4.7899999999999998E-2</c:v>
                </c:pt>
                <c:pt idx="47">
                  <c:v>4.7899999999999998E-2</c:v>
                </c:pt>
                <c:pt idx="48">
                  <c:v>4.7899999999999998E-2</c:v>
                </c:pt>
                <c:pt idx="49">
                  <c:v>4.7899999999999998E-2</c:v>
                </c:pt>
                <c:pt idx="50">
                  <c:v>4.7899999999999998E-2</c:v>
                </c:pt>
                <c:pt idx="51">
                  <c:v>4.7899999999999998E-2</c:v>
                </c:pt>
                <c:pt idx="52">
                  <c:v>4.7899999999999998E-2</c:v>
                </c:pt>
                <c:pt idx="53">
                  <c:v>4.7899999999999998E-2</c:v>
                </c:pt>
                <c:pt idx="54">
                  <c:v>4.7899999999999998E-2</c:v>
                </c:pt>
                <c:pt idx="55">
                  <c:v>4.7899999999999998E-2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50-4E55-B696-F1F04B77B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Med Low Flow (</a:t>
            </a:r>
            <a:r>
              <a:rPr lang="el-GR" sz="1200" baseline="0"/>
              <a:t>τ* = 0.086</a:t>
            </a:r>
            <a:r>
              <a:rPr lang="en-US" sz="1200" baseline="0"/>
              <a:t>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SP rocks'!$AU$39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SP rocks'!$AS$40:$AS$45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SP rocks'!$AU$40:$AU$45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4.2900000000000001E-2</c:v>
                </c:pt>
                <c:pt idx="2">
                  <c:v>4.3999999999999997E-2</c:v>
                </c:pt>
                <c:pt idx="3">
                  <c:v>4.6800000000000001E-2</c:v>
                </c:pt>
                <c:pt idx="4">
                  <c:v>4.4400000000000002E-2</c:v>
                </c:pt>
                <c:pt idx="5">
                  <c:v>4.1300000000000003E-2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76-4F4F-9C81-9EB62738C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SP rocks'!$K$39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SP rocks'!$AM$4:$AM$59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rocks'!$AO$4:$AO$59</c:f>
              <c:numCache>
                <c:formatCode>0.0000</c:formatCode>
                <c:ptCount val="56"/>
                <c:pt idx="0">
                  <c:v>3.6417328092214533E-2</c:v>
                </c:pt>
                <c:pt idx="1">
                  <c:v>3.8414262291953556E-2</c:v>
                </c:pt>
                <c:pt idx="2">
                  <c:v>4.0063912668718976E-2</c:v>
                </c:pt>
                <c:pt idx="3">
                  <c:v>4.142667482979466E-2</c:v>
                </c:pt>
                <c:pt idx="4">
                  <c:v>4.2552441073246225E-2</c:v>
                </c:pt>
                <c:pt idx="5">
                  <c:v>4.3482427002628568E-2</c:v>
                </c:pt>
                <c:pt idx="6">
                  <c:v>4.4250680477877079E-2</c:v>
                </c:pt>
                <c:pt idx="7">
                  <c:v>4.4885328146819135E-2</c:v>
                </c:pt>
                <c:pt idx="8">
                  <c:v>4.5409605194265366E-2</c:v>
                </c:pt>
                <c:pt idx="9">
                  <c:v>4.5842706008985323E-2</c:v>
                </c:pt>
                <c:pt idx="10">
                  <c:v>4.6200486912469065E-2</c:v>
                </c:pt>
                <c:pt idx="11">
                  <c:v>4.6496046677186674E-2</c:v>
                </c:pt>
                <c:pt idx="12">
                  <c:v>4.6740206087790601E-2</c:v>
                </c:pt>
                <c:pt idx="13">
                  <c:v>4.6941904102550537E-2</c:v>
                </c:pt>
                <c:pt idx="14">
                  <c:v>4.7108525118949106E-2</c:v>
                </c:pt>
                <c:pt idx="15">
                  <c:v>4.7246169325010003E-2</c:v>
                </c:pt>
                <c:pt idx="16">
                  <c:v>4.7359876034233375E-2</c:v>
                </c:pt>
                <c:pt idx="17">
                  <c:v>4.7453808180688485E-2</c:v>
                </c:pt>
                <c:pt idx="18">
                  <c:v>4.7531404728842298E-2</c:v>
                </c:pt>
                <c:pt idx="19">
                  <c:v>4.7595506578024097E-2</c:v>
                </c:pt>
                <c:pt idx="20">
                  <c:v>4.7782856365696035E-2</c:v>
                </c:pt>
                <c:pt idx="21">
                  <c:v>4.7854932914580248E-2</c:v>
                </c:pt>
                <c:pt idx="22">
                  <c:v>4.7882661950004374E-2</c:v>
                </c:pt>
                <c:pt idx="23">
                  <c:v>4.7893329766616789E-2</c:v>
                </c:pt>
                <c:pt idx="24">
                  <c:v>4.7897433851361734E-2</c:v>
                </c:pt>
                <c:pt idx="25">
                  <c:v>4.789901276035554E-2</c:v>
                </c:pt>
                <c:pt idx="26">
                  <c:v>4.7899620192649379E-2</c:v>
                </c:pt>
                <c:pt idx="27">
                  <c:v>4.7899853881856962E-2</c:v>
                </c:pt>
                <c:pt idx="28">
                  <c:v>4.7899943785943873E-2</c:v>
                </c:pt>
                <c:pt idx="29">
                  <c:v>4.7899978373526789E-2</c:v>
                </c:pt>
                <c:pt idx="30">
                  <c:v>4.7899991679939573E-2</c:v>
                </c:pt>
                <c:pt idx="31">
                  <c:v>4.7899996799135723E-2</c:v>
                </c:pt>
                <c:pt idx="32">
                  <c:v>4.7899998768574793E-2</c:v>
                </c:pt>
                <c:pt idx="33">
                  <c:v>4.7899999526250445E-2</c:v>
                </c:pt>
                <c:pt idx="34">
                  <c:v>4.7899999817740742E-2</c:v>
                </c:pt>
                <c:pt idx="35">
                  <c:v>4.7899999929881858E-2</c:v>
                </c:pt>
                <c:pt idx="36">
                  <c:v>4.7899999989622043E-2</c:v>
                </c:pt>
                <c:pt idx="37">
                  <c:v>4.7899999998463991E-2</c:v>
                </c:pt>
                <c:pt idx="38">
                  <c:v>4.7899999999772659E-2</c:v>
                </c:pt>
                <c:pt idx="39">
                  <c:v>4.7899999999966351E-2</c:v>
                </c:pt>
                <c:pt idx="40">
                  <c:v>4.7899999999995016E-2</c:v>
                </c:pt>
                <c:pt idx="41">
                  <c:v>4.7899999999999263E-2</c:v>
                </c:pt>
                <c:pt idx="42">
                  <c:v>4.7899999999999887E-2</c:v>
                </c:pt>
                <c:pt idx="43">
                  <c:v>4.7899999999999984E-2</c:v>
                </c:pt>
                <c:pt idx="44">
                  <c:v>4.7899999999999998E-2</c:v>
                </c:pt>
                <c:pt idx="45">
                  <c:v>4.7899999999999998E-2</c:v>
                </c:pt>
                <c:pt idx="46">
                  <c:v>4.7899999999999998E-2</c:v>
                </c:pt>
                <c:pt idx="47">
                  <c:v>4.7899999999999998E-2</c:v>
                </c:pt>
                <c:pt idx="48">
                  <c:v>4.7899999999999998E-2</c:v>
                </c:pt>
                <c:pt idx="49">
                  <c:v>4.7899999999999998E-2</c:v>
                </c:pt>
                <c:pt idx="50">
                  <c:v>4.7899999999999998E-2</c:v>
                </c:pt>
                <c:pt idx="51">
                  <c:v>4.7899999999999998E-2</c:v>
                </c:pt>
                <c:pt idx="52">
                  <c:v>4.7899999999999998E-2</c:v>
                </c:pt>
                <c:pt idx="53">
                  <c:v>4.7899999999999998E-2</c:v>
                </c:pt>
                <c:pt idx="54">
                  <c:v>4.7899999999999998E-2</c:v>
                </c:pt>
                <c:pt idx="55">
                  <c:v>4.7899999999999998E-2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76-4F4F-9C81-9EB62738C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Low Flow (</a:t>
            </a:r>
            <a:r>
              <a:rPr lang="el-GR" sz="1200" b="0" i="0" u="none" strike="noStrike" baseline="0">
                <a:effectLst/>
              </a:rPr>
              <a:t>τ* = 0.075)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SP rocks'!$AU$48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SP rocks'!$AS$49:$AS$54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SP rocks'!$AU$49:$AU$54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3.9800000000000002E-2</c:v>
                </c:pt>
                <c:pt idx="2">
                  <c:v>4.24E-2</c:v>
                </c:pt>
                <c:pt idx="3">
                  <c:v>4.2799999999999998E-2</c:v>
                </c:pt>
                <c:pt idx="4">
                  <c:v>4.3799999999999999E-2</c:v>
                </c:pt>
                <c:pt idx="5">
                  <c:v>3.9100000000000003E-2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06-4D2E-8FB0-F8B4B680D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SP rocks'!$K$21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SP rocks'!$AM$4:$AM$59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rocks'!$AN$4:$AN$59</c:f>
              <c:numCache>
                <c:formatCode>0.0000</c:formatCode>
                <c:ptCount val="56"/>
                <c:pt idx="0">
                  <c:v>3.6324870498324696E-2</c:v>
                </c:pt>
                <c:pt idx="1">
                  <c:v>3.8260890433053661E-2</c:v>
                </c:pt>
                <c:pt idx="2">
                  <c:v>3.9873097732500626E-2</c:v>
                </c:pt>
                <c:pt idx="3">
                  <c:v>4.121565228463335E-2</c:v>
                </c:pt>
                <c:pt idx="4">
                  <c:v>4.2333655364057809E-2</c:v>
                </c:pt>
                <c:pt idx="5">
                  <c:v>4.3264664747339095E-2</c:v>
                </c:pt>
                <c:pt idx="6">
                  <c:v>4.4039956414875479E-2</c:v>
                </c:pt>
                <c:pt idx="7">
                  <c:v>4.468557522446566E-2</c:v>
                </c:pt>
                <c:pt idx="8">
                  <c:v>4.5223209852503339E-2</c:v>
                </c:pt>
                <c:pt idx="9">
                  <c:v>4.5670921395245867E-2</c:v>
                </c:pt>
                <c:pt idx="10">
                  <c:v>4.6043750106514909E-2</c:v>
                </c:pt>
                <c:pt idx="11">
                  <c:v>4.6354220654348133E-2</c:v>
                </c:pt>
                <c:pt idx="12">
                  <c:v>4.6612762870004654E-2</c:v>
                </c:pt>
                <c:pt idx="13">
                  <c:v>4.6828062123808564E-2</c:v>
                </c:pt>
                <c:pt idx="14">
                  <c:v>4.7007351098225417E-2</c:v>
                </c:pt>
                <c:pt idx="15">
                  <c:v>4.7156652759887119E-2</c:v>
                </c:pt>
                <c:pt idx="16">
                  <c:v>4.7280982692876297E-2</c:v>
                </c:pt>
                <c:pt idx="17">
                  <c:v>4.7384517590378761E-2</c:v>
                </c:pt>
                <c:pt idx="18">
                  <c:v>4.7470735564949532E-2</c:v>
                </c:pt>
                <c:pt idx="19">
                  <c:v>4.7542532990922828E-2</c:v>
                </c:pt>
                <c:pt idx="20">
                  <c:v>4.7756850031042949E-2</c:v>
                </c:pt>
                <c:pt idx="21">
                  <c:v>4.7842674671810116E-2</c:v>
                </c:pt>
                <c:pt idx="22">
                  <c:v>4.7877043702656587E-2</c:v>
                </c:pt>
                <c:pt idx="23">
                  <c:v>4.7890807002692187E-2</c:v>
                </c:pt>
                <c:pt idx="24">
                  <c:v>4.7896318604945858E-2</c:v>
                </c:pt>
                <c:pt idx="25">
                  <c:v>4.7898525761610619E-2</c:v>
                </c:pt>
                <c:pt idx="26">
                  <c:v>4.7899409631730151E-2</c:v>
                </c:pt>
                <c:pt idx="27">
                  <c:v>4.7899763583219276E-2</c:v>
                </c:pt>
                <c:pt idx="28">
                  <c:v>4.7899905325375594E-2</c:v>
                </c:pt>
                <c:pt idx="29">
                  <c:v>4.7899962086936136E-2</c:v>
                </c:pt>
                <c:pt idx="30">
                  <c:v>4.7899984817469085E-2</c:v>
                </c:pt>
                <c:pt idx="31">
                  <c:v>4.7899993920057587E-2</c:v>
                </c:pt>
                <c:pt idx="32">
                  <c:v>4.7899997565247855E-2</c:v>
                </c:pt>
                <c:pt idx="33">
                  <c:v>4.7899999024987802E-2</c:v>
                </c:pt>
                <c:pt idx="34">
                  <c:v>4.7899999609550076E-2</c:v>
                </c:pt>
                <c:pt idx="35">
                  <c:v>4.7899999843641808E-2</c:v>
                </c:pt>
                <c:pt idx="36">
                  <c:v>4.7899999974925563E-2</c:v>
                </c:pt>
                <c:pt idx="37">
                  <c:v>4.789999999597893E-2</c:v>
                </c:pt>
                <c:pt idx="38">
                  <c:v>4.789999999935516E-2</c:v>
                </c:pt>
                <c:pt idx="39">
                  <c:v>4.7899999999896588E-2</c:v>
                </c:pt>
                <c:pt idx="40">
                  <c:v>4.7899999999983414E-2</c:v>
                </c:pt>
                <c:pt idx="41">
                  <c:v>4.7899999999997341E-2</c:v>
                </c:pt>
                <c:pt idx="42">
                  <c:v>4.7899999999999575E-2</c:v>
                </c:pt>
                <c:pt idx="43">
                  <c:v>4.7899999999999929E-2</c:v>
                </c:pt>
                <c:pt idx="44">
                  <c:v>4.7899999999999984E-2</c:v>
                </c:pt>
                <c:pt idx="45">
                  <c:v>4.7899999999999998E-2</c:v>
                </c:pt>
                <c:pt idx="46">
                  <c:v>4.7899999999999998E-2</c:v>
                </c:pt>
                <c:pt idx="47">
                  <c:v>4.7899999999999998E-2</c:v>
                </c:pt>
                <c:pt idx="48">
                  <c:v>4.7899999999999998E-2</c:v>
                </c:pt>
                <c:pt idx="49">
                  <c:v>4.7899999999999998E-2</c:v>
                </c:pt>
                <c:pt idx="50">
                  <c:v>4.7899999999999998E-2</c:v>
                </c:pt>
                <c:pt idx="51">
                  <c:v>4.7899999999999998E-2</c:v>
                </c:pt>
                <c:pt idx="52">
                  <c:v>4.7899999999999998E-2</c:v>
                </c:pt>
                <c:pt idx="53">
                  <c:v>4.7899999999999998E-2</c:v>
                </c:pt>
                <c:pt idx="54">
                  <c:v>4.7899999999999998E-2</c:v>
                </c:pt>
                <c:pt idx="55">
                  <c:v>4.7899999999999998E-2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06-4D2E-8FB0-F8B4B680D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Testing</a:t>
            </a:r>
            <a:r>
              <a:rPr lang="en-US" baseline="0"/>
              <a:t> Equation with flume data (k=</a:t>
            </a:r>
            <a:r>
              <a:rPr lang="el-GR" baseline="0"/>
              <a:t>τ</a:t>
            </a:r>
            <a:r>
              <a:rPr lang="en-US" baseline="0"/>
              <a:t>/2) </a:t>
            </a:r>
            <a:endParaRPr lang="en-US"/>
          </a:p>
        </c:rich>
      </c:tx>
      <c:layout>
        <c:manualLayout>
          <c:xMode val="edge"/>
          <c:yMode val="edge"/>
          <c:x val="0.1763585791018838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'using SP rocks'!$BH$2</c:f>
              <c:strCache>
                <c:ptCount val="1"/>
                <c:pt idx="0">
                  <c:v>0.049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'using SP rocks'!$BD$4:$BD$59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rocks'!$BH$4:$BH$59</c:f>
              <c:numCache>
                <c:formatCode>0.0000</c:formatCode>
                <c:ptCount val="56"/>
                <c:pt idx="0">
                  <c:v>3.4333020803167705E-2</c:v>
                </c:pt>
                <c:pt idx="1">
                  <c:v>3.4658062983648902E-2</c:v>
                </c:pt>
                <c:pt idx="2">
                  <c:v>3.4975317695928133E-2</c:v>
                </c:pt>
                <c:pt idx="3">
                  <c:v>3.5284971514747514E-2</c:v>
                </c:pt>
                <c:pt idx="4">
                  <c:v>3.5587206544829685E-2</c:v>
                </c:pt>
                <c:pt idx="5">
                  <c:v>3.5882200527972051E-2</c:v>
                </c:pt>
                <c:pt idx="6">
                  <c:v>3.6170126947575154E-2</c:v>
                </c:pt>
                <c:pt idx="7">
                  <c:v>3.6451155130666782E-2</c:v>
                </c:pt>
                <c:pt idx="8">
                  <c:v>3.6725450347481731E-2</c:v>
                </c:pt>
                <c:pt idx="9">
                  <c:v>3.6993173908655759E-2</c:v>
                </c:pt>
                <c:pt idx="10">
                  <c:v>3.7254483260091002E-2</c:v>
                </c:pt>
                <c:pt idx="11">
                  <c:v>3.7509532075548538E-2</c:v>
                </c:pt>
                <c:pt idx="12">
                  <c:v>3.7758470347022573E-2</c:v>
                </c:pt>
                <c:pt idx="13">
                  <c:v>3.8001444472949446E-2</c:v>
                </c:pt>
                <c:pt idx="14">
                  <c:v>3.8238597344303293E-2</c:v>
                </c:pt>
                <c:pt idx="15">
                  <c:v>3.8470068428628955E-2</c:v>
                </c:pt>
                <c:pt idx="16">
                  <c:v>3.8695993852061648E-2</c:v>
                </c:pt>
                <c:pt idx="17">
                  <c:v>3.8916506479381566E-2</c:v>
                </c:pt>
                <c:pt idx="18">
                  <c:v>3.9131735992150501E-2</c:v>
                </c:pt>
                <c:pt idx="19">
                  <c:v>3.9341808964976438E-2</c:v>
                </c:pt>
                <c:pt idx="20">
                  <c:v>4.0319047585314002E-2</c:v>
                </c:pt>
                <c:pt idx="21">
                  <c:v>4.1184697749963785E-2</c:v>
                </c:pt>
                <c:pt idx="22">
                  <c:v>4.1951501468076517E-2</c:v>
                </c:pt>
                <c:pt idx="23">
                  <c:v>4.2630745770362757E-2</c:v>
                </c:pt>
                <c:pt idx="24">
                  <c:v>4.323242884947439E-2</c:v>
                </c:pt>
                <c:pt idx="25">
                  <c:v>4.376540722922781E-2</c:v>
                </c:pt>
                <c:pt idx="26">
                  <c:v>4.4237526128938248E-2</c:v>
                </c:pt>
                <c:pt idx="27">
                  <c:v>4.4655734941773995E-2</c:v>
                </c:pt>
                <c:pt idx="28">
                  <c:v>4.5026189526923534E-2</c:v>
                </c:pt>
                <c:pt idx="29">
                  <c:v>4.535434282127368E-2</c:v>
                </c:pt>
                <c:pt idx="30">
                  <c:v>4.5645025104364835E-2</c:v>
                </c:pt>
                <c:pt idx="31">
                  <c:v>4.590251509808993E-2</c:v>
                </c:pt>
                <c:pt idx="32">
                  <c:v>4.6130602947694978E-2</c:v>
                </c:pt>
                <c:pt idx="33">
                  <c:v>4.6332646011135327E-2</c:v>
                </c:pt>
                <c:pt idx="34">
                  <c:v>4.6511618277983592E-2</c:v>
                </c:pt>
                <c:pt idx="35">
                  <c:v>4.6670154145314988E-2</c:v>
                </c:pt>
                <c:pt idx="36">
                  <c:v>4.6934984542718702E-2</c:v>
                </c:pt>
                <c:pt idx="37">
                  <c:v>4.7142787354818257E-2</c:v>
                </c:pt>
                <c:pt idx="38">
                  <c:v>4.7305842688117695E-2</c:v>
                </c:pt>
                <c:pt idx="39">
                  <c:v>4.7433786297007133E-2</c:v>
                </c:pt>
                <c:pt idx="40">
                  <c:v>4.7534179008637059E-2</c:v>
                </c:pt>
                <c:pt idx="41">
                  <c:v>4.7612953529974196E-2</c:v>
                </c:pt>
                <c:pt idx="42">
                  <c:v>4.7674765041100305E-2</c:v>
                </c:pt>
                <c:pt idx="43">
                  <c:v>4.7723266293064025E-2</c:v>
                </c:pt>
                <c:pt idx="44">
                  <c:v>4.7761323467192141E-2</c:v>
                </c:pt>
                <c:pt idx="45">
                  <c:v>4.7791185552065761E-2</c:v>
                </c:pt>
                <c:pt idx="46">
                  <c:v>4.781461724749321E-2</c:v>
                </c:pt>
                <c:pt idx="47">
                  <c:v>4.7833003249439433E-2</c:v>
                </c:pt>
                <c:pt idx="48">
                  <c:v>4.7847430078629551E-2</c:v>
                </c:pt>
                <c:pt idx="49">
                  <c:v>4.7858750288487545E-2</c:v>
                </c:pt>
                <c:pt idx="50">
                  <c:v>4.7867632846778092E-2</c:v>
                </c:pt>
                <c:pt idx="51">
                  <c:v>4.7874602668254447E-2</c:v>
                </c:pt>
                <c:pt idx="52">
                  <c:v>4.788007163449403E-2</c:v>
                </c:pt>
                <c:pt idx="53">
                  <c:v>4.7884362934038971E-2</c:v>
                </c:pt>
                <c:pt idx="54">
                  <c:v>4.7887730161221879E-2</c:v>
                </c:pt>
                <c:pt idx="55">
                  <c:v>4.7890372302322175E-2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ED-4DB9-92CA-AD919D36C2EB}"/>
            </c:ext>
          </c:extLst>
        </c:ser>
        <c:ser>
          <c:idx val="2"/>
          <c:order val="1"/>
          <c:tx>
            <c:strRef>
              <c:f>'using SP rocks'!$BG$2</c:f>
              <c:strCache>
                <c:ptCount val="1"/>
                <c:pt idx="0">
                  <c:v>0.040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'using SP rocks'!$AM$4:$AM$59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rocks'!$BG$4:$BG$59</c:f>
              <c:numCache>
                <c:formatCode>0.0000</c:formatCode>
                <c:ptCount val="56"/>
                <c:pt idx="0">
                  <c:v>3.4275238441036103E-2</c:v>
                </c:pt>
                <c:pt idx="1">
                  <c:v>3.454502679578271E-2</c:v>
                </c:pt>
                <c:pt idx="2">
                  <c:v>3.4809472983178949E-2</c:v>
                </c:pt>
                <c:pt idx="3">
                  <c:v>3.5068682785225763E-2</c:v>
                </c:pt>
                <c:pt idx="4">
                  <c:v>3.5322759889300163E-2</c:v>
                </c:pt>
                <c:pt idx="5">
                  <c:v>3.5571805929631509E-2</c:v>
                </c:pt>
                <c:pt idx="6">
                  <c:v>3.5815920527956596E-2</c:v>
                </c:pt>
                <c:pt idx="7">
                  <c:v>3.605520133336966E-2</c:v>
                </c:pt>
                <c:pt idx="8">
                  <c:v>3.6289744061383321E-2</c:v>
                </c:pt>
                <c:pt idx="9">
                  <c:v>3.6519642532216054E-2</c:v>
                </c:pt>
                <c:pt idx="10">
                  <c:v>3.6744988708321547E-2</c:v>
                </c:pt>
                <c:pt idx="11">
                  <c:v>3.6965872731174909E-2</c:v>
                </c:pt>
                <c:pt idx="12">
                  <c:v>3.718238295733043E-2</c:v>
                </c:pt>
                <c:pt idx="13">
                  <c:v>3.7394605993765415E-2</c:v>
                </c:pt>
                <c:pt idx="14">
                  <c:v>3.7602626732524125E-2</c:v>
                </c:pt>
                <c:pt idx="15">
                  <c:v>3.78065283846757E-2</c:v>
                </c:pt>
                <c:pt idx="16">
                  <c:v>3.8006392513599725E-2</c:v>
                </c:pt>
                <c:pt idx="17">
                  <c:v>3.8202299067612668E-2</c:v>
                </c:pt>
                <c:pt idx="18">
                  <c:v>3.8394326411948253E-2</c:v>
                </c:pt>
                <c:pt idx="19">
                  <c:v>3.8582551360104612E-2</c:v>
                </c:pt>
                <c:pt idx="20">
                  <c:v>3.9469223829994397E-2</c:v>
                </c:pt>
                <c:pt idx="21">
                  <c:v>4.0271518258293032E-2</c:v>
                </c:pt>
                <c:pt idx="22">
                  <c:v>4.099746427729941E-2</c:v>
                </c:pt>
                <c:pt idx="23">
                  <c:v>4.1654327398770619E-2</c:v>
                </c:pt>
                <c:pt idx="24">
                  <c:v>4.2248681729605671E-2</c:v>
                </c:pt>
                <c:pt idx="25">
                  <c:v>4.278647576771695E-2</c:v>
                </c:pt>
                <c:pt idx="26">
                  <c:v>4.3273091936596696E-2</c:v>
                </c:pt>
                <c:pt idx="27">
                  <c:v>4.371340045442039E-2</c:v>
                </c:pt>
                <c:pt idx="28">
                  <c:v>4.4111808076827227E-2</c:v>
                </c:pt>
                <c:pt idx="29">
                  <c:v>4.4472302201211671E-2</c:v>
                </c:pt>
                <c:pt idx="30">
                  <c:v>4.4798490773936828E-2</c:v>
                </c:pt>
                <c:pt idx="31">
                  <c:v>4.5093638399874292E-2</c:v>
                </c:pt>
                <c:pt idx="32">
                  <c:v>4.5360699015666986E-2</c:v>
                </c:pt>
                <c:pt idx="33">
                  <c:v>4.5602345453719946E-2</c:v>
                </c:pt>
                <c:pt idx="34">
                  <c:v>4.5820996192805372E-2</c:v>
                </c:pt>
                <c:pt idx="35">
                  <c:v>4.6018839563011081E-2</c:v>
                </c:pt>
                <c:pt idx="36">
                  <c:v>4.6359836098763554E-2</c:v>
                </c:pt>
                <c:pt idx="37">
                  <c:v>4.6639020449277167E-2</c:v>
                </c:pt>
                <c:pt idx="38">
                  <c:v>4.6867597262820755E-2</c:v>
                </c:pt>
                <c:pt idx="39">
                  <c:v>4.705474012950947E-2</c:v>
                </c:pt>
                <c:pt idx="40">
                  <c:v>4.7207959749686688E-2</c:v>
                </c:pt>
                <c:pt idx="41">
                  <c:v>4.7333405364700709E-2</c:v>
                </c:pt>
                <c:pt idx="42">
                  <c:v>4.7436111547551466E-2</c:v>
                </c:pt>
                <c:pt idx="43">
                  <c:v>4.7520200257982634E-2</c:v>
                </c:pt>
                <c:pt idx="44">
                  <c:v>4.7589046271199295E-2</c:v>
                </c:pt>
                <c:pt idx="45">
                  <c:v>4.7645412619446596E-2</c:v>
                </c:pt>
                <c:pt idx="46">
                  <c:v>4.769156148219536E-2</c:v>
                </c:pt>
                <c:pt idx="47">
                  <c:v>4.7729344975347344E-2</c:v>
                </c:pt>
                <c:pt idx="48">
                  <c:v>4.7760279483149592E-2</c:v>
                </c:pt>
                <c:pt idx="49">
                  <c:v>4.7785606516018618E-2</c:v>
                </c:pt>
                <c:pt idx="50">
                  <c:v>4.7806342536712711E-2</c:v>
                </c:pt>
                <c:pt idx="51">
                  <c:v>4.7823319754551424E-2</c:v>
                </c:pt>
                <c:pt idx="52">
                  <c:v>4.7837219524897681E-2</c:v>
                </c:pt>
                <c:pt idx="53">
                  <c:v>4.7848599694340882E-2</c:v>
                </c:pt>
                <c:pt idx="54">
                  <c:v>4.7857916989039274E-2</c:v>
                </c:pt>
                <c:pt idx="55">
                  <c:v>4.7865545344744333E-2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ED-4DB9-92CA-AD919D36C2EB}"/>
            </c:ext>
          </c:extLst>
        </c:ser>
        <c:ser>
          <c:idx val="1"/>
          <c:order val="2"/>
          <c:tx>
            <c:strRef>
              <c:f>'using SP rocks'!$BF$2</c:f>
              <c:strCache>
                <c:ptCount val="1"/>
                <c:pt idx="0">
                  <c:v>0.037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SP rocks'!$BD$4:$BD$59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rocks'!$BF$4:$BF$59</c:f>
              <c:numCache>
                <c:formatCode>0.0000</c:formatCode>
                <c:ptCount val="56"/>
                <c:pt idx="0">
                  <c:v>3.4251374233216419E-2</c:v>
                </c:pt>
                <c:pt idx="1">
                  <c:v>3.4498202494841097E-2</c:v>
                </c:pt>
                <c:pt idx="2">
                  <c:v>3.474056699639369E-2</c:v>
                </c:pt>
                <c:pt idx="3">
                  <c:v>3.4978548462641479E-2</c:v>
                </c:pt>
                <c:pt idx="4">
                  <c:v>3.5212226158486563E-2</c:v>
                </c:pt>
                <c:pt idx="5">
                  <c:v>3.544167791536669E-2</c:v>
                </c:pt>
                <c:pt idx="6">
                  <c:v>3.5666980157178764E-2</c:v>
                </c:pt>
                <c:pt idx="7">
                  <c:v>3.5888207925733467E-2</c:v>
                </c:pt>
                <c:pt idx="8">
                  <c:v>3.6105434905749564E-2</c:v>
                </c:pt>
                <c:pt idx="9">
                  <c:v>3.6318733449396207E-2</c:v>
                </c:pt>
                <c:pt idx="10">
                  <c:v>3.6528174600391386E-2</c:v>
                </c:pt>
                <c:pt idx="11">
                  <c:v>3.6733828117664596E-2</c:v>
                </c:pt>
                <c:pt idx="12">
                  <c:v>3.6935762498591554E-2</c:v>
                </c:pt>
                <c:pt idx="13">
                  <c:v>3.7134045001808766E-2</c:v>
                </c:pt>
                <c:pt idx="14">
                  <c:v>3.7328741669615438E-2</c:v>
                </c:pt>
                <c:pt idx="15">
                  <c:v>3.7519917349970337E-2</c:v>
                </c:pt>
                <c:pt idx="16">
                  <c:v>3.7707635718090785E-2</c:v>
                </c:pt>
                <c:pt idx="17">
                  <c:v>3.7891959297661093E-2</c:v>
                </c:pt>
                <c:pt idx="18">
                  <c:v>3.8072949481657438E-2</c:v>
                </c:pt>
                <c:pt idx="19">
                  <c:v>3.8250666552796096E-2</c:v>
                </c:pt>
                <c:pt idx="20">
                  <c:v>3.9092189892124145E-2</c:v>
                </c:pt>
                <c:pt idx="21">
                  <c:v>3.9860323547645682E-2</c:v>
                </c:pt>
                <c:pt idx="22">
                  <c:v>4.0561467871481106E-2</c:v>
                </c:pt>
                <c:pt idx="23">
                  <c:v>4.1201465037746188E-2</c:v>
                </c:pt>
                <c:pt idx="24">
                  <c:v>4.1785647721543369E-2</c:v>
                </c:pt>
                <c:pt idx="25">
                  <c:v>4.2318883532633085E-2</c:v>
                </c:pt>
                <c:pt idx="26">
                  <c:v>4.2805615574021738E-2</c:v>
                </c:pt>
                <c:pt idx="27">
                  <c:v>4.3249899463414357E-2</c:v>
                </c:pt>
                <c:pt idx="28">
                  <c:v>4.3655437126007265E-2</c:v>
                </c:pt>
                <c:pt idx="29">
                  <c:v>4.4025607640193948E-2</c:v>
                </c:pt>
                <c:pt idx="30">
                  <c:v>4.4363495393200954E-2</c:v>
                </c:pt>
                <c:pt idx="31">
                  <c:v>4.4671915781256351E-2</c:v>
                </c:pt>
                <c:pt idx="32">
                  <c:v>4.4953438668433238E-2</c:v>
                </c:pt>
                <c:pt idx="33">
                  <c:v>4.5210409799635413E-2</c:v>
                </c:pt>
                <c:pt idx="34">
                  <c:v>4.5444970346145558E-2</c:v>
                </c:pt>
                <c:pt idx="35">
                  <c:v>4.5659074746596105E-2</c:v>
                </c:pt>
                <c:pt idx="36">
                  <c:v>4.6032895490672666E-2</c:v>
                </c:pt>
                <c:pt idx="37">
                  <c:v>4.634435719421913E-2</c:v>
                </c:pt>
                <c:pt idx="38">
                  <c:v>4.6603862302785792E-2</c:v>
                </c:pt>
                <c:pt idx="39">
                  <c:v>4.6820077974264497E-2</c:v>
                </c:pt>
                <c:pt idx="40">
                  <c:v>4.70002255515172E-2</c:v>
                </c:pt>
                <c:pt idx="41">
                  <c:v>4.7150321746525052E-2</c:v>
                </c:pt>
                <c:pt idx="42">
                  <c:v>4.7275379591317661E-2</c:v>
                </c:pt>
                <c:pt idx="43">
                  <c:v>4.7379575867201637E-2</c:v>
                </c:pt>
                <c:pt idx="44">
                  <c:v>4.7466390604222683E-2</c:v>
                </c:pt>
                <c:pt idx="45">
                  <c:v>4.75387233099753E-2</c:v>
                </c:pt>
                <c:pt idx="46">
                  <c:v>4.7598989809662165E-2</c:v>
                </c:pt>
                <c:pt idx="47">
                  <c:v>4.7649202931744572E-2</c:v>
                </c:pt>
                <c:pt idx="48">
                  <c:v>4.7691039733987334E-2</c:v>
                </c:pt>
                <c:pt idx="49">
                  <c:v>4.7725897515167065E-2</c:v>
                </c:pt>
                <c:pt idx="50">
                  <c:v>4.7754940483167432E-2</c:v>
                </c:pt>
                <c:pt idx="51">
                  <c:v>4.7779138638119438E-2</c:v>
                </c:pt>
                <c:pt idx="52">
                  <c:v>4.7799300169236857E-2</c:v>
                </c:pt>
                <c:pt idx="53">
                  <c:v>4.7816098447361961E-2</c:v>
                </c:pt>
                <c:pt idx="54">
                  <c:v>4.7830094514740247E-2</c:v>
                </c:pt>
                <c:pt idx="55">
                  <c:v>4.784175582315521E-2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ED-4DB9-92CA-AD919D36C2EB}"/>
            </c:ext>
          </c:extLst>
        </c:ser>
        <c:ser>
          <c:idx val="0"/>
          <c:order val="3"/>
          <c:tx>
            <c:strRef>
              <c:f>'using SP rocks'!$BE$2</c:f>
              <c:strCache>
                <c:ptCount val="1"/>
                <c:pt idx="0">
                  <c:v>0.034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SP rocks'!$BD$4:$BD$59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rocks'!$BE$4:$BE$59</c:f>
              <c:numCache>
                <c:formatCode>0.0000</c:formatCode>
                <c:ptCount val="56"/>
                <c:pt idx="0">
                  <c:v>3.4230885932182022E-2</c:v>
                </c:pt>
                <c:pt idx="1">
                  <c:v>3.4457936733883504E-2</c:v>
                </c:pt>
                <c:pt idx="2">
                  <c:v>3.4681216108534363E-2</c:v>
                </c:pt>
                <c:pt idx="3">
                  <c:v>3.4900786701418808E-2</c:v>
                </c:pt>
                <c:pt idx="4">
                  <c:v>3.5116710117251607E-2</c:v>
                </c:pt>
                <c:pt idx="5">
                  <c:v>3.5329046937462492E-2</c:v>
                </c:pt>
                <c:pt idx="6">
                  <c:v>3.5537856737193459E-2</c:v>
                </c:pt>
                <c:pt idx="7">
                  <c:v>3.5743198102013658E-2</c:v>
                </c:pt>
                <c:pt idx="8">
                  <c:v>3.5945128644356734E-2</c:v>
                </c:pt>
                <c:pt idx="9">
                  <c:v>3.6143705019685071E-2</c:v>
                </c:pt>
                <c:pt idx="10">
                  <c:v>3.6338982942385557E-2</c:v>
                </c:pt>
                <c:pt idx="11">
                  <c:v>3.6531017201401353E-2</c:v>
                </c:pt>
                <c:pt idx="12">
                  <c:v>3.6719861675603933E-2</c:v>
                </c:pt>
                <c:pt idx="13">
                  <c:v>3.6905569348909845E-2</c:v>
                </c:pt>
                <c:pt idx="14">
                  <c:v>3.708819232514636E-2</c:v>
                </c:pt>
                <c:pt idx="15">
                  <c:v>3.726778184267019E-2</c:v>
                </c:pt>
                <c:pt idx="16">
                  <c:v>3.7444388288743406E-2</c:v>
                </c:pt>
                <c:pt idx="17">
                  <c:v>3.7618061213670513E-2</c:v>
                </c:pt>
                <c:pt idx="18">
                  <c:v>3.778884934470074E-2</c:v>
                </c:pt>
                <c:pt idx="19">
                  <c:v>3.7956800599699421E-2</c:v>
                </c:pt>
                <c:pt idx="20">
                  <c:v>3.8755625877984722E-2</c:v>
                </c:pt>
                <c:pt idx="21">
                  <c:v>3.949027444618531E-2</c:v>
                </c:pt>
                <c:pt idx="22">
                  <c:v>4.0165902187858274E-2</c:v>
                </c:pt>
                <c:pt idx="23">
                  <c:v>4.0787250768767061E-2</c:v>
                </c:pt>
                <c:pt idx="24">
                  <c:v>4.135868091466572E-2</c:v>
                </c:pt>
                <c:pt idx="25">
                  <c:v>4.188420301558398E-2</c:v>
                </c:pt>
                <c:pt idx="26">
                  <c:v>4.2367505271399014E-2</c:v>
                </c:pt>
                <c:pt idx="27">
                  <c:v>4.2811979576224186E-2</c:v>
                </c:pt>
                <c:pt idx="28">
                  <c:v>4.3220745323275495E-2</c:v>
                </c:pt>
                <c:pt idx="29">
                  <c:v>4.3596671297282341E-2</c:v>
                </c:pt>
                <c:pt idx="30">
                  <c:v>4.3942395808086947E-2</c:v>
                </c:pt>
                <c:pt idx="31">
                  <c:v>4.426034520673347E-2</c:v>
                </c:pt>
                <c:pt idx="32">
                  <c:v>4.4552750913995631E-2</c:v>
                </c:pt>
                <c:pt idx="33">
                  <c:v>4.4821665080851905E-2</c:v>
                </c:pt>
                <c:pt idx="34">
                  <c:v>4.5068974990816045E-2</c:v>
                </c:pt>
                <c:pt idx="35">
                  <c:v>4.5296416305200794E-2</c:v>
                </c:pt>
                <c:pt idx="36">
                  <c:v>4.5697949789784337E-2</c:v>
                </c:pt>
                <c:pt idx="37">
                  <c:v>4.6037557422103609E-2</c:v>
                </c:pt>
                <c:pt idx="38">
                  <c:v>4.6324789616572076E-2</c:v>
                </c:pt>
                <c:pt idx="39">
                  <c:v>4.6567723890386069E-2</c:v>
                </c:pt>
                <c:pt idx="40">
                  <c:v>4.6773192018715985E-2</c:v>
                </c:pt>
                <c:pt idx="41">
                  <c:v>4.6946972157255538E-2</c:v>
                </c:pt>
                <c:pt idx="42">
                  <c:v>4.7093951334981503E-2</c:v>
                </c:pt>
                <c:pt idx="43">
                  <c:v>4.7218262886730464E-2</c:v>
                </c:pt>
                <c:pt idx="44">
                  <c:v>4.7323402690458628E-2</c:v>
                </c:pt>
                <c:pt idx="45">
                  <c:v>4.7412327477998249E-2</c:v>
                </c:pt>
                <c:pt idx="46">
                  <c:v>4.7487537983996644E-2</c:v>
                </c:pt>
                <c:pt idx="47">
                  <c:v>4.7551149271344545E-2</c:v>
                </c:pt>
                <c:pt idx="48">
                  <c:v>4.760495021077904E-2</c:v>
                </c:pt>
                <c:pt idx="49">
                  <c:v>4.765045378734091E-2</c:v>
                </c:pt>
                <c:pt idx="50">
                  <c:v>4.7688939648399951E-2</c:v>
                </c:pt>
                <c:pt idx="51">
                  <c:v>4.7721490089779918E-2</c:v>
                </c:pt>
                <c:pt idx="52">
                  <c:v>4.7749020491981521E-2</c:v>
                </c:pt>
                <c:pt idx="53">
                  <c:v>4.7772305062428196E-2</c:v>
                </c:pt>
                <c:pt idx="54">
                  <c:v>4.7791998607655609E-2</c:v>
                </c:pt>
                <c:pt idx="55">
                  <c:v>4.7808654947720478E-2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ED-4DB9-92CA-AD919D36C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 vs Predicted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(k=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/2)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'using SP rocks'!$BJ$47</c:f>
              <c:strCache>
                <c:ptCount val="1"/>
                <c:pt idx="0">
                  <c:v>Low Flow (τ* = 0.075)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SP rocks'!$BK$49:$BK$54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3.6143705019685071E-2</c:v>
                </c:pt>
                <c:pt idx="2">
                  <c:v>3.949027444618531E-2</c:v>
                </c:pt>
                <c:pt idx="3">
                  <c:v>4.2811979576224186E-2</c:v>
                </c:pt>
                <c:pt idx="4">
                  <c:v>4.6037557422103609E-2</c:v>
                </c:pt>
                <c:pt idx="5">
                  <c:v>4.765045378734091E-2</c:v>
                </c:pt>
              </c:numCache>
            </c:numRef>
          </c:xVal>
          <c:yVal>
            <c:numRef>
              <c:f>'using SP rocks'!$BL$49:$BL$54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3.9800000000000002E-2</c:v>
                </c:pt>
                <c:pt idx="2">
                  <c:v>4.24E-2</c:v>
                </c:pt>
                <c:pt idx="3">
                  <c:v>4.2799999999999998E-2</c:v>
                </c:pt>
                <c:pt idx="4">
                  <c:v>4.3799999999999999E-2</c:v>
                </c:pt>
                <c:pt idx="5">
                  <c:v>3.9100000000000003E-2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A1-4F6F-97A7-F143B576C0A2}"/>
            </c:ext>
          </c:extLst>
        </c:ser>
        <c:ser>
          <c:idx val="1"/>
          <c:order val="1"/>
          <c:tx>
            <c:strRef>
              <c:f>'using SP rocks'!$BJ$38</c:f>
              <c:strCache>
                <c:ptCount val="1"/>
                <c:pt idx="0">
                  <c:v>Med Low Flow (τ* = 0.086)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SP rocks'!$BK$40:$BK$45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3.6318733449396207E-2</c:v>
                </c:pt>
                <c:pt idx="2">
                  <c:v>3.9860323547645682E-2</c:v>
                </c:pt>
                <c:pt idx="3">
                  <c:v>4.3249899463414357E-2</c:v>
                </c:pt>
                <c:pt idx="4">
                  <c:v>4.634435719421913E-2</c:v>
                </c:pt>
                <c:pt idx="5">
                  <c:v>4.7725897515167065E-2</c:v>
                </c:pt>
              </c:numCache>
            </c:numRef>
          </c:xVal>
          <c:yVal>
            <c:numRef>
              <c:f>'using SP rocks'!$BL$40:$BL$45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4.2900000000000001E-2</c:v>
                </c:pt>
                <c:pt idx="2">
                  <c:v>4.3999999999999997E-2</c:v>
                </c:pt>
                <c:pt idx="3">
                  <c:v>4.6800000000000001E-2</c:v>
                </c:pt>
                <c:pt idx="4">
                  <c:v>4.4400000000000002E-2</c:v>
                </c:pt>
                <c:pt idx="5">
                  <c:v>4.1300000000000003E-2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A1-4F6F-97A7-F143B576C0A2}"/>
            </c:ext>
          </c:extLst>
        </c:ser>
        <c:ser>
          <c:idx val="2"/>
          <c:order val="2"/>
          <c:tx>
            <c:strRef>
              <c:f>'using SP rocks'!$BJ$29</c:f>
              <c:strCache>
                <c:ptCount val="1"/>
                <c:pt idx="0">
                  <c:v>Med High Flow (τ* = 0.089)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'using SP rocks'!$BK$31:$BK$36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3.6519642532216054E-2</c:v>
                </c:pt>
                <c:pt idx="2">
                  <c:v>4.0271518258293032E-2</c:v>
                </c:pt>
                <c:pt idx="3">
                  <c:v>4.371340045442039E-2</c:v>
                </c:pt>
                <c:pt idx="4">
                  <c:v>4.6639020449277167E-2</c:v>
                </c:pt>
                <c:pt idx="5">
                  <c:v>4.7785606516018618E-2</c:v>
                </c:pt>
              </c:numCache>
            </c:numRef>
          </c:xVal>
          <c:yVal>
            <c:numRef>
              <c:f>'using SP rocks'!$BL$31:$BL$36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4.2700000000000002E-2</c:v>
                </c:pt>
                <c:pt idx="2">
                  <c:v>4.2000000000000003E-2</c:v>
                </c:pt>
                <c:pt idx="3">
                  <c:v>4.7899999999999998E-2</c:v>
                </c:pt>
                <c:pt idx="4">
                  <c:v>4.4999999999999998E-2</c:v>
                </c:pt>
                <c:pt idx="5">
                  <c:v>4.3799999999999999E-2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A1-4F6F-97A7-F143B576C0A2}"/>
            </c:ext>
          </c:extLst>
        </c:ser>
        <c:ser>
          <c:idx val="3"/>
          <c:order val="3"/>
          <c:tx>
            <c:strRef>
              <c:f>'using SP rocks'!$BJ$20</c:f>
              <c:strCache>
                <c:ptCount val="1"/>
                <c:pt idx="0">
                  <c:v>High Flow: (τ* = 0.108)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'using SP rocks'!$BK$22:$BK$27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3.6993173908655759E-2</c:v>
                </c:pt>
                <c:pt idx="2">
                  <c:v>4.1184697749963785E-2</c:v>
                </c:pt>
                <c:pt idx="3">
                  <c:v>4.4655734941773995E-2</c:v>
                </c:pt>
                <c:pt idx="4">
                  <c:v>4.7142787354818257E-2</c:v>
                </c:pt>
                <c:pt idx="5">
                  <c:v>4.7858750288487545E-2</c:v>
                </c:pt>
              </c:numCache>
            </c:numRef>
          </c:xVal>
          <c:yVal>
            <c:numRef>
              <c:f>'using SP rocks'!$BL$22:$BL$27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4.1500000000000002E-2</c:v>
                </c:pt>
                <c:pt idx="2">
                  <c:v>4.3700000000000003E-2</c:v>
                </c:pt>
                <c:pt idx="3">
                  <c:v>4.36E-2</c:v>
                </c:pt>
                <c:pt idx="4">
                  <c:v>4.2799999999999998E-2</c:v>
                </c:pt>
                <c:pt idx="5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A1-4F6F-97A7-F143B576C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99248"/>
        <c:axId val="1496091088"/>
      </c:scatterChar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>
                    <a:lumMod val="50000"/>
                    <a:lumOff val="5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AA1-4F6F-97A7-F143B576C0A2}"/>
              </c:ext>
            </c:extLst>
          </c:dPt>
          <c:xVal>
            <c:numRef>
              <c:f>'using SP rocks'!$J$56:$J$57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xVal>
          <c:yVal>
            <c:numRef>
              <c:f>'using SP rocks'!$K$56:$K$57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AA1-4F6F-97A7-F143B576C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99248"/>
        <c:axId val="1496091088"/>
      </c:scatterChart>
      <c:valAx>
        <c:axId val="1496099248"/>
        <c:scaling>
          <c:orientation val="minMax"/>
          <c:max val="6.0000000000000012E-2"/>
          <c:min val="3.000000000000000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91088"/>
        <c:crosses val="autoZero"/>
        <c:crossBetween val="midCat"/>
      </c:valAx>
      <c:valAx>
        <c:axId val="1496091088"/>
        <c:scaling>
          <c:orientation val="minMax"/>
          <c:max val="6.0000000000000012E-2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99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High Flow: (</a:t>
            </a:r>
            <a:r>
              <a:rPr lang="el-GR" sz="1200" baseline="0"/>
              <a:t>τ* = 0.108</a:t>
            </a:r>
            <a:r>
              <a:rPr lang="en-US" sz="1200" baseline="0"/>
              <a:t>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SP rocks'!$AD$21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SP rocks'!$BJ$22:$BJ$27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SP rocks'!$BL$22:$BL$27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4.1500000000000002E-2</c:v>
                </c:pt>
                <c:pt idx="2">
                  <c:v>4.3700000000000003E-2</c:v>
                </c:pt>
                <c:pt idx="3">
                  <c:v>4.36E-2</c:v>
                </c:pt>
                <c:pt idx="4">
                  <c:v>4.2799999999999998E-2</c:v>
                </c:pt>
                <c:pt idx="5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5C-4257-8618-6882939A0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SP rocks'!$K$21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'using SP rocks'!$V$4:$V$59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rocks'!$BH$4:$BH$59</c:f>
              <c:numCache>
                <c:formatCode>0.0000</c:formatCode>
                <c:ptCount val="56"/>
                <c:pt idx="0">
                  <c:v>3.4333020803167705E-2</c:v>
                </c:pt>
                <c:pt idx="1">
                  <c:v>3.4658062983648902E-2</c:v>
                </c:pt>
                <c:pt idx="2">
                  <c:v>3.4975317695928133E-2</c:v>
                </c:pt>
                <c:pt idx="3">
                  <c:v>3.5284971514747514E-2</c:v>
                </c:pt>
                <c:pt idx="4">
                  <c:v>3.5587206544829685E-2</c:v>
                </c:pt>
                <c:pt idx="5">
                  <c:v>3.5882200527972051E-2</c:v>
                </c:pt>
                <c:pt idx="6">
                  <c:v>3.6170126947575154E-2</c:v>
                </c:pt>
                <c:pt idx="7">
                  <c:v>3.6451155130666782E-2</c:v>
                </c:pt>
                <c:pt idx="8">
                  <c:v>3.6725450347481731E-2</c:v>
                </c:pt>
                <c:pt idx="9">
                  <c:v>3.6993173908655759E-2</c:v>
                </c:pt>
                <c:pt idx="10">
                  <c:v>3.7254483260091002E-2</c:v>
                </c:pt>
                <c:pt idx="11">
                  <c:v>3.7509532075548538E-2</c:v>
                </c:pt>
                <c:pt idx="12">
                  <c:v>3.7758470347022573E-2</c:v>
                </c:pt>
                <c:pt idx="13">
                  <c:v>3.8001444472949446E-2</c:v>
                </c:pt>
                <c:pt idx="14">
                  <c:v>3.8238597344303293E-2</c:v>
                </c:pt>
                <c:pt idx="15">
                  <c:v>3.8470068428628955E-2</c:v>
                </c:pt>
                <c:pt idx="16">
                  <c:v>3.8695993852061648E-2</c:v>
                </c:pt>
                <c:pt idx="17">
                  <c:v>3.8916506479381566E-2</c:v>
                </c:pt>
                <c:pt idx="18">
                  <c:v>3.9131735992150501E-2</c:v>
                </c:pt>
                <c:pt idx="19">
                  <c:v>3.9341808964976438E-2</c:v>
                </c:pt>
                <c:pt idx="20">
                  <c:v>4.0319047585314002E-2</c:v>
                </c:pt>
                <c:pt idx="21">
                  <c:v>4.1184697749963785E-2</c:v>
                </c:pt>
                <c:pt idx="22">
                  <c:v>4.1951501468076517E-2</c:v>
                </c:pt>
                <c:pt idx="23">
                  <c:v>4.2630745770362757E-2</c:v>
                </c:pt>
                <c:pt idx="24">
                  <c:v>4.323242884947439E-2</c:v>
                </c:pt>
                <c:pt idx="25">
                  <c:v>4.376540722922781E-2</c:v>
                </c:pt>
                <c:pt idx="26">
                  <c:v>4.4237526128938248E-2</c:v>
                </c:pt>
                <c:pt idx="27">
                  <c:v>4.4655734941773995E-2</c:v>
                </c:pt>
                <c:pt idx="28">
                  <c:v>4.5026189526923534E-2</c:v>
                </c:pt>
                <c:pt idx="29">
                  <c:v>4.535434282127368E-2</c:v>
                </c:pt>
                <c:pt idx="30">
                  <c:v>4.5645025104364835E-2</c:v>
                </c:pt>
                <c:pt idx="31">
                  <c:v>4.590251509808993E-2</c:v>
                </c:pt>
                <c:pt idx="32">
                  <c:v>4.6130602947694978E-2</c:v>
                </c:pt>
                <c:pt idx="33">
                  <c:v>4.6332646011135327E-2</c:v>
                </c:pt>
                <c:pt idx="34">
                  <c:v>4.6511618277983592E-2</c:v>
                </c:pt>
                <c:pt idx="35">
                  <c:v>4.6670154145314988E-2</c:v>
                </c:pt>
                <c:pt idx="36">
                  <c:v>4.6934984542718702E-2</c:v>
                </c:pt>
                <c:pt idx="37">
                  <c:v>4.7142787354818257E-2</c:v>
                </c:pt>
                <c:pt idx="38">
                  <c:v>4.7305842688117695E-2</c:v>
                </c:pt>
                <c:pt idx="39">
                  <c:v>4.7433786297007133E-2</c:v>
                </c:pt>
                <c:pt idx="40">
                  <c:v>4.7534179008637059E-2</c:v>
                </c:pt>
                <c:pt idx="41">
                  <c:v>4.7612953529974196E-2</c:v>
                </c:pt>
                <c:pt idx="42">
                  <c:v>4.7674765041100305E-2</c:v>
                </c:pt>
                <c:pt idx="43">
                  <c:v>4.7723266293064025E-2</c:v>
                </c:pt>
                <c:pt idx="44">
                  <c:v>4.7761323467192141E-2</c:v>
                </c:pt>
                <c:pt idx="45">
                  <c:v>4.7791185552065761E-2</c:v>
                </c:pt>
                <c:pt idx="46">
                  <c:v>4.781461724749321E-2</c:v>
                </c:pt>
                <c:pt idx="47">
                  <c:v>4.7833003249439433E-2</c:v>
                </c:pt>
                <c:pt idx="48">
                  <c:v>4.7847430078629551E-2</c:v>
                </c:pt>
                <c:pt idx="49">
                  <c:v>4.7858750288487545E-2</c:v>
                </c:pt>
                <c:pt idx="50">
                  <c:v>4.7867632846778092E-2</c:v>
                </c:pt>
                <c:pt idx="51">
                  <c:v>4.7874602668254447E-2</c:v>
                </c:pt>
                <c:pt idx="52">
                  <c:v>4.788007163449403E-2</c:v>
                </c:pt>
                <c:pt idx="53">
                  <c:v>4.7884362934038971E-2</c:v>
                </c:pt>
                <c:pt idx="54">
                  <c:v>4.7887730161221879E-2</c:v>
                </c:pt>
                <c:pt idx="55">
                  <c:v>4.7890372302322175E-2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5C-4257-8618-6882939A0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Med High Flow (</a:t>
            </a:r>
            <a:r>
              <a:rPr lang="el-GR" sz="1200" baseline="0"/>
              <a:t>τ* = 0.089)</a:t>
            </a:r>
            <a:endParaRPr lang="en-US" sz="1200"/>
          </a:p>
        </c:rich>
      </c:tx>
      <c:layout>
        <c:manualLayout>
          <c:xMode val="edge"/>
          <c:yMode val="edge"/>
          <c:x val="0.31548891171212295"/>
          <c:y val="5.21310178693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SP rocks'!$AD$30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'using SP rocks'!$BJ$31:$BJ$36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SP rocks'!$BL$31:$BL$36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4.2700000000000002E-2</c:v>
                </c:pt>
                <c:pt idx="2">
                  <c:v>4.2000000000000003E-2</c:v>
                </c:pt>
                <c:pt idx="3">
                  <c:v>4.7899999999999998E-2</c:v>
                </c:pt>
                <c:pt idx="4">
                  <c:v>4.4999999999999998E-2</c:v>
                </c:pt>
                <c:pt idx="5">
                  <c:v>4.3799999999999999E-2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80-45EC-A84F-7A2047216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SP rocks'!$K$30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SP rocks'!$AM$4:$AM$59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rocks'!$BG$4:$BG$59</c:f>
              <c:numCache>
                <c:formatCode>0.0000</c:formatCode>
                <c:ptCount val="56"/>
                <c:pt idx="0">
                  <c:v>3.4275238441036103E-2</c:v>
                </c:pt>
                <c:pt idx="1">
                  <c:v>3.454502679578271E-2</c:v>
                </c:pt>
                <c:pt idx="2">
                  <c:v>3.4809472983178949E-2</c:v>
                </c:pt>
                <c:pt idx="3">
                  <c:v>3.5068682785225763E-2</c:v>
                </c:pt>
                <c:pt idx="4">
                  <c:v>3.5322759889300163E-2</c:v>
                </c:pt>
                <c:pt idx="5">
                  <c:v>3.5571805929631509E-2</c:v>
                </c:pt>
                <c:pt idx="6">
                  <c:v>3.5815920527956596E-2</c:v>
                </c:pt>
                <c:pt idx="7">
                  <c:v>3.605520133336966E-2</c:v>
                </c:pt>
                <c:pt idx="8">
                  <c:v>3.6289744061383321E-2</c:v>
                </c:pt>
                <c:pt idx="9">
                  <c:v>3.6519642532216054E-2</c:v>
                </c:pt>
                <c:pt idx="10">
                  <c:v>3.6744988708321547E-2</c:v>
                </c:pt>
                <c:pt idx="11">
                  <c:v>3.6965872731174909E-2</c:v>
                </c:pt>
                <c:pt idx="12">
                  <c:v>3.718238295733043E-2</c:v>
                </c:pt>
                <c:pt idx="13">
                  <c:v>3.7394605993765415E-2</c:v>
                </c:pt>
                <c:pt idx="14">
                  <c:v>3.7602626732524125E-2</c:v>
                </c:pt>
                <c:pt idx="15">
                  <c:v>3.78065283846757E-2</c:v>
                </c:pt>
                <c:pt idx="16">
                  <c:v>3.8006392513599725E-2</c:v>
                </c:pt>
                <c:pt idx="17">
                  <c:v>3.8202299067612668E-2</c:v>
                </c:pt>
                <c:pt idx="18">
                  <c:v>3.8394326411948253E-2</c:v>
                </c:pt>
                <c:pt idx="19">
                  <c:v>3.8582551360104612E-2</c:v>
                </c:pt>
                <c:pt idx="20">
                  <c:v>3.9469223829994397E-2</c:v>
                </c:pt>
                <c:pt idx="21">
                  <c:v>4.0271518258293032E-2</c:v>
                </c:pt>
                <c:pt idx="22">
                  <c:v>4.099746427729941E-2</c:v>
                </c:pt>
                <c:pt idx="23">
                  <c:v>4.1654327398770619E-2</c:v>
                </c:pt>
                <c:pt idx="24">
                  <c:v>4.2248681729605671E-2</c:v>
                </c:pt>
                <c:pt idx="25">
                  <c:v>4.278647576771695E-2</c:v>
                </c:pt>
                <c:pt idx="26">
                  <c:v>4.3273091936596696E-2</c:v>
                </c:pt>
                <c:pt idx="27">
                  <c:v>4.371340045442039E-2</c:v>
                </c:pt>
                <c:pt idx="28">
                  <c:v>4.4111808076827227E-2</c:v>
                </c:pt>
                <c:pt idx="29">
                  <c:v>4.4472302201211671E-2</c:v>
                </c:pt>
                <c:pt idx="30">
                  <c:v>4.4798490773936828E-2</c:v>
                </c:pt>
                <c:pt idx="31">
                  <c:v>4.5093638399874292E-2</c:v>
                </c:pt>
                <c:pt idx="32">
                  <c:v>4.5360699015666986E-2</c:v>
                </c:pt>
                <c:pt idx="33">
                  <c:v>4.5602345453719946E-2</c:v>
                </c:pt>
                <c:pt idx="34">
                  <c:v>4.5820996192805372E-2</c:v>
                </c:pt>
                <c:pt idx="35">
                  <c:v>4.6018839563011081E-2</c:v>
                </c:pt>
                <c:pt idx="36">
                  <c:v>4.6359836098763554E-2</c:v>
                </c:pt>
                <c:pt idx="37">
                  <c:v>4.6639020449277167E-2</c:v>
                </c:pt>
                <c:pt idx="38">
                  <c:v>4.6867597262820755E-2</c:v>
                </c:pt>
                <c:pt idx="39">
                  <c:v>4.705474012950947E-2</c:v>
                </c:pt>
                <c:pt idx="40">
                  <c:v>4.7207959749686688E-2</c:v>
                </c:pt>
                <c:pt idx="41">
                  <c:v>4.7333405364700709E-2</c:v>
                </c:pt>
                <c:pt idx="42">
                  <c:v>4.7436111547551466E-2</c:v>
                </c:pt>
                <c:pt idx="43">
                  <c:v>4.7520200257982634E-2</c:v>
                </c:pt>
                <c:pt idx="44">
                  <c:v>4.7589046271199295E-2</c:v>
                </c:pt>
                <c:pt idx="45">
                  <c:v>4.7645412619446596E-2</c:v>
                </c:pt>
                <c:pt idx="46">
                  <c:v>4.769156148219536E-2</c:v>
                </c:pt>
                <c:pt idx="47">
                  <c:v>4.7729344975347344E-2</c:v>
                </c:pt>
                <c:pt idx="48">
                  <c:v>4.7760279483149592E-2</c:v>
                </c:pt>
                <c:pt idx="49">
                  <c:v>4.7785606516018618E-2</c:v>
                </c:pt>
                <c:pt idx="50">
                  <c:v>4.7806342536712711E-2</c:v>
                </c:pt>
                <c:pt idx="51">
                  <c:v>4.7823319754551424E-2</c:v>
                </c:pt>
                <c:pt idx="52">
                  <c:v>4.7837219524897681E-2</c:v>
                </c:pt>
                <c:pt idx="53">
                  <c:v>4.7848599694340882E-2</c:v>
                </c:pt>
                <c:pt idx="54">
                  <c:v>4.7857916989039274E-2</c:v>
                </c:pt>
                <c:pt idx="55">
                  <c:v>4.7865545344744333E-2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80-45EC-A84F-7A2047216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Med Low Flow (</a:t>
            </a:r>
            <a:r>
              <a:rPr lang="el-GR" sz="1200" baseline="0"/>
              <a:t>τ* = 0.086</a:t>
            </a:r>
            <a:r>
              <a:rPr lang="en-US" sz="1200" baseline="0"/>
              <a:t>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SP rocks'!$AD$39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SP rocks'!$BJ$40:$BJ$45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SP rocks'!$BL$40:$BL$45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4.2900000000000001E-2</c:v>
                </c:pt>
                <c:pt idx="2">
                  <c:v>4.3999999999999997E-2</c:v>
                </c:pt>
                <c:pt idx="3">
                  <c:v>4.6800000000000001E-2</c:v>
                </c:pt>
                <c:pt idx="4">
                  <c:v>4.4400000000000002E-2</c:v>
                </c:pt>
                <c:pt idx="5">
                  <c:v>4.1300000000000003E-2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3D-49CC-A975-E436BE560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SP rocks'!$K$39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SP rocks'!$AM$4:$AM$59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rocks'!$BF$4:$BF$59</c:f>
              <c:numCache>
                <c:formatCode>0.0000</c:formatCode>
                <c:ptCount val="56"/>
                <c:pt idx="0">
                  <c:v>3.4251374233216419E-2</c:v>
                </c:pt>
                <c:pt idx="1">
                  <c:v>3.4498202494841097E-2</c:v>
                </c:pt>
                <c:pt idx="2">
                  <c:v>3.474056699639369E-2</c:v>
                </c:pt>
                <c:pt idx="3">
                  <c:v>3.4978548462641479E-2</c:v>
                </c:pt>
                <c:pt idx="4">
                  <c:v>3.5212226158486563E-2</c:v>
                </c:pt>
                <c:pt idx="5">
                  <c:v>3.544167791536669E-2</c:v>
                </c:pt>
                <c:pt idx="6">
                  <c:v>3.5666980157178764E-2</c:v>
                </c:pt>
                <c:pt idx="7">
                  <c:v>3.5888207925733467E-2</c:v>
                </c:pt>
                <c:pt idx="8">
                  <c:v>3.6105434905749564E-2</c:v>
                </c:pt>
                <c:pt idx="9">
                  <c:v>3.6318733449396207E-2</c:v>
                </c:pt>
                <c:pt idx="10">
                  <c:v>3.6528174600391386E-2</c:v>
                </c:pt>
                <c:pt idx="11">
                  <c:v>3.6733828117664596E-2</c:v>
                </c:pt>
                <c:pt idx="12">
                  <c:v>3.6935762498591554E-2</c:v>
                </c:pt>
                <c:pt idx="13">
                  <c:v>3.7134045001808766E-2</c:v>
                </c:pt>
                <c:pt idx="14">
                  <c:v>3.7328741669615438E-2</c:v>
                </c:pt>
                <c:pt idx="15">
                  <c:v>3.7519917349970337E-2</c:v>
                </c:pt>
                <c:pt idx="16">
                  <c:v>3.7707635718090785E-2</c:v>
                </c:pt>
                <c:pt idx="17">
                  <c:v>3.7891959297661093E-2</c:v>
                </c:pt>
                <c:pt idx="18">
                  <c:v>3.8072949481657438E-2</c:v>
                </c:pt>
                <c:pt idx="19">
                  <c:v>3.8250666552796096E-2</c:v>
                </c:pt>
                <c:pt idx="20">
                  <c:v>3.9092189892124145E-2</c:v>
                </c:pt>
                <c:pt idx="21">
                  <c:v>3.9860323547645682E-2</c:v>
                </c:pt>
                <c:pt idx="22">
                  <c:v>4.0561467871481106E-2</c:v>
                </c:pt>
                <c:pt idx="23">
                  <c:v>4.1201465037746188E-2</c:v>
                </c:pt>
                <c:pt idx="24">
                  <c:v>4.1785647721543369E-2</c:v>
                </c:pt>
                <c:pt idx="25">
                  <c:v>4.2318883532633085E-2</c:v>
                </c:pt>
                <c:pt idx="26">
                  <c:v>4.2805615574021738E-2</c:v>
                </c:pt>
                <c:pt idx="27">
                  <c:v>4.3249899463414357E-2</c:v>
                </c:pt>
                <c:pt idx="28">
                  <c:v>4.3655437126007265E-2</c:v>
                </c:pt>
                <c:pt idx="29">
                  <c:v>4.4025607640193948E-2</c:v>
                </c:pt>
                <c:pt idx="30">
                  <c:v>4.4363495393200954E-2</c:v>
                </c:pt>
                <c:pt idx="31">
                  <c:v>4.4671915781256351E-2</c:v>
                </c:pt>
                <c:pt idx="32">
                  <c:v>4.4953438668433238E-2</c:v>
                </c:pt>
                <c:pt idx="33">
                  <c:v>4.5210409799635413E-2</c:v>
                </c:pt>
                <c:pt idx="34">
                  <c:v>4.5444970346145558E-2</c:v>
                </c:pt>
                <c:pt idx="35">
                  <c:v>4.5659074746596105E-2</c:v>
                </c:pt>
                <c:pt idx="36">
                  <c:v>4.6032895490672666E-2</c:v>
                </c:pt>
                <c:pt idx="37">
                  <c:v>4.634435719421913E-2</c:v>
                </c:pt>
                <c:pt idx="38">
                  <c:v>4.6603862302785792E-2</c:v>
                </c:pt>
                <c:pt idx="39">
                  <c:v>4.6820077974264497E-2</c:v>
                </c:pt>
                <c:pt idx="40">
                  <c:v>4.70002255515172E-2</c:v>
                </c:pt>
                <c:pt idx="41">
                  <c:v>4.7150321746525052E-2</c:v>
                </c:pt>
                <c:pt idx="42">
                  <c:v>4.7275379591317661E-2</c:v>
                </c:pt>
                <c:pt idx="43">
                  <c:v>4.7379575867201637E-2</c:v>
                </c:pt>
                <c:pt idx="44">
                  <c:v>4.7466390604222683E-2</c:v>
                </c:pt>
                <c:pt idx="45">
                  <c:v>4.75387233099753E-2</c:v>
                </c:pt>
                <c:pt idx="46">
                  <c:v>4.7598989809662165E-2</c:v>
                </c:pt>
                <c:pt idx="47">
                  <c:v>4.7649202931744572E-2</c:v>
                </c:pt>
                <c:pt idx="48">
                  <c:v>4.7691039733987334E-2</c:v>
                </c:pt>
                <c:pt idx="49">
                  <c:v>4.7725897515167065E-2</c:v>
                </c:pt>
                <c:pt idx="50">
                  <c:v>4.7754940483167432E-2</c:v>
                </c:pt>
                <c:pt idx="51">
                  <c:v>4.7779138638119438E-2</c:v>
                </c:pt>
                <c:pt idx="52">
                  <c:v>4.7799300169236857E-2</c:v>
                </c:pt>
                <c:pt idx="53">
                  <c:v>4.7816098447361961E-2</c:v>
                </c:pt>
                <c:pt idx="54">
                  <c:v>4.7830094514740247E-2</c:v>
                </c:pt>
                <c:pt idx="55">
                  <c:v>4.784175582315521E-2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3D-49CC-A975-E436BE560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Low Flow (</a:t>
            </a:r>
            <a:r>
              <a:rPr lang="el-GR" sz="1200" b="0" i="0" u="none" strike="noStrike" baseline="0">
                <a:effectLst/>
              </a:rPr>
              <a:t>τ* = 0.075)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SP rocks'!$AD$48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SP rocks'!$BJ$49:$BJ$54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SP rocks'!$BL$49:$BL$54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3.9800000000000002E-2</c:v>
                </c:pt>
                <c:pt idx="2">
                  <c:v>4.24E-2</c:v>
                </c:pt>
                <c:pt idx="3">
                  <c:v>4.2799999999999998E-2</c:v>
                </c:pt>
                <c:pt idx="4">
                  <c:v>4.3799999999999999E-2</c:v>
                </c:pt>
                <c:pt idx="5">
                  <c:v>3.9100000000000003E-2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C7-4DD2-8AC1-67E83F458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SP rocks'!$K$21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SP rocks'!$BD$4:$BD$59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rocks'!$BE$4:$BE$59</c:f>
              <c:numCache>
                <c:formatCode>0.0000</c:formatCode>
                <c:ptCount val="56"/>
                <c:pt idx="0">
                  <c:v>3.4230885932182022E-2</c:v>
                </c:pt>
                <c:pt idx="1">
                  <c:v>3.4457936733883504E-2</c:v>
                </c:pt>
                <c:pt idx="2">
                  <c:v>3.4681216108534363E-2</c:v>
                </c:pt>
                <c:pt idx="3">
                  <c:v>3.4900786701418808E-2</c:v>
                </c:pt>
                <c:pt idx="4">
                  <c:v>3.5116710117251607E-2</c:v>
                </c:pt>
                <c:pt idx="5">
                  <c:v>3.5329046937462492E-2</c:v>
                </c:pt>
                <c:pt idx="6">
                  <c:v>3.5537856737193459E-2</c:v>
                </c:pt>
                <c:pt idx="7">
                  <c:v>3.5743198102013658E-2</c:v>
                </c:pt>
                <c:pt idx="8">
                  <c:v>3.5945128644356734E-2</c:v>
                </c:pt>
                <c:pt idx="9">
                  <c:v>3.6143705019685071E-2</c:v>
                </c:pt>
                <c:pt idx="10">
                  <c:v>3.6338982942385557E-2</c:v>
                </c:pt>
                <c:pt idx="11">
                  <c:v>3.6531017201401353E-2</c:v>
                </c:pt>
                <c:pt idx="12">
                  <c:v>3.6719861675603933E-2</c:v>
                </c:pt>
                <c:pt idx="13">
                  <c:v>3.6905569348909845E-2</c:v>
                </c:pt>
                <c:pt idx="14">
                  <c:v>3.708819232514636E-2</c:v>
                </c:pt>
                <c:pt idx="15">
                  <c:v>3.726778184267019E-2</c:v>
                </c:pt>
                <c:pt idx="16">
                  <c:v>3.7444388288743406E-2</c:v>
                </c:pt>
                <c:pt idx="17">
                  <c:v>3.7618061213670513E-2</c:v>
                </c:pt>
                <c:pt idx="18">
                  <c:v>3.778884934470074E-2</c:v>
                </c:pt>
                <c:pt idx="19">
                  <c:v>3.7956800599699421E-2</c:v>
                </c:pt>
                <c:pt idx="20">
                  <c:v>3.8755625877984722E-2</c:v>
                </c:pt>
                <c:pt idx="21">
                  <c:v>3.949027444618531E-2</c:v>
                </c:pt>
                <c:pt idx="22">
                  <c:v>4.0165902187858274E-2</c:v>
                </c:pt>
                <c:pt idx="23">
                  <c:v>4.0787250768767061E-2</c:v>
                </c:pt>
                <c:pt idx="24">
                  <c:v>4.135868091466572E-2</c:v>
                </c:pt>
                <c:pt idx="25">
                  <c:v>4.188420301558398E-2</c:v>
                </c:pt>
                <c:pt idx="26">
                  <c:v>4.2367505271399014E-2</c:v>
                </c:pt>
                <c:pt idx="27">
                  <c:v>4.2811979576224186E-2</c:v>
                </c:pt>
                <c:pt idx="28">
                  <c:v>4.3220745323275495E-2</c:v>
                </c:pt>
                <c:pt idx="29">
                  <c:v>4.3596671297282341E-2</c:v>
                </c:pt>
                <c:pt idx="30">
                  <c:v>4.3942395808086947E-2</c:v>
                </c:pt>
                <c:pt idx="31">
                  <c:v>4.426034520673347E-2</c:v>
                </c:pt>
                <c:pt idx="32">
                  <c:v>4.4552750913995631E-2</c:v>
                </c:pt>
                <c:pt idx="33">
                  <c:v>4.4821665080851905E-2</c:v>
                </c:pt>
                <c:pt idx="34">
                  <c:v>4.5068974990816045E-2</c:v>
                </c:pt>
                <c:pt idx="35">
                  <c:v>4.5296416305200794E-2</c:v>
                </c:pt>
                <c:pt idx="36">
                  <c:v>4.5697949789784337E-2</c:v>
                </c:pt>
                <c:pt idx="37">
                  <c:v>4.6037557422103609E-2</c:v>
                </c:pt>
                <c:pt idx="38">
                  <c:v>4.6324789616572076E-2</c:v>
                </c:pt>
                <c:pt idx="39">
                  <c:v>4.6567723890386069E-2</c:v>
                </c:pt>
                <c:pt idx="40">
                  <c:v>4.6773192018715985E-2</c:v>
                </c:pt>
                <c:pt idx="41">
                  <c:v>4.6946972157255538E-2</c:v>
                </c:pt>
                <c:pt idx="42">
                  <c:v>4.7093951334981503E-2</c:v>
                </c:pt>
                <c:pt idx="43">
                  <c:v>4.7218262886730464E-2</c:v>
                </c:pt>
                <c:pt idx="44">
                  <c:v>4.7323402690458628E-2</c:v>
                </c:pt>
                <c:pt idx="45">
                  <c:v>4.7412327477998249E-2</c:v>
                </c:pt>
                <c:pt idx="46">
                  <c:v>4.7487537983996644E-2</c:v>
                </c:pt>
                <c:pt idx="47">
                  <c:v>4.7551149271344545E-2</c:v>
                </c:pt>
                <c:pt idx="48">
                  <c:v>4.760495021077904E-2</c:v>
                </c:pt>
                <c:pt idx="49">
                  <c:v>4.765045378734091E-2</c:v>
                </c:pt>
                <c:pt idx="50">
                  <c:v>4.7688939648399951E-2</c:v>
                </c:pt>
                <c:pt idx="51">
                  <c:v>4.7721490089779918E-2</c:v>
                </c:pt>
                <c:pt idx="52">
                  <c:v>4.7749020491981521E-2</c:v>
                </c:pt>
                <c:pt idx="53">
                  <c:v>4.7772305062428196E-2</c:v>
                </c:pt>
                <c:pt idx="54">
                  <c:v>4.7791998607655609E-2</c:v>
                </c:pt>
                <c:pt idx="55">
                  <c:v>4.7808654947720478E-2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C7-4DD2-8AC1-67E83F458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Testing</a:t>
            </a:r>
            <a:r>
              <a:rPr lang="en-US" baseline="0"/>
              <a:t> Equation with flume data (k=2</a:t>
            </a:r>
            <a:r>
              <a:rPr lang="el-GR" baseline="0"/>
              <a:t>τ</a:t>
            </a:r>
            <a:r>
              <a:rPr lang="en-US" baseline="0"/>
              <a:t>) </a:t>
            </a:r>
            <a:endParaRPr lang="en-US"/>
          </a:p>
        </c:rich>
      </c:tx>
      <c:layout>
        <c:manualLayout>
          <c:xMode val="edge"/>
          <c:yMode val="edge"/>
          <c:x val="0.1763585791018838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'using SP rocks'!$BY$2</c:f>
              <c:strCache>
                <c:ptCount val="1"/>
                <c:pt idx="0">
                  <c:v>0.049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'using SP rocks'!$BU$4:$BU$59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rocks'!$BY$4:$BY$59</c:f>
              <c:numCache>
                <c:formatCode>0.0000</c:formatCode>
                <c:ptCount val="56"/>
                <c:pt idx="0">
                  <c:v>3.5284971514747514E-2</c:v>
                </c:pt>
                <c:pt idx="1">
                  <c:v>3.6451155130666782E-2</c:v>
                </c:pt>
                <c:pt idx="2">
                  <c:v>3.7509532075548538E-2</c:v>
                </c:pt>
                <c:pt idx="3">
                  <c:v>3.8470068428628955E-2</c:v>
                </c:pt>
                <c:pt idx="4">
                  <c:v>3.9341808964976438E-2</c:v>
                </c:pt>
                <c:pt idx="5">
                  <c:v>4.013296232452844E-2</c:v>
                </c:pt>
                <c:pt idx="6">
                  <c:v>4.0850978307762367E-2</c:v>
                </c:pt>
                <c:pt idx="7">
                  <c:v>4.1502618025846011E-2</c:v>
                </c:pt>
                <c:pt idx="8">
                  <c:v>4.2094017565827813E-2</c:v>
                </c:pt>
                <c:pt idx="9">
                  <c:v>4.2630745770362757E-2</c:v>
                </c:pt>
                <c:pt idx="10">
                  <c:v>4.3117856676049567E-2</c:v>
                </c:pt>
                <c:pt idx="11">
                  <c:v>4.3559937104158654E-2</c:v>
                </c:pt>
                <c:pt idx="12">
                  <c:v>4.396114985188302E-2</c:v>
                </c:pt>
                <c:pt idx="13">
                  <c:v>4.4325272890817502E-2</c:v>
                </c:pt>
                <c:pt idx="14">
                  <c:v>4.4655734941773995E-2</c:v>
                </c:pt>
                <c:pt idx="15">
                  <c:v>4.4955647760918677E-2</c:v>
                </c:pt>
                <c:pt idx="16">
                  <c:v>4.5227835441249795E-2</c:v>
                </c:pt>
                <c:pt idx="17">
                  <c:v>4.5474861005329784E-2</c:v>
                </c:pt>
                <c:pt idx="18">
                  <c:v>4.5699050539679043E-2</c:v>
                </c:pt>
                <c:pt idx="19">
                  <c:v>4.590251509808993E-2</c:v>
                </c:pt>
                <c:pt idx="20">
                  <c:v>4.6670154145314988E-2</c:v>
                </c:pt>
                <c:pt idx="21">
                  <c:v>4.7142787354818257E-2</c:v>
                </c:pt>
                <c:pt idx="22">
                  <c:v>4.7433786297007133E-2</c:v>
                </c:pt>
                <c:pt idx="23">
                  <c:v>4.7612953529974196E-2</c:v>
                </c:pt>
                <c:pt idx="24">
                  <c:v>4.7723266293064025E-2</c:v>
                </c:pt>
                <c:pt idx="25">
                  <c:v>4.7791185552065761E-2</c:v>
                </c:pt>
                <c:pt idx="26">
                  <c:v>4.7833003249439433E-2</c:v>
                </c:pt>
                <c:pt idx="27">
                  <c:v>4.7858750288487545E-2</c:v>
                </c:pt>
                <c:pt idx="28">
                  <c:v>4.7874602668254447E-2</c:v>
                </c:pt>
                <c:pt idx="29">
                  <c:v>4.7884362934038971E-2</c:v>
                </c:pt>
                <c:pt idx="30">
                  <c:v>4.7890372302322175E-2</c:v>
                </c:pt>
                <c:pt idx="31">
                  <c:v>4.7894072253528465E-2</c:v>
                </c:pt>
                <c:pt idx="32">
                  <c:v>4.789635030311435E-2</c:v>
                </c:pt>
                <c:pt idx="33">
                  <c:v>4.7897752891858464E-2</c:v>
                </c:pt>
                <c:pt idx="34">
                  <c:v>4.789861646181643E-2</c:v>
                </c:pt>
                <c:pt idx="35">
                  <c:v>4.7899148159418758E-2</c:v>
                </c:pt>
                <c:pt idx="36">
                  <c:v>4.789967708168448E-2</c:v>
                </c:pt>
                <c:pt idx="37">
                  <c:v>4.7899877587143896E-2</c:v>
                </c:pt>
                <c:pt idx="38">
                  <c:v>4.7899953595362602E-2</c:v>
                </c:pt>
                <c:pt idx="39">
                  <c:v>4.7899982408789073E-2</c:v>
                </c:pt>
                <c:pt idx="40">
                  <c:v>4.7899993331470318E-2</c:v>
                </c:pt>
                <c:pt idx="41">
                  <c:v>4.7899997472073505E-2</c:v>
                </c:pt>
                <c:pt idx="42">
                  <c:v>4.7899999041705943E-2</c:v>
                </c:pt>
                <c:pt idx="43">
                  <c:v>4.7899999636726975E-2</c:v>
                </c:pt>
                <c:pt idx="44">
                  <c:v>4.7899999862289357E-2</c:v>
                </c:pt>
                <c:pt idx="45">
                  <c:v>4.7899999947796229E-2</c:v>
                </c:pt>
                <c:pt idx="46">
                  <c:v>4.7899999980210432E-2</c:v>
                </c:pt>
                <c:pt idx="47">
                  <c:v>4.789999999249811E-2</c:v>
                </c:pt>
                <c:pt idx="48">
                  <c:v>4.7899999997156162E-2</c:v>
                </c:pt>
                <c:pt idx="49">
                  <c:v>4.7899999998921944E-2</c:v>
                </c:pt>
                <c:pt idx="50">
                  <c:v>4.7899999999591325E-2</c:v>
                </c:pt>
                <c:pt idx="51">
                  <c:v>4.789999999984508E-2</c:v>
                </c:pt>
                <c:pt idx="52">
                  <c:v>4.7899999999941267E-2</c:v>
                </c:pt>
                <c:pt idx="53">
                  <c:v>4.7899999999977738E-2</c:v>
                </c:pt>
                <c:pt idx="54">
                  <c:v>4.789999999999156E-2</c:v>
                </c:pt>
                <c:pt idx="55">
                  <c:v>4.7899999999996799E-2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A1-416E-8DFD-D81FC87FA4EB}"/>
            </c:ext>
          </c:extLst>
        </c:ser>
        <c:ser>
          <c:idx val="2"/>
          <c:order val="1"/>
          <c:tx>
            <c:strRef>
              <c:f>'using SP rocks'!$BG$2</c:f>
              <c:strCache>
                <c:ptCount val="1"/>
                <c:pt idx="0">
                  <c:v>0.040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'using SP rocks'!$BU$4:$BU$59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rocks'!$BW$4:$BW$59</c:f>
              <c:numCache>
                <c:formatCode>0.0000</c:formatCode>
                <c:ptCount val="56"/>
                <c:pt idx="0">
                  <c:v>3.4978548462641479E-2</c:v>
                </c:pt>
                <c:pt idx="1">
                  <c:v>3.5888207925733467E-2</c:v>
                </c:pt>
                <c:pt idx="2">
                  <c:v>3.6733828117664596E-2</c:v>
                </c:pt>
                <c:pt idx="3">
                  <c:v>3.7519917349970337E-2</c:v>
                </c:pt>
                <c:pt idx="4">
                  <c:v>3.8250666552796096E-2</c:v>
                </c:pt>
                <c:pt idx="5">
                  <c:v>3.8929971618283606E-2</c:v>
                </c:pt>
                <c:pt idx="6">
                  <c:v>3.9561454171001521E-2</c:v>
                </c:pt>
                <c:pt idx="7">
                  <c:v>4.0148480876154906E-2</c:v>
                </c:pt>
                <c:pt idx="8">
                  <c:v>4.0694181388512794E-2</c:v>
                </c:pt>
                <c:pt idx="9">
                  <c:v>4.1201465037746188E-2</c:v>
                </c:pt>
                <c:pt idx="10">
                  <c:v>4.1673036339132066E-2</c:v>
                </c:pt>
                <c:pt idx="11">
                  <c:v>4.2111409412316718E-2</c:v>
                </c:pt>
                <c:pt idx="12">
                  <c:v>4.2518921385010129E-2</c:v>
                </c:pt>
                <c:pt idx="13">
                  <c:v>4.2897744853071372E-2</c:v>
                </c:pt>
                <c:pt idx="14">
                  <c:v>4.3249899463414357E-2</c:v>
                </c:pt>
                <c:pt idx="15">
                  <c:v>4.3577262681486602E-2</c:v>
                </c:pt>
                <c:pt idx="16">
                  <c:v>4.3881579800726475E-2</c:v>
                </c:pt>
                <c:pt idx="17">
                  <c:v>4.4164473247362918E-2</c:v>
                </c:pt>
                <c:pt idx="18">
                  <c:v>4.4427451230165012E-2</c:v>
                </c:pt>
                <c:pt idx="19">
                  <c:v>4.4671915781256351E-2</c:v>
                </c:pt>
                <c:pt idx="20">
                  <c:v>4.5659074746596105E-2</c:v>
                </c:pt>
                <c:pt idx="21">
                  <c:v>4.634435719421913E-2</c:v>
                </c:pt>
                <c:pt idx="22">
                  <c:v>4.6820077974264497E-2</c:v>
                </c:pt>
                <c:pt idx="23">
                  <c:v>4.7150321746525052E-2</c:v>
                </c:pt>
                <c:pt idx="24">
                  <c:v>4.7379575867201637E-2</c:v>
                </c:pt>
                <c:pt idx="25">
                  <c:v>4.75387233099753E-2</c:v>
                </c:pt>
                <c:pt idx="26">
                  <c:v>4.7649202931744572E-2</c:v>
                </c:pt>
                <c:pt idx="27">
                  <c:v>4.7725897515167065E-2</c:v>
                </c:pt>
                <c:pt idx="28">
                  <c:v>4.7779138638119438E-2</c:v>
                </c:pt>
                <c:pt idx="29">
                  <c:v>4.7816098447361961E-2</c:v>
                </c:pt>
                <c:pt idx="30">
                  <c:v>4.784175582315521E-2</c:v>
                </c:pt>
                <c:pt idx="31">
                  <c:v>4.7859567087501206E-2</c:v>
                </c:pt>
                <c:pt idx="32">
                  <c:v>4.7871931607558094E-2</c:v>
                </c:pt>
                <c:pt idx="33">
                  <c:v>4.7880515015971299E-2</c:v>
                </c:pt>
                <c:pt idx="34">
                  <c:v>4.7886473589344863E-2</c:v>
                </c:pt>
                <c:pt idx="35">
                  <c:v>4.7890610011024806E-2</c:v>
                </c:pt>
                <c:pt idx="36">
                  <c:v>4.7895474879896004E-2</c:v>
                </c:pt>
                <c:pt idx="37">
                  <c:v>4.7897819303940645E-2</c:v>
                </c:pt>
                <c:pt idx="38">
                  <c:v>4.7898949102964342E-2</c:v>
                </c:pt>
                <c:pt idx="39">
                  <c:v>4.7899493563270855E-2</c:v>
                </c:pt>
                <c:pt idx="40">
                  <c:v>4.7899755943587315E-2</c:v>
                </c:pt>
                <c:pt idx="41">
                  <c:v>4.7899882387020636E-2</c:v>
                </c:pt>
                <c:pt idx="42">
                  <c:v>4.789994332124789E-2</c:v>
                </c:pt>
                <c:pt idx="43">
                  <c:v>4.7899972685999812E-2</c:v>
                </c:pt>
                <c:pt idx="44">
                  <c:v>4.7899986837137754E-2</c:v>
                </c:pt>
                <c:pt idx="45">
                  <c:v>4.7899993656698343E-2</c:v>
                </c:pt>
                <c:pt idx="46">
                  <c:v>4.7899996943105906E-2</c:v>
                </c:pt>
                <c:pt idx="47">
                  <c:v>4.7899998526855253E-2</c:v>
                </c:pt>
                <c:pt idx="48">
                  <c:v>4.78999992900783E-2</c:v>
                </c:pt>
                <c:pt idx="49">
                  <c:v>4.7899999657882351E-2</c:v>
                </c:pt>
                <c:pt idx="50">
                  <c:v>4.7899999835130429E-2</c:v>
                </c:pt>
                <c:pt idx="51">
                  <c:v>4.7899999920547873E-2</c:v>
                </c:pt>
                <c:pt idx="52">
                  <c:v>4.7899999961711306E-2</c:v>
                </c:pt>
                <c:pt idx="53">
                  <c:v>4.7899999981548334E-2</c:v>
                </c:pt>
                <c:pt idx="54">
                  <c:v>4.7899999991107972E-2</c:v>
                </c:pt>
                <c:pt idx="55">
                  <c:v>4.789999999571485E-2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A1-416E-8DFD-D81FC87FA4EB}"/>
            </c:ext>
          </c:extLst>
        </c:ser>
        <c:ser>
          <c:idx val="1"/>
          <c:order val="2"/>
          <c:tx>
            <c:strRef>
              <c:f>'using SP rocks'!$BW$2</c:f>
              <c:strCache>
                <c:ptCount val="1"/>
                <c:pt idx="0">
                  <c:v>0.037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SP rocks'!$BU$4:$BU$59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rocks'!$BW$4:$BW$59</c:f>
              <c:numCache>
                <c:formatCode>0.0000</c:formatCode>
                <c:ptCount val="56"/>
                <c:pt idx="0">
                  <c:v>3.4978548462641479E-2</c:v>
                </c:pt>
                <c:pt idx="1">
                  <c:v>3.5888207925733467E-2</c:v>
                </c:pt>
                <c:pt idx="2">
                  <c:v>3.6733828117664596E-2</c:v>
                </c:pt>
                <c:pt idx="3">
                  <c:v>3.7519917349970337E-2</c:v>
                </c:pt>
                <c:pt idx="4">
                  <c:v>3.8250666552796096E-2</c:v>
                </c:pt>
                <c:pt idx="5">
                  <c:v>3.8929971618283606E-2</c:v>
                </c:pt>
                <c:pt idx="6">
                  <c:v>3.9561454171001521E-2</c:v>
                </c:pt>
                <c:pt idx="7">
                  <c:v>4.0148480876154906E-2</c:v>
                </c:pt>
                <c:pt idx="8">
                  <c:v>4.0694181388512794E-2</c:v>
                </c:pt>
                <c:pt idx="9">
                  <c:v>4.1201465037746188E-2</c:v>
                </c:pt>
                <c:pt idx="10">
                  <c:v>4.1673036339132066E-2</c:v>
                </c:pt>
                <c:pt idx="11">
                  <c:v>4.2111409412316718E-2</c:v>
                </c:pt>
                <c:pt idx="12">
                  <c:v>4.2518921385010129E-2</c:v>
                </c:pt>
                <c:pt idx="13">
                  <c:v>4.2897744853071372E-2</c:v>
                </c:pt>
                <c:pt idx="14">
                  <c:v>4.3249899463414357E-2</c:v>
                </c:pt>
                <c:pt idx="15">
                  <c:v>4.3577262681486602E-2</c:v>
                </c:pt>
                <c:pt idx="16">
                  <c:v>4.3881579800726475E-2</c:v>
                </c:pt>
                <c:pt idx="17">
                  <c:v>4.4164473247362918E-2</c:v>
                </c:pt>
                <c:pt idx="18">
                  <c:v>4.4427451230165012E-2</c:v>
                </c:pt>
                <c:pt idx="19">
                  <c:v>4.4671915781256351E-2</c:v>
                </c:pt>
                <c:pt idx="20">
                  <c:v>4.5659074746596105E-2</c:v>
                </c:pt>
                <c:pt idx="21">
                  <c:v>4.634435719421913E-2</c:v>
                </c:pt>
                <c:pt idx="22">
                  <c:v>4.6820077974264497E-2</c:v>
                </c:pt>
                <c:pt idx="23">
                  <c:v>4.7150321746525052E-2</c:v>
                </c:pt>
                <c:pt idx="24">
                  <c:v>4.7379575867201637E-2</c:v>
                </c:pt>
                <c:pt idx="25">
                  <c:v>4.75387233099753E-2</c:v>
                </c:pt>
                <c:pt idx="26">
                  <c:v>4.7649202931744572E-2</c:v>
                </c:pt>
                <c:pt idx="27">
                  <c:v>4.7725897515167065E-2</c:v>
                </c:pt>
                <c:pt idx="28">
                  <c:v>4.7779138638119438E-2</c:v>
                </c:pt>
                <c:pt idx="29">
                  <c:v>4.7816098447361961E-2</c:v>
                </c:pt>
                <c:pt idx="30">
                  <c:v>4.784175582315521E-2</c:v>
                </c:pt>
                <c:pt idx="31">
                  <c:v>4.7859567087501206E-2</c:v>
                </c:pt>
                <c:pt idx="32">
                  <c:v>4.7871931607558094E-2</c:v>
                </c:pt>
                <c:pt idx="33">
                  <c:v>4.7880515015971299E-2</c:v>
                </c:pt>
                <c:pt idx="34">
                  <c:v>4.7886473589344863E-2</c:v>
                </c:pt>
                <c:pt idx="35">
                  <c:v>4.7890610011024806E-2</c:v>
                </c:pt>
                <c:pt idx="36">
                  <c:v>4.7895474879896004E-2</c:v>
                </c:pt>
                <c:pt idx="37">
                  <c:v>4.7897819303940645E-2</c:v>
                </c:pt>
                <c:pt idx="38">
                  <c:v>4.7898949102964342E-2</c:v>
                </c:pt>
                <c:pt idx="39">
                  <c:v>4.7899493563270855E-2</c:v>
                </c:pt>
                <c:pt idx="40">
                  <c:v>4.7899755943587315E-2</c:v>
                </c:pt>
                <c:pt idx="41">
                  <c:v>4.7899882387020636E-2</c:v>
                </c:pt>
                <c:pt idx="42">
                  <c:v>4.789994332124789E-2</c:v>
                </c:pt>
                <c:pt idx="43">
                  <c:v>4.7899972685999812E-2</c:v>
                </c:pt>
                <c:pt idx="44">
                  <c:v>4.7899986837137754E-2</c:v>
                </c:pt>
                <c:pt idx="45">
                  <c:v>4.7899993656698343E-2</c:v>
                </c:pt>
                <c:pt idx="46">
                  <c:v>4.7899996943105906E-2</c:v>
                </c:pt>
                <c:pt idx="47">
                  <c:v>4.7899998526855253E-2</c:v>
                </c:pt>
                <c:pt idx="48">
                  <c:v>4.78999992900783E-2</c:v>
                </c:pt>
                <c:pt idx="49">
                  <c:v>4.7899999657882351E-2</c:v>
                </c:pt>
                <c:pt idx="50">
                  <c:v>4.7899999835130429E-2</c:v>
                </c:pt>
                <c:pt idx="51">
                  <c:v>4.7899999920547873E-2</c:v>
                </c:pt>
                <c:pt idx="52">
                  <c:v>4.7899999961711306E-2</c:v>
                </c:pt>
                <c:pt idx="53">
                  <c:v>4.7899999981548334E-2</c:v>
                </c:pt>
                <c:pt idx="54">
                  <c:v>4.7899999991107972E-2</c:v>
                </c:pt>
                <c:pt idx="55">
                  <c:v>4.789999999571485E-2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A1-416E-8DFD-D81FC87FA4EB}"/>
            </c:ext>
          </c:extLst>
        </c:ser>
        <c:ser>
          <c:idx val="0"/>
          <c:order val="3"/>
          <c:tx>
            <c:strRef>
              <c:f>'using SP rocks'!$BV$2</c:f>
              <c:strCache>
                <c:ptCount val="1"/>
                <c:pt idx="0">
                  <c:v>0.034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SP rocks'!$BU$4:$BU$59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rocks'!$BV$4:$BV$59</c:f>
              <c:numCache>
                <c:formatCode>0.0000</c:formatCode>
                <c:ptCount val="56"/>
                <c:pt idx="0">
                  <c:v>3.4900786701418808E-2</c:v>
                </c:pt>
                <c:pt idx="1">
                  <c:v>3.5743198102013658E-2</c:v>
                </c:pt>
                <c:pt idx="2">
                  <c:v>3.6531017201401353E-2</c:v>
                </c:pt>
                <c:pt idx="3">
                  <c:v>3.726778184267019E-2</c:v>
                </c:pt>
                <c:pt idx="4">
                  <c:v>3.7956800599699421E-2</c:v>
                </c:pt>
                <c:pt idx="5">
                  <c:v>3.8601167634904184E-2</c:v>
                </c:pt>
                <c:pt idx="6">
                  <c:v>3.9203776594127285E-2</c:v>
                </c:pt>
                <c:pt idx="7">
                  <c:v>3.9767333601075275E-2</c:v>
                </c:pt>
                <c:pt idx="8">
                  <c:v>4.0294369409652753E-2</c:v>
                </c:pt>
                <c:pt idx="9">
                  <c:v>4.0787250768767061E-2</c:v>
                </c:pt>
                <c:pt idx="10">
                  <c:v>4.1248191050639108E-2</c:v>
                </c:pt>
                <c:pt idx="11">
                  <c:v>4.167926019034867E-2</c:v>
                </c:pt>
                <c:pt idx="12">
                  <c:v>4.2082393981249425E-2</c:v>
                </c:pt>
                <c:pt idx="13">
                  <c:v>4.2459402767996507E-2</c:v>
                </c:pt>
                <c:pt idx="14">
                  <c:v>4.2811979576224186E-2</c:v>
                </c:pt>
                <c:pt idx="15">
                  <c:v>4.3141707715381346E-2</c:v>
                </c:pt>
                <c:pt idx="16">
                  <c:v>4.3450067888866829E-2</c:v>
                </c:pt>
                <c:pt idx="17">
                  <c:v>4.3738444843393828E-2</c:v>
                </c:pt>
                <c:pt idx="18">
                  <c:v>4.4008133587443585E-2</c:v>
                </c:pt>
                <c:pt idx="19">
                  <c:v>4.426034520673347E-2</c:v>
                </c:pt>
                <c:pt idx="20">
                  <c:v>4.5296416305200794E-2</c:v>
                </c:pt>
                <c:pt idx="21">
                  <c:v>4.6037557422103609E-2</c:v>
                </c:pt>
                <c:pt idx="22">
                  <c:v>4.6567723890386069E-2</c:v>
                </c:pt>
                <c:pt idx="23">
                  <c:v>4.6946972157255538E-2</c:v>
                </c:pt>
                <c:pt idx="24">
                  <c:v>4.7218262886730464E-2</c:v>
                </c:pt>
                <c:pt idx="25">
                  <c:v>4.7412327477998249E-2</c:v>
                </c:pt>
                <c:pt idx="26">
                  <c:v>4.7551149271344545E-2</c:v>
                </c:pt>
                <c:pt idx="27">
                  <c:v>4.765045378734091E-2</c:v>
                </c:pt>
                <c:pt idx="28">
                  <c:v>4.7721490089779918E-2</c:v>
                </c:pt>
                <c:pt idx="29">
                  <c:v>4.7772305062428196E-2</c:v>
                </c:pt>
                <c:pt idx="30">
                  <c:v>4.7808654947720478E-2</c:v>
                </c:pt>
                <c:pt idx="31">
                  <c:v>4.7834657405104591E-2</c:v>
                </c:pt>
                <c:pt idx="32">
                  <c:v>4.7853257953210208E-2</c:v>
                </c:pt>
                <c:pt idx="33">
                  <c:v>4.7866563633697186E-2</c:v>
                </c:pt>
                <c:pt idx="34">
                  <c:v>4.7876081693714365E-2</c:v>
                </c:pt>
                <c:pt idx="35">
                  <c:v>4.7882890324552833E-2</c:v>
                </c:pt>
                <c:pt idx="36">
                  <c:v>4.7891244832310539E-2</c:v>
                </c:pt>
                <c:pt idx="37">
                  <c:v>4.7895519905593341E-2</c:v>
                </c:pt>
                <c:pt idx="38">
                  <c:v>4.7897707497262819E-2</c:v>
                </c:pt>
                <c:pt idx="39">
                  <c:v>4.7898826906684781E-2</c:v>
                </c:pt>
                <c:pt idx="40">
                  <c:v>4.7899399718088057E-2</c:v>
                </c:pt>
                <c:pt idx="41">
                  <c:v>4.7899692830596571E-2</c:v>
                </c:pt>
                <c:pt idx="42">
                  <c:v>4.789984281878143E-2</c:v>
                </c:pt>
                <c:pt idx="43">
                  <c:v>4.789991956902219E-2</c:v>
                </c:pt>
                <c:pt idx="44">
                  <c:v>4.7899958842778735E-2</c:v>
                </c:pt>
                <c:pt idx="45">
                  <c:v>4.7899978939496837E-2</c:v>
                </c:pt>
                <c:pt idx="46">
                  <c:v>4.7899989223159876E-2</c:v>
                </c:pt>
                <c:pt idx="47">
                  <c:v>4.7899994485398466E-2</c:v>
                </c:pt>
                <c:pt idx="48">
                  <c:v>4.7899997178131093E-2</c:v>
                </c:pt>
                <c:pt idx="49">
                  <c:v>4.7899998556025475E-2</c:v>
                </c:pt>
                <c:pt idx="50">
                  <c:v>4.7899999261105851E-2</c:v>
                </c:pt>
                <c:pt idx="51">
                  <c:v>4.7899999621901522E-2</c:v>
                </c:pt>
                <c:pt idx="52">
                  <c:v>4.7899999806523763E-2</c:v>
                </c:pt>
                <c:pt idx="53">
                  <c:v>4.7899999900996547E-2</c:v>
                </c:pt>
                <c:pt idx="54">
                  <c:v>4.7899999949339085E-2</c:v>
                </c:pt>
                <c:pt idx="55">
                  <c:v>4.7899999974076374E-2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3A1-416E-8DFD-D81FC87FA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 vs Predicted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(k=2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'using SP rocks'!$CA$47</c:f>
              <c:strCache>
                <c:ptCount val="1"/>
                <c:pt idx="0">
                  <c:v>Low Flow (τ* = 0.075)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SP rocks'!$CB$49:$CB$54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4.0787250768767061E-2</c:v>
                </c:pt>
                <c:pt idx="2">
                  <c:v>4.6037557422103609E-2</c:v>
                </c:pt>
                <c:pt idx="3">
                  <c:v>4.765045378734091E-2</c:v>
                </c:pt>
                <c:pt idx="4">
                  <c:v>4.7895519905593341E-2</c:v>
                </c:pt>
                <c:pt idx="5">
                  <c:v>4.7899998556025475E-2</c:v>
                </c:pt>
              </c:numCache>
            </c:numRef>
          </c:xVal>
          <c:yVal>
            <c:numRef>
              <c:f>'using SP rocks'!$CC$49:$CC$54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3.9800000000000002E-2</c:v>
                </c:pt>
                <c:pt idx="2">
                  <c:v>4.24E-2</c:v>
                </c:pt>
                <c:pt idx="3">
                  <c:v>4.2799999999999998E-2</c:v>
                </c:pt>
                <c:pt idx="4">
                  <c:v>4.3799999999999999E-2</c:v>
                </c:pt>
                <c:pt idx="5">
                  <c:v>3.9100000000000003E-2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BC-40D0-85F7-D056335FC5CB}"/>
            </c:ext>
          </c:extLst>
        </c:ser>
        <c:ser>
          <c:idx val="1"/>
          <c:order val="1"/>
          <c:tx>
            <c:strRef>
              <c:f>'using SP rocks'!$CA$38</c:f>
              <c:strCache>
                <c:ptCount val="1"/>
                <c:pt idx="0">
                  <c:v>Med Low Flow (τ* = 0.086)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SP rocks'!$CB$40:$CB$45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4.1201465037746188E-2</c:v>
                </c:pt>
                <c:pt idx="2">
                  <c:v>4.634435719421913E-2</c:v>
                </c:pt>
                <c:pt idx="3">
                  <c:v>4.7725897515167065E-2</c:v>
                </c:pt>
                <c:pt idx="4">
                  <c:v>4.7897819303940645E-2</c:v>
                </c:pt>
                <c:pt idx="5">
                  <c:v>4.7899999657882351E-2</c:v>
                </c:pt>
              </c:numCache>
            </c:numRef>
          </c:xVal>
          <c:yVal>
            <c:numRef>
              <c:f>'using SP rocks'!$CC$40:$CC$45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4.2900000000000001E-2</c:v>
                </c:pt>
                <c:pt idx="2">
                  <c:v>4.3999999999999997E-2</c:v>
                </c:pt>
                <c:pt idx="3">
                  <c:v>4.6800000000000001E-2</c:v>
                </c:pt>
                <c:pt idx="4">
                  <c:v>4.4400000000000002E-2</c:v>
                </c:pt>
                <c:pt idx="5">
                  <c:v>4.1300000000000003E-2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BC-40D0-85F7-D056335FC5CB}"/>
            </c:ext>
          </c:extLst>
        </c:ser>
        <c:ser>
          <c:idx val="2"/>
          <c:order val="2"/>
          <c:tx>
            <c:strRef>
              <c:f>'using SP rocks'!$CA$29</c:f>
              <c:strCache>
                <c:ptCount val="1"/>
                <c:pt idx="0">
                  <c:v>Med High Flow (τ* = 0.089)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'using SP rocks'!$CB$31:$CB$36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4.1654327398770619E-2</c:v>
                </c:pt>
                <c:pt idx="2">
                  <c:v>4.6639020449277167E-2</c:v>
                </c:pt>
                <c:pt idx="3">
                  <c:v>4.7785606516018618E-2</c:v>
                </c:pt>
                <c:pt idx="4">
                  <c:v>4.7899058570562772E-2</c:v>
                </c:pt>
                <c:pt idx="5">
                  <c:v>4.7899999936238169E-2</c:v>
                </c:pt>
              </c:numCache>
            </c:numRef>
          </c:xVal>
          <c:yVal>
            <c:numRef>
              <c:f>'using SP rocks'!$CC$31:$CC$36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4.2700000000000002E-2</c:v>
                </c:pt>
                <c:pt idx="2">
                  <c:v>4.2000000000000003E-2</c:v>
                </c:pt>
                <c:pt idx="3">
                  <c:v>4.7899999999999998E-2</c:v>
                </c:pt>
                <c:pt idx="4">
                  <c:v>4.4999999999999998E-2</c:v>
                </c:pt>
                <c:pt idx="5">
                  <c:v>4.3799999999999999E-2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BC-40D0-85F7-D056335FC5CB}"/>
            </c:ext>
          </c:extLst>
        </c:ser>
        <c:ser>
          <c:idx val="3"/>
          <c:order val="3"/>
          <c:tx>
            <c:strRef>
              <c:f>'using SP rocks'!$CA$20</c:f>
              <c:strCache>
                <c:ptCount val="1"/>
                <c:pt idx="0">
                  <c:v>High Flow: (τ* = 0.108)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'using SP rocks'!$CB$22:$CB$27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4.2630745770362757E-2</c:v>
                </c:pt>
                <c:pt idx="2">
                  <c:v>4.7142787354818257E-2</c:v>
                </c:pt>
                <c:pt idx="3">
                  <c:v>4.7858750288487545E-2</c:v>
                </c:pt>
                <c:pt idx="4">
                  <c:v>4.7899877587143896E-2</c:v>
                </c:pt>
                <c:pt idx="5">
                  <c:v>4.7899999998921944E-2</c:v>
                </c:pt>
              </c:numCache>
            </c:numRef>
          </c:xVal>
          <c:yVal>
            <c:numRef>
              <c:f>'using SP rocks'!$CC$22:$CC$27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4.1500000000000002E-2</c:v>
                </c:pt>
                <c:pt idx="2">
                  <c:v>4.3700000000000003E-2</c:v>
                </c:pt>
                <c:pt idx="3">
                  <c:v>4.36E-2</c:v>
                </c:pt>
                <c:pt idx="4">
                  <c:v>4.2799999999999998E-2</c:v>
                </c:pt>
                <c:pt idx="5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BC-40D0-85F7-D056335FC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99248"/>
        <c:axId val="1496091088"/>
      </c:scatterChar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>
                    <a:lumMod val="50000"/>
                    <a:lumOff val="5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0BC-40D0-85F7-D056335FC5CB}"/>
              </c:ext>
            </c:extLst>
          </c:dPt>
          <c:xVal>
            <c:numRef>
              <c:f>'using SP rocks'!$J$56:$J$57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xVal>
          <c:yVal>
            <c:numRef>
              <c:f>'using SP rocks'!$K$56:$K$57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0BC-40D0-85F7-D056335FC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99248"/>
        <c:axId val="1496091088"/>
      </c:scatterChart>
      <c:valAx>
        <c:axId val="1496099248"/>
        <c:scaling>
          <c:orientation val="minMax"/>
          <c:max val="6.0000000000000012E-2"/>
          <c:min val="3.000000000000000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91088"/>
        <c:crosses val="autoZero"/>
        <c:crossBetween val="midCat"/>
      </c:valAx>
      <c:valAx>
        <c:axId val="1496091088"/>
        <c:scaling>
          <c:orientation val="minMax"/>
          <c:max val="6.0000000000000012E-2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99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High Flow: (</a:t>
            </a:r>
            <a:r>
              <a:rPr lang="el-GR" sz="1200" baseline="0"/>
              <a:t>τ* = 0.108</a:t>
            </a:r>
            <a:r>
              <a:rPr lang="en-US" sz="1200" baseline="0"/>
              <a:t>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SP rocks'!$AD$21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SP rocks'!$CA$22:$CA$27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SP rocks'!$CC$22:$CC$27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4.1500000000000002E-2</c:v>
                </c:pt>
                <c:pt idx="2">
                  <c:v>4.3700000000000003E-2</c:v>
                </c:pt>
                <c:pt idx="3">
                  <c:v>4.36E-2</c:v>
                </c:pt>
                <c:pt idx="4">
                  <c:v>4.2799999999999998E-2</c:v>
                </c:pt>
                <c:pt idx="5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95-4C21-8646-A7E98AB98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SP rocks'!$K$21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'using SP rocks'!$V$4:$V$59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rocks'!$BY$4:$BY$59</c:f>
              <c:numCache>
                <c:formatCode>0.0000</c:formatCode>
                <c:ptCount val="56"/>
                <c:pt idx="0">
                  <c:v>3.5284971514747514E-2</c:v>
                </c:pt>
                <c:pt idx="1">
                  <c:v>3.6451155130666782E-2</c:v>
                </c:pt>
                <c:pt idx="2">
                  <c:v>3.7509532075548538E-2</c:v>
                </c:pt>
                <c:pt idx="3">
                  <c:v>3.8470068428628955E-2</c:v>
                </c:pt>
                <c:pt idx="4">
                  <c:v>3.9341808964976438E-2</c:v>
                </c:pt>
                <c:pt idx="5">
                  <c:v>4.013296232452844E-2</c:v>
                </c:pt>
                <c:pt idx="6">
                  <c:v>4.0850978307762367E-2</c:v>
                </c:pt>
                <c:pt idx="7">
                  <c:v>4.1502618025846011E-2</c:v>
                </c:pt>
                <c:pt idx="8">
                  <c:v>4.2094017565827813E-2</c:v>
                </c:pt>
                <c:pt idx="9">
                  <c:v>4.2630745770362757E-2</c:v>
                </c:pt>
                <c:pt idx="10">
                  <c:v>4.3117856676049567E-2</c:v>
                </c:pt>
                <c:pt idx="11">
                  <c:v>4.3559937104158654E-2</c:v>
                </c:pt>
                <c:pt idx="12">
                  <c:v>4.396114985188302E-2</c:v>
                </c:pt>
                <c:pt idx="13">
                  <c:v>4.4325272890817502E-2</c:v>
                </c:pt>
                <c:pt idx="14">
                  <c:v>4.4655734941773995E-2</c:v>
                </c:pt>
                <c:pt idx="15">
                  <c:v>4.4955647760918677E-2</c:v>
                </c:pt>
                <c:pt idx="16">
                  <c:v>4.5227835441249795E-2</c:v>
                </c:pt>
                <c:pt idx="17">
                  <c:v>4.5474861005329784E-2</c:v>
                </c:pt>
                <c:pt idx="18">
                  <c:v>4.5699050539679043E-2</c:v>
                </c:pt>
                <c:pt idx="19">
                  <c:v>4.590251509808993E-2</c:v>
                </c:pt>
                <c:pt idx="20">
                  <c:v>4.6670154145314988E-2</c:v>
                </c:pt>
                <c:pt idx="21">
                  <c:v>4.7142787354818257E-2</c:v>
                </c:pt>
                <c:pt idx="22">
                  <c:v>4.7433786297007133E-2</c:v>
                </c:pt>
                <c:pt idx="23">
                  <c:v>4.7612953529974196E-2</c:v>
                </c:pt>
                <c:pt idx="24">
                  <c:v>4.7723266293064025E-2</c:v>
                </c:pt>
                <c:pt idx="25">
                  <c:v>4.7791185552065761E-2</c:v>
                </c:pt>
                <c:pt idx="26">
                  <c:v>4.7833003249439433E-2</c:v>
                </c:pt>
                <c:pt idx="27">
                  <c:v>4.7858750288487545E-2</c:v>
                </c:pt>
                <c:pt idx="28">
                  <c:v>4.7874602668254447E-2</c:v>
                </c:pt>
                <c:pt idx="29">
                  <c:v>4.7884362934038971E-2</c:v>
                </c:pt>
                <c:pt idx="30">
                  <c:v>4.7890372302322175E-2</c:v>
                </c:pt>
                <c:pt idx="31">
                  <c:v>4.7894072253528465E-2</c:v>
                </c:pt>
                <c:pt idx="32">
                  <c:v>4.789635030311435E-2</c:v>
                </c:pt>
                <c:pt idx="33">
                  <c:v>4.7897752891858464E-2</c:v>
                </c:pt>
                <c:pt idx="34">
                  <c:v>4.789861646181643E-2</c:v>
                </c:pt>
                <c:pt idx="35">
                  <c:v>4.7899148159418758E-2</c:v>
                </c:pt>
                <c:pt idx="36">
                  <c:v>4.789967708168448E-2</c:v>
                </c:pt>
                <c:pt idx="37">
                  <c:v>4.7899877587143896E-2</c:v>
                </c:pt>
                <c:pt idx="38">
                  <c:v>4.7899953595362602E-2</c:v>
                </c:pt>
                <c:pt idx="39">
                  <c:v>4.7899982408789073E-2</c:v>
                </c:pt>
                <c:pt idx="40">
                  <c:v>4.7899993331470318E-2</c:v>
                </c:pt>
                <c:pt idx="41">
                  <c:v>4.7899997472073505E-2</c:v>
                </c:pt>
                <c:pt idx="42">
                  <c:v>4.7899999041705943E-2</c:v>
                </c:pt>
                <c:pt idx="43">
                  <c:v>4.7899999636726975E-2</c:v>
                </c:pt>
                <c:pt idx="44">
                  <c:v>4.7899999862289357E-2</c:v>
                </c:pt>
                <c:pt idx="45">
                  <c:v>4.7899999947796229E-2</c:v>
                </c:pt>
                <c:pt idx="46">
                  <c:v>4.7899999980210432E-2</c:v>
                </c:pt>
                <c:pt idx="47">
                  <c:v>4.789999999249811E-2</c:v>
                </c:pt>
                <c:pt idx="48">
                  <c:v>4.7899999997156162E-2</c:v>
                </c:pt>
                <c:pt idx="49">
                  <c:v>4.7899999998921944E-2</c:v>
                </c:pt>
                <c:pt idx="50">
                  <c:v>4.7899999999591325E-2</c:v>
                </c:pt>
                <c:pt idx="51">
                  <c:v>4.789999999984508E-2</c:v>
                </c:pt>
                <c:pt idx="52">
                  <c:v>4.7899999999941267E-2</c:v>
                </c:pt>
                <c:pt idx="53">
                  <c:v>4.7899999999977738E-2</c:v>
                </c:pt>
                <c:pt idx="54">
                  <c:v>4.789999999999156E-2</c:v>
                </c:pt>
                <c:pt idx="55">
                  <c:v>4.7899999999996799E-2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95-4C21-8646-A7E98AB98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ax val="6.0000000000000012E-2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Med High Flow (</a:t>
            </a:r>
            <a:r>
              <a:rPr lang="el-GR" sz="1200" baseline="0"/>
              <a:t>τ* = 0.089)</a:t>
            </a:r>
            <a:endParaRPr lang="en-US" sz="1200"/>
          </a:p>
        </c:rich>
      </c:tx>
      <c:layout>
        <c:manualLayout>
          <c:xMode val="edge"/>
          <c:yMode val="edge"/>
          <c:x val="0.31548891171212295"/>
          <c:y val="5.21310178693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SP rocks'!$AD$30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'using SP rocks'!$CA$31:$CA$36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SP rocks'!$CC$31:$CC$36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4.2700000000000002E-2</c:v>
                </c:pt>
                <c:pt idx="2">
                  <c:v>4.2000000000000003E-2</c:v>
                </c:pt>
                <c:pt idx="3">
                  <c:v>4.7899999999999998E-2</c:v>
                </c:pt>
                <c:pt idx="4">
                  <c:v>4.4999999999999998E-2</c:v>
                </c:pt>
                <c:pt idx="5">
                  <c:v>4.3799999999999999E-2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C2-43D3-9174-B0B9728BE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SP rocks'!$K$30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SP rocks'!$AM$4:$AM$59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rocks'!$BX$4:$BX$59</c:f>
              <c:numCache>
                <c:formatCode>0.0000</c:formatCode>
                <c:ptCount val="56"/>
                <c:pt idx="0">
                  <c:v>3.5068682785225763E-2</c:v>
                </c:pt>
                <c:pt idx="1">
                  <c:v>3.605520133336966E-2</c:v>
                </c:pt>
                <c:pt idx="2">
                  <c:v>3.6965872731174909E-2</c:v>
                </c:pt>
                <c:pt idx="3">
                  <c:v>3.78065283846757E-2</c:v>
                </c:pt>
                <c:pt idx="4">
                  <c:v>3.8582551360104612E-2</c:v>
                </c:pt>
                <c:pt idx="5">
                  <c:v>3.9298910853894642E-2</c:v>
                </c:pt>
                <c:pt idx="6">
                  <c:v>3.9960194012501477E-2</c:v>
                </c:pt>
                <c:pt idx="7">
                  <c:v>4.0570635305801628E-2</c:v>
                </c:pt>
                <c:pt idx="8">
                  <c:v>4.1134143642156396E-2</c:v>
                </c:pt>
                <c:pt idx="9">
                  <c:v>4.1654327398770619E-2</c:v>
                </c:pt>
                <c:pt idx="10">
                  <c:v>4.2134517527626023E-2</c:v>
                </c:pt>
                <c:pt idx="11">
                  <c:v>4.2577788884945941E-2</c:v>
                </c:pt>
                <c:pt idx="12">
                  <c:v>4.2986979920772952E-2</c:v>
                </c:pt>
                <c:pt idx="13">
                  <c:v>4.3364710854739752E-2</c:v>
                </c:pt>
                <c:pt idx="14">
                  <c:v>4.371340045442039E-2</c:v>
                </c:pt>
                <c:pt idx="15">
                  <c:v>4.4035281523700599E-2</c:v>
                </c:pt>
                <c:pt idx="16">
                  <c:v>4.4332415200345573E-2</c:v>
                </c:pt>
                <c:pt idx="17">
                  <c:v>4.4606704154318506E-2</c:v>
                </c:pt>
                <c:pt idx="18">
                  <c:v>4.4859904771364215E-2</c:v>
                </c:pt>
                <c:pt idx="19">
                  <c:v>4.5093638399874292E-2</c:v>
                </c:pt>
                <c:pt idx="20">
                  <c:v>4.6018839563011081E-2</c:v>
                </c:pt>
                <c:pt idx="21">
                  <c:v>4.6639020449277167E-2</c:v>
                </c:pt>
                <c:pt idx="22">
                  <c:v>4.705474012950947E-2</c:v>
                </c:pt>
                <c:pt idx="23">
                  <c:v>4.7333405364700709E-2</c:v>
                </c:pt>
                <c:pt idx="24">
                  <c:v>4.7520200257982634E-2</c:v>
                </c:pt>
                <c:pt idx="25">
                  <c:v>4.7645412619446596E-2</c:v>
                </c:pt>
                <c:pt idx="26">
                  <c:v>4.7729344975347344E-2</c:v>
                </c:pt>
                <c:pt idx="27">
                  <c:v>4.7785606516018618E-2</c:v>
                </c:pt>
                <c:pt idx="28">
                  <c:v>4.7823319754551424E-2</c:v>
                </c:pt>
                <c:pt idx="29">
                  <c:v>4.7848599694340882E-2</c:v>
                </c:pt>
                <c:pt idx="30">
                  <c:v>4.7865545344744333E-2</c:v>
                </c:pt>
                <c:pt idx="31">
                  <c:v>4.7876904353902877E-2</c:v>
                </c:pt>
                <c:pt idx="32">
                  <c:v>4.7884518525444952E-2</c:v>
                </c:pt>
                <c:pt idx="33">
                  <c:v>4.788962245726356E-2</c:v>
                </c:pt>
                <c:pt idx="34">
                  <c:v>4.7893043725075177E-2</c:v>
                </c:pt>
                <c:pt idx="35">
                  <c:v>4.7895337069472153E-2</c:v>
                </c:pt>
                <c:pt idx="36">
                  <c:v>4.7897904810256173E-2</c:v>
                </c:pt>
                <c:pt idx="37">
                  <c:v>4.7899058570562772E-2</c:v>
                </c:pt>
                <c:pt idx="38">
                  <c:v>4.7899576988486181E-2</c:v>
                </c:pt>
                <c:pt idx="39">
                  <c:v>4.7899809928674687E-2</c:v>
                </c:pt>
                <c:pt idx="40">
                  <c:v>4.789991459544829E-2</c:v>
                </c:pt>
                <c:pt idx="41">
                  <c:v>4.7899961625261243E-2</c:v>
                </c:pt>
                <c:pt idx="42">
                  <c:v>4.7899982757118389E-2</c:v>
                </c:pt>
                <c:pt idx="43">
                  <c:v>4.7899992252273864E-2</c:v>
                </c:pt>
                <c:pt idx="44">
                  <c:v>4.7899996518722239E-2</c:v>
                </c:pt>
                <c:pt idx="45">
                  <c:v>4.7899998435761072E-2</c:v>
                </c:pt>
                <c:pt idx="46">
                  <c:v>4.7899999297142143E-2</c:v>
                </c:pt>
                <c:pt idx="47">
                  <c:v>4.7899999684185603E-2</c:v>
                </c:pt>
                <c:pt idx="48">
                  <c:v>4.7899999858095448E-2</c:v>
                </c:pt>
                <c:pt idx="49">
                  <c:v>4.7899999936238169E-2</c:v>
                </c:pt>
                <c:pt idx="50">
                  <c:v>4.7899999971349964E-2</c:v>
                </c:pt>
                <c:pt idx="51">
                  <c:v>4.7899999987126705E-2</c:v>
                </c:pt>
                <c:pt idx="52">
                  <c:v>4.7899999994215653E-2</c:v>
                </c:pt>
                <c:pt idx="53">
                  <c:v>4.7899999997400924E-2</c:v>
                </c:pt>
                <c:pt idx="54">
                  <c:v>4.7899999998832161E-2</c:v>
                </c:pt>
                <c:pt idx="55">
                  <c:v>4.7899999999475251E-2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C2-43D3-9174-B0B9728BE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Med Low Flow (</a:t>
            </a:r>
            <a:r>
              <a:rPr lang="el-GR" sz="1200" baseline="0"/>
              <a:t>τ* = 0.086</a:t>
            </a:r>
            <a:r>
              <a:rPr lang="en-US" sz="1200" baseline="0"/>
              <a:t>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SP rocks'!$AD$39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SP rocks'!$CA$40:$CA$45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SP rocks'!$CC$40:$CC$45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4.2900000000000001E-2</c:v>
                </c:pt>
                <c:pt idx="2">
                  <c:v>4.3999999999999997E-2</c:v>
                </c:pt>
                <c:pt idx="3">
                  <c:v>4.6800000000000001E-2</c:v>
                </c:pt>
                <c:pt idx="4">
                  <c:v>4.4400000000000002E-2</c:v>
                </c:pt>
                <c:pt idx="5">
                  <c:v>4.1300000000000003E-2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73-4075-B43C-8185A03A9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SP rocks'!$K$39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SP rocks'!$AM$4:$AM$59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rocks'!$BW$4:$BW$59</c:f>
              <c:numCache>
                <c:formatCode>0.0000</c:formatCode>
                <c:ptCount val="56"/>
                <c:pt idx="0">
                  <c:v>3.4978548462641479E-2</c:v>
                </c:pt>
                <c:pt idx="1">
                  <c:v>3.5888207925733467E-2</c:v>
                </c:pt>
                <c:pt idx="2">
                  <c:v>3.6733828117664596E-2</c:v>
                </c:pt>
                <c:pt idx="3">
                  <c:v>3.7519917349970337E-2</c:v>
                </c:pt>
                <c:pt idx="4">
                  <c:v>3.8250666552796096E-2</c:v>
                </c:pt>
                <c:pt idx="5">
                  <c:v>3.8929971618283606E-2</c:v>
                </c:pt>
                <c:pt idx="6">
                  <c:v>3.9561454171001521E-2</c:v>
                </c:pt>
                <c:pt idx="7">
                  <c:v>4.0148480876154906E-2</c:v>
                </c:pt>
                <c:pt idx="8">
                  <c:v>4.0694181388512794E-2</c:v>
                </c:pt>
                <c:pt idx="9">
                  <c:v>4.1201465037746188E-2</c:v>
                </c:pt>
                <c:pt idx="10">
                  <c:v>4.1673036339132066E-2</c:v>
                </c:pt>
                <c:pt idx="11">
                  <c:v>4.2111409412316718E-2</c:v>
                </c:pt>
                <c:pt idx="12">
                  <c:v>4.2518921385010129E-2</c:v>
                </c:pt>
                <c:pt idx="13">
                  <c:v>4.2897744853071372E-2</c:v>
                </c:pt>
                <c:pt idx="14">
                  <c:v>4.3249899463414357E-2</c:v>
                </c:pt>
                <c:pt idx="15">
                  <c:v>4.3577262681486602E-2</c:v>
                </c:pt>
                <c:pt idx="16">
                  <c:v>4.3881579800726475E-2</c:v>
                </c:pt>
                <c:pt idx="17">
                  <c:v>4.4164473247362918E-2</c:v>
                </c:pt>
                <c:pt idx="18">
                  <c:v>4.4427451230165012E-2</c:v>
                </c:pt>
                <c:pt idx="19">
                  <c:v>4.4671915781256351E-2</c:v>
                </c:pt>
                <c:pt idx="20">
                  <c:v>4.5659074746596105E-2</c:v>
                </c:pt>
                <c:pt idx="21">
                  <c:v>4.634435719421913E-2</c:v>
                </c:pt>
                <c:pt idx="22">
                  <c:v>4.6820077974264497E-2</c:v>
                </c:pt>
                <c:pt idx="23">
                  <c:v>4.7150321746525052E-2</c:v>
                </c:pt>
                <c:pt idx="24">
                  <c:v>4.7379575867201637E-2</c:v>
                </c:pt>
                <c:pt idx="25">
                  <c:v>4.75387233099753E-2</c:v>
                </c:pt>
                <c:pt idx="26">
                  <c:v>4.7649202931744572E-2</c:v>
                </c:pt>
                <c:pt idx="27">
                  <c:v>4.7725897515167065E-2</c:v>
                </c:pt>
                <c:pt idx="28">
                  <c:v>4.7779138638119438E-2</c:v>
                </c:pt>
                <c:pt idx="29">
                  <c:v>4.7816098447361961E-2</c:v>
                </c:pt>
                <c:pt idx="30">
                  <c:v>4.784175582315521E-2</c:v>
                </c:pt>
                <c:pt idx="31">
                  <c:v>4.7859567087501206E-2</c:v>
                </c:pt>
                <c:pt idx="32">
                  <c:v>4.7871931607558094E-2</c:v>
                </c:pt>
                <c:pt idx="33">
                  <c:v>4.7880515015971299E-2</c:v>
                </c:pt>
                <c:pt idx="34">
                  <c:v>4.7886473589344863E-2</c:v>
                </c:pt>
                <c:pt idx="35">
                  <c:v>4.7890610011024806E-2</c:v>
                </c:pt>
                <c:pt idx="36">
                  <c:v>4.7895474879896004E-2</c:v>
                </c:pt>
                <c:pt idx="37">
                  <c:v>4.7897819303940645E-2</c:v>
                </c:pt>
                <c:pt idx="38">
                  <c:v>4.7898949102964342E-2</c:v>
                </c:pt>
                <c:pt idx="39">
                  <c:v>4.7899493563270855E-2</c:v>
                </c:pt>
                <c:pt idx="40">
                  <c:v>4.7899755943587315E-2</c:v>
                </c:pt>
                <c:pt idx="41">
                  <c:v>4.7899882387020636E-2</c:v>
                </c:pt>
                <c:pt idx="42">
                  <c:v>4.789994332124789E-2</c:v>
                </c:pt>
                <c:pt idx="43">
                  <c:v>4.7899972685999812E-2</c:v>
                </c:pt>
                <c:pt idx="44">
                  <c:v>4.7899986837137754E-2</c:v>
                </c:pt>
                <c:pt idx="45">
                  <c:v>4.7899993656698343E-2</c:v>
                </c:pt>
                <c:pt idx="46">
                  <c:v>4.7899996943105906E-2</c:v>
                </c:pt>
                <c:pt idx="47">
                  <c:v>4.7899998526855253E-2</c:v>
                </c:pt>
                <c:pt idx="48">
                  <c:v>4.78999992900783E-2</c:v>
                </c:pt>
                <c:pt idx="49">
                  <c:v>4.7899999657882351E-2</c:v>
                </c:pt>
                <c:pt idx="50">
                  <c:v>4.7899999835130429E-2</c:v>
                </c:pt>
                <c:pt idx="51">
                  <c:v>4.7899999920547873E-2</c:v>
                </c:pt>
                <c:pt idx="52">
                  <c:v>4.7899999961711306E-2</c:v>
                </c:pt>
                <c:pt idx="53">
                  <c:v>4.7899999981548334E-2</c:v>
                </c:pt>
                <c:pt idx="54">
                  <c:v>4.7899999991107972E-2</c:v>
                </c:pt>
                <c:pt idx="55">
                  <c:v>4.789999999571485E-2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73-4075-B43C-8185A03A9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Low Flow (</a:t>
            </a:r>
            <a:r>
              <a:rPr lang="el-GR" sz="1200" b="0" i="0" u="none" strike="noStrike" baseline="0">
                <a:effectLst/>
              </a:rPr>
              <a:t>τ* = 0.075)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SP rocks'!$AD$48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SP rocks'!$CA$49:$CA$54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SP rocks'!$CC$49:$CC$54</c:f>
              <c:numCache>
                <c:formatCode>0.0000</c:formatCode>
                <c:ptCount val="6"/>
                <c:pt idx="0">
                  <c:v>3.4000000000000002E-2</c:v>
                </c:pt>
                <c:pt idx="1">
                  <c:v>3.9800000000000002E-2</c:v>
                </c:pt>
                <c:pt idx="2">
                  <c:v>4.24E-2</c:v>
                </c:pt>
                <c:pt idx="3">
                  <c:v>4.2799999999999998E-2</c:v>
                </c:pt>
                <c:pt idx="4">
                  <c:v>4.3799999999999999E-2</c:v>
                </c:pt>
                <c:pt idx="5">
                  <c:v>3.9100000000000003E-2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E5-4108-AD29-C16A724C0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SP rocks'!$K$21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SP rocks'!$BU$4:$BU$59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SP rocks'!$BV$4:$BV$59</c:f>
              <c:numCache>
                <c:formatCode>0.0000</c:formatCode>
                <c:ptCount val="56"/>
                <c:pt idx="0">
                  <c:v>3.4900786701418808E-2</c:v>
                </c:pt>
                <c:pt idx="1">
                  <c:v>3.5743198102013658E-2</c:v>
                </c:pt>
                <c:pt idx="2">
                  <c:v>3.6531017201401353E-2</c:v>
                </c:pt>
                <c:pt idx="3">
                  <c:v>3.726778184267019E-2</c:v>
                </c:pt>
                <c:pt idx="4">
                  <c:v>3.7956800599699421E-2</c:v>
                </c:pt>
                <c:pt idx="5">
                  <c:v>3.8601167634904184E-2</c:v>
                </c:pt>
                <c:pt idx="6">
                  <c:v>3.9203776594127285E-2</c:v>
                </c:pt>
                <c:pt idx="7">
                  <c:v>3.9767333601075275E-2</c:v>
                </c:pt>
                <c:pt idx="8">
                  <c:v>4.0294369409652753E-2</c:v>
                </c:pt>
                <c:pt idx="9">
                  <c:v>4.0787250768767061E-2</c:v>
                </c:pt>
                <c:pt idx="10">
                  <c:v>4.1248191050639108E-2</c:v>
                </c:pt>
                <c:pt idx="11">
                  <c:v>4.167926019034867E-2</c:v>
                </c:pt>
                <c:pt idx="12">
                  <c:v>4.2082393981249425E-2</c:v>
                </c:pt>
                <c:pt idx="13">
                  <c:v>4.2459402767996507E-2</c:v>
                </c:pt>
                <c:pt idx="14">
                  <c:v>4.2811979576224186E-2</c:v>
                </c:pt>
                <c:pt idx="15">
                  <c:v>4.3141707715381346E-2</c:v>
                </c:pt>
                <c:pt idx="16">
                  <c:v>4.3450067888866829E-2</c:v>
                </c:pt>
                <c:pt idx="17">
                  <c:v>4.3738444843393828E-2</c:v>
                </c:pt>
                <c:pt idx="18">
                  <c:v>4.4008133587443585E-2</c:v>
                </c:pt>
                <c:pt idx="19">
                  <c:v>4.426034520673347E-2</c:v>
                </c:pt>
                <c:pt idx="20">
                  <c:v>4.5296416305200794E-2</c:v>
                </c:pt>
                <c:pt idx="21">
                  <c:v>4.6037557422103609E-2</c:v>
                </c:pt>
                <c:pt idx="22">
                  <c:v>4.6567723890386069E-2</c:v>
                </c:pt>
                <c:pt idx="23">
                  <c:v>4.6946972157255538E-2</c:v>
                </c:pt>
                <c:pt idx="24">
                  <c:v>4.7218262886730464E-2</c:v>
                </c:pt>
                <c:pt idx="25">
                  <c:v>4.7412327477998249E-2</c:v>
                </c:pt>
                <c:pt idx="26">
                  <c:v>4.7551149271344545E-2</c:v>
                </c:pt>
                <c:pt idx="27">
                  <c:v>4.765045378734091E-2</c:v>
                </c:pt>
                <c:pt idx="28">
                  <c:v>4.7721490089779918E-2</c:v>
                </c:pt>
                <c:pt idx="29">
                  <c:v>4.7772305062428196E-2</c:v>
                </c:pt>
                <c:pt idx="30">
                  <c:v>4.7808654947720478E-2</c:v>
                </c:pt>
                <c:pt idx="31">
                  <c:v>4.7834657405104591E-2</c:v>
                </c:pt>
                <c:pt idx="32">
                  <c:v>4.7853257953210208E-2</c:v>
                </c:pt>
                <c:pt idx="33">
                  <c:v>4.7866563633697186E-2</c:v>
                </c:pt>
                <c:pt idx="34">
                  <c:v>4.7876081693714365E-2</c:v>
                </c:pt>
                <c:pt idx="35">
                  <c:v>4.7882890324552833E-2</c:v>
                </c:pt>
                <c:pt idx="36">
                  <c:v>4.7891244832310539E-2</c:v>
                </c:pt>
                <c:pt idx="37">
                  <c:v>4.7895519905593341E-2</c:v>
                </c:pt>
                <c:pt idx="38">
                  <c:v>4.7897707497262819E-2</c:v>
                </c:pt>
                <c:pt idx="39">
                  <c:v>4.7898826906684781E-2</c:v>
                </c:pt>
                <c:pt idx="40">
                  <c:v>4.7899399718088057E-2</c:v>
                </c:pt>
                <c:pt idx="41">
                  <c:v>4.7899692830596571E-2</c:v>
                </c:pt>
                <c:pt idx="42">
                  <c:v>4.789984281878143E-2</c:v>
                </c:pt>
                <c:pt idx="43">
                  <c:v>4.789991956902219E-2</c:v>
                </c:pt>
                <c:pt idx="44">
                  <c:v>4.7899958842778735E-2</c:v>
                </c:pt>
                <c:pt idx="45">
                  <c:v>4.7899978939496837E-2</c:v>
                </c:pt>
                <c:pt idx="46">
                  <c:v>4.7899989223159876E-2</c:v>
                </c:pt>
                <c:pt idx="47">
                  <c:v>4.7899994485398466E-2</c:v>
                </c:pt>
                <c:pt idx="48">
                  <c:v>4.7899997178131093E-2</c:v>
                </c:pt>
                <c:pt idx="49">
                  <c:v>4.7899998556025475E-2</c:v>
                </c:pt>
                <c:pt idx="50">
                  <c:v>4.7899999261105851E-2</c:v>
                </c:pt>
                <c:pt idx="51">
                  <c:v>4.7899999621901522E-2</c:v>
                </c:pt>
                <c:pt idx="52">
                  <c:v>4.7899999806523763E-2</c:v>
                </c:pt>
                <c:pt idx="53">
                  <c:v>4.7899999900996547E-2</c:v>
                </c:pt>
                <c:pt idx="54">
                  <c:v>4.7899999949339085E-2</c:v>
                </c:pt>
                <c:pt idx="55">
                  <c:v>4.7899999974076374E-2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E5-4108-AD29-C16A724C0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Testing</a:t>
            </a:r>
            <a:r>
              <a:rPr lang="en-US" baseline="0"/>
              <a:t> Equation with flume data (k=</a:t>
            </a:r>
            <a:r>
              <a:rPr lang="el-GR" baseline="0"/>
              <a:t>τ</a:t>
            </a:r>
            <a:r>
              <a:rPr lang="en-US" baseline="0"/>
              <a:t>) </a:t>
            </a:r>
            <a:endParaRPr lang="en-US"/>
          </a:p>
        </c:rich>
      </c:tx>
      <c:layout>
        <c:manualLayout>
          <c:xMode val="edge"/>
          <c:yMode val="edge"/>
          <c:x val="0.1763585791018838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'using SEG'!$H$2</c:f>
              <c:strCache>
                <c:ptCount val="1"/>
                <c:pt idx="0">
                  <c:v>0.108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'using SEG'!$D$4:$D$59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SEG'!$H$4:$H$59</c:f>
              <c:numCache>
                <c:formatCode>0.0000</c:formatCode>
                <c:ptCount val="56"/>
                <c:pt idx="0">
                  <c:v>7.9464504121791596E-2</c:v>
                </c:pt>
                <c:pt idx="1">
                  <c:v>8.2573058372967648E-2</c:v>
                </c:pt>
                <c:pt idx="2">
                  <c:v>8.5362233733367446E-2</c:v>
                </c:pt>
                <c:pt idx="3">
                  <c:v>8.7864843809456084E-2</c:v>
                </c:pt>
                <c:pt idx="4">
                  <c:v>9.0110330874149852E-2</c:v>
                </c:pt>
                <c:pt idx="5">
                  <c:v>9.2125112244161617E-2</c:v>
                </c:pt>
                <c:pt idx="6">
                  <c:v>9.3932891069865992E-2</c:v>
                </c:pt>
                <c:pt idx="7">
                  <c:v>9.5554935194011315E-2</c:v>
                </c:pt>
                <c:pt idx="8">
                  <c:v>9.7010327359946913E-2</c:v>
                </c:pt>
                <c:pt idx="9">
                  <c:v>9.831618971297186E-2</c:v>
                </c:pt>
                <c:pt idx="10">
                  <c:v>9.9487885235979998E-2</c:v>
                </c:pt>
                <c:pt idx="11">
                  <c:v>0.10053919848921618</c:v>
                </c:pt>
                <c:pt idx="12">
                  <c:v>0.10148249778047955</c:v>
                </c:pt>
                <c:pt idx="13">
                  <c:v>0.10232888067364573</c:v>
                </c:pt>
                <c:pt idx="14">
                  <c:v>0.10308830454736126</c:v>
                </c:pt>
                <c:pt idx="15">
                  <c:v>0.10376970373988471</c:v>
                </c:pt>
                <c:pt idx="16">
                  <c:v>0.10438109465823966</c:v>
                </c:pt>
                <c:pt idx="17">
                  <c:v>0.10492967008824952</c:v>
                </c:pt>
                <c:pt idx="18">
                  <c:v>0.10542188381497646</c:v>
                </c:pt>
                <c:pt idx="19">
                  <c:v>0.10586352654909245</c:v>
                </c:pt>
                <c:pt idx="20">
                  <c:v>0.10747745610153971</c:v>
                </c:pt>
                <c:pt idx="21">
                  <c:v>0.10841603636597899</c:v>
                </c:pt>
                <c:pt idx="22">
                  <c:v>0.10896186744730414</c:v>
                </c:pt>
                <c:pt idx="23">
                  <c:v>0.10927929535478159</c:v>
                </c:pt>
                <c:pt idx="24">
                  <c:v>0.10946389546256748</c:v>
                </c:pt>
                <c:pt idx="25">
                  <c:v>0.10957124960185965</c:v>
                </c:pt>
                <c:pt idx="26">
                  <c:v>0.10963368137051568</c:v>
                </c:pt>
                <c:pt idx="27">
                  <c:v>0.10966998854752086</c:v>
                </c:pt>
                <c:pt idx="28">
                  <c:v>0.10969110297580732</c:v>
                </c:pt>
                <c:pt idx="29">
                  <c:v>0.10970338206547053</c:v>
                </c:pt>
                <c:pt idx="30">
                  <c:v>0.10971052296651278</c:v>
                </c:pt>
                <c:pt idx="31">
                  <c:v>0.10971467575544856</c:v>
                </c:pt>
                <c:pt idx="32">
                  <c:v>0.10971709080865309</c:v>
                </c:pt>
                <c:pt idx="33">
                  <c:v>0.10971849528214569</c:v>
                </c:pt>
                <c:pt idx="34">
                  <c:v>0.10971931205329911</c:v>
                </c:pt>
                <c:pt idx="35">
                  <c:v>0.10971978704632715</c:v>
                </c:pt>
                <c:pt idx="36">
                  <c:v>0.10972022392105871</c:v>
                </c:pt>
                <c:pt idx="37">
                  <c:v>0.1097203716721218</c:v>
                </c:pt>
                <c:pt idx="38">
                  <c:v>0.10972042164154111</c:v>
                </c:pt>
                <c:pt idx="39">
                  <c:v>0.10972043854120202</c:v>
                </c:pt>
                <c:pt idx="40">
                  <c:v>0.10972044425666846</c:v>
                </c:pt>
                <c:pt idx="41">
                  <c:v>0.10972044618963958</c:v>
                </c:pt>
                <c:pt idx="42">
                  <c:v>0.10972044684337055</c:v>
                </c:pt>
                <c:pt idx="43">
                  <c:v>0.10972044706446241</c:v>
                </c:pt>
                <c:pt idx="44">
                  <c:v>0.10972044713923569</c:v>
                </c:pt>
                <c:pt idx="45">
                  <c:v>0.10972044716452402</c:v>
                </c:pt>
                <c:pt idx="46">
                  <c:v>0.10972044717307652</c:v>
                </c:pt>
                <c:pt idx="47">
                  <c:v>0.10972044717596899</c:v>
                </c:pt>
                <c:pt idx="48">
                  <c:v>0.10972044717694722</c:v>
                </c:pt>
                <c:pt idx="49">
                  <c:v>0.10972044717727805</c:v>
                </c:pt>
                <c:pt idx="50">
                  <c:v>0.10972044717738995</c:v>
                </c:pt>
                <c:pt idx="51">
                  <c:v>0.10972044717742779</c:v>
                </c:pt>
                <c:pt idx="52">
                  <c:v>0.10972044717744059</c:v>
                </c:pt>
                <c:pt idx="53">
                  <c:v>0.10972044717744492</c:v>
                </c:pt>
                <c:pt idx="54">
                  <c:v>0.10972044717744638</c:v>
                </c:pt>
                <c:pt idx="55">
                  <c:v>0.10972044717744688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C26-4FE0-AB92-7861CB72633D}"/>
            </c:ext>
          </c:extLst>
        </c:ser>
        <c:ser>
          <c:idx val="2"/>
          <c:order val="1"/>
          <c:tx>
            <c:strRef>
              <c:f>'using SEG'!$G$2</c:f>
              <c:strCache>
                <c:ptCount val="1"/>
                <c:pt idx="0">
                  <c:v>0.089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'using SEG'!$D$4:$D$59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SEG'!$G$4:$G$59</c:f>
              <c:numCache>
                <c:formatCode>0.0000</c:formatCode>
                <c:ptCount val="56"/>
                <c:pt idx="0">
                  <c:v>7.8884145253509702E-2</c:v>
                </c:pt>
                <c:pt idx="1">
                  <c:v>8.1521606535138236E-2</c:v>
                </c:pt>
                <c:pt idx="2">
                  <c:v>8.3933482984018384E-2</c:v>
                </c:pt>
                <c:pt idx="3">
                  <c:v>8.6139069107758898E-2</c:v>
                </c:pt>
                <c:pt idx="4">
                  <c:v>8.8156009134473523E-2</c:v>
                </c:pt>
                <c:pt idx="5">
                  <c:v>9.0000438162919028E-2</c:v>
                </c:pt>
                <c:pt idx="6">
                  <c:v>9.168711123991366E-2</c:v>
                </c:pt>
                <c:pt idx="7">
                  <c:v>9.3229521397628579E-2</c:v>
                </c:pt>
                <c:pt idx="8">
                  <c:v>9.4640007595025596E-2</c:v>
                </c:pt>
                <c:pt idx="9">
                  <c:v>9.5929853426950706E-2</c:v>
                </c:pt>
                <c:pt idx="10">
                  <c:v>9.7109377390534934E-2</c:v>
                </c:pt>
                <c:pt idx="11">
                  <c:v>9.8188015431015283E-2</c:v>
                </c:pt>
                <c:pt idx="12">
                  <c:v>9.9174396427324896E-2</c:v>
                </c:pt>
                <c:pt idx="13">
                  <c:v>0.10007641122132148</c:v>
                </c:pt>
                <c:pt idx="14">
                  <c:v>0.10090127574287325</c:v>
                </c:pt>
                <c:pt idx="15">
                  <c:v>0.1016555887357901</c:v>
                </c:pt>
                <c:pt idx="16">
                  <c:v>0.10234538454639518</c:v>
                </c:pt>
                <c:pt idx="17">
                  <c:v>0.10297618139703456</c:v>
                </c:pt>
                <c:pt idx="18">
                  <c:v>0.10355302553070295</c:v>
                </c:pt>
                <c:pt idx="19">
                  <c:v>0.10408053157993313</c:v>
                </c:pt>
                <c:pt idx="20">
                  <c:v>0.10611368568255408</c:v>
                </c:pt>
                <c:pt idx="21">
                  <c:v>0.10741390051799407</c:v>
                </c:pt>
                <c:pt idx="22">
                  <c:v>0.10824539608250584</c:v>
                </c:pt>
                <c:pt idx="23">
                  <c:v>0.10877714272541258</c:v>
                </c:pt>
                <c:pt idx="24">
                  <c:v>0.10911719804778655</c:v>
                </c:pt>
                <c:pt idx="25">
                  <c:v>0.10933466556510411</c:v>
                </c:pt>
                <c:pt idx="26">
                  <c:v>0.10947373741011482</c:v>
                </c:pt>
                <c:pt idx="27">
                  <c:v>0.10956267472964304</c:v>
                </c:pt>
                <c:pt idx="28">
                  <c:v>0.10961955070482161</c:v>
                </c:pt>
                <c:pt idx="29">
                  <c:v>0.10965592324864992</c:v>
                </c:pt>
                <c:pt idx="30">
                  <c:v>0.10967918371918056</c:v>
                </c:pt>
                <c:pt idx="31">
                  <c:v>0.10969405893637352</c:v>
                </c:pt>
                <c:pt idx="32">
                  <c:v>0.10970357173132092</c:v>
                </c:pt>
                <c:pt idx="33">
                  <c:v>0.10970965522351718</c:v>
                </c:pt>
                <c:pt idx="34">
                  <c:v>0.10971354565503669</c:v>
                </c:pt>
                <c:pt idx="35">
                  <c:v>0.10971603361046094</c:v>
                </c:pt>
                <c:pt idx="36">
                  <c:v>0.10971864216848692</c:v>
                </c:pt>
                <c:pt idx="37">
                  <c:v>0.10971970898601226</c:v>
                </c:pt>
                <c:pt idx="38">
                  <c:v>0.10972014528055546</c:v>
                </c:pt>
                <c:pt idx="39">
                  <c:v>0.10972032371119042</c:v>
                </c:pt>
                <c:pt idx="40">
                  <c:v>0.10972039668366278</c:v>
                </c:pt>
                <c:pt idx="41">
                  <c:v>0.10972042652709028</c:v>
                </c:pt>
                <c:pt idx="42">
                  <c:v>0.10972043873210592</c:v>
                </c:pt>
                <c:pt idx="43">
                  <c:v>0.10972044372357034</c:v>
                </c:pt>
                <c:pt idx="44">
                  <c:v>0.10972044576492103</c:v>
                </c:pt>
                <c:pt idx="45">
                  <c:v>0.10972044659976873</c:v>
                </c:pt>
                <c:pt idx="46">
                  <c:v>0.10972044694119498</c:v>
                </c:pt>
                <c:pt idx="47">
                  <c:v>0.10972044708082748</c:v>
                </c:pt>
                <c:pt idx="48">
                  <c:v>0.10972044713793276</c:v>
                </c:pt>
                <c:pt idx="49">
                  <c:v>0.109720447161287</c:v>
                </c:pt>
                <c:pt idx="50">
                  <c:v>0.10972044717083815</c:v>
                </c:pt>
                <c:pt idx="51">
                  <c:v>0.10972044717474426</c:v>
                </c:pt>
                <c:pt idx="52">
                  <c:v>0.10972044717634175</c:v>
                </c:pt>
                <c:pt idx="53">
                  <c:v>0.10972044717699506</c:v>
                </c:pt>
                <c:pt idx="54">
                  <c:v>0.10972044717726225</c:v>
                </c:pt>
                <c:pt idx="55">
                  <c:v>0.10972044717737152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C26-4FE0-AB92-7861CB72633D}"/>
            </c:ext>
          </c:extLst>
        </c:ser>
        <c:ser>
          <c:idx val="1"/>
          <c:order val="2"/>
          <c:tx>
            <c:strRef>
              <c:f>'using SEG'!$F$2</c:f>
              <c:strCache>
                <c:ptCount val="1"/>
                <c:pt idx="0">
                  <c:v>0.082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SEG'!$D$4:$D$59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SEG'!$F$4:$F$59</c:f>
              <c:numCache>
                <c:formatCode>0.0000</c:formatCode>
                <c:ptCount val="56"/>
                <c:pt idx="0">
                  <c:v>7.8641950364384816E-2</c:v>
                </c:pt>
                <c:pt idx="1">
                  <c:v>8.1076907574404194E-2</c:v>
                </c:pt>
                <c:pt idx="2">
                  <c:v>8.3321089257206535E-2</c:v>
                </c:pt>
                <c:pt idx="3">
                  <c:v>8.5389442411299712E-2</c:v>
                </c:pt>
                <c:pt idx="4">
                  <c:v>8.7295742958546446E-2</c:v>
                </c:pt>
                <c:pt idx="5">
                  <c:v>8.9052687496398553E-2</c:v>
                </c:pt>
                <c:pt idx="6">
                  <c:v>9.0671977861470701E-2</c:v>
                </c:pt>
                <c:pt idx="7">
                  <c:v>9.2164399067675096E-2</c:v>
                </c:pt>
                <c:pt idx="8">
                  <c:v>9.3539891138011311E-2</c:v>
                </c:pt>
                <c:pt idx="9">
                  <c:v>9.4807615308434748E-2</c:v>
                </c:pt>
                <c:pt idx="10">
                  <c:v>9.5976015044743623E-2</c:v>
                </c:pt>
                <c:pt idx="11">
                  <c:v>9.7052872278877364E-2</c:v>
                </c:pt>
                <c:pt idx="12">
                  <c:v>9.8045359239178759E-2</c:v>
                </c:pt>
                <c:pt idx="13">
                  <c:v>9.8960086219826951E-2</c:v>
                </c:pt>
                <c:pt idx="14">
                  <c:v>9.980314560760134E-2</c:v>
                </c:pt>
                <c:pt idx="15">
                  <c:v>0.10058015245920952</c:v>
                </c:pt>
                <c:pt idx="16">
                  <c:v>0.1012962818994378</c:v>
                </c:pt>
                <c:pt idx="17">
                  <c:v>0.10195630358920828</c:v>
                </c:pt>
                <c:pt idx="18">
                  <c:v>0.10256461349311141</c:v>
                </c:pt>
                <c:pt idx="19">
                  <c:v>0.10312526315799642</c:v>
                </c:pt>
                <c:pt idx="20">
                  <c:v>0.10533453111509082</c:v>
                </c:pt>
                <c:pt idx="21">
                  <c:v>0.10680373406537885</c:v>
                </c:pt>
                <c:pt idx="22">
                  <c:v>0.10778078046765137</c:v>
                </c:pt>
                <c:pt idx="23">
                  <c:v>0.10843053390845853</c:v>
                </c:pt>
                <c:pt idx="24">
                  <c:v>0.10886263163980352</c:v>
                </c:pt>
                <c:pt idx="25">
                  <c:v>0.10914998440734185</c:v>
                </c:pt>
                <c:pt idx="26">
                  <c:v>0.10934107916906373</c:v>
                </c:pt>
                <c:pt idx="27">
                  <c:v>0.10946816062462227</c:v>
                </c:pt>
                <c:pt idx="28">
                  <c:v>0.10955267207957453</c:v>
                </c:pt>
                <c:pt idx="29">
                  <c:v>0.10960887371801785</c:v>
                </c:pt>
                <c:pt idx="30">
                  <c:v>0.10964624881900856</c:v>
                </c:pt>
                <c:pt idx="31">
                  <c:v>0.10967110393378381</c:v>
                </c:pt>
                <c:pt idx="32">
                  <c:v>0.10968763303241137</c:v>
                </c:pt>
                <c:pt idx="33">
                  <c:v>0.10969862518046261</c:v>
                </c:pt>
                <c:pt idx="34">
                  <c:v>0.10970593515673553</c:v>
                </c:pt>
                <c:pt idx="35">
                  <c:v>0.10971079642251011</c:v>
                </c:pt>
                <c:pt idx="36">
                  <c:v>0.1097161791413494</c:v>
                </c:pt>
                <c:pt idx="37">
                  <c:v>0.10971855964302621</c:v>
                </c:pt>
                <c:pt idx="38">
                  <c:v>0.10971961241735874</c:v>
                </c:pt>
                <c:pt idx="39">
                  <c:v>0.10972007800568663</c:v>
                </c:pt>
                <c:pt idx="40">
                  <c:v>0.10972028391162902</c:v>
                </c:pt>
                <c:pt idx="41">
                  <c:v>0.10972037497331287</c:v>
                </c:pt>
                <c:pt idx="42">
                  <c:v>0.10972041524524562</c:v>
                </c:pt>
                <c:pt idx="43">
                  <c:v>0.109720433055465</c:v>
                </c:pt>
                <c:pt idx="44">
                  <c:v>0.10972044093201556</c:v>
                </c:pt>
                <c:pt idx="45">
                  <c:v>0.10972044441541166</c:v>
                </c:pt>
                <c:pt idx="46">
                  <c:v>0.10972044595593988</c:v>
                </c:pt>
                <c:pt idx="47">
                  <c:v>0.10972044663723685</c:v>
                </c:pt>
                <c:pt idx="48">
                  <c:v>0.1097204469385397</c:v>
                </c:pt>
                <c:pt idx="49">
                  <c:v>0.10972044707179057</c:v>
                </c:pt>
                <c:pt idx="50">
                  <c:v>0.10972044713072063</c:v>
                </c:pt>
                <c:pt idx="51">
                  <c:v>0.10972044715678238</c:v>
                </c:pt>
                <c:pt idx="52">
                  <c:v>0.10972044716830816</c:v>
                </c:pt>
                <c:pt idx="53">
                  <c:v>0.10972044717340543</c:v>
                </c:pt>
                <c:pt idx="54">
                  <c:v>0.10972044717565969</c:v>
                </c:pt>
                <c:pt idx="55">
                  <c:v>0.10972044717665663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C26-4FE0-AB92-7861CB72633D}"/>
            </c:ext>
          </c:extLst>
        </c:ser>
        <c:ser>
          <c:idx val="0"/>
          <c:order val="3"/>
          <c:tx>
            <c:strRef>
              <c:f>'using SEG'!$E$2</c:f>
              <c:strCache>
                <c:ptCount val="1"/>
                <c:pt idx="0">
                  <c:v>0.075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SEG'!$D$4:$D$59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SEG'!$E$4:$E$59</c:f>
              <c:numCache>
                <c:formatCode>General</c:formatCode>
                <c:ptCount val="56"/>
                <c:pt idx="0">
                  <c:v>7.8432841274187093E-2</c:v>
                </c:pt>
                <c:pt idx="1">
                  <c:v>8.0690159470811137E-2</c:v>
                </c:pt>
                <c:pt idx="2">
                  <c:v>8.2784618116705566E-2</c:v>
                </c:pt>
                <c:pt idx="3">
                  <c:v>8.4727967098662385E-2</c:v>
                </c:pt>
                <c:pt idx="4">
                  <c:v>8.6531108580149993E-2</c:v>
                </c:pt>
                <c:pt idx="5">
                  <c:v>8.8204158162313792E-2</c:v>
                </c:pt>
                <c:pt idx="6">
                  <c:v>8.975650163237206E-2</c:v>
                </c:pt>
                <c:pt idx="7">
                  <c:v>9.1196847617764754E-2</c:v>
                </c:pt>
                <c:pt idx="8">
                  <c:v>9.2533276441444462E-2</c:v>
                </c:pt>
                <c:pt idx="9">
                  <c:v>9.3773285452387056E-2</c:v>
                </c:pt>
                <c:pt idx="10">
                  <c:v>9.4923831085625604E-2</c:v>
                </c:pt>
                <c:pt idx="11">
                  <c:v>9.599136788776387E-2</c:v>
                </c:pt>
                <c:pt idx="12">
                  <c:v>9.6981884726901987E-2</c:v>
                </c:pt>
                <c:pt idx="13">
                  <c:v>9.7900938390111519E-2</c:v>
                </c:pt>
                <c:pt idx="14">
                  <c:v>9.8753684756941407E-2</c:v>
                </c:pt>
                <c:pt idx="15">
                  <c:v>9.9544907723837728E-2</c:v>
                </c:pt>
                <c:pt idx="16">
                  <c:v>0.10027904604174287</c:v>
                </c:pt>
                <c:pt idx="17">
                  <c:v>0.10096021821743278</c:v>
                </c:pt>
                <c:pt idx="18">
                  <c:v>0.10159224561828843</c:v>
                </c:pt>
                <c:pt idx="19">
                  <c:v>0.10217867391011899</c:v>
                </c:pt>
                <c:pt idx="20">
                  <c:v>0.10453401732378004</c:v>
                </c:pt>
                <c:pt idx="21">
                  <c:v>0.10615377211661771</c:v>
                </c:pt>
                <c:pt idx="22">
                  <c:v>0.10726766725976483</c:v>
                </c:pt>
                <c:pt idx="23">
                  <c:v>0.10803368591605358</c:v>
                </c:pt>
                <c:pt idx="24">
                  <c:v>0.10856047210898422</c:v>
                </c:pt>
                <c:pt idx="25">
                  <c:v>0.10892273964748887</c:v>
                </c:pt>
                <c:pt idx="26">
                  <c:v>0.10917186874619229</c:v>
                </c:pt>
                <c:pt idx="27">
                  <c:v>0.10934319325425329</c:v>
                </c:pt>
                <c:pt idx="28">
                  <c:v>0.10946101203662398</c:v>
                </c:pt>
                <c:pt idx="29">
                  <c:v>0.10954203526929754</c:v>
                </c:pt>
                <c:pt idx="30">
                  <c:v>0.10959775443478867</c:v>
                </c:pt>
                <c:pt idx="31">
                  <c:v>0.10963607215306012</c:v>
                </c:pt>
                <c:pt idx="32">
                  <c:v>0.10966242300595944</c:v>
                </c:pt>
                <c:pt idx="33">
                  <c:v>0.10968054432110673</c:v>
                </c:pt>
                <c:pt idx="34">
                  <c:v>0.10969300623510708</c:v>
                </c:pt>
                <c:pt idx="35">
                  <c:v>0.10970157621467479</c:v>
                </c:pt>
                <c:pt idx="36">
                  <c:v>0.10971152267257166</c:v>
                </c:pt>
                <c:pt idx="37">
                  <c:v>0.10971622657735199</c:v>
                </c:pt>
                <c:pt idx="38">
                  <c:v>0.10971845116025496</c:v>
                </c:pt>
                <c:pt idx="39">
                  <c:v>0.10971950321579674</c:v>
                </c:pt>
                <c:pt idx="40">
                  <c:v>0.10972000075664429</c:v>
                </c:pt>
                <c:pt idx="41">
                  <c:v>0.10972023605495806</c:v>
                </c:pt>
                <c:pt idx="42">
                  <c:v>0.1097203473328496</c:v>
                </c:pt>
                <c:pt idx="43">
                  <c:v>0.10972039995867995</c:v>
                </c:pt>
                <c:pt idx="44">
                  <c:v>0.10972042484662474</c:v>
                </c:pt>
                <c:pt idx="45">
                  <c:v>0.10972043661669643</c:v>
                </c:pt>
                <c:pt idx="46">
                  <c:v>0.1097204421830294</c:v>
                </c:pt>
                <c:pt idx="47">
                  <c:v>0.10972044481547408</c:v>
                </c:pt>
                <c:pt idx="48">
                  <c:v>0.10972044606041668</c:v>
                </c:pt>
                <c:pt idx="49">
                  <c:v>0.10972044664917818</c:v>
                </c:pt>
                <c:pt idx="50">
                  <c:v>0.1097204469276168</c:v>
                </c:pt>
                <c:pt idx="51">
                  <c:v>0.10972044705929672</c:v>
                </c:pt>
                <c:pt idx="52">
                  <c:v>0.10972044712157113</c:v>
                </c:pt>
                <c:pt idx="53">
                  <c:v>0.1097204471510221</c:v>
                </c:pt>
                <c:pt idx="54">
                  <c:v>0.10972044716495014</c:v>
                </c:pt>
                <c:pt idx="55">
                  <c:v>0.10972044717153702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26-4FE0-AB92-7861CB726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ax val="0.12000000000000001"/>
          <c:min val="7.0000000000000007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 vs Predicted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(k=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'using SEG'!$J$47</c:f>
              <c:strCache>
                <c:ptCount val="1"/>
                <c:pt idx="0">
                  <c:v>Low Flow (τ* = 0.075)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SEG'!$K$49:$K$54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9.3773285452387056E-2</c:v>
                </c:pt>
                <c:pt idx="2">
                  <c:v>0.10615377211661771</c:v>
                </c:pt>
                <c:pt idx="3">
                  <c:v>0.10934319325425329</c:v>
                </c:pt>
                <c:pt idx="4">
                  <c:v>0.10971622657735199</c:v>
                </c:pt>
                <c:pt idx="5">
                  <c:v>0.10972044664917818</c:v>
                </c:pt>
              </c:numCache>
            </c:numRef>
          </c:xVal>
          <c:yVal>
            <c:numRef>
              <c:f>'using SEG'!$L$49:$L$54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8.7604318893872962E-2</c:v>
                </c:pt>
                <c:pt idx="2">
                  <c:v>8.82413343442877E-2</c:v>
                </c:pt>
                <c:pt idx="3">
                  <c:v>9.5909343224736487E-2</c:v>
                </c:pt>
                <c:pt idx="4">
                  <c:v>9.6747384868129102E-2</c:v>
                </c:pt>
                <c:pt idx="5">
                  <c:v>8.315138079069874E-2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D5-4502-BD19-587EAFE09938}"/>
            </c:ext>
          </c:extLst>
        </c:ser>
        <c:ser>
          <c:idx val="1"/>
          <c:order val="1"/>
          <c:tx>
            <c:strRef>
              <c:f>'using SEG'!$J$38</c:f>
              <c:strCache>
                <c:ptCount val="1"/>
                <c:pt idx="0">
                  <c:v>Med Low Flow (τ* = 0.086)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SEG'!$K$40:$K$45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9.4807615308434748E-2</c:v>
                </c:pt>
                <c:pt idx="2">
                  <c:v>0.10680373406537885</c:v>
                </c:pt>
                <c:pt idx="3">
                  <c:v>0.10946816062462227</c:v>
                </c:pt>
                <c:pt idx="4">
                  <c:v>0.10971855964302621</c:v>
                </c:pt>
                <c:pt idx="5">
                  <c:v>0.10972044707179057</c:v>
                </c:pt>
              </c:numCache>
            </c:numRef>
          </c:xVal>
          <c:yVal>
            <c:numRef>
              <c:f>'using SEG'!$L$40:$L$45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0.10069087208399324</c:v>
                </c:pt>
                <c:pt idx="2">
                  <c:v>0.10972044717744713</c:v>
                </c:pt>
                <c:pt idx="3">
                  <c:v>0.10050961300625309</c:v>
                </c:pt>
                <c:pt idx="4">
                  <c:v>8.788893040268185E-2</c:v>
                </c:pt>
                <c:pt idx="5">
                  <c:v>9.0415380610003052E-2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D5-4502-BD19-587EAFE09938}"/>
            </c:ext>
          </c:extLst>
        </c:ser>
        <c:ser>
          <c:idx val="2"/>
          <c:order val="2"/>
          <c:tx>
            <c:strRef>
              <c:f>'using SEG'!$J$29</c:f>
              <c:strCache>
                <c:ptCount val="1"/>
                <c:pt idx="0">
                  <c:v>Med High Flow (τ* = 0.089)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'using SEG'!$K$31:$K$36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9.5929853426950706E-2</c:v>
                </c:pt>
                <c:pt idx="2">
                  <c:v>0.10741390051799407</c:v>
                </c:pt>
                <c:pt idx="3">
                  <c:v>0.10956267472964304</c:v>
                </c:pt>
                <c:pt idx="4">
                  <c:v>0.10971970898601226</c:v>
                </c:pt>
                <c:pt idx="5">
                  <c:v>0.109720447161287</c:v>
                </c:pt>
              </c:numCache>
            </c:numRef>
          </c:xVal>
          <c:yVal>
            <c:numRef>
              <c:f>'using SEG'!$L$31:$L$36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9.0862480884593408E-2</c:v>
                </c:pt>
                <c:pt idx="2">
                  <c:v>8.5024416000407887E-2</c:v>
                </c:pt>
                <c:pt idx="3">
                  <c:v>0.1018424267519739</c:v>
                </c:pt>
                <c:pt idx="4">
                  <c:v>9.0161671068370017E-2</c:v>
                </c:pt>
                <c:pt idx="5">
                  <c:v>9.2516468769631724E-2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D5-4502-BD19-587EAFE09938}"/>
            </c:ext>
          </c:extLst>
        </c:ser>
        <c:ser>
          <c:idx val="3"/>
          <c:order val="3"/>
          <c:tx>
            <c:strRef>
              <c:f>'using SEG'!$J$20</c:f>
              <c:strCache>
                <c:ptCount val="1"/>
                <c:pt idx="0">
                  <c:v>High Flow: (τ* = 0.108)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'using SEG'!$K$22:$K$27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9.831618971297186E-2</c:v>
                </c:pt>
                <c:pt idx="2">
                  <c:v>0.10841603636597899</c:v>
                </c:pt>
                <c:pt idx="3">
                  <c:v>0.10966998854752086</c:v>
                </c:pt>
                <c:pt idx="4">
                  <c:v>0.1097203716721218</c:v>
                </c:pt>
                <c:pt idx="5">
                  <c:v>0.10972044717727805</c:v>
                </c:pt>
              </c:numCache>
            </c:numRef>
          </c:xVal>
          <c:yVal>
            <c:numRef>
              <c:f>'using SEG'!$L$22:$L$27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9.0450482570703483E-2</c:v>
                </c:pt>
                <c:pt idx="2">
                  <c:v>9.5420493988168181E-2</c:v>
                </c:pt>
                <c:pt idx="3">
                  <c:v>9.0686938018793059E-2</c:v>
                </c:pt>
                <c:pt idx="4">
                  <c:v>9.0335218374187551E-2</c:v>
                </c:pt>
                <c:pt idx="5">
                  <c:v>8.5517652359137733E-2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D5-4502-BD19-587EAFE09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99248"/>
        <c:axId val="1496091088"/>
      </c:scatterChar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>
                    <a:lumMod val="50000"/>
                    <a:lumOff val="5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FED5-4502-BD19-587EAFE09938}"/>
              </c:ext>
            </c:extLst>
          </c:dPt>
          <c:xVal>
            <c:numRef>
              <c:f>'using SEG'!$J$56:$J$57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xVal>
          <c:yVal>
            <c:numRef>
              <c:f>'using SEG'!$K$56:$K$57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ED5-4502-BD19-587EAFE09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99248"/>
        <c:axId val="1496091088"/>
      </c:scatterChart>
      <c:valAx>
        <c:axId val="1496099248"/>
        <c:scaling>
          <c:orientation val="minMax"/>
          <c:max val="0.13"/>
          <c:min val="7.0000000000000007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91088"/>
        <c:crosses val="autoZero"/>
        <c:crossBetween val="midCat"/>
      </c:valAx>
      <c:valAx>
        <c:axId val="1496091088"/>
        <c:scaling>
          <c:orientation val="minMax"/>
          <c:max val="0.13"/>
          <c:min val="7.0000000000000007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99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High Flow: (</a:t>
            </a:r>
            <a:r>
              <a:rPr lang="el-GR" sz="1200" baseline="0"/>
              <a:t>τ* = 0.108</a:t>
            </a:r>
            <a:r>
              <a:rPr lang="en-US" sz="1200" baseline="0"/>
              <a:t>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SEG'!$L$21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SEG'!$J$22:$J$27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SEG'!$L$22:$L$27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9.0450482570703483E-2</c:v>
                </c:pt>
                <c:pt idx="2">
                  <c:v>9.5420493988168181E-2</c:v>
                </c:pt>
                <c:pt idx="3">
                  <c:v>9.0686938018793059E-2</c:v>
                </c:pt>
                <c:pt idx="4">
                  <c:v>9.0335218374187551E-2</c:v>
                </c:pt>
                <c:pt idx="5">
                  <c:v>8.5517652359137733E-2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74E-4B71-AAED-0782D8792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SEG'!$K$21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'using SEG'!$D$4:$D$59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SEG'!$H$4:$H$59</c:f>
              <c:numCache>
                <c:formatCode>0.0000</c:formatCode>
                <c:ptCount val="56"/>
                <c:pt idx="0">
                  <c:v>7.9464504121791596E-2</c:v>
                </c:pt>
                <c:pt idx="1">
                  <c:v>8.2573058372967648E-2</c:v>
                </c:pt>
                <c:pt idx="2">
                  <c:v>8.5362233733367446E-2</c:v>
                </c:pt>
                <c:pt idx="3">
                  <c:v>8.7864843809456084E-2</c:v>
                </c:pt>
                <c:pt idx="4">
                  <c:v>9.0110330874149852E-2</c:v>
                </c:pt>
                <c:pt idx="5">
                  <c:v>9.2125112244161617E-2</c:v>
                </c:pt>
                <c:pt idx="6">
                  <c:v>9.3932891069865992E-2</c:v>
                </c:pt>
                <c:pt idx="7">
                  <c:v>9.5554935194011315E-2</c:v>
                </c:pt>
                <c:pt idx="8">
                  <c:v>9.7010327359946913E-2</c:v>
                </c:pt>
                <c:pt idx="9">
                  <c:v>9.831618971297186E-2</c:v>
                </c:pt>
                <c:pt idx="10">
                  <c:v>9.9487885235979998E-2</c:v>
                </c:pt>
                <c:pt idx="11">
                  <c:v>0.10053919848921618</c:v>
                </c:pt>
                <c:pt idx="12">
                  <c:v>0.10148249778047955</c:v>
                </c:pt>
                <c:pt idx="13">
                  <c:v>0.10232888067364573</c:v>
                </c:pt>
                <c:pt idx="14">
                  <c:v>0.10308830454736126</c:v>
                </c:pt>
                <c:pt idx="15">
                  <c:v>0.10376970373988471</c:v>
                </c:pt>
                <c:pt idx="16">
                  <c:v>0.10438109465823966</c:v>
                </c:pt>
                <c:pt idx="17">
                  <c:v>0.10492967008824952</c:v>
                </c:pt>
                <c:pt idx="18">
                  <c:v>0.10542188381497646</c:v>
                </c:pt>
                <c:pt idx="19">
                  <c:v>0.10586352654909245</c:v>
                </c:pt>
                <c:pt idx="20">
                  <c:v>0.10747745610153971</c:v>
                </c:pt>
                <c:pt idx="21">
                  <c:v>0.10841603636597899</c:v>
                </c:pt>
                <c:pt idx="22">
                  <c:v>0.10896186744730414</c:v>
                </c:pt>
                <c:pt idx="23">
                  <c:v>0.10927929535478159</c:v>
                </c:pt>
                <c:pt idx="24">
                  <c:v>0.10946389546256748</c:v>
                </c:pt>
                <c:pt idx="25">
                  <c:v>0.10957124960185965</c:v>
                </c:pt>
                <c:pt idx="26">
                  <c:v>0.10963368137051568</c:v>
                </c:pt>
                <c:pt idx="27">
                  <c:v>0.10966998854752086</c:v>
                </c:pt>
                <c:pt idx="28">
                  <c:v>0.10969110297580732</c:v>
                </c:pt>
                <c:pt idx="29">
                  <c:v>0.10970338206547053</c:v>
                </c:pt>
                <c:pt idx="30">
                  <c:v>0.10971052296651278</c:v>
                </c:pt>
                <c:pt idx="31">
                  <c:v>0.10971467575544856</c:v>
                </c:pt>
                <c:pt idx="32">
                  <c:v>0.10971709080865309</c:v>
                </c:pt>
                <c:pt idx="33">
                  <c:v>0.10971849528214569</c:v>
                </c:pt>
                <c:pt idx="34">
                  <c:v>0.10971931205329911</c:v>
                </c:pt>
                <c:pt idx="35">
                  <c:v>0.10971978704632715</c:v>
                </c:pt>
                <c:pt idx="36">
                  <c:v>0.10972022392105871</c:v>
                </c:pt>
                <c:pt idx="37">
                  <c:v>0.1097203716721218</c:v>
                </c:pt>
                <c:pt idx="38">
                  <c:v>0.10972042164154111</c:v>
                </c:pt>
                <c:pt idx="39">
                  <c:v>0.10972043854120202</c:v>
                </c:pt>
                <c:pt idx="40">
                  <c:v>0.10972044425666846</c:v>
                </c:pt>
                <c:pt idx="41">
                  <c:v>0.10972044618963958</c:v>
                </c:pt>
                <c:pt idx="42">
                  <c:v>0.10972044684337055</c:v>
                </c:pt>
                <c:pt idx="43">
                  <c:v>0.10972044706446241</c:v>
                </c:pt>
                <c:pt idx="44">
                  <c:v>0.10972044713923569</c:v>
                </c:pt>
                <c:pt idx="45">
                  <c:v>0.10972044716452402</c:v>
                </c:pt>
                <c:pt idx="46">
                  <c:v>0.10972044717307652</c:v>
                </c:pt>
                <c:pt idx="47">
                  <c:v>0.10972044717596899</c:v>
                </c:pt>
                <c:pt idx="48">
                  <c:v>0.10972044717694722</c:v>
                </c:pt>
                <c:pt idx="49">
                  <c:v>0.10972044717727805</c:v>
                </c:pt>
                <c:pt idx="50">
                  <c:v>0.10972044717738995</c:v>
                </c:pt>
                <c:pt idx="51">
                  <c:v>0.10972044717742779</c:v>
                </c:pt>
                <c:pt idx="52">
                  <c:v>0.10972044717744059</c:v>
                </c:pt>
                <c:pt idx="53">
                  <c:v>0.10972044717744492</c:v>
                </c:pt>
                <c:pt idx="54">
                  <c:v>0.10972044717744638</c:v>
                </c:pt>
                <c:pt idx="55">
                  <c:v>0.10972044717744688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4E-4B71-AAED-0782D8792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Med High Flow (</a:t>
            </a:r>
            <a:r>
              <a:rPr lang="el-GR" sz="1200" baseline="0"/>
              <a:t>τ* = 0.089)</a:t>
            </a:r>
            <a:endParaRPr lang="en-US" sz="1200"/>
          </a:p>
        </c:rich>
      </c:tx>
      <c:layout>
        <c:manualLayout>
          <c:xMode val="edge"/>
          <c:yMode val="edge"/>
          <c:x val="0.31548891171212295"/>
          <c:y val="5.21310178693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SEG'!$L$30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'using SEG'!$J$31:$J$36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SEG'!$L$31:$L$36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9.0862480884593408E-2</c:v>
                </c:pt>
                <c:pt idx="2">
                  <c:v>8.5024416000407887E-2</c:v>
                </c:pt>
                <c:pt idx="3">
                  <c:v>0.1018424267519739</c:v>
                </c:pt>
                <c:pt idx="4">
                  <c:v>9.0161671068370017E-2</c:v>
                </c:pt>
                <c:pt idx="5">
                  <c:v>9.2516468769631724E-2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21-4EBE-834C-67190D06E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SEG'!$K$30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SEG'!$D$4:$D$59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SEG'!$G$4:$G$59</c:f>
              <c:numCache>
                <c:formatCode>0.0000</c:formatCode>
                <c:ptCount val="56"/>
                <c:pt idx="0">
                  <c:v>7.8884145253509702E-2</c:v>
                </c:pt>
                <c:pt idx="1">
                  <c:v>8.1521606535138236E-2</c:v>
                </c:pt>
                <c:pt idx="2">
                  <c:v>8.3933482984018384E-2</c:v>
                </c:pt>
                <c:pt idx="3">
                  <c:v>8.6139069107758898E-2</c:v>
                </c:pt>
                <c:pt idx="4">
                  <c:v>8.8156009134473523E-2</c:v>
                </c:pt>
                <c:pt idx="5">
                  <c:v>9.0000438162919028E-2</c:v>
                </c:pt>
                <c:pt idx="6">
                  <c:v>9.168711123991366E-2</c:v>
                </c:pt>
                <c:pt idx="7">
                  <c:v>9.3229521397628579E-2</c:v>
                </c:pt>
                <c:pt idx="8">
                  <c:v>9.4640007595025596E-2</c:v>
                </c:pt>
                <c:pt idx="9">
                  <c:v>9.5929853426950706E-2</c:v>
                </c:pt>
                <c:pt idx="10">
                  <c:v>9.7109377390534934E-2</c:v>
                </c:pt>
                <c:pt idx="11">
                  <c:v>9.8188015431015283E-2</c:v>
                </c:pt>
                <c:pt idx="12">
                  <c:v>9.9174396427324896E-2</c:v>
                </c:pt>
                <c:pt idx="13">
                  <c:v>0.10007641122132148</c:v>
                </c:pt>
                <c:pt idx="14">
                  <c:v>0.10090127574287325</c:v>
                </c:pt>
                <c:pt idx="15">
                  <c:v>0.1016555887357901</c:v>
                </c:pt>
                <c:pt idx="16">
                  <c:v>0.10234538454639518</c:v>
                </c:pt>
                <c:pt idx="17">
                  <c:v>0.10297618139703456</c:v>
                </c:pt>
                <c:pt idx="18">
                  <c:v>0.10355302553070295</c:v>
                </c:pt>
                <c:pt idx="19">
                  <c:v>0.10408053157993313</c:v>
                </c:pt>
                <c:pt idx="20">
                  <c:v>0.10611368568255408</c:v>
                </c:pt>
                <c:pt idx="21">
                  <c:v>0.10741390051799407</c:v>
                </c:pt>
                <c:pt idx="22">
                  <c:v>0.10824539608250584</c:v>
                </c:pt>
                <c:pt idx="23">
                  <c:v>0.10877714272541258</c:v>
                </c:pt>
                <c:pt idx="24">
                  <c:v>0.10911719804778655</c:v>
                </c:pt>
                <c:pt idx="25">
                  <c:v>0.10933466556510411</c:v>
                </c:pt>
                <c:pt idx="26">
                  <c:v>0.10947373741011482</c:v>
                </c:pt>
                <c:pt idx="27">
                  <c:v>0.10956267472964304</c:v>
                </c:pt>
                <c:pt idx="28">
                  <c:v>0.10961955070482161</c:v>
                </c:pt>
                <c:pt idx="29">
                  <c:v>0.10965592324864992</c:v>
                </c:pt>
                <c:pt idx="30">
                  <c:v>0.10967918371918056</c:v>
                </c:pt>
                <c:pt idx="31">
                  <c:v>0.10969405893637352</c:v>
                </c:pt>
                <c:pt idx="32">
                  <c:v>0.10970357173132092</c:v>
                </c:pt>
                <c:pt idx="33">
                  <c:v>0.10970965522351718</c:v>
                </c:pt>
                <c:pt idx="34">
                  <c:v>0.10971354565503669</c:v>
                </c:pt>
                <c:pt idx="35">
                  <c:v>0.10971603361046094</c:v>
                </c:pt>
                <c:pt idx="36">
                  <c:v>0.10971864216848692</c:v>
                </c:pt>
                <c:pt idx="37">
                  <c:v>0.10971970898601226</c:v>
                </c:pt>
                <c:pt idx="38">
                  <c:v>0.10972014528055546</c:v>
                </c:pt>
                <c:pt idx="39">
                  <c:v>0.10972032371119042</c:v>
                </c:pt>
                <c:pt idx="40">
                  <c:v>0.10972039668366278</c:v>
                </c:pt>
                <c:pt idx="41">
                  <c:v>0.10972042652709028</c:v>
                </c:pt>
                <c:pt idx="42">
                  <c:v>0.10972043873210592</c:v>
                </c:pt>
                <c:pt idx="43">
                  <c:v>0.10972044372357034</c:v>
                </c:pt>
                <c:pt idx="44">
                  <c:v>0.10972044576492103</c:v>
                </c:pt>
                <c:pt idx="45">
                  <c:v>0.10972044659976873</c:v>
                </c:pt>
                <c:pt idx="46">
                  <c:v>0.10972044694119498</c:v>
                </c:pt>
                <c:pt idx="47">
                  <c:v>0.10972044708082748</c:v>
                </c:pt>
                <c:pt idx="48">
                  <c:v>0.10972044713793276</c:v>
                </c:pt>
                <c:pt idx="49">
                  <c:v>0.109720447161287</c:v>
                </c:pt>
                <c:pt idx="50">
                  <c:v>0.10972044717083815</c:v>
                </c:pt>
                <c:pt idx="51">
                  <c:v>0.10972044717474426</c:v>
                </c:pt>
                <c:pt idx="52">
                  <c:v>0.10972044717634175</c:v>
                </c:pt>
                <c:pt idx="53">
                  <c:v>0.10972044717699506</c:v>
                </c:pt>
                <c:pt idx="54">
                  <c:v>0.10972044717726225</c:v>
                </c:pt>
                <c:pt idx="55">
                  <c:v>0.10972044717737152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21-4EBE-834C-67190D06E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Med Low Flow (</a:t>
            </a:r>
            <a:r>
              <a:rPr lang="el-GR" sz="1200" baseline="0"/>
              <a:t>τ* = 0.086</a:t>
            </a:r>
            <a:r>
              <a:rPr lang="en-US" sz="1200" baseline="0"/>
              <a:t>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SEG'!$L$39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SEG'!$J$40:$J$45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SEG'!$L$40:$L$45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0.10069087208399324</c:v>
                </c:pt>
                <c:pt idx="2">
                  <c:v>0.10972044717744713</c:v>
                </c:pt>
                <c:pt idx="3">
                  <c:v>0.10050961300625309</c:v>
                </c:pt>
                <c:pt idx="4">
                  <c:v>8.788893040268185E-2</c:v>
                </c:pt>
                <c:pt idx="5">
                  <c:v>9.0415380610003052E-2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93-4B79-A9DC-5DEF7EA11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SEG'!$K$39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SEG'!$D$4:$D$59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SEG'!$F$4:$F$59</c:f>
              <c:numCache>
                <c:formatCode>0.0000</c:formatCode>
                <c:ptCount val="56"/>
                <c:pt idx="0">
                  <c:v>7.8641950364384816E-2</c:v>
                </c:pt>
                <c:pt idx="1">
                  <c:v>8.1076907574404194E-2</c:v>
                </c:pt>
                <c:pt idx="2">
                  <c:v>8.3321089257206535E-2</c:v>
                </c:pt>
                <c:pt idx="3">
                  <c:v>8.5389442411299712E-2</c:v>
                </c:pt>
                <c:pt idx="4">
                  <c:v>8.7295742958546446E-2</c:v>
                </c:pt>
                <c:pt idx="5">
                  <c:v>8.9052687496398553E-2</c:v>
                </c:pt>
                <c:pt idx="6">
                  <c:v>9.0671977861470701E-2</c:v>
                </c:pt>
                <c:pt idx="7">
                  <c:v>9.2164399067675096E-2</c:v>
                </c:pt>
                <c:pt idx="8">
                  <c:v>9.3539891138011311E-2</c:v>
                </c:pt>
                <c:pt idx="9">
                  <c:v>9.4807615308434748E-2</c:v>
                </c:pt>
                <c:pt idx="10">
                  <c:v>9.5976015044743623E-2</c:v>
                </c:pt>
                <c:pt idx="11">
                  <c:v>9.7052872278877364E-2</c:v>
                </c:pt>
                <c:pt idx="12">
                  <c:v>9.8045359239178759E-2</c:v>
                </c:pt>
                <c:pt idx="13">
                  <c:v>9.8960086219826951E-2</c:v>
                </c:pt>
                <c:pt idx="14">
                  <c:v>9.980314560760134E-2</c:v>
                </c:pt>
                <c:pt idx="15">
                  <c:v>0.10058015245920952</c:v>
                </c:pt>
                <c:pt idx="16">
                  <c:v>0.1012962818994378</c:v>
                </c:pt>
                <c:pt idx="17">
                  <c:v>0.10195630358920828</c:v>
                </c:pt>
                <c:pt idx="18">
                  <c:v>0.10256461349311141</c:v>
                </c:pt>
                <c:pt idx="19">
                  <c:v>0.10312526315799642</c:v>
                </c:pt>
                <c:pt idx="20">
                  <c:v>0.10533453111509082</c:v>
                </c:pt>
                <c:pt idx="21">
                  <c:v>0.10680373406537885</c:v>
                </c:pt>
                <c:pt idx="22">
                  <c:v>0.10778078046765137</c:v>
                </c:pt>
                <c:pt idx="23">
                  <c:v>0.10843053390845853</c:v>
                </c:pt>
                <c:pt idx="24">
                  <c:v>0.10886263163980352</c:v>
                </c:pt>
                <c:pt idx="25">
                  <c:v>0.10914998440734185</c:v>
                </c:pt>
                <c:pt idx="26">
                  <c:v>0.10934107916906373</c:v>
                </c:pt>
                <c:pt idx="27">
                  <c:v>0.10946816062462227</c:v>
                </c:pt>
                <c:pt idx="28">
                  <c:v>0.10955267207957453</c:v>
                </c:pt>
                <c:pt idx="29">
                  <c:v>0.10960887371801785</c:v>
                </c:pt>
                <c:pt idx="30">
                  <c:v>0.10964624881900856</c:v>
                </c:pt>
                <c:pt idx="31">
                  <c:v>0.10967110393378381</c:v>
                </c:pt>
                <c:pt idx="32">
                  <c:v>0.10968763303241137</c:v>
                </c:pt>
                <c:pt idx="33">
                  <c:v>0.10969862518046261</c:v>
                </c:pt>
                <c:pt idx="34">
                  <c:v>0.10970593515673553</c:v>
                </c:pt>
                <c:pt idx="35">
                  <c:v>0.10971079642251011</c:v>
                </c:pt>
                <c:pt idx="36">
                  <c:v>0.1097161791413494</c:v>
                </c:pt>
                <c:pt idx="37">
                  <c:v>0.10971855964302621</c:v>
                </c:pt>
                <c:pt idx="38">
                  <c:v>0.10971961241735874</c:v>
                </c:pt>
                <c:pt idx="39">
                  <c:v>0.10972007800568663</c:v>
                </c:pt>
                <c:pt idx="40">
                  <c:v>0.10972028391162902</c:v>
                </c:pt>
                <c:pt idx="41">
                  <c:v>0.10972037497331287</c:v>
                </c:pt>
                <c:pt idx="42">
                  <c:v>0.10972041524524562</c:v>
                </c:pt>
                <c:pt idx="43">
                  <c:v>0.109720433055465</c:v>
                </c:pt>
                <c:pt idx="44">
                  <c:v>0.10972044093201556</c:v>
                </c:pt>
                <c:pt idx="45">
                  <c:v>0.10972044441541166</c:v>
                </c:pt>
                <c:pt idx="46">
                  <c:v>0.10972044595593988</c:v>
                </c:pt>
                <c:pt idx="47">
                  <c:v>0.10972044663723685</c:v>
                </c:pt>
                <c:pt idx="48">
                  <c:v>0.1097204469385397</c:v>
                </c:pt>
                <c:pt idx="49">
                  <c:v>0.10972044707179057</c:v>
                </c:pt>
                <c:pt idx="50">
                  <c:v>0.10972044713072063</c:v>
                </c:pt>
                <c:pt idx="51">
                  <c:v>0.10972044715678238</c:v>
                </c:pt>
                <c:pt idx="52">
                  <c:v>0.10972044716830816</c:v>
                </c:pt>
                <c:pt idx="53">
                  <c:v>0.10972044717340543</c:v>
                </c:pt>
                <c:pt idx="54">
                  <c:v>0.10972044717565969</c:v>
                </c:pt>
                <c:pt idx="55">
                  <c:v>0.10972044717665663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93-4B79-A9DC-5DEF7EA11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Low Flow (</a:t>
            </a:r>
            <a:r>
              <a:rPr lang="el-GR" sz="1200" b="0" i="0" u="none" strike="noStrike" baseline="0">
                <a:effectLst/>
              </a:rPr>
              <a:t>τ* = 0.075)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SEG'!$L$48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SEG'!$J$49:$J$54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SEG'!$L$49:$L$54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8.7604318893872962E-2</c:v>
                </c:pt>
                <c:pt idx="2">
                  <c:v>8.82413343442877E-2</c:v>
                </c:pt>
                <c:pt idx="3">
                  <c:v>9.5909343224736487E-2</c:v>
                </c:pt>
                <c:pt idx="4">
                  <c:v>9.6747384868129102E-2</c:v>
                </c:pt>
                <c:pt idx="5">
                  <c:v>8.315138079069874E-2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DF-48B0-B55C-A11019CE1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SEG'!$K$21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SEG'!$D$4:$D$59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SEG'!$E$4:$E$59</c:f>
              <c:numCache>
                <c:formatCode>General</c:formatCode>
                <c:ptCount val="56"/>
                <c:pt idx="0">
                  <c:v>7.8432841274187093E-2</c:v>
                </c:pt>
                <c:pt idx="1">
                  <c:v>8.0690159470811137E-2</c:v>
                </c:pt>
                <c:pt idx="2">
                  <c:v>8.2784618116705566E-2</c:v>
                </c:pt>
                <c:pt idx="3">
                  <c:v>8.4727967098662385E-2</c:v>
                </c:pt>
                <c:pt idx="4">
                  <c:v>8.6531108580149993E-2</c:v>
                </c:pt>
                <c:pt idx="5">
                  <c:v>8.8204158162313792E-2</c:v>
                </c:pt>
                <c:pt idx="6">
                  <c:v>8.975650163237206E-2</c:v>
                </c:pt>
                <c:pt idx="7">
                  <c:v>9.1196847617764754E-2</c:v>
                </c:pt>
                <c:pt idx="8">
                  <c:v>9.2533276441444462E-2</c:v>
                </c:pt>
                <c:pt idx="9">
                  <c:v>9.3773285452387056E-2</c:v>
                </c:pt>
                <c:pt idx="10">
                  <c:v>9.4923831085625604E-2</c:v>
                </c:pt>
                <c:pt idx="11">
                  <c:v>9.599136788776387E-2</c:v>
                </c:pt>
                <c:pt idx="12">
                  <c:v>9.6981884726901987E-2</c:v>
                </c:pt>
                <c:pt idx="13">
                  <c:v>9.7900938390111519E-2</c:v>
                </c:pt>
                <c:pt idx="14">
                  <c:v>9.8753684756941407E-2</c:v>
                </c:pt>
                <c:pt idx="15">
                  <c:v>9.9544907723837728E-2</c:v>
                </c:pt>
                <c:pt idx="16">
                  <c:v>0.10027904604174287</c:v>
                </c:pt>
                <c:pt idx="17">
                  <c:v>0.10096021821743278</c:v>
                </c:pt>
                <c:pt idx="18">
                  <c:v>0.10159224561828843</c:v>
                </c:pt>
                <c:pt idx="19">
                  <c:v>0.10217867391011899</c:v>
                </c:pt>
                <c:pt idx="20">
                  <c:v>0.10453401732378004</c:v>
                </c:pt>
                <c:pt idx="21">
                  <c:v>0.10615377211661771</c:v>
                </c:pt>
                <c:pt idx="22">
                  <c:v>0.10726766725976483</c:v>
                </c:pt>
                <c:pt idx="23">
                  <c:v>0.10803368591605358</c:v>
                </c:pt>
                <c:pt idx="24">
                  <c:v>0.10856047210898422</c:v>
                </c:pt>
                <c:pt idx="25">
                  <c:v>0.10892273964748887</c:v>
                </c:pt>
                <c:pt idx="26">
                  <c:v>0.10917186874619229</c:v>
                </c:pt>
                <c:pt idx="27">
                  <c:v>0.10934319325425329</c:v>
                </c:pt>
                <c:pt idx="28">
                  <c:v>0.10946101203662398</c:v>
                </c:pt>
                <c:pt idx="29">
                  <c:v>0.10954203526929754</c:v>
                </c:pt>
                <c:pt idx="30">
                  <c:v>0.10959775443478867</c:v>
                </c:pt>
                <c:pt idx="31">
                  <c:v>0.10963607215306012</c:v>
                </c:pt>
                <c:pt idx="32">
                  <c:v>0.10966242300595944</c:v>
                </c:pt>
                <c:pt idx="33">
                  <c:v>0.10968054432110673</c:v>
                </c:pt>
                <c:pt idx="34">
                  <c:v>0.10969300623510708</c:v>
                </c:pt>
                <c:pt idx="35">
                  <c:v>0.10970157621467479</c:v>
                </c:pt>
                <c:pt idx="36">
                  <c:v>0.10971152267257166</c:v>
                </c:pt>
                <c:pt idx="37">
                  <c:v>0.10971622657735199</c:v>
                </c:pt>
                <c:pt idx="38">
                  <c:v>0.10971845116025496</c:v>
                </c:pt>
                <c:pt idx="39">
                  <c:v>0.10971950321579674</c:v>
                </c:pt>
                <c:pt idx="40">
                  <c:v>0.10972000075664429</c:v>
                </c:pt>
                <c:pt idx="41">
                  <c:v>0.10972023605495806</c:v>
                </c:pt>
                <c:pt idx="42">
                  <c:v>0.1097203473328496</c:v>
                </c:pt>
                <c:pt idx="43">
                  <c:v>0.10972039995867995</c:v>
                </c:pt>
                <c:pt idx="44">
                  <c:v>0.10972042484662474</c:v>
                </c:pt>
                <c:pt idx="45">
                  <c:v>0.10972043661669643</c:v>
                </c:pt>
                <c:pt idx="46">
                  <c:v>0.1097204421830294</c:v>
                </c:pt>
                <c:pt idx="47">
                  <c:v>0.10972044481547408</c:v>
                </c:pt>
                <c:pt idx="48">
                  <c:v>0.10972044606041668</c:v>
                </c:pt>
                <c:pt idx="49">
                  <c:v>0.10972044664917818</c:v>
                </c:pt>
                <c:pt idx="50">
                  <c:v>0.1097204469276168</c:v>
                </c:pt>
                <c:pt idx="51">
                  <c:v>0.10972044705929672</c:v>
                </c:pt>
                <c:pt idx="52">
                  <c:v>0.10972044712157113</c:v>
                </c:pt>
                <c:pt idx="53">
                  <c:v>0.1097204471510221</c:v>
                </c:pt>
                <c:pt idx="54">
                  <c:v>0.10972044716495014</c:v>
                </c:pt>
                <c:pt idx="55">
                  <c:v>0.10972044717153702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DF-48B0-B55C-A11019CE1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Testing</a:t>
            </a:r>
            <a:r>
              <a:rPr lang="en-US" baseline="0"/>
              <a:t> Equation with flume data (k=</a:t>
            </a:r>
            <a:r>
              <a:rPr lang="el-GR" baseline="0"/>
              <a:t>τ</a:t>
            </a:r>
            <a:r>
              <a:rPr lang="en-US" baseline="0"/>
              <a:t>^2) </a:t>
            </a:r>
            <a:endParaRPr lang="en-US"/>
          </a:p>
        </c:rich>
      </c:tx>
      <c:layout>
        <c:manualLayout>
          <c:xMode val="edge"/>
          <c:yMode val="edge"/>
          <c:x val="0.1763585791018838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'using SEG'!$Z$2</c:f>
              <c:strCache>
                <c:ptCount val="1"/>
                <c:pt idx="0">
                  <c:v>0.108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'using SEG'!$V$4:$V$59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SEG'!$Z$4:$Z$59</c:f>
              <c:numCache>
                <c:formatCode>0.0000</c:formatCode>
                <c:ptCount val="56"/>
                <c:pt idx="0">
                  <c:v>7.6394000249702915E-2</c:v>
                </c:pt>
                <c:pt idx="1">
                  <c:v>7.6783396877278601E-2</c:v>
                </c:pt>
                <c:pt idx="2">
                  <c:v>7.7168243672887618E-2</c:v>
                </c:pt>
                <c:pt idx="3">
                  <c:v>7.7548593798189472E-2</c:v>
                </c:pt>
                <c:pt idx="4">
                  <c:v>7.7924499793686208E-2</c:v>
                </c:pt>
                <c:pt idx="5">
                  <c:v>7.8296013585980179E-2</c:v>
                </c:pt>
                <c:pt idx="6">
                  <c:v>7.8663186494947163E-2</c:v>
                </c:pt>
                <c:pt idx="7">
                  <c:v>7.9026069240825378E-2</c:v>
                </c:pt>
                <c:pt idx="8">
                  <c:v>7.9384711951221959E-2</c:v>
                </c:pt>
                <c:pt idx="9">
                  <c:v>7.9739164168037405E-2</c:v>
                </c:pt>
                <c:pt idx="10">
                  <c:v>8.0089474854309145E-2</c:v>
                </c:pt>
                <c:pt idx="11">
                  <c:v>8.0435692400975145E-2</c:v>
                </c:pt>
                <c:pt idx="12">
                  <c:v>8.0777864633558571E-2</c:v>
                </c:pt>
                <c:pt idx="13">
                  <c:v>8.1116038818774175E-2</c:v>
                </c:pt>
                <c:pt idx="14">
                  <c:v>8.1450261671057678E-2</c:v>
                </c:pt>
                <c:pt idx="15">
                  <c:v>8.1780579359018668E-2</c:v>
                </c:pt>
                <c:pt idx="16">
                  <c:v>8.2107037511818304E-2</c:v>
                </c:pt>
                <c:pt idx="17">
                  <c:v>8.242968122547234E-2</c:v>
                </c:pt>
                <c:pt idx="18">
                  <c:v>8.2748555069080604E-2</c:v>
                </c:pt>
                <c:pt idx="19">
                  <c:v>8.3063703090983584E-2</c:v>
                </c:pt>
                <c:pt idx="20">
                  <c:v>8.4585061874417986E-2</c:v>
                </c:pt>
                <c:pt idx="21">
                  <c:v>8.6019593379156017E-2</c:v>
                </c:pt>
                <c:pt idx="22">
                  <c:v>8.7372253028210278E-2</c:v>
                </c:pt>
                <c:pt idx="23">
                  <c:v>8.8647713427745856E-2</c:v>
                </c:pt>
                <c:pt idx="24">
                  <c:v>8.985038050805752E-2</c:v>
                </c:pt>
                <c:pt idx="25">
                  <c:v>9.098440874334579E-2</c:v>
                </c:pt>
                <c:pt idx="26">
                  <c:v>9.2053715502867076E-2</c:v>
                </c:pt>
                <c:pt idx="27">
                  <c:v>9.3061994583032367E-2</c:v>
                </c:pt>
                <c:pt idx="28">
                  <c:v>9.4012728967199269E-2</c:v>
                </c:pt>
                <c:pt idx="29">
                  <c:v>9.4909202857234767E-2</c:v>
                </c:pt>
                <c:pt idx="30">
                  <c:v>9.5754513018410481E-2</c:v>
                </c:pt>
                <c:pt idx="31">
                  <c:v>9.6551579476819638E-2</c:v>
                </c:pt>
                <c:pt idx="32">
                  <c:v>9.7303155606269329E-2</c:v>
                </c:pt>
                <c:pt idx="33">
                  <c:v>9.8011837639491464E-2</c:v>
                </c:pt>
                <c:pt idx="34">
                  <c:v>9.8680073636528268E-2</c:v>
                </c:pt>
                <c:pt idx="35">
                  <c:v>9.9310171941272202E-2</c:v>
                </c:pt>
                <c:pt idx="36">
                  <c:v>0.10046453765705507</c:v>
                </c:pt>
                <c:pt idx="37">
                  <c:v>0.10149089905253485</c:v>
                </c:pt>
                <c:pt idx="38">
                  <c:v>0.10240345016153651</c:v>
                </c:pt>
                <c:pt idx="39">
                  <c:v>0.10321481108197614</c:v>
                </c:pt>
                <c:pt idx="40">
                  <c:v>0.10393620250512267</c:v>
                </c:pt>
                <c:pt idx="41">
                  <c:v>0.10457760089180783</c:v>
                </c:pt>
                <c:pt idx="42">
                  <c:v>0.10514787644158904</c:v>
                </c:pt>
                <c:pt idx="43">
                  <c:v>0.10565491576290539</c:v>
                </c:pt>
                <c:pt idx="44">
                  <c:v>0.10610573094069023</c:v>
                </c:pt>
                <c:pt idx="45">
                  <c:v>0.1065065565097872</c:v>
                </c:pt>
                <c:pt idx="46">
                  <c:v>0.10686293567526105</c:v>
                </c:pt>
                <c:pt idx="47">
                  <c:v>0.10717979697198415</c:v>
                </c:pt>
                <c:pt idx="48">
                  <c:v>0.10746152242366019</c:v>
                </c:pt>
                <c:pt idx="49">
                  <c:v>0.10771200814388818</c:v>
                </c:pt>
                <c:pt idx="50">
                  <c:v>0.10793471821734753</c:v>
                </c:pt>
                <c:pt idx="51">
                  <c:v>0.1081327326062521</c:v>
                </c:pt>
                <c:pt idx="52">
                  <c:v>0.10830878974459437</c:v>
                </c:pt>
                <c:pt idx="53">
                  <c:v>0.1084653244092354</c:v>
                </c:pt>
                <c:pt idx="54">
                  <c:v>0.10860450139157755</c:v>
                </c:pt>
                <c:pt idx="55">
                  <c:v>0.10872824543548176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8A-47E0-A466-2677C736A078}"/>
            </c:ext>
          </c:extLst>
        </c:ser>
        <c:ser>
          <c:idx val="2"/>
          <c:order val="1"/>
          <c:tx>
            <c:strRef>
              <c:f>'using SEG'!$Y$2</c:f>
              <c:strCache>
                <c:ptCount val="1"/>
                <c:pt idx="0">
                  <c:v>0.089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'using SEG'!$V$4:$V$59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SEG'!$Y$4:$Y$59</c:f>
              <c:numCache>
                <c:formatCode>0.0000</c:formatCode>
                <c:ptCount val="56"/>
                <c:pt idx="0">
                  <c:v>7.6268502194275473E-2</c:v>
                </c:pt>
                <c:pt idx="1">
                  <c:v>7.6534866414877251E-2</c:v>
                </c:pt>
                <c:pt idx="2">
                  <c:v>7.6799109685619371E-2</c:v>
                </c:pt>
                <c:pt idx="3">
                  <c:v>7.7061248894762222E-2</c:v>
                </c:pt>
                <c:pt idx="4">
                  <c:v>7.7321300796091799E-2</c:v>
                </c:pt>
                <c:pt idx="5">
                  <c:v>7.7579282009990536E-2</c:v>
                </c:pt>
                <c:pt idx="6">
                  <c:v>7.783520902449953E-2</c:v>
                </c:pt>
                <c:pt idx="7">
                  <c:v>7.8089098196372331E-2</c:v>
                </c:pt>
                <c:pt idx="8">
                  <c:v>7.8340965752120295E-2</c:v>
                </c:pt>
                <c:pt idx="9">
                  <c:v>7.8590827789049675E-2</c:v>
                </c:pt>
                <c:pt idx="10">
                  <c:v>7.8838700276290447E-2</c:v>
                </c:pt>
                <c:pt idx="11">
                  <c:v>7.9084599055816898E-2</c:v>
                </c:pt>
                <c:pt idx="12">
                  <c:v>7.9328539843460111E-2</c:v>
                </c:pt>
                <c:pt idx="13">
                  <c:v>7.9570538229912419E-2</c:v>
                </c:pt>
                <c:pt idx="14">
                  <c:v>7.9810609681723793E-2</c:v>
                </c:pt>
                <c:pt idx="15">
                  <c:v>8.0048769542290413E-2</c:v>
                </c:pt>
                <c:pt idx="16">
                  <c:v>8.0285033032835171E-2</c:v>
                </c:pt>
                <c:pt idx="17">
                  <c:v>8.0519415253380619E-2</c:v>
                </c:pt>
                <c:pt idx="18">
                  <c:v>8.0751931183713946E-2</c:v>
                </c:pt>
                <c:pt idx="19">
                  <c:v>8.0982595684344405E-2</c:v>
                </c:pt>
                <c:pt idx="20">
                  <c:v>8.2108658629357789E-2</c:v>
                </c:pt>
                <c:pt idx="21">
                  <c:v>8.3190597964210675E-2</c:v>
                </c:pt>
                <c:pt idx="22">
                  <c:v>8.4230142626865359E-2</c:v>
                </c:pt>
                <c:pt idx="23">
                  <c:v>8.5228953808640914E-2</c:v>
                </c:pt>
                <c:pt idx="24">
                  <c:v>8.6188627608795143E-2</c:v>
                </c:pt>
                <c:pt idx="25">
                  <c:v>8.7110697585089644E-2</c:v>
                </c:pt>
                <c:pt idx="26">
                  <c:v>8.7996637204413503E-2</c:v>
                </c:pt>
                <c:pt idx="27">
                  <c:v>8.8847862197381985E-2</c:v>
                </c:pt>
                <c:pt idx="28">
                  <c:v>8.96657328206725E-2</c:v>
                </c:pt>
                <c:pt idx="29">
                  <c:v>9.0451556030713517E-2</c:v>
                </c:pt>
                <c:pt idx="30">
                  <c:v>9.1206587572199516E-2</c:v>
                </c:pt>
                <c:pt idx="31">
                  <c:v>9.1932033984769818E-2</c:v>
                </c:pt>
                <c:pt idx="32">
                  <c:v>9.2629054531057659E-2</c:v>
                </c:pt>
                <c:pt idx="33">
                  <c:v>9.3298763049190714E-2</c:v>
                </c:pt>
                <c:pt idx="34">
                  <c:v>9.3942229732703303E-2</c:v>
                </c:pt>
                <c:pt idx="35">
                  <c:v>9.4560482840704577E-2</c:v>
                </c:pt>
                <c:pt idx="36">
                  <c:v>9.5725261489040647E-2</c:v>
                </c:pt>
                <c:pt idx="37">
                  <c:v>9.6800547228984346E-2</c:v>
                </c:pt>
                <c:pt idx="38">
                  <c:v>9.7793216028483732E-2</c:v>
                </c:pt>
                <c:pt idx="39">
                  <c:v>9.8709615557367222E-2</c:v>
                </c:pt>
                <c:pt idx="40">
                  <c:v>9.9555605777832915E-2</c:v>
                </c:pt>
                <c:pt idx="41">
                  <c:v>0.10033659641626717</c:v>
                </c:pt>
                <c:pt idx="42">
                  <c:v>0.10105758155600815</c:v>
                </c:pt>
                <c:pt idx="43">
                  <c:v>0.10172317157225913</c:v>
                </c:pt>
                <c:pt idx="44">
                  <c:v>0.1023376226133612</c:v>
                </c:pt>
                <c:pt idx="45">
                  <c:v>0.1029048638169448</c:v>
                </c:pt>
                <c:pt idx="46">
                  <c:v>0.10342852243499492</c:v>
                </c:pt>
                <c:pt idx="47">
                  <c:v>0.1039119470284937</c:v>
                </c:pt>
                <c:pt idx="48">
                  <c:v>0.10435822887995956</c:v>
                </c:pt>
                <c:pt idx="49">
                  <c:v>0.10477022176080644</c:v>
                </c:pt>
                <c:pt idx="50">
                  <c:v>0.10515056017992652</c:v>
                </c:pt>
                <c:pt idx="51">
                  <c:v>0.10550167623018793</c:v>
                </c:pt>
                <c:pt idx="52">
                  <c:v>0.10582581514057297</c:v>
                </c:pt>
                <c:pt idx="53">
                  <c:v>0.10612504963340631</c:v>
                </c:pt>
                <c:pt idx="54">
                  <c:v>0.10640129317848041</c:v>
                </c:pt>
                <c:pt idx="55">
                  <c:v>0.10665631222883304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8A-47E0-A466-2677C736A078}"/>
            </c:ext>
          </c:extLst>
        </c:ser>
        <c:ser>
          <c:idx val="1"/>
          <c:order val="2"/>
          <c:tx>
            <c:strRef>
              <c:f>'using SEG'!$X$2</c:f>
              <c:strCache>
                <c:ptCount val="1"/>
                <c:pt idx="0">
                  <c:v>0.082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SEG'!$V$4:$V$59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SEG'!$X$4:$X$59</c:f>
              <c:numCache>
                <c:formatCode>0.0000</c:formatCode>
                <c:ptCount val="56"/>
                <c:pt idx="0">
                  <c:v>7.6223719446144561E-2</c:v>
                </c:pt>
                <c:pt idx="1">
                  <c:v>7.6445954618064638E-2</c:v>
                </c:pt>
                <c:pt idx="2">
                  <c:v>7.666671536322775E-2</c:v>
                </c:pt>
                <c:pt idx="3">
                  <c:v>7.6886011463768E-2</c:v>
                </c:pt>
                <c:pt idx="4">
                  <c:v>7.7103852636919656E-2</c:v>
                </c:pt>
                <c:pt idx="5">
                  <c:v>7.7320248535447611E-2</c:v>
                </c:pt>
                <c:pt idx="6">
                  <c:v>7.7535208748075207E-2</c:v>
                </c:pt>
                <c:pt idx="7">
                  <c:v>7.7748742799909065E-2</c:v>
                </c:pt>
                <c:pt idx="8">
                  <c:v>7.7960860152861133E-2</c:v>
                </c:pt>
                <c:pt idx="9">
                  <c:v>7.8171570206068047E-2</c:v>
                </c:pt>
                <c:pt idx="10">
                  <c:v>7.8380882296307464E-2</c:v>
                </c:pt>
                <c:pt idx="11">
                  <c:v>7.8588805698411979E-2</c:v>
                </c:pt>
                <c:pt idx="12">
                  <c:v>7.8795349625679897E-2</c:v>
                </c:pt>
                <c:pt idx="13">
                  <c:v>7.900052323028367E-2</c:v>
                </c:pt>
                <c:pt idx="14">
                  <c:v>7.9204335603675291E-2</c:v>
                </c:pt>
                <c:pt idx="15">
                  <c:v>7.9406795776989239E-2</c:v>
                </c:pt>
                <c:pt idx="16">
                  <c:v>7.9607912721442617E-2</c:v>
                </c:pt>
                <c:pt idx="17">
                  <c:v>7.980769534873268E-2</c:v>
                </c:pt>
                <c:pt idx="18">
                  <c:v>8.0006152511431741E-2</c:v>
                </c:pt>
                <c:pt idx="19">
                  <c:v>8.0203293003379403E-2</c:v>
                </c:pt>
                <c:pt idx="20">
                  <c:v>8.1169549123826124E-2</c:v>
                </c:pt>
                <c:pt idx="21">
                  <c:v>8.2104174454773457E-2</c:v>
                </c:pt>
                <c:pt idx="22">
                  <c:v>8.3008204443059147E-2</c:v>
                </c:pt>
                <c:pt idx="23">
                  <c:v>8.3882640639744974E-2</c:v>
                </c:pt>
                <c:pt idx="24">
                  <c:v>8.4728451809708866E-2</c:v>
                </c:pt>
                <c:pt idx="25">
                  <c:v>8.5546575004914083E-2</c:v>
                </c:pt>
                <c:pt idx="26">
                  <c:v>8.633791660254439E-2</c:v>
                </c:pt>
                <c:pt idx="27">
                  <c:v>8.7103353309155557E-2</c:v>
                </c:pt>
                <c:pt idx="28">
                  <c:v>8.7843733131955481E-2</c:v>
                </c:pt>
                <c:pt idx="29">
                  <c:v>8.8559876318289155E-2</c:v>
                </c:pt>
                <c:pt idx="30">
                  <c:v>8.9252576264369027E-2</c:v>
                </c:pt>
                <c:pt idx="31">
                  <c:v>8.9922600394257896E-2</c:v>
                </c:pt>
                <c:pt idx="32">
                  <c:v>9.0570691010077808E-2</c:v>
                </c:pt>
                <c:pt idx="33">
                  <c:v>9.1197566114387119E-2</c:v>
                </c:pt>
                <c:pt idx="34">
                  <c:v>9.180392020563663E-2</c:v>
                </c:pt>
                <c:pt idx="35">
                  <c:v>9.2390425047586128E-2</c:v>
                </c:pt>
                <c:pt idx="36">
                  <c:v>9.3506464806183284E-2</c:v>
                </c:pt>
                <c:pt idx="37">
                  <c:v>9.4550632484442843E-2</c:v>
                </c:pt>
                <c:pt idx="38">
                  <c:v>9.5527556587659768E-2</c:v>
                </c:pt>
                <c:pt idx="39">
                  <c:v>9.6441567549038099E-2</c:v>
                </c:pt>
                <c:pt idx="40">
                  <c:v>9.7296716925298538E-2</c:v>
                </c:pt>
                <c:pt idx="41">
                  <c:v>9.809679535610405E-2</c:v>
                </c:pt>
                <c:pt idx="42">
                  <c:v>9.8845349366912638E-2</c:v>
                </c:pt>
                <c:pt idx="43">
                  <c:v>9.9545697089739607E-2</c:v>
                </c:pt>
                <c:pt idx="44">
                  <c:v>0.10020094297151522</c:v>
                </c:pt>
                <c:pt idx="45">
                  <c:v>0.10081399153523554</c:v>
                </c:pt>
                <c:pt idx="46">
                  <c:v>0.10138756025490628</c:v>
                </c:pt>
                <c:pt idx="47">
                  <c:v>0.10192419160135018</c:v>
                </c:pt>
                <c:pt idx="48">
                  <c:v>0.10242626431227399</c:v>
                </c:pt>
                <c:pt idx="49">
                  <c:v>0.10289600393655204</c:v>
                </c:pt>
                <c:pt idx="50">
                  <c:v>0.10333549269946625</c:v>
                </c:pt>
                <c:pt idx="51">
                  <c:v>0.10374667873263242</c:v>
                </c:pt>
                <c:pt idx="52">
                  <c:v>0.10413138470952663</c:v>
                </c:pt>
                <c:pt idx="53">
                  <c:v>0.10449131592489042</c:v>
                </c:pt>
                <c:pt idx="54">
                  <c:v>0.10482806785382884</c:v>
                </c:pt>
                <c:pt idx="55">
                  <c:v>0.10514313322410834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08A-47E0-A466-2677C736A078}"/>
            </c:ext>
          </c:extLst>
        </c:ser>
        <c:ser>
          <c:idx val="0"/>
          <c:order val="3"/>
          <c:tx>
            <c:strRef>
              <c:f>'using SEG'!$W$2</c:f>
              <c:strCache>
                <c:ptCount val="1"/>
                <c:pt idx="0">
                  <c:v>0.075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SEG'!$V$4:$V$59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SEG'!$W$4:$W$59</c:f>
              <c:numCache>
                <c:formatCode>0.0000</c:formatCode>
                <c:ptCount val="56"/>
                <c:pt idx="0">
                  <c:v>7.6188553776235596E-2</c:v>
                </c:pt>
                <c:pt idx="1">
                  <c:v>7.6376053221063736E-2</c:v>
                </c:pt>
                <c:pt idx="2">
                  <c:v>7.656250422996283E-2</c:v>
                </c:pt>
                <c:pt idx="3">
                  <c:v>7.6747912665445686E-2</c:v>
                </c:pt>
                <c:pt idx="4">
                  <c:v>7.6932284357243849E-2</c:v>
                </c:pt>
                <c:pt idx="5">
                  <c:v>7.7115625102490898E-2</c:v>
                </c:pt>
                <c:pt idx="6">
                  <c:v>7.729794066590473E-2</c:v>
                </c:pt>
                <c:pt idx="7">
                  <c:v>7.7479236779968819E-2</c:v>
                </c:pt>
                <c:pt idx="8">
                  <c:v>7.765951914511246E-2</c:v>
                </c:pt>
                <c:pt idx="9">
                  <c:v>7.783879342988996E-2</c:v>
                </c:pt>
                <c:pt idx="10">
                  <c:v>7.8017065271158953E-2</c:v>
                </c:pt>
                <c:pt idx="11">
                  <c:v>7.8194340274257618E-2</c:v>
                </c:pt>
                <c:pt idx="12">
                  <c:v>7.8370624013180845E-2</c:v>
                </c:pt>
                <c:pt idx="13">
                  <c:v>7.8545922030755597E-2</c:v>
                </c:pt>
                <c:pt idx="14">
                  <c:v>7.872023983881514E-2</c:v>
                </c:pt>
                <c:pt idx="15">
                  <c:v>7.8893582918372368E-2</c:v>
                </c:pt>
                <c:pt idx="16">
                  <c:v>7.9065956719792135E-2</c:v>
                </c:pt>
                <c:pt idx="17">
                  <c:v>7.9237366662962605E-2</c:v>
                </c:pt>
                <c:pt idx="18">
                  <c:v>7.9407818137465697E-2</c:v>
                </c:pt>
                <c:pt idx="19">
                  <c:v>7.9577316502746576E-2</c:v>
                </c:pt>
                <c:pt idx="20">
                  <c:v>8.0410697182975985E-2</c:v>
                </c:pt>
                <c:pt idx="21">
                  <c:v>8.122103701301385E-2</c:v>
                </c:pt>
                <c:pt idx="22">
                  <c:v>8.2008973013600092E-2</c:v>
                </c:pt>
                <c:pt idx="23">
                  <c:v>8.2775124593475954E-2</c:v>
                </c:pt>
                <c:pt idx="24">
                  <c:v>8.3520094036310832E-2</c:v>
                </c:pt>
                <c:pt idx="25">
                  <c:v>8.4244466974166848E-2</c:v>
                </c:pt>
                <c:pt idx="26">
                  <c:v>8.494881284787334E-2</c:v>
                </c:pt>
                <c:pt idx="27">
                  <c:v>8.563368535467307E-2</c:v>
                </c:pt>
                <c:pt idx="28">
                  <c:v>8.6299622883492355E-2</c:v>
                </c:pt>
                <c:pt idx="29">
                  <c:v>8.6947148938176899E-2</c:v>
                </c:pt>
                <c:pt idx="30">
                  <c:v>8.7576772549026294E-2</c:v>
                </c:pt>
                <c:pt idx="31">
                  <c:v>8.8188988672950691E-2</c:v>
                </c:pt>
                <c:pt idx="32">
                  <c:v>8.878427858256413E-2</c:v>
                </c:pt>
                <c:pt idx="33">
                  <c:v>8.9363110244520358E-2</c:v>
                </c:pt>
                <c:pt idx="34">
                  <c:v>8.9925938687388809E-2</c:v>
                </c:pt>
                <c:pt idx="35">
                  <c:v>9.0473206359359487E-2</c:v>
                </c:pt>
                <c:pt idx="36">
                  <c:v>9.1522768358747203E-2</c:v>
                </c:pt>
                <c:pt idx="37">
                  <c:v>9.2515097199316471E-2</c:v>
                </c:pt>
                <c:pt idx="38">
                  <c:v>9.3453313834827273E-2</c:v>
                </c:pt>
                <c:pt idx="39">
                  <c:v>9.4340369031816446E-2</c:v>
                </c:pt>
                <c:pt idx="40">
                  <c:v>9.5179052649994988E-2</c:v>
                </c:pt>
                <c:pt idx="41">
                  <c:v>9.5972002416580521E-2</c:v>
                </c:pt>
                <c:pt idx="42">
                  <c:v>9.6721712222160888E-2</c:v>
                </c:pt>
                <c:pt idx="43">
                  <c:v>9.7430539964179899E-2</c:v>
                </c:pt>
                <c:pt idx="44">
                  <c:v>9.8100714962713942E-2</c:v>
                </c:pt>
                <c:pt idx="45">
                  <c:v>9.8734344971862287E-2</c:v>
                </c:pt>
                <c:pt idx="46">
                  <c:v>9.9333422808802724E-2</c:v>
                </c:pt>
                <c:pt idx="47">
                  <c:v>9.9899832621361331E-2</c:v>
                </c:pt>
                <c:pt idx="48">
                  <c:v>0.10043535581380848</c:v>
                </c:pt>
                <c:pt idx="49">
                  <c:v>0.10094167664951809</c:v>
                </c:pt>
                <c:pt idx="50">
                  <c:v>0.10142038754811092</c:v>
                </c:pt>
                <c:pt idx="51">
                  <c:v>0.10187299409374195</c:v>
                </c:pt>
                <c:pt idx="52">
                  <c:v>0.10230091977028333</c:v>
                </c:pt>
                <c:pt idx="53">
                  <c:v>0.10270551043829518</c:v>
                </c:pt>
                <c:pt idx="54">
                  <c:v>0.10308803856786498</c:v>
                </c:pt>
                <c:pt idx="55">
                  <c:v>0.10344970724062807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08A-47E0-A466-2677C736A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7.0000000000000007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 vs Predicted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(k=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^2)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'using SEG'!$AB$47</c:f>
              <c:strCache>
                <c:ptCount val="1"/>
                <c:pt idx="0">
                  <c:v>Low Flow (τ* = 0.075)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SEG'!$AC$49:$AC$54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7.783879342988996E-2</c:v>
                </c:pt>
                <c:pt idx="2">
                  <c:v>8.122103701301385E-2</c:v>
                </c:pt>
                <c:pt idx="3">
                  <c:v>8.563368535467307E-2</c:v>
                </c:pt>
                <c:pt idx="4">
                  <c:v>9.2515097199316471E-2</c:v>
                </c:pt>
                <c:pt idx="5">
                  <c:v>0.10094167664951809</c:v>
                </c:pt>
              </c:numCache>
            </c:numRef>
          </c:xVal>
          <c:yVal>
            <c:numRef>
              <c:f>'using SEG'!$AD$49:$AD$54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8.7604318893872962E-2</c:v>
                </c:pt>
                <c:pt idx="2">
                  <c:v>8.82413343442877E-2</c:v>
                </c:pt>
                <c:pt idx="3">
                  <c:v>9.5909343224736487E-2</c:v>
                </c:pt>
                <c:pt idx="4">
                  <c:v>9.6747384868129102E-2</c:v>
                </c:pt>
                <c:pt idx="5">
                  <c:v>8.315138079069874E-2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DA-491E-9BEE-88B53B265DB3}"/>
            </c:ext>
          </c:extLst>
        </c:ser>
        <c:ser>
          <c:idx val="1"/>
          <c:order val="1"/>
          <c:tx>
            <c:strRef>
              <c:f>'using SEG'!$AB$38</c:f>
              <c:strCache>
                <c:ptCount val="1"/>
                <c:pt idx="0">
                  <c:v>Med Low Flow (τ* = 0.086)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SEG'!$AC$40:$AC$45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7.8171570206068047E-2</c:v>
                </c:pt>
                <c:pt idx="2">
                  <c:v>8.2104174454773457E-2</c:v>
                </c:pt>
                <c:pt idx="3">
                  <c:v>8.7103353309155557E-2</c:v>
                </c:pt>
                <c:pt idx="4">
                  <c:v>9.4550632484442843E-2</c:v>
                </c:pt>
                <c:pt idx="5">
                  <c:v>0.10289600393655204</c:v>
                </c:pt>
              </c:numCache>
            </c:numRef>
          </c:xVal>
          <c:yVal>
            <c:numRef>
              <c:f>'using SEG'!$AD$40:$AD$45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0.10069087208399324</c:v>
                </c:pt>
                <c:pt idx="2">
                  <c:v>0.10972044717744713</c:v>
                </c:pt>
                <c:pt idx="3">
                  <c:v>0.10050961300625309</c:v>
                </c:pt>
                <c:pt idx="4">
                  <c:v>8.788893040268185E-2</c:v>
                </c:pt>
                <c:pt idx="5">
                  <c:v>9.0415380610003052E-2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DA-491E-9BEE-88B53B265DB3}"/>
            </c:ext>
          </c:extLst>
        </c:ser>
        <c:ser>
          <c:idx val="2"/>
          <c:order val="2"/>
          <c:tx>
            <c:strRef>
              <c:f>'using SEG'!$AB$29</c:f>
              <c:strCache>
                <c:ptCount val="1"/>
                <c:pt idx="0">
                  <c:v>Med High Flow (τ* = 0.089)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'using SEG'!$AC$31:$AC$36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7.8590827789049675E-2</c:v>
                </c:pt>
                <c:pt idx="2">
                  <c:v>8.3190597964210675E-2</c:v>
                </c:pt>
                <c:pt idx="3">
                  <c:v>8.8847862197381985E-2</c:v>
                </c:pt>
                <c:pt idx="4">
                  <c:v>9.6800547228984346E-2</c:v>
                </c:pt>
                <c:pt idx="5">
                  <c:v>0.10477022176080644</c:v>
                </c:pt>
              </c:numCache>
            </c:numRef>
          </c:xVal>
          <c:yVal>
            <c:numRef>
              <c:f>'using SEG'!$AD$31:$AD$36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9.0862480884593408E-2</c:v>
                </c:pt>
                <c:pt idx="2">
                  <c:v>8.5024416000407887E-2</c:v>
                </c:pt>
                <c:pt idx="3">
                  <c:v>0.1018424267519739</c:v>
                </c:pt>
                <c:pt idx="4">
                  <c:v>9.0161671068370017E-2</c:v>
                </c:pt>
                <c:pt idx="5">
                  <c:v>9.2516468769631724E-2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DA-491E-9BEE-88B53B265DB3}"/>
            </c:ext>
          </c:extLst>
        </c:ser>
        <c:ser>
          <c:idx val="3"/>
          <c:order val="3"/>
          <c:tx>
            <c:strRef>
              <c:f>'using SEG'!$AB$20</c:f>
              <c:strCache>
                <c:ptCount val="1"/>
                <c:pt idx="0">
                  <c:v>High Flow: (τ* = 0.108)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'using SEG'!$AC$22:$AC$27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7.9739164168037405E-2</c:v>
                </c:pt>
                <c:pt idx="2">
                  <c:v>8.6019593379156017E-2</c:v>
                </c:pt>
                <c:pt idx="3">
                  <c:v>9.3061994583032367E-2</c:v>
                </c:pt>
                <c:pt idx="4">
                  <c:v>0.10149089905253485</c:v>
                </c:pt>
                <c:pt idx="5">
                  <c:v>0.10771200814388818</c:v>
                </c:pt>
              </c:numCache>
            </c:numRef>
          </c:xVal>
          <c:yVal>
            <c:numRef>
              <c:f>'using SEG'!$AD$22:$AD$27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9.0450482570703483E-2</c:v>
                </c:pt>
                <c:pt idx="2">
                  <c:v>9.5420493988168181E-2</c:v>
                </c:pt>
                <c:pt idx="3">
                  <c:v>9.0686938018793059E-2</c:v>
                </c:pt>
                <c:pt idx="4">
                  <c:v>9.0335218374187551E-2</c:v>
                </c:pt>
                <c:pt idx="5">
                  <c:v>8.5517652359137733E-2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DA-491E-9BEE-88B53B265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99248"/>
        <c:axId val="1496091088"/>
      </c:scatterChar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>
                    <a:lumMod val="50000"/>
                    <a:lumOff val="5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BDA-491E-9BEE-88B53B265DB3}"/>
              </c:ext>
            </c:extLst>
          </c:dPt>
          <c:xVal>
            <c:numRef>
              <c:f>'using SEG'!$J$56:$J$57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xVal>
          <c:yVal>
            <c:numRef>
              <c:f>'using SEG'!$K$56:$K$57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BDA-491E-9BEE-88B53B265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99248"/>
        <c:axId val="1496091088"/>
      </c:scatterChart>
      <c:valAx>
        <c:axId val="1496099248"/>
        <c:scaling>
          <c:orientation val="minMax"/>
          <c:max val="0.13"/>
          <c:min val="7.0000000000000007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91088"/>
        <c:crosses val="autoZero"/>
        <c:crossBetween val="midCat"/>
      </c:valAx>
      <c:valAx>
        <c:axId val="1496091088"/>
        <c:scaling>
          <c:orientation val="minMax"/>
          <c:max val="0.13"/>
          <c:min val="7.0000000000000007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99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High Flow: (</a:t>
            </a:r>
            <a:r>
              <a:rPr lang="el-GR" sz="1200" baseline="0"/>
              <a:t>τ* = 0.108</a:t>
            </a:r>
            <a:r>
              <a:rPr lang="en-US" sz="1200" baseline="0"/>
              <a:t>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SEG'!$AD$21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SEG'!$AB$22:$AB$27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SEG'!$AD$22:$AD$27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9.0450482570703483E-2</c:v>
                </c:pt>
                <c:pt idx="2">
                  <c:v>9.5420493988168181E-2</c:v>
                </c:pt>
                <c:pt idx="3">
                  <c:v>9.0686938018793059E-2</c:v>
                </c:pt>
                <c:pt idx="4">
                  <c:v>9.0335218374187551E-2</c:v>
                </c:pt>
                <c:pt idx="5">
                  <c:v>8.5517652359137733E-2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1C-4F29-A10D-CB7F2F833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SEG'!$K$21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'using SEG'!$V$4:$V$59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SEG'!$Z$4:$Z$59</c:f>
              <c:numCache>
                <c:formatCode>0.0000</c:formatCode>
                <c:ptCount val="56"/>
                <c:pt idx="0">
                  <c:v>7.6394000249702915E-2</c:v>
                </c:pt>
                <c:pt idx="1">
                  <c:v>7.6783396877278601E-2</c:v>
                </c:pt>
                <c:pt idx="2">
                  <c:v>7.7168243672887618E-2</c:v>
                </c:pt>
                <c:pt idx="3">
                  <c:v>7.7548593798189472E-2</c:v>
                </c:pt>
                <c:pt idx="4">
                  <c:v>7.7924499793686208E-2</c:v>
                </c:pt>
                <c:pt idx="5">
                  <c:v>7.8296013585980179E-2</c:v>
                </c:pt>
                <c:pt idx="6">
                  <c:v>7.8663186494947163E-2</c:v>
                </c:pt>
                <c:pt idx="7">
                  <c:v>7.9026069240825378E-2</c:v>
                </c:pt>
                <c:pt idx="8">
                  <c:v>7.9384711951221959E-2</c:v>
                </c:pt>
                <c:pt idx="9">
                  <c:v>7.9739164168037405E-2</c:v>
                </c:pt>
                <c:pt idx="10">
                  <c:v>8.0089474854309145E-2</c:v>
                </c:pt>
                <c:pt idx="11">
                  <c:v>8.0435692400975145E-2</c:v>
                </c:pt>
                <c:pt idx="12">
                  <c:v>8.0777864633558571E-2</c:v>
                </c:pt>
                <c:pt idx="13">
                  <c:v>8.1116038818774175E-2</c:v>
                </c:pt>
                <c:pt idx="14">
                  <c:v>8.1450261671057678E-2</c:v>
                </c:pt>
                <c:pt idx="15">
                  <c:v>8.1780579359018668E-2</c:v>
                </c:pt>
                <c:pt idx="16">
                  <c:v>8.2107037511818304E-2</c:v>
                </c:pt>
                <c:pt idx="17">
                  <c:v>8.242968122547234E-2</c:v>
                </c:pt>
                <c:pt idx="18">
                  <c:v>8.2748555069080604E-2</c:v>
                </c:pt>
                <c:pt idx="19">
                  <c:v>8.3063703090983584E-2</c:v>
                </c:pt>
                <c:pt idx="20">
                  <c:v>8.4585061874417986E-2</c:v>
                </c:pt>
                <c:pt idx="21">
                  <c:v>8.6019593379156017E-2</c:v>
                </c:pt>
                <c:pt idx="22">
                  <c:v>8.7372253028210278E-2</c:v>
                </c:pt>
                <c:pt idx="23">
                  <c:v>8.8647713427745856E-2</c:v>
                </c:pt>
                <c:pt idx="24">
                  <c:v>8.985038050805752E-2</c:v>
                </c:pt>
                <c:pt idx="25">
                  <c:v>9.098440874334579E-2</c:v>
                </c:pt>
                <c:pt idx="26">
                  <c:v>9.2053715502867076E-2</c:v>
                </c:pt>
                <c:pt idx="27">
                  <c:v>9.3061994583032367E-2</c:v>
                </c:pt>
                <c:pt idx="28">
                  <c:v>9.4012728967199269E-2</c:v>
                </c:pt>
                <c:pt idx="29">
                  <c:v>9.4909202857234767E-2</c:v>
                </c:pt>
                <c:pt idx="30">
                  <c:v>9.5754513018410481E-2</c:v>
                </c:pt>
                <c:pt idx="31">
                  <c:v>9.6551579476819638E-2</c:v>
                </c:pt>
                <c:pt idx="32">
                  <c:v>9.7303155606269329E-2</c:v>
                </c:pt>
                <c:pt idx="33">
                  <c:v>9.8011837639491464E-2</c:v>
                </c:pt>
                <c:pt idx="34">
                  <c:v>9.8680073636528268E-2</c:v>
                </c:pt>
                <c:pt idx="35">
                  <c:v>9.9310171941272202E-2</c:v>
                </c:pt>
                <c:pt idx="36">
                  <c:v>0.10046453765705507</c:v>
                </c:pt>
                <c:pt idx="37">
                  <c:v>0.10149089905253485</c:v>
                </c:pt>
                <c:pt idx="38">
                  <c:v>0.10240345016153651</c:v>
                </c:pt>
                <c:pt idx="39">
                  <c:v>0.10321481108197614</c:v>
                </c:pt>
                <c:pt idx="40">
                  <c:v>0.10393620250512267</c:v>
                </c:pt>
                <c:pt idx="41">
                  <c:v>0.10457760089180783</c:v>
                </c:pt>
                <c:pt idx="42">
                  <c:v>0.10514787644158904</c:v>
                </c:pt>
                <c:pt idx="43">
                  <c:v>0.10565491576290539</c:v>
                </c:pt>
                <c:pt idx="44">
                  <c:v>0.10610573094069023</c:v>
                </c:pt>
                <c:pt idx="45">
                  <c:v>0.1065065565097872</c:v>
                </c:pt>
                <c:pt idx="46">
                  <c:v>0.10686293567526105</c:v>
                </c:pt>
                <c:pt idx="47">
                  <c:v>0.10717979697198415</c:v>
                </c:pt>
                <c:pt idx="48">
                  <c:v>0.10746152242366019</c:v>
                </c:pt>
                <c:pt idx="49">
                  <c:v>0.10771200814388818</c:v>
                </c:pt>
                <c:pt idx="50">
                  <c:v>0.10793471821734753</c:v>
                </c:pt>
                <c:pt idx="51">
                  <c:v>0.1081327326062521</c:v>
                </c:pt>
                <c:pt idx="52">
                  <c:v>0.10830878974459437</c:v>
                </c:pt>
                <c:pt idx="53">
                  <c:v>0.1084653244092354</c:v>
                </c:pt>
                <c:pt idx="54">
                  <c:v>0.10860450139157755</c:v>
                </c:pt>
                <c:pt idx="55">
                  <c:v>0.10872824543548176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1C-4F29-A10D-CB7F2F833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Med High Flow (</a:t>
            </a:r>
            <a:r>
              <a:rPr lang="el-GR" sz="1200" baseline="0"/>
              <a:t>τ* = 0.089)</a:t>
            </a:r>
            <a:endParaRPr lang="en-US" sz="1200"/>
          </a:p>
        </c:rich>
      </c:tx>
      <c:layout>
        <c:manualLayout>
          <c:xMode val="edge"/>
          <c:yMode val="edge"/>
          <c:x val="0.31548891171212295"/>
          <c:y val="5.21310178693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SEG'!$AD$30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'using SEG'!$AB$31:$AB$36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SEG'!$AD$31:$AD$36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9.0862480884593408E-2</c:v>
                </c:pt>
                <c:pt idx="2">
                  <c:v>8.5024416000407887E-2</c:v>
                </c:pt>
                <c:pt idx="3">
                  <c:v>0.1018424267519739</c:v>
                </c:pt>
                <c:pt idx="4">
                  <c:v>9.0161671068370017E-2</c:v>
                </c:pt>
                <c:pt idx="5">
                  <c:v>9.2516468769631724E-2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6C-4BA5-BC3A-6A5621492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SEG'!$K$30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SEG'!$V$4:$V$59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SEG'!$Y$4:$Y$59</c:f>
              <c:numCache>
                <c:formatCode>0.0000</c:formatCode>
                <c:ptCount val="56"/>
                <c:pt idx="0">
                  <c:v>7.6268502194275473E-2</c:v>
                </c:pt>
                <c:pt idx="1">
                  <c:v>7.6534866414877251E-2</c:v>
                </c:pt>
                <c:pt idx="2">
                  <c:v>7.6799109685619371E-2</c:v>
                </c:pt>
                <c:pt idx="3">
                  <c:v>7.7061248894762222E-2</c:v>
                </c:pt>
                <c:pt idx="4">
                  <c:v>7.7321300796091799E-2</c:v>
                </c:pt>
                <c:pt idx="5">
                  <c:v>7.7579282009990536E-2</c:v>
                </c:pt>
                <c:pt idx="6">
                  <c:v>7.783520902449953E-2</c:v>
                </c:pt>
                <c:pt idx="7">
                  <c:v>7.8089098196372331E-2</c:v>
                </c:pt>
                <c:pt idx="8">
                  <c:v>7.8340965752120295E-2</c:v>
                </c:pt>
                <c:pt idx="9">
                  <c:v>7.8590827789049675E-2</c:v>
                </c:pt>
                <c:pt idx="10">
                  <c:v>7.8838700276290447E-2</c:v>
                </c:pt>
                <c:pt idx="11">
                  <c:v>7.9084599055816898E-2</c:v>
                </c:pt>
                <c:pt idx="12">
                  <c:v>7.9328539843460111E-2</c:v>
                </c:pt>
                <c:pt idx="13">
                  <c:v>7.9570538229912419E-2</c:v>
                </c:pt>
                <c:pt idx="14">
                  <c:v>7.9810609681723793E-2</c:v>
                </c:pt>
                <c:pt idx="15">
                  <c:v>8.0048769542290413E-2</c:v>
                </c:pt>
                <c:pt idx="16">
                  <c:v>8.0285033032835171E-2</c:v>
                </c:pt>
                <c:pt idx="17">
                  <c:v>8.0519415253380619E-2</c:v>
                </c:pt>
                <c:pt idx="18">
                  <c:v>8.0751931183713946E-2</c:v>
                </c:pt>
                <c:pt idx="19">
                  <c:v>8.0982595684344405E-2</c:v>
                </c:pt>
                <c:pt idx="20">
                  <c:v>8.2108658629357789E-2</c:v>
                </c:pt>
                <c:pt idx="21">
                  <c:v>8.3190597964210675E-2</c:v>
                </c:pt>
                <c:pt idx="22">
                  <c:v>8.4230142626865359E-2</c:v>
                </c:pt>
                <c:pt idx="23">
                  <c:v>8.5228953808640914E-2</c:v>
                </c:pt>
                <c:pt idx="24">
                  <c:v>8.6188627608795143E-2</c:v>
                </c:pt>
                <c:pt idx="25">
                  <c:v>8.7110697585089644E-2</c:v>
                </c:pt>
                <c:pt idx="26">
                  <c:v>8.7996637204413503E-2</c:v>
                </c:pt>
                <c:pt idx="27">
                  <c:v>8.8847862197381985E-2</c:v>
                </c:pt>
                <c:pt idx="28">
                  <c:v>8.96657328206725E-2</c:v>
                </c:pt>
                <c:pt idx="29">
                  <c:v>9.0451556030713517E-2</c:v>
                </c:pt>
                <c:pt idx="30">
                  <c:v>9.1206587572199516E-2</c:v>
                </c:pt>
                <c:pt idx="31">
                  <c:v>9.1932033984769818E-2</c:v>
                </c:pt>
                <c:pt idx="32">
                  <c:v>9.2629054531057659E-2</c:v>
                </c:pt>
                <c:pt idx="33">
                  <c:v>9.3298763049190714E-2</c:v>
                </c:pt>
                <c:pt idx="34">
                  <c:v>9.3942229732703303E-2</c:v>
                </c:pt>
                <c:pt idx="35">
                  <c:v>9.4560482840704577E-2</c:v>
                </c:pt>
                <c:pt idx="36">
                  <c:v>9.5725261489040647E-2</c:v>
                </c:pt>
                <c:pt idx="37">
                  <c:v>9.6800547228984346E-2</c:v>
                </c:pt>
                <c:pt idx="38">
                  <c:v>9.7793216028483732E-2</c:v>
                </c:pt>
                <c:pt idx="39">
                  <c:v>9.8709615557367222E-2</c:v>
                </c:pt>
                <c:pt idx="40">
                  <c:v>9.9555605777832915E-2</c:v>
                </c:pt>
                <c:pt idx="41">
                  <c:v>0.10033659641626717</c:v>
                </c:pt>
                <c:pt idx="42">
                  <c:v>0.10105758155600815</c:v>
                </c:pt>
                <c:pt idx="43">
                  <c:v>0.10172317157225913</c:v>
                </c:pt>
                <c:pt idx="44">
                  <c:v>0.1023376226133612</c:v>
                </c:pt>
                <c:pt idx="45">
                  <c:v>0.1029048638169448</c:v>
                </c:pt>
                <c:pt idx="46">
                  <c:v>0.10342852243499492</c:v>
                </c:pt>
                <c:pt idx="47">
                  <c:v>0.1039119470284937</c:v>
                </c:pt>
                <c:pt idx="48">
                  <c:v>0.10435822887995956</c:v>
                </c:pt>
                <c:pt idx="49">
                  <c:v>0.10477022176080644</c:v>
                </c:pt>
                <c:pt idx="50">
                  <c:v>0.10515056017992652</c:v>
                </c:pt>
                <c:pt idx="51">
                  <c:v>0.10550167623018793</c:v>
                </c:pt>
                <c:pt idx="52">
                  <c:v>0.10582581514057297</c:v>
                </c:pt>
                <c:pt idx="53">
                  <c:v>0.10612504963340631</c:v>
                </c:pt>
                <c:pt idx="54">
                  <c:v>0.10640129317848041</c:v>
                </c:pt>
                <c:pt idx="55">
                  <c:v>0.10665631222883304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6C-4BA5-BC3A-6A5621492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Med Low Flow (</a:t>
            </a:r>
            <a:r>
              <a:rPr lang="el-GR" sz="1200" baseline="0"/>
              <a:t>τ* = 0.086</a:t>
            </a:r>
            <a:r>
              <a:rPr lang="en-US" sz="1200" baseline="0"/>
              <a:t>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SEG'!$AD$39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SEG'!$AB$40:$AB$45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SEG'!$AD$40:$AD$45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0.10069087208399324</c:v>
                </c:pt>
                <c:pt idx="2">
                  <c:v>0.10972044717744713</c:v>
                </c:pt>
                <c:pt idx="3">
                  <c:v>0.10050961300625309</c:v>
                </c:pt>
                <c:pt idx="4">
                  <c:v>8.788893040268185E-2</c:v>
                </c:pt>
                <c:pt idx="5">
                  <c:v>9.0415380610003052E-2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3D-4C06-9DDF-C262D05CA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SEG'!$K$39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SEG'!$V$4:$V$59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SEG'!$X$4:$X$59</c:f>
              <c:numCache>
                <c:formatCode>0.0000</c:formatCode>
                <c:ptCount val="56"/>
                <c:pt idx="0">
                  <c:v>7.6223719446144561E-2</c:v>
                </c:pt>
                <c:pt idx="1">
                  <c:v>7.6445954618064638E-2</c:v>
                </c:pt>
                <c:pt idx="2">
                  <c:v>7.666671536322775E-2</c:v>
                </c:pt>
                <c:pt idx="3">
                  <c:v>7.6886011463768E-2</c:v>
                </c:pt>
                <c:pt idx="4">
                  <c:v>7.7103852636919656E-2</c:v>
                </c:pt>
                <c:pt idx="5">
                  <c:v>7.7320248535447611E-2</c:v>
                </c:pt>
                <c:pt idx="6">
                  <c:v>7.7535208748075207E-2</c:v>
                </c:pt>
                <c:pt idx="7">
                  <c:v>7.7748742799909065E-2</c:v>
                </c:pt>
                <c:pt idx="8">
                  <c:v>7.7960860152861133E-2</c:v>
                </c:pt>
                <c:pt idx="9">
                  <c:v>7.8171570206068047E-2</c:v>
                </c:pt>
                <c:pt idx="10">
                  <c:v>7.8380882296307464E-2</c:v>
                </c:pt>
                <c:pt idx="11">
                  <c:v>7.8588805698411979E-2</c:v>
                </c:pt>
                <c:pt idx="12">
                  <c:v>7.8795349625679897E-2</c:v>
                </c:pt>
                <c:pt idx="13">
                  <c:v>7.900052323028367E-2</c:v>
                </c:pt>
                <c:pt idx="14">
                  <c:v>7.9204335603675291E-2</c:v>
                </c:pt>
                <c:pt idx="15">
                  <c:v>7.9406795776989239E-2</c:v>
                </c:pt>
                <c:pt idx="16">
                  <c:v>7.9607912721442617E-2</c:v>
                </c:pt>
                <c:pt idx="17">
                  <c:v>7.980769534873268E-2</c:v>
                </c:pt>
                <c:pt idx="18">
                  <c:v>8.0006152511431741E-2</c:v>
                </c:pt>
                <c:pt idx="19">
                  <c:v>8.0203293003379403E-2</c:v>
                </c:pt>
                <c:pt idx="20">
                  <c:v>8.1169549123826124E-2</c:v>
                </c:pt>
                <c:pt idx="21">
                  <c:v>8.2104174454773457E-2</c:v>
                </c:pt>
                <c:pt idx="22">
                  <c:v>8.3008204443059147E-2</c:v>
                </c:pt>
                <c:pt idx="23">
                  <c:v>8.3882640639744974E-2</c:v>
                </c:pt>
                <c:pt idx="24">
                  <c:v>8.4728451809708866E-2</c:v>
                </c:pt>
                <c:pt idx="25">
                  <c:v>8.5546575004914083E-2</c:v>
                </c:pt>
                <c:pt idx="26">
                  <c:v>8.633791660254439E-2</c:v>
                </c:pt>
                <c:pt idx="27">
                  <c:v>8.7103353309155557E-2</c:v>
                </c:pt>
                <c:pt idx="28">
                  <c:v>8.7843733131955481E-2</c:v>
                </c:pt>
                <c:pt idx="29">
                  <c:v>8.8559876318289155E-2</c:v>
                </c:pt>
                <c:pt idx="30">
                  <c:v>8.9252576264369027E-2</c:v>
                </c:pt>
                <c:pt idx="31">
                  <c:v>8.9922600394257896E-2</c:v>
                </c:pt>
                <c:pt idx="32">
                  <c:v>9.0570691010077808E-2</c:v>
                </c:pt>
                <c:pt idx="33">
                  <c:v>9.1197566114387119E-2</c:v>
                </c:pt>
                <c:pt idx="34">
                  <c:v>9.180392020563663E-2</c:v>
                </c:pt>
                <c:pt idx="35">
                  <c:v>9.2390425047586128E-2</c:v>
                </c:pt>
                <c:pt idx="36">
                  <c:v>9.3506464806183284E-2</c:v>
                </c:pt>
                <c:pt idx="37">
                  <c:v>9.4550632484442843E-2</c:v>
                </c:pt>
                <c:pt idx="38">
                  <c:v>9.5527556587659768E-2</c:v>
                </c:pt>
                <c:pt idx="39">
                  <c:v>9.6441567549038099E-2</c:v>
                </c:pt>
                <c:pt idx="40">
                  <c:v>9.7296716925298538E-2</c:v>
                </c:pt>
                <c:pt idx="41">
                  <c:v>9.809679535610405E-2</c:v>
                </c:pt>
                <c:pt idx="42">
                  <c:v>9.8845349366912638E-2</c:v>
                </c:pt>
                <c:pt idx="43">
                  <c:v>9.9545697089739607E-2</c:v>
                </c:pt>
                <c:pt idx="44">
                  <c:v>0.10020094297151522</c:v>
                </c:pt>
                <c:pt idx="45">
                  <c:v>0.10081399153523554</c:v>
                </c:pt>
                <c:pt idx="46">
                  <c:v>0.10138756025490628</c:v>
                </c:pt>
                <c:pt idx="47">
                  <c:v>0.10192419160135018</c:v>
                </c:pt>
                <c:pt idx="48">
                  <c:v>0.10242626431227399</c:v>
                </c:pt>
                <c:pt idx="49">
                  <c:v>0.10289600393655204</c:v>
                </c:pt>
                <c:pt idx="50">
                  <c:v>0.10333549269946625</c:v>
                </c:pt>
                <c:pt idx="51">
                  <c:v>0.10374667873263242</c:v>
                </c:pt>
                <c:pt idx="52">
                  <c:v>0.10413138470952663</c:v>
                </c:pt>
                <c:pt idx="53">
                  <c:v>0.10449131592489042</c:v>
                </c:pt>
                <c:pt idx="54">
                  <c:v>0.10482806785382884</c:v>
                </c:pt>
                <c:pt idx="55">
                  <c:v>0.10514313322410834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3D-4C06-9DDF-C262D05CA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Low Flow (</a:t>
            </a:r>
            <a:r>
              <a:rPr lang="el-GR" sz="1200" b="0" i="0" u="none" strike="noStrike" baseline="0">
                <a:effectLst/>
              </a:rPr>
              <a:t>τ* = 0.075)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SEG'!$AD$48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SEG'!$AB$49:$AB$54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SEG'!$AD$49:$AD$54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8.7604318893872962E-2</c:v>
                </c:pt>
                <c:pt idx="2">
                  <c:v>8.82413343442877E-2</c:v>
                </c:pt>
                <c:pt idx="3">
                  <c:v>9.5909343224736487E-2</c:v>
                </c:pt>
                <c:pt idx="4">
                  <c:v>9.6747384868129102E-2</c:v>
                </c:pt>
                <c:pt idx="5">
                  <c:v>8.315138079069874E-2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59-4EF0-B1BA-17E8E40E6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SEG'!$K$21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SEG'!$V$4:$V$59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SEG'!$W$4:$W$59</c:f>
              <c:numCache>
                <c:formatCode>0.0000</c:formatCode>
                <c:ptCount val="56"/>
                <c:pt idx="0">
                  <c:v>7.6188553776235596E-2</c:v>
                </c:pt>
                <c:pt idx="1">
                  <c:v>7.6376053221063736E-2</c:v>
                </c:pt>
                <c:pt idx="2">
                  <c:v>7.656250422996283E-2</c:v>
                </c:pt>
                <c:pt idx="3">
                  <c:v>7.6747912665445686E-2</c:v>
                </c:pt>
                <c:pt idx="4">
                  <c:v>7.6932284357243849E-2</c:v>
                </c:pt>
                <c:pt idx="5">
                  <c:v>7.7115625102490898E-2</c:v>
                </c:pt>
                <c:pt idx="6">
                  <c:v>7.729794066590473E-2</c:v>
                </c:pt>
                <c:pt idx="7">
                  <c:v>7.7479236779968819E-2</c:v>
                </c:pt>
                <c:pt idx="8">
                  <c:v>7.765951914511246E-2</c:v>
                </c:pt>
                <c:pt idx="9">
                  <c:v>7.783879342988996E-2</c:v>
                </c:pt>
                <c:pt idx="10">
                  <c:v>7.8017065271158953E-2</c:v>
                </c:pt>
                <c:pt idx="11">
                  <c:v>7.8194340274257618E-2</c:v>
                </c:pt>
                <c:pt idx="12">
                  <c:v>7.8370624013180845E-2</c:v>
                </c:pt>
                <c:pt idx="13">
                  <c:v>7.8545922030755597E-2</c:v>
                </c:pt>
                <c:pt idx="14">
                  <c:v>7.872023983881514E-2</c:v>
                </c:pt>
                <c:pt idx="15">
                  <c:v>7.8893582918372368E-2</c:v>
                </c:pt>
                <c:pt idx="16">
                  <c:v>7.9065956719792135E-2</c:v>
                </c:pt>
                <c:pt idx="17">
                  <c:v>7.9237366662962605E-2</c:v>
                </c:pt>
                <c:pt idx="18">
                  <c:v>7.9407818137465697E-2</c:v>
                </c:pt>
                <c:pt idx="19">
                  <c:v>7.9577316502746576E-2</c:v>
                </c:pt>
                <c:pt idx="20">
                  <c:v>8.0410697182975985E-2</c:v>
                </c:pt>
                <c:pt idx="21">
                  <c:v>8.122103701301385E-2</c:v>
                </c:pt>
                <c:pt idx="22">
                  <c:v>8.2008973013600092E-2</c:v>
                </c:pt>
                <c:pt idx="23">
                  <c:v>8.2775124593475954E-2</c:v>
                </c:pt>
                <c:pt idx="24">
                  <c:v>8.3520094036310832E-2</c:v>
                </c:pt>
                <c:pt idx="25">
                  <c:v>8.4244466974166848E-2</c:v>
                </c:pt>
                <c:pt idx="26">
                  <c:v>8.494881284787334E-2</c:v>
                </c:pt>
                <c:pt idx="27">
                  <c:v>8.563368535467307E-2</c:v>
                </c:pt>
                <c:pt idx="28">
                  <c:v>8.6299622883492355E-2</c:v>
                </c:pt>
                <c:pt idx="29">
                  <c:v>8.6947148938176899E-2</c:v>
                </c:pt>
                <c:pt idx="30">
                  <c:v>8.7576772549026294E-2</c:v>
                </c:pt>
                <c:pt idx="31">
                  <c:v>8.8188988672950691E-2</c:v>
                </c:pt>
                <c:pt idx="32">
                  <c:v>8.878427858256413E-2</c:v>
                </c:pt>
                <c:pt idx="33">
                  <c:v>8.9363110244520358E-2</c:v>
                </c:pt>
                <c:pt idx="34">
                  <c:v>8.9925938687388809E-2</c:v>
                </c:pt>
                <c:pt idx="35">
                  <c:v>9.0473206359359487E-2</c:v>
                </c:pt>
                <c:pt idx="36">
                  <c:v>9.1522768358747203E-2</c:v>
                </c:pt>
                <c:pt idx="37">
                  <c:v>9.2515097199316471E-2</c:v>
                </c:pt>
                <c:pt idx="38">
                  <c:v>9.3453313834827273E-2</c:v>
                </c:pt>
                <c:pt idx="39">
                  <c:v>9.4340369031816446E-2</c:v>
                </c:pt>
                <c:pt idx="40">
                  <c:v>9.5179052649994988E-2</c:v>
                </c:pt>
                <c:pt idx="41">
                  <c:v>9.5972002416580521E-2</c:v>
                </c:pt>
                <c:pt idx="42">
                  <c:v>9.6721712222160888E-2</c:v>
                </c:pt>
                <c:pt idx="43">
                  <c:v>9.7430539964179899E-2</c:v>
                </c:pt>
                <c:pt idx="44">
                  <c:v>9.8100714962713942E-2</c:v>
                </c:pt>
                <c:pt idx="45">
                  <c:v>9.8734344971862287E-2</c:v>
                </c:pt>
                <c:pt idx="46">
                  <c:v>9.9333422808802724E-2</c:v>
                </c:pt>
                <c:pt idx="47">
                  <c:v>9.9899832621361331E-2</c:v>
                </c:pt>
                <c:pt idx="48">
                  <c:v>0.10043535581380848</c:v>
                </c:pt>
                <c:pt idx="49">
                  <c:v>0.10094167664951809</c:v>
                </c:pt>
                <c:pt idx="50">
                  <c:v>0.10142038754811092</c:v>
                </c:pt>
                <c:pt idx="51">
                  <c:v>0.10187299409374195</c:v>
                </c:pt>
                <c:pt idx="52">
                  <c:v>0.10230091977028333</c:v>
                </c:pt>
                <c:pt idx="53">
                  <c:v>0.10270551043829518</c:v>
                </c:pt>
                <c:pt idx="54">
                  <c:v>0.10308803856786498</c:v>
                </c:pt>
                <c:pt idx="55">
                  <c:v>0.10344970724062807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59-4EF0-B1BA-17E8E40E6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Testing</a:t>
            </a:r>
            <a:r>
              <a:rPr lang="en-US" sz="1200" baseline="0"/>
              <a:t> Equation with flume data (k=</a:t>
            </a:r>
            <a:r>
              <a:rPr lang="el-GR" sz="1200" baseline="0"/>
              <a:t>τ</a:t>
            </a:r>
            <a:r>
              <a:rPr lang="en-US" sz="1200" baseline="0"/>
              <a:t>^0.5) </a:t>
            </a:r>
            <a:endParaRPr lang="en-US" sz="1200"/>
          </a:p>
        </c:rich>
      </c:tx>
      <c:layout>
        <c:manualLayout>
          <c:xMode val="edge"/>
          <c:yMode val="edge"/>
          <c:x val="0.1763585791018838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'using SEG'!$AQ$2</c:f>
              <c:strCache>
                <c:ptCount val="1"/>
                <c:pt idx="0">
                  <c:v>0.108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'using SEG'!$V$4:$V$59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SEG'!$AQ$4:$AQ$59</c:f>
              <c:numCache>
                <c:formatCode>0.0000</c:formatCode>
                <c:ptCount val="56"/>
                <c:pt idx="0">
                  <c:v>8.5460057256266361E-2</c:v>
                </c:pt>
                <c:pt idx="1">
                  <c:v>9.22661555415588E-2</c:v>
                </c:pt>
                <c:pt idx="2">
                  <c:v>9.7162846186678989E-2</c:v>
                </c:pt>
                <c:pt idx="3">
                  <c:v>0.10068580137611866</c:v>
                </c:pt>
                <c:pt idx="4">
                  <c:v>0.10322041386571271</c:v>
                </c:pt>
                <c:pt idx="5">
                  <c:v>0.10504395692174229</c:v>
                </c:pt>
                <c:pt idx="6">
                  <c:v>0.10635591655693147</c:v>
                </c:pt>
                <c:pt idx="7">
                  <c:v>0.10729981425031161</c:v>
                </c:pt>
                <c:pt idx="8">
                  <c:v>0.10797890744165047</c:v>
                </c:pt>
                <c:pt idx="9">
                  <c:v>0.10846748535190186</c:v>
                </c:pt>
                <c:pt idx="10">
                  <c:v>0.10881899583298177</c:v>
                </c:pt>
                <c:pt idx="11">
                  <c:v>0.10907189228146315</c:v>
                </c:pt>
                <c:pt idx="12">
                  <c:v>0.10925384023777447</c:v>
                </c:pt>
                <c:pt idx="13">
                  <c:v>0.1093847438507143</c:v>
                </c:pt>
                <c:pt idx="14">
                  <c:v>0.10947892328657112</c:v>
                </c:pt>
                <c:pt idx="15">
                  <c:v>0.10954668127994588</c:v>
                </c:pt>
                <c:pt idx="16">
                  <c:v>0.10959543019869235</c:v>
                </c:pt>
                <c:pt idx="17">
                  <c:v>0.10963050291794789</c:v>
                </c:pt>
                <c:pt idx="18">
                  <c:v>0.10965573620860557</c:v>
                </c:pt>
                <c:pt idx="19">
                  <c:v>0.10967389045985639</c:v>
                </c:pt>
                <c:pt idx="20">
                  <c:v>0.10971147279422995</c:v>
                </c:pt>
                <c:pt idx="21">
                  <c:v>0.10971871725406987</c:v>
                </c:pt>
                <c:pt idx="22">
                  <c:v>0.10972011371331719</c:v>
                </c:pt>
                <c:pt idx="23">
                  <c:v>0.10972038289811116</c:v>
                </c:pt>
                <c:pt idx="24">
                  <c:v>0.10972043478680998</c:v>
                </c:pt>
                <c:pt idx="25">
                  <c:v>0.10972044478899855</c:v>
                </c:pt>
                <c:pt idx="26">
                  <c:v>0.10972044671704412</c:v>
                </c:pt>
                <c:pt idx="27">
                  <c:v>0.10972044708869876</c:v>
                </c:pt>
                <c:pt idx="28">
                  <c:v>0.10972044716033978</c:v>
                </c:pt>
                <c:pt idx="29">
                  <c:v>0.10972044717414947</c:v>
                </c:pt>
                <c:pt idx="30">
                  <c:v>0.10972044717681147</c:v>
                </c:pt>
                <c:pt idx="31">
                  <c:v>0.1097204471773246</c:v>
                </c:pt>
                <c:pt idx="32">
                  <c:v>0.10972044717742351</c:v>
                </c:pt>
                <c:pt idx="33">
                  <c:v>0.10972044717744257</c:v>
                </c:pt>
                <c:pt idx="34">
                  <c:v>0.10972044717744625</c:v>
                </c:pt>
                <c:pt idx="35">
                  <c:v>0.10972044717744696</c:v>
                </c:pt>
                <c:pt idx="36">
                  <c:v>0.10972044717744713</c:v>
                </c:pt>
                <c:pt idx="37">
                  <c:v>0.10972044717744713</c:v>
                </c:pt>
                <c:pt idx="38">
                  <c:v>0.10972044717744713</c:v>
                </c:pt>
                <c:pt idx="39">
                  <c:v>0.10972044717744713</c:v>
                </c:pt>
                <c:pt idx="40">
                  <c:v>0.10972044717744713</c:v>
                </c:pt>
                <c:pt idx="41">
                  <c:v>0.10972044717744713</c:v>
                </c:pt>
                <c:pt idx="42">
                  <c:v>0.10972044717744713</c:v>
                </c:pt>
                <c:pt idx="43">
                  <c:v>0.10972044717744713</c:v>
                </c:pt>
                <c:pt idx="44">
                  <c:v>0.10972044717744713</c:v>
                </c:pt>
                <c:pt idx="45">
                  <c:v>0.10972044717744713</c:v>
                </c:pt>
                <c:pt idx="46">
                  <c:v>0.10972044717744713</c:v>
                </c:pt>
                <c:pt idx="47">
                  <c:v>0.10972044717744713</c:v>
                </c:pt>
                <c:pt idx="48">
                  <c:v>0.10972044717744713</c:v>
                </c:pt>
                <c:pt idx="49">
                  <c:v>0.10972044717744713</c:v>
                </c:pt>
                <c:pt idx="50">
                  <c:v>0.10972044717744713</c:v>
                </c:pt>
                <c:pt idx="51">
                  <c:v>0.10972044717744713</c:v>
                </c:pt>
                <c:pt idx="52">
                  <c:v>0.10972044717744713</c:v>
                </c:pt>
                <c:pt idx="53">
                  <c:v>0.10972044717744713</c:v>
                </c:pt>
                <c:pt idx="54">
                  <c:v>0.10972044717744713</c:v>
                </c:pt>
                <c:pt idx="55">
                  <c:v>0.10972044717744713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CF-4A6B-9A75-CDAE8DC89BDE}"/>
            </c:ext>
          </c:extLst>
        </c:ser>
        <c:ser>
          <c:idx val="2"/>
          <c:order val="1"/>
          <c:tx>
            <c:strRef>
              <c:f>'using SEG'!$AP$2</c:f>
              <c:strCache>
                <c:ptCount val="1"/>
                <c:pt idx="0">
                  <c:v>0.089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'using SEG'!$AM$4:$AM$59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SEG'!$AP$4:$AP$59</c:f>
              <c:numCache>
                <c:formatCode>0.0000</c:formatCode>
                <c:ptCount val="56"/>
                <c:pt idx="0">
                  <c:v>8.4715182397439553E-2</c:v>
                </c:pt>
                <c:pt idx="1">
                  <c:v>9.1177891575264153E-2</c:v>
                </c:pt>
                <c:pt idx="2">
                  <c:v>9.5970288109547705E-2</c:v>
                </c:pt>
                <c:pt idx="3">
                  <c:v>9.9524070882354432E-2</c:v>
                </c:pt>
                <c:pt idx="4">
                  <c:v>0.10215936449922246</c:v>
                </c:pt>
                <c:pt idx="5">
                  <c:v>0.10411355610042167</c:v>
                </c:pt>
                <c:pt idx="6">
                  <c:v>0.10556267918475416</c:v>
                </c:pt>
                <c:pt idx="7">
                  <c:v>0.10663727069986285</c:v>
                </c:pt>
                <c:pt idx="8">
                  <c:v>0.10743412980508889</c:v>
                </c:pt>
                <c:pt idx="9">
                  <c:v>0.10802503753575099</c:v>
                </c:pt>
                <c:pt idx="10">
                  <c:v>0.10846322283584517</c:v>
                </c:pt>
                <c:pt idx="11">
                  <c:v>0.10878815741912347</c:v>
                </c:pt>
                <c:pt idx="12">
                  <c:v>0.10902911137944016</c:v>
                </c:pt>
                <c:pt idx="13">
                  <c:v>0.10920778983959829</c:v>
                </c:pt>
                <c:pt idx="14">
                  <c:v>0.1093402881479163</c:v>
                </c:pt>
                <c:pt idx="15">
                  <c:v>0.1094385417465403</c:v>
                </c:pt>
                <c:pt idx="16">
                  <c:v>0.10951140131558021</c:v>
                </c:pt>
                <c:pt idx="17">
                  <c:v>0.1095654300420088</c:v>
                </c:pt>
                <c:pt idx="18">
                  <c:v>0.10960549483127344</c:v>
                </c:pt>
                <c:pt idx="19">
                  <c:v>0.1096352047179379</c:v>
                </c:pt>
                <c:pt idx="20">
                  <c:v>0.10970133339521723</c:v>
                </c:pt>
                <c:pt idx="21">
                  <c:v>0.10971616132420878</c:v>
                </c:pt>
                <c:pt idx="22">
                  <c:v>0.10971948616733622</c:v>
                </c:pt>
                <c:pt idx="23">
                  <c:v>0.10972023169166591</c:v>
                </c:pt>
                <c:pt idx="24">
                  <c:v>0.10972039885941032</c:v>
                </c:pt>
                <c:pt idx="25">
                  <c:v>0.10972043634316996</c:v>
                </c:pt>
                <c:pt idx="26">
                  <c:v>0.10972044474809424</c:v>
                </c:pt>
                <c:pt idx="27">
                  <c:v>0.10972044663271716</c:v>
                </c:pt>
                <c:pt idx="28">
                  <c:v>0.10972044705530319</c:v>
                </c:pt>
                <c:pt idx="29">
                  <c:v>0.10972044715005898</c:v>
                </c:pt>
                <c:pt idx="30">
                  <c:v>0.10972044717130593</c:v>
                </c:pt>
                <c:pt idx="31">
                  <c:v>0.10972044717607009</c:v>
                </c:pt>
                <c:pt idx="32">
                  <c:v>0.10972044717713836</c:v>
                </c:pt>
                <c:pt idx="33">
                  <c:v>0.10972044717737789</c:v>
                </c:pt>
                <c:pt idx="34">
                  <c:v>0.1097204471774316</c:v>
                </c:pt>
                <c:pt idx="35">
                  <c:v>0.10972044717744364</c:v>
                </c:pt>
                <c:pt idx="36">
                  <c:v>0.10972044717744694</c:v>
                </c:pt>
                <c:pt idx="37">
                  <c:v>0.10972044717744711</c:v>
                </c:pt>
                <c:pt idx="38">
                  <c:v>0.10972044717744713</c:v>
                </c:pt>
                <c:pt idx="39">
                  <c:v>0.10972044717744713</c:v>
                </c:pt>
                <c:pt idx="40">
                  <c:v>0.10972044717744713</c:v>
                </c:pt>
                <c:pt idx="41">
                  <c:v>0.10972044717744713</c:v>
                </c:pt>
                <c:pt idx="42">
                  <c:v>0.10972044717744713</c:v>
                </c:pt>
                <c:pt idx="43">
                  <c:v>0.10972044717744713</c:v>
                </c:pt>
                <c:pt idx="44">
                  <c:v>0.10972044717744713</c:v>
                </c:pt>
                <c:pt idx="45">
                  <c:v>0.10972044717744713</c:v>
                </c:pt>
                <c:pt idx="46">
                  <c:v>0.10972044717744713</c:v>
                </c:pt>
                <c:pt idx="47">
                  <c:v>0.10972044717744713</c:v>
                </c:pt>
                <c:pt idx="48">
                  <c:v>0.10972044717744713</c:v>
                </c:pt>
                <c:pt idx="49">
                  <c:v>0.10972044717744713</c:v>
                </c:pt>
                <c:pt idx="50">
                  <c:v>0.10972044717744713</c:v>
                </c:pt>
                <c:pt idx="51">
                  <c:v>0.10972044717744713</c:v>
                </c:pt>
                <c:pt idx="52">
                  <c:v>0.10972044717744713</c:v>
                </c:pt>
                <c:pt idx="53">
                  <c:v>0.10972044717744713</c:v>
                </c:pt>
                <c:pt idx="54">
                  <c:v>0.10972044717744713</c:v>
                </c:pt>
                <c:pt idx="55">
                  <c:v>0.10972044717744713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CF-4A6B-9A75-CDAE8DC89BDE}"/>
            </c:ext>
          </c:extLst>
        </c:ser>
        <c:ser>
          <c:idx val="1"/>
          <c:order val="2"/>
          <c:tx>
            <c:strRef>
              <c:f>'using SEG'!$AO$2</c:f>
              <c:strCache>
                <c:ptCount val="1"/>
                <c:pt idx="0">
                  <c:v>0.082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SEG'!$AM$4:$AM$59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SEG'!$AO$4:$AO$59</c:f>
              <c:numCache>
                <c:formatCode>0.0000</c:formatCode>
                <c:ptCount val="56"/>
                <c:pt idx="0">
                  <c:v>8.4378326749091098E-2</c:v>
                </c:pt>
                <c:pt idx="1">
                  <c:v>9.0674938545081463E-2</c:v>
                </c:pt>
                <c:pt idx="2">
                  <c:v>9.5407067202358517E-2</c:v>
                </c:pt>
                <c:pt idx="3">
                  <c:v>9.8963430903116198E-2</c:v>
                </c:pt>
                <c:pt idx="4">
                  <c:v>0.1016361652449049</c:v>
                </c:pt>
                <c:pt idx="5">
                  <c:v>0.10364482056332884</c:v>
                </c:pt>
                <c:pt idx="6">
                  <c:v>0.10515439677715208</c:v>
                </c:pt>
                <c:pt idx="7">
                  <c:v>0.10628889721853639</c:v>
                </c:pt>
                <c:pt idx="8">
                  <c:v>0.10714151482055957</c:v>
                </c:pt>
                <c:pt idx="9">
                  <c:v>0.10778228740094986</c:v>
                </c:pt>
                <c:pt idx="10">
                  <c:v>0.10826385088123194</c:v>
                </c:pt>
                <c:pt idx="11">
                  <c:v>0.10862576303639959</c:v>
                </c:pt>
                <c:pt idx="12">
                  <c:v>0.10889775294722374</c:v>
                </c:pt>
                <c:pt idx="13">
                  <c:v>0.10910216307972084</c:v>
                </c:pt>
                <c:pt idx="14">
                  <c:v>0.10925578459509572</c:v>
                </c:pt>
                <c:pt idx="15">
                  <c:v>0.10937123665071437</c:v>
                </c:pt>
                <c:pt idx="16">
                  <c:v>0.10945800299404881</c:v>
                </c:pt>
                <c:pt idx="17">
                  <c:v>0.10952321100005</c:v>
                </c:pt>
                <c:pt idx="18">
                  <c:v>0.10957221714555805</c:v>
                </c:pt>
                <c:pt idx="19">
                  <c:v>0.10960904701423267</c:v>
                </c:pt>
                <c:pt idx="20">
                  <c:v>0.10969373963344518</c:v>
                </c:pt>
                <c:pt idx="21">
                  <c:v>0.10971404419843854</c:v>
                </c:pt>
                <c:pt idx="22">
                  <c:v>0.10971891210031007</c:v>
                </c:pt>
                <c:pt idx="23">
                  <c:v>0.10972007915159329</c:v>
                </c:pt>
                <c:pt idx="24">
                  <c:v>0.10972035894537994</c:v>
                </c:pt>
                <c:pt idx="25">
                  <c:v>0.10972042602431997</c:v>
                </c:pt>
                <c:pt idx="26">
                  <c:v>0.10972044210610739</c:v>
                </c:pt>
                <c:pt idx="27">
                  <c:v>0.1097204459616228</c:v>
                </c:pt>
                <c:pt idx="28">
                  <c:v>0.10972044688596028</c:v>
                </c:pt>
                <c:pt idx="29">
                  <c:v>0.10972044710756484</c:v>
                </c:pt>
                <c:pt idx="30">
                  <c:v>0.10972044716069325</c:v>
                </c:pt>
                <c:pt idx="31">
                  <c:v>0.10972044717343048</c:v>
                </c:pt>
                <c:pt idx="32">
                  <c:v>0.10972044717648416</c:v>
                </c:pt>
                <c:pt idx="33">
                  <c:v>0.10972044717721625</c:v>
                </c:pt>
                <c:pt idx="34">
                  <c:v>0.10972044717739178</c:v>
                </c:pt>
                <c:pt idx="35">
                  <c:v>0.10972044717743386</c:v>
                </c:pt>
                <c:pt idx="36">
                  <c:v>0.10972044717744636</c:v>
                </c:pt>
                <c:pt idx="37">
                  <c:v>0.10972044717744708</c:v>
                </c:pt>
                <c:pt idx="38">
                  <c:v>0.10972044717744713</c:v>
                </c:pt>
                <c:pt idx="39">
                  <c:v>0.10972044717744713</c:v>
                </c:pt>
                <c:pt idx="40">
                  <c:v>0.10972044717744713</c:v>
                </c:pt>
                <c:pt idx="41">
                  <c:v>0.10972044717744713</c:v>
                </c:pt>
                <c:pt idx="42">
                  <c:v>0.10972044717744713</c:v>
                </c:pt>
                <c:pt idx="43">
                  <c:v>0.10972044717744713</c:v>
                </c:pt>
                <c:pt idx="44">
                  <c:v>0.10972044717744713</c:v>
                </c:pt>
                <c:pt idx="45">
                  <c:v>0.10972044717744713</c:v>
                </c:pt>
                <c:pt idx="46">
                  <c:v>0.10972044717744713</c:v>
                </c:pt>
                <c:pt idx="47">
                  <c:v>0.10972044717744713</c:v>
                </c:pt>
                <c:pt idx="48">
                  <c:v>0.10972044717744713</c:v>
                </c:pt>
                <c:pt idx="49">
                  <c:v>0.10972044717744713</c:v>
                </c:pt>
                <c:pt idx="50">
                  <c:v>0.10972044717744713</c:v>
                </c:pt>
                <c:pt idx="51">
                  <c:v>0.10972044717744713</c:v>
                </c:pt>
                <c:pt idx="52">
                  <c:v>0.10972044717744713</c:v>
                </c:pt>
                <c:pt idx="53">
                  <c:v>0.10972044717744713</c:v>
                </c:pt>
                <c:pt idx="54">
                  <c:v>0.10972044717744713</c:v>
                </c:pt>
                <c:pt idx="55">
                  <c:v>0.10972044717744713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CF-4A6B-9A75-CDAE8DC89BDE}"/>
            </c:ext>
          </c:extLst>
        </c:ser>
        <c:ser>
          <c:idx val="0"/>
          <c:order val="3"/>
          <c:tx>
            <c:strRef>
              <c:f>'using SEG'!$AN$2</c:f>
              <c:strCache>
                <c:ptCount val="1"/>
                <c:pt idx="0">
                  <c:v>0.075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SEG'!$AM$4:$AM$59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SEG'!$AN$4:$AN$59</c:f>
              <c:numCache>
                <c:formatCode>0.0000</c:formatCode>
                <c:ptCount val="56"/>
                <c:pt idx="0">
                  <c:v>8.4072642168841721E-2</c:v>
                </c:pt>
                <c:pt idx="1">
                  <c:v>9.0212701675204787E-2</c:v>
                </c:pt>
                <c:pt idx="2">
                  <c:v>9.4882836923759817E-2</c:v>
                </c:pt>
                <c:pt idx="3">
                  <c:v>9.8434946348301036E-2</c:v>
                </c:pt>
                <c:pt idx="4">
                  <c:v>0.10113668424075684</c:v>
                </c:pt>
                <c:pt idx="5">
                  <c:v>0.10319162871659437</c:v>
                </c:pt>
                <c:pt idx="6">
                  <c:v>0.10475462148897499</c:v>
                </c:pt>
                <c:pt idx="7">
                  <c:v>0.1059434353159366</c:v>
                </c:pt>
                <c:pt idx="8">
                  <c:v>0.10684764827209922</c:v>
                </c:pt>
                <c:pt idx="9">
                  <c:v>0.10753539352837876</c:v>
                </c:pt>
                <c:pt idx="10">
                  <c:v>0.10805849324101982</c:v>
                </c:pt>
                <c:pt idx="11">
                  <c:v>0.10845636339260098</c:v>
                </c:pt>
                <c:pt idx="12">
                  <c:v>0.10875898381791145</c:v>
                </c:pt>
                <c:pt idx="13">
                  <c:v>0.10898915720852932</c:v>
                </c:pt>
                <c:pt idx="14">
                  <c:v>0.10916422731390696</c:v>
                </c:pt>
                <c:pt idx="15">
                  <c:v>0.1092973858067921</c:v>
                </c:pt>
                <c:pt idx="16">
                  <c:v>0.10939866628634166</c:v>
                </c:pt>
                <c:pt idx="17">
                  <c:v>0.10947570031785957</c:v>
                </c:pt>
                <c:pt idx="18">
                  <c:v>0.10953429247735856</c:v>
                </c:pt>
                <c:pt idx="19">
                  <c:v>0.10957885773101475</c:v>
                </c:pt>
                <c:pt idx="20">
                  <c:v>0.1096844046470466</c:v>
                </c:pt>
                <c:pt idx="21">
                  <c:v>0.10971127231286219</c:v>
                </c:pt>
                <c:pt idx="22">
                  <c:v>0.10971811165496254</c:v>
                </c:pt>
                <c:pt idx="23">
                  <c:v>0.10971985265474594</c:v>
                </c:pt>
                <c:pt idx="24">
                  <c:v>0.10972029583775994</c:v>
                </c:pt>
                <c:pt idx="25">
                  <c:v>0.10972040865292843</c:v>
                </c:pt>
                <c:pt idx="26">
                  <c:v>0.109720437370776</c:v>
                </c:pt>
                <c:pt idx="27">
                  <c:v>0.1097204446810941</c:v>
                </c:pt>
                <c:pt idx="28">
                  <c:v>0.10972044654198394</c:v>
                </c:pt>
                <c:pt idx="29">
                  <c:v>0.10972044701568577</c:v>
                </c:pt>
                <c:pt idx="30">
                  <c:v>0.1097204471362697</c:v>
                </c:pt>
                <c:pt idx="31">
                  <c:v>0.10972044716696513</c:v>
                </c:pt>
                <c:pt idx="32">
                  <c:v>0.10972044717477887</c:v>
                </c:pt>
                <c:pt idx="33">
                  <c:v>0.1097204471767679</c:v>
                </c:pt>
                <c:pt idx="34">
                  <c:v>0.10972044717727422</c:v>
                </c:pt>
                <c:pt idx="35">
                  <c:v>0.10972044717740312</c:v>
                </c:pt>
                <c:pt idx="36">
                  <c:v>0.10972044717744427</c:v>
                </c:pt>
                <c:pt idx="37">
                  <c:v>0.10972044717744694</c:v>
                </c:pt>
                <c:pt idx="38">
                  <c:v>0.10972044717744711</c:v>
                </c:pt>
                <c:pt idx="39">
                  <c:v>0.10972044717744713</c:v>
                </c:pt>
                <c:pt idx="40">
                  <c:v>0.10972044717744713</c:v>
                </c:pt>
                <c:pt idx="41">
                  <c:v>0.10972044717744713</c:v>
                </c:pt>
                <c:pt idx="42">
                  <c:v>0.10972044717744713</c:v>
                </c:pt>
                <c:pt idx="43">
                  <c:v>0.10972044717744713</c:v>
                </c:pt>
                <c:pt idx="44">
                  <c:v>0.10972044717744713</c:v>
                </c:pt>
                <c:pt idx="45">
                  <c:v>0.10972044717744713</c:v>
                </c:pt>
                <c:pt idx="46">
                  <c:v>0.10972044717744713</c:v>
                </c:pt>
                <c:pt idx="47">
                  <c:v>0.10972044717744713</c:v>
                </c:pt>
                <c:pt idx="48">
                  <c:v>0.10972044717744713</c:v>
                </c:pt>
                <c:pt idx="49">
                  <c:v>0.10972044717744713</c:v>
                </c:pt>
                <c:pt idx="50">
                  <c:v>0.10972044717744713</c:v>
                </c:pt>
                <c:pt idx="51">
                  <c:v>0.10972044717744713</c:v>
                </c:pt>
                <c:pt idx="52">
                  <c:v>0.10972044717744713</c:v>
                </c:pt>
                <c:pt idx="53">
                  <c:v>0.10972044717744713</c:v>
                </c:pt>
                <c:pt idx="54">
                  <c:v>0.10972044717744713</c:v>
                </c:pt>
                <c:pt idx="55">
                  <c:v>0.10972044717744713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FCF-4A6B-9A75-CDAE8DC89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7.0000000000000007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 vs Predicted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(k=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^0.5)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'using SEG'!$AS$47</c:f>
              <c:strCache>
                <c:ptCount val="1"/>
                <c:pt idx="0">
                  <c:v>Low Flow (τ* = 0.075)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SEG'!$AT$49:$AT$54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0.10753539352837876</c:v>
                </c:pt>
                <c:pt idx="2">
                  <c:v>0.10971127231286219</c:v>
                </c:pt>
                <c:pt idx="3">
                  <c:v>0.1097204446810941</c:v>
                </c:pt>
                <c:pt idx="4">
                  <c:v>0.10972044717744694</c:v>
                </c:pt>
                <c:pt idx="5">
                  <c:v>0.10972044717744713</c:v>
                </c:pt>
              </c:numCache>
            </c:numRef>
          </c:xVal>
          <c:yVal>
            <c:numRef>
              <c:f>'using SEG'!$AU$49:$AU$54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8.7604318893872962E-2</c:v>
                </c:pt>
                <c:pt idx="2">
                  <c:v>8.82413343442877E-2</c:v>
                </c:pt>
                <c:pt idx="3">
                  <c:v>9.5909343224736487E-2</c:v>
                </c:pt>
                <c:pt idx="4">
                  <c:v>9.6747384868129102E-2</c:v>
                </c:pt>
                <c:pt idx="5">
                  <c:v>8.315138079069874E-2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5E-4332-A666-C3188E052EFB}"/>
            </c:ext>
          </c:extLst>
        </c:ser>
        <c:ser>
          <c:idx val="1"/>
          <c:order val="1"/>
          <c:tx>
            <c:strRef>
              <c:f>'using SEG'!$AS$38</c:f>
              <c:strCache>
                <c:ptCount val="1"/>
                <c:pt idx="0">
                  <c:v>Med Low Flow (τ* = 0.086)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SEG'!$AT$40:$AT$45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0.10778228740094986</c:v>
                </c:pt>
                <c:pt idx="2">
                  <c:v>0.10971404419843854</c:v>
                </c:pt>
                <c:pt idx="3">
                  <c:v>0.1097204459616228</c:v>
                </c:pt>
                <c:pt idx="4">
                  <c:v>0.10972044717744708</c:v>
                </c:pt>
                <c:pt idx="5">
                  <c:v>0.10972044717744713</c:v>
                </c:pt>
              </c:numCache>
            </c:numRef>
          </c:xVal>
          <c:yVal>
            <c:numRef>
              <c:f>'using SEG'!$AU$40:$AU$45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0.10069087208399324</c:v>
                </c:pt>
                <c:pt idx="2">
                  <c:v>0.10972044717744713</c:v>
                </c:pt>
                <c:pt idx="3">
                  <c:v>0.10050961300625309</c:v>
                </c:pt>
                <c:pt idx="4">
                  <c:v>8.788893040268185E-2</c:v>
                </c:pt>
                <c:pt idx="5">
                  <c:v>9.0415380610003052E-2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5E-4332-A666-C3188E052EFB}"/>
            </c:ext>
          </c:extLst>
        </c:ser>
        <c:ser>
          <c:idx val="2"/>
          <c:order val="2"/>
          <c:tx>
            <c:strRef>
              <c:f>'using SEG'!$AS$29</c:f>
              <c:strCache>
                <c:ptCount val="1"/>
                <c:pt idx="0">
                  <c:v>Med High Flow (τ* = 0.089)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'using SEG'!$AT$31:$AT$36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0.10802503753575099</c:v>
                </c:pt>
                <c:pt idx="2">
                  <c:v>0.10971616132420878</c:v>
                </c:pt>
                <c:pt idx="3">
                  <c:v>0.10972044663271716</c:v>
                </c:pt>
                <c:pt idx="4">
                  <c:v>0.10972044717744711</c:v>
                </c:pt>
                <c:pt idx="5">
                  <c:v>0.10972044717744713</c:v>
                </c:pt>
              </c:numCache>
            </c:numRef>
          </c:xVal>
          <c:yVal>
            <c:numRef>
              <c:f>'using SEG'!$AU$31:$AU$36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9.0862480884593408E-2</c:v>
                </c:pt>
                <c:pt idx="2">
                  <c:v>8.5024416000407887E-2</c:v>
                </c:pt>
                <c:pt idx="3">
                  <c:v>0.1018424267519739</c:v>
                </c:pt>
                <c:pt idx="4">
                  <c:v>9.0161671068370017E-2</c:v>
                </c:pt>
                <c:pt idx="5">
                  <c:v>9.2516468769631724E-2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5E-4332-A666-C3188E052EFB}"/>
            </c:ext>
          </c:extLst>
        </c:ser>
        <c:ser>
          <c:idx val="3"/>
          <c:order val="3"/>
          <c:tx>
            <c:strRef>
              <c:f>'using SEG'!$AS$20</c:f>
              <c:strCache>
                <c:ptCount val="1"/>
                <c:pt idx="0">
                  <c:v>High Flow: (τ* = 0.108)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'using SEG'!$AT$22:$AT$27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0.10846748535190186</c:v>
                </c:pt>
                <c:pt idx="2">
                  <c:v>0.10971871725406987</c:v>
                </c:pt>
                <c:pt idx="3">
                  <c:v>0.10972044708869876</c:v>
                </c:pt>
                <c:pt idx="4">
                  <c:v>0.10972044717744713</c:v>
                </c:pt>
                <c:pt idx="5">
                  <c:v>0.10972044717744713</c:v>
                </c:pt>
              </c:numCache>
            </c:numRef>
          </c:xVal>
          <c:yVal>
            <c:numRef>
              <c:f>'using SEG'!$AU$22:$AU$27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9.0450482570703483E-2</c:v>
                </c:pt>
                <c:pt idx="2">
                  <c:v>9.5420493988168181E-2</c:v>
                </c:pt>
                <c:pt idx="3">
                  <c:v>9.0686938018793059E-2</c:v>
                </c:pt>
                <c:pt idx="4">
                  <c:v>9.0335218374187551E-2</c:v>
                </c:pt>
                <c:pt idx="5">
                  <c:v>8.5517652359137733E-2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5E-4332-A666-C3188E052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99248"/>
        <c:axId val="1496091088"/>
      </c:scatterChar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>
                    <a:lumMod val="50000"/>
                    <a:lumOff val="5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5E-4332-A666-C3188E052EFB}"/>
              </c:ext>
            </c:extLst>
          </c:dPt>
          <c:xVal>
            <c:numRef>
              <c:f>'using SEG'!$J$56:$J$57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xVal>
          <c:yVal>
            <c:numRef>
              <c:f>'using SEG'!$K$56:$K$57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A5E-4332-A666-C3188E052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99248"/>
        <c:axId val="1496091088"/>
      </c:scatterChart>
      <c:valAx>
        <c:axId val="1496099248"/>
        <c:scaling>
          <c:orientation val="minMax"/>
          <c:max val="0.13"/>
          <c:min val="7.0000000000000007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91088"/>
        <c:crosses val="autoZero"/>
        <c:crossBetween val="midCat"/>
      </c:valAx>
      <c:valAx>
        <c:axId val="1496091088"/>
        <c:scaling>
          <c:orientation val="minMax"/>
          <c:max val="0.13"/>
          <c:min val="7.0000000000000007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99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High Flow: (</a:t>
            </a:r>
            <a:r>
              <a:rPr lang="el-GR" sz="1200" baseline="0"/>
              <a:t>τ* = 0.108</a:t>
            </a:r>
            <a:r>
              <a:rPr lang="en-US" sz="1200" baseline="0"/>
              <a:t>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SEG'!$AU$21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SEG'!$AS$22:$AS$27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SEG'!$AU$22:$AU$27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9.0450482570703483E-2</c:v>
                </c:pt>
                <c:pt idx="2">
                  <c:v>9.5420493988168181E-2</c:v>
                </c:pt>
                <c:pt idx="3">
                  <c:v>9.0686938018793059E-2</c:v>
                </c:pt>
                <c:pt idx="4">
                  <c:v>9.0335218374187551E-2</c:v>
                </c:pt>
                <c:pt idx="5">
                  <c:v>8.5517652359137733E-2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AD-40A6-B3DA-A41C63335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SEG'!$K$21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'using SEG'!$V$4:$V$59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SEG'!$AQ$4:$AQ$59</c:f>
              <c:numCache>
                <c:formatCode>0.0000</c:formatCode>
                <c:ptCount val="56"/>
                <c:pt idx="0">
                  <c:v>8.5460057256266361E-2</c:v>
                </c:pt>
                <c:pt idx="1">
                  <c:v>9.22661555415588E-2</c:v>
                </c:pt>
                <c:pt idx="2">
                  <c:v>9.7162846186678989E-2</c:v>
                </c:pt>
                <c:pt idx="3">
                  <c:v>0.10068580137611866</c:v>
                </c:pt>
                <c:pt idx="4">
                  <c:v>0.10322041386571271</c:v>
                </c:pt>
                <c:pt idx="5">
                  <c:v>0.10504395692174229</c:v>
                </c:pt>
                <c:pt idx="6">
                  <c:v>0.10635591655693147</c:v>
                </c:pt>
                <c:pt idx="7">
                  <c:v>0.10729981425031161</c:v>
                </c:pt>
                <c:pt idx="8">
                  <c:v>0.10797890744165047</c:v>
                </c:pt>
                <c:pt idx="9">
                  <c:v>0.10846748535190186</c:v>
                </c:pt>
                <c:pt idx="10">
                  <c:v>0.10881899583298177</c:v>
                </c:pt>
                <c:pt idx="11">
                  <c:v>0.10907189228146315</c:v>
                </c:pt>
                <c:pt idx="12">
                  <c:v>0.10925384023777447</c:v>
                </c:pt>
                <c:pt idx="13">
                  <c:v>0.1093847438507143</c:v>
                </c:pt>
                <c:pt idx="14">
                  <c:v>0.10947892328657112</c:v>
                </c:pt>
                <c:pt idx="15">
                  <c:v>0.10954668127994588</c:v>
                </c:pt>
                <c:pt idx="16">
                  <c:v>0.10959543019869235</c:v>
                </c:pt>
                <c:pt idx="17">
                  <c:v>0.10963050291794789</c:v>
                </c:pt>
                <c:pt idx="18">
                  <c:v>0.10965573620860557</c:v>
                </c:pt>
                <c:pt idx="19">
                  <c:v>0.10967389045985639</c:v>
                </c:pt>
                <c:pt idx="20">
                  <c:v>0.10971147279422995</c:v>
                </c:pt>
                <c:pt idx="21">
                  <c:v>0.10971871725406987</c:v>
                </c:pt>
                <c:pt idx="22">
                  <c:v>0.10972011371331719</c:v>
                </c:pt>
                <c:pt idx="23">
                  <c:v>0.10972038289811116</c:v>
                </c:pt>
                <c:pt idx="24">
                  <c:v>0.10972043478680998</c:v>
                </c:pt>
                <c:pt idx="25">
                  <c:v>0.10972044478899855</c:v>
                </c:pt>
                <c:pt idx="26">
                  <c:v>0.10972044671704412</c:v>
                </c:pt>
                <c:pt idx="27">
                  <c:v>0.10972044708869876</c:v>
                </c:pt>
                <c:pt idx="28">
                  <c:v>0.10972044716033978</c:v>
                </c:pt>
                <c:pt idx="29">
                  <c:v>0.10972044717414947</c:v>
                </c:pt>
                <c:pt idx="30">
                  <c:v>0.10972044717681147</c:v>
                </c:pt>
                <c:pt idx="31">
                  <c:v>0.1097204471773246</c:v>
                </c:pt>
                <c:pt idx="32">
                  <c:v>0.10972044717742351</c:v>
                </c:pt>
                <c:pt idx="33">
                  <c:v>0.10972044717744257</c:v>
                </c:pt>
                <c:pt idx="34">
                  <c:v>0.10972044717744625</c:v>
                </c:pt>
                <c:pt idx="35">
                  <c:v>0.10972044717744696</c:v>
                </c:pt>
                <c:pt idx="36">
                  <c:v>0.10972044717744713</c:v>
                </c:pt>
                <c:pt idx="37">
                  <c:v>0.10972044717744713</c:v>
                </c:pt>
                <c:pt idx="38">
                  <c:v>0.10972044717744713</c:v>
                </c:pt>
                <c:pt idx="39">
                  <c:v>0.10972044717744713</c:v>
                </c:pt>
                <c:pt idx="40">
                  <c:v>0.10972044717744713</c:v>
                </c:pt>
                <c:pt idx="41">
                  <c:v>0.10972044717744713</c:v>
                </c:pt>
                <c:pt idx="42">
                  <c:v>0.10972044717744713</c:v>
                </c:pt>
                <c:pt idx="43">
                  <c:v>0.10972044717744713</c:v>
                </c:pt>
                <c:pt idx="44">
                  <c:v>0.10972044717744713</c:v>
                </c:pt>
                <c:pt idx="45">
                  <c:v>0.10972044717744713</c:v>
                </c:pt>
                <c:pt idx="46">
                  <c:v>0.10972044717744713</c:v>
                </c:pt>
                <c:pt idx="47">
                  <c:v>0.10972044717744713</c:v>
                </c:pt>
                <c:pt idx="48">
                  <c:v>0.10972044717744713</c:v>
                </c:pt>
                <c:pt idx="49">
                  <c:v>0.10972044717744713</c:v>
                </c:pt>
                <c:pt idx="50">
                  <c:v>0.10972044717744713</c:v>
                </c:pt>
                <c:pt idx="51">
                  <c:v>0.10972044717744713</c:v>
                </c:pt>
                <c:pt idx="52">
                  <c:v>0.10972044717744713</c:v>
                </c:pt>
                <c:pt idx="53">
                  <c:v>0.10972044717744713</c:v>
                </c:pt>
                <c:pt idx="54">
                  <c:v>0.10972044717744713</c:v>
                </c:pt>
                <c:pt idx="55">
                  <c:v>0.10972044717744713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AD-40A6-B3DA-A41C63335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Med High Flow (</a:t>
            </a:r>
            <a:r>
              <a:rPr lang="el-GR" sz="1200" baseline="0"/>
              <a:t>τ* = 0.089)</a:t>
            </a:r>
            <a:endParaRPr lang="en-US" sz="1200"/>
          </a:p>
        </c:rich>
      </c:tx>
      <c:layout>
        <c:manualLayout>
          <c:xMode val="edge"/>
          <c:yMode val="edge"/>
          <c:x val="0.31548891171212295"/>
          <c:y val="5.21310178693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SEG'!$AU$30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'using SEG'!$AS$31:$AS$36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SEG'!$AU$31:$AU$36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9.0862480884593408E-2</c:v>
                </c:pt>
                <c:pt idx="2">
                  <c:v>8.5024416000407887E-2</c:v>
                </c:pt>
                <c:pt idx="3">
                  <c:v>0.1018424267519739</c:v>
                </c:pt>
                <c:pt idx="4">
                  <c:v>9.0161671068370017E-2</c:v>
                </c:pt>
                <c:pt idx="5">
                  <c:v>9.2516468769631724E-2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2E-4F63-A046-BFBE8F2A2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SEG'!$K$30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SEG'!$AM$4:$AM$59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SEG'!$AP$4:$AP$59</c:f>
              <c:numCache>
                <c:formatCode>0.0000</c:formatCode>
                <c:ptCount val="56"/>
                <c:pt idx="0">
                  <c:v>8.4715182397439553E-2</c:v>
                </c:pt>
                <c:pt idx="1">
                  <c:v>9.1177891575264153E-2</c:v>
                </c:pt>
                <c:pt idx="2">
                  <c:v>9.5970288109547705E-2</c:v>
                </c:pt>
                <c:pt idx="3">
                  <c:v>9.9524070882354432E-2</c:v>
                </c:pt>
                <c:pt idx="4">
                  <c:v>0.10215936449922246</c:v>
                </c:pt>
                <c:pt idx="5">
                  <c:v>0.10411355610042167</c:v>
                </c:pt>
                <c:pt idx="6">
                  <c:v>0.10556267918475416</c:v>
                </c:pt>
                <c:pt idx="7">
                  <c:v>0.10663727069986285</c:v>
                </c:pt>
                <c:pt idx="8">
                  <c:v>0.10743412980508889</c:v>
                </c:pt>
                <c:pt idx="9">
                  <c:v>0.10802503753575099</c:v>
                </c:pt>
                <c:pt idx="10">
                  <c:v>0.10846322283584517</c:v>
                </c:pt>
                <c:pt idx="11">
                  <c:v>0.10878815741912347</c:v>
                </c:pt>
                <c:pt idx="12">
                  <c:v>0.10902911137944016</c:v>
                </c:pt>
                <c:pt idx="13">
                  <c:v>0.10920778983959829</c:v>
                </c:pt>
                <c:pt idx="14">
                  <c:v>0.1093402881479163</c:v>
                </c:pt>
                <c:pt idx="15">
                  <c:v>0.1094385417465403</c:v>
                </c:pt>
                <c:pt idx="16">
                  <c:v>0.10951140131558021</c:v>
                </c:pt>
                <c:pt idx="17">
                  <c:v>0.1095654300420088</c:v>
                </c:pt>
                <c:pt idx="18">
                  <c:v>0.10960549483127344</c:v>
                </c:pt>
                <c:pt idx="19">
                  <c:v>0.1096352047179379</c:v>
                </c:pt>
                <c:pt idx="20">
                  <c:v>0.10970133339521723</c:v>
                </c:pt>
                <c:pt idx="21">
                  <c:v>0.10971616132420878</c:v>
                </c:pt>
                <c:pt idx="22">
                  <c:v>0.10971948616733622</c:v>
                </c:pt>
                <c:pt idx="23">
                  <c:v>0.10972023169166591</c:v>
                </c:pt>
                <c:pt idx="24">
                  <c:v>0.10972039885941032</c:v>
                </c:pt>
                <c:pt idx="25">
                  <c:v>0.10972043634316996</c:v>
                </c:pt>
                <c:pt idx="26">
                  <c:v>0.10972044474809424</c:v>
                </c:pt>
                <c:pt idx="27">
                  <c:v>0.10972044663271716</c:v>
                </c:pt>
                <c:pt idx="28">
                  <c:v>0.10972044705530319</c:v>
                </c:pt>
                <c:pt idx="29">
                  <c:v>0.10972044715005898</c:v>
                </c:pt>
                <c:pt idx="30">
                  <c:v>0.10972044717130593</c:v>
                </c:pt>
                <c:pt idx="31">
                  <c:v>0.10972044717607009</c:v>
                </c:pt>
                <c:pt idx="32">
                  <c:v>0.10972044717713836</c:v>
                </c:pt>
                <c:pt idx="33">
                  <c:v>0.10972044717737789</c:v>
                </c:pt>
                <c:pt idx="34">
                  <c:v>0.1097204471774316</c:v>
                </c:pt>
                <c:pt idx="35">
                  <c:v>0.10972044717744364</c:v>
                </c:pt>
                <c:pt idx="36">
                  <c:v>0.10972044717744694</c:v>
                </c:pt>
                <c:pt idx="37">
                  <c:v>0.10972044717744711</c:v>
                </c:pt>
                <c:pt idx="38">
                  <c:v>0.10972044717744713</c:v>
                </c:pt>
                <c:pt idx="39">
                  <c:v>0.10972044717744713</c:v>
                </c:pt>
                <c:pt idx="40">
                  <c:v>0.10972044717744713</c:v>
                </c:pt>
                <c:pt idx="41">
                  <c:v>0.10972044717744713</c:v>
                </c:pt>
                <c:pt idx="42">
                  <c:v>0.10972044717744713</c:v>
                </c:pt>
                <c:pt idx="43">
                  <c:v>0.10972044717744713</c:v>
                </c:pt>
                <c:pt idx="44">
                  <c:v>0.10972044717744713</c:v>
                </c:pt>
                <c:pt idx="45">
                  <c:v>0.10972044717744713</c:v>
                </c:pt>
                <c:pt idx="46">
                  <c:v>0.10972044717744713</c:v>
                </c:pt>
                <c:pt idx="47">
                  <c:v>0.10972044717744713</c:v>
                </c:pt>
                <c:pt idx="48">
                  <c:v>0.10972044717744713</c:v>
                </c:pt>
                <c:pt idx="49">
                  <c:v>0.10972044717744713</c:v>
                </c:pt>
                <c:pt idx="50">
                  <c:v>0.10972044717744713</c:v>
                </c:pt>
                <c:pt idx="51">
                  <c:v>0.10972044717744713</c:v>
                </c:pt>
                <c:pt idx="52">
                  <c:v>0.10972044717744713</c:v>
                </c:pt>
                <c:pt idx="53">
                  <c:v>0.10972044717744713</c:v>
                </c:pt>
                <c:pt idx="54">
                  <c:v>0.10972044717744713</c:v>
                </c:pt>
                <c:pt idx="55">
                  <c:v>0.10972044717744713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2E-4F63-A046-BFBE8F2A2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Med Low Flow (</a:t>
            </a:r>
            <a:r>
              <a:rPr lang="el-GR" sz="1200" baseline="0"/>
              <a:t>τ* = 0.086</a:t>
            </a:r>
            <a:r>
              <a:rPr lang="en-US" sz="1200" baseline="0"/>
              <a:t>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SEG'!$AU$39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SEG'!$AS$40:$AS$45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SEG'!$AU$40:$AU$45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0.10069087208399324</c:v>
                </c:pt>
                <c:pt idx="2">
                  <c:v>0.10972044717744713</c:v>
                </c:pt>
                <c:pt idx="3">
                  <c:v>0.10050961300625309</c:v>
                </c:pt>
                <c:pt idx="4">
                  <c:v>8.788893040268185E-2</c:v>
                </c:pt>
                <c:pt idx="5">
                  <c:v>9.0415380610003052E-2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12-409C-92FC-391AB479B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SEG'!$K$39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SEG'!$AM$4:$AM$59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SEG'!$AO$4:$AO$59</c:f>
              <c:numCache>
                <c:formatCode>0.0000</c:formatCode>
                <c:ptCount val="56"/>
                <c:pt idx="0">
                  <c:v>8.4378326749091098E-2</c:v>
                </c:pt>
                <c:pt idx="1">
                  <c:v>9.0674938545081463E-2</c:v>
                </c:pt>
                <c:pt idx="2">
                  <c:v>9.5407067202358517E-2</c:v>
                </c:pt>
                <c:pt idx="3">
                  <c:v>9.8963430903116198E-2</c:v>
                </c:pt>
                <c:pt idx="4">
                  <c:v>0.1016361652449049</c:v>
                </c:pt>
                <c:pt idx="5">
                  <c:v>0.10364482056332884</c:v>
                </c:pt>
                <c:pt idx="6">
                  <c:v>0.10515439677715208</c:v>
                </c:pt>
                <c:pt idx="7">
                  <c:v>0.10628889721853639</c:v>
                </c:pt>
                <c:pt idx="8">
                  <c:v>0.10714151482055957</c:v>
                </c:pt>
                <c:pt idx="9">
                  <c:v>0.10778228740094986</c:v>
                </c:pt>
                <c:pt idx="10">
                  <c:v>0.10826385088123194</c:v>
                </c:pt>
                <c:pt idx="11">
                  <c:v>0.10862576303639959</c:v>
                </c:pt>
                <c:pt idx="12">
                  <c:v>0.10889775294722374</c:v>
                </c:pt>
                <c:pt idx="13">
                  <c:v>0.10910216307972084</c:v>
                </c:pt>
                <c:pt idx="14">
                  <c:v>0.10925578459509572</c:v>
                </c:pt>
                <c:pt idx="15">
                  <c:v>0.10937123665071437</c:v>
                </c:pt>
                <c:pt idx="16">
                  <c:v>0.10945800299404881</c:v>
                </c:pt>
                <c:pt idx="17">
                  <c:v>0.10952321100005</c:v>
                </c:pt>
                <c:pt idx="18">
                  <c:v>0.10957221714555805</c:v>
                </c:pt>
                <c:pt idx="19">
                  <c:v>0.10960904701423267</c:v>
                </c:pt>
                <c:pt idx="20">
                  <c:v>0.10969373963344518</c:v>
                </c:pt>
                <c:pt idx="21">
                  <c:v>0.10971404419843854</c:v>
                </c:pt>
                <c:pt idx="22">
                  <c:v>0.10971891210031007</c:v>
                </c:pt>
                <c:pt idx="23">
                  <c:v>0.10972007915159329</c:v>
                </c:pt>
                <c:pt idx="24">
                  <c:v>0.10972035894537994</c:v>
                </c:pt>
                <c:pt idx="25">
                  <c:v>0.10972042602431997</c:v>
                </c:pt>
                <c:pt idx="26">
                  <c:v>0.10972044210610739</c:v>
                </c:pt>
                <c:pt idx="27">
                  <c:v>0.1097204459616228</c:v>
                </c:pt>
                <c:pt idx="28">
                  <c:v>0.10972044688596028</c:v>
                </c:pt>
                <c:pt idx="29">
                  <c:v>0.10972044710756484</c:v>
                </c:pt>
                <c:pt idx="30">
                  <c:v>0.10972044716069325</c:v>
                </c:pt>
                <c:pt idx="31">
                  <c:v>0.10972044717343048</c:v>
                </c:pt>
                <c:pt idx="32">
                  <c:v>0.10972044717648416</c:v>
                </c:pt>
                <c:pt idx="33">
                  <c:v>0.10972044717721625</c:v>
                </c:pt>
                <c:pt idx="34">
                  <c:v>0.10972044717739178</c:v>
                </c:pt>
                <c:pt idx="35">
                  <c:v>0.10972044717743386</c:v>
                </c:pt>
                <c:pt idx="36">
                  <c:v>0.10972044717744636</c:v>
                </c:pt>
                <c:pt idx="37">
                  <c:v>0.10972044717744708</c:v>
                </c:pt>
                <c:pt idx="38">
                  <c:v>0.10972044717744713</c:v>
                </c:pt>
                <c:pt idx="39">
                  <c:v>0.10972044717744713</c:v>
                </c:pt>
                <c:pt idx="40">
                  <c:v>0.10972044717744713</c:v>
                </c:pt>
                <c:pt idx="41">
                  <c:v>0.10972044717744713</c:v>
                </c:pt>
                <c:pt idx="42">
                  <c:v>0.10972044717744713</c:v>
                </c:pt>
                <c:pt idx="43">
                  <c:v>0.10972044717744713</c:v>
                </c:pt>
                <c:pt idx="44">
                  <c:v>0.10972044717744713</c:v>
                </c:pt>
                <c:pt idx="45">
                  <c:v>0.10972044717744713</c:v>
                </c:pt>
                <c:pt idx="46">
                  <c:v>0.10972044717744713</c:v>
                </c:pt>
                <c:pt idx="47">
                  <c:v>0.10972044717744713</c:v>
                </c:pt>
                <c:pt idx="48">
                  <c:v>0.10972044717744713</c:v>
                </c:pt>
                <c:pt idx="49">
                  <c:v>0.10972044717744713</c:v>
                </c:pt>
                <c:pt idx="50">
                  <c:v>0.10972044717744713</c:v>
                </c:pt>
                <c:pt idx="51">
                  <c:v>0.10972044717744713</c:v>
                </c:pt>
                <c:pt idx="52">
                  <c:v>0.10972044717744713</c:v>
                </c:pt>
                <c:pt idx="53">
                  <c:v>0.10972044717744713</c:v>
                </c:pt>
                <c:pt idx="54">
                  <c:v>0.10972044717744713</c:v>
                </c:pt>
                <c:pt idx="55">
                  <c:v>0.10972044717744713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12-409C-92FC-391AB479B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Low Flow (</a:t>
            </a:r>
            <a:r>
              <a:rPr lang="el-GR" sz="1200" b="0" i="0" u="none" strike="noStrike" baseline="0">
                <a:effectLst/>
              </a:rPr>
              <a:t>τ* = 0.075)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SEG'!$AU$48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SEG'!$AS$49:$AS$54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SEG'!$AU$49:$AU$54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8.7604318893872962E-2</c:v>
                </c:pt>
                <c:pt idx="2">
                  <c:v>8.82413343442877E-2</c:v>
                </c:pt>
                <c:pt idx="3">
                  <c:v>9.5909343224736487E-2</c:v>
                </c:pt>
                <c:pt idx="4">
                  <c:v>9.6747384868129102E-2</c:v>
                </c:pt>
                <c:pt idx="5">
                  <c:v>8.315138079069874E-2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27-460E-AD17-EBCBA3C4B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SEG'!$K$21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SEG'!$AM$4:$AM$59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SEG'!$AN$4:$AN$59</c:f>
              <c:numCache>
                <c:formatCode>0.0000</c:formatCode>
                <c:ptCount val="56"/>
                <c:pt idx="0">
                  <c:v>8.4072642168841721E-2</c:v>
                </c:pt>
                <c:pt idx="1">
                  <c:v>9.0212701675204787E-2</c:v>
                </c:pt>
                <c:pt idx="2">
                  <c:v>9.4882836923759817E-2</c:v>
                </c:pt>
                <c:pt idx="3">
                  <c:v>9.8434946348301036E-2</c:v>
                </c:pt>
                <c:pt idx="4">
                  <c:v>0.10113668424075684</c:v>
                </c:pt>
                <c:pt idx="5">
                  <c:v>0.10319162871659437</c:v>
                </c:pt>
                <c:pt idx="6">
                  <c:v>0.10475462148897499</c:v>
                </c:pt>
                <c:pt idx="7">
                  <c:v>0.1059434353159366</c:v>
                </c:pt>
                <c:pt idx="8">
                  <c:v>0.10684764827209922</c:v>
                </c:pt>
                <c:pt idx="9">
                  <c:v>0.10753539352837876</c:v>
                </c:pt>
                <c:pt idx="10">
                  <c:v>0.10805849324101982</c:v>
                </c:pt>
                <c:pt idx="11">
                  <c:v>0.10845636339260098</c:v>
                </c:pt>
                <c:pt idx="12">
                  <c:v>0.10875898381791145</c:v>
                </c:pt>
                <c:pt idx="13">
                  <c:v>0.10898915720852932</c:v>
                </c:pt>
                <c:pt idx="14">
                  <c:v>0.10916422731390696</c:v>
                </c:pt>
                <c:pt idx="15">
                  <c:v>0.1092973858067921</c:v>
                </c:pt>
                <c:pt idx="16">
                  <c:v>0.10939866628634166</c:v>
                </c:pt>
                <c:pt idx="17">
                  <c:v>0.10947570031785957</c:v>
                </c:pt>
                <c:pt idx="18">
                  <c:v>0.10953429247735856</c:v>
                </c:pt>
                <c:pt idx="19">
                  <c:v>0.10957885773101475</c:v>
                </c:pt>
                <c:pt idx="20">
                  <c:v>0.1096844046470466</c:v>
                </c:pt>
                <c:pt idx="21">
                  <c:v>0.10971127231286219</c:v>
                </c:pt>
                <c:pt idx="22">
                  <c:v>0.10971811165496254</c:v>
                </c:pt>
                <c:pt idx="23">
                  <c:v>0.10971985265474594</c:v>
                </c:pt>
                <c:pt idx="24">
                  <c:v>0.10972029583775994</c:v>
                </c:pt>
                <c:pt idx="25">
                  <c:v>0.10972040865292843</c:v>
                </c:pt>
                <c:pt idx="26">
                  <c:v>0.109720437370776</c:v>
                </c:pt>
                <c:pt idx="27">
                  <c:v>0.1097204446810941</c:v>
                </c:pt>
                <c:pt idx="28">
                  <c:v>0.10972044654198394</c:v>
                </c:pt>
                <c:pt idx="29">
                  <c:v>0.10972044701568577</c:v>
                </c:pt>
                <c:pt idx="30">
                  <c:v>0.1097204471362697</c:v>
                </c:pt>
                <c:pt idx="31">
                  <c:v>0.10972044716696513</c:v>
                </c:pt>
                <c:pt idx="32">
                  <c:v>0.10972044717477887</c:v>
                </c:pt>
                <c:pt idx="33">
                  <c:v>0.1097204471767679</c:v>
                </c:pt>
                <c:pt idx="34">
                  <c:v>0.10972044717727422</c:v>
                </c:pt>
                <c:pt idx="35">
                  <c:v>0.10972044717740312</c:v>
                </c:pt>
                <c:pt idx="36">
                  <c:v>0.10972044717744427</c:v>
                </c:pt>
                <c:pt idx="37">
                  <c:v>0.10972044717744694</c:v>
                </c:pt>
                <c:pt idx="38">
                  <c:v>0.10972044717744711</c:v>
                </c:pt>
                <c:pt idx="39">
                  <c:v>0.10972044717744713</c:v>
                </c:pt>
                <c:pt idx="40">
                  <c:v>0.10972044717744713</c:v>
                </c:pt>
                <c:pt idx="41">
                  <c:v>0.10972044717744713</c:v>
                </c:pt>
                <c:pt idx="42">
                  <c:v>0.10972044717744713</c:v>
                </c:pt>
                <c:pt idx="43">
                  <c:v>0.10972044717744713</c:v>
                </c:pt>
                <c:pt idx="44">
                  <c:v>0.10972044717744713</c:v>
                </c:pt>
                <c:pt idx="45">
                  <c:v>0.10972044717744713</c:v>
                </c:pt>
                <c:pt idx="46">
                  <c:v>0.10972044717744713</c:v>
                </c:pt>
                <c:pt idx="47">
                  <c:v>0.10972044717744713</c:v>
                </c:pt>
                <c:pt idx="48">
                  <c:v>0.10972044717744713</c:v>
                </c:pt>
                <c:pt idx="49">
                  <c:v>0.10972044717744713</c:v>
                </c:pt>
                <c:pt idx="50">
                  <c:v>0.10972044717744713</c:v>
                </c:pt>
                <c:pt idx="51">
                  <c:v>0.10972044717744713</c:v>
                </c:pt>
                <c:pt idx="52">
                  <c:v>0.10972044717744713</c:v>
                </c:pt>
                <c:pt idx="53">
                  <c:v>0.10972044717744713</c:v>
                </c:pt>
                <c:pt idx="54">
                  <c:v>0.10972044717744713</c:v>
                </c:pt>
                <c:pt idx="55">
                  <c:v>0.10972044717744713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27-460E-AD17-EBCBA3C4B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Testing</a:t>
            </a:r>
            <a:r>
              <a:rPr lang="en-US" baseline="0"/>
              <a:t> Equation with flume data (k=</a:t>
            </a:r>
            <a:r>
              <a:rPr lang="el-GR" baseline="0"/>
              <a:t>τ</a:t>
            </a:r>
            <a:r>
              <a:rPr lang="en-US" baseline="0"/>
              <a:t>/2) </a:t>
            </a:r>
            <a:endParaRPr lang="en-US"/>
          </a:p>
        </c:rich>
      </c:tx>
      <c:layout>
        <c:manualLayout>
          <c:xMode val="edge"/>
          <c:yMode val="edge"/>
          <c:x val="0.1763585791018838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'using SEG'!$BH$2</c:f>
              <c:strCache>
                <c:ptCount val="1"/>
                <c:pt idx="0">
                  <c:v>0.108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'using SEG'!$BD$4:$BD$59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SEG'!$BH$4:$BH$59</c:f>
              <c:numCache>
                <c:formatCode>0.0000</c:formatCode>
                <c:ptCount val="56"/>
                <c:pt idx="0">
                  <c:v>7.7779189694184514E-2</c:v>
                </c:pt>
                <c:pt idx="1">
                  <c:v>7.9464504121791596E-2</c:v>
                </c:pt>
                <c:pt idx="2">
                  <c:v>8.1060896417219364E-2</c:v>
                </c:pt>
                <c:pt idx="3">
                  <c:v>8.2573058372967648E-2</c:v>
                </c:pt>
                <c:pt idx="4">
                  <c:v>8.4005434228803091E-2</c:v>
                </c:pt>
                <c:pt idx="5">
                  <c:v>8.5362233733367446E-2</c:v>
                </c:pt>
                <c:pt idx="6">
                  <c:v>8.6647444516617031E-2</c:v>
                </c:pt>
                <c:pt idx="7">
                  <c:v>8.7864843809456084E-2</c:v>
                </c:pt>
                <c:pt idx="8">
                  <c:v>8.9018009545007798E-2</c:v>
                </c:pt>
                <c:pt idx="9">
                  <c:v>9.0110330874149852E-2</c:v>
                </c:pt>
                <c:pt idx="10">
                  <c:v>9.1145018126219321E-2</c:v>
                </c:pt>
                <c:pt idx="11">
                  <c:v>9.2125112244161617E-2</c:v>
                </c:pt>
                <c:pt idx="12">
                  <c:v>9.3053493721853398E-2</c:v>
                </c:pt>
                <c:pt idx="13">
                  <c:v>9.3932891069865992E-2</c:v>
                </c:pt>
                <c:pt idx="14">
                  <c:v>9.4765888834550269E-2</c:v>
                </c:pt>
                <c:pt idx="15">
                  <c:v>9.5554935194011315E-2</c:v>
                </c:pt>
                <c:pt idx="16">
                  <c:v>9.6302349153296898E-2</c:v>
                </c:pt>
                <c:pt idx="17">
                  <c:v>9.7010327359946913E-2</c:v>
                </c:pt>
                <c:pt idx="18">
                  <c:v>9.7680950559934338E-2</c:v>
                </c:pt>
                <c:pt idx="19">
                  <c:v>9.831618971297186E-2</c:v>
                </c:pt>
                <c:pt idx="20">
                  <c:v>0.10102362809834577</c:v>
                </c:pt>
                <c:pt idx="21">
                  <c:v>0.10308830454736126</c:v>
                </c:pt>
                <c:pt idx="22">
                  <c:v>0.10466281455732053</c:v>
                </c:pt>
                <c:pt idx="23">
                  <c:v>0.10586352654909245</c:v>
                </c:pt>
                <c:pt idx="24">
                  <c:v>0.10677918238999892</c:v>
                </c:pt>
                <c:pt idx="25">
                  <c:v>0.10747745610153971</c:v>
                </c:pt>
                <c:pt idx="26">
                  <c:v>0.10800995549098963</c:v>
                </c:pt>
                <c:pt idx="27">
                  <c:v>0.10841603636597899</c:v>
                </c:pt>
                <c:pt idx="28">
                  <c:v>0.10872571123190224</c:v>
                </c:pt>
                <c:pt idx="29">
                  <c:v>0.10896186744730414</c:v>
                </c:pt>
                <c:pt idx="30">
                  <c:v>0.10914195877601654</c:v>
                </c:pt>
                <c:pt idx="31">
                  <c:v>0.10927929535478159</c:v>
                </c:pt>
                <c:pt idx="32">
                  <c:v>0.10938402741490763</c:v>
                </c:pt>
                <c:pt idx="33">
                  <c:v>0.10946389546256748</c:v>
                </c:pt>
                <c:pt idx="34">
                  <c:v>0.1095248023618428</c:v>
                </c:pt>
                <c:pt idx="35">
                  <c:v>0.10957124960185965</c:v>
                </c:pt>
                <c:pt idx="36">
                  <c:v>0.10963368137051568</c:v>
                </c:pt>
                <c:pt idx="37">
                  <c:v>0.10966998854752086</c:v>
                </c:pt>
                <c:pt idx="38">
                  <c:v>0.10969110297580732</c:v>
                </c:pt>
                <c:pt idx="39">
                  <c:v>0.10970338206547053</c:v>
                </c:pt>
                <c:pt idx="40">
                  <c:v>0.10971052296651278</c:v>
                </c:pt>
                <c:pt idx="41">
                  <c:v>0.10971467575544856</c:v>
                </c:pt>
                <c:pt idx="42">
                  <c:v>0.10971709080865309</c:v>
                </c:pt>
                <c:pt idx="43">
                  <c:v>0.10971849528214569</c:v>
                </c:pt>
                <c:pt idx="44">
                  <c:v>0.10971931205329911</c:v>
                </c:pt>
                <c:pt idx="45">
                  <c:v>0.10971978704632715</c:v>
                </c:pt>
                <c:pt idx="46">
                  <c:v>0.10972006327838524</c:v>
                </c:pt>
                <c:pt idx="47">
                  <c:v>0.10972022392105871</c:v>
                </c:pt>
                <c:pt idx="48">
                  <c:v>0.10972031734275901</c:v>
                </c:pt>
                <c:pt idx="49">
                  <c:v>0.1097203716721218</c:v>
                </c:pt>
                <c:pt idx="50">
                  <c:v>0.10972040326734703</c:v>
                </c:pt>
                <c:pt idx="51">
                  <c:v>0.10972042164154111</c:v>
                </c:pt>
                <c:pt idx="52">
                  <c:v>0.10972043232704837</c:v>
                </c:pt>
                <c:pt idx="53">
                  <c:v>0.10972043854120202</c:v>
                </c:pt>
                <c:pt idx="54">
                  <c:v>0.10972044215504129</c:v>
                </c:pt>
                <c:pt idx="55">
                  <c:v>0.10972044425666846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17-41C3-8520-FF01B44153B9}"/>
            </c:ext>
          </c:extLst>
        </c:ser>
        <c:ser>
          <c:idx val="2"/>
          <c:order val="1"/>
          <c:tx>
            <c:strRef>
              <c:f>'using SEG'!$BG$2</c:f>
              <c:strCache>
                <c:ptCount val="1"/>
                <c:pt idx="0">
                  <c:v>0.089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'using SEG'!$AM$4:$AM$59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SEG'!$BG$4:$BG$59</c:f>
              <c:numCache>
                <c:formatCode>0.0000</c:formatCode>
                <c:ptCount val="56"/>
                <c:pt idx="0">
                  <c:v>7.7474301823716202E-2</c:v>
                </c:pt>
                <c:pt idx="1">
                  <c:v>7.8884145253509702E-2</c:v>
                </c:pt>
                <c:pt idx="2">
                  <c:v>8.0232348494228597E-2</c:v>
                </c:pt>
                <c:pt idx="3">
                  <c:v>8.1521606535138236E-2</c:v>
                </c:pt>
                <c:pt idx="4">
                  <c:v>8.2754496537066902E-2</c:v>
                </c:pt>
                <c:pt idx="5">
                  <c:v>8.3933482984018384E-2</c:v>
                </c:pt>
                <c:pt idx="6">
                  <c:v>8.5060922609549311E-2</c:v>
                </c:pt>
                <c:pt idx="7">
                  <c:v>8.6139069107758898E-2</c:v>
                </c:pt>
                <c:pt idx="8">
                  <c:v>8.7170077638308127E-2</c:v>
                </c:pt>
                <c:pt idx="9">
                  <c:v>8.8156009134473523E-2</c:v>
                </c:pt>
                <c:pt idx="10">
                  <c:v>8.9098834422847356E-2</c:v>
                </c:pt>
                <c:pt idx="11">
                  <c:v>9.0000438162919028E-2</c:v>
                </c:pt>
                <c:pt idx="12">
                  <c:v>9.0862622614412997E-2</c:v>
                </c:pt>
                <c:pt idx="13">
                  <c:v>9.168711123991366E-2</c:v>
                </c:pt>
                <c:pt idx="14">
                  <c:v>9.2475552149978879E-2</c:v>
                </c:pt>
                <c:pt idx="15">
                  <c:v>9.3229521397628579E-2</c:v>
                </c:pt>
                <c:pt idx="16">
                  <c:v>9.3950526128794051E-2</c:v>
                </c:pt>
                <c:pt idx="17">
                  <c:v>9.4640007595025596E-2</c:v>
                </c:pt>
                <c:pt idx="18">
                  <c:v>9.5299344034480524E-2</c:v>
                </c:pt>
                <c:pt idx="19">
                  <c:v>9.5929853426950706E-2</c:v>
                </c:pt>
                <c:pt idx="20">
                  <c:v>9.8692228351626207E-2</c:v>
                </c:pt>
                <c:pt idx="21">
                  <c:v>0.10090127574287325</c:v>
                </c:pt>
                <c:pt idx="22">
                  <c:v>0.10266783188019724</c:v>
                </c:pt>
                <c:pt idx="23">
                  <c:v>0.10408053157993313</c:v>
                </c:pt>
                <c:pt idx="24">
                  <c:v>0.10521025533989076</c:v>
                </c:pt>
                <c:pt idx="25">
                  <c:v>0.10611368568255408</c:v>
                </c:pt>
                <c:pt idx="26">
                  <c:v>0.10683615113205071</c:v>
                </c:pt>
                <c:pt idx="27">
                  <c:v>0.10741390051799407</c:v>
                </c:pt>
                <c:pt idx="28">
                  <c:v>0.10787592171664172</c:v>
                </c:pt>
                <c:pt idx="29">
                  <c:v>0.10824539608250584</c:v>
                </c:pt>
                <c:pt idx="30">
                  <c:v>0.10854086154476227</c:v>
                </c:pt>
                <c:pt idx="31">
                  <c:v>0.10877714272541258</c:v>
                </c:pt>
                <c:pt idx="32">
                  <c:v>0.10896609474675258</c:v>
                </c:pt>
                <c:pt idx="33">
                  <c:v>0.10911719804778655</c:v>
                </c:pt>
                <c:pt idx="34">
                  <c:v>0.10923803405378134</c:v>
                </c:pt>
                <c:pt idx="35">
                  <c:v>0.10933466556510411</c:v>
                </c:pt>
                <c:pt idx="36">
                  <c:v>0.10947373741011482</c:v>
                </c:pt>
                <c:pt idx="37">
                  <c:v>0.10956267472964304</c:v>
                </c:pt>
                <c:pt idx="38">
                  <c:v>0.10961955070482161</c:v>
                </c:pt>
                <c:pt idx="39">
                  <c:v>0.10965592324864992</c:v>
                </c:pt>
                <c:pt idx="40">
                  <c:v>0.10967918371918056</c:v>
                </c:pt>
                <c:pt idx="41">
                  <c:v>0.10969405893637352</c:v>
                </c:pt>
                <c:pt idx="42">
                  <c:v>0.10970357173132092</c:v>
                </c:pt>
                <c:pt idx="43">
                  <c:v>0.10970965522351718</c:v>
                </c:pt>
                <c:pt idx="44">
                  <c:v>0.10971354565503669</c:v>
                </c:pt>
                <c:pt idx="45">
                  <c:v>0.10971603361046094</c:v>
                </c:pt>
                <c:pt idx="46">
                  <c:v>0.10971762467360187</c:v>
                </c:pt>
                <c:pt idx="47">
                  <c:v>0.10971864216848692</c:v>
                </c:pt>
                <c:pt idx="48">
                  <c:v>0.10971929286286511</c:v>
                </c:pt>
                <c:pt idx="49">
                  <c:v>0.10971970898601226</c:v>
                </c:pt>
                <c:pt idx="50">
                  <c:v>0.10971997509938193</c:v>
                </c:pt>
                <c:pt idx="51">
                  <c:v>0.10972014528055546</c:v>
                </c:pt>
                <c:pt idx="52">
                  <c:v>0.10972025411248623</c:v>
                </c:pt>
                <c:pt idx="53">
                  <c:v>0.10972032371119042</c:v>
                </c:pt>
                <c:pt idx="54">
                  <c:v>0.10972036821999946</c:v>
                </c:pt>
                <c:pt idx="55">
                  <c:v>0.10972039668366278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17-41C3-8520-FF01B44153B9}"/>
            </c:ext>
          </c:extLst>
        </c:ser>
        <c:ser>
          <c:idx val="1"/>
          <c:order val="2"/>
          <c:tx>
            <c:strRef>
              <c:f>'using SEG'!$BF$2</c:f>
              <c:strCache>
                <c:ptCount val="1"/>
                <c:pt idx="0">
                  <c:v>0.082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SEG'!$BD$4:$BD$59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SEG'!$BF$4:$BF$59</c:f>
              <c:numCache>
                <c:formatCode>0.0000</c:formatCode>
                <c:ptCount val="56"/>
                <c:pt idx="0">
                  <c:v>7.7347915454714561E-2</c:v>
                </c:pt>
                <c:pt idx="1">
                  <c:v>7.8641950364384816E-2</c:v>
                </c:pt>
                <c:pt idx="2">
                  <c:v>7.9884258508852182E-2</c:v>
                </c:pt>
                <c:pt idx="3">
                  <c:v>8.1076907574404194E-2</c:v>
                </c:pt>
                <c:pt idx="4">
                  <c:v>8.2221882595212722E-2</c:v>
                </c:pt>
                <c:pt idx="5">
                  <c:v>8.3321089257206535E-2</c:v>
                </c:pt>
                <c:pt idx="6">
                  <c:v>8.4376357069877561E-2</c:v>
                </c:pt>
                <c:pt idx="7">
                  <c:v>8.5389442411299712E-2</c:v>
                </c:pt>
                <c:pt idx="8">
                  <c:v>8.63620314514284E-2</c:v>
                </c:pt>
                <c:pt idx="9">
                  <c:v>8.7295742958546446E-2</c:v>
                </c:pt>
                <c:pt idx="10">
                  <c:v>8.8192130993527046E-2</c:v>
                </c:pt>
                <c:pt idx="11">
                  <c:v>8.9052687496398553E-2</c:v>
                </c:pt>
                <c:pt idx="12">
                  <c:v>8.9878844769515742E-2</c:v>
                </c:pt>
                <c:pt idx="13">
                  <c:v>9.0671977861470701E-2</c:v>
                </c:pt>
                <c:pt idx="14">
                  <c:v>9.1433406855711122E-2</c:v>
                </c:pt>
                <c:pt idx="15">
                  <c:v>9.2164399067675096E-2</c:v>
                </c:pt>
                <c:pt idx="16">
                  <c:v>9.2866171154099286E-2</c:v>
                </c:pt>
                <c:pt idx="17">
                  <c:v>9.3539891138011311E-2</c:v>
                </c:pt>
                <c:pt idx="18">
                  <c:v>9.4186680352776456E-2</c:v>
                </c:pt>
                <c:pt idx="19">
                  <c:v>9.4807615308434748E-2</c:v>
                </c:pt>
                <c:pt idx="20">
                  <c:v>9.7559236263010898E-2</c:v>
                </c:pt>
                <c:pt idx="21">
                  <c:v>9.980314560760134E-2</c:v>
                </c:pt>
                <c:pt idx="22">
                  <c:v>0.10163302306160403</c:v>
                </c:pt>
                <c:pt idx="23">
                  <c:v>0.10312526315799642</c:v>
                </c:pt>
                <c:pt idx="24">
                  <c:v>0.10434216459607372</c:v>
                </c:pt>
                <c:pt idx="25">
                  <c:v>0.10533453111509082</c:v>
                </c:pt>
                <c:pt idx="26">
                  <c:v>0.10614379247122994</c:v>
                </c:pt>
                <c:pt idx="27">
                  <c:v>0.10680373406537885</c:v>
                </c:pt>
                <c:pt idx="28">
                  <c:v>0.10734190743098426</c:v>
                </c:pt>
                <c:pt idx="29">
                  <c:v>0.10778078046765137</c:v>
                </c:pt>
                <c:pt idx="30">
                  <c:v>0.10813867544095004</c:v>
                </c:pt>
                <c:pt idx="31">
                  <c:v>0.10843053390845853</c:v>
                </c:pt>
                <c:pt idx="32">
                  <c:v>0.10866854050651521</c:v>
                </c:pt>
                <c:pt idx="33">
                  <c:v>0.10886263163980352</c:v>
                </c:pt>
                <c:pt idx="34">
                  <c:v>0.10902091031076781</c:v>
                </c:pt>
                <c:pt idx="35">
                  <c:v>0.10914998440734185</c:v>
                </c:pt>
                <c:pt idx="36">
                  <c:v>0.10934107916906373</c:v>
                </c:pt>
                <c:pt idx="37">
                  <c:v>0.10946816062462227</c:v>
                </c:pt>
                <c:pt idx="38">
                  <c:v>0.10955267207957453</c:v>
                </c:pt>
                <c:pt idx="39">
                  <c:v>0.10960887371801785</c:v>
                </c:pt>
                <c:pt idx="40">
                  <c:v>0.10964624881900856</c:v>
                </c:pt>
                <c:pt idx="41">
                  <c:v>0.10967110393378381</c:v>
                </c:pt>
                <c:pt idx="42">
                  <c:v>0.10968763303241137</c:v>
                </c:pt>
                <c:pt idx="43">
                  <c:v>0.10969862518046261</c:v>
                </c:pt>
                <c:pt idx="44">
                  <c:v>0.10970593515673553</c:v>
                </c:pt>
                <c:pt idx="45">
                  <c:v>0.10971079642251011</c:v>
                </c:pt>
                <c:pt idx="46">
                  <c:v>0.10971402925173537</c:v>
                </c:pt>
                <c:pt idx="47">
                  <c:v>0.1097161791413494</c:v>
                </c:pt>
                <c:pt idx="48">
                  <c:v>0.10971760885663295</c:v>
                </c:pt>
                <c:pt idx="49">
                  <c:v>0.10971855964302621</c:v>
                </c:pt>
                <c:pt idx="50">
                  <c:v>0.10971919193308843</c:v>
                </c:pt>
                <c:pt idx="51">
                  <c:v>0.10971961241735874</c:v>
                </c:pt>
                <c:pt idx="52">
                  <c:v>0.10971989204696569</c:v>
                </c:pt>
                <c:pt idx="53">
                  <c:v>0.10972007800568663</c:v>
                </c:pt>
                <c:pt idx="54">
                  <c:v>0.10972020167158264</c:v>
                </c:pt>
                <c:pt idx="55">
                  <c:v>0.10972028391162902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17-41C3-8520-FF01B44153B9}"/>
            </c:ext>
          </c:extLst>
        </c:ser>
        <c:ser>
          <c:idx val="0"/>
          <c:order val="3"/>
          <c:tx>
            <c:strRef>
              <c:f>'using SEG'!$BE$2</c:f>
              <c:strCache>
                <c:ptCount val="1"/>
                <c:pt idx="0">
                  <c:v>0.075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SEG'!$BD$4:$BD$59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SEG'!$BE$4:$BE$59</c:f>
              <c:numCache>
                <c:formatCode>0.0000</c:formatCode>
                <c:ptCount val="56"/>
                <c:pt idx="0">
                  <c:v>7.7239190087093262E-2</c:v>
                </c:pt>
                <c:pt idx="1">
                  <c:v>7.8432841274187093E-2</c:v>
                </c:pt>
                <c:pt idx="2">
                  <c:v>7.9582627066770883E-2</c:v>
                </c:pt>
                <c:pt idx="3">
                  <c:v>8.0690159470811137E-2</c:v>
                </c:pt>
                <c:pt idx="4">
                  <c:v>8.1756991252792649E-2</c:v>
                </c:pt>
                <c:pt idx="5">
                  <c:v>8.2784618116705566E-2</c:v>
                </c:pt>
                <c:pt idx="6">
                  <c:v>8.3774480801030643E-2</c:v>
                </c:pt>
                <c:pt idx="7">
                  <c:v>8.4727967098662385E-2</c:v>
                </c:pt>
                <c:pt idx="8">
                  <c:v>8.5646413802602295E-2</c:v>
                </c:pt>
                <c:pt idx="9">
                  <c:v>8.6531108580149993E-2</c:v>
                </c:pt>
                <c:pt idx="10">
                  <c:v>8.7383291778219768E-2</c:v>
                </c:pt>
                <c:pt idx="11">
                  <c:v>8.8204158162313792E-2</c:v>
                </c:pt>
                <c:pt idx="12">
                  <c:v>8.8994858591589815E-2</c:v>
                </c:pt>
                <c:pt idx="13">
                  <c:v>8.975650163237206E-2</c:v>
                </c:pt>
                <c:pt idx="14">
                  <c:v>9.0490155112367215E-2</c:v>
                </c:pt>
                <c:pt idx="15">
                  <c:v>9.1196847617764754E-2</c:v>
                </c:pt>
                <c:pt idx="16">
                  <c:v>9.1877569935320383E-2</c:v>
                </c:pt>
                <c:pt idx="17">
                  <c:v>9.2533276441444462E-2</c:v>
                </c:pt>
                <c:pt idx="18">
                  <c:v>9.3164886440243011E-2</c:v>
                </c:pt>
                <c:pt idx="19">
                  <c:v>9.3773285452387056E-2</c:v>
                </c:pt>
                <c:pt idx="20">
                  <c:v>9.6495896753326232E-2</c:v>
                </c:pt>
                <c:pt idx="21">
                  <c:v>9.8753684756941407E-2</c:v>
                </c:pt>
                <c:pt idx="22">
                  <c:v>0.1006260073567595</c:v>
                </c:pt>
                <c:pt idx="23">
                  <c:v>0.10217867391011899</c:v>
                </c:pt>
                <c:pt idx="24">
                  <c:v>0.10346625833929561</c:v>
                </c:pt>
                <c:pt idx="25">
                  <c:v>0.10453401732378004</c:v>
                </c:pt>
                <c:pt idx="26">
                  <c:v>0.10541948100531608</c:v>
                </c:pt>
                <c:pt idx="27">
                  <c:v>0.10615377211661771</c:v>
                </c:pt>
                <c:pt idx="28">
                  <c:v>0.10676269989917932</c:v>
                </c:pt>
                <c:pt idx="29">
                  <c:v>0.10726766725976483</c:v>
                </c:pt>
                <c:pt idx="30">
                  <c:v>0.10768642305077838</c:v>
                </c:pt>
                <c:pt idx="31">
                  <c:v>0.10803368591605358</c:v>
                </c:pt>
                <c:pt idx="32">
                  <c:v>0.1083216616293142</c:v>
                </c:pt>
                <c:pt idx="33">
                  <c:v>0.10856047210898422</c:v>
                </c:pt>
                <c:pt idx="34">
                  <c:v>0.10875851118858056</c:v>
                </c:pt>
                <c:pt idx="35">
                  <c:v>0.10892273964748887</c:v>
                </c:pt>
                <c:pt idx="36">
                  <c:v>0.10917186874619229</c:v>
                </c:pt>
                <c:pt idx="37">
                  <c:v>0.10934319325425329</c:v>
                </c:pt>
                <c:pt idx="38">
                  <c:v>0.10946101203662398</c:v>
                </c:pt>
                <c:pt idx="39">
                  <c:v>0.10954203526929754</c:v>
                </c:pt>
                <c:pt idx="40">
                  <c:v>0.10959775443478867</c:v>
                </c:pt>
                <c:pt idx="41">
                  <c:v>0.10963607215306012</c:v>
                </c:pt>
                <c:pt idx="42">
                  <c:v>0.10966242300595944</c:v>
                </c:pt>
                <c:pt idx="43">
                  <c:v>0.10968054432110673</c:v>
                </c:pt>
                <c:pt idx="44">
                  <c:v>0.10969300623510708</c:v>
                </c:pt>
                <c:pt idx="45">
                  <c:v>0.10970157621467479</c:v>
                </c:pt>
                <c:pt idx="46">
                  <c:v>0.10970746973550866</c:v>
                </c:pt>
                <c:pt idx="47">
                  <c:v>0.10971152267257166</c:v>
                </c:pt>
                <c:pt idx="48">
                  <c:v>0.10971430985179775</c:v>
                </c:pt>
                <c:pt idx="49">
                  <c:v>0.10971622657735199</c:v>
                </c:pt>
                <c:pt idx="50">
                  <c:v>0.10971754469741254</c:v>
                </c:pt>
                <c:pt idx="51">
                  <c:v>0.10971845116025496</c:v>
                </c:pt>
                <c:pt idx="52">
                  <c:v>0.10971907452902785</c:v>
                </c:pt>
                <c:pt idx="53">
                  <c:v>0.10971950321579674</c:v>
                </c:pt>
                <c:pt idx="54">
                  <c:v>0.10971979802098077</c:v>
                </c:pt>
                <c:pt idx="55">
                  <c:v>0.10972000075664429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17-41C3-8520-FF01B4415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7.0000000000000007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 vs Predicted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(k=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/2)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'using SEG'!$BJ$47</c:f>
              <c:strCache>
                <c:ptCount val="1"/>
                <c:pt idx="0">
                  <c:v>Low Flow (τ* = 0.075)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SEG'!$BK$49:$BK$54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8.6531108580149993E-2</c:v>
                </c:pt>
                <c:pt idx="2">
                  <c:v>9.8753684756941407E-2</c:v>
                </c:pt>
                <c:pt idx="3">
                  <c:v>0.10615377211661771</c:v>
                </c:pt>
                <c:pt idx="4">
                  <c:v>0.10934319325425329</c:v>
                </c:pt>
                <c:pt idx="5">
                  <c:v>0.10971622657735199</c:v>
                </c:pt>
              </c:numCache>
            </c:numRef>
          </c:xVal>
          <c:yVal>
            <c:numRef>
              <c:f>'using SEG'!$BL$49:$BL$54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8.7604318893872962E-2</c:v>
                </c:pt>
                <c:pt idx="2">
                  <c:v>8.82413343442877E-2</c:v>
                </c:pt>
                <c:pt idx="3">
                  <c:v>9.5909343224736487E-2</c:v>
                </c:pt>
                <c:pt idx="4">
                  <c:v>9.6747384868129102E-2</c:v>
                </c:pt>
                <c:pt idx="5">
                  <c:v>8.315138079069874E-2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C2-451D-A497-5A3AD8D0F2BA}"/>
            </c:ext>
          </c:extLst>
        </c:ser>
        <c:ser>
          <c:idx val="1"/>
          <c:order val="1"/>
          <c:tx>
            <c:strRef>
              <c:f>'using SEG'!$BJ$38</c:f>
              <c:strCache>
                <c:ptCount val="1"/>
                <c:pt idx="0">
                  <c:v>Med Low Flow (τ* = 0.086)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SEG'!$BK$40:$BK$45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8.7295742958546446E-2</c:v>
                </c:pt>
                <c:pt idx="2">
                  <c:v>9.980314560760134E-2</c:v>
                </c:pt>
                <c:pt idx="3">
                  <c:v>0.10680373406537885</c:v>
                </c:pt>
                <c:pt idx="4">
                  <c:v>0.10946816062462227</c:v>
                </c:pt>
                <c:pt idx="5">
                  <c:v>0.10971855964302621</c:v>
                </c:pt>
              </c:numCache>
            </c:numRef>
          </c:xVal>
          <c:yVal>
            <c:numRef>
              <c:f>'using SEG'!$BL$40:$BL$45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0.10069087208399324</c:v>
                </c:pt>
                <c:pt idx="2">
                  <c:v>0.10972044717744713</c:v>
                </c:pt>
                <c:pt idx="3">
                  <c:v>0.10050961300625309</c:v>
                </c:pt>
                <c:pt idx="4">
                  <c:v>8.788893040268185E-2</c:v>
                </c:pt>
                <c:pt idx="5">
                  <c:v>9.0415380610003052E-2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C2-451D-A497-5A3AD8D0F2BA}"/>
            </c:ext>
          </c:extLst>
        </c:ser>
        <c:ser>
          <c:idx val="2"/>
          <c:order val="2"/>
          <c:tx>
            <c:strRef>
              <c:f>'using SEG'!$BJ$29</c:f>
              <c:strCache>
                <c:ptCount val="1"/>
                <c:pt idx="0">
                  <c:v>Med High Flow (τ* = 0.089)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'using SEG'!$BK$31:$BK$36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8.8156009134473523E-2</c:v>
                </c:pt>
                <c:pt idx="2">
                  <c:v>0.10090127574287325</c:v>
                </c:pt>
                <c:pt idx="3">
                  <c:v>0.10741390051799407</c:v>
                </c:pt>
                <c:pt idx="4">
                  <c:v>0.10956267472964304</c:v>
                </c:pt>
                <c:pt idx="5">
                  <c:v>0.10971970898601226</c:v>
                </c:pt>
              </c:numCache>
            </c:numRef>
          </c:xVal>
          <c:yVal>
            <c:numRef>
              <c:f>'using SEG'!$BL$31:$BL$36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9.0862480884593408E-2</c:v>
                </c:pt>
                <c:pt idx="2">
                  <c:v>8.5024416000407887E-2</c:v>
                </c:pt>
                <c:pt idx="3">
                  <c:v>0.1018424267519739</c:v>
                </c:pt>
                <c:pt idx="4">
                  <c:v>9.0161671068370017E-2</c:v>
                </c:pt>
                <c:pt idx="5">
                  <c:v>9.2516468769631724E-2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C2-451D-A497-5A3AD8D0F2BA}"/>
            </c:ext>
          </c:extLst>
        </c:ser>
        <c:ser>
          <c:idx val="3"/>
          <c:order val="3"/>
          <c:tx>
            <c:strRef>
              <c:f>'using SEG'!$BJ$20</c:f>
              <c:strCache>
                <c:ptCount val="1"/>
                <c:pt idx="0">
                  <c:v>High Flow: (τ* = 0.108)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'using SEG'!$BK$22:$BK$27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9.0110330874149852E-2</c:v>
                </c:pt>
                <c:pt idx="2">
                  <c:v>0.10308830454736126</c:v>
                </c:pt>
                <c:pt idx="3">
                  <c:v>0.10841603636597899</c:v>
                </c:pt>
                <c:pt idx="4">
                  <c:v>0.10966998854752086</c:v>
                </c:pt>
                <c:pt idx="5">
                  <c:v>0.1097203716721218</c:v>
                </c:pt>
              </c:numCache>
            </c:numRef>
          </c:xVal>
          <c:yVal>
            <c:numRef>
              <c:f>'using SEG'!$BL$22:$BL$27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9.0450482570703483E-2</c:v>
                </c:pt>
                <c:pt idx="2">
                  <c:v>9.5420493988168181E-2</c:v>
                </c:pt>
                <c:pt idx="3">
                  <c:v>9.0686938018793059E-2</c:v>
                </c:pt>
                <c:pt idx="4">
                  <c:v>9.0335218374187551E-2</c:v>
                </c:pt>
                <c:pt idx="5">
                  <c:v>8.5517652359137733E-2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C2-451D-A497-5A3AD8D0F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99248"/>
        <c:axId val="1496091088"/>
      </c:scatterChar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>
                    <a:lumMod val="50000"/>
                    <a:lumOff val="5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EC2-451D-A497-5A3AD8D0F2BA}"/>
              </c:ext>
            </c:extLst>
          </c:dPt>
          <c:xVal>
            <c:numRef>
              <c:f>'using SEG'!$J$56:$J$57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xVal>
          <c:yVal>
            <c:numRef>
              <c:f>'using SEG'!$K$56:$K$57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EC2-451D-A497-5A3AD8D0F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99248"/>
        <c:axId val="1496091088"/>
      </c:scatterChart>
      <c:valAx>
        <c:axId val="1496099248"/>
        <c:scaling>
          <c:orientation val="minMax"/>
          <c:max val="0.13"/>
          <c:min val="7.0000000000000007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91088"/>
        <c:crosses val="autoZero"/>
        <c:crossBetween val="midCat"/>
      </c:valAx>
      <c:valAx>
        <c:axId val="1496091088"/>
        <c:scaling>
          <c:orientation val="minMax"/>
          <c:max val="0.13"/>
          <c:min val="7.0000000000000007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99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High Flow: (</a:t>
            </a:r>
            <a:r>
              <a:rPr lang="el-GR" sz="1200" baseline="0"/>
              <a:t>τ* = 0.108</a:t>
            </a:r>
            <a:r>
              <a:rPr lang="en-US" sz="1200" baseline="0"/>
              <a:t>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SEG'!$AD$21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SEG'!$BJ$22:$BJ$27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SEG'!$BL$22:$BL$27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9.0450482570703483E-2</c:v>
                </c:pt>
                <c:pt idx="2">
                  <c:v>9.5420493988168181E-2</c:v>
                </c:pt>
                <c:pt idx="3">
                  <c:v>9.0686938018793059E-2</c:v>
                </c:pt>
                <c:pt idx="4">
                  <c:v>9.0335218374187551E-2</c:v>
                </c:pt>
                <c:pt idx="5">
                  <c:v>8.5517652359137733E-2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B3-4D62-B957-F4FA75851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SEG'!$K$21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'using SEG'!$V$4:$V$59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SEG'!$BH$4:$BH$59</c:f>
              <c:numCache>
                <c:formatCode>0.0000</c:formatCode>
                <c:ptCount val="56"/>
                <c:pt idx="0">
                  <c:v>7.7779189694184514E-2</c:v>
                </c:pt>
                <c:pt idx="1">
                  <c:v>7.9464504121791596E-2</c:v>
                </c:pt>
                <c:pt idx="2">
                  <c:v>8.1060896417219364E-2</c:v>
                </c:pt>
                <c:pt idx="3">
                  <c:v>8.2573058372967648E-2</c:v>
                </c:pt>
                <c:pt idx="4">
                  <c:v>8.4005434228803091E-2</c:v>
                </c:pt>
                <c:pt idx="5">
                  <c:v>8.5362233733367446E-2</c:v>
                </c:pt>
                <c:pt idx="6">
                  <c:v>8.6647444516617031E-2</c:v>
                </c:pt>
                <c:pt idx="7">
                  <c:v>8.7864843809456084E-2</c:v>
                </c:pt>
                <c:pt idx="8">
                  <c:v>8.9018009545007798E-2</c:v>
                </c:pt>
                <c:pt idx="9">
                  <c:v>9.0110330874149852E-2</c:v>
                </c:pt>
                <c:pt idx="10">
                  <c:v>9.1145018126219321E-2</c:v>
                </c:pt>
                <c:pt idx="11">
                  <c:v>9.2125112244161617E-2</c:v>
                </c:pt>
                <c:pt idx="12">
                  <c:v>9.3053493721853398E-2</c:v>
                </c:pt>
                <c:pt idx="13">
                  <c:v>9.3932891069865992E-2</c:v>
                </c:pt>
                <c:pt idx="14">
                  <c:v>9.4765888834550269E-2</c:v>
                </c:pt>
                <c:pt idx="15">
                  <c:v>9.5554935194011315E-2</c:v>
                </c:pt>
                <c:pt idx="16">
                  <c:v>9.6302349153296898E-2</c:v>
                </c:pt>
                <c:pt idx="17">
                  <c:v>9.7010327359946913E-2</c:v>
                </c:pt>
                <c:pt idx="18">
                  <c:v>9.7680950559934338E-2</c:v>
                </c:pt>
                <c:pt idx="19">
                  <c:v>9.831618971297186E-2</c:v>
                </c:pt>
                <c:pt idx="20">
                  <c:v>0.10102362809834577</c:v>
                </c:pt>
                <c:pt idx="21">
                  <c:v>0.10308830454736126</c:v>
                </c:pt>
                <c:pt idx="22">
                  <c:v>0.10466281455732053</c:v>
                </c:pt>
                <c:pt idx="23">
                  <c:v>0.10586352654909245</c:v>
                </c:pt>
                <c:pt idx="24">
                  <c:v>0.10677918238999892</c:v>
                </c:pt>
                <c:pt idx="25">
                  <c:v>0.10747745610153971</c:v>
                </c:pt>
                <c:pt idx="26">
                  <c:v>0.10800995549098963</c:v>
                </c:pt>
                <c:pt idx="27">
                  <c:v>0.10841603636597899</c:v>
                </c:pt>
                <c:pt idx="28">
                  <c:v>0.10872571123190224</c:v>
                </c:pt>
                <c:pt idx="29">
                  <c:v>0.10896186744730414</c:v>
                </c:pt>
                <c:pt idx="30">
                  <c:v>0.10914195877601654</c:v>
                </c:pt>
                <c:pt idx="31">
                  <c:v>0.10927929535478159</c:v>
                </c:pt>
                <c:pt idx="32">
                  <c:v>0.10938402741490763</c:v>
                </c:pt>
                <c:pt idx="33">
                  <c:v>0.10946389546256748</c:v>
                </c:pt>
                <c:pt idx="34">
                  <c:v>0.1095248023618428</c:v>
                </c:pt>
                <c:pt idx="35">
                  <c:v>0.10957124960185965</c:v>
                </c:pt>
                <c:pt idx="36">
                  <c:v>0.10963368137051568</c:v>
                </c:pt>
                <c:pt idx="37">
                  <c:v>0.10966998854752086</c:v>
                </c:pt>
                <c:pt idx="38">
                  <c:v>0.10969110297580732</c:v>
                </c:pt>
                <c:pt idx="39">
                  <c:v>0.10970338206547053</c:v>
                </c:pt>
                <c:pt idx="40">
                  <c:v>0.10971052296651278</c:v>
                </c:pt>
                <c:pt idx="41">
                  <c:v>0.10971467575544856</c:v>
                </c:pt>
                <c:pt idx="42">
                  <c:v>0.10971709080865309</c:v>
                </c:pt>
                <c:pt idx="43">
                  <c:v>0.10971849528214569</c:v>
                </c:pt>
                <c:pt idx="44">
                  <c:v>0.10971931205329911</c:v>
                </c:pt>
                <c:pt idx="45">
                  <c:v>0.10971978704632715</c:v>
                </c:pt>
                <c:pt idx="46">
                  <c:v>0.10972006327838524</c:v>
                </c:pt>
                <c:pt idx="47">
                  <c:v>0.10972022392105871</c:v>
                </c:pt>
                <c:pt idx="48">
                  <c:v>0.10972031734275901</c:v>
                </c:pt>
                <c:pt idx="49">
                  <c:v>0.1097203716721218</c:v>
                </c:pt>
                <c:pt idx="50">
                  <c:v>0.10972040326734703</c:v>
                </c:pt>
                <c:pt idx="51">
                  <c:v>0.10972042164154111</c:v>
                </c:pt>
                <c:pt idx="52">
                  <c:v>0.10972043232704837</c:v>
                </c:pt>
                <c:pt idx="53">
                  <c:v>0.10972043854120202</c:v>
                </c:pt>
                <c:pt idx="54">
                  <c:v>0.10972044215504129</c:v>
                </c:pt>
                <c:pt idx="55">
                  <c:v>0.10972044425666846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B3-4D62-B957-F4FA75851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Med High Flow (</a:t>
            </a:r>
            <a:r>
              <a:rPr lang="el-GR" sz="1200" baseline="0"/>
              <a:t>τ* = 0.089)</a:t>
            </a:r>
            <a:endParaRPr lang="en-US" sz="1200"/>
          </a:p>
        </c:rich>
      </c:tx>
      <c:layout>
        <c:manualLayout>
          <c:xMode val="edge"/>
          <c:yMode val="edge"/>
          <c:x val="0.31548891171212295"/>
          <c:y val="5.21310178693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SEG'!$AD$30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'using SEG'!$BJ$31:$BJ$36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SEG'!$BL$31:$BL$36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9.0862480884593408E-2</c:v>
                </c:pt>
                <c:pt idx="2">
                  <c:v>8.5024416000407887E-2</c:v>
                </c:pt>
                <c:pt idx="3">
                  <c:v>0.1018424267519739</c:v>
                </c:pt>
                <c:pt idx="4">
                  <c:v>9.0161671068370017E-2</c:v>
                </c:pt>
                <c:pt idx="5">
                  <c:v>9.2516468769631724E-2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D0-4978-982C-976A40239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SEG'!$K$30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SEG'!$AM$4:$AM$59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SEG'!$BG$4:$BG$59</c:f>
              <c:numCache>
                <c:formatCode>0.0000</c:formatCode>
                <c:ptCount val="56"/>
                <c:pt idx="0">
                  <c:v>7.7474301823716202E-2</c:v>
                </c:pt>
                <c:pt idx="1">
                  <c:v>7.8884145253509702E-2</c:v>
                </c:pt>
                <c:pt idx="2">
                  <c:v>8.0232348494228597E-2</c:v>
                </c:pt>
                <c:pt idx="3">
                  <c:v>8.1521606535138236E-2</c:v>
                </c:pt>
                <c:pt idx="4">
                  <c:v>8.2754496537066902E-2</c:v>
                </c:pt>
                <c:pt idx="5">
                  <c:v>8.3933482984018384E-2</c:v>
                </c:pt>
                <c:pt idx="6">
                  <c:v>8.5060922609549311E-2</c:v>
                </c:pt>
                <c:pt idx="7">
                  <c:v>8.6139069107758898E-2</c:v>
                </c:pt>
                <c:pt idx="8">
                  <c:v>8.7170077638308127E-2</c:v>
                </c:pt>
                <c:pt idx="9">
                  <c:v>8.8156009134473523E-2</c:v>
                </c:pt>
                <c:pt idx="10">
                  <c:v>8.9098834422847356E-2</c:v>
                </c:pt>
                <c:pt idx="11">
                  <c:v>9.0000438162919028E-2</c:v>
                </c:pt>
                <c:pt idx="12">
                  <c:v>9.0862622614412997E-2</c:v>
                </c:pt>
                <c:pt idx="13">
                  <c:v>9.168711123991366E-2</c:v>
                </c:pt>
                <c:pt idx="14">
                  <c:v>9.2475552149978879E-2</c:v>
                </c:pt>
                <c:pt idx="15">
                  <c:v>9.3229521397628579E-2</c:v>
                </c:pt>
                <c:pt idx="16">
                  <c:v>9.3950526128794051E-2</c:v>
                </c:pt>
                <c:pt idx="17">
                  <c:v>9.4640007595025596E-2</c:v>
                </c:pt>
                <c:pt idx="18">
                  <c:v>9.5299344034480524E-2</c:v>
                </c:pt>
                <c:pt idx="19">
                  <c:v>9.5929853426950706E-2</c:v>
                </c:pt>
                <c:pt idx="20">
                  <c:v>9.8692228351626207E-2</c:v>
                </c:pt>
                <c:pt idx="21">
                  <c:v>0.10090127574287325</c:v>
                </c:pt>
                <c:pt idx="22">
                  <c:v>0.10266783188019724</c:v>
                </c:pt>
                <c:pt idx="23">
                  <c:v>0.10408053157993313</c:v>
                </c:pt>
                <c:pt idx="24">
                  <c:v>0.10521025533989076</c:v>
                </c:pt>
                <c:pt idx="25">
                  <c:v>0.10611368568255408</c:v>
                </c:pt>
                <c:pt idx="26">
                  <c:v>0.10683615113205071</c:v>
                </c:pt>
                <c:pt idx="27">
                  <c:v>0.10741390051799407</c:v>
                </c:pt>
                <c:pt idx="28">
                  <c:v>0.10787592171664172</c:v>
                </c:pt>
                <c:pt idx="29">
                  <c:v>0.10824539608250584</c:v>
                </c:pt>
                <c:pt idx="30">
                  <c:v>0.10854086154476227</c:v>
                </c:pt>
                <c:pt idx="31">
                  <c:v>0.10877714272541258</c:v>
                </c:pt>
                <c:pt idx="32">
                  <c:v>0.10896609474675258</c:v>
                </c:pt>
                <c:pt idx="33">
                  <c:v>0.10911719804778655</c:v>
                </c:pt>
                <c:pt idx="34">
                  <c:v>0.10923803405378134</c:v>
                </c:pt>
                <c:pt idx="35">
                  <c:v>0.10933466556510411</c:v>
                </c:pt>
                <c:pt idx="36">
                  <c:v>0.10947373741011482</c:v>
                </c:pt>
                <c:pt idx="37">
                  <c:v>0.10956267472964304</c:v>
                </c:pt>
                <c:pt idx="38">
                  <c:v>0.10961955070482161</c:v>
                </c:pt>
                <c:pt idx="39">
                  <c:v>0.10965592324864992</c:v>
                </c:pt>
                <c:pt idx="40">
                  <c:v>0.10967918371918056</c:v>
                </c:pt>
                <c:pt idx="41">
                  <c:v>0.10969405893637352</c:v>
                </c:pt>
                <c:pt idx="42">
                  <c:v>0.10970357173132092</c:v>
                </c:pt>
                <c:pt idx="43">
                  <c:v>0.10970965522351718</c:v>
                </c:pt>
                <c:pt idx="44">
                  <c:v>0.10971354565503669</c:v>
                </c:pt>
                <c:pt idx="45">
                  <c:v>0.10971603361046094</c:v>
                </c:pt>
                <c:pt idx="46">
                  <c:v>0.10971762467360187</c:v>
                </c:pt>
                <c:pt idx="47">
                  <c:v>0.10971864216848692</c:v>
                </c:pt>
                <c:pt idx="48">
                  <c:v>0.10971929286286511</c:v>
                </c:pt>
                <c:pt idx="49">
                  <c:v>0.10971970898601226</c:v>
                </c:pt>
                <c:pt idx="50">
                  <c:v>0.10971997509938193</c:v>
                </c:pt>
                <c:pt idx="51">
                  <c:v>0.10972014528055546</c:v>
                </c:pt>
                <c:pt idx="52">
                  <c:v>0.10972025411248623</c:v>
                </c:pt>
                <c:pt idx="53">
                  <c:v>0.10972032371119042</c:v>
                </c:pt>
                <c:pt idx="54">
                  <c:v>0.10972036821999946</c:v>
                </c:pt>
                <c:pt idx="55">
                  <c:v>0.10972039668366278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D0-4978-982C-976A40239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Med Low Flow (</a:t>
            </a:r>
            <a:r>
              <a:rPr lang="el-GR" sz="1200" baseline="0"/>
              <a:t>τ* = 0.086</a:t>
            </a:r>
            <a:r>
              <a:rPr lang="en-US" sz="1200" baseline="0"/>
              <a:t>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SEG'!$AD$39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SEG'!$BJ$40:$BJ$45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SEG'!$BL$40:$BL$45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0.10069087208399324</c:v>
                </c:pt>
                <c:pt idx="2">
                  <c:v>0.10972044717744713</c:v>
                </c:pt>
                <c:pt idx="3">
                  <c:v>0.10050961300625309</c:v>
                </c:pt>
                <c:pt idx="4">
                  <c:v>8.788893040268185E-2</c:v>
                </c:pt>
                <c:pt idx="5">
                  <c:v>9.0415380610003052E-2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FF-42ED-931D-1BD3CA0E2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SEG'!$K$39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SEG'!$AM$4:$AM$59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SEG'!$BF$4:$BF$59</c:f>
              <c:numCache>
                <c:formatCode>0.0000</c:formatCode>
                <c:ptCount val="56"/>
                <c:pt idx="0">
                  <c:v>7.7347915454714561E-2</c:v>
                </c:pt>
                <c:pt idx="1">
                  <c:v>7.8641950364384816E-2</c:v>
                </c:pt>
                <c:pt idx="2">
                  <c:v>7.9884258508852182E-2</c:v>
                </c:pt>
                <c:pt idx="3">
                  <c:v>8.1076907574404194E-2</c:v>
                </c:pt>
                <c:pt idx="4">
                  <c:v>8.2221882595212722E-2</c:v>
                </c:pt>
                <c:pt idx="5">
                  <c:v>8.3321089257206535E-2</c:v>
                </c:pt>
                <c:pt idx="6">
                  <c:v>8.4376357069877561E-2</c:v>
                </c:pt>
                <c:pt idx="7">
                  <c:v>8.5389442411299712E-2</c:v>
                </c:pt>
                <c:pt idx="8">
                  <c:v>8.63620314514284E-2</c:v>
                </c:pt>
                <c:pt idx="9">
                  <c:v>8.7295742958546446E-2</c:v>
                </c:pt>
                <c:pt idx="10">
                  <c:v>8.8192130993527046E-2</c:v>
                </c:pt>
                <c:pt idx="11">
                  <c:v>8.9052687496398553E-2</c:v>
                </c:pt>
                <c:pt idx="12">
                  <c:v>8.9878844769515742E-2</c:v>
                </c:pt>
                <c:pt idx="13">
                  <c:v>9.0671977861470701E-2</c:v>
                </c:pt>
                <c:pt idx="14">
                  <c:v>9.1433406855711122E-2</c:v>
                </c:pt>
                <c:pt idx="15">
                  <c:v>9.2164399067675096E-2</c:v>
                </c:pt>
                <c:pt idx="16">
                  <c:v>9.2866171154099286E-2</c:v>
                </c:pt>
                <c:pt idx="17">
                  <c:v>9.3539891138011311E-2</c:v>
                </c:pt>
                <c:pt idx="18">
                  <c:v>9.4186680352776456E-2</c:v>
                </c:pt>
                <c:pt idx="19">
                  <c:v>9.4807615308434748E-2</c:v>
                </c:pt>
                <c:pt idx="20">
                  <c:v>9.7559236263010898E-2</c:v>
                </c:pt>
                <c:pt idx="21">
                  <c:v>9.980314560760134E-2</c:v>
                </c:pt>
                <c:pt idx="22">
                  <c:v>0.10163302306160403</c:v>
                </c:pt>
                <c:pt idx="23">
                  <c:v>0.10312526315799642</c:v>
                </c:pt>
                <c:pt idx="24">
                  <c:v>0.10434216459607372</c:v>
                </c:pt>
                <c:pt idx="25">
                  <c:v>0.10533453111509082</c:v>
                </c:pt>
                <c:pt idx="26">
                  <c:v>0.10614379247122994</c:v>
                </c:pt>
                <c:pt idx="27">
                  <c:v>0.10680373406537885</c:v>
                </c:pt>
                <c:pt idx="28">
                  <c:v>0.10734190743098426</c:v>
                </c:pt>
                <c:pt idx="29">
                  <c:v>0.10778078046765137</c:v>
                </c:pt>
                <c:pt idx="30">
                  <c:v>0.10813867544095004</c:v>
                </c:pt>
                <c:pt idx="31">
                  <c:v>0.10843053390845853</c:v>
                </c:pt>
                <c:pt idx="32">
                  <c:v>0.10866854050651521</c:v>
                </c:pt>
                <c:pt idx="33">
                  <c:v>0.10886263163980352</c:v>
                </c:pt>
                <c:pt idx="34">
                  <c:v>0.10902091031076781</c:v>
                </c:pt>
                <c:pt idx="35">
                  <c:v>0.10914998440734185</c:v>
                </c:pt>
                <c:pt idx="36">
                  <c:v>0.10934107916906373</c:v>
                </c:pt>
                <c:pt idx="37">
                  <c:v>0.10946816062462227</c:v>
                </c:pt>
                <c:pt idx="38">
                  <c:v>0.10955267207957453</c:v>
                </c:pt>
                <c:pt idx="39">
                  <c:v>0.10960887371801785</c:v>
                </c:pt>
                <c:pt idx="40">
                  <c:v>0.10964624881900856</c:v>
                </c:pt>
                <c:pt idx="41">
                  <c:v>0.10967110393378381</c:v>
                </c:pt>
                <c:pt idx="42">
                  <c:v>0.10968763303241137</c:v>
                </c:pt>
                <c:pt idx="43">
                  <c:v>0.10969862518046261</c:v>
                </c:pt>
                <c:pt idx="44">
                  <c:v>0.10970593515673553</c:v>
                </c:pt>
                <c:pt idx="45">
                  <c:v>0.10971079642251011</c:v>
                </c:pt>
                <c:pt idx="46">
                  <c:v>0.10971402925173537</c:v>
                </c:pt>
                <c:pt idx="47">
                  <c:v>0.1097161791413494</c:v>
                </c:pt>
                <c:pt idx="48">
                  <c:v>0.10971760885663295</c:v>
                </c:pt>
                <c:pt idx="49">
                  <c:v>0.10971855964302621</c:v>
                </c:pt>
                <c:pt idx="50">
                  <c:v>0.10971919193308843</c:v>
                </c:pt>
                <c:pt idx="51">
                  <c:v>0.10971961241735874</c:v>
                </c:pt>
                <c:pt idx="52">
                  <c:v>0.10971989204696569</c:v>
                </c:pt>
                <c:pt idx="53">
                  <c:v>0.10972007800568663</c:v>
                </c:pt>
                <c:pt idx="54">
                  <c:v>0.10972020167158264</c:v>
                </c:pt>
                <c:pt idx="55">
                  <c:v>0.10972028391162902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FF-42ED-931D-1BD3CA0E2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Low Flow (</a:t>
            </a:r>
            <a:r>
              <a:rPr lang="el-GR" sz="1200" b="0" i="0" u="none" strike="noStrike" baseline="0">
                <a:effectLst/>
              </a:rPr>
              <a:t>τ* = 0.075)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SEG'!$AD$48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SEG'!$BJ$49:$BJ$54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SEG'!$BL$49:$BL$54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8.7604318893872962E-2</c:v>
                </c:pt>
                <c:pt idx="2">
                  <c:v>8.82413343442877E-2</c:v>
                </c:pt>
                <c:pt idx="3">
                  <c:v>9.5909343224736487E-2</c:v>
                </c:pt>
                <c:pt idx="4">
                  <c:v>9.6747384868129102E-2</c:v>
                </c:pt>
                <c:pt idx="5">
                  <c:v>8.315138079069874E-2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5A-48CA-96B9-6F4207724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SEG'!$K$21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SEG'!$BD$4:$BD$59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SEG'!$BE$4:$BE$59</c:f>
              <c:numCache>
                <c:formatCode>0.0000</c:formatCode>
                <c:ptCount val="56"/>
                <c:pt idx="0">
                  <c:v>7.7239190087093262E-2</c:v>
                </c:pt>
                <c:pt idx="1">
                  <c:v>7.8432841274187093E-2</c:v>
                </c:pt>
                <c:pt idx="2">
                  <c:v>7.9582627066770883E-2</c:v>
                </c:pt>
                <c:pt idx="3">
                  <c:v>8.0690159470811137E-2</c:v>
                </c:pt>
                <c:pt idx="4">
                  <c:v>8.1756991252792649E-2</c:v>
                </c:pt>
                <c:pt idx="5">
                  <c:v>8.2784618116705566E-2</c:v>
                </c:pt>
                <c:pt idx="6">
                  <c:v>8.3774480801030643E-2</c:v>
                </c:pt>
                <c:pt idx="7">
                  <c:v>8.4727967098662385E-2</c:v>
                </c:pt>
                <c:pt idx="8">
                  <c:v>8.5646413802602295E-2</c:v>
                </c:pt>
                <c:pt idx="9">
                  <c:v>8.6531108580149993E-2</c:v>
                </c:pt>
                <c:pt idx="10">
                  <c:v>8.7383291778219768E-2</c:v>
                </c:pt>
                <c:pt idx="11">
                  <c:v>8.8204158162313792E-2</c:v>
                </c:pt>
                <c:pt idx="12">
                  <c:v>8.8994858591589815E-2</c:v>
                </c:pt>
                <c:pt idx="13">
                  <c:v>8.975650163237206E-2</c:v>
                </c:pt>
                <c:pt idx="14">
                  <c:v>9.0490155112367215E-2</c:v>
                </c:pt>
                <c:pt idx="15">
                  <c:v>9.1196847617764754E-2</c:v>
                </c:pt>
                <c:pt idx="16">
                  <c:v>9.1877569935320383E-2</c:v>
                </c:pt>
                <c:pt idx="17">
                  <c:v>9.2533276441444462E-2</c:v>
                </c:pt>
                <c:pt idx="18">
                  <c:v>9.3164886440243011E-2</c:v>
                </c:pt>
                <c:pt idx="19">
                  <c:v>9.3773285452387056E-2</c:v>
                </c:pt>
                <c:pt idx="20">
                  <c:v>9.6495896753326232E-2</c:v>
                </c:pt>
                <c:pt idx="21">
                  <c:v>9.8753684756941407E-2</c:v>
                </c:pt>
                <c:pt idx="22">
                  <c:v>0.1006260073567595</c:v>
                </c:pt>
                <c:pt idx="23">
                  <c:v>0.10217867391011899</c:v>
                </c:pt>
                <c:pt idx="24">
                  <c:v>0.10346625833929561</c:v>
                </c:pt>
                <c:pt idx="25">
                  <c:v>0.10453401732378004</c:v>
                </c:pt>
                <c:pt idx="26">
                  <c:v>0.10541948100531608</c:v>
                </c:pt>
                <c:pt idx="27">
                  <c:v>0.10615377211661771</c:v>
                </c:pt>
                <c:pt idx="28">
                  <c:v>0.10676269989917932</c:v>
                </c:pt>
                <c:pt idx="29">
                  <c:v>0.10726766725976483</c:v>
                </c:pt>
                <c:pt idx="30">
                  <c:v>0.10768642305077838</c:v>
                </c:pt>
                <c:pt idx="31">
                  <c:v>0.10803368591605358</c:v>
                </c:pt>
                <c:pt idx="32">
                  <c:v>0.1083216616293142</c:v>
                </c:pt>
                <c:pt idx="33">
                  <c:v>0.10856047210898422</c:v>
                </c:pt>
                <c:pt idx="34">
                  <c:v>0.10875851118858056</c:v>
                </c:pt>
                <c:pt idx="35">
                  <c:v>0.10892273964748887</c:v>
                </c:pt>
                <c:pt idx="36">
                  <c:v>0.10917186874619229</c:v>
                </c:pt>
                <c:pt idx="37">
                  <c:v>0.10934319325425329</c:v>
                </c:pt>
                <c:pt idx="38">
                  <c:v>0.10946101203662398</c:v>
                </c:pt>
                <c:pt idx="39">
                  <c:v>0.10954203526929754</c:v>
                </c:pt>
                <c:pt idx="40">
                  <c:v>0.10959775443478867</c:v>
                </c:pt>
                <c:pt idx="41">
                  <c:v>0.10963607215306012</c:v>
                </c:pt>
                <c:pt idx="42">
                  <c:v>0.10966242300595944</c:v>
                </c:pt>
                <c:pt idx="43">
                  <c:v>0.10968054432110673</c:v>
                </c:pt>
                <c:pt idx="44">
                  <c:v>0.10969300623510708</c:v>
                </c:pt>
                <c:pt idx="45">
                  <c:v>0.10970157621467479</c:v>
                </c:pt>
                <c:pt idx="46">
                  <c:v>0.10970746973550866</c:v>
                </c:pt>
                <c:pt idx="47">
                  <c:v>0.10971152267257166</c:v>
                </c:pt>
                <c:pt idx="48">
                  <c:v>0.10971430985179775</c:v>
                </c:pt>
                <c:pt idx="49">
                  <c:v>0.10971622657735199</c:v>
                </c:pt>
                <c:pt idx="50">
                  <c:v>0.10971754469741254</c:v>
                </c:pt>
                <c:pt idx="51">
                  <c:v>0.10971845116025496</c:v>
                </c:pt>
                <c:pt idx="52">
                  <c:v>0.10971907452902785</c:v>
                </c:pt>
                <c:pt idx="53">
                  <c:v>0.10971950321579674</c:v>
                </c:pt>
                <c:pt idx="54">
                  <c:v>0.10971979802098077</c:v>
                </c:pt>
                <c:pt idx="55">
                  <c:v>0.10972000075664429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5A-48CA-96B9-6F4207724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Testing</a:t>
            </a:r>
            <a:r>
              <a:rPr lang="en-US" baseline="0"/>
              <a:t> Equation with flume data (k=2</a:t>
            </a:r>
            <a:r>
              <a:rPr lang="el-GR" baseline="0"/>
              <a:t>τ</a:t>
            </a:r>
            <a:r>
              <a:rPr lang="en-US" baseline="0"/>
              <a:t>) </a:t>
            </a:r>
            <a:endParaRPr lang="en-US"/>
          </a:p>
        </c:rich>
      </c:tx>
      <c:layout>
        <c:manualLayout>
          <c:xMode val="edge"/>
          <c:yMode val="edge"/>
          <c:x val="0.1763585791018838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'using SEG'!$BY$2</c:f>
              <c:strCache>
                <c:ptCount val="1"/>
                <c:pt idx="0">
                  <c:v>0.108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'using SEG'!$BU$4:$BU$59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SEG'!$BY$4:$BY$59</c:f>
              <c:numCache>
                <c:formatCode>0.0000</c:formatCode>
                <c:ptCount val="56"/>
                <c:pt idx="0">
                  <c:v>8.2573058372967648E-2</c:v>
                </c:pt>
                <c:pt idx="1">
                  <c:v>8.7864843809456084E-2</c:v>
                </c:pt>
                <c:pt idx="2">
                  <c:v>9.2125112244161617E-2</c:v>
                </c:pt>
                <c:pt idx="3">
                  <c:v>9.5554935194011315E-2</c:v>
                </c:pt>
                <c:pt idx="4">
                  <c:v>9.831618971297186E-2</c:v>
                </c:pt>
                <c:pt idx="5">
                  <c:v>0.10053919848921618</c:v>
                </c:pt>
                <c:pt idx="6">
                  <c:v>0.10232888067364573</c:v>
                </c:pt>
                <c:pt idx="7">
                  <c:v>0.10376970373988471</c:v>
                </c:pt>
                <c:pt idx="8">
                  <c:v>0.10492967008824952</c:v>
                </c:pt>
                <c:pt idx="9">
                  <c:v>0.10586352654909245</c:v>
                </c:pt>
                <c:pt idx="10">
                  <c:v>0.10661534826416846</c:v>
                </c:pt>
                <c:pt idx="11">
                  <c:v>0.10722061889724802</c:v>
                </c:pt>
                <c:pt idx="12">
                  <c:v>0.10770790535349448</c:v>
                </c:pt>
                <c:pt idx="13">
                  <c:v>0.10810020604919009</c:v>
                </c:pt>
                <c:pt idx="14">
                  <c:v>0.10841603636597899</c:v>
                </c:pt>
                <c:pt idx="15">
                  <c:v>0.10867030251971625</c:v>
                </c:pt>
                <c:pt idx="16">
                  <c:v>0.10887500508783468</c:v>
                </c:pt>
                <c:pt idx="17">
                  <c:v>0.1090398053995489</c:v>
                </c:pt>
                <c:pt idx="18">
                  <c:v>0.10917248152076588</c:v>
                </c:pt>
                <c:pt idx="19">
                  <c:v>0.10927929535478159</c:v>
                </c:pt>
                <c:pt idx="20">
                  <c:v>0.10957124960185965</c:v>
                </c:pt>
                <c:pt idx="21">
                  <c:v>0.10966998854752086</c:v>
                </c:pt>
                <c:pt idx="22">
                  <c:v>0.10970338206547053</c:v>
                </c:pt>
                <c:pt idx="23">
                  <c:v>0.10971467575544856</c:v>
                </c:pt>
                <c:pt idx="24">
                  <c:v>0.10971849528214569</c:v>
                </c:pt>
                <c:pt idx="25">
                  <c:v>0.10971978704632715</c:v>
                </c:pt>
                <c:pt idx="26">
                  <c:v>0.10972022392105871</c:v>
                </c:pt>
                <c:pt idx="27">
                  <c:v>0.1097203716721218</c:v>
                </c:pt>
                <c:pt idx="28">
                  <c:v>0.10972042164154111</c:v>
                </c:pt>
                <c:pt idx="29">
                  <c:v>0.10972043854120202</c:v>
                </c:pt>
                <c:pt idx="30">
                  <c:v>0.10972044425666846</c:v>
                </c:pt>
                <c:pt idx="31">
                  <c:v>0.10972044618963958</c:v>
                </c:pt>
                <c:pt idx="32">
                  <c:v>0.10972044684337055</c:v>
                </c:pt>
                <c:pt idx="33">
                  <c:v>0.10972044706446241</c:v>
                </c:pt>
                <c:pt idx="34">
                  <c:v>0.10972044713923569</c:v>
                </c:pt>
                <c:pt idx="35">
                  <c:v>0.10972044716452402</c:v>
                </c:pt>
                <c:pt idx="36">
                  <c:v>0.10972044717596899</c:v>
                </c:pt>
                <c:pt idx="37">
                  <c:v>0.10972044717727805</c:v>
                </c:pt>
                <c:pt idx="38">
                  <c:v>0.10972044717742779</c:v>
                </c:pt>
                <c:pt idx="39">
                  <c:v>0.10972044717744492</c:v>
                </c:pt>
                <c:pt idx="40">
                  <c:v>0.10972044717744688</c:v>
                </c:pt>
                <c:pt idx="41">
                  <c:v>0.1097204471774471</c:v>
                </c:pt>
                <c:pt idx="42">
                  <c:v>0.10972044717744713</c:v>
                </c:pt>
                <c:pt idx="43">
                  <c:v>0.10972044717744713</c:v>
                </c:pt>
                <c:pt idx="44">
                  <c:v>0.10972044717744713</c:v>
                </c:pt>
                <c:pt idx="45">
                  <c:v>0.10972044717744713</c:v>
                </c:pt>
                <c:pt idx="46">
                  <c:v>0.10972044717744713</c:v>
                </c:pt>
                <c:pt idx="47">
                  <c:v>0.10972044717744713</c:v>
                </c:pt>
                <c:pt idx="48">
                  <c:v>0.10972044717744713</c:v>
                </c:pt>
                <c:pt idx="49">
                  <c:v>0.10972044717744713</c:v>
                </c:pt>
                <c:pt idx="50">
                  <c:v>0.10972044717744713</c:v>
                </c:pt>
                <c:pt idx="51">
                  <c:v>0.10972044717744713</c:v>
                </c:pt>
                <c:pt idx="52">
                  <c:v>0.10972044717744713</c:v>
                </c:pt>
                <c:pt idx="53">
                  <c:v>0.10972044717744713</c:v>
                </c:pt>
                <c:pt idx="54">
                  <c:v>0.10972044717744713</c:v>
                </c:pt>
                <c:pt idx="55">
                  <c:v>0.10972044717744713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95-40A1-B622-209186D15CD1}"/>
            </c:ext>
          </c:extLst>
        </c:ser>
        <c:ser>
          <c:idx val="2"/>
          <c:order val="1"/>
          <c:tx>
            <c:strRef>
              <c:f>'using SEG'!$BG$2</c:f>
              <c:strCache>
                <c:ptCount val="1"/>
                <c:pt idx="0">
                  <c:v>0.089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'using SEG'!$BU$4:$BU$59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SEG'!$BW$4:$BW$59</c:f>
              <c:numCache>
                <c:formatCode>0.0000</c:formatCode>
                <c:ptCount val="56"/>
                <c:pt idx="0">
                  <c:v>8.1076907574404194E-2</c:v>
                </c:pt>
                <c:pt idx="1">
                  <c:v>8.5389442411299712E-2</c:v>
                </c:pt>
                <c:pt idx="2">
                  <c:v>8.9052687496398553E-2</c:v>
                </c:pt>
                <c:pt idx="3">
                  <c:v>9.2164399067675096E-2</c:v>
                </c:pt>
                <c:pt idx="4">
                  <c:v>9.4807615308434748E-2</c:v>
                </c:pt>
                <c:pt idx="5">
                  <c:v>9.7052872278877364E-2</c:v>
                </c:pt>
                <c:pt idx="6">
                  <c:v>9.8960086219826951E-2</c:v>
                </c:pt>
                <c:pt idx="7">
                  <c:v>0.10058015245920952</c:v>
                </c:pt>
                <c:pt idx="8">
                  <c:v>0.10195630358920828</c:v>
                </c:pt>
                <c:pt idx="9">
                  <c:v>0.10312526315799642</c:v>
                </c:pt>
                <c:pt idx="10">
                  <c:v>0.10411822566311209</c:v>
                </c:pt>
                <c:pt idx="11">
                  <c:v>0.10496168899827926</c:v>
                </c:pt>
                <c:pt idx="12">
                  <c:v>0.10567816156809541</c:v>
                </c:pt>
                <c:pt idx="13">
                  <c:v>0.10628676294043274</c:v>
                </c:pt>
                <c:pt idx="14">
                  <c:v>0.10680373406537885</c:v>
                </c:pt>
                <c:pt idx="15">
                  <c:v>0.10724287067626363</c:v>
                </c:pt>
                <c:pt idx="16">
                  <c:v>0.10761589143837966</c:v>
                </c:pt>
                <c:pt idx="17">
                  <c:v>0.10793275066970009</c:v>
                </c:pt>
                <c:pt idx="18">
                  <c:v>0.10820190397876377</c:v>
                </c:pt>
                <c:pt idx="19">
                  <c:v>0.10843053390845853</c:v>
                </c:pt>
                <c:pt idx="20">
                  <c:v>0.10914998440734185</c:v>
                </c:pt>
                <c:pt idx="21">
                  <c:v>0.10946816062462227</c:v>
                </c:pt>
                <c:pt idx="22">
                  <c:v>0.10960887371801785</c:v>
                </c:pt>
                <c:pt idx="23">
                  <c:v>0.10967110393378381</c:v>
                </c:pt>
                <c:pt idx="24">
                  <c:v>0.10969862518046261</c:v>
                </c:pt>
                <c:pt idx="25">
                  <c:v>0.10971079642251011</c:v>
                </c:pt>
                <c:pt idx="26">
                  <c:v>0.1097161791413494</c:v>
                </c:pt>
                <c:pt idx="27">
                  <c:v>0.10971855964302621</c:v>
                </c:pt>
                <c:pt idx="28">
                  <c:v>0.10971961241735874</c:v>
                </c:pt>
                <c:pt idx="29">
                  <c:v>0.10972007800568663</c:v>
                </c:pt>
                <c:pt idx="30">
                  <c:v>0.10972028391162902</c:v>
                </c:pt>
                <c:pt idx="31">
                  <c:v>0.10972037497331287</c:v>
                </c:pt>
                <c:pt idx="32">
                  <c:v>0.10972041524524562</c:v>
                </c:pt>
                <c:pt idx="33">
                  <c:v>0.109720433055465</c:v>
                </c:pt>
                <c:pt idx="34">
                  <c:v>0.10972044093201556</c:v>
                </c:pt>
                <c:pt idx="35">
                  <c:v>0.10972044441541166</c:v>
                </c:pt>
                <c:pt idx="36">
                  <c:v>0.10972044663723685</c:v>
                </c:pt>
                <c:pt idx="37">
                  <c:v>0.10972044707179057</c:v>
                </c:pt>
                <c:pt idx="38">
                  <c:v>0.10972044715678238</c:v>
                </c:pt>
                <c:pt idx="39">
                  <c:v>0.10972044717340543</c:v>
                </c:pt>
                <c:pt idx="40">
                  <c:v>0.10972044717665663</c:v>
                </c:pt>
                <c:pt idx="41">
                  <c:v>0.10972044717729251</c:v>
                </c:pt>
                <c:pt idx="42">
                  <c:v>0.10972044717741689</c:v>
                </c:pt>
                <c:pt idx="43">
                  <c:v>0.10972044717744121</c:v>
                </c:pt>
                <c:pt idx="44">
                  <c:v>0.10972044717744597</c:v>
                </c:pt>
                <c:pt idx="45">
                  <c:v>0.1097204471774469</c:v>
                </c:pt>
                <c:pt idx="46">
                  <c:v>0.10972044717744708</c:v>
                </c:pt>
                <c:pt idx="47">
                  <c:v>0.10972044717744711</c:v>
                </c:pt>
                <c:pt idx="48">
                  <c:v>0.10972044717744713</c:v>
                </c:pt>
                <c:pt idx="49">
                  <c:v>0.10972044717744713</c:v>
                </c:pt>
                <c:pt idx="50">
                  <c:v>0.10972044717744713</c:v>
                </c:pt>
                <c:pt idx="51">
                  <c:v>0.10972044717744713</c:v>
                </c:pt>
                <c:pt idx="52">
                  <c:v>0.10972044717744713</c:v>
                </c:pt>
                <c:pt idx="53">
                  <c:v>0.10972044717744713</c:v>
                </c:pt>
                <c:pt idx="54">
                  <c:v>0.10972044717744713</c:v>
                </c:pt>
                <c:pt idx="55">
                  <c:v>0.10972044717744713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95-40A1-B622-209186D15CD1}"/>
            </c:ext>
          </c:extLst>
        </c:ser>
        <c:ser>
          <c:idx val="1"/>
          <c:order val="2"/>
          <c:tx>
            <c:strRef>
              <c:f>'using SEG'!$BW$2</c:f>
              <c:strCache>
                <c:ptCount val="1"/>
                <c:pt idx="0">
                  <c:v>0.082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SEG'!$BU$4:$BU$59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SEG'!$BW$4:$BW$59</c:f>
              <c:numCache>
                <c:formatCode>0.0000</c:formatCode>
                <c:ptCount val="56"/>
                <c:pt idx="0">
                  <c:v>8.1076907574404194E-2</c:v>
                </c:pt>
                <c:pt idx="1">
                  <c:v>8.5389442411299712E-2</c:v>
                </c:pt>
                <c:pt idx="2">
                  <c:v>8.9052687496398553E-2</c:v>
                </c:pt>
                <c:pt idx="3">
                  <c:v>9.2164399067675096E-2</c:v>
                </c:pt>
                <c:pt idx="4">
                  <c:v>9.4807615308434748E-2</c:v>
                </c:pt>
                <c:pt idx="5">
                  <c:v>9.7052872278877364E-2</c:v>
                </c:pt>
                <c:pt idx="6">
                  <c:v>9.8960086219826951E-2</c:v>
                </c:pt>
                <c:pt idx="7">
                  <c:v>0.10058015245920952</c:v>
                </c:pt>
                <c:pt idx="8">
                  <c:v>0.10195630358920828</c:v>
                </c:pt>
                <c:pt idx="9">
                  <c:v>0.10312526315799642</c:v>
                </c:pt>
                <c:pt idx="10">
                  <c:v>0.10411822566311209</c:v>
                </c:pt>
                <c:pt idx="11">
                  <c:v>0.10496168899827926</c:v>
                </c:pt>
                <c:pt idx="12">
                  <c:v>0.10567816156809541</c:v>
                </c:pt>
                <c:pt idx="13">
                  <c:v>0.10628676294043274</c:v>
                </c:pt>
                <c:pt idx="14">
                  <c:v>0.10680373406537885</c:v>
                </c:pt>
                <c:pt idx="15">
                  <c:v>0.10724287067626363</c:v>
                </c:pt>
                <c:pt idx="16">
                  <c:v>0.10761589143837966</c:v>
                </c:pt>
                <c:pt idx="17">
                  <c:v>0.10793275066970009</c:v>
                </c:pt>
                <c:pt idx="18">
                  <c:v>0.10820190397876377</c:v>
                </c:pt>
                <c:pt idx="19">
                  <c:v>0.10843053390845853</c:v>
                </c:pt>
                <c:pt idx="20">
                  <c:v>0.10914998440734185</c:v>
                </c:pt>
                <c:pt idx="21">
                  <c:v>0.10946816062462227</c:v>
                </c:pt>
                <c:pt idx="22">
                  <c:v>0.10960887371801785</c:v>
                </c:pt>
                <c:pt idx="23">
                  <c:v>0.10967110393378381</c:v>
                </c:pt>
                <c:pt idx="24">
                  <c:v>0.10969862518046261</c:v>
                </c:pt>
                <c:pt idx="25">
                  <c:v>0.10971079642251011</c:v>
                </c:pt>
                <c:pt idx="26">
                  <c:v>0.1097161791413494</c:v>
                </c:pt>
                <c:pt idx="27">
                  <c:v>0.10971855964302621</c:v>
                </c:pt>
                <c:pt idx="28">
                  <c:v>0.10971961241735874</c:v>
                </c:pt>
                <c:pt idx="29">
                  <c:v>0.10972007800568663</c:v>
                </c:pt>
                <c:pt idx="30">
                  <c:v>0.10972028391162902</c:v>
                </c:pt>
                <c:pt idx="31">
                  <c:v>0.10972037497331287</c:v>
                </c:pt>
                <c:pt idx="32">
                  <c:v>0.10972041524524562</c:v>
                </c:pt>
                <c:pt idx="33">
                  <c:v>0.109720433055465</c:v>
                </c:pt>
                <c:pt idx="34">
                  <c:v>0.10972044093201556</c:v>
                </c:pt>
                <c:pt idx="35">
                  <c:v>0.10972044441541166</c:v>
                </c:pt>
                <c:pt idx="36">
                  <c:v>0.10972044663723685</c:v>
                </c:pt>
                <c:pt idx="37">
                  <c:v>0.10972044707179057</c:v>
                </c:pt>
                <c:pt idx="38">
                  <c:v>0.10972044715678238</c:v>
                </c:pt>
                <c:pt idx="39">
                  <c:v>0.10972044717340543</c:v>
                </c:pt>
                <c:pt idx="40">
                  <c:v>0.10972044717665663</c:v>
                </c:pt>
                <c:pt idx="41">
                  <c:v>0.10972044717729251</c:v>
                </c:pt>
                <c:pt idx="42">
                  <c:v>0.10972044717741689</c:v>
                </c:pt>
                <c:pt idx="43">
                  <c:v>0.10972044717744121</c:v>
                </c:pt>
                <c:pt idx="44">
                  <c:v>0.10972044717744597</c:v>
                </c:pt>
                <c:pt idx="45">
                  <c:v>0.1097204471774469</c:v>
                </c:pt>
                <c:pt idx="46">
                  <c:v>0.10972044717744708</c:v>
                </c:pt>
                <c:pt idx="47">
                  <c:v>0.10972044717744711</c:v>
                </c:pt>
                <c:pt idx="48">
                  <c:v>0.10972044717744713</c:v>
                </c:pt>
                <c:pt idx="49">
                  <c:v>0.10972044717744713</c:v>
                </c:pt>
                <c:pt idx="50">
                  <c:v>0.10972044717744713</c:v>
                </c:pt>
                <c:pt idx="51">
                  <c:v>0.10972044717744713</c:v>
                </c:pt>
                <c:pt idx="52">
                  <c:v>0.10972044717744713</c:v>
                </c:pt>
                <c:pt idx="53">
                  <c:v>0.10972044717744713</c:v>
                </c:pt>
                <c:pt idx="54">
                  <c:v>0.10972044717744713</c:v>
                </c:pt>
                <c:pt idx="55">
                  <c:v>0.10972044717744713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95-40A1-B622-209186D15CD1}"/>
            </c:ext>
          </c:extLst>
        </c:ser>
        <c:ser>
          <c:idx val="0"/>
          <c:order val="3"/>
          <c:tx>
            <c:strRef>
              <c:f>'using SEG'!$BV$2</c:f>
              <c:strCache>
                <c:ptCount val="1"/>
                <c:pt idx="0">
                  <c:v>0.075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SEG'!$BU$4:$BU$59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SEG'!$BV$4:$BV$59</c:f>
              <c:numCache>
                <c:formatCode>0.0000</c:formatCode>
                <c:ptCount val="56"/>
                <c:pt idx="0">
                  <c:v>8.0690159470811137E-2</c:v>
                </c:pt>
                <c:pt idx="1">
                  <c:v>8.4727967098662385E-2</c:v>
                </c:pt>
                <c:pt idx="2">
                  <c:v>8.8204158162313792E-2</c:v>
                </c:pt>
                <c:pt idx="3">
                  <c:v>9.1196847617764754E-2</c:v>
                </c:pt>
                <c:pt idx="4">
                  <c:v>9.3773285452387056E-2</c:v>
                </c:pt>
                <c:pt idx="5">
                  <c:v>9.599136788776387E-2</c:v>
                </c:pt>
                <c:pt idx="6">
                  <c:v>9.7900938390111519E-2</c:v>
                </c:pt>
                <c:pt idx="7">
                  <c:v>9.9544907723837728E-2</c:v>
                </c:pt>
                <c:pt idx="8">
                  <c:v>0.10096021821743278</c:v>
                </c:pt>
                <c:pt idx="9">
                  <c:v>0.10217867391011899</c:v>
                </c:pt>
                <c:pt idx="10">
                  <c:v>0.10322765523383426</c:v>
                </c:pt>
                <c:pt idx="11">
                  <c:v>0.10413073429046994</c:v>
                </c:pt>
                <c:pt idx="12">
                  <c:v>0.10490820455051754</c:v>
                </c:pt>
                <c:pt idx="13">
                  <c:v>0.10557753687620598</c:v>
                </c:pt>
                <c:pt idx="14">
                  <c:v>0.10615377211661771</c:v>
                </c:pt>
                <c:pt idx="15">
                  <c:v>0.10664985909695417</c:v>
                </c:pt>
                <c:pt idx="16">
                  <c:v>0.10707694559705005</c:v>
                </c:pt>
                <c:pt idx="17">
                  <c:v>0.10744462885783718</c:v>
                </c:pt>
                <c:pt idx="18">
                  <c:v>0.10776117124499457</c:v>
                </c:pt>
                <c:pt idx="19">
                  <c:v>0.10803368591605358</c:v>
                </c:pt>
                <c:pt idx="20">
                  <c:v>0.10892273964748887</c:v>
                </c:pt>
                <c:pt idx="21">
                  <c:v>0.10934319325425329</c:v>
                </c:pt>
                <c:pt idx="22">
                  <c:v>0.10954203526929754</c:v>
                </c:pt>
                <c:pt idx="23">
                  <c:v>0.10963607215306012</c:v>
                </c:pt>
                <c:pt idx="24">
                  <c:v>0.10968054432110673</c:v>
                </c:pt>
                <c:pt idx="25">
                  <c:v>0.10970157621467479</c:v>
                </c:pt>
                <c:pt idx="26">
                  <c:v>0.10971152267257166</c:v>
                </c:pt>
                <c:pt idx="27">
                  <c:v>0.10971622657735199</c:v>
                </c:pt>
                <c:pt idx="28">
                  <c:v>0.10971845116025496</c:v>
                </c:pt>
                <c:pt idx="29">
                  <c:v>0.10971950321579674</c:v>
                </c:pt>
                <c:pt idx="30">
                  <c:v>0.10972000075664429</c:v>
                </c:pt>
                <c:pt idx="31">
                  <c:v>0.10972023605495806</c:v>
                </c:pt>
                <c:pt idx="32">
                  <c:v>0.1097203473328496</c:v>
                </c:pt>
                <c:pt idx="33">
                  <c:v>0.10972039995867995</c:v>
                </c:pt>
                <c:pt idx="34">
                  <c:v>0.10972042484662474</c:v>
                </c:pt>
                <c:pt idx="35">
                  <c:v>0.10972043661669643</c:v>
                </c:pt>
                <c:pt idx="36">
                  <c:v>0.10972044481547408</c:v>
                </c:pt>
                <c:pt idx="37">
                  <c:v>0.10972044664917818</c:v>
                </c:pt>
                <c:pt idx="38">
                  <c:v>0.10972044705929672</c:v>
                </c:pt>
                <c:pt idx="39">
                  <c:v>0.1097204471510221</c:v>
                </c:pt>
                <c:pt idx="40">
                  <c:v>0.10972044717153702</c:v>
                </c:pt>
                <c:pt idx="41">
                  <c:v>0.10972044717612529</c:v>
                </c:pt>
                <c:pt idx="42">
                  <c:v>0.10972044717715149</c:v>
                </c:pt>
                <c:pt idx="43">
                  <c:v>0.10972044717738101</c:v>
                </c:pt>
                <c:pt idx="44">
                  <c:v>0.10972044717743233</c:v>
                </c:pt>
                <c:pt idx="45">
                  <c:v>0.10972044717744382</c:v>
                </c:pt>
                <c:pt idx="46">
                  <c:v>0.10972044717744639</c:v>
                </c:pt>
                <c:pt idx="47">
                  <c:v>0.10972044717744696</c:v>
                </c:pt>
                <c:pt idx="48">
                  <c:v>0.10972044717744708</c:v>
                </c:pt>
                <c:pt idx="49">
                  <c:v>0.10972044717744711</c:v>
                </c:pt>
                <c:pt idx="50">
                  <c:v>0.10972044717744713</c:v>
                </c:pt>
                <c:pt idx="51">
                  <c:v>0.10972044717744713</c:v>
                </c:pt>
                <c:pt idx="52">
                  <c:v>0.10972044717744713</c:v>
                </c:pt>
                <c:pt idx="53">
                  <c:v>0.10972044717744713</c:v>
                </c:pt>
                <c:pt idx="54">
                  <c:v>0.10972044717744713</c:v>
                </c:pt>
                <c:pt idx="55">
                  <c:v>0.10972044717744713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95-40A1-B622-209186D15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7.0000000000000007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Measured vs Predicted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(k=2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'using SEG'!$CA$47</c:f>
              <c:strCache>
                <c:ptCount val="1"/>
                <c:pt idx="0">
                  <c:v>Low Flow (τ* = 0.075)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SEG'!$CB$49:$CB$54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0.10217867391011899</c:v>
                </c:pt>
                <c:pt idx="2">
                  <c:v>0.10934319325425329</c:v>
                </c:pt>
                <c:pt idx="3">
                  <c:v>0.10971622657735199</c:v>
                </c:pt>
                <c:pt idx="4">
                  <c:v>0.10972044664917818</c:v>
                </c:pt>
                <c:pt idx="5">
                  <c:v>0.10972044717744711</c:v>
                </c:pt>
              </c:numCache>
            </c:numRef>
          </c:xVal>
          <c:yVal>
            <c:numRef>
              <c:f>'using SEG'!$CC$49:$CC$54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8.7604318893872962E-2</c:v>
                </c:pt>
                <c:pt idx="2">
                  <c:v>8.82413343442877E-2</c:v>
                </c:pt>
                <c:pt idx="3">
                  <c:v>9.5909343224736487E-2</c:v>
                </c:pt>
                <c:pt idx="4">
                  <c:v>9.6747384868129102E-2</c:v>
                </c:pt>
                <c:pt idx="5">
                  <c:v>8.315138079069874E-2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3D-4F9F-89A2-F95F12588D8D}"/>
            </c:ext>
          </c:extLst>
        </c:ser>
        <c:ser>
          <c:idx val="1"/>
          <c:order val="1"/>
          <c:tx>
            <c:strRef>
              <c:f>'using SEG'!$CA$38</c:f>
              <c:strCache>
                <c:ptCount val="1"/>
                <c:pt idx="0">
                  <c:v>Med Low Flow (τ* = 0.086)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SEG'!$CB$40:$CB$45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0.10312526315799642</c:v>
                </c:pt>
                <c:pt idx="2">
                  <c:v>0.10946816062462227</c:v>
                </c:pt>
                <c:pt idx="3">
                  <c:v>0.10971855964302621</c:v>
                </c:pt>
                <c:pt idx="4">
                  <c:v>0.10972044707179057</c:v>
                </c:pt>
                <c:pt idx="5">
                  <c:v>0.10972044717744713</c:v>
                </c:pt>
              </c:numCache>
            </c:numRef>
          </c:xVal>
          <c:yVal>
            <c:numRef>
              <c:f>'using SEG'!$CC$40:$CC$45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0.10069087208399324</c:v>
                </c:pt>
                <c:pt idx="2">
                  <c:v>0.10972044717744713</c:v>
                </c:pt>
                <c:pt idx="3">
                  <c:v>0.10050961300625309</c:v>
                </c:pt>
                <c:pt idx="4">
                  <c:v>8.788893040268185E-2</c:v>
                </c:pt>
                <c:pt idx="5">
                  <c:v>9.0415380610003052E-2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3D-4F9F-89A2-F95F12588D8D}"/>
            </c:ext>
          </c:extLst>
        </c:ser>
        <c:ser>
          <c:idx val="2"/>
          <c:order val="2"/>
          <c:tx>
            <c:strRef>
              <c:f>'using SEG'!$CA$29</c:f>
              <c:strCache>
                <c:ptCount val="1"/>
                <c:pt idx="0">
                  <c:v>Med High Flow (τ* = 0.089)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'using SEG'!$CB$31:$CB$36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0.10408053157993313</c:v>
                </c:pt>
                <c:pt idx="2">
                  <c:v>0.10956267472964304</c:v>
                </c:pt>
                <c:pt idx="3">
                  <c:v>0.10971970898601226</c:v>
                </c:pt>
                <c:pt idx="4">
                  <c:v>0.109720447161287</c:v>
                </c:pt>
                <c:pt idx="5">
                  <c:v>0.10972044717744713</c:v>
                </c:pt>
              </c:numCache>
            </c:numRef>
          </c:xVal>
          <c:yVal>
            <c:numRef>
              <c:f>'using SEG'!$CC$31:$CC$36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9.0862480884593408E-2</c:v>
                </c:pt>
                <c:pt idx="2">
                  <c:v>8.5024416000407887E-2</c:v>
                </c:pt>
                <c:pt idx="3">
                  <c:v>0.1018424267519739</c:v>
                </c:pt>
                <c:pt idx="4">
                  <c:v>9.0161671068370017E-2</c:v>
                </c:pt>
                <c:pt idx="5">
                  <c:v>9.2516468769631724E-2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3D-4F9F-89A2-F95F12588D8D}"/>
            </c:ext>
          </c:extLst>
        </c:ser>
        <c:ser>
          <c:idx val="3"/>
          <c:order val="3"/>
          <c:tx>
            <c:strRef>
              <c:f>'using SEG'!$CA$20</c:f>
              <c:strCache>
                <c:ptCount val="1"/>
                <c:pt idx="0">
                  <c:v>High Flow: (τ* = 0.108)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'using SEG'!$CB$22:$CB$27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0.10586352654909245</c:v>
                </c:pt>
                <c:pt idx="2">
                  <c:v>0.10966998854752086</c:v>
                </c:pt>
                <c:pt idx="3">
                  <c:v>0.1097203716721218</c:v>
                </c:pt>
                <c:pt idx="4">
                  <c:v>0.10972044717727805</c:v>
                </c:pt>
                <c:pt idx="5">
                  <c:v>0.10972044717744713</c:v>
                </c:pt>
              </c:numCache>
            </c:numRef>
          </c:xVal>
          <c:yVal>
            <c:numRef>
              <c:f>'using SEG'!$CC$22:$CC$27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9.0450482570703483E-2</c:v>
                </c:pt>
                <c:pt idx="2">
                  <c:v>9.5420493988168181E-2</c:v>
                </c:pt>
                <c:pt idx="3">
                  <c:v>9.0686938018793059E-2</c:v>
                </c:pt>
                <c:pt idx="4">
                  <c:v>9.0335218374187551E-2</c:v>
                </c:pt>
                <c:pt idx="5">
                  <c:v>8.5517652359137733E-2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3D-4F9F-89A2-F95F12588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99248"/>
        <c:axId val="1496091088"/>
      </c:scatterChar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>
                    <a:lumMod val="50000"/>
                    <a:lumOff val="5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B3D-4F9F-89A2-F95F12588D8D}"/>
              </c:ext>
            </c:extLst>
          </c:dPt>
          <c:xVal>
            <c:numRef>
              <c:f>'using SEG'!$J$56:$J$57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xVal>
          <c:yVal>
            <c:numRef>
              <c:f>'using SEG'!$K$56:$K$57</c:f>
              <c:numCache>
                <c:formatCode>General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B3D-4F9F-89A2-F95F12588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099248"/>
        <c:axId val="1496091088"/>
      </c:scatterChart>
      <c:valAx>
        <c:axId val="1496099248"/>
        <c:scaling>
          <c:orientation val="minMax"/>
          <c:max val="0.13"/>
          <c:min val="7.0000000000000007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91088"/>
        <c:crosses val="autoZero"/>
        <c:crossBetween val="midCat"/>
      </c:valAx>
      <c:valAx>
        <c:axId val="1496091088"/>
        <c:scaling>
          <c:orientation val="minMax"/>
          <c:max val="0.13"/>
          <c:min val="7.0000000000000007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99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High Flow: (</a:t>
            </a:r>
            <a:r>
              <a:rPr lang="el-GR" sz="1200" baseline="0"/>
              <a:t>τ* = 0.108</a:t>
            </a:r>
            <a:r>
              <a:rPr lang="en-US" sz="1200" baseline="0"/>
              <a:t>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SEG'!$AD$21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SEG'!$CA$22:$CA$27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SEG'!$CC$22:$CC$27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9.0450482570703483E-2</c:v>
                </c:pt>
                <c:pt idx="2">
                  <c:v>9.5420493988168181E-2</c:v>
                </c:pt>
                <c:pt idx="3">
                  <c:v>9.0686938018793059E-2</c:v>
                </c:pt>
                <c:pt idx="4">
                  <c:v>9.0335218374187551E-2</c:v>
                </c:pt>
                <c:pt idx="5">
                  <c:v>8.5517652359137733E-2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9F-4C8C-B947-F96F0482D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SEG'!$K$21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'using SEG'!$V$4:$V$59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SEG'!$BY$4:$BY$59</c:f>
              <c:numCache>
                <c:formatCode>0.0000</c:formatCode>
                <c:ptCount val="56"/>
                <c:pt idx="0">
                  <c:v>8.2573058372967648E-2</c:v>
                </c:pt>
                <c:pt idx="1">
                  <c:v>8.7864843809456084E-2</c:v>
                </c:pt>
                <c:pt idx="2">
                  <c:v>9.2125112244161617E-2</c:v>
                </c:pt>
                <c:pt idx="3">
                  <c:v>9.5554935194011315E-2</c:v>
                </c:pt>
                <c:pt idx="4">
                  <c:v>9.831618971297186E-2</c:v>
                </c:pt>
                <c:pt idx="5">
                  <c:v>0.10053919848921618</c:v>
                </c:pt>
                <c:pt idx="6">
                  <c:v>0.10232888067364573</c:v>
                </c:pt>
                <c:pt idx="7">
                  <c:v>0.10376970373988471</c:v>
                </c:pt>
                <c:pt idx="8">
                  <c:v>0.10492967008824952</c:v>
                </c:pt>
                <c:pt idx="9">
                  <c:v>0.10586352654909245</c:v>
                </c:pt>
                <c:pt idx="10">
                  <c:v>0.10661534826416846</c:v>
                </c:pt>
                <c:pt idx="11">
                  <c:v>0.10722061889724802</c:v>
                </c:pt>
                <c:pt idx="12">
                  <c:v>0.10770790535349448</c:v>
                </c:pt>
                <c:pt idx="13">
                  <c:v>0.10810020604919009</c:v>
                </c:pt>
                <c:pt idx="14">
                  <c:v>0.10841603636597899</c:v>
                </c:pt>
                <c:pt idx="15">
                  <c:v>0.10867030251971625</c:v>
                </c:pt>
                <c:pt idx="16">
                  <c:v>0.10887500508783468</c:v>
                </c:pt>
                <c:pt idx="17">
                  <c:v>0.1090398053995489</c:v>
                </c:pt>
                <c:pt idx="18">
                  <c:v>0.10917248152076588</c:v>
                </c:pt>
                <c:pt idx="19">
                  <c:v>0.10927929535478159</c:v>
                </c:pt>
                <c:pt idx="20">
                  <c:v>0.10957124960185965</c:v>
                </c:pt>
                <c:pt idx="21">
                  <c:v>0.10966998854752086</c:v>
                </c:pt>
                <c:pt idx="22">
                  <c:v>0.10970338206547053</c:v>
                </c:pt>
                <c:pt idx="23">
                  <c:v>0.10971467575544856</c:v>
                </c:pt>
                <c:pt idx="24">
                  <c:v>0.10971849528214569</c:v>
                </c:pt>
                <c:pt idx="25">
                  <c:v>0.10971978704632715</c:v>
                </c:pt>
                <c:pt idx="26">
                  <c:v>0.10972022392105871</c:v>
                </c:pt>
                <c:pt idx="27">
                  <c:v>0.1097203716721218</c:v>
                </c:pt>
                <c:pt idx="28">
                  <c:v>0.10972042164154111</c:v>
                </c:pt>
                <c:pt idx="29">
                  <c:v>0.10972043854120202</c:v>
                </c:pt>
                <c:pt idx="30">
                  <c:v>0.10972044425666846</c:v>
                </c:pt>
                <c:pt idx="31">
                  <c:v>0.10972044618963958</c:v>
                </c:pt>
                <c:pt idx="32">
                  <c:v>0.10972044684337055</c:v>
                </c:pt>
                <c:pt idx="33">
                  <c:v>0.10972044706446241</c:v>
                </c:pt>
                <c:pt idx="34">
                  <c:v>0.10972044713923569</c:v>
                </c:pt>
                <c:pt idx="35">
                  <c:v>0.10972044716452402</c:v>
                </c:pt>
                <c:pt idx="36">
                  <c:v>0.10972044717596899</c:v>
                </c:pt>
                <c:pt idx="37">
                  <c:v>0.10972044717727805</c:v>
                </c:pt>
                <c:pt idx="38">
                  <c:v>0.10972044717742779</c:v>
                </c:pt>
                <c:pt idx="39">
                  <c:v>0.10972044717744492</c:v>
                </c:pt>
                <c:pt idx="40">
                  <c:v>0.10972044717744688</c:v>
                </c:pt>
                <c:pt idx="41">
                  <c:v>0.1097204471774471</c:v>
                </c:pt>
                <c:pt idx="42">
                  <c:v>0.10972044717744713</c:v>
                </c:pt>
                <c:pt idx="43">
                  <c:v>0.10972044717744713</c:v>
                </c:pt>
                <c:pt idx="44">
                  <c:v>0.10972044717744713</c:v>
                </c:pt>
                <c:pt idx="45">
                  <c:v>0.10972044717744713</c:v>
                </c:pt>
                <c:pt idx="46">
                  <c:v>0.10972044717744713</c:v>
                </c:pt>
                <c:pt idx="47">
                  <c:v>0.10972044717744713</c:v>
                </c:pt>
                <c:pt idx="48">
                  <c:v>0.10972044717744713</c:v>
                </c:pt>
                <c:pt idx="49">
                  <c:v>0.10972044717744713</c:v>
                </c:pt>
                <c:pt idx="50">
                  <c:v>0.10972044717744713</c:v>
                </c:pt>
                <c:pt idx="51">
                  <c:v>0.10972044717744713</c:v>
                </c:pt>
                <c:pt idx="52">
                  <c:v>0.10972044717744713</c:v>
                </c:pt>
                <c:pt idx="53">
                  <c:v>0.10972044717744713</c:v>
                </c:pt>
                <c:pt idx="54">
                  <c:v>0.10972044717744713</c:v>
                </c:pt>
                <c:pt idx="55">
                  <c:v>0.10972044717744713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9F-4C8C-B947-F96F0482D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Med High Flow (</a:t>
            </a:r>
            <a:r>
              <a:rPr lang="el-GR" sz="1200" baseline="0"/>
              <a:t>τ* = 0.089)</a:t>
            </a:r>
            <a:endParaRPr lang="en-US" sz="1200"/>
          </a:p>
        </c:rich>
      </c:tx>
      <c:layout>
        <c:manualLayout>
          <c:xMode val="edge"/>
          <c:yMode val="edge"/>
          <c:x val="0.31548891171212295"/>
          <c:y val="5.213101786934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SEG'!$AD$30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'using SEG'!$CA$31:$CA$36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SEG'!$CC$31:$CC$36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9.0862480884593408E-2</c:v>
                </c:pt>
                <c:pt idx="2">
                  <c:v>8.5024416000407887E-2</c:v>
                </c:pt>
                <c:pt idx="3">
                  <c:v>0.1018424267519739</c:v>
                </c:pt>
                <c:pt idx="4">
                  <c:v>9.0161671068370017E-2</c:v>
                </c:pt>
                <c:pt idx="5">
                  <c:v>9.2516468769631724E-2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48-4F9B-BF91-E2904DADC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SEG'!$K$30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SEG'!$AM$4:$AM$59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SEG'!$BX$4:$BX$59</c:f>
              <c:numCache>
                <c:formatCode>0.0000</c:formatCode>
                <c:ptCount val="56"/>
                <c:pt idx="0">
                  <c:v>8.1521606535138236E-2</c:v>
                </c:pt>
                <c:pt idx="1">
                  <c:v>8.6139069107758898E-2</c:v>
                </c:pt>
                <c:pt idx="2">
                  <c:v>9.0000438162919028E-2</c:v>
                </c:pt>
                <c:pt idx="3">
                  <c:v>9.3229521397628579E-2</c:v>
                </c:pt>
                <c:pt idx="4">
                  <c:v>9.5929853426950706E-2</c:v>
                </c:pt>
                <c:pt idx="5">
                  <c:v>9.8188015431015283E-2</c:v>
                </c:pt>
                <c:pt idx="6">
                  <c:v>0.10007641122132148</c:v>
                </c:pt>
                <c:pt idx="7">
                  <c:v>0.1016555887357901</c:v>
                </c:pt>
                <c:pt idx="8">
                  <c:v>0.10297618139703456</c:v>
                </c:pt>
                <c:pt idx="9">
                  <c:v>0.10408053157993313</c:v>
                </c:pt>
                <c:pt idx="10">
                  <c:v>0.10500404824200424</c:v>
                </c:pt>
                <c:pt idx="11">
                  <c:v>0.10577634224650599</c:v>
                </c:pt>
                <c:pt idx="12">
                  <c:v>0.10642217578030684</c:v>
                </c:pt>
                <c:pt idx="13">
                  <c:v>0.10696225630786549</c:v>
                </c:pt>
                <c:pt idx="14">
                  <c:v>0.10741390051799407</c:v>
                </c:pt>
                <c:pt idx="15">
                  <c:v>0.1077915895516364</c:v>
                </c:pt>
                <c:pt idx="16">
                  <c:v>0.10810743331301899</c:v>
                </c:pt>
                <c:pt idx="17">
                  <c:v>0.10837155875145776</c:v>
                </c:pt>
                <c:pt idx="18">
                  <c:v>0.10859243456336268</c:v>
                </c:pt>
                <c:pt idx="19">
                  <c:v>0.10877714272541258</c:v>
                </c:pt>
                <c:pt idx="20">
                  <c:v>0.10933466556510411</c:v>
                </c:pt>
                <c:pt idx="21">
                  <c:v>0.10956267472964304</c:v>
                </c:pt>
                <c:pt idx="22">
                  <c:v>0.10965592324864992</c:v>
                </c:pt>
                <c:pt idx="23">
                  <c:v>0.10969405893637352</c:v>
                </c:pt>
                <c:pt idx="24">
                  <c:v>0.10970965522351718</c:v>
                </c:pt>
                <c:pt idx="25">
                  <c:v>0.10971603361046094</c:v>
                </c:pt>
                <c:pt idx="26">
                  <c:v>0.10971864216848692</c:v>
                </c:pt>
                <c:pt idx="27">
                  <c:v>0.10971970898601226</c:v>
                </c:pt>
                <c:pt idx="28">
                  <c:v>0.10972014528055546</c:v>
                </c:pt>
                <c:pt idx="29">
                  <c:v>0.10972032371119042</c:v>
                </c:pt>
                <c:pt idx="30">
                  <c:v>0.10972039668366278</c:v>
                </c:pt>
                <c:pt idx="31">
                  <c:v>0.10972042652709028</c:v>
                </c:pt>
                <c:pt idx="32">
                  <c:v>0.10972043873210592</c:v>
                </c:pt>
                <c:pt idx="33">
                  <c:v>0.10972044372357034</c:v>
                </c:pt>
                <c:pt idx="34">
                  <c:v>0.10972044576492103</c:v>
                </c:pt>
                <c:pt idx="35">
                  <c:v>0.10972044659976873</c:v>
                </c:pt>
                <c:pt idx="36">
                  <c:v>0.10972044708082748</c:v>
                </c:pt>
                <c:pt idx="37">
                  <c:v>0.109720447161287</c:v>
                </c:pt>
                <c:pt idx="38">
                  <c:v>0.10972044717474426</c:v>
                </c:pt>
                <c:pt idx="39">
                  <c:v>0.10972044717699506</c:v>
                </c:pt>
                <c:pt idx="40">
                  <c:v>0.10972044717737152</c:v>
                </c:pt>
                <c:pt idx="41">
                  <c:v>0.10972044717743448</c:v>
                </c:pt>
                <c:pt idx="42">
                  <c:v>0.10972044717744502</c:v>
                </c:pt>
                <c:pt idx="43">
                  <c:v>0.10972044717744678</c:v>
                </c:pt>
                <c:pt idx="44">
                  <c:v>0.10972044717744707</c:v>
                </c:pt>
                <c:pt idx="45">
                  <c:v>0.10972044717744711</c:v>
                </c:pt>
                <c:pt idx="46">
                  <c:v>0.10972044717744713</c:v>
                </c:pt>
                <c:pt idx="47">
                  <c:v>0.10972044717744713</c:v>
                </c:pt>
                <c:pt idx="48">
                  <c:v>0.10972044717744713</c:v>
                </c:pt>
                <c:pt idx="49">
                  <c:v>0.10972044717744713</c:v>
                </c:pt>
                <c:pt idx="50">
                  <c:v>0.10972044717744713</c:v>
                </c:pt>
                <c:pt idx="51">
                  <c:v>0.10972044717744713</c:v>
                </c:pt>
                <c:pt idx="52">
                  <c:v>0.10972044717744713</c:v>
                </c:pt>
                <c:pt idx="53">
                  <c:v>0.10972044717744713</c:v>
                </c:pt>
                <c:pt idx="54">
                  <c:v>0.10972044717744713</c:v>
                </c:pt>
                <c:pt idx="55">
                  <c:v>0.10972044717744713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48-4F9B-BF91-E2904DADC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Med Low Flow (</a:t>
            </a:r>
            <a:r>
              <a:rPr lang="el-GR" sz="1200" baseline="0"/>
              <a:t>τ* = 0.086</a:t>
            </a:r>
            <a:r>
              <a:rPr lang="en-US" sz="1200" baseline="0"/>
              <a:t>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SEG'!$AD$39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'using SEG'!$CA$40:$CA$45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SEG'!$CC$40:$CC$45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0.10069087208399324</c:v>
                </c:pt>
                <c:pt idx="2">
                  <c:v>0.10972044717744713</c:v>
                </c:pt>
                <c:pt idx="3">
                  <c:v>0.10050961300625309</c:v>
                </c:pt>
                <c:pt idx="4">
                  <c:v>8.788893040268185E-2</c:v>
                </c:pt>
                <c:pt idx="5">
                  <c:v>9.0415380610003052E-2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66-4861-A49D-73A4277AD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SEG'!$K$39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SEG'!$AM$4:$AM$59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SEG'!$BW$4:$BW$59</c:f>
              <c:numCache>
                <c:formatCode>0.0000</c:formatCode>
                <c:ptCount val="56"/>
                <c:pt idx="0">
                  <c:v>8.1076907574404194E-2</c:v>
                </c:pt>
                <c:pt idx="1">
                  <c:v>8.5389442411299712E-2</c:v>
                </c:pt>
                <c:pt idx="2">
                  <c:v>8.9052687496398553E-2</c:v>
                </c:pt>
                <c:pt idx="3">
                  <c:v>9.2164399067675096E-2</c:v>
                </c:pt>
                <c:pt idx="4">
                  <c:v>9.4807615308434748E-2</c:v>
                </c:pt>
                <c:pt idx="5">
                  <c:v>9.7052872278877364E-2</c:v>
                </c:pt>
                <c:pt idx="6">
                  <c:v>9.8960086219826951E-2</c:v>
                </c:pt>
                <c:pt idx="7">
                  <c:v>0.10058015245920952</c:v>
                </c:pt>
                <c:pt idx="8">
                  <c:v>0.10195630358920828</c:v>
                </c:pt>
                <c:pt idx="9">
                  <c:v>0.10312526315799642</c:v>
                </c:pt>
                <c:pt idx="10">
                  <c:v>0.10411822566311209</c:v>
                </c:pt>
                <c:pt idx="11">
                  <c:v>0.10496168899827926</c:v>
                </c:pt>
                <c:pt idx="12">
                  <c:v>0.10567816156809541</c:v>
                </c:pt>
                <c:pt idx="13">
                  <c:v>0.10628676294043274</c:v>
                </c:pt>
                <c:pt idx="14">
                  <c:v>0.10680373406537885</c:v>
                </c:pt>
                <c:pt idx="15">
                  <c:v>0.10724287067626363</c:v>
                </c:pt>
                <c:pt idx="16">
                  <c:v>0.10761589143837966</c:v>
                </c:pt>
                <c:pt idx="17">
                  <c:v>0.10793275066970009</c:v>
                </c:pt>
                <c:pt idx="18">
                  <c:v>0.10820190397876377</c:v>
                </c:pt>
                <c:pt idx="19">
                  <c:v>0.10843053390845853</c:v>
                </c:pt>
                <c:pt idx="20">
                  <c:v>0.10914998440734185</c:v>
                </c:pt>
                <c:pt idx="21">
                  <c:v>0.10946816062462227</c:v>
                </c:pt>
                <c:pt idx="22">
                  <c:v>0.10960887371801785</c:v>
                </c:pt>
                <c:pt idx="23">
                  <c:v>0.10967110393378381</c:v>
                </c:pt>
                <c:pt idx="24">
                  <c:v>0.10969862518046261</c:v>
                </c:pt>
                <c:pt idx="25">
                  <c:v>0.10971079642251011</c:v>
                </c:pt>
                <c:pt idx="26">
                  <c:v>0.1097161791413494</c:v>
                </c:pt>
                <c:pt idx="27">
                  <c:v>0.10971855964302621</c:v>
                </c:pt>
                <c:pt idx="28">
                  <c:v>0.10971961241735874</c:v>
                </c:pt>
                <c:pt idx="29">
                  <c:v>0.10972007800568663</c:v>
                </c:pt>
                <c:pt idx="30">
                  <c:v>0.10972028391162902</c:v>
                </c:pt>
                <c:pt idx="31">
                  <c:v>0.10972037497331287</c:v>
                </c:pt>
                <c:pt idx="32">
                  <c:v>0.10972041524524562</c:v>
                </c:pt>
                <c:pt idx="33">
                  <c:v>0.109720433055465</c:v>
                </c:pt>
                <c:pt idx="34">
                  <c:v>0.10972044093201556</c:v>
                </c:pt>
                <c:pt idx="35">
                  <c:v>0.10972044441541166</c:v>
                </c:pt>
                <c:pt idx="36">
                  <c:v>0.10972044663723685</c:v>
                </c:pt>
                <c:pt idx="37">
                  <c:v>0.10972044707179057</c:v>
                </c:pt>
                <c:pt idx="38">
                  <c:v>0.10972044715678238</c:v>
                </c:pt>
                <c:pt idx="39">
                  <c:v>0.10972044717340543</c:v>
                </c:pt>
                <c:pt idx="40">
                  <c:v>0.10972044717665663</c:v>
                </c:pt>
                <c:pt idx="41">
                  <c:v>0.10972044717729251</c:v>
                </c:pt>
                <c:pt idx="42">
                  <c:v>0.10972044717741689</c:v>
                </c:pt>
                <c:pt idx="43">
                  <c:v>0.10972044717744121</c:v>
                </c:pt>
                <c:pt idx="44">
                  <c:v>0.10972044717744597</c:v>
                </c:pt>
                <c:pt idx="45">
                  <c:v>0.1097204471774469</c:v>
                </c:pt>
                <c:pt idx="46">
                  <c:v>0.10972044717744708</c:v>
                </c:pt>
                <c:pt idx="47">
                  <c:v>0.10972044717744711</c:v>
                </c:pt>
                <c:pt idx="48">
                  <c:v>0.10972044717744713</c:v>
                </c:pt>
                <c:pt idx="49">
                  <c:v>0.10972044717744713</c:v>
                </c:pt>
                <c:pt idx="50">
                  <c:v>0.10972044717744713</c:v>
                </c:pt>
                <c:pt idx="51">
                  <c:v>0.10972044717744713</c:v>
                </c:pt>
                <c:pt idx="52">
                  <c:v>0.10972044717744713</c:v>
                </c:pt>
                <c:pt idx="53">
                  <c:v>0.10972044717744713</c:v>
                </c:pt>
                <c:pt idx="54">
                  <c:v>0.10972044717744713</c:v>
                </c:pt>
                <c:pt idx="55">
                  <c:v>0.10972044717744713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66-4861-A49D-73A4277AD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>
                <a:effectLst/>
              </a:rPr>
              <a:t>Low Flow (</a:t>
            </a:r>
            <a:r>
              <a:rPr lang="el-GR" sz="1200" b="0" i="0" u="none" strike="noStrike" baseline="0">
                <a:effectLst/>
              </a:rPr>
              <a:t>τ* = 0.075) </a:t>
            </a:r>
            <a:endParaRPr lang="en-US" sz="1200"/>
          </a:p>
        </c:rich>
      </c:tx>
      <c:layout>
        <c:manualLayout>
          <c:xMode val="edge"/>
          <c:yMode val="edge"/>
          <c:x val="0.35027152040777509"/>
          <c:y val="4.6042737808458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4913251658241"/>
          <c:y val="0.21095890410958903"/>
          <c:w val="0.66006758739822058"/>
          <c:h val="0.49559558479847549"/>
        </c:manualLayout>
      </c:layout>
      <c:scatterChart>
        <c:scatterStyle val="lineMarker"/>
        <c:varyColors val="0"/>
        <c:ser>
          <c:idx val="0"/>
          <c:order val="1"/>
          <c:tx>
            <c:strRef>
              <c:f>'using SEG'!$AD$48</c:f>
              <c:strCache>
                <c:ptCount val="1"/>
                <c:pt idx="0">
                  <c:v>Measured τ*c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'using SEG'!$CA$49:$CA$54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120</c:v>
                </c:pt>
                <c:pt idx="5">
                  <c:v>240</c:v>
                </c:pt>
              </c:numCache>
            </c:numRef>
          </c:xVal>
          <c:yVal>
            <c:numRef>
              <c:f>'using SEG'!$CC$49:$CC$54</c:f>
              <c:numCache>
                <c:formatCode>0.0000</c:formatCode>
                <c:ptCount val="6"/>
                <c:pt idx="0">
                  <c:v>7.5999999999999998E-2</c:v>
                </c:pt>
                <c:pt idx="1">
                  <c:v>8.7604318893872962E-2</c:v>
                </c:pt>
                <c:pt idx="2">
                  <c:v>8.82413343442877E-2</c:v>
                </c:pt>
                <c:pt idx="3">
                  <c:v>9.5909343224736487E-2</c:v>
                </c:pt>
                <c:pt idx="4">
                  <c:v>9.6747384868129102E-2</c:v>
                </c:pt>
                <c:pt idx="5">
                  <c:v>8.315138079069874E-2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BB-4340-B65C-4EF227240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scatterChart>
        <c:scatterStyle val="smoothMarker"/>
        <c:varyColors val="0"/>
        <c:ser>
          <c:idx val="3"/>
          <c:order val="0"/>
          <c:tx>
            <c:strRef>
              <c:f>'using SEG'!$K$21</c:f>
              <c:strCache>
                <c:ptCount val="1"/>
                <c:pt idx="0">
                  <c:v>Predicted τ*c 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'using SEG'!$BU$4:$BU$59</c:f>
              <c:numCache>
                <c:formatCode>General</c:formatCod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85</c:v>
                </c:pt>
                <c:pt idx="33">
                  <c:v>90</c:v>
                </c:pt>
                <c:pt idx="34">
                  <c:v>95</c:v>
                </c:pt>
                <c:pt idx="35">
                  <c:v>100</c:v>
                </c:pt>
                <c:pt idx="36">
                  <c:v>110</c:v>
                </c:pt>
                <c:pt idx="37">
                  <c:v>120</c:v>
                </c:pt>
                <c:pt idx="38">
                  <c:v>130</c:v>
                </c:pt>
                <c:pt idx="39">
                  <c:v>140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</c:numCache>
            </c:numRef>
          </c:xVal>
          <c:yVal>
            <c:numRef>
              <c:f>'using SEG'!$BV$4:$BV$59</c:f>
              <c:numCache>
                <c:formatCode>0.0000</c:formatCode>
                <c:ptCount val="56"/>
                <c:pt idx="0">
                  <c:v>8.0690159470811137E-2</c:v>
                </c:pt>
                <c:pt idx="1">
                  <c:v>8.4727967098662385E-2</c:v>
                </c:pt>
                <c:pt idx="2">
                  <c:v>8.8204158162313792E-2</c:v>
                </c:pt>
                <c:pt idx="3">
                  <c:v>9.1196847617764754E-2</c:v>
                </c:pt>
                <c:pt idx="4">
                  <c:v>9.3773285452387056E-2</c:v>
                </c:pt>
                <c:pt idx="5">
                  <c:v>9.599136788776387E-2</c:v>
                </c:pt>
                <c:pt idx="6">
                  <c:v>9.7900938390111519E-2</c:v>
                </c:pt>
                <c:pt idx="7">
                  <c:v>9.9544907723837728E-2</c:v>
                </c:pt>
                <c:pt idx="8">
                  <c:v>0.10096021821743278</c:v>
                </c:pt>
                <c:pt idx="9">
                  <c:v>0.10217867391011899</c:v>
                </c:pt>
                <c:pt idx="10">
                  <c:v>0.10322765523383426</c:v>
                </c:pt>
                <c:pt idx="11">
                  <c:v>0.10413073429046994</c:v>
                </c:pt>
                <c:pt idx="12">
                  <c:v>0.10490820455051754</c:v>
                </c:pt>
                <c:pt idx="13">
                  <c:v>0.10557753687620598</c:v>
                </c:pt>
                <c:pt idx="14">
                  <c:v>0.10615377211661771</c:v>
                </c:pt>
                <c:pt idx="15">
                  <c:v>0.10664985909695417</c:v>
                </c:pt>
                <c:pt idx="16">
                  <c:v>0.10707694559705005</c:v>
                </c:pt>
                <c:pt idx="17">
                  <c:v>0.10744462885783718</c:v>
                </c:pt>
                <c:pt idx="18">
                  <c:v>0.10776117124499457</c:v>
                </c:pt>
                <c:pt idx="19">
                  <c:v>0.10803368591605358</c:v>
                </c:pt>
                <c:pt idx="20">
                  <c:v>0.10892273964748887</c:v>
                </c:pt>
                <c:pt idx="21">
                  <c:v>0.10934319325425329</c:v>
                </c:pt>
                <c:pt idx="22">
                  <c:v>0.10954203526929754</c:v>
                </c:pt>
                <c:pt idx="23">
                  <c:v>0.10963607215306012</c:v>
                </c:pt>
                <c:pt idx="24">
                  <c:v>0.10968054432110673</c:v>
                </c:pt>
                <c:pt idx="25">
                  <c:v>0.10970157621467479</c:v>
                </c:pt>
                <c:pt idx="26">
                  <c:v>0.10971152267257166</c:v>
                </c:pt>
                <c:pt idx="27">
                  <c:v>0.10971622657735199</c:v>
                </c:pt>
                <c:pt idx="28">
                  <c:v>0.10971845116025496</c:v>
                </c:pt>
                <c:pt idx="29">
                  <c:v>0.10971950321579674</c:v>
                </c:pt>
                <c:pt idx="30">
                  <c:v>0.10972000075664429</c:v>
                </c:pt>
                <c:pt idx="31">
                  <c:v>0.10972023605495806</c:v>
                </c:pt>
                <c:pt idx="32">
                  <c:v>0.1097203473328496</c:v>
                </c:pt>
                <c:pt idx="33">
                  <c:v>0.10972039995867995</c:v>
                </c:pt>
                <c:pt idx="34">
                  <c:v>0.10972042484662474</c:v>
                </c:pt>
                <c:pt idx="35">
                  <c:v>0.10972043661669643</c:v>
                </c:pt>
                <c:pt idx="36">
                  <c:v>0.10972044481547408</c:v>
                </c:pt>
                <c:pt idx="37">
                  <c:v>0.10972044664917818</c:v>
                </c:pt>
                <c:pt idx="38">
                  <c:v>0.10972044705929672</c:v>
                </c:pt>
                <c:pt idx="39">
                  <c:v>0.1097204471510221</c:v>
                </c:pt>
                <c:pt idx="40">
                  <c:v>0.10972044717153702</c:v>
                </c:pt>
                <c:pt idx="41">
                  <c:v>0.10972044717612529</c:v>
                </c:pt>
                <c:pt idx="42">
                  <c:v>0.10972044717715149</c:v>
                </c:pt>
                <c:pt idx="43">
                  <c:v>0.10972044717738101</c:v>
                </c:pt>
                <c:pt idx="44">
                  <c:v>0.10972044717743233</c:v>
                </c:pt>
                <c:pt idx="45">
                  <c:v>0.10972044717744382</c:v>
                </c:pt>
                <c:pt idx="46">
                  <c:v>0.10972044717744639</c:v>
                </c:pt>
                <c:pt idx="47">
                  <c:v>0.10972044717744696</c:v>
                </c:pt>
                <c:pt idx="48">
                  <c:v>0.10972044717744708</c:v>
                </c:pt>
                <c:pt idx="49">
                  <c:v>0.10972044717744711</c:v>
                </c:pt>
                <c:pt idx="50">
                  <c:v>0.10972044717744713</c:v>
                </c:pt>
                <c:pt idx="51">
                  <c:v>0.10972044717744713</c:v>
                </c:pt>
                <c:pt idx="52">
                  <c:v>0.10972044717744713</c:v>
                </c:pt>
                <c:pt idx="53">
                  <c:v>0.10972044717744713</c:v>
                </c:pt>
                <c:pt idx="54">
                  <c:v>0.10972044717744713</c:v>
                </c:pt>
                <c:pt idx="55">
                  <c:v>0.10972044717744713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BB-4340-B65C-4EF227240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74400"/>
        <c:axId val="1527781120"/>
      </c:scatterChart>
      <c:valAx>
        <c:axId val="1527774400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(mins)</a:t>
                </a:r>
              </a:p>
            </c:rich>
          </c:tx>
          <c:layout>
            <c:manualLayout>
              <c:xMode val="edge"/>
              <c:yMode val="edge"/>
              <c:x val="0.48431342796685123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81120"/>
        <c:crosses val="autoZero"/>
        <c:crossBetween val="midCat"/>
      </c:valAx>
      <c:valAx>
        <c:axId val="1527781120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Dimensionless Critical</a:t>
                </a:r>
                <a:r>
                  <a:rPr lang="en-US" baseline="0"/>
                  <a:t> Shear Stress (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*c)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108110234942488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18" Type="http://schemas.openxmlformats.org/officeDocument/2006/relationships/chart" Target="../charts/chart17.xml"/><Relationship Id="rId26" Type="http://schemas.openxmlformats.org/officeDocument/2006/relationships/chart" Target="../charts/chart25.xml"/><Relationship Id="rId3" Type="http://schemas.openxmlformats.org/officeDocument/2006/relationships/chart" Target="../charts/chart2.xml"/><Relationship Id="rId21" Type="http://schemas.openxmlformats.org/officeDocument/2006/relationships/chart" Target="../charts/chart20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17" Type="http://schemas.openxmlformats.org/officeDocument/2006/relationships/chart" Target="../charts/chart16.xml"/><Relationship Id="rId25" Type="http://schemas.openxmlformats.org/officeDocument/2006/relationships/chart" Target="../charts/chart24.xml"/><Relationship Id="rId2" Type="http://schemas.openxmlformats.org/officeDocument/2006/relationships/chart" Target="../charts/chart1.xml"/><Relationship Id="rId16" Type="http://schemas.openxmlformats.org/officeDocument/2006/relationships/chart" Target="../charts/chart15.xml"/><Relationship Id="rId20" Type="http://schemas.openxmlformats.org/officeDocument/2006/relationships/chart" Target="../charts/chart19.xml"/><Relationship Id="rId29" Type="http://schemas.openxmlformats.org/officeDocument/2006/relationships/chart" Target="../charts/chart28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24" Type="http://schemas.openxmlformats.org/officeDocument/2006/relationships/chart" Target="../charts/chart23.xml"/><Relationship Id="rId5" Type="http://schemas.openxmlformats.org/officeDocument/2006/relationships/chart" Target="../charts/chart4.xml"/><Relationship Id="rId15" Type="http://schemas.openxmlformats.org/officeDocument/2006/relationships/chart" Target="../charts/chart14.xml"/><Relationship Id="rId23" Type="http://schemas.openxmlformats.org/officeDocument/2006/relationships/chart" Target="../charts/chart22.xml"/><Relationship Id="rId28" Type="http://schemas.openxmlformats.org/officeDocument/2006/relationships/chart" Target="../charts/chart27.xml"/><Relationship Id="rId10" Type="http://schemas.openxmlformats.org/officeDocument/2006/relationships/chart" Target="../charts/chart9.xml"/><Relationship Id="rId19" Type="http://schemas.openxmlformats.org/officeDocument/2006/relationships/chart" Target="../charts/chart18.xml"/><Relationship Id="rId31" Type="http://schemas.openxmlformats.org/officeDocument/2006/relationships/chart" Target="../charts/chart30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14" Type="http://schemas.openxmlformats.org/officeDocument/2006/relationships/chart" Target="../charts/chart13.xml"/><Relationship Id="rId22" Type="http://schemas.openxmlformats.org/officeDocument/2006/relationships/chart" Target="../charts/chart21.xml"/><Relationship Id="rId27" Type="http://schemas.openxmlformats.org/officeDocument/2006/relationships/chart" Target="../charts/chart26.xml"/><Relationship Id="rId30" Type="http://schemas.openxmlformats.org/officeDocument/2006/relationships/chart" Target="../charts/chart2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7.xml"/><Relationship Id="rId13" Type="http://schemas.openxmlformats.org/officeDocument/2006/relationships/chart" Target="../charts/chart42.xml"/><Relationship Id="rId18" Type="http://schemas.openxmlformats.org/officeDocument/2006/relationships/chart" Target="../charts/chart47.xml"/><Relationship Id="rId26" Type="http://schemas.openxmlformats.org/officeDocument/2006/relationships/chart" Target="../charts/chart55.xml"/><Relationship Id="rId3" Type="http://schemas.openxmlformats.org/officeDocument/2006/relationships/chart" Target="../charts/chart32.xml"/><Relationship Id="rId21" Type="http://schemas.openxmlformats.org/officeDocument/2006/relationships/chart" Target="../charts/chart50.xml"/><Relationship Id="rId7" Type="http://schemas.openxmlformats.org/officeDocument/2006/relationships/chart" Target="../charts/chart36.xml"/><Relationship Id="rId12" Type="http://schemas.openxmlformats.org/officeDocument/2006/relationships/chart" Target="../charts/chart41.xml"/><Relationship Id="rId17" Type="http://schemas.openxmlformats.org/officeDocument/2006/relationships/chart" Target="../charts/chart46.xml"/><Relationship Id="rId25" Type="http://schemas.openxmlformats.org/officeDocument/2006/relationships/chart" Target="../charts/chart54.xml"/><Relationship Id="rId2" Type="http://schemas.openxmlformats.org/officeDocument/2006/relationships/chart" Target="../charts/chart31.xml"/><Relationship Id="rId16" Type="http://schemas.openxmlformats.org/officeDocument/2006/relationships/chart" Target="../charts/chart45.xml"/><Relationship Id="rId20" Type="http://schemas.openxmlformats.org/officeDocument/2006/relationships/chart" Target="../charts/chart49.xml"/><Relationship Id="rId29" Type="http://schemas.openxmlformats.org/officeDocument/2006/relationships/chart" Target="../charts/chart58.xml"/><Relationship Id="rId1" Type="http://schemas.openxmlformats.org/officeDocument/2006/relationships/image" Target="../media/image1.png"/><Relationship Id="rId6" Type="http://schemas.openxmlformats.org/officeDocument/2006/relationships/chart" Target="../charts/chart35.xml"/><Relationship Id="rId11" Type="http://schemas.openxmlformats.org/officeDocument/2006/relationships/chart" Target="../charts/chart40.xml"/><Relationship Id="rId24" Type="http://schemas.openxmlformats.org/officeDocument/2006/relationships/chart" Target="../charts/chart53.xml"/><Relationship Id="rId5" Type="http://schemas.openxmlformats.org/officeDocument/2006/relationships/chart" Target="../charts/chart34.xml"/><Relationship Id="rId15" Type="http://schemas.openxmlformats.org/officeDocument/2006/relationships/chart" Target="../charts/chart44.xml"/><Relationship Id="rId23" Type="http://schemas.openxmlformats.org/officeDocument/2006/relationships/chart" Target="../charts/chart52.xml"/><Relationship Id="rId28" Type="http://schemas.openxmlformats.org/officeDocument/2006/relationships/chart" Target="../charts/chart57.xml"/><Relationship Id="rId10" Type="http://schemas.openxmlformats.org/officeDocument/2006/relationships/chart" Target="../charts/chart39.xml"/><Relationship Id="rId19" Type="http://schemas.openxmlformats.org/officeDocument/2006/relationships/chart" Target="../charts/chart48.xml"/><Relationship Id="rId31" Type="http://schemas.openxmlformats.org/officeDocument/2006/relationships/chart" Target="../charts/chart60.xml"/><Relationship Id="rId4" Type="http://schemas.openxmlformats.org/officeDocument/2006/relationships/chart" Target="../charts/chart33.xml"/><Relationship Id="rId9" Type="http://schemas.openxmlformats.org/officeDocument/2006/relationships/chart" Target="../charts/chart38.xml"/><Relationship Id="rId14" Type="http://schemas.openxmlformats.org/officeDocument/2006/relationships/chart" Target="../charts/chart43.xml"/><Relationship Id="rId22" Type="http://schemas.openxmlformats.org/officeDocument/2006/relationships/chart" Target="../charts/chart51.xml"/><Relationship Id="rId27" Type="http://schemas.openxmlformats.org/officeDocument/2006/relationships/chart" Target="../charts/chart56.xml"/><Relationship Id="rId30" Type="http://schemas.openxmlformats.org/officeDocument/2006/relationships/chart" Target="../charts/chart5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461595</xdr:colOff>
      <xdr:row>0</xdr:row>
      <xdr:rowOff>166425</xdr:rowOff>
    </xdr:from>
    <xdr:to>
      <xdr:col>11</xdr:col>
      <xdr:colOff>820616</xdr:colOff>
      <xdr:row>2</xdr:row>
      <xdr:rowOff>54078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A17236-2C8A-45CD-88AA-E8990A8AB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4620" y="166425"/>
          <a:ext cx="2816471" cy="268653"/>
        </a:xfrm>
        <a:prstGeom prst="rect">
          <a:avLst/>
        </a:prstGeom>
      </xdr:spPr>
    </xdr:pic>
    <xdr:clientData/>
  </xdr:twoCellAnchor>
  <xdr:twoCellAnchor>
    <xdr:from>
      <xdr:col>8</xdr:col>
      <xdr:colOff>321653</xdr:colOff>
      <xdr:row>3</xdr:row>
      <xdr:rowOff>120894</xdr:rowOff>
    </xdr:from>
    <xdr:to>
      <xdr:col>13</xdr:col>
      <xdr:colOff>142876</xdr:colOff>
      <xdr:row>18</xdr:row>
      <xdr:rowOff>6594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25DD1C-6616-40BC-88CF-074825DC0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238124</xdr:colOff>
      <xdr:row>2</xdr:row>
      <xdr:rowOff>147637</xdr:rowOff>
    </xdr:from>
    <xdr:to>
      <xdr:col>19</xdr:col>
      <xdr:colOff>28575</xdr:colOff>
      <xdr:row>18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C85A6A-8CBA-4DBF-86D9-D5C905C04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257175</xdr:colOff>
      <xdr:row>19</xdr:row>
      <xdr:rowOff>0</xdr:rowOff>
    </xdr:from>
    <xdr:to>
      <xdr:col>18</xdr:col>
      <xdr:colOff>495300</xdr:colOff>
      <xdr:row>29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574BF2-C63D-4570-A494-381CA5900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266700</xdr:colOff>
      <xdr:row>30</xdr:row>
      <xdr:rowOff>47625</xdr:rowOff>
    </xdr:from>
    <xdr:to>
      <xdr:col>18</xdr:col>
      <xdr:colOff>504825</xdr:colOff>
      <xdr:row>41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8A9C86-9A84-49E9-90D0-77D6F966D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257175</xdr:colOff>
      <xdr:row>41</xdr:row>
      <xdr:rowOff>76200</xdr:rowOff>
    </xdr:from>
    <xdr:to>
      <xdr:col>18</xdr:col>
      <xdr:colOff>495300</xdr:colOff>
      <xdr:row>52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3C47AB7-5639-4CE2-AC08-E2248DC88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295275</xdr:colOff>
      <xdr:row>52</xdr:row>
      <xdr:rowOff>123825</xdr:rowOff>
    </xdr:from>
    <xdr:to>
      <xdr:col>18</xdr:col>
      <xdr:colOff>533400</xdr:colOff>
      <xdr:row>63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C69885-A76F-45D7-9335-A75A86F8D4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26</xdr:col>
      <xdr:colOff>461595</xdr:colOff>
      <xdr:row>0</xdr:row>
      <xdr:rowOff>166425</xdr:rowOff>
    </xdr:from>
    <xdr:ext cx="2813109" cy="268653"/>
    <xdr:pic>
      <xdr:nvPicPr>
        <xdr:cNvPr id="9" name="Picture 8">
          <a:extLst>
            <a:ext uri="{FF2B5EF4-FFF2-40B4-BE49-F238E27FC236}">
              <a16:creationId xmlns:a16="http://schemas.microsoft.com/office/drawing/2014/main" id="{9D9B2A66-BA3B-49E3-BB03-2A9D2D12D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5195" y="166425"/>
          <a:ext cx="2813109" cy="268653"/>
        </a:xfrm>
        <a:prstGeom prst="rect">
          <a:avLst/>
        </a:prstGeom>
      </xdr:spPr>
    </xdr:pic>
    <xdr:clientData/>
  </xdr:oneCellAnchor>
  <xdr:twoCellAnchor>
    <xdr:from>
      <xdr:col>26</xdr:col>
      <xdr:colOff>321653</xdr:colOff>
      <xdr:row>3</xdr:row>
      <xdr:rowOff>120894</xdr:rowOff>
    </xdr:from>
    <xdr:to>
      <xdr:col>31</xdr:col>
      <xdr:colOff>142876</xdr:colOff>
      <xdr:row>18</xdr:row>
      <xdr:rowOff>6594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CA0AC72-6DB3-491E-B5BF-A6152FEB2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238124</xdr:colOff>
      <xdr:row>2</xdr:row>
      <xdr:rowOff>147637</xdr:rowOff>
    </xdr:from>
    <xdr:to>
      <xdr:col>37</xdr:col>
      <xdr:colOff>28575</xdr:colOff>
      <xdr:row>18</xdr:row>
      <xdr:rowOff>142875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2C329E0-E898-4079-99E2-343A0C654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31</xdr:col>
      <xdr:colOff>257175</xdr:colOff>
      <xdr:row>19</xdr:row>
      <xdr:rowOff>0</xdr:rowOff>
    </xdr:from>
    <xdr:to>
      <xdr:col>36</xdr:col>
      <xdr:colOff>495300</xdr:colOff>
      <xdr:row>29</xdr:row>
      <xdr:rowOff>180975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5638336-B706-4F5B-A95E-705357C30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31</xdr:col>
      <xdr:colOff>266700</xdr:colOff>
      <xdr:row>30</xdr:row>
      <xdr:rowOff>47625</xdr:rowOff>
    </xdr:from>
    <xdr:to>
      <xdr:col>36</xdr:col>
      <xdr:colOff>504825</xdr:colOff>
      <xdr:row>41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D01ADC4-F896-492C-A88E-ACEA2416D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31</xdr:col>
      <xdr:colOff>257175</xdr:colOff>
      <xdr:row>41</xdr:row>
      <xdr:rowOff>76200</xdr:rowOff>
    </xdr:from>
    <xdr:to>
      <xdr:col>36</xdr:col>
      <xdr:colOff>495300</xdr:colOff>
      <xdr:row>52</xdr:row>
      <xdr:rowOff>66675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0352DE0-1F48-4AB5-86BB-554ED46A1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31</xdr:col>
      <xdr:colOff>295275</xdr:colOff>
      <xdr:row>52</xdr:row>
      <xdr:rowOff>123825</xdr:rowOff>
    </xdr:from>
    <xdr:to>
      <xdr:col>36</xdr:col>
      <xdr:colOff>533400</xdr:colOff>
      <xdr:row>63</xdr:row>
      <xdr:rowOff>114300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72EA35D-7A81-42FB-88DC-5C6CA1C858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oneCellAnchor>
    <xdr:from>
      <xdr:col>43</xdr:col>
      <xdr:colOff>461595</xdr:colOff>
      <xdr:row>0</xdr:row>
      <xdr:rowOff>166425</xdr:rowOff>
    </xdr:from>
    <xdr:ext cx="2813109" cy="268653"/>
    <xdr:pic>
      <xdr:nvPicPr>
        <xdr:cNvPr id="16" name="Picture 15">
          <a:extLst>
            <a:ext uri="{FF2B5EF4-FFF2-40B4-BE49-F238E27FC236}">
              <a16:creationId xmlns:a16="http://schemas.microsoft.com/office/drawing/2014/main" id="{E207A4A1-F4F1-4094-900A-8A10D8143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31845" y="166425"/>
          <a:ext cx="2813109" cy="268653"/>
        </a:xfrm>
        <a:prstGeom prst="rect">
          <a:avLst/>
        </a:prstGeom>
      </xdr:spPr>
    </xdr:pic>
    <xdr:clientData/>
  </xdr:oneCellAnchor>
  <xdr:twoCellAnchor>
    <xdr:from>
      <xdr:col>43</xdr:col>
      <xdr:colOff>321653</xdr:colOff>
      <xdr:row>3</xdr:row>
      <xdr:rowOff>120894</xdr:rowOff>
    </xdr:from>
    <xdr:to>
      <xdr:col>48</xdr:col>
      <xdr:colOff>142876</xdr:colOff>
      <xdr:row>18</xdr:row>
      <xdr:rowOff>6594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61E03A8-5634-4CD3-B8C2-F63CEFDD5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48</xdr:col>
      <xdr:colOff>238124</xdr:colOff>
      <xdr:row>2</xdr:row>
      <xdr:rowOff>147637</xdr:rowOff>
    </xdr:from>
    <xdr:to>
      <xdr:col>54</xdr:col>
      <xdr:colOff>28575</xdr:colOff>
      <xdr:row>18</xdr:row>
      <xdr:rowOff>142875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A4AE4B1-CF53-4152-97AC-186E19453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48</xdr:col>
      <xdr:colOff>257175</xdr:colOff>
      <xdr:row>19</xdr:row>
      <xdr:rowOff>0</xdr:rowOff>
    </xdr:from>
    <xdr:to>
      <xdr:col>53</xdr:col>
      <xdr:colOff>495300</xdr:colOff>
      <xdr:row>29</xdr:row>
      <xdr:rowOff>180975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05BC5F8-062A-41F7-94E5-0E9F0F40A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48</xdr:col>
      <xdr:colOff>266700</xdr:colOff>
      <xdr:row>30</xdr:row>
      <xdr:rowOff>47625</xdr:rowOff>
    </xdr:from>
    <xdr:to>
      <xdr:col>53</xdr:col>
      <xdr:colOff>504825</xdr:colOff>
      <xdr:row>41</xdr:row>
      <xdr:rowOff>38100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ED5921A-0D36-47CC-B1CF-7EABC708C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48</xdr:col>
      <xdr:colOff>257175</xdr:colOff>
      <xdr:row>41</xdr:row>
      <xdr:rowOff>76200</xdr:rowOff>
    </xdr:from>
    <xdr:to>
      <xdr:col>53</xdr:col>
      <xdr:colOff>495300</xdr:colOff>
      <xdr:row>52</xdr:row>
      <xdr:rowOff>66675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A5E2108-1CB0-48B2-BF85-24EC0B923D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48</xdr:col>
      <xdr:colOff>291353</xdr:colOff>
      <xdr:row>52</xdr:row>
      <xdr:rowOff>123265</xdr:rowOff>
    </xdr:from>
    <xdr:to>
      <xdr:col>53</xdr:col>
      <xdr:colOff>529478</xdr:colOff>
      <xdr:row>63</xdr:row>
      <xdr:rowOff>113740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98A530B-D445-4828-AEFC-F0094B322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oneCellAnchor>
    <xdr:from>
      <xdr:col>60</xdr:col>
      <xdr:colOff>461595</xdr:colOff>
      <xdr:row>0</xdr:row>
      <xdr:rowOff>166425</xdr:rowOff>
    </xdr:from>
    <xdr:ext cx="2813109" cy="268653"/>
    <xdr:pic>
      <xdr:nvPicPr>
        <xdr:cNvPr id="23" name="Picture 22">
          <a:extLst>
            <a:ext uri="{FF2B5EF4-FFF2-40B4-BE49-F238E27FC236}">
              <a16:creationId xmlns:a16="http://schemas.microsoft.com/office/drawing/2014/main" id="{FBC64327-4D25-4CB2-AAE7-9CBB62A66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66595" y="166425"/>
          <a:ext cx="2813109" cy="268653"/>
        </a:xfrm>
        <a:prstGeom prst="rect">
          <a:avLst/>
        </a:prstGeom>
      </xdr:spPr>
    </xdr:pic>
    <xdr:clientData/>
  </xdr:oneCellAnchor>
  <xdr:twoCellAnchor>
    <xdr:from>
      <xdr:col>60</xdr:col>
      <xdr:colOff>321653</xdr:colOff>
      <xdr:row>3</xdr:row>
      <xdr:rowOff>120894</xdr:rowOff>
    </xdr:from>
    <xdr:to>
      <xdr:col>65</xdr:col>
      <xdr:colOff>142876</xdr:colOff>
      <xdr:row>18</xdr:row>
      <xdr:rowOff>6594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F8CEC3D-E9BA-4CAE-8C27-CC29DDDF5C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65</xdr:col>
      <xdr:colOff>238124</xdr:colOff>
      <xdr:row>2</xdr:row>
      <xdr:rowOff>147637</xdr:rowOff>
    </xdr:from>
    <xdr:to>
      <xdr:col>71</xdr:col>
      <xdr:colOff>28575</xdr:colOff>
      <xdr:row>18</xdr:row>
      <xdr:rowOff>142875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F93F63D-D769-4A77-B8D4-A26DF019AA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65</xdr:col>
      <xdr:colOff>257175</xdr:colOff>
      <xdr:row>19</xdr:row>
      <xdr:rowOff>0</xdr:rowOff>
    </xdr:from>
    <xdr:to>
      <xdr:col>70</xdr:col>
      <xdr:colOff>495300</xdr:colOff>
      <xdr:row>29</xdr:row>
      <xdr:rowOff>180975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26ECF985-4987-42B7-B157-2F86250AB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65</xdr:col>
      <xdr:colOff>266700</xdr:colOff>
      <xdr:row>30</xdr:row>
      <xdr:rowOff>47625</xdr:rowOff>
    </xdr:from>
    <xdr:to>
      <xdr:col>70</xdr:col>
      <xdr:colOff>504825</xdr:colOff>
      <xdr:row>41</xdr:row>
      <xdr:rowOff>38100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F8BDAE53-4266-40F4-B835-157BEE25CC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65</xdr:col>
      <xdr:colOff>257175</xdr:colOff>
      <xdr:row>41</xdr:row>
      <xdr:rowOff>76200</xdr:rowOff>
    </xdr:from>
    <xdr:to>
      <xdr:col>70</xdr:col>
      <xdr:colOff>495300</xdr:colOff>
      <xdr:row>52</xdr:row>
      <xdr:rowOff>66675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7429BDC4-1267-4534-A6EF-D7B7A6916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65</xdr:col>
      <xdr:colOff>291353</xdr:colOff>
      <xdr:row>52</xdr:row>
      <xdr:rowOff>123265</xdr:rowOff>
    </xdr:from>
    <xdr:to>
      <xdr:col>70</xdr:col>
      <xdr:colOff>529478</xdr:colOff>
      <xdr:row>63</xdr:row>
      <xdr:rowOff>113740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C9341B19-3CA0-4259-81AE-2B093FCA2C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oneCellAnchor>
    <xdr:from>
      <xdr:col>77</xdr:col>
      <xdr:colOff>461595</xdr:colOff>
      <xdr:row>0</xdr:row>
      <xdr:rowOff>166425</xdr:rowOff>
    </xdr:from>
    <xdr:ext cx="2813109" cy="268653"/>
    <xdr:pic>
      <xdr:nvPicPr>
        <xdr:cNvPr id="30" name="Picture 29">
          <a:extLst>
            <a:ext uri="{FF2B5EF4-FFF2-40B4-BE49-F238E27FC236}">
              <a16:creationId xmlns:a16="http://schemas.microsoft.com/office/drawing/2014/main" id="{F9A4AB9F-FC05-4B7E-BA17-42B2B60C4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0870" y="166425"/>
          <a:ext cx="2813109" cy="268653"/>
        </a:xfrm>
        <a:prstGeom prst="rect">
          <a:avLst/>
        </a:prstGeom>
      </xdr:spPr>
    </xdr:pic>
    <xdr:clientData/>
  </xdr:oneCellAnchor>
  <xdr:twoCellAnchor>
    <xdr:from>
      <xdr:col>77</xdr:col>
      <xdr:colOff>321653</xdr:colOff>
      <xdr:row>3</xdr:row>
      <xdr:rowOff>120894</xdr:rowOff>
    </xdr:from>
    <xdr:to>
      <xdr:col>82</xdr:col>
      <xdr:colOff>142876</xdr:colOff>
      <xdr:row>18</xdr:row>
      <xdr:rowOff>6594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3D697EDD-4C00-4371-989A-184ECBFDB2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82</xdr:col>
      <xdr:colOff>238124</xdr:colOff>
      <xdr:row>2</xdr:row>
      <xdr:rowOff>147637</xdr:rowOff>
    </xdr:from>
    <xdr:to>
      <xdr:col>88</xdr:col>
      <xdr:colOff>28575</xdr:colOff>
      <xdr:row>18</xdr:row>
      <xdr:rowOff>142875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92D8E88F-5034-4CB5-B43E-B664F7F5D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82</xdr:col>
      <xdr:colOff>257175</xdr:colOff>
      <xdr:row>19</xdr:row>
      <xdr:rowOff>0</xdr:rowOff>
    </xdr:from>
    <xdr:to>
      <xdr:col>87</xdr:col>
      <xdr:colOff>495300</xdr:colOff>
      <xdr:row>29</xdr:row>
      <xdr:rowOff>180975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82248BC-A452-49A6-8F38-DFAC6D71B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82</xdr:col>
      <xdr:colOff>266700</xdr:colOff>
      <xdr:row>30</xdr:row>
      <xdr:rowOff>47625</xdr:rowOff>
    </xdr:from>
    <xdr:to>
      <xdr:col>87</xdr:col>
      <xdr:colOff>504825</xdr:colOff>
      <xdr:row>41</xdr:row>
      <xdr:rowOff>38100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7B338A69-2025-48F1-B3E8-088302828F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82</xdr:col>
      <xdr:colOff>257175</xdr:colOff>
      <xdr:row>41</xdr:row>
      <xdr:rowOff>76200</xdr:rowOff>
    </xdr:from>
    <xdr:to>
      <xdr:col>87</xdr:col>
      <xdr:colOff>495300</xdr:colOff>
      <xdr:row>52</xdr:row>
      <xdr:rowOff>66675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E93F2D87-A627-4C7C-B36D-363D6CCF0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82</xdr:col>
      <xdr:colOff>257735</xdr:colOff>
      <xdr:row>52</xdr:row>
      <xdr:rowOff>134471</xdr:rowOff>
    </xdr:from>
    <xdr:to>
      <xdr:col>87</xdr:col>
      <xdr:colOff>495860</xdr:colOff>
      <xdr:row>63</xdr:row>
      <xdr:rowOff>124946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8A716D92-77D1-4E98-A0CE-523D89912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461595</xdr:colOff>
      <xdr:row>0</xdr:row>
      <xdr:rowOff>166425</xdr:rowOff>
    </xdr:from>
    <xdr:to>
      <xdr:col>11</xdr:col>
      <xdr:colOff>820616</xdr:colOff>
      <xdr:row>2</xdr:row>
      <xdr:rowOff>54078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582C68-74CC-E442-B110-6D3AF3C44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5095" y="166425"/>
          <a:ext cx="2820867" cy="268653"/>
        </a:xfrm>
        <a:prstGeom prst="rect">
          <a:avLst/>
        </a:prstGeom>
      </xdr:spPr>
    </xdr:pic>
    <xdr:clientData/>
  </xdr:twoCellAnchor>
  <xdr:twoCellAnchor>
    <xdr:from>
      <xdr:col>8</xdr:col>
      <xdr:colOff>321653</xdr:colOff>
      <xdr:row>3</xdr:row>
      <xdr:rowOff>120894</xdr:rowOff>
    </xdr:from>
    <xdr:to>
      <xdr:col>13</xdr:col>
      <xdr:colOff>142876</xdr:colOff>
      <xdr:row>18</xdr:row>
      <xdr:rowOff>6594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050664-55E0-40FA-A3AC-EB5474BDC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238124</xdr:colOff>
      <xdr:row>2</xdr:row>
      <xdr:rowOff>147637</xdr:rowOff>
    </xdr:from>
    <xdr:to>
      <xdr:col>19</xdr:col>
      <xdr:colOff>28575</xdr:colOff>
      <xdr:row>18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369C137-67EF-919A-DBAB-DD8A1E999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257175</xdr:colOff>
      <xdr:row>19</xdr:row>
      <xdr:rowOff>0</xdr:rowOff>
    </xdr:from>
    <xdr:to>
      <xdr:col>18</xdr:col>
      <xdr:colOff>495300</xdr:colOff>
      <xdr:row>29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74AB14-6024-4E4A-A30D-5C95EA544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266700</xdr:colOff>
      <xdr:row>30</xdr:row>
      <xdr:rowOff>47625</xdr:rowOff>
    </xdr:from>
    <xdr:to>
      <xdr:col>18</xdr:col>
      <xdr:colOff>504825</xdr:colOff>
      <xdr:row>41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B0D581-56A7-4860-9AAE-BF398D2BC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257175</xdr:colOff>
      <xdr:row>41</xdr:row>
      <xdr:rowOff>76200</xdr:rowOff>
    </xdr:from>
    <xdr:to>
      <xdr:col>18</xdr:col>
      <xdr:colOff>495300</xdr:colOff>
      <xdr:row>52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27260C-DCC9-44C0-8834-88DF6F3034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295275</xdr:colOff>
      <xdr:row>52</xdr:row>
      <xdr:rowOff>123825</xdr:rowOff>
    </xdr:from>
    <xdr:to>
      <xdr:col>18</xdr:col>
      <xdr:colOff>533400</xdr:colOff>
      <xdr:row>63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7761A4-EB80-4721-9FAF-17963C609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26</xdr:col>
      <xdr:colOff>461595</xdr:colOff>
      <xdr:row>0</xdr:row>
      <xdr:rowOff>166425</xdr:rowOff>
    </xdr:from>
    <xdr:ext cx="2813109" cy="268653"/>
    <xdr:pic>
      <xdr:nvPicPr>
        <xdr:cNvPr id="9" name="Picture 8">
          <a:extLst>
            <a:ext uri="{FF2B5EF4-FFF2-40B4-BE49-F238E27FC236}">
              <a16:creationId xmlns:a16="http://schemas.microsoft.com/office/drawing/2014/main" id="{C83DB7EF-5336-4727-A5B2-5E8C56083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2683" y="166425"/>
          <a:ext cx="2813109" cy="268653"/>
        </a:xfrm>
        <a:prstGeom prst="rect">
          <a:avLst/>
        </a:prstGeom>
      </xdr:spPr>
    </xdr:pic>
    <xdr:clientData/>
  </xdr:oneCellAnchor>
  <xdr:twoCellAnchor>
    <xdr:from>
      <xdr:col>26</xdr:col>
      <xdr:colOff>321653</xdr:colOff>
      <xdr:row>3</xdr:row>
      <xdr:rowOff>120894</xdr:rowOff>
    </xdr:from>
    <xdr:to>
      <xdr:col>31</xdr:col>
      <xdr:colOff>142876</xdr:colOff>
      <xdr:row>18</xdr:row>
      <xdr:rowOff>6594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F19F923-B4C8-447F-8E77-CDF894666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238124</xdr:colOff>
      <xdr:row>2</xdr:row>
      <xdr:rowOff>147637</xdr:rowOff>
    </xdr:from>
    <xdr:to>
      <xdr:col>37</xdr:col>
      <xdr:colOff>28575</xdr:colOff>
      <xdr:row>18</xdr:row>
      <xdr:rowOff>142875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F1B6F43-7E43-4DCB-B503-C42B8C756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31</xdr:col>
      <xdr:colOff>257175</xdr:colOff>
      <xdr:row>19</xdr:row>
      <xdr:rowOff>0</xdr:rowOff>
    </xdr:from>
    <xdr:to>
      <xdr:col>36</xdr:col>
      <xdr:colOff>495300</xdr:colOff>
      <xdr:row>29</xdr:row>
      <xdr:rowOff>180975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17C2977-3712-448B-AB83-F57C78022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31</xdr:col>
      <xdr:colOff>266700</xdr:colOff>
      <xdr:row>30</xdr:row>
      <xdr:rowOff>47625</xdr:rowOff>
    </xdr:from>
    <xdr:to>
      <xdr:col>36</xdr:col>
      <xdr:colOff>504825</xdr:colOff>
      <xdr:row>41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94A4935-E9A1-4634-ADFA-5A739E6FC0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31</xdr:col>
      <xdr:colOff>257175</xdr:colOff>
      <xdr:row>41</xdr:row>
      <xdr:rowOff>76200</xdr:rowOff>
    </xdr:from>
    <xdr:to>
      <xdr:col>36</xdr:col>
      <xdr:colOff>495300</xdr:colOff>
      <xdr:row>52</xdr:row>
      <xdr:rowOff>66675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F25A473-7436-4013-A05D-46CA1124C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31</xdr:col>
      <xdr:colOff>295275</xdr:colOff>
      <xdr:row>52</xdr:row>
      <xdr:rowOff>123825</xdr:rowOff>
    </xdr:from>
    <xdr:to>
      <xdr:col>36</xdr:col>
      <xdr:colOff>533400</xdr:colOff>
      <xdr:row>63</xdr:row>
      <xdr:rowOff>114300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69AA76E-69BE-46AF-9E97-2D9B313D4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oneCellAnchor>
    <xdr:from>
      <xdr:col>43</xdr:col>
      <xdr:colOff>461595</xdr:colOff>
      <xdr:row>0</xdr:row>
      <xdr:rowOff>166425</xdr:rowOff>
    </xdr:from>
    <xdr:ext cx="2813109" cy="268653"/>
    <xdr:pic>
      <xdr:nvPicPr>
        <xdr:cNvPr id="16" name="Picture 15">
          <a:extLst>
            <a:ext uri="{FF2B5EF4-FFF2-40B4-BE49-F238E27FC236}">
              <a16:creationId xmlns:a16="http://schemas.microsoft.com/office/drawing/2014/main" id="{CD1D6830-39B0-455D-ADCD-941011735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41066" y="166425"/>
          <a:ext cx="2813109" cy="268653"/>
        </a:xfrm>
        <a:prstGeom prst="rect">
          <a:avLst/>
        </a:prstGeom>
      </xdr:spPr>
    </xdr:pic>
    <xdr:clientData/>
  </xdr:oneCellAnchor>
  <xdr:twoCellAnchor>
    <xdr:from>
      <xdr:col>43</xdr:col>
      <xdr:colOff>321653</xdr:colOff>
      <xdr:row>3</xdr:row>
      <xdr:rowOff>120894</xdr:rowOff>
    </xdr:from>
    <xdr:to>
      <xdr:col>48</xdr:col>
      <xdr:colOff>142876</xdr:colOff>
      <xdr:row>18</xdr:row>
      <xdr:rowOff>6594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0A7E43D-029F-4384-8482-131A0E2C0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48</xdr:col>
      <xdr:colOff>238124</xdr:colOff>
      <xdr:row>2</xdr:row>
      <xdr:rowOff>147637</xdr:rowOff>
    </xdr:from>
    <xdr:to>
      <xdr:col>54</xdr:col>
      <xdr:colOff>28575</xdr:colOff>
      <xdr:row>18</xdr:row>
      <xdr:rowOff>142875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1C5D0CC-F829-43CF-9F92-79FC2A484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48</xdr:col>
      <xdr:colOff>257175</xdr:colOff>
      <xdr:row>19</xdr:row>
      <xdr:rowOff>0</xdr:rowOff>
    </xdr:from>
    <xdr:to>
      <xdr:col>53</xdr:col>
      <xdr:colOff>495300</xdr:colOff>
      <xdr:row>29</xdr:row>
      <xdr:rowOff>180975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CB10517-61C1-4F85-9BAC-507502073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48</xdr:col>
      <xdr:colOff>266700</xdr:colOff>
      <xdr:row>30</xdr:row>
      <xdr:rowOff>47625</xdr:rowOff>
    </xdr:from>
    <xdr:to>
      <xdr:col>53</xdr:col>
      <xdr:colOff>504825</xdr:colOff>
      <xdr:row>41</xdr:row>
      <xdr:rowOff>38100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F16F439-DC1D-43CD-BBB3-635B9D2133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48</xdr:col>
      <xdr:colOff>257175</xdr:colOff>
      <xdr:row>41</xdr:row>
      <xdr:rowOff>76200</xdr:rowOff>
    </xdr:from>
    <xdr:to>
      <xdr:col>53</xdr:col>
      <xdr:colOff>495300</xdr:colOff>
      <xdr:row>52</xdr:row>
      <xdr:rowOff>66675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5A0FDFD-F049-42A0-8AD8-542EA2761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48</xdr:col>
      <xdr:colOff>291353</xdr:colOff>
      <xdr:row>52</xdr:row>
      <xdr:rowOff>123265</xdr:rowOff>
    </xdr:from>
    <xdr:to>
      <xdr:col>53</xdr:col>
      <xdr:colOff>529478</xdr:colOff>
      <xdr:row>63</xdr:row>
      <xdr:rowOff>113740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348A2BB-E2E0-4790-8A7A-5333A769C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oneCellAnchor>
    <xdr:from>
      <xdr:col>60</xdr:col>
      <xdr:colOff>461595</xdr:colOff>
      <xdr:row>0</xdr:row>
      <xdr:rowOff>166425</xdr:rowOff>
    </xdr:from>
    <xdr:ext cx="2813109" cy="268653"/>
    <xdr:pic>
      <xdr:nvPicPr>
        <xdr:cNvPr id="23" name="Picture 22">
          <a:extLst>
            <a:ext uri="{FF2B5EF4-FFF2-40B4-BE49-F238E27FC236}">
              <a16:creationId xmlns:a16="http://schemas.microsoft.com/office/drawing/2014/main" id="{41588D12-9504-455E-9AFB-3C373C79C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80566" y="166425"/>
          <a:ext cx="2813109" cy="268653"/>
        </a:xfrm>
        <a:prstGeom prst="rect">
          <a:avLst/>
        </a:prstGeom>
      </xdr:spPr>
    </xdr:pic>
    <xdr:clientData/>
  </xdr:oneCellAnchor>
  <xdr:twoCellAnchor>
    <xdr:from>
      <xdr:col>60</xdr:col>
      <xdr:colOff>321653</xdr:colOff>
      <xdr:row>3</xdr:row>
      <xdr:rowOff>120894</xdr:rowOff>
    </xdr:from>
    <xdr:to>
      <xdr:col>65</xdr:col>
      <xdr:colOff>142876</xdr:colOff>
      <xdr:row>18</xdr:row>
      <xdr:rowOff>6594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C844EF0B-9565-4E42-93F8-999AAE629D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65</xdr:col>
      <xdr:colOff>238124</xdr:colOff>
      <xdr:row>2</xdr:row>
      <xdr:rowOff>147637</xdr:rowOff>
    </xdr:from>
    <xdr:to>
      <xdr:col>71</xdr:col>
      <xdr:colOff>28575</xdr:colOff>
      <xdr:row>18</xdr:row>
      <xdr:rowOff>142875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C850394-B191-4A64-86F3-534D8A6AF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65</xdr:col>
      <xdr:colOff>257175</xdr:colOff>
      <xdr:row>19</xdr:row>
      <xdr:rowOff>0</xdr:rowOff>
    </xdr:from>
    <xdr:to>
      <xdr:col>70</xdr:col>
      <xdr:colOff>495300</xdr:colOff>
      <xdr:row>29</xdr:row>
      <xdr:rowOff>180975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4AE93A7C-7A51-4539-B070-A220AE79D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65</xdr:col>
      <xdr:colOff>266700</xdr:colOff>
      <xdr:row>30</xdr:row>
      <xdr:rowOff>47625</xdr:rowOff>
    </xdr:from>
    <xdr:to>
      <xdr:col>70</xdr:col>
      <xdr:colOff>504825</xdr:colOff>
      <xdr:row>41</xdr:row>
      <xdr:rowOff>38100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13342831-D449-48B0-8862-CC23AE606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65</xdr:col>
      <xdr:colOff>257175</xdr:colOff>
      <xdr:row>41</xdr:row>
      <xdr:rowOff>76200</xdr:rowOff>
    </xdr:from>
    <xdr:to>
      <xdr:col>70</xdr:col>
      <xdr:colOff>495300</xdr:colOff>
      <xdr:row>52</xdr:row>
      <xdr:rowOff>66675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A91A4C4F-1792-4706-BD11-7119CAA9B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65</xdr:col>
      <xdr:colOff>291353</xdr:colOff>
      <xdr:row>52</xdr:row>
      <xdr:rowOff>123265</xdr:rowOff>
    </xdr:from>
    <xdr:to>
      <xdr:col>70</xdr:col>
      <xdr:colOff>529478</xdr:colOff>
      <xdr:row>63</xdr:row>
      <xdr:rowOff>113740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CDBEBB4F-B558-4CA0-A726-C08C3B807F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oneCellAnchor>
    <xdr:from>
      <xdr:col>77</xdr:col>
      <xdr:colOff>461595</xdr:colOff>
      <xdr:row>0</xdr:row>
      <xdr:rowOff>166425</xdr:rowOff>
    </xdr:from>
    <xdr:ext cx="2813109" cy="268653"/>
    <xdr:pic>
      <xdr:nvPicPr>
        <xdr:cNvPr id="30" name="Picture 29">
          <a:extLst>
            <a:ext uri="{FF2B5EF4-FFF2-40B4-BE49-F238E27FC236}">
              <a16:creationId xmlns:a16="http://schemas.microsoft.com/office/drawing/2014/main" id="{9DEC91D2-E581-4B12-813B-7A152EDE7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64889" y="166425"/>
          <a:ext cx="2813109" cy="268653"/>
        </a:xfrm>
        <a:prstGeom prst="rect">
          <a:avLst/>
        </a:prstGeom>
      </xdr:spPr>
    </xdr:pic>
    <xdr:clientData/>
  </xdr:oneCellAnchor>
  <xdr:twoCellAnchor>
    <xdr:from>
      <xdr:col>77</xdr:col>
      <xdr:colOff>321653</xdr:colOff>
      <xdr:row>3</xdr:row>
      <xdr:rowOff>120894</xdr:rowOff>
    </xdr:from>
    <xdr:to>
      <xdr:col>82</xdr:col>
      <xdr:colOff>142876</xdr:colOff>
      <xdr:row>18</xdr:row>
      <xdr:rowOff>6594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E70F81DB-F06F-4D01-8616-1DDC44A2CA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82</xdr:col>
      <xdr:colOff>238124</xdr:colOff>
      <xdr:row>2</xdr:row>
      <xdr:rowOff>147637</xdr:rowOff>
    </xdr:from>
    <xdr:to>
      <xdr:col>88</xdr:col>
      <xdr:colOff>28575</xdr:colOff>
      <xdr:row>18</xdr:row>
      <xdr:rowOff>142875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C72C60A-2C47-437D-8628-5ACCD327B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82</xdr:col>
      <xdr:colOff>257175</xdr:colOff>
      <xdr:row>19</xdr:row>
      <xdr:rowOff>0</xdr:rowOff>
    </xdr:from>
    <xdr:to>
      <xdr:col>87</xdr:col>
      <xdr:colOff>495300</xdr:colOff>
      <xdr:row>29</xdr:row>
      <xdr:rowOff>180975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425E2518-E126-4A07-9408-3155C444F6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82</xdr:col>
      <xdr:colOff>266700</xdr:colOff>
      <xdr:row>30</xdr:row>
      <xdr:rowOff>47625</xdr:rowOff>
    </xdr:from>
    <xdr:to>
      <xdr:col>87</xdr:col>
      <xdr:colOff>504825</xdr:colOff>
      <xdr:row>41</xdr:row>
      <xdr:rowOff>38100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3CDAD51C-BB4C-454C-B3D0-33F5758D0F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82</xdr:col>
      <xdr:colOff>257175</xdr:colOff>
      <xdr:row>41</xdr:row>
      <xdr:rowOff>76200</xdr:rowOff>
    </xdr:from>
    <xdr:to>
      <xdr:col>87</xdr:col>
      <xdr:colOff>495300</xdr:colOff>
      <xdr:row>52</xdr:row>
      <xdr:rowOff>66675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3F0B66BA-BA99-4BD3-8211-1CF176FDB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82</xdr:col>
      <xdr:colOff>257735</xdr:colOff>
      <xdr:row>52</xdr:row>
      <xdr:rowOff>134471</xdr:rowOff>
    </xdr:from>
    <xdr:to>
      <xdr:col>87</xdr:col>
      <xdr:colOff>495860</xdr:colOff>
      <xdr:row>63</xdr:row>
      <xdr:rowOff>124946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8705EFF1-CF26-434A-981A-7D5E360DC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FAACC-8A6A-4CD6-A3DC-46EC6066ED12}">
  <dimension ref="B2:T24"/>
  <sheetViews>
    <sheetView zoomScale="115" zoomScaleNormal="115" workbookViewId="0">
      <selection activeCell="S10" sqref="S10"/>
    </sheetView>
  </sheetViews>
  <sheetFormatPr defaultRowHeight="14.4" x14ac:dyDescent="0.3"/>
  <sheetData>
    <row r="2" spans="2:20" x14ac:dyDescent="0.3">
      <c r="B2" s="1" t="s">
        <v>6</v>
      </c>
      <c r="H2" s="1" t="s">
        <v>3</v>
      </c>
      <c r="I2">
        <v>8.767302452316077</v>
      </c>
      <c r="J2" t="s">
        <v>4</v>
      </c>
      <c r="L2" s="1" t="s">
        <v>5</v>
      </c>
      <c r="R2" s="1" t="s">
        <v>3</v>
      </c>
      <c r="S2">
        <v>18.540626187088346</v>
      </c>
      <c r="T2" t="s">
        <v>4</v>
      </c>
    </row>
    <row r="4" spans="2:20" x14ac:dyDescent="0.3">
      <c r="C4" s="1" t="s">
        <v>0</v>
      </c>
      <c r="G4" s="1" t="s">
        <v>1</v>
      </c>
      <c r="M4" s="1" t="s">
        <v>0</v>
      </c>
      <c r="Q4" s="1" t="s">
        <v>1</v>
      </c>
    </row>
    <row r="5" spans="2:20" x14ac:dyDescent="0.3">
      <c r="B5" s="2" t="s">
        <v>2</v>
      </c>
      <c r="C5" s="4">
        <v>4000</v>
      </c>
      <c r="D5" s="3">
        <v>5000</v>
      </c>
      <c r="E5" s="3">
        <v>6000</v>
      </c>
      <c r="F5" s="2">
        <v>7000</v>
      </c>
      <c r="G5" s="3">
        <v>4000</v>
      </c>
      <c r="H5" s="3">
        <v>5000</v>
      </c>
      <c r="I5" s="3">
        <v>6000</v>
      </c>
      <c r="J5" s="3">
        <v>7000</v>
      </c>
      <c r="L5" s="2" t="s">
        <v>2</v>
      </c>
      <c r="M5" s="4">
        <v>4000</v>
      </c>
      <c r="N5" s="3">
        <v>5000</v>
      </c>
      <c r="O5" s="3">
        <v>6000</v>
      </c>
      <c r="P5" s="2">
        <v>7000</v>
      </c>
      <c r="Q5" s="3">
        <v>4000</v>
      </c>
      <c r="R5" s="3">
        <v>5000</v>
      </c>
      <c r="S5" s="3">
        <v>6000</v>
      </c>
      <c r="T5" s="3">
        <v>7000</v>
      </c>
    </row>
    <row r="6" spans="2:20" x14ac:dyDescent="0.3">
      <c r="B6" s="5">
        <v>0</v>
      </c>
      <c r="C6" s="6">
        <v>0</v>
      </c>
      <c r="D6" s="6">
        <v>0</v>
      </c>
      <c r="E6" s="6">
        <v>0</v>
      </c>
      <c r="F6" s="5">
        <v>0</v>
      </c>
      <c r="G6" s="9">
        <v>7.5999999999999998E-2</v>
      </c>
      <c r="H6" s="9">
        <v>7.5999999999999998E-2</v>
      </c>
      <c r="I6" s="9">
        <v>7.5999999999999998E-2</v>
      </c>
      <c r="J6" s="9">
        <v>7.5999999999999998E-2</v>
      </c>
      <c r="L6" s="5">
        <v>0</v>
      </c>
      <c r="M6" s="6">
        <v>0</v>
      </c>
      <c r="N6" s="6">
        <v>0</v>
      </c>
      <c r="O6" s="6">
        <v>0</v>
      </c>
      <c r="P6" s="5">
        <v>0</v>
      </c>
      <c r="Q6" s="10">
        <v>3.4000000000000002E-2</v>
      </c>
      <c r="R6" s="10">
        <v>3.4000000000000002E-2</v>
      </c>
      <c r="S6" s="10">
        <v>3.4000000000000002E-2</v>
      </c>
      <c r="T6" s="10">
        <v>3.4000000000000002E-2</v>
      </c>
    </row>
    <row r="7" spans="2:20" x14ac:dyDescent="0.3">
      <c r="B7" s="7">
        <v>10</v>
      </c>
      <c r="C7">
        <v>0.98529411764705876</v>
      </c>
      <c r="D7">
        <v>1.0735294117647058</v>
      </c>
      <c r="E7">
        <v>1.1764705882352942</v>
      </c>
      <c r="F7" s="7">
        <v>1.4264705882352942</v>
      </c>
      <c r="G7" s="8">
        <v>8.7604318893872962E-2</v>
      </c>
      <c r="H7" s="8">
        <v>0.10069087208399324</v>
      </c>
      <c r="I7" s="8">
        <v>9.0862480884593408E-2</v>
      </c>
      <c r="J7" s="8">
        <v>9.0450482570703483E-2</v>
      </c>
      <c r="L7" s="7">
        <v>10</v>
      </c>
      <c r="M7">
        <v>0.98529411764705876</v>
      </c>
      <c r="N7">
        <v>1.0735294117647058</v>
      </c>
      <c r="O7">
        <v>1.1764705882352942</v>
      </c>
      <c r="P7" s="7">
        <v>1.4264705882352942</v>
      </c>
      <c r="Q7">
        <v>3.9800000000000002E-2</v>
      </c>
      <c r="R7">
        <v>4.2900000000000001E-2</v>
      </c>
      <c r="S7">
        <v>4.2700000000000002E-2</v>
      </c>
      <c r="T7">
        <v>4.1500000000000002E-2</v>
      </c>
    </row>
    <row r="8" spans="2:20" x14ac:dyDescent="0.3">
      <c r="B8" s="7">
        <v>30</v>
      </c>
      <c r="C8">
        <v>0.98529411764705876</v>
      </c>
      <c r="D8">
        <v>1.0735294117647058</v>
      </c>
      <c r="E8">
        <v>1.1764705882352942</v>
      </c>
      <c r="F8" s="7">
        <v>1.4264705882352942</v>
      </c>
      <c r="G8" s="8">
        <v>8.82413343442877E-2</v>
      </c>
      <c r="H8" s="8">
        <v>0.10972044717744713</v>
      </c>
      <c r="I8" s="8">
        <v>8.5024416000407887E-2</v>
      </c>
      <c r="J8" s="8">
        <v>9.5420493988168181E-2</v>
      </c>
      <c r="L8" s="7">
        <v>30</v>
      </c>
      <c r="M8">
        <v>0.98529411764705876</v>
      </c>
      <c r="N8">
        <v>1.0735294117647058</v>
      </c>
      <c r="O8">
        <v>1.1764705882352942</v>
      </c>
      <c r="P8" s="7">
        <v>1.4264705882352942</v>
      </c>
      <c r="Q8">
        <v>4.24E-2</v>
      </c>
      <c r="R8">
        <v>4.3999999999999997E-2</v>
      </c>
      <c r="S8">
        <v>4.2000000000000003E-2</v>
      </c>
      <c r="T8">
        <v>4.3700000000000003E-2</v>
      </c>
    </row>
    <row r="9" spans="2:20" x14ac:dyDescent="0.3">
      <c r="B9" s="7">
        <v>60</v>
      </c>
      <c r="C9">
        <v>0.98529411764705876</v>
      </c>
      <c r="D9">
        <v>1.0735294117647058</v>
      </c>
      <c r="E9">
        <v>1.1764705882352942</v>
      </c>
      <c r="F9" s="7">
        <v>1.4264705882352942</v>
      </c>
      <c r="G9" s="8">
        <v>9.5909343224736487E-2</v>
      </c>
      <c r="H9" s="8">
        <v>0.10050961300625309</v>
      </c>
      <c r="I9" s="8">
        <v>0.1018424267519739</v>
      </c>
      <c r="J9" s="8">
        <v>9.0686938018793059E-2</v>
      </c>
      <c r="L9" s="7">
        <v>60</v>
      </c>
      <c r="M9">
        <v>0.98529411764705876</v>
      </c>
      <c r="N9">
        <v>1.0735294117647058</v>
      </c>
      <c r="O9">
        <v>1.1764705882352942</v>
      </c>
      <c r="P9" s="7">
        <v>1.4264705882352942</v>
      </c>
      <c r="Q9">
        <v>4.2799999999999998E-2</v>
      </c>
      <c r="R9">
        <v>4.6800000000000001E-2</v>
      </c>
      <c r="S9">
        <v>4.7899999999999998E-2</v>
      </c>
      <c r="T9">
        <v>4.36E-2</v>
      </c>
    </row>
    <row r="10" spans="2:20" x14ac:dyDescent="0.3">
      <c r="B10" s="7">
        <v>120</v>
      </c>
      <c r="C10">
        <v>0.98529411764705876</v>
      </c>
      <c r="D10">
        <v>1.0735294117647058</v>
      </c>
      <c r="E10">
        <v>1.1764705882352942</v>
      </c>
      <c r="F10" s="7">
        <v>1.4264705882352942</v>
      </c>
      <c r="G10" s="8">
        <v>9.6747384868129102E-2</v>
      </c>
      <c r="H10" s="8">
        <v>8.788893040268185E-2</v>
      </c>
      <c r="I10" s="8">
        <v>9.0161671068370017E-2</v>
      </c>
      <c r="J10" s="8">
        <v>9.0335218374187551E-2</v>
      </c>
      <c r="L10" s="7">
        <v>120</v>
      </c>
      <c r="M10">
        <v>0.98529411764705876</v>
      </c>
      <c r="N10">
        <v>1.0735294117647058</v>
      </c>
      <c r="O10">
        <v>1.1764705882352942</v>
      </c>
      <c r="P10" s="7">
        <v>1.4264705882352942</v>
      </c>
      <c r="Q10">
        <v>4.3799999999999999E-2</v>
      </c>
      <c r="R10">
        <v>4.4400000000000002E-2</v>
      </c>
      <c r="S10">
        <v>4.4999999999999998E-2</v>
      </c>
      <c r="T10">
        <v>4.2799999999999998E-2</v>
      </c>
    </row>
    <row r="11" spans="2:20" x14ac:dyDescent="0.3">
      <c r="B11" s="7">
        <v>240</v>
      </c>
      <c r="C11">
        <v>0.98529411764705876</v>
      </c>
      <c r="D11">
        <v>1.0735294117647058</v>
      </c>
      <c r="E11">
        <v>1.1764705882352942</v>
      </c>
      <c r="F11" s="7">
        <v>1.4264705882352942</v>
      </c>
      <c r="G11" s="8">
        <v>8.315138079069874E-2</v>
      </c>
      <c r="H11" s="8">
        <v>9.0415380610003052E-2</v>
      </c>
      <c r="I11" s="8">
        <v>9.2516468769631724E-2</v>
      </c>
      <c r="J11" s="8">
        <v>8.5517652359137733E-2</v>
      </c>
      <c r="L11" s="7">
        <v>240</v>
      </c>
      <c r="M11">
        <v>0.98529411764705876</v>
      </c>
      <c r="N11">
        <v>1.0735294117647058</v>
      </c>
      <c r="O11">
        <v>1.1764705882352942</v>
      </c>
      <c r="P11" s="7">
        <v>1.4264705882352942</v>
      </c>
      <c r="Q11" s="1">
        <v>3.9100000000000003E-2</v>
      </c>
      <c r="R11" s="1">
        <v>4.1300000000000003E-2</v>
      </c>
      <c r="S11" s="1">
        <v>4.3799999999999999E-2</v>
      </c>
      <c r="T11" s="1">
        <v>4.2000000000000003E-2</v>
      </c>
    </row>
    <row r="13" spans="2:20" x14ac:dyDescent="0.3">
      <c r="B13" s="1"/>
      <c r="C13" t="s">
        <v>7</v>
      </c>
      <c r="L13" s="1"/>
      <c r="M13" t="s">
        <v>7</v>
      </c>
    </row>
    <row r="14" spans="2:20" x14ac:dyDescent="0.3">
      <c r="B14" s="2" t="s">
        <v>2</v>
      </c>
      <c r="C14" s="4">
        <v>4000</v>
      </c>
      <c r="D14" s="3">
        <v>5000</v>
      </c>
      <c r="E14" s="3">
        <v>6000</v>
      </c>
      <c r="F14" s="2">
        <v>7000</v>
      </c>
      <c r="L14" s="2" t="s">
        <v>2</v>
      </c>
      <c r="M14" s="4">
        <v>4000</v>
      </c>
      <c r="N14" s="3">
        <v>5000</v>
      </c>
      <c r="O14" s="3">
        <v>6000</v>
      </c>
      <c r="P14" s="2">
        <v>7000</v>
      </c>
    </row>
    <row r="15" spans="2:20" x14ac:dyDescent="0.3">
      <c r="B15" s="5">
        <v>0</v>
      </c>
      <c r="C15" s="11">
        <f>C6*G$6</f>
        <v>0</v>
      </c>
      <c r="D15" s="12">
        <f t="shared" ref="D15:F15" si="0">D6*H$6</f>
        <v>0</v>
      </c>
      <c r="E15" s="12">
        <f t="shared" si="0"/>
        <v>0</v>
      </c>
      <c r="F15" s="13">
        <f t="shared" si="0"/>
        <v>0</v>
      </c>
      <c r="L15" s="5">
        <v>0</v>
      </c>
      <c r="M15" s="11">
        <f>M6*Q$6</f>
        <v>0</v>
      </c>
      <c r="N15" s="12">
        <f t="shared" ref="N15:N20" si="1">N6*R$6</f>
        <v>0</v>
      </c>
      <c r="O15" s="12">
        <f t="shared" ref="O15:O20" si="2">O6*S$6</f>
        <v>0</v>
      </c>
      <c r="P15" s="13">
        <f t="shared" ref="P15:P20" si="3">P6*T$6</f>
        <v>0</v>
      </c>
    </row>
    <row r="16" spans="2:20" x14ac:dyDescent="0.3">
      <c r="B16" s="7">
        <v>10</v>
      </c>
      <c r="C16" s="14">
        <f>C7*G$6</f>
        <v>7.4882352941176469E-2</v>
      </c>
      <c r="D16">
        <f t="shared" ref="D16:D20" si="4">D7*H$6</f>
        <v>8.1588235294117642E-2</v>
      </c>
      <c r="E16">
        <f t="shared" ref="E16:E20" si="5">E7*I$6</f>
        <v>8.9411764705882357E-2</v>
      </c>
      <c r="F16" s="7">
        <f t="shared" ref="F16:F20" si="6">F7*J$6</f>
        <v>0.10841176470588235</v>
      </c>
      <c r="L16" s="7">
        <v>10</v>
      </c>
      <c r="M16" s="14">
        <f>M7*Q$6</f>
        <v>3.3500000000000002E-2</v>
      </c>
      <c r="N16">
        <f t="shared" si="1"/>
        <v>3.6500000000000005E-2</v>
      </c>
      <c r="O16">
        <f t="shared" si="2"/>
        <v>0.04</v>
      </c>
      <c r="P16" s="7">
        <f t="shared" si="3"/>
        <v>4.8500000000000001E-2</v>
      </c>
    </row>
    <row r="17" spans="2:16" x14ac:dyDescent="0.3">
      <c r="B17" s="7">
        <v>30</v>
      </c>
      <c r="C17" s="14">
        <f t="shared" ref="C17:C20" si="7">C8*G$6</f>
        <v>7.4882352941176469E-2</v>
      </c>
      <c r="D17">
        <f t="shared" si="4"/>
        <v>8.1588235294117642E-2</v>
      </c>
      <c r="E17">
        <f t="shared" si="5"/>
        <v>8.9411764705882357E-2</v>
      </c>
      <c r="F17" s="7">
        <f t="shared" si="6"/>
        <v>0.10841176470588235</v>
      </c>
      <c r="L17" s="7">
        <v>30</v>
      </c>
      <c r="M17" s="14">
        <f t="shared" ref="M17:M20" si="8">M8*Q$6</f>
        <v>3.3500000000000002E-2</v>
      </c>
      <c r="N17">
        <f t="shared" si="1"/>
        <v>3.6500000000000005E-2</v>
      </c>
      <c r="O17">
        <f t="shared" si="2"/>
        <v>0.04</v>
      </c>
      <c r="P17" s="7">
        <f t="shared" si="3"/>
        <v>4.8500000000000001E-2</v>
      </c>
    </row>
    <row r="18" spans="2:16" x14ac:dyDescent="0.3">
      <c r="B18" s="7">
        <v>60</v>
      </c>
      <c r="C18" s="14">
        <f t="shared" si="7"/>
        <v>7.4882352941176469E-2</v>
      </c>
      <c r="D18">
        <f t="shared" si="4"/>
        <v>8.1588235294117642E-2</v>
      </c>
      <c r="E18">
        <f t="shared" si="5"/>
        <v>8.9411764705882357E-2</v>
      </c>
      <c r="F18" s="7">
        <f t="shared" si="6"/>
        <v>0.10841176470588235</v>
      </c>
      <c r="L18" s="7">
        <v>60</v>
      </c>
      <c r="M18" s="14">
        <f t="shared" si="8"/>
        <v>3.3500000000000002E-2</v>
      </c>
      <c r="N18">
        <f t="shared" si="1"/>
        <v>3.6500000000000005E-2</v>
      </c>
      <c r="O18">
        <f t="shared" si="2"/>
        <v>0.04</v>
      </c>
      <c r="P18" s="7">
        <f t="shared" si="3"/>
        <v>4.8500000000000001E-2</v>
      </c>
    </row>
    <row r="19" spans="2:16" x14ac:dyDescent="0.3">
      <c r="B19" s="7">
        <v>120</v>
      </c>
      <c r="C19" s="14">
        <f t="shared" si="7"/>
        <v>7.4882352941176469E-2</v>
      </c>
      <c r="D19">
        <f t="shared" si="4"/>
        <v>8.1588235294117642E-2</v>
      </c>
      <c r="E19">
        <f t="shared" si="5"/>
        <v>8.9411764705882357E-2</v>
      </c>
      <c r="F19" s="7">
        <f t="shared" si="6"/>
        <v>0.10841176470588235</v>
      </c>
      <c r="L19" s="7">
        <v>120</v>
      </c>
      <c r="M19" s="14">
        <f t="shared" si="8"/>
        <v>3.3500000000000002E-2</v>
      </c>
      <c r="N19">
        <f t="shared" si="1"/>
        <v>3.6500000000000005E-2</v>
      </c>
      <c r="O19">
        <f t="shared" si="2"/>
        <v>0.04</v>
      </c>
      <c r="P19" s="7">
        <f t="shared" si="3"/>
        <v>4.8500000000000001E-2</v>
      </c>
    </row>
    <row r="20" spans="2:16" x14ac:dyDescent="0.3">
      <c r="B20" s="7">
        <v>240</v>
      </c>
      <c r="C20" s="14">
        <f t="shared" si="7"/>
        <v>7.4882352941176469E-2</v>
      </c>
      <c r="D20">
        <f t="shared" si="4"/>
        <v>8.1588235294117642E-2</v>
      </c>
      <c r="E20">
        <f t="shared" si="5"/>
        <v>8.9411764705882357E-2</v>
      </c>
      <c r="F20" s="7">
        <f t="shared" si="6"/>
        <v>0.10841176470588235</v>
      </c>
      <c r="L20" s="7">
        <v>240</v>
      </c>
      <c r="M20" s="14">
        <f t="shared" si="8"/>
        <v>3.3500000000000002E-2</v>
      </c>
      <c r="N20">
        <f t="shared" si="1"/>
        <v>3.6500000000000005E-2</v>
      </c>
      <c r="O20">
        <f t="shared" si="2"/>
        <v>0.04</v>
      </c>
      <c r="P20" s="7">
        <f t="shared" si="3"/>
        <v>4.8500000000000001E-2</v>
      </c>
    </row>
    <row r="22" spans="2:16" x14ac:dyDescent="0.3">
      <c r="C22" t="s">
        <v>26</v>
      </c>
      <c r="D22" t="s">
        <v>27</v>
      </c>
    </row>
    <row r="23" spans="2:16" x14ac:dyDescent="0.3">
      <c r="B23" t="s">
        <v>8</v>
      </c>
      <c r="C23" s="8">
        <f>MIN(G6:J11)</f>
        <v>7.5999999999999998E-2</v>
      </c>
      <c r="D23" s="8">
        <f>MIN(Q6:T11)</f>
        <v>3.4000000000000002E-2</v>
      </c>
    </row>
    <row r="24" spans="2:16" x14ac:dyDescent="0.3">
      <c r="B24" t="s">
        <v>9</v>
      </c>
      <c r="C24" s="8">
        <f>MAX(G6:J11)</f>
        <v>0.10972044717744713</v>
      </c>
      <c r="D24" s="8">
        <f>MAX(Q6:T11)</f>
        <v>4.7899999999999998E-2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BE7EC-36EC-49A1-B452-0E179AD184A0}">
  <dimension ref="A1:CD59"/>
  <sheetViews>
    <sheetView tabSelected="1" topLeftCell="AZ1" zoomScale="85" zoomScaleNormal="85" workbookViewId="0">
      <selection activeCell="BU24" sqref="BU24"/>
    </sheetView>
  </sheetViews>
  <sheetFormatPr defaultRowHeight="14.4" x14ac:dyDescent="0.3"/>
  <cols>
    <col min="4" max="4" width="13.33203125" customWidth="1"/>
    <col min="10" max="10" width="12.6640625" customWidth="1"/>
    <col min="11" max="12" width="15" customWidth="1"/>
    <col min="22" max="22" width="12.5546875" customWidth="1"/>
    <col min="29" max="29" width="13.5546875" customWidth="1"/>
    <col min="30" max="30" width="13" customWidth="1"/>
    <col min="39" max="39" width="14.33203125" customWidth="1"/>
    <col min="40" max="40" width="9.6640625" customWidth="1"/>
    <col min="45" max="45" width="11.44140625" customWidth="1"/>
    <col min="46" max="46" width="13" customWidth="1"/>
    <col min="47" max="47" width="11.88671875" customWidth="1"/>
    <col min="56" max="56" width="14.33203125" customWidth="1"/>
    <col min="57" max="57" width="9.6640625" customWidth="1"/>
    <col min="62" max="62" width="11.44140625" customWidth="1"/>
    <col min="63" max="63" width="13" customWidth="1"/>
    <col min="64" max="64" width="11.88671875" customWidth="1"/>
    <col min="73" max="73" width="15" customWidth="1"/>
    <col min="79" max="79" width="12.88671875" customWidth="1"/>
    <col min="80" max="81" width="14.6640625" customWidth="1"/>
  </cols>
  <sheetData>
    <row r="1" spans="1:77" x14ac:dyDescent="0.3">
      <c r="A1" s="16" t="s">
        <v>10</v>
      </c>
      <c r="B1" s="17" t="s">
        <v>13</v>
      </c>
      <c r="D1" s="15" t="s">
        <v>14</v>
      </c>
      <c r="E1" s="51" t="s">
        <v>12</v>
      </c>
      <c r="F1" s="51"/>
      <c r="G1" s="51"/>
      <c r="H1" s="51"/>
      <c r="V1" s="15" t="s">
        <v>14</v>
      </c>
      <c r="W1" s="51" t="s">
        <v>22</v>
      </c>
      <c r="X1" s="51"/>
      <c r="Y1" s="51"/>
      <c r="Z1" s="51"/>
      <c r="AM1" s="15" t="s">
        <v>14</v>
      </c>
      <c r="AN1" s="51" t="s">
        <v>23</v>
      </c>
      <c r="AO1" s="51"/>
      <c r="AP1" s="51"/>
      <c r="AQ1" s="51"/>
      <c r="BD1" s="15" t="s">
        <v>14</v>
      </c>
      <c r="BE1" s="51" t="s">
        <v>24</v>
      </c>
      <c r="BF1" s="51"/>
      <c r="BG1" s="51"/>
      <c r="BH1" s="51"/>
      <c r="BU1" s="15" t="s">
        <v>14</v>
      </c>
      <c r="BV1" s="51" t="s">
        <v>25</v>
      </c>
      <c r="BW1" s="51"/>
      <c r="BX1" s="51"/>
      <c r="BY1" s="51"/>
    </row>
    <row r="2" spans="1:77" x14ac:dyDescent="0.3">
      <c r="A2" s="17">
        <v>4000</v>
      </c>
      <c r="B2" s="18">
        <v>3.3500000000000002E-2</v>
      </c>
      <c r="D2" s="15" t="s">
        <v>11</v>
      </c>
      <c r="E2" s="32">
        <f>B2</f>
        <v>3.3500000000000002E-2</v>
      </c>
      <c r="F2" s="33">
        <f>B3</f>
        <v>3.6500000000000005E-2</v>
      </c>
      <c r="G2" s="35">
        <f>B4</f>
        <v>0.04</v>
      </c>
      <c r="H2" s="37">
        <f>B5</f>
        <v>4.8500000000000001E-2</v>
      </c>
      <c r="V2" s="15" t="s">
        <v>11</v>
      </c>
      <c r="W2" s="32">
        <v>3.3500000000000002E-2</v>
      </c>
      <c r="X2" s="33">
        <v>3.6500000000000005E-2</v>
      </c>
      <c r="Y2" s="35">
        <v>0.04</v>
      </c>
      <c r="Z2" s="37">
        <v>4.8500000000000001E-2</v>
      </c>
      <c r="AM2" s="15" t="s">
        <v>11</v>
      </c>
      <c r="AN2" s="32">
        <v>3.3500000000000002E-2</v>
      </c>
      <c r="AO2" s="33">
        <v>3.6500000000000005E-2</v>
      </c>
      <c r="AP2" s="35">
        <v>0.04</v>
      </c>
      <c r="AQ2" s="37">
        <v>4.8500000000000001E-2</v>
      </c>
      <c r="BD2" s="15" t="s">
        <v>11</v>
      </c>
      <c r="BE2" s="32">
        <v>3.3500000000000002E-2</v>
      </c>
      <c r="BF2" s="33">
        <v>3.6500000000000005E-2</v>
      </c>
      <c r="BG2" s="35">
        <v>0.04</v>
      </c>
      <c r="BH2" s="37">
        <v>4.8500000000000001E-2</v>
      </c>
      <c r="BU2" s="15" t="s">
        <v>11</v>
      </c>
      <c r="BV2" s="32">
        <v>3.3500000000000002E-2</v>
      </c>
      <c r="BW2" s="33">
        <v>3.6500000000000005E-2</v>
      </c>
      <c r="BX2" s="35">
        <v>0.04</v>
      </c>
      <c r="BY2" s="37">
        <v>4.8500000000000001E-2</v>
      </c>
    </row>
    <row r="3" spans="1:77" x14ac:dyDescent="0.3">
      <c r="A3" s="17">
        <v>5000</v>
      </c>
      <c r="B3" s="18">
        <v>3.6500000000000005E-2</v>
      </c>
      <c r="D3" s="15">
        <v>0</v>
      </c>
      <c r="E3" s="39">
        <f>$B$8-($B$8-$B$7)*EXP(-$E$2*D3)</f>
        <v>3.4000000000000002E-2</v>
      </c>
      <c r="F3" s="40">
        <f>$B$8-($B$8-$B$7)*EXP(-$F$2*D3)</f>
        <v>3.4000000000000002E-2</v>
      </c>
      <c r="G3" s="41">
        <f>$B$8-($B$8-$B$7)*EXP(-$G$2*D3)</f>
        <v>3.4000000000000002E-2</v>
      </c>
      <c r="H3" s="42">
        <f>$B$8-($B$8-$B$7)*EXP(-$H$2*D3)</f>
        <v>3.4000000000000002E-2</v>
      </c>
      <c r="V3" s="15">
        <v>0</v>
      </c>
      <c r="W3" s="44">
        <f>$B$8-($B$8-$B$7)*EXP(-($W$2^2)*V3)</f>
        <v>3.4000000000000002E-2</v>
      </c>
      <c r="X3" s="34">
        <f>$B$8-($B$8-$B$7)*EXP(-($X$2^2)*V3)</f>
        <v>3.4000000000000002E-2</v>
      </c>
      <c r="Y3" s="36">
        <f>$B$8-($B$8-$B$7)*EXP(-($Y$2^2)*V3)</f>
        <v>3.4000000000000002E-2</v>
      </c>
      <c r="Z3" s="38">
        <f>$B$8-($B$8-$B$7)*EXP(-($Z$2^2)*V3)</f>
        <v>3.4000000000000002E-2</v>
      </c>
      <c r="AM3" s="15">
        <v>0</v>
      </c>
      <c r="AN3" s="44">
        <f>$B$8-($B$8-$B$7)*EXP(-($AN$2^0.5)*AM3)</f>
        <v>3.4000000000000002E-2</v>
      </c>
      <c r="AO3" s="34">
        <f>$B$8-($B$8-$B$7)*EXP(-($AO$2^0.5)*AM3)</f>
        <v>3.4000000000000002E-2</v>
      </c>
      <c r="AP3" s="36">
        <f>$B$8-($B$8-$B$7)*EXP(-($AP$2^0.5)*AM3)</f>
        <v>3.4000000000000002E-2</v>
      </c>
      <c r="AQ3" s="38">
        <f>$B$8-($B$8-$B$7)*EXP(-($AQ$2^0.5)*AM3)</f>
        <v>3.4000000000000002E-2</v>
      </c>
      <c r="BD3" s="15">
        <v>0</v>
      </c>
      <c r="BE3" s="44">
        <f>$B$8-($B$8-$B$7)*EXP(-($BE$2/2)*BD3)</f>
        <v>3.4000000000000002E-2</v>
      </c>
      <c r="BF3" s="34">
        <f>$B$8-($B$8-$B$7)*EXP(-($BF$2/2)*BD3)</f>
        <v>3.4000000000000002E-2</v>
      </c>
      <c r="BG3" s="36">
        <f>$B$8-($B$8-$B$7)*EXP(-($BG$2/2)*BD3)</f>
        <v>3.4000000000000002E-2</v>
      </c>
      <c r="BH3" s="38">
        <f>$B$8-($B$8-$B$7)*EXP(-($BH$2/2)*BD3)</f>
        <v>3.4000000000000002E-2</v>
      </c>
      <c r="BU3" s="15">
        <v>0</v>
      </c>
      <c r="BV3" s="44">
        <f>$B$8-($B$8-$B$7)*EXP(-($BV$2*2)*BU3)</f>
        <v>3.4000000000000002E-2</v>
      </c>
      <c r="BW3" s="34">
        <f>$B$8-($B$8-$B$7)*EXP(-($BW$2*2)*BU3)</f>
        <v>3.4000000000000002E-2</v>
      </c>
      <c r="BX3" s="36">
        <f>$B$8-($B$8-$B$7)*EXP(-($BX$2*2)*BU3)</f>
        <v>3.4000000000000002E-2</v>
      </c>
      <c r="BY3" s="38">
        <f>$B$8-($B$8-$B$7)*EXP(-($BY$2*2)*BU3)</f>
        <v>3.4000000000000002E-2</v>
      </c>
    </row>
    <row r="4" spans="1:77" x14ac:dyDescent="0.3">
      <c r="A4" s="17">
        <v>6000</v>
      </c>
      <c r="B4" s="18">
        <v>0.04</v>
      </c>
      <c r="D4" s="15">
        <f>D3+1</f>
        <v>1</v>
      </c>
      <c r="E4" s="30">
        <f t="shared" ref="E4:E59" si="0">$B$8-($B$8-$B$7)*EXP(-$E$2*D4)</f>
        <v>3.4457936733883504E-2</v>
      </c>
      <c r="F4" s="34">
        <f t="shared" ref="F4:F59" si="1">$B$8-($B$8-$B$7)*EXP(-$F$2*D4)</f>
        <v>3.4498202494841097E-2</v>
      </c>
      <c r="G4" s="36">
        <f t="shared" ref="G4:G59" si="2">$B$8-($B$8-$B$7)*EXP(-$G$2*D4)</f>
        <v>3.454502679578271E-2</v>
      </c>
      <c r="H4" s="38">
        <f t="shared" ref="H4:H59" si="3">$B$8-($B$8-$B$7)*EXP(-$H$2*D4)</f>
        <v>3.4658062983648902E-2</v>
      </c>
      <c r="V4" s="15">
        <f>V3+1</f>
        <v>1</v>
      </c>
      <c r="W4" s="44">
        <f t="shared" ref="W4:W59" si="4">$B$8-($B$8-$B$7)*EXP(-($W$2^2)*V4)</f>
        <v>3.4015590525130306E-2</v>
      </c>
      <c r="X4" s="34">
        <f t="shared" ref="X4:X59" si="5">$B$8-($B$8-$B$7)*EXP(-($X$2^2)*V4)</f>
        <v>3.4018505944990229E-2</v>
      </c>
      <c r="Y4" s="36">
        <f t="shared" ref="Y4:Y59" si="6">$B$8-($B$8-$B$7)*EXP(-($Y$2^2)*V4)</f>
        <v>3.4022222217485271E-2</v>
      </c>
      <c r="Z4" s="38">
        <f t="shared" ref="Z4:Z59" si="7">$B$8-($B$8-$B$7)*EXP(-($Z$2^2)*V4)</f>
        <v>3.4032657850227695E-2</v>
      </c>
      <c r="AM4" s="15">
        <f>AM3+1</f>
        <v>1</v>
      </c>
      <c r="AN4" s="44">
        <f t="shared" ref="AN4:AN59" si="8">$B$8-($B$8-$B$7)*EXP(-($AN$2^0.5)*AM4)</f>
        <v>3.6324870498324696E-2</v>
      </c>
      <c r="AO4" s="34">
        <f t="shared" ref="AO4:AO59" si="9">$B$8-($B$8-$B$7)*EXP(-($AO$2^0.5)*AM4)</f>
        <v>3.6417328092214533E-2</v>
      </c>
      <c r="AP4" s="36">
        <f t="shared" ref="AP4:AP59" si="10">$B$8-($B$8-$B$7)*EXP(-($AP$2^0.5)*AM4)</f>
        <v>3.6519642532216054E-2</v>
      </c>
      <c r="AQ4" s="38">
        <f t="shared" ref="AQ4:AQ59" si="11">$B$8-($B$8-$B$7)*EXP(-($AQ$2^0.5)*AM4)</f>
        <v>3.6747522342216815E-2</v>
      </c>
      <c r="BD4" s="15">
        <f>BD3+1</f>
        <v>1</v>
      </c>
      <c r="BE4" s="44">
        <f t="shared" ref="BE4:BE59" si="12">$B$8-($B$8-$B$7)*EXP(-($BE$2/2)*BD4)</f>
        <v>3.4230885932182022E-2</v>
      </c>
      <c r="BF4" s="34">
        <f t="shared" ref="BF4:BF59" si="13">$B$8-($B$8-$B$7)*EXP(-($BF$2/2)*BD4)</f>
        <v>3.4251374233216419E-2</v>
      </c>
      <c r="BG4" s="36">
        <f t="shared" ref="BG4:BG59" si="14">$B$8-($B$8-$B$7)*EXP(-($BG$2/2)*BD4)</f>
        <v>3.4275238441036103E-2</v>
      </c>
      <c r="BH4" s="38">
        <f t="shared" ref="BH4:BH59" si="15">$B$8-($B$8-$B$7)*EXP(-($BH$2/2)*BD4)</f>
        <v>3.4333020803167705E-2</v>
      </c>
      <c r="BU4" s="15">
        <f>BU3+1</f>
        <v>1</v>
      </c>
      <c r="BV4" s="44">
        <f t="shared" ref="BV4:BV59" si="16">$B$8-($B$8-$B$7)*EXP(-($BV$2*2)*BU4)</f>
        <v>3.4900786701418808E-2</v>
      </c>
      <c r="BW4" s="34">
        <f t="shared" ref="BW4:BW59" si="17">$B$8-($B$8-$B$7)*EXP(-($BW$2*2)*BU4)</f>
        <v>3.4978548462641479E-2</v>
      </c>
      <c r="BX4" s="36">
        <f t="shared" ref="BX4:BX59" si="18">$B$8-($B$8-$B$7)*EXP(-($BX$2*2)*BU4)</f>
        <v>3.5068682785225763E-2</v>
      </c>
      <c r="BY4" s="38">
        <f t="shared" ref="BY4:BY59" si="19">$B$8-($B$8-$B$7)*EXP(-($BY$2*2)*BU4)</f>
        <v>3.5284971514747514E-2</v>
      </c>
    </row>
    <row r="5" spans="1:77" x14ac:dyDescent="0.3">
      <c r="A5" s="17">
        <v>7000</v>
      </c>
      <c r="B5" s="18">
        <v>4.8500000000000001E-2</v>
      </c>
      <c r="D5" s="15">
        <f t="shared" ref="D5:D23" si="20">D4+1</f>
        <v>2</v>
      </c>
      <c r="E5" s="30">
        <f t="shared" si="0"/>
        <v>3.4900786701418808E-2</v>
      </c>
      <c r="F5" s="34">
        <f t="shared" si="1"/>
        <v>3.4978548462641479E-2</v>
      </c>
      <c r="G5" s="36">
        <f t="shared" si="2"/>
        <v>3.5068682785225763E-2</v>
      </c>
      <c r="H5" s="38">
        <f t="shared" si="3"/>
        <v>3.5284971514747514E-2</v>
      </c>
      <c r="V5" s="15">
        <f t="shared" ref="V5:V23" si="21">V4+1</f>
        <v>2</v>
      </c>
      <c r="W5" s="44">
        <f t="shared" si="4"/>
        <v>3.4031163563607816E-2</v>
      </c>
      <c r="X5" s="34">
        <f t="shared" si="5"/>
        <v>3.4036987251850961E-2</v>
      </c>
      <c r="Y5" s="36">
        <f t="shared" si="6"/>
        <v>3.4044408907851847E-2</v>
      </c>
      <c r="Z5" s="38">
        <f t="shared" si="7"/>
        <v>3.4065238971305645E-2</v>
      </c>
      <c r="AM5" s="15">
        <f t="shared" ref="AM5:AM23" si="22">AM4+1</f>
        <v>2</v>
      </c>
      <c r="AN5" s="44">
        <f t="shared" si="8"/>
        <v>3.8260890433053661E-2</v>
      </c>
      <c r="AO5" s="34">
        <f t="shared" si="9"/>
        <v>3.8414262291953556E-2</v>
      </c>
      <c r="AP5" s="36">
        <f t="shared" si="10"/>
        <v>3.8582551360104612E-2</v>
      </c>
      <c r="AQ5" s="38">
        <f t="shared" si="11"/>
        <v>3.8951959862780348E-2</v>
      </c>
      <c r="BD5" s="15">
        <f t="shared" ref="BD5:BD23" si="23">BD4+1</f>
        <v>2</v>
      </c>
      <c r="BE5" s="44">
        <f t="shared" si="12"/>
        <v>3.4457936733883504E-2</v>
      </c>
      <c r="BF5" s="34">
        <f t="shared" si="13"/>
        <v>3.4498202494841097E-2</v>
      </c>
      <c r="BG5" s="36">
        <f t="shared" si="14"/>
        <v>3.454502679578271E-2</v>
      </c>
      <c r="BH5" s="38">
        <f t="shared" si="15"/>
        <v>3.4658062983648902E-2</v>
      </c>
      <c r="BU5" s="15">
        <f t="shared" ref="BU5:BU23" si="24">BU4+1</f>
        <v>2</v>
      </c>
      <c r="BV5" s="44">
        <f t="shared" si="16"/>
        <v>3.5743198102013658E-2</v>
      </c>
      <c r="BW5" s="34">
        <f t="shared" si="17"/>
        <v>3.5888207925733467E-2</v>
      </c>
      <c r="BX5" s="36">
        <f t="shared" si="18"/>
        <v>3.605520133336966E-2</v>
      </c>
      <c r="BY5" s="38">
        <f t="shared" si="19"/>
        <v>3.6451155130666782E-2</v>
      </c>
    </row>
    <row r="6" spans="1:77" x14ac:dyDescent="0.3">
      <c r="D6" s="15">
        <f t="shared" si="20"/>
        <v>3</v>
      </c>
      <c r="E6" s="30">
        <f t="shared" si="0"/>
        <v>3.5329046937462492E-2</v>
      </c>
      <c r="F6" s="34">
        <f t="shared" si="1"/>
        <v>3.544167791536669E-2</v>
      </c>
      <c r="G6" s="36">
        <f t="shared" si="2"/>
        <v>3.5571805929631509E-2</v>
      </c>
      <c r="H6" s="38">
        <f t="shared" si="3"/>
        <v>3.5882200527972051E-2</v>
      </c>
      <c r="V6" s="15">
        <f t="shared" si="21"/>
        <v>3</v>
      </c>
      <c r="W6" s="44">
        <f t="shared" si="4"/>
        <v>3.4046719135045915E-2</v>
      </c>
      <c r="X6" s="34">
        <f>$B$8-($B$8-$B$7)*EXP(-($X$2^2)*V6)</f>
        <v>3.4055443953384487E-2</v>
      </c>
      <c r="Y6" s="36">
        <f t="shared" si="6"/>
        <v>3.4066560127897653E-2</v>
      </c>
      <c r="Z6" s="38">
        <f t="shared" si="7"/>
        <v>3.4097743543507877E-2</v>
      </c>
      <c r="AM6" s="15">
        <f t="shared" si="22"/>
        <v>3</v>
      </c>
      <c r="AN6" s="44">
        <f t="shared" si="8"/>
        <v>3.9873097732500626E-2</v>
      </c>
      <c r="AO6" s="34">
        <f t="shared" si="9"/>
        <v>4.0063912668718976E-2</v>
      </c>
      <c r="AP6" s="36">
        <f t="shared" si="10"/>
        <v>4.0271518258293032E-2</v>
      </c>
      <c r="AQ6" s="38">
        <f t="shared" si="11"/>
        <v>4.0720660596310118E-2</v>
      </c>
      <c r="BD6" s="15">
        <f t="shared" si="23"/>
        <v>3</v>
      </c>
      <c r="BE6" s="44">
        <f t="shared" si="12"/>
        <v>3.4681216108534363E-2</v>
      </c>
      <c r="BF6" s="34">
        <f t="shared" si="13"/>
        <v>3.474056699639369E-2</v>
      </c>
      <c r="BG6" s="36">
        <f t="shared" si="14"/>
        <v>3.4809472983178949E-2</v>
      </c>
      <c r="BH6" s="38">
        <f t="shared" si="15"/>
        <v>3.4975317695928133E-2</v>
      </c>
      <c r="BU6" s="15">
        <f t="shared" si="24"/>
        <v>3</v>
      </c>
      <c r="BV6" s="44">
        <f t="shared" si="16"/>
        <v>3.6531017201401353E-2</v>
      </c>
      <c r="BW6" s="34">
        <f t="shared" si="17"/>
        <v>3.6733828117664596E-2</v>
      </c>
      <c r="BX6" s="36">
        <f t="shared" si="18"/>
        <v>3.6965872731174909E-2</v>
      </c>
      <c r="BY6" s="38">
        <f t="shared" si="19"/>
        <v>3.7509532075548538E-2</v>
      </c>
    </row>
    <row r="7" spans="1:77" x14ac:dyDescent="0.3">
      <c r="A7" t="s">
        <v>8</v>
      </c>
      <c r="B7" s="8">
        <f>summary!D23</f>
        <v>3.4000000000000002E-2</v>
      </c>
      <c r="D7" s="15">
        <f t="shared" si="20"/>
        <v>4</v>
      </c>
      <c r="E7" s="30">
        <f t="shared" si="0"/>
        <v>3.5743198102013658E-2</v>
      </c>
      <c r="F7" s="34">
        <f t="shared" si="1"/>
        <v>3.5888207925733467E-2</v>
      </c>
      <c r="G7" s="36">
        <f t="shared" si="2"/>
        <v>3.605520133336966E-2</v>
      </c>
      <c r="H7" s="38">
        <f t="shared" si="3"/>
        <v>3.6451155130666782E-2</v>
      </c>
      <c r="V7" s="15">
        <f t="shared" si="21"/>
        <v>4</v>
      </c>
      <c r="W7" s="44">
        <f t="shared" si="4"/>
        <v>3.4062257259036E-2</v>
      </c>
      <c r="X7" s="34">
        <f t="shared" si="5"/>
        <v>3.4073876082349436E-2</v>
      </c>
      <c r="Y7" s="36">
        <f t="shared" si="6"/>
        <v>3.4088675934329835E-2</v>
      </c>
      <c r="Z7" s="38">
        <f t="shared" si="7"/>
        <v>3.4130171746684881E-2</v>
      </c>
      <c r="AM7" s="15">
        <f t="shared" si="22"/>
        <v>4</v>
      </c>
      <c r="AN7" s="44">
        <f t="shared" si="8"/>
        <v>4.121565228463335E-2</v>
      </c>
      <c r="AO7" s="34">
        <f t="shared" si="9"/>
        <v>4.142667482979466E-2</v>
      </c>
      <c r="AP7" s="36">
        <f t="shared" si="10"/>
        <v>4.1654327398770619E-2</v>
      </c>
      <c r="AQ7" s="38">
        <f t="shared" si="11"/>
        <v>4.2139753791561589E-2</v>
      </c>
      <c r="BD7" s="15">
        <f t="shared" si="23"/>
        <v>4</v>
      </c>
      <c r="BE7" s="44">
        <f t="shared" si="12"/>
        <v>3.4900786701418808E-2</v>
      </c>
      <c r="BF7" s="34">
        <f t="shared" si="13"/>
        <v>3.4978548462641479E-2</v>
      </c>
      <c r="BG7" s="36">
        <f t="shared" si="14"/>
        <v>3.5068682785225763E-2</v>
      </c>
      <c r="BH7" s="38">
        <f t="shared" si="15"/>
        <v>3.5284971514747514E-2</v>
      </c>
      <c r="BU7" s="15">
        <f t="shared" si="24"/>
        <v>4</v>
      </c>
      <c r="BV7" s="44">
        <f t="shared" si="16"/>
        <v>3.726778184267019E-2</v>
      </c>
      <c r="BW7" s="34">
        <f t="shared" si="17"/>
        <v>3.7519917349970337E-2</v>
      </c>
      <c r="BX7" s="36">
        <f t="shared" si="18"/>
        <v>3.78065283846757E-2</v>
      </c>
      <c r="BY7" s="38">
        <f t="shared" si="19"/>
        <v>3.8470068428628955E-2</v>
      </c>
    </row>
    <row r="8" spans="1:77" x14ac:dyDescent="0.3">
      <c r="A8" t="s">
        <v>9</v>
      </c>
      <c r="B8" s="8">
        <f>summary!D24</f>
        <v>4.7899999999999998E-2</v>
      </c>
      <c r="D8" s="15">
        <f t="shared" si="20"/>
        <v>5</v>
      </c>
      <c r="E8" s="30">
        <f t="shared" si="0"/>
        <v>3.6143705019685071E-2</v>
      </c>
      <c r="F8" s="34">
        <f t="shared" si="1"/>
        <v>3.6318733449396207E-2</v>
      </c>
      <c r="G8" s="36">
        <f t="shared" si="2"/>
        <v>3.6519642532216054E-2</v>
      </c>
      <c r="H8" s="38">
        <f t="shared" si="3"/>
        <v>3.6993173908655759E-2</v>
      </c>
      <c r="V8" s="15">
        <f t="shared" si="21"/>
        <v>5</v>
      </c>
      <c r="W8" s="44">
        <f t="shared" si="4"/>
        <v>3.4077777955147485E-2</v>
      </c>
      <c r="X8" s="34">
        <f t="shared" si="5"/>
        <v>3.4092283671460805E-2</v>
      </c>
      <c r="Y8" s="36">
        <f t="shared" si="6"/>
        <v>3.4110756383764859E-2</v>
      </c>
      <c r="Z8" s="38">
        <f t="shared" si="7"/>
        <v>3.4162523760264581E-2</v>
      </c>
      <c r="AM8" s="15">
        <f t="shared" si="22"/>
        <v>5</v>
      </c>
      <c r="AN8" s="44">
        <f t="shared" si="8"/>
        <v>4.2333655364057809E-2</v>
      </c>
      <c r="AO8" s="34">
        <f t="shared" si="9"/>
        <v>4.2552441073246225E-2</v>
      </c>
      <c r="AP8" s="36">
        <f t="shared" si="10"/>
        <v>4.278647576771695E-2</v>
      </c>
      <c r="AQ8" s="38">
        <f t="shared" si="11"/>
        <v>4.3278344090435988E-2</v>
      </c>
      <c r="BD8" s="15">
        <f t="shared" si="23"/>
        <v>5</v>
      </c>
      <c r="BE8" s="44">
        <f t="shared" si="12"/>
        <v>3.5116710117251607E-2</v>
      </c>
      <c r="BF8" s="34">
        <f t="shared" si="13"/>
        <v>3.5212226158486563E-2</v>
      </c>
      <c r="BG8" s="36">
        <f t="shared" si="14"/>
        <v>3.5322759889300163E-2</v>
      </c>
      <c r="BH8" s="38">
        <f t="shared" si="15"/>
        <v>3.5587206544829685E-2</v>
      </c>
      <c r="BU8" s="15">
        <f t="shared" si="24"/>
        <v>5</v>
      </c>
      <c r="BV8" s="44">
        <f t="shared" si="16"/>
        <v>3.7956800599699421E-2</v>
      </c>
      <c r="BW8" s="34">
        <f t="shared" si="17"/>
        <v>3.8250666552796096E-2</v>
      </c>
      <c r="BX8" s="36">
        <f t="shared" si="18"/>
        <v>3.8582551360104612E-2</v>
      </c>
      <c r="BY8" s="38">
        <f t="shared" si="19"/>
        <v>3.9341808964976438E-2</v>
      </c>
    </row>
    <row r="9" spans="1:77" x14ac:dyDescent="0.3">
      <c r="D9" s="15">
        <f t="shared" si="20"/>
        <v>6</v>
      </c>
      <c r="E9" s="30">
        <f t="shared" si="0"/>
        <v>3.6531017201401353E-2</v>
      </c>
      <c r="F9" s="34">
        <f t="shared" si="1"/>
        <v>3.6733828117664596E-2</v>
      </c>
      <c r="G9" s="36">
        <f t="shared" si="2"/>
        <v>3.6965872731174909E-2</v>
      </c>
      <c r="H9" s="38">
        <f t="shared" si="3"/>
        <v>3.7509532075548538E-2</v>
      </c>
      <c r="V9" s="15">
        <f t="shared" si="21"/>
        <v>6</v>
      </c>
      <c r="W9" s="44">
        <f t="shared" si="4"/>
        <v>3.4093281242927841E-2</v>
      </c>
      <c r="X9" s="34">
        <f t="shared" si="5"/>
        <v>3.4110666753390056E-2</v>
      </c>
      <c r="Y9" s="36">
        <f t="shared" si="6"/>
        <v>3.4132801532728699E-2</v>
      </c>
      <c r="Z9" s="38">
        <f t="shared" si="7"/>
        <v>3.419479976325334E-2</v>
      </c>
      <c r="AM9" s="15">
        <f t="shared" si="22"/>
        <v>6</v>
      </c>
      <c r="AN9" s="44">
        <f t="shared" si="8"/>
        <v>4.3264664747339095E-2</v>
      </c>
      <c r="AO9" s="34">
        <f t="shared" si="9"/>
        <v>4.3482427002628568E-2</v>
      </c>
      <c r="AP9" s="36">
        <f t="shared" si="10"/>
        <v>4.371340045442039E-2</v>
      </c>
      <c r="AQ9" s="38">
        <f t="shared" si="11"/>
        <v>4.4191876670980269E-2</v>
      </c>
      <c r="BD9" s="15">
        <f t="shared" si="23"/>
        <v>6</v>
      </c>
      <c r="BE9" s="44">
        <f t="shared" si="12"/>
        <v>3.5329046937462492E-2</v>
      </c>
      <c r="BF9" s="34">
        <f t="shared" si="13"/>
        <v>3.544167791536669E-2</v>
      </c>
      <c r="BG9" s="36">
        <f t="shared" si="14"/>
        <v>3.5571805929631509E-2</v>
      </c>
      <c r="BH9" s="38">
        <f t="shared" si="15"/>
        <v>3.5882200527972051E-2</v>
      </c>
      <c r="BU9" s="15">
        <f t="shared" si="24"/>
        <v>6</v>
      </c>
      <c r="BV9" s="44">
        <f t="shared" si="16"/>
        <v>3.8601167634904184E-2</v>
      </c>
      <c r="BW9" s="34">
        <f t="shared" si="17"/>
        <v>3.8929971618283606E-2</v>
      </c>
      <c r="BX9" s="36">
        <f t="shared" si="18"/>
        <v>3.9298910853894642E-2</v>
      </c>
      <c r="BY9" s="38">
        <f t="shared" si="19"/>
        <v>4.013296232452844E-2</v>
      </c>
    </row>
    <row r="10" spans="1:77" x14ac:dyDescent="0.3">
      <c r="D10" s="15">
        <f t="shared" si="20"/>
        <v>7</v>
      </c>
      <c r="E10" s="30">
        <f t="shared" si="0"/>
        <v>3.6905569348909845E-2</v>
      </c>
      <c r="F10" s="34">
        <f t="shared" si="1"/>
        <v>3.7134045001808766E-2</v>
      </c>
      <c r="G10" s="36">
        <f t="shared" si="2"/>
        <v>3.7394605993765415E-2</v>
      </c>
      <c r="H10" s="38">
        <f t="shared" si="3"/>
        <v>3.8001444472949446E-2</v>
      </c>
      <c r="V10" s="15">
        <f t="shared" si="21"/>
        <v>7</v>
      </c>
      <c r="W10" s="44">
        <f t="shared" si="4"/>
        <v>3.4108767141902599E-2</v>
      </c>
      <c r="X10" s="34">
        <f t="shared" si="5"/>
        <v>3.412902536076514E-2</v>
      </c>
      <c r="Y10" s="36">
        <f t="shared" si="6"/>
        <v>3.4154811437656946E-2</v>
      </c>
      <c r="Z10" s="38">
        <f t="shared" si="7"/>
        <v>3.4226999934236953E-2</v>
      </c>
      <c r="AM10" s="15">
        <f t="shared" si="22"/>
        <v>7</v>
      </c>
      <c r="AN10" s="44">
        <f t="shared" si="8"/>
        <v>4.4039956414875479E-2</v>
      </c>
      <c r="AO10" s="34">
        <f t="shared" si="9"/>
        <v>4.4250680477877079E-2</v>
      </c>
      <c r="AP10" s="36">
        <f t="shared" si="10"/>
        <v>4.4472302201211671E-2</v>
      </c>
      <c r="AQ10" s="38">
        <f t="shared" si="11"/>
        <v>4.4924837224518191E-2</v>
      </c>
      <c r="BD10" s="15">
        <f t="shared" si="23"/>
        <v>7</v>
      </c>
      <c r="BE10" s="44">
        <f t="shared" si="12"/>
        <v>3.5537856737193459E-2</v>
      </c>
      <c r="BF10" s="34">
        <f t="shared" si="13"/>
        <v>3.5666980157178764E-2</v>
      </c>
      <c r="BG10" s="36">
        <f t="shared" si="14"/>
        <v>3.5815920527956596E-2</v>
      </c>
      <c r="BH10" s="38">
        <f t="shared" si="15"/>
        <v>3.6170126947575154E-2</v>
      </c>
      <c r="BU10" s="15">
        <f t="shared" si="24"/>
        <v>7</v>
      </c>
      <c r="BV10" s="44">
        <f t="shared" si="16"/>
        <v>3.9203776594127285E-2</v>
      </c>
      <c r="BW10" s="34">
        <f t="shared" si="17"/>
        <v>3.9561454171001521E-2</v>
      </c>
      <c r="BX10" s="36">
        <f t="shared" si="18"/>
        <v>3.9960194012501477E-2</v>
      </c>
      <c r="BY10" s="38">
        <f t="shared" si="19"/>
        <v>4.0850978307762367E-2</v>
      </c>
    </row>
    <row r="11" spans="1:77" x14ac:dyDescent="0.3">
      <c r="D11" s="15">
        <f t="shared" si="20"/>
        <v>8</v>
      </c>
      <c r="E11" s="30">
        <f t="shared" si="0"/>
        <v>3.726778184267019E-2</v>
      </c>
      <c r="F11" s="34">
        <f t="shared" si="1"/>
        <v>3.7519917349970337E-2</v>
      </c>
      <c r="G11" s="36">
        <f t="shared" si="2"/>
        <v>3.78065283846757E-2</v>
      </c>
      <c r="H11" s="38">
        <f t="shared" si="3"/>
        <v>3.8470068428628955E-2</v>
      </c>
      <c r="V11" s="15">
        <f t="shared" si="21"/>
        <v>8</v>
      </c>
      <c r="W11" s="44">
        <f t="shared" si="4"/>
        <v>3.4124235671575402E-2</v>
      </c>
      <c r="X11" s="34">
        <f t="shared" si="5"/>
        <v>3.4147359526170568E-2</v>
      </c>
      <c r="Y11" s="36">
        <f t="shared" si="6"/>
        <v>3.4176786154894966E-2</v>
      </c>
      <c r="Z11" s="38">
        <f t="shared" si="7"/>
        <v>3.4259124451381628E-2</v>
      </c>
      <c r="AM11" s="15">
        <f t="shared" si="22"/>
        <v>8</v>
      </c>
      <c r="AN11" s="44">
        <f t="shared" si="8"/>
        <v>4.468557522446566E-2</v>
      </c>
      <c r="AO11" s="34">
        <f t="shared" si="9"/>
        <v>4.4885328146819135E-2</v>
      </c>
      <c r="AP11" s="36">
        <f t="shared" si="10"/>
        <v>4.5093638399874292E-2</v>
      </c>
      <c r="AQ11" s="38">
        <f t="shared" si="11"/>
        <v>4.5512918245911575E-2</v>
      </c>
      <c r="BD11" s="15">
        <f t="shared" si="23"/>
        <v>8</v>
      </c>
      <c r="BE11" s="44">
        <f t="shared" si="12"/>
        <v>3.5743198102013658E-2</v>
      </c>
      <c r="BF11" s="34">
        <f t="shared" si="13"/>
        <v>3.5888207925733467E-2</v>
      </c>
      <c r="BG11" s="36">
        <f t="shared" si="14"/>
        <v>3.605520133336966E-2</v>
      </c>
      <c r="BH11" s="38">
        <f t="shared" si="15"/>
        <v>3.6451155130666782E-2</v>
      </c>
      <c r="BU11" s="15">
        <f t="shared" si="24"/>
        <v>8</v>
      </c>
      <c r="BV11" s="44">
        <f t="shared" si="16"/>
        <v>3.9767333601075275E-2</v>
      </c>
      <c r="BW11" s="34">
        <f t="shared" si="17"/>
        <v>4.0148480876154906E-2</v>
      </c>
      <c r="BX11" s="36">
        <f t="shared" si="18"/>
        <v>4.0570635305801628E-2</v>
      </c>
      <c r="BY11" s="38">
        <f t="shared" si="19"/>
        <v>4.1502618025846011E-2</v>
      </c>
    </row>
    <row r="12" spans="1:77" x14ac:dyDescent="0.3">
      <c r="D12" s="15">
        <f t="shared" si="20"/>
        <v>9</v>
      </c>
      <c r="E12" s="30">
        <f t="shared" si="0"/>
        <v>3.7618061213670513E-2</v>
      </c>
      <c r="F12" s="34">
        <f t="shared" si="1"/>
        <v>3.7891959297661093E-2</v>
      </c>
      <c r="G12" s="36">
        <f t="shared" si="2"/>
        <v>3.8202299067612668E-2</v>
      </c>
      <c r="H12" s="38">
        <f t="shared" si="3"/>
        <v>3.8916506479381566E-2</v>
      </c>
      <c r="V12" s="15">
        <f t="shared" si="21"/>
        <v>9</v>
      </c>
      <c r="W12" s="44">
        <f t="shared" si="4"/>
        <v>3.4139686851428028E-2</v>
      </c>
      <c r="X12" s="34">
        <f t="shared" si="5"/>
        <v>3.4165669282147482E-2</v>
      </c>
      <c r="Y12" s="36">
        <f t="shared" si="6"/>
        <v>3.4198725740698044E-2</v>
      </c>
      <c r="Z12" s="38">
        <f t="shared" si="7"/>
        <v>3.4291173492434962E-2</v>
      </c>
      <c r="AM12" s="15">
        <f t="shared" si="22"/>
        <v>9</v>
      </c>
      <c r="AN12" s="44">
        <f t="shared" si="8"/>
        <v>4.5223209852503339E-2</v>
      </c>
      <c r="AO12" s="34">
        <f t="shared" si="9"/>
        <v>4.5409605194265366E-2</v>
      </c>
      <c r="AP12" s="36">
        <f t="shared" si="10"/>
        <v>4.5602345453719946E-2</v>
      </c>
      <c r="AQ12" s="38">
        <f t="shared" si="11"/>
        <v>4.5984757127354454E-2</v>
      </c>
      <c r="BD12" s="15">
        <f t="shared" si="23"/>
        <v>9</v>
      </c>
      <c r="BE12" s="44">
        <f t="shared" si="12"/>
        <v>3.5945128644356734E-2</v>
      </c>
      <c r="BF12" s="34">
        <f t="shared" si="13"/>
        <v>3.6105434905749564E-2</v>
      </c>
      <c r="BG12" s="36">
        <f t="shared" si="14"/>
        <v>3.6289744061383321E-2</v>
      </c>
      <c r="BH12" s="38">
        <f t="shared" si="15"/>
        <v>3.6725450347481731E-2</v>
      </c>
      <c r="BU12" s="15">
        <f t="shared" si="24"/>
        <v>9</v>
      </c>
      <c r="BV12" s="44">
        <f t="shared" si="16"/>
        <v>4.0294369409652753E-2</v>
      </c>
      <c r="BW12" s="34">
        <f t="shared" si="17"/>
        <v>4.0694181388512794E-2</v>
      </c>
      <c r="BX12" s="36">
        <f t="shared" si="18"/>
        <v>4.1134143642156396E-2</v>
      </c>
      <c r="BY12" s="38">
        <f t="shared" si="19"/>
        <v>4.2094017565827813E-2</v>
      </c>
    </row>
    <row r="13" spans="1:77" x14ac:dyDescent="0.3">
      <c r="D13" s="15">
        <f t="shared" si="20"/>
        <v>10</v>
      </c>
      <c r="E13" s="39">
        <f t="shared" si="0"/>
        <v>3.7956800599699421E-2</v>
      </c>
      <c r="F13" s="40">
        <f t="shared" si="1"/>
        <v>3.8250666552796096E-2</v>
      </c>
      <c r="G13" s="41">
        <f t="shared" si="2"/>
        <v>3.8582551360104612E-2</v>
      </c>
      <c r="H13" s="42">
        <f t="shared" si="3"/>
        <v>3.9341808964976438E-2</v>
      </c>
      <c r="V13" s="15">
        <f t="shared" si="21"/>
        <v>10</v>
      </c>
      <c r="W13" s="44">
        <f t="shared" si="4"/>
        <v>3.4155120700920374E-2</v>
      </c>
      <c r="X13" s="34">
        <f t="shared" si="5"/>
        <v>3.4183954661193672E-2</v>
      </c>
      <c r="Y13" s="36">
        <f t="shared" si="6"/>
        <v>3.4220630251231537E-2</v>
      </c>
      <c r="Z13" s="38">
        <f t="shared" si="7"/>
        <v>3.4323147234726958E-2</v>
      </c>
      <c r="AM13" s="15">
        <f t="shared" si="22"/>
        <v>10</v>
      </c>
      <c r="AN13" s="44">
        <f t="shared" si="8"/>
        <v>4.5670921395245867E-2</v>
      </c>
      <c r="AO13" s="34">
        <f t="shared" si="9"/>
        <v>4.5842706008985323E-2</v>
      </c>
      <c r="AP13" s="36">
        <f t="shared" si="10"/>
        <v>4.6018839563011081E-2</v>
      </c>
      <c r="AQ13" s="38">
        <f t="shared" si="11"/>
        <v>4.6363330694503026E-2</v>
      </c>
      <c r="BD13" s="15">
        <f t="shared" si="23"/>
        <v>10</v>
      </c>
      <c r="BE13" s="44">
        <f t="shared" si="12"/>
        <v>3.6143705019685071E-2</v>
      </c>
      <c r="BF13" s="34">
        <f t="shared" si="13"/>
        <v>3.6318733449396207E-2</v>
      </c>
      <c r="BG13" s="36">
        <f t="shared" si="14"/>
        <v>3.6519642532216054E-2</v>
      </c>
      <c r="BH13" s="38">
        <f t="shared" si="15"/>
        <v>3.6993173908655759E-2</v>
      </c>
      <c r="BU13" s="15">
        <f t="shared" si="24"/>
        <v>10</v>
      </c>
      <c r="BV13" s="44">
        <f t="shared" si="16"/>
        <v>4.0787250768767061E-2</v>
      </c>
      <c r="BW13" s="34">
        <f t="shared" si="17"/>
        <v>4.1201465037746188E-2</v>
      </c>
      <c r="BX13" s="36">
        <f t="shared" si="18"/>
        <v>4.1654327398770619E-2</v>
      </c>
      <c r="BY13" s="38">
        <f t="shared" si="19"/>
        <v>4.2630745770362757E-2</v>
      </c>
    </row>
    <row r="14" spans="1:77" x14ac:dyDescent="0.3">
      <c r="D14" s="15">
        <f t="shared" si="20"/>
        <v>11</v>
      </c>
      <c r="E14" s="30">
        <f t="shared" si="0"/>
        <v>3.8284380186586184E-2</v>
      </c>
      <c r="F14" s="34">
        <f t="shared" si="1"/>
        <v>3.859651705617384E-2</v>
      </c>
      <c r="G14" s="36">
        <f t="shared" si="2"/>
        <v>3.8947893746944337E-2</v>
      </c>
      <c r="H14" s="38">
        <f t="shared" si="3"/>
        <v>3.9746976499303401E-2</v>
      </c>
      <c r="V14" s="15">
        <f t="shared" si="21"/>
        <v>11</v>
      </c>
      <c r="W14" s="44">
        <f t="shared" si="4"/>
        <v>3.4170537239490539E-2</v>
      </c>
      <c r="X14" s="34">
        <f t="shared" si="5"/>
        <v>3.4202215695763705E-2</v>
      </c>
      <c r="Y14" s="36">
        <f t="shared" si="6"/>
        <v>3.4242499742571007E-2</v>
      </c>
      <c r="Z14" s="38">
        <f t="shared" si="7"/>
        <v>3.4355045855170969E-2</v>
      </c>
      <c r="AM14" s="15">
        <f t="shared" si="22"/>
        <v>11</v>
      </c>
      <c r="AN14" s="44">
        <f t="shared" si="8"/>
        <v>4.6043750106514909E-2</v>
      </c>
      <c r="AO14" s="34">
        <f t="shared" si="9"/>
        <v>4.6200486912469065E-2</v>
      </c>
      <c r="AP14" s="36">
        <f t="shared" si="10"/>
        <v>4.6359836098763554E-2</v>
      </c>
      <c r="AQ14" s="38">
        <f t="shared" si="11"/>
        <v>4.6667074093744154E-2</v>
      </c>
      <c r="BD14" s="15">
        <f t="shared" si="23"/>
        <v>11</v>
      </c>
      <c r="BE14" s="44">
        <f t="shared" si="12"/>
        <v>3.6338982942385557E-2</v>
      </c>
      <c r="BF14" s="34">
        <f t="shared" si="13"/>
        <v>3.6528174600391386E-2</v>
      </c>
      <c r="BG14" s="36">
        <f t="shared" si="14"/>
        <v>3.6744988708321547E-2</v>
      </c>
      <c r="BH14" s="38">
        <f t="shared" si="15"/>
        <v>3.7254483260091002E-2</v>
      </c>
      <c r="BU14" s="15">
        <f t="shared" si="24"/>
        <v>11</v>
      </c>
      <c r="BV14" s="44">
        <f t="shared" si="16"/>
        <v>4.1248191050639108E-2</v>
      </c>
      <c r="BW14" s="34">
        <f t="shared" si="17"/>
        <v>4.1673036339132066E-2</v>
      </c>
      <c r="BX14" s="36">
        <f t="shared" si="18"/>
        <v>4.2134517527626023E-2</v>
      </c>
      <c r="BY14" s="38">
        <f t="shared" si="19"/>
        <v>4.3117856676049567E-2</v>
      </c>
    </row>
    <row r="15" spans="1:77" x14ac:dyDescent="0.3">
      <c r="D15" s="15">
        <f t="shared" si="20"/>
        <v>12</v>
      </c>
      <c r="E15" s="30">
        <f t="shared" si="0"/>
        <v>3.8601167634904184E-2</v>
      </c>
      <c r="F15" s="34">
        <f t="shared" si="1"/>
        <v>3.8929971618283606E-2</v>
      </c>
      <c r="G15" s="36">
        <f t="shared" si="2"/>
        <v>3.9298910853894642E-2</v>
      </c>
      <c r="H15" s="38">
        <f t="shared" si="3"/>
        <v>4.013296232452844E-2</v>
      </c>
      <c r="V15" s="15">
        <f t="shared" si="21"/>
        <v>12</v>
      </c>
      <c r="W15" s="44">
        <f t="shared" si="4"/>
        <v>3.4185936486554797E-2</v>
      </c>
      <c r="X15" s="34">
        <f t="shared" si="5"/>
        <v>3.422045241826889E-2</v>
      </c>
      <c r="Y15" s="36">
        <f t="shared" si="6"/>
        <v>3.4264334270702357E-2</v>
      </c>
      <c r="Z15" s="38">
        <f t="shared" si="7"/>
        <v>3.4386869530264694E-2</v>
      </c>
      <c r="AM15" s="15">
        <f t="shared" si="22"/>
        <v>12</v>
      </c>
      <c r="AN15" s="44">
        <f t="shared" si="8"/>
        <v>4.6354220654348133E-2</v>
      </c>
      <c r="AO15" s="34">
        <f t="shared" si="9"/>
        <v>4.6496046677186674E-2</v>
      </c>
      <c r="AP15" s="36">
        <f t="shared" si="10"/>
        <v>4.6639020449277167E-2</v>
      </c>
      <c r="AQ15" s="38">
        <f t="shared" si="11"/>
        <v>4.6910778516315081E-2</v>
      </c>
      <c r="BD15" s="15">
        <f t="shared" si="23"/>
        <v>12</v>
      </c>
      <c r="BE15" s="44">
        <f t="shared" si="12"/>
        <v>3.6531017201401353E-2</v>
      </c>
      <c r="BF15" s="34">
        <f t="shared" si="13"/>
        <v>3.6733828117664596E-2</v>
      </c>
      <c r="BG15" s="36">
        <f t="shared" si="14"/>
        <v>3.6965872731174909E-2</v>
      </c>
      <c r="BH15" s="38">
        <f t="shared" si="15"/>
        <v>3.7509532075548538E-2</v>
      </c>
      <c r="BU15" s="15">
        <f t="shared" si="24"/>
        <v>12</v>
      </c>
      <c r="BV15" s="44">
        <f t="shared" si="16"/>
        <v>4.167926019034867E-2</v>
      </c>
      <c r="BW15" s="34">
        <f t="shared" si="17"/>
        <v>4.2111409412316718E-2</v>
      </c>
      <c r="BX15" s="36">
        <f t="shared" si="18"/>
        <v>4.2577788884945941E-2</v>
      </c>
      <c r="BY15" s="38">
        <f t="shared" si="19"/>
        <v>4.3559937104158654E-2</v>
      </c>
    </row>
    <row r="16" spans="1:77" x14ac:dyDescent="0.3">
      <c r="D16" s="15">
        <f t="shared" si="20"/>
        <v>13</v>
      </c>
      <c r="E16" s="30">
        <f t="shared" si="0"/>
        <v>3.8907518492616568E-2</v>
      </c>
      <c r="F16" s="34">
        <f t="shared" si="1"/>
        <v>3.9251474533288394E-2</v>
      </c>
      <c r="G16" s="36">
        <f t="shared" si="2"/>
        <v>3.9636164383214295E-2</v>
      </c>
      <c r="H16" s="38">
        <f t="shared" si="3"/>
        <v>4.0500674553797085E-2</v>
      </c>
      <c r="V16" s="15">
        <f t="shared" si="21"/>
        <v>13</v>
      </c>
      <c r="W16" s="44">
        <f t="shared" si="4"/>
        <v>3.4201318461507674E-2</v>
      </c>
      <c r="X16" s="34">
        <f t="shared" si="5"/>
        <v>3.4238664861077434E-2</v>
      </c>
      <c r="Y16" s="36">
        <f t="shared" si="6"/>
        <v>3.4286133891521992E-2</v>
      </c>
      <c r="Z16" s="38">
        <f t="shared" si="7"/>
        <v>3.4418618436091161E-2</v>
      </c>
      <c r="AM16" s="15">
        <f t="shared" si="22"/>
        <v>13</v>
      </c>
      <c r="AN16" s="44">
        <f t="shared" si="8"/>
        <v>4.6612762870004654E-2</v>
      </c>
      <c r="AO16" s="34">
        <f t="shared" si="9"/>
        <v>4.6740206087790601E-2</v>
      </c>
      <c r="AP16" s="36">
        <f t="shared" si="10"/>
        <v>4.6867597262820755E-2</v>
      </c>
      <c r="AQ16" s="38">
        <f t="shared" si="11"/>
        <v>4.7106311475151423E-2</v>
      </c>
      <c r="BD16" s="15">
        <f t="shared" si="23"/>
        <v>13</v>
      </c>
      <c r="BE16" s="44">
        <f t="shared" si="12"/>
        <v>3.6719861675603933E-2</v>
      </c>
      <c r="BF16" s="34">
        <f t="shared" si="13"/>
        <v>3.6935762498591554E-2</v>
      </c>
      <c r="BG16" s="36">
        <f t="shared" si="14"/>
        <v>3.718238295733043E-2</v>
      </c>
      <c r="BH16" s="38">
        <f t="shared" si="15"/>
        <v>3.7758470347022573E-2</v>
      </c>
      <c r="BU16" s="15">
        <f t="shared" si="24"/>
        <v>13</v>
      </c>
      <c r="BV16" s="44">
        <f t="shared" si="16"/>
        <v>4.2082393981249425E-2</v>
      </c>
      <c r="BW16" s="34">
        <f t="shared" si="17"/>
        <v>4.2518921385010129E-2</v>
      </c>
      <c r="BX16" s="36">
        <f t="shared" si="18"/>
        <v>4.2986979920772952E-2</v>
      </c>
      <c r="BY16" s="38">
        <f t="shared" si="19"/>
        <v>4.396114985188302E-2</v>
      </c>
    </row>
    <row r="17" spans="4:82" x14ac:dyDescent="0.3">
      <c r="D17" s="15">
        <f t="shared" si="20"/>
        <v>14</v>
      </c>
      <c r="E17" s="30">
        <f t="shared" si="0"/>
        <v>3.9203776594127285E-2</v>
      </c>
      <c r="F17" s="34">
        <f t="shared" si="1"/>
        <v>3.9561454171001521E-2</v>
      </c>
      <c r="G17" s="36">
        <f t="shared" si="2"/>
        <v>3.9960194012501477E-2</v>
      </c>
      <c r="H17" s="38">
        <f t="shared" si="3"/>
        <v>4.0850978307762367E-2</v>
      </c>
      <c r="V17" s="15">
        <f t="shared" si="21"/>
        <v>14</v>
      </c>
      <c r="W17" s="44">
        <f t="shared" si="4"/>
        <v>3.421668318372191E-2</v>
      </c>
      <c r="X17" s="34">
        <f t="shared" si="5"/>
        <v>3.4256853056514408E-2</v>
      </c>
      <c r="Y17" s="36">
        <f t="shared" si="6"/>
        <v>3.4307898660836951E-2</v>
      </c>
      <c r="Z17" s="38">
        <f t="shared" si="7"/>
        <v>3.4450292748319691E-2</v>
      </c>
      <c r="AM17" s="15">
        <f t="shared" si="22"/>
        <v>14</v>
      </c>
      <c r="AN17" s="44">
        <f t="shared" si="8"/>
        <v>4.6828062123808564E-2</v>
      </c>
      <c r="AO17" s="34">
        <f t="shared" si="9"/>
        <v>4.6941904102550537E-2</v>
      </c>
      <c r="AP17" s="36">
        <f t="shared" si="10"/>
        <v>4.705474012950947E-2</v>
      </c>
      <c r="AQ17" s="38">
        <f t="shared" si="11"/>
        <v>4.726319470930844E-2</v>
      </c>
      <c r="BD17" s="15">
        <f t="shared" si="23"/>
        <v>14</v>
      </c>
      <c r="BE17" s="44">
        <f t="shared" si="12"/>
        <v>3.6905569348909845E-2</v>
      </c>
      <c r="BF17" s="34">
        <f t="shared" si="13"/>
        <v>3.7134045001808766E-2</v>
      </c>
      <c r="BG17" s="36">
        <f t="shared" si="14"/>
        <v>3.7394605993765415E-2</v>
      </c>
      <c r="BH17" s="38">
        <f t="shared" si="15"/>
        <v>3.8001444472949446E-2</v>
      </c>
      <c r="BU17" s="15">
        <f t="shared" si="24"/>
        <v>14</v>
      </c>
      <c r="BV17" s="44">
        <f t="shared" si="16"/>
        <v>4.2459402767996507E-2</v>
      </c>
      <c r="BW17" s="34">
        <f t="shared" si="17"/>
        <v>4.2897744853071372E-2</v>
      </c>
      <c r="BX17" s="36">
        <f t="shared" si="18"/>
        <v>4.3364710854739752E-2</v>
      </c>
      <c r="BY17" s="38">
        <f t="shared" si="19"/>
        <v>4.4325272890817502E-2</v>
      </c>
    </row>
    <row r="18" spans="4:82" x14ac:dyDescent="0.3">
      <c r="D18" s="15">
        <f t="shared" si="20"/>
        <v>15</v>
      </c>
      <c r="E18" s="30">
        <f t="shared" si="0"/>
        <v>3.949027444618531E-2</v>
      </c>
      <c r="F18" s="34">
        <f t="shared" si="1"/>
        <v>3.9860323547645682E-2</v>
      </c>
      <c r="G18" s="36">
        <f t="shared" si="2"/>
        <v>4.0271518258293032E-2</v>
      </c>
      <c r="H18" s="38">
        <f t="shared" si="3"/>
        <v>4.1184697749963785E-2</v>
      </c>
      <c r="V18" s="15">
        <f t="shared" si="21"/>
        <v>15</v>
      </c>
      <c r="W18" s="44">
        <f t="shared" si="4"/>
        <v>3.4232030672548527E-2</v>
      </c>
      <c r="X18" s="34">
        <f t="shared" si="5"/>
        <v>3.4275017036861866E-2</v>
      </c>
      <c r="Y18" s="36">
        <f t="shared" si="6"/>
        <v>3.4329628634365061E-2</v>
      </c>
      <c r="Z18" s="38">
        <f t="shared" si="7"/>
        <v>3.4481892642206864E-2</v>
      </c>
      <c r="AM18" s="15">
        <f t="shared" si="22"/>
        <v>15</v>
      </c>
      <c r="AN18" s="44">
        <f t="shared" si="8"/>
        <v>4.7007351098225417E-2</v>
      </c>
      <c r="AO18" s="34">
        <f t="shared" si="9"/>
        <v>4.7108525118949106E-2</v>
      </c>
      <c r="AP18" s="36">
        <f t="shared" si="10"/>
        <v>4.7207959749686688E-2</v>
      </c>
      <c r="AQ18" s="38">
        <f t="shared" si="11"/>
        <v>4.7389067857784482E-2</v>
      </c>
      <c r="BD18" s="15">
        <f t="shared" si="23"/>
        <v>15</v>
      </c>
      <c r="BE18" s="44">
        <f t="shared" si="12"/>
        <v>3.708819232514636E-2</v>
      </c>
      <c r="BF18" s="34">
        <f t="shared" si="13"/>
        <v>3.7328741669615438E-2</v>
      </c>
      <c r="BG18" s="36">
        <f t="shared" si="14"/>
        <v>3.7602626732524125E-2</v>
      </c>
      <c r="BH18" s="38">
        <f t="shared" si="15"/>
        <v>3.8238597344303293E-2</v>
      </c>
      <c r="BU18" s="15">
        <f t="shared" si="24"/>
        <v>15</v>
      </c>
      <c r="BV18" s="44">
        <f t="shared" si="16"/>
        <v>4.2811979576224186E-2</v>
      </c>
      <c r="BW18" s="34">
        <f t="shared" si="17"/>
        <v>4.3249899463414357E-2</v>
      </c>
      <c r="BX18" s="36">
        <f t="shared" si="18"/>
        <v>4.371340045442039E-2</v>
      </c>
      <c r="BY18" s="38">
        <f t="shared" si="19"/>
        <v>4.4655734941773995E-2</v>
      </c>
    </row>
    <row r="19" spans="4:82" x14ac:dyDescent="0.3">
      <c r="D19" s="15">
        <f t="shared" si="20"/>
        <v>16</v>
      </c>
      <c r="E19" s="30">
        <f t="shared" si="0"/>
        <v>3.9767333601075275E-2</v>
      </c>
      <c r="F19" s="34">
        <f t="shared" si="1"/>
        <v>4.0148480876154906E-2</v>
      </c>
      <c r="G19" s="36">
        <f t="shared" si="2"/>
        <v>4.0570635305801628E-2</v>
      </c>
      <c r="H19" s="38">
        <f t="shared" si="3"/>
        <v>4.1502618025846011E-2</v>
      </c>
      <c r="V19" s="15">
        <f t="shared" si="21"/>
        <v>16</v>
      </c>
      <c r="W19" s="44">
        <f t="shared" si="4"/>
        <v>3.4247360947316868E-2</v>
      </c>
      <c r="X19" s="34">
        <f t="shared" si="5"/>
        <v>3.4293156834358886E-2</v>
      </c>
      <c r="Y19" s="36">
        <f t="shared" si="6"/>
        <v>3.4351323867735067E-2</v>
      </c>
      <c r="Z19" s="38">
        <f t="shared" si="7"/>
        <v>3.4513418292597506E-2</v>
      </c>
      <c r="AM19" s="15">
        <f t="shared" si="22"/>
        <v>16</v>
      </c>
      <c r="AN19" s="44">
        <f t="shared" si="8"/>
        <v>4.7156652759887119E-2</v>
      </c>
      <c r="AO19" s="34">
        <f t="shared" si="9"/>
        <v>4.7246169325010003E-2</v>
      </c>
      <c r="AP19" s="36">
        <f t="shared" si="10"/>
        <v>4.7333405364700709E-2</v>
      </c>
      <c r="AQ19" s="38">
        <f t="shared" si="11"/>
        <v>4.7490060481963893E-2</v>
      </c>
      <c r="BD19" s="15">
        <f t="shared" si="23"/>
        <v>16</v>
      </c>
      <c r="BE19" s="44">
        <f t="shared" si="12"/>
        <v>3.726778184267019E-2</v>
      </c>
      <c r="BF19" s="34">
        <f t="shared" si="13"/>
        <v>3.7519917349970337E-2</v>
      </c>
      <c r="BG19" s="36">
        <f t="shared" si="14"/>
        <v>3.78065283846757E-2</v>
      </c>
      <c r="BH19" s="38">
        <f t="shared" si="15"/>
        <v>3.8470068428628955E-2</v>
      </c>
      <c r="BU19" s="15">
        <f t="shared" si="24"/>
        <v>16</v>
      </c>
      <c r="BV19" s="44">
        <f t="shared" si="16"/>
        <v>4.3141707715381346E-2</v>
      </c>
      <c r="BW19" s="34">
        <f t="shared" si="17"/>
        <v>4.3577262681486602E-2</v>
      </c>
      <c r="BX19" s="36">
        <f t="shared" si="18"/>
        <v>4.4035281523700599E-2</v>
      </c>
      <c r="BY19" s="38">
        <f t="shared" si="19"/>
        <v>4.4955647760918677E-2</v>
      </c>
    </row>
    <row r="20" spans="4:82" x14ac:dyDescent="0.3">
      <c r="D20" s="15">
        <f>D19+1</f>
        <v>17</v>
      </c>
      <c r="E20" s="30">
        <f t="shared" si="0"/>
        <v>4.0035265017513234E-2</v>
      </c>
      <c r="F20" s="34">
        <f t="shared" si="1"/>
        <v>4.0426310096752606E-2</v>
      </c>
      <c r="G20" s="36">
        <f t="shared" si="2"/>
        <v>4.0858023806118304E-2</v>
      </c>
      <c r="H20" s="38">
        <f t="shared" si="3"/>
        <v>4.1805487109979354E-2</v>
      </c>
      <c r="J20" t="s">
        <v>17</v>
      </c>
      <c r="V20" s="15">
        <f>V19+1</f>
        <v>17</v>
      </c>
      <c r="W20" s="44">
        <f t="shared" si="4"/>
        <v>3.4262674027334544E-2</v>
      </c>
      <c r="X20" s="34">
        <f t="shared" si="5"/>
        <v>3.4311272481201624E-2</v>
      </c>
      <c r="Y20" s="36">
        <f t="shared" si="6"/>
        <v>3.4372984416486771E-2</v>
      </c>
      <c r="Z20" s="38">
        <f t="shared" si="7"/>
        <v>3.4544869873925646E-2</v>
      </c>
      <c r="AB20" t="s">
        <v>17</v>
      </c>
      <c r="AM20" s="15">
        <f>AM19+1</f>
        <v>17</v>
      </c>
      <c r="AN20" s="44">
        <f t="shared" si="8"/>
        <v>4.7280982692876297E-2</v>
      </c>
      <c r="AO20" s="34">
        <f t="shared" si="9"/>
        <v>4.7359876034233375E-2</v>
      </c>
      <c r="AP20" s="36">
        <f t="shared" si="10"/>
        <v>4.7436111547551466E-2</v>
      </c>
      <c r="AQ20" s="38">
        <f t="shared" si="11"/>
        <v>4.7571090552810065E-2</v>
      </c>
      <c r="AS20" t="s">
        <v>17</v>
      </c>
      <c r="BD20" s="15">
        <f>BD19+1</f>
        <v>17</v>
      </c>
      <c r="BE20" s="44">
        <f t="shared" si="12"/>
        <v>3.7444388288743406E-2</v>
      </c>
      <c r="BF20" s="34">
        <f t="shared" si="13"/>
        <v>3.7707635718090785E-2</v>
      </c>
      <c r="BG20" s="36">
        <f t="shared" si="14"/>
        <v>3.8006392513599725E-2</v>
      </c>
      <c r="BH20" s="38">
        <f t="shared" si="15"/>
        <v>3.8695993852061648E-2</v>
      </c>
      <c r="BJ20" t="s">
        <v>17</v>
      </c>
      <c r="BU20" s="15">
        <f>BU19+1</f>
        <v>17</v>
      </c>
      <c r="BV20" s="44">
        <f t="shared" si="16"/>
        <v>4.3450067888866829E-2</v>
      </c>
      <c r="BW20" s="34">
        <f t="shared" si="17"/>
        <v>4.3881579800726475E-2</v>
      </c>
      <c r="BX20" s="36">
        <f t="shared" si="18"/>
        <v>4.4332415200345573E-2</v>
      </c>
      <c r="BY20" s="38">
        <f t="shared" si="19"/>
        <v>4.5227835441249795E-2</v>
      </c>
      <c r="CA20" t="s">
        <v>17</v>
      </c>
    </row>
    <row r="21" spans="4:82" x14ac:dyDescent="0.3">
      <c r="D21" s="15">
        <f t="shared" si="20"/>
        <v>18</v>
      </c>
      <c r="E21" s="30">
        <f t="shared" si="0"/>
        <v>4.0294369409652753E-2</v>
      </c>
      <c r="F21" s="34">
        <f t="shared" si="1"/>
        <v>4.0694181388512794E-2</v>
      </c>
      <c r="G21" s="36">
        <f t="shared" si="2"/>
        <v>4.1134143642156396E-2</v>
      </c>
      <c r="H21" s="38">
        <f t="shared" si="3"/>
        <v>4.2094017565827813E-2</v>
      </c>
      <c r="J21" s="20" t="s">
        <v>11</v>
      </c>
      <c r="K21" s="20" t="s">
        <v>15</v>
      </c>
      <c r="L21" s="21" t="s">
        <v>16</v>
      </c>
      <c r="M21" s="21" t="s">
        <v>21</v>
      </c>
      <c r="V21" s="15">
        <f t="shared" si="21"/>
        <v>18</v>
      </c>
      <c r="W21" s="44">
        <f t="shared" si="4"/>
        <v>3.4277969931887566E-2</v>
      </c>
      <c r="X21" s="34">
        <f t="shared" si="5"/>
        <v>3.4329364009543353E-2</v>
      </c>
      <c r="Y21" s="36">
        <f t="shared" si="6"/>
        <v>3.4394610336071198E-2</v>
      </c>
      <c r="Z21" s="38">
        <f t="shared" si="7"/>
        <v>3.4576247560215483E-2</v>
      </c>
      <c r="AB21" s="20" t="s">
        <v>11</v>
      </c>
      <c r="AC21" s="20" t="s">
        <v>15</v>
      </c>
      <c r="AD21" s="21" t="s">
        <v>16</v>
      </c>
      <c r="AE21" s="21" t="s">
        <v>21</v>
      </c>
      <c r="AM21" s="15">
        <f t="shared" si="22"/>
        <v>18</v>
      </c>
      <c r="AN21" s="44">
        <f t="shared" si="8"/>
        <v>4.7384517590378761E-2</v>
      </c>
      <c r="AO21" s="34">
        <f t="shared" si="9"/>
        <v>4.7453808180688485E-2</v>
      </c>
      <c r="AP21" s="36">
        <f t="shared" si="10"/>
        <v>4.7520200257982634E-2</v>
      </c>
      <c r="AQ21" s="38">
        <f t="shared" si="11"/>
        <v>4.7636103938041754E-2</v>
      </c>
      <c r="AS21" s="20" t="s">
        <v>11</v>
      </c>
      <c r="AT21" s="20" t="s">
        <v>15</v>
      </c>
      <c r="AU21" s="21" t="s">
        <v>16</v>
      </c>
      <c r="AV21" s="21" t="s">
        <v>21</v>
      </c>
      <c r="BD21" s="15">
        <f t="shared" si="23"/>
        <v>18</v>
      </c>
      <c r="BE21" s="44">
        <f t="shared" si="12"/>
        <v>3.7618061213670513E-2</v>
      </c>
      <c r="BF21" s="34">
        <f t="shared" si="13"/>
        <v>3.7891959297661093E-2</v>
      </c>
      <c r="BG21" s="36">
        <f t="shared" si="14"/>
        <v>3.8202299067612668E-2</v>
      </c>
      <c r="BH21" s="38">
        <f t="shared" si="15"/>
        <v>3.8916506479381566E-2</v>
      </c>
      <c r="BJ21" s="20" t="s">
        <v>11</v>
      </c>
      <c r="BK21" s="20" t="s">
        <v>15</v>
      </c>
      <c r="BL21" s="21" t="s">
        <v>16</v>
      </c>
      <c r="BM21" s="21" t="s">
        <v>21</v>
      </c>
      <c r="BU21" s="15">
        <f t="shared" si="24"/>
        <v>18</v>
      </c>
      <c r="BV21" s="44">
        <f t="shared" si="16"/>
        <v>4.3738444843393828E-2</v>
      </c>
      <c r="BW21" s="34">
        <f t="shared" si="17"/>
        <v>4.4164473247362918E-2</v>
      </c>
      <c r="BX21" s="36">
        <f t="shared" si="18"/>
        <v>4.4606704154318506E-2</v>
      </c>
      <c r="BY21" s="38">
        <f t="shared" si="19"/>
        <v>4.5474861005329784E-2</v>
      </c>
      <c r="CA21" s="20" t="s">
        <v>11</v>
      </c>
      <c r="CB21" s="20" t="s">
        <v>15</v>
      </c>
      <c r="CC21" s="21" t="s">
        <v>16</v>
      </c>
      <c r="CD21" s="21" t="s">
        <v>21</v>
      </c>
    </row>
    <row r="22" spans="4:82" x14ac:dyDescent="0.3">
      <c r="D22" s="15">
        <f t="shared" si="20"/>
        <v>19</v>
      </c>
      <c r="E22" s="30">
        <f t="shared" si="0"/>
        <v>4.0544937584592898E-2</v>
      </c>
      <c r="F22" s="34">
        <f t="shared" si="1"/>
        <v>4.0952451662585841E-2</v>
      </c>
      <c r="G22" s="36">
        <f t="shared" si="2"/>
        <v>4.1399436664562264E-2</v>
      </c>
      <c r="H22" s="38">
        <f t="shared" si="3"/>
        <v>4.2368888222205116E-2</v>
      </c>
      <c r="J22" s="22">
        <v>0</v>
      </c>
      <c r="K22" s="43">
        <f>H3</f>
        <v>3.4000000000000002E-2</v>
      </c>
      <c r="L22" s="48">
        <v>3.4000000000000002E-2</v>
      </c>
      <c r="M22" s="19" cm="1">
        <f t="array" ref="M22">SQRT(SUMSQ(K22:K27-L22:L27)/COUNTA(K22:K27-L22:L27))</f>
        <v>3.6175975013029403E-3</v>
      </c>
      <c r="V22" s="15">
        <f t="shared" si="21"/>
        <v>19</v>
      </c>
      <c r="W22" s="44">
        <f t="shared" si="4"/>
        <v>3.4293248680240279E-2</v>
      </c>
      <c r="X22" s="34">
        <f t="shared" si="5"/>
        <v>3.4347431451494555E-2</v>
      </c>
      <c r="Y22" s="36">
        <f t="shared" si="6"/>
        <v>3.4416201681850708E-2</v>
      </c>
      <c r="Z22" s="38">
        <f t="shared" si="7"/>
        <v>3.4607551525082339E-2</v>
      </c>
      <c r="AB22" s="22">
        <v>0</v>
      </c>
      <c r="AC22" s="43">
        <f>Z3</f>
        <v>3.4000000000000002E-2</v>
      </c>
      <c r="AD22" s="48">
        <f>L22</f>
        <v>3.4000000000000002E-2</v>
      </c>
      <c r="AE22" s="19" cm="1">
        <f t="array" ref="AE22">SQRT(SUMSQ(AC22:AC27-AD22:AD27)/COUNTA(AC22:AC27-AD22:AD27))</f>
        <v>6.0755828139927972E-3</v>
      </c>
      <c r="AM22" s="15">
        <f t="shared" si="22"/>
        <v>19</v>
      </c>
      <c r="AN22" s="44">
        <f t="shared" si="8"/>
        <v>4.7470735564949532E-2</v>
      </c>
      <c r="AO22" s="34">
        <f t="shared" si="9"/>
        <v>4.7531404728842298E-2</v>
      </c>
      <c r="AP22" s="36">
        <f t="shared" si="10"/>
        <v>4.7589046271199295E-2</v>
      </c>
      <c r="AQ22" s="38">
        <f t="shared" si="11"/>
        <v>4.7688266551441275E-2</v>
      </c>
      <c r="AS22" s="22">
        <v>0</v>
      </c>
      <c r="AT22" s="43">
        <f>AQ3</f>
        <v>3.4000000000000002E-2</v>
      </c>
      <c r="AU22" s="50">
        <f>AD22</f>
        <v>3.4000000000000002E-2</v>
      </c>
      <c r="AV22" s="19" cm="1">
        <f t="array" ref="AV22">SQRT(SUMSQ(AT22:AT27-AU22:AU27)/COUNTA(AT22:AT27-AU22:AU27))</f>
        <v>4.4804085025527728E-3</v>
      </c>
      <c r="BD22" s="15">
        <f t="shared" si="23"/>
        <v>19</v>
      </c>
      <c r="BE22" s="44">
        <f t="shared" si="12"/>
        <v>3.778884934470074E-2</v>
      </c>
      <c r="BF22" s="34">
        <f t="shared" si="13"/>
        <v>3.8072949481657438E-2</v>
      </c>
      <c r="BG22" s="36">
        <f t="shared" si="14"/>
        <v>3.8394326411948253E-2</v>
      </c>
      <c r="BH22" s="38">
        <f t="shared" si="15"/>
        <v>3.9131735992150501E-2</v>
      </c>
      <c r="BJ22" s="22">
        <v>0</v>
      </c>
      <c r="BK22" s="43">
        <f>BH3</f>
        <v>3.4000000000000002E-2</v>
      </c>
      <c r="BL22" s="38">
        <f>AU22</f>
        <v>3.4000000000000002E-2</v>
      </c>
      <c r="BM22" s="19" cm="1">
        <f t="array" ref="BM22">SQRT(SUMSQ(BK22:BK27-BL22:BL27)/COUNTA(BK22:BK27-BL22:BL27))</f>
        <v>3.6728181742354026E-3</v>
      </c>
      <c r="BU22" s="15">
        <f t="shared" si="24"/>
        <v>19</v>
      </c>
      <c r="BV22" s="44">
        <f t="shared" si="16"/>
        <v>4.4008133587443585E-2</v>
      </c>
      <c r="BW22" s="34">
        <f t="shared" si="17"/>
        <v>4.4427451230165012E-2</v>
      </c>
      <c r="BX22" s="36">
        <f t="shared" si="18"/>
        <v>4.4859904771364215E-2</v>
      </c>
      <c r="BY22" s="38">
        <f t="shared" si="19"/>
        <v>4.5699050539679043E-2</v>
      </c>
      <c r="CA22" s="22">
        <v>0</v>
      </c>
      <c r="CB22" s="43">
        <f>BY3</f>
        <v>3.4000000000000002E-2</v>
      </c>
      <c r="CC22" s="38">
        <f>BL22</f>
        <v>3.4000000000000002E-2</v>
      </c>
      <c r="CD22" s="19" cm="1">
        <f t="array" ref="CD22">SQRT(SUMSQ(CB22:CB27-CC22:CC27)/COUNTA(CB22:CB27-CC22:CC27))</f>
        <v>3.9176327073568726E-3</v>
      </c>
    </row>
    <row r="23" spans="4:82" x14ac:dyDescent="0.3">
      <c r="D23" s="15">
        <f t="shared" si="20"/>
        <v>20</v>
      </c>
      <c r="E23" s="30">
        <f t="shared" si="0"/>
        <v>4.0787250768767061E-2</v>
      </c>
      <c r="F23" s="34">
        <f t="shared" si="1"/>
        <v>4.1201465037746188E-2</v>
      </c>
      <c r="G23" s="36">
        <f t="shared" si="2"/>
        <v>4.1654327398770619E-2</v>
      </c>
      <c r="H23" s="38">
        <f t="shared" si="3"/>
        <v>4.2630745770362757E-2</v>
      </c>
      <c r="J23" s="20">
        <v>10</v>
      </c>
      <c r="K23" s="43">
        <f>H13</f>
        <v>3.9341808964976438E-2</v>
      </c>
      <c r="L23" s="48">
        <v>4.1500000000000002E-2</v>
      </c>
      <c r="V23" s="15">
        <f t="shared" si="21"/>
        <v>20</v>
      </c>
      <c r="W23" s="44">
        <f t="shared" si="4"/>
        <v>3.4308510291635418E-2</v>
      </c>
      <c r="X23" s="34">
        <f t="shared" si="5"/>
        <v>3.4365474839122966E-2</v>
      </c>
      <c r="Y23" s="36">
        <f t="shared" si="6"/>
        <v>3.4437758509099158E-2</v>
      </c>
      <c r="Z23" s="38">
        <f t="shared" si="7"/>
        <v>3.463878194173365E-2</v>
      </c>
      <c r="AB23" s="20">
        <v>10</v>
      </c>
      <c r="AC23" s="43">
        <f>Z13</f>
        <v>3.4323147234726958E-2</v>
      </c>
      <c r="AD23" s="48">
        <f t="shared" ref="AD23:AD27" si="25">L23</f>
        <v>4.1500000000000002E-2</v>
      </c>
      <c r="AM23" s="15">
        <f t="shared" si="22"/>
        <v>20</v>
      </c>
      <c r="AN23" s="44">
        <f t="shared" si="8"/>
        <v>4.7542532990922828E-2</v>
      </c>
      <c r="AO23" s="34">
        <f t="shared" si="9"/>
        <v>4.7595506578024097E-2</v>
      </c>
      <c r="AP23" s="36">
        <f t="shared" si="10"/>
        <v>4.7645412619446596E-2</v>
      </c>
      <c r="AQ23" s="38">
        <f t="shared" si="11"/>
        <v>4.7730118521262119E-2</v>
      </c>
      <c r="AS23" s="20">
        <v>10</v>
      </c>
      <c r="AT23" s="43">
        <f>AQ13</f>
        <v>4.6363330694503026E-2</v>
      </c>
      <c r="AU23" s="50">
        <f t="shared" ref="AU23:AU27" si="26">AD23</f>
        <v>4.1500000000000002E-2</v>
      </c>
      <c r="BD23" s="15">
        <f t="shared" si="23"/>
        <v>20</v>
      </c>
      <c r="BE23" s="44">
        <f t="shared" si="12"/>
        <v>3.7956800599699421E-2</v>
      </c>
      <c r="BF23" s="34">
        <f t="shared" si="13"/>
        <v>3.8250666552796096E-2</v>
      </c>
      <c r="BG23" s="36">
        <f t="shared" si="14"/>
        <v>3.8582551360104612E-2</v>
      </c>
      <c r="BH23" s="38">
        <f t="shared" si="15"/>
        <v>3.9341808964976438E-2</v>
      </c>
      <c r="BJ23" s="20">
        <v>10</v>
      </c>
      <c r="BK23" s="43">
        <f>BH13</f>
        <v>3.6993173908655759E-2</v>
      </c>
      <c r="BL23" s="38">
        <f t="shared" ref="BL23:BL27" si="27">AU23</f>
        <v>4.1500000000000002E-2</v>
      </c>
      <c r="BU23" s="15">
        <f t="shared" si="24"/>
        <v>20</v>
      </c>
      <c r="BV23" s="44">
        <f t="shared" si="16"/>
        <v>4.426034520673347E-2</v>
      </c>
      <c r="BW23" s="34">
        <f t="shared" si="17"/>
        <v>4.4671915781256351E-2</v>
      </c>
      <c r="BX23" s="36">
        <f t="shared" si="18"/>
        <v>4.5093638399874292E-2</v>
      </c>
      <c r="BY23" s="38">
        <f t="shared" si="19"/>
        <v>4.590251509808993E-2</v>
      </c>
      <c r="CA23" s="20">
        <v>10</v>
      </c>
      <c r="CB23" s="43">
        <f>BY13</f>
        <v>4.2630745770362757E-2</v>
      </c>
      <c r="CC23" s="38">
        <f t="shared" ref="CC23:CC27" si="28">BL23</f>
        <v>4.1500000000000002E-2</v>
      </c>
    </row>
    <row r="24" spans="4:82" x14ac:dyDescent="0.3">
      <c r="D24" s="15">
        <f>D23+5</f>
        <v>25</v>
      </c>
      <c r="E24" s="30">
        <f t="shared" si="0"/>
        <v>4.188420301558398E-2</v>
      </c>
      <c r="F24" s="34">
        <f t="shared" si="1"/>
        <v>4.2318883532633085E-2</v>
      </c>
      <c r="G24" s="36">
        <f t="shared" si="2"/>
        <v>4.278647576771695E-2</v>
      </c>
      <c r="H24" s="38">
        <f t="shared" si="3"/>
        <v>4.376540722922781E-2</v>
      </c>
      <c r="J24" s="20">
        <v>30</v>
      </c>
      <c r="K24" s="43">
        <f>H25</f>
        <v>4.4655734941773995E-2</v>
      </c>
      <c r="L24" s="48">
        <v>4.3700000000000003E-2</v>
      </c>
      <c r="V24" s="15">
        <f>V23+5</f>
        <v>25</v>
      </c>
      <c r="W24" s="44">
        <f t="shared" si="4"/>
        <v>3.4384561966234316E-2</v>
      </c>
      <c r="X24" s="34">
        <f t="shared" si="5"/>
        <v>3.445533208180817E-2</v>
      </c>
      <c r="Y24" s="36">
        <f t="shared" si="6"/>
        <v>3.454502679578271E-2</v>
      </c>
      <c r="Z24" s="38">
        <f t="shared" si="7"/>
        <v>3.4793836835583861E-2</v>
      </c>
      <c r="AB24" s="20">
        <v>30</v>
      </c>
      <c r="AC24" s="43">
        <f>Z25</f>
        <v>3.4947078772283285E-2</v>
      </c>
      <c r="AD24" s="48">
        <f t="shared" si="25"/>
        <v>4.3700000000000003E-2</v>
      </c>
      <c r="AM24" s="15">
        <f>AM23+5</f>
        <v>25</v>
      </c>
      <c r="AN24" s="44">
        <f t="shared" si="8"/>
        <v>4.7756850031042949E-2</v>
      </c>
      <c r="AO24" s="34">
        <f t="shared" si="9"/>
        <v>4.7782856365696035E-2</v>
      </c>
      <c r="AP24" s="36">
        <f t="shared" si="10"/>
        <v>4.7806342536712711E-2</v>
      </c>
      <c r="AQ24" s="38">
        <f t="shared" si="11"/>
        <v>4.7843515558263709E-2</v>
      </c>
      <c r="AS24" s="20">
        <v>30</v>
      </c>
      <c r="AT24" s="43">
        <f>AQ25</f>
        <v>4.7881219305471297E-2</v>
      </c>
      <c r="AU24" s="50">
        <f t="shared" si="26"/>
        <v>4.3700000000000003E-2</v>
      </c>
      <c r="BD24" s="15">
        <f>BD23+5</f>
        <v>25</v>
      </c>
      <c r="BE24" s="44">
        <f t="shared" si="12"/>
        <v>3.8755625877984722E-2</v>
      </c>
      <c r="BF24" s="34">
        <f t="shared" si="13"/>
        <v>3.9092189892124145E-2</v>
      </c>
      <c r="BG24" s="36">
        <f t="shared" si="14"/>
        <v>3.9469223829994397E-2</v>
      </c>
      <c r="BH24" s="38">
        <f t="shared" si="15"/>
        <v>4.0319047585314002E-2</v>
      </c>
      <c r="BJ24" s="20">
        <v>30</v>
      </c>
      <c r="BK24" s="43">
        <f>BH25</f>
        <v>4.1184697749963785E-2</v>
      </c>
      <c r="BL24" s="38">
        <f t="shared" si="27"/>
        <v>4.3700000000000003E-2</v>
      </c>
      <c r="BU24" s="15">
        <f>BU23+5</f>
        <v>25</v>
      </c>
      <c r="BV24" s="44">
        <f t="shared" si="16"/>
        <v>4.5296416305200794E-2</v>
      </c>
      <c r="BW24" s="34">
        <f t="shared" si="17"/>
        <v>4.5659074746596105E-2</v>
      </c>
      <c r="BX24" s="36">
        <f t="shared" si="18"/>
        <v>4.6018839563011081E-2</v>
      </c>
      <c r="BY24" s="38">
        <f t="shared" si="19"/>
        <v>4.6670154145314988E-2</v>
      </c>
      <c r="CA24" s="20">
        <v>30</v>
      </c>
      <c r="CB24" s="43">
        <f>BY25</f>
        <v>4.7142787354818257E-2</v>
      </c>
      <c r="CC24" s="38">
        <f t="shared" si="28"/>
        <v>4.3700000000000003E-2</v>
      </c>
    </row>
    <row r="25" spans="4:82" x14ac:dyDescent="0.3">
      <c r="D25" s="15">
        <f t="shared" ref="D25:D31" si="29">D24+5</f>
        <v>30</v>
      </c>
      <c r="E25" s="39">
        <f t="shared" si="0"/>
        <v>4.2811979576224186E-2</v>
      </c>
      <c r="F25" s="40">
        <f t="shared" si="1"/>
        <v>4.3249899463414357E-2</v>
      </c>
      <c r="G25" s="41">
        <f t="shared" si="2"/>
        <v>4.371340045442039E-2</v>
      </c>
      <c r="H25" s="42">
        <f t="shared" si="3"/>
        <v>4.4655734941773995E-2</v>
      </c>
      <c r="J25" s="20">
        <v>60</v>
      </c>
      <c r="K25" s="43">
        <f>H31</f>
        <v>4.7142787354818257E-2</v>
      </c>
      <c r="L25" s="48">
        <v>4.36E-2</v>
      </c>
      <c r="V25" s="15">
        <f t="shared" ref="V25:V31" si="30">V24+5</f>
        <v>30</v>
      </c>
      <c r="W25" s="44">
        <f t="shared" si="4"/>
        <v>3.446018809092416E-2</v>
      </c>
      <c r="X25" s="34">
        <f t="shared" si="5"/>
        <v>3.4544592752100402E-2</v>
      </c>
      <c r="Y25" s="36">
        <f t="shared" si="6"/>
        <v>3.4651440359622684E-2</v>
      </c>
      <c r="Z25" s="38">
        <f t="shared" si="7"/>
        <v>3.4947078772283285E-2</v>
      </c>
      <c r="AB25" s="20">
        <v>60</v>
      </c>
      <c r="AC25" s="43">
        <f>Z31</f>
        <v>3.5829628177594657E-2</v>
      </c>
      <c r="AD25" s="48">
        <f t="shared" si="25"/>
        <v>4.36E-2</v>
      </c>
      <c r="AM25" s="15">
        <f t="shared" ref="AM25:AM31" si="31">AM24+5</f>
        <v>30</v>
      </c>
      <c r="AN25" s="44">
        <f t="shared" si="8"/>
        <v>4.7842674671810116E-2</v>
      </c>
      <c r="AO25" s="34">
        <f t="shared" si="9"/>
        <v>4.7854932914580248E-2</v>
      </c>
      <c r="AP25" s="36">
        <f t="shared" si="10"/>
        <v>4.7865545344744333E-2</v>
      </c>
      <c r="AQ25" s="38">
        <f t="shared" si="11"/>
        <v>4.7881219305471297E-2</v>
      </c>
      <c r="AS25" s="20">
        <v>60</v>
      </c>
      <c r="AT25" s="43">
        <f>AQ31</f>
        <v>4.7899974624857053E-2</v>
      </c>
      <c r="AU25" s="50">
        <f t="shared" si="26"/>
        <v>4.36E-2</v>
      </c>
      <c r="BD25" s="15">
        <f t="shared" ref="BD25:BD31" si="32">BD24+5</f>
        <v>30</v>
      </c>
      <c r="BE25" s="44">
        <f t="shared" si="12"/>
        <v>3.949027444618531E-2</v>
      </c>
      <c r="BF25" s="34">
        <f t="shared" si="13"/>
        <v>3.9860323547645682E-2</v>
      </c>
      <c r="BG25" s="36">
        <f t="shared" si="14"/>
        <v>4.0271518258293032E-2</v>
      </c>
      <c r="BH25" s="38">
        <f t="shared" si="15"/>
        <v>4.1184697749963785E-2</v>
      </c>
      <c r="BJ25" s="20">
        <v>60</v>
      </c>
      <c r="BK25" s="43">
        <f>BH31</f>
        <v>4.4655734941773995E-2</v>
      </c>
      <c r="BL25" s="38">
        <f t="shared" si="27"/>
        <v>4.36E-2</v>
      </c>
      <c r="BU25" s="15">
        <f t="shared" ref="BU25:BU31" si="33">BU24+5</f>
        <v>30</v>
      </c>
      <c r="BV25" s="44">
        <f t="shared" si="16"/>
        <v>4.6037557422103609E-2</v>
      </c>
      <c r="BW25" s="34">
        <f t="shared" si="17"/>
        <v>4.634435719421913E-2</v>
      </c>
      <c r="BX25" s="36">
        <f t="shared" si="18"/>
        <v>4.6639020449277167E-2</v>
      </c>
      <c r="BY25" s="38">
        <f t="shared" si="19"/>
        <v>4.7142787354818257E-2</v>
      </c>
      <c r="CA25" s="20">
        <v>60</v>
      </c>
      <c r="CB25" s="43">
        <f>BY31</f>
        <v>4.7858750288487545E-2</v>
      </c>
      <c r="CC25" s="38">
        <f t="shared" si="28"/>
        <v>4.36E-2</v>
      </c>
    </row>
    <row r="26" spans="4:82" x14ac:dyDescent="0.3">
      <c r="D26" s="15">
        <f t="shared" si="29"/>
        <v>35</v>
      </c>
      <c r="E26" s="30">
        <f t="shared" si="0"/>
        <v>4.3596671297282341E-2</v>
      </c>
      <c r="F26" s="34">
        <f t="shared" si="1"/>
        <v>4.4025607640193948E-2</v>
      </c>
      <c r="G26" s="36">
        <f t="shared" si="2"/>
        <v>4.4472302201211671E-2</v>
      </c>
      <c r="H26" s="38">
        <f t="shared" si="3"/>
        <v>4.535434282127368E-2</v>
      </c>
      <c r="J26" s="20">
        <v>120</v>
      </c>
      <c r="K26" s="43">
        <f>H41</f>
        <v>4.7858750288487545E-2</v>
      </c>
      <c r="L26" s="48">
        <v>4.2799999999999998E-2</v>
      </c>
      <c r="V26" s="15">
        <f t="shared" si="30"/>
        <v>35</v>
      </c>
      <c r="W26" s="44">
        <f t="shared" si="4"/>
        <v>3.4535391046884932E-2</v>
      </c>
      <c r="X26" s="34">
        <f t="shared" si="5"/>
        <v>3.4633260810711219E-2</v>
      </c>
      <c r="Y26" s="36">
        <f t="shared" si="6"/>
        <v>3.4757006011123498E-2</v>
      </c>
      <c r="Z26" s="38">
        <f t="shared" si="7"/>
        <v>3.5098528949573889E-2</v>
      </c>
      <c r="AB26" s="20">
        <v>120</v>
      </c>
      <c r="AC26" s="43">
        <f>Z41</f>
        <v>3.7418426192005978E-2</v>
      </c>
      <c r="AD26" s="48">
        <f t="shared" si="25"/>
        <v>4.2799999999999998E-2</v>
      </c>
      <c r="AM26" s="15">
        <f t="shared" si="31"/>
        <v>35</v>
      </c>
      <c r="AN26" s="44">
        <f t="shared" si="8"/>
        <v>4.7877043702656587E-2</v>
      </c>
      <c r="AO26" s="34">
        <f t="shared" si="9"/>
        <v>4.7882661950004374E-2</v>
      </c>
      <c r="AP26" s="36">
        <f t="shared" si="10"/>
        <v>4.7887324840678792E-2</v>
      </c>
      <c r="AQ26" s="38">
        <f t="shared" si="11"/>
        <v>4.7893755546197535E-2</v>
      </c>
      <c r="AS26" s="20">
        <v>120</v>
      </c>
      <c r="AT26" s="43">
        <f>AQ41</f>
        <v>4.7899999999953674E-2</v>
      </c>
      <c r="AU26" s="50">
        <f t="shared" si="26"/>
        <v>4.2799999999999998E-2</v>
      </c>
      <c r="BD26" s="15">
        <f t="shared" si="32"/>
        <v>35</v>
      </c>
      <c r="BE26" s="44">
        <f t="shared" si="12"/>
        <v>4.0165902187858274E-2</v>
      </c>
      <c r="BF26" s="34">
        <f t="shared" si="13"/>
        <v>4.0561467871481106E-2</v>
      </c>
      <c r="BG26" s="36">
        <f t="shared" si="14"/>
        <v>4.099746427729941E-2</v>
      </c>
      <c r="BH26" s="38">
        <f t="shared" si="15"/>
        <v>4.1951501468076517E-2</v>
      </c>
      <c r="BJ26" s="20">
        <v>120</v>
      </c>
      <c r="BK26" s="43">
        <f>BH41</f>
        <v>4.7142787354818257E-2</v>
      </c>
      <c r="BL26" s="38">
        <f t="shared" si="27"/>
        <v>4.2799999999999998E-2</v>
      </c>
      <c r="BU26" s="15">
        <f t="shared" si="33"/>
        <v>35</v>
      </c>
      <c r="BV26" s="44">
        <f t="shared" si="16"/>
        <v>4.6567723890386069E-2</v>
      </c>
      <c r="BW26" s="34">
        <f t="shared" si="17"/>
        <v>4.6820077974264497E-2</v>
      </c>
      <c r="BX26" s="36">
        <f t="shared" si="18"/>
        <v>4.705474012950947E-2</v>
      </c>
      <c r="BY26" s="38">
        <f t="shared" si="19"/>
        <v>4.7433786297007133E-2</v>
      </c>
      <c r="CA26" s="20">
        <v>120</v>
      </c>
      <c r="CB26" s="43">
        <f>BY41</f>
        <v>4.7899877587143896E-2</v>
      </c>
      <c r="CC26" s="38">
        <f t="shared" si="28"/>
        <v>4.2799999999999998E-2</v>
      </c>
    </row>
    <row r="27" spans="4:82" x14ac:dyDescent="0.3">
      <c r="D27" s="15">
        <f t="shared" si="29"/>
        <v>40</v>
      </c>
      <c r="E27" s="30">
        <f t="shared" si="0"/>
        <v>4.426034520673347E-2</v>
      </c>
      <c r="F27" s="34">
        <f t="shared" si="1"/>
        <v>4.4671915781256351E-2</v>
      </c>
      <c r="G27" s="36">
        <f t="shared" si="2"/>
        <v>4.5093638399874292E-2</v>
      </c>
      <c r="H27" s="38">
        <f t="shared" si="3"/>
        <v>4.590251509808993E-2</v>
      </c>
      <c r="J27" s="20">
        <v>240</v>
      </c>
      <c r="K27" s="43">
        <f>H53</f>
        <v>4.7899877587143896E-2</v>
      </c>
      <c r="L27" s="48">
        <v>4.2000000000000003E-2</v>
      </c>
      <c r="V27" s="15">
        <f t="shared" si="30"/>
        <v>40</v>
      </c>
      <c r="W27" s="44">
        <f t="shared" si="4"/>
        <v>3.4610173201972634E-2</v>
      </c>
      <c r="X27" s="34">
        <f t="shared" si="5"/>
        <v>3.4721340192056582E-2</v>
      </c>
      <c r="Y27" s="36">
        <f t="shared" si="6"/>
        <v>3.4861730506522859E-2</v>
      </c>
      <c r="Z27" s="38">
        <f t="shared" si="7"/>
        <v>3.5248208317346076E-2</v>
      </c>
      <c r="AB27" s="20">
        <v>240</v>
      </c>
      <c r="AC27" s="43">
        <f>Z53</f>
        <v>3.9996159029321847E-2</v>
      </c>
      <c r="AD27" s="48">
        <f t="shared" si="25"/>
        <v>4.2000000000000003E-2</v>
      </c>
      <c r="AM27" s="15">
        <f t="shared" si="31"/>
        <v>40</v>
      </c>
      <c r="AN27" s="44">
        <f t="shared" si="8"/>
        <v>4.7890807002692187E-2</v>
      </c>
      <c r="AO27" s="34">
        <f t="shared" si="9"/>
        <v>4.7893329766616789E-2</v>
      </c>
      <c r="AP27" s="36">
        <f t="shared" si="10"/>
        <v>4.7895337069472153E-2</v>
      </c>
      <c r="AQ27" s="38">
        <f t="shared" si="11"/>
        <v>4.7897923761379989E-2</v>
      </c>
      <c r="AS27" s="20">
        <v>240</v>
      </c>
      <c r="AT27" s="43">
        <f>AQ53</f>
        <v>4.7899999999999998E-2</v>
      </c>
      <c r="AU27" s="50">
        <f t="shared" si="26"/>
        <v>4.2000000000000003E-2</v>
      </c>
      <c r="BD27" s="15">
        <f t="shared" si="32"/>
        <v>40</v>
      </c>
      <c r="BE27" s="44">
        <f t="shared" si="12"/>
        <v>4.0787250768767061E-2</v>
      </c>
      <c r="BF27" s="34">
        <f t="shared" si="13"/>
        <v>4.1201465037746188E-2</v>
      </c>
      <c r="BG27" s="36">
        <f t="shared" si="14"/>
        <v>4.1654327398770619E-2</v>
      </c>
      <c r="BH27" s="38">
        <f t="shared" si="15"/>
        <v>4.2630745770362757E-2</v>
      </c>
      <c r="BJ27" s="20">
        <v>240</v>
      </c>
      <c r="BK27" s="43">
        <f>BH53</f>
        <v>4.7858750288487545E-2</v>
      </c>
      <c r="BL27" s="38">
        <f t="shared" si="27"/>
        <v>4.2000000000000003E-2</v>
      </c>
      <c r="BU27" s="15">
        <f t="shared" si="33"/>
        <v>40</v>
      </c>
      <c r="BV27" s="44">
        <f t="shared" si="16"/>
        <v>4.6946972157255538E-2</v>
      </c>
      <c r="BW27" s="34">
        <f t="shared" si="17"/>
        <v>4.7150321746525052E-2</v>
      </c>
      <c r="BX27" s="36">
        <f t="shared" si="18"/>
        <v>4.7333405364700709E-2</v>
      </c>
      <c r="BY27" s="38">
        <f t="shared" si="19"/>
        <v>4.7612953529974196E-2</v>
      </c>
      <c r="CA27" s="20">
        <v>240</v>
      </c>
      <c r="CB27" s="43">
        <f>BY53</f>
        <v>4.7899999998921944E-2</v>
      </c>
      <c r="CC27" s="38">
        <f t="shared" si="28"/>
        <v>4.2000000000000003E-2</v>
      </c>
    </row>
    <row r="28" spans="4:82" x14ac:dyDescent="0.3">
      <c r="D28" s="15">
        <f t="shared" si="29"/>
        <v>45</v>
      </c>
      <c r="E28" s="30">
        <f t="shared" si="0"/>
        <v>4.4821665080851905E-2</v>
      </c>
      <c r="F28" s="34">
        <f t="shared" si="1"/>
        <v>4.5210409799635413E-2</v>
      </c>
      <c r="G28" s="36">
        <f t="shared" si="2"/>
        <v>4.5602345453719946E-2</v>
      </c>
      <c r="H28" s="38">
        <f t="shared" si="3"/>
        <v>4.6332646011135327E-2</v>
      </c>
      <c r="V28" s="15">
        <f t="shared" si="30"/>
        <v>45</v>
      </c>
      <c r="W28" s="44">
        <f t="shared" si="4"/>
        <v>3.4684536910793845E-2</v>
      </c>
      <c r="X28" s="34">
        <f t="shared" si="5"/>
        <v>3.4808834804431393E-2</v>
      </c>
      <c r="Y28" s="36">
        <f t="shared" si="6"/>
        <v>3.4965620548224247E-2</v>
      </c>
      <c r="Z28" s="38">
        <f t="shared" si="7"/>
        <v>3.5396137580536648E-2</v>
      </c>
      <c r="AM28" s="15">
        <f t="shared" si="31"/>
        <v>45</v>
      </c>
      <c r="AN28" s="44">
        <f t="shared" si="8"/>
        <v>4.7896318604945858E-2</v>
      </c>
      <c r="AO28" s="34">
        <f t="shared" si="9"/>
        <v>4.7897433851361734E-2</v>
      </c>
      <c r="AP28" s="36">
        <f t="shared" si="10"/>
        <v>4.7898284603723196E-2</v>
      </c>
      <c r="AQ28" s="38">
        <f t="shared" si="11"/>
        <v>4.7899309664713105E-2</v>
      </c>
      <c r="BD28" s="15">
        <f t="shared" si="32"/>
        <v>45</v>
      </c>
      <c r="BE28" s="44">
        <f t="shared" si="12"/>
        <v>4.135868091466572E-2</v>
      </c>
      <c r="BF28" s="34">
        <f t="shared" si="13"/>
        <v>4.1785647721543369E-2</v>
      </c>
      <c r="BG28" s="36">
        <f t="shared" si="14"/>
        <v>4.2248681729605671E-2</v>
      </c>
      <c r="BH28" s="38">
        <f t="shared" si="15"/>
        <v>4.323242884947439E-2</v>
      </c>
      <c r="BU28" s="15">
        <f t="shared" si="33"/>
        <v>45</v>
      </c>
      <c r="BV28" s="44">
        <f t="shared" si="16"/>
        <v>4.7218262886730464E-2</v>
      </c>
      <c r="BW28" s="34">
        <f t="shared" si="17"/>
        <v>4.7379575867201637E-2</v>
      </c>
      <c r="BX28" s="36">
        <f t="shared" si="18"/>
        <v>4.7520200257982634E-2</v>
      </c>
      <c r="BY28" s="38">
        <f t="shared" si="19"/>
        <v>4.7723266293064025E-2</v>
      </c>
    </row>
    <row r="29" spans="4:82" x14ac:dyDescent="0.3">
      <c r="D29" s="15">
        <f t="shared" si="29"/>
        <v>50</v>
      </c>
      <c r="E29" s="30">
        <f t="shared" si="0"/>
        <v>4.5296416305200794E-2</v>
      </c>
      <c r="F29" s="34">
        <f t="shared" si="1"/>
        <v>4.5659074746596105E-2</v>
      </c>
      <c r="G29" s="36">
        <f t="shared" si="2"/>
        <v>4.6018839563011081E-2</v>
      </c>
      <c r="H29" s="38">
        <f t="shared" si="3"/>
        <v>4.6670154145314988E-2</v>
      </c>
      <c r="J29" t="s">
        <v>18</v>
      </c>
      <c r="V29" s="15">
        <f t="shared" si="30"/>
        <v>50</v>
      </c>
      <c r="W29" s="44">
        <f t="shared" si="4"/>
        <v>3.475848451477985E-2</v>
      </c>
      <c r="X29" s="34">
        <f t="shared" si="5"/>
        <v>3.4895748530182971E-2</v>
      </c>
      <c r="Y29" s="36">
        <f t="shared" si="6"/>
        <v>3.5068682785225763E-2</v>
      </c>
      <c r="Z29" s="38">
        <f t="shared" si="7"/>
        <v>3.5542337201992916E-2</v>
      </c>
      <c r="AB29" t="s">
        <v>18</v>
      </c>
      <c r="AM29" s="15">
        <f t="shared" si="31"/>
        <v>50</v>
      </c>
      <c r="AN29" s="44">
        <f t="shared" si="8"/>
        <v>4.7898525761610619E-2</v>
      </c>
      <c r="AO29" s="34">
        <f t="shared" si="9"/>
        <v>4.789901276035554E-2</v>
      </c>
      <c r="AP29" s="36">
        <f t="shared" si="10"/>
        <v>4.7899368940976302E-2</v>
      </c>
      <c r="AQ29" s="38">
        <f t="shared" si="11"/>
        <v>4.789977046819005E-2</v>
      </c>
      <c r="AS29" t="s">
        <v>18</v>
      </c>
      <c r="BD29" s="15">
        <f t="shared" si="32"/>
        <v>50</v>
      </c>
      <c r="BE29" s="44">
        <f t="shared" si="12"/>
        <v>4.188420301558398E-2</v>
      </c>
      <c r="BF29" s="34">
        <f t="shared" si="13"/>
        <v>4.2318883532633085E-2</v>
      </c>
      <c r="BG29" s="36">
        <f t="shared" si="14"/>
        <v>4.278647576771695E-2</v>
      </c>
      <c r="BH29" s="38">
        <f t="shared" si="15"/>
        <v>4.376540722922781E-2</v>
      </c>
      <c r="BJ29" t="s">
        <v>18</v>
      </c>
      <c r="BU29" s="15">
        <f t="shared" si="33"/>
        <v>50</v>
      </c>
      <c r="BV29" s="44">
        <f t="shared" si="16"/>
        <v>4.7412327477998249E-2</v>
      </c>
      <c r="BW29" s="34">
        <f t="shared" si="17"/>
        <v>4.75387233099753E-2</v>
      </c>
      <c r="BX29" s="36">
        <f t="shared" si="18"/>
        <v>4.7645412619446596E-2</v>
      </c>
      <c r="BY29" s="38">
        <f t="shared" si="19"/>
        <v>4.7791185552065761E-2</v>
      </c>
      <c r="CA29" t="s">
        <v>18</v>
      </c>
    </row>
    <row r="30" spans="4:82" x14ac:dyDescent="0.3">
      <c r="D30" s="15">
        <f t="shared" si="29"/>
        <v>55</v>
      </c>
      <c r="E30" s="30">
        <f t="shared" si="0"/>
        <v>4.5697949789784337E-2</v>
      </c>
      <c r="F30" s="34">
        <f t="shared" si="1"/>
        <v>4.6032895490672666E-2</v>
      </c>
      <c r="G30" s="36">
        <f t="shared" si="2"/>
        <v>4.6359836098763554E-2</v>
      </c>
      <c r="H30" s="38">
        <f t="shared" si="3"/>
        <v>4.6934984542718702E-2</v>
      </c>
      <c r="J30" s="23" t="s">
        <v>11</v>
      </c>
      <c r="K30" s="23" t="s">
        <v>15</v>
      </c>
      <c r="L30" s="24" t="s">
        <v>16</v>
      </c>
      <c r="M30" s="24" t="s">
        <v>21</v>
      </c>
      <c r="V30" s="15">
        <f t="shared" si="30"/>
        <v>55</v>
      </c>
      <c r="W30" s="44">
        <f t="shared" si="4"/>
        <v>3.4832018342260386E-2</v>
      </c>
      <c r="X30" s="34">
        <f t="shared" si="5"/>
        <v>3.498208522588328E-2</v>
      </c>
      <c r="Y30" s="36">
        <f t="shared" si="6"/>
        <v>3.5170923813545779E-2</v>
      </c>
      <c r="Z30" s="38">
        <f t="shared" si="7"/>
        <v>3.5686827405303261E-2</v>
      </c>
      <c r="AB30" s="23" t="s">
        <v>11</v>
      </c>
      <c r="AC30" s="23" t="s">
        <v>15</v>
      </c>
      <c r="AD30" s="24" t="s">
        <v>16</v>
      </c>
      <c r="AE30" s="24" t="s">
        <v>21</v>
      </c>
      <c r="AM30" s="15">
        <f t="shared" si="31"/>
        <v>55</v>
      </c>
      <c r="AN30" s="44">
        <f t="shared" si="8"/>
        <v>4.7899409631730151E-2</v>
      </c>
      <c r="AO30" s="34">
        <f t="shared" si="9"/>
        <v>4.7899620192649379E-2</v>
      </c>
      <c r="AP30" s="36">
        <f t="shared" si="10"/>
        <v>4.7899767846359013E-2</v>
      </c>
      <c r="AQ30" s="38">
        <f t="shared" si="11"/>
        <v>4.7899923682226911E-2</v>
      </c>
      <c r="AS30" s="23" t="s">
        <v>11</v>
      </c>
      <c r="AT30" s="23" t="s">
        <v>15</v>
      </c>
      <c r="AU30" s="24" t="s">
        <v>16</v>
      </c>
      <c r="AV30" s="24" t="s">
        <v>21</v>
      </c>
      <c r="BD30" s="15">
        <f t="shared" si="32"/>
        <v>55</v>
      </c>
      <c r="BE30" s="44">
        <f t="shared" si="12"/>
        <v>4.2367505271399014E-2</v>
      </c>
      <c r="BF30" s="34">
        <f t="shared" si="13"/>
        <v>4.2805615574021738E-2</v>
      </c>
      <c r="BG30" s="36">
        <f t="shared" si="14"/>
        <v>4.3273091936596696E-2</v>
      </c>
      <c r="BH30" s="38">
        <f t="shared" si="15"/>
        <v>4.4237526128938248E-2</v>
      </c>
      <c r="BJ30" s="23" t="s">
        <v>11</v>
      </c>
      <c r="BK30" s="23" t="s">
        <v>15</v>
      </c>
      <c r="BL30" s="24" t="s">
        <v>16</v>
      </c>
      <c r="BM30" s="24" t="s">
        <v>21</v>
      </c>
      <c r="BU30" s="15">
        <f t="shared" si="33"/>
        <v>55</v>
      </c>
      <c r="BV30" s="44">
        <f t="shared" si="16"/>
        <v>4.7551149271344545E-2</v>
      </c>
      <c r="BW30" s="34">
        <f t="shared" si="17"/>
        <v>4.7649202931744572E-2</v>
      </c>
      <c r="BX30" s="36">
        <f t="shared" si="18"/>
        <v>4.7729344975347344E-2</v>
      </c>
      <c r="BY30" s="38">
        <f t="shared" si="19"/>
        <v>4.7833003249439433E-2</v>
      </c>
      <c r="CA30" s="23" t="s">
        <v>11</v>
      </c>
      <c r="CB30" s="23" t="s">
        <v>15</v>
      </c>
      <c r="CC30" s="24" t="s">
        <v>16</v>
      </c>
      <c r="CD30" s="24" t="s">
        <v>21</v>
      </c>
    </row>
    <row r="31" spans="4:82" x14ac:dyDescent="0.3">
      <c r="D31" s="15">
        <f t="shared" si="29"/>
        <v>60</v>
      </c>
      <c r="E31" s="39">
        <f t="shared" si="0"/>
        <v>4.6037557422103609E-2</v>
      </c>
      <c r="F31" s="40">
        <f t="shared" si="1"/>
        <v>4.634435719421913E-2</v>
      </c>
      <c r="G31" s="41">
        <f t="shared" si="2"/>
        <v>4.6639020449277167E-2</v>
      </c>
      <c r="H31" s="42">
        <f t="shared" si="3"/>
        <v>4.7142787354818257E-2</v>
      </c>
      <c r="J31" s="25">
        <v>0</v>
      </c>
      <c r="K31" s="45">
        <f>G3</f>
        <v>3.4000000000000002E-2</v>
      </c>
      <c r="L31" s="36">
        <v>3.4000000000000002E-2</v>
      </c>
      <c r="M31" s="19" cm="1">
        <f t="array" ref="M31">SQRT(SUMSQ(K31:K36-L31:L36)/COUNTA(K31:K36-L31:L36))</f>
        <v>2.7701106678769787E-3</v>
      </c>
      <c r="V31" s="15">
        <f t="shared" si="30"/>
        <v>60</v>
      </c>
      <c r="W31" s="44">
        <f t="shared" si="4"/>
        <v>3.4905140708536925E-2</v>
      </c>
      <c r="X31" s="34">
        <f t="shared" si="5"/>
        <v>3.5067848722500058E-2</v>
      </c>
      <c r="Y31" s="36">
        <f t="shared" si="6"/>
        <v>3.5272350176644984E-2</v>
      </c>
      <c r="Z31" s="38">
        <f t="shared" si="7"/>
        <v>3.5829628177594657E-2</v>
      </c>
      <c r="AB31" s="25">
        <v>0</v>
      </c>
      <c r="AC31" s="45">
        <f>Y3</f>
        <v>3.4000000000000002E-2</v>
      </c>
      <c r="AD31" s="36">
        <f>L31</f>
        <v>3.4000000000000002E-2</v>
      </c>
      <c r="AE31" s="19" cm="1">
        <f t="array" ref="AE31">SQRT(SUMSQ(AC31:AC36-AD31:AD36)/COUNTA(AC31:AC36-AD31:AD36))</f>
        <v>8.0378918763830028E-3</v>
      </c>
      <c r="AM31" s="15">
        <f t="shared" si="31"/>
        <v>60</v>
      </c>
      <c r="AN31" s="44">
        <f t="shared" si="8"/>
        <v>4.7899763583219276E-2</v>
      </c>
      <c r="AO31" s="34">
        <f t="shared" si="9"/>
        <v>4.7899853881856962E-2</v>
      </c>
      <c r="AP31" s="36">
        <f t="shared" si="10"/>
        <v>4.789991459544829E-2</v>
      </c>
      <c r="AQ31" s="38">
        <f t="shared" si="11"/>
        <v>4.7899974624857053E-2</v>
      </c>
      <c r="AS31" s="25">
        <v>0</v>
      </c>
      <c r="AT31" s="45">
        <f>AP3</f>
        <v>3.4000000000000002E-2</v>
      </c>
      <c r="AU31" s="36">
        <f>AD31</f>
        <v>3.4000000000000002E-2</v>
      </c>
      <c r="AV31" s="19" cm="1">
        <f t="array" ref="AV31">SQRT(SUMSQ(AT31:AT36-AU31:AU36)/COUNTA(AT31:AT36-AU31:AU36))</f>
        <v>3.4312125709072068E-3</v>
      </c>
      <c r="BD31" s="15">
        <f t="shared" si="32"/>
        <v>60</v>
      </c>
      <c r="BE31" s="44">
        <f t="shared" si="12"/>
        <v>4.2811979576224186E-2</v>
      </c>
      <c r="BF31" s="34">
        <f t="shared" si="13"/>
        <v>4.3249899463414357E-2</v>
      </c>
      <c r="BG31" s="36">
        <f t="shared" si="14"/>
        <v>4.371340045442039E-2</v>
      </c>
      <c r="BH31" s="38">
        <f t="shared" si="15"/>
        <v>4.4655734941773995E-2</v>
      </c>
      <c r="BJ31" s="25">
        <v>0</v>
      </c>
      <c r="BK31" s="45">
        <f>BG3</f>
        <v>3.4000000000000002E-2</v>
      </c>
      <c r="BL31" s="36">
        <f>AU31</f>
        <v>3.4000000000000002E-2</v>
      </c>
      <c r="BM31" s="19" cm="1">
        <f t="array" ref="BM31">SQRT(SUMSQ(BK31:BK36-BL31:BL36)/COUNTA(BK31:BK36-BL31:BL36))</f>
        <v>3.5889536694727934E-3</v>
      </c>
      <c r="BU31" s="15">
        <f t="shared" si="33"/>
        <v>60</v>
      </c>
      <c r="BV31" s="44">
        <f t="shared" si="16"/>
        <v>4.765045378734091E-2</v>
      </c>
      <c r="BW31" s="34">
        <f t="shared" si="17"/>
        <v>4.7725897515167065E-2</v>
      </c>
      <c r="BX31" s="36">
        <f t="shared" si="18"/>
        <v>4.7785606516018618E-2</v>
      </c>
      <c r="BY31" s="38">
        <f t="shared" si="19"/>
        <v>4.7858750288487545E-2</v>
      </c>
      <c r="CA31" s="25">
        <v>0</v>
      </c>
      <c r="CB31" s="45">
        <f>BX3</f>
        <v>3.4000000000000002E-2</v>
      </c>
      <c r="CC31" s="36">
        <f>BL31</f>
        <v>3.4000000000000002E-2</v>
      </c>
      <c r="CD31" s="19" cm="1">
        <f t="array" ref="CD31">SQRT(SUMSQ(CB31:CB36-CC31:CC36)/COUNTA(CB31:CB36-CC31:CC36))</f>
        <v>2.8237554149175585E-3</v>
      </c>
    </row>
    <row r="32" spans="4:82" x14ac:dyDescent="0.3">
      <c r="D32" s="15">
        <f>D31+5</f>
        <v>65</v>
      </c>
      <c r="E32" s="30">
        <f t="shared" si="0"/>
        <v>4.6324789616572076E-2</v>
      </c>
      <c r="F32" s="34">
        <f t="shared" si="1"/>
        <v>4.6603862302785792E-2</v>
      </c>
      <c r="G32" s="36">
        <f t="shared" si="2"/>
        <v>4.6867597262820755E-2</v>
      </c>
      <c r="H32" s="38">
        <f t="shared" si="3"/>
        <v>4.7305842688117695E-2</v>
      </c>
      <c r="J32" s="23">
        <v>10</v>
      </c>
      <c r="K32" s="45">
        <f>G13</f>
        <v>3.8582551360104612E-2</v>
      </c>
      <c r="L32" s="36">
        <v>4.2700000000000002E-2</v>
      </c>
      <c r="V32" s="15">
        <f>V31+5</f>
        <v>65</v>
      </c>
      <c r="W32" s="44">
        <f t="shared" si="4"/>
        <v>3.4977853915955578E-2</v>
      </c>
      <c r="X32" s="34">
        <f t="shared" si="5"/>
        <v>3.5153042825566833E-2</v>
      </c>
      <c r="Y32" s="36">
        <f t="shared" si="6"/>
        <v>3.5372968365845255E-2</v>
      </c>
      <c r="Z32" s="38">
        <f t="shared" si="7"/>
        <v>3.5970759272297453E-2</v>
      </c>
      <c r="AB32" s="23">
        <v>10</v>
      </c>
      <c r="AC32" s="45">
        <f>Y13</f>
        <v>3.4220630251231537E-2</v>
      </c>
      <c r="AD32" s="36">
        <f t="shared" ref="AD32:AD36" si="34">L32</f>
        <v>4.2700000000000002E-2</v>
      </c>
      <c r="AM32" s="15">
        <f>AM31+5</f>
        <v>65</v>
      </c>
      <c r="AN32" s="44">
        <f t="shared" si="8"/>
        <v>4.7899905325375594E-2</v>
      </c>
      <c r="AO32" s="34">
        <f t="shared" si="9"/>
        <v>4.7899943785943873E-2</v>
      </c>
      <c r="AP32" s="36">
        <f t="shared" si="10"/>
        <v>4.7899968581421239E-2</v>
      </c>
      <c r="AQ32" s="38">
        <f t="shared" si="11"/>
        <v>4.7899991562936735E-2</v>
      </c>
      <c r="AS32" s="23">
        <v>10</v>
      </c>
      <c r="AT32" s="45">
        <f>AP13</f>
        <v>4.6018839563011081E-2</v>
      </c>
      <c r="AU32" s="36">
        <f t="shared" ref="AU32:AU36" si="35">AD32</f>
        <v>4.2700000000000002E-2</v>
      </c>
      <c r="BD32" s="15">
        <f>BD31+5</f>
        <v>65</v>
      </c>
      <c r="BE32" s="44">
        <f t="shared" si="12"/>
        <v>4.3220745323275495E-2</v>
      </c>
      <c r="BF32" s="34">
        <f t="shared" si="13"/>
        <v>4.3655437126007265E-2</v>
      </c>
      <c r="BG32" s="36">
        <f t="shared" si="14"/>
        <v>4.4111808076827227E-2</v>
      </c>
      <c r="BH32" s="38">
        <f t="shared" si="15"/>
        <v>4.5026189526923534E-2</v>
      </c>
      <c r="BJ32" s="23">
        <v>10</v>
      </c>
      <c r="BK32" s="45">
        <f>BG13</f>
        <v>3.6519642532216054E-2</v>
      </c>
      <c r="BL32" s="36">
        <f t="shared" ref="BL32:BL36" si="36">AU32</f>
        <v>4.2700000000000002E-2</v>
      </c>
      <c r="BU32" s="15">
        <f>BU31+5</f>
        <v>65</v>
      </c>
      <c r="BV32" s="44">
        <f t="shared" si="16"/>
        <v>4.7721490089779918E-2</v>
      </c>
      <c r="BW32" s="34">
        <f t="shared" si="17"/>
        <v>4.7779138638119438E-2</v>
      </c>
      <c r="BX32" s="36">
        <f t="shared" si="18"/>
        <v>4.7823319754551424E-2</v>
      </c>
      <c r="BY32" s="38">
        <f t="shared" si="19"/>
        <v>4.7874602668254447E-2</v>
      </c>
      <c r="CA32" s="23">
        <v>10</v>
      </c>
      <c r="CB32" s="45">
        <f>BX13</f>
        <v>4.1654327398770619E-2</v>
      </c>
      <c r="CC32" s="36">
        <f t="shared" ref="CC32:CC36" si="37">BL32</f>
        <v>4.2700000000000002E-2</v>
      </c>
    </row>
    <row r="33" spans="4:82" x14ac:dyDescent="0.3">
      <c r="D33" s="15">
        <f t="shared" ref="D33:D39" si="38">D32+5</f>
        <v>70</v>
      </c>
      <c r="E33" s="30">
        <f t="shared" si="0"/>
        <v>4.6567723890386069E-2</v>
      </c>
      <c r="F33" s="34">
        <f t="shared" si="1"/>
        <v>4.6820077974264497E-2</v>
      </c>
      <c r="G33" s="36">
        <f t="shared" si="2"/>
        <v>4.705474012950947E-2</v>
      </c>
      <c r="H33" s="38">
        <f t="shared" si="3"/>
        <v>4.7433786297007133E-2</v>
      </c>
      <c r="J33" s="23">
        <v>30</v>
      </c>
      <c r="K33" s="45">
        <f>G25</f>
        <v>4.371340045442039E-2</v>
      </c>
      <c r="L33" s="36">
        <v>4.2000000000000003E-2</v>
      </c>
      <c r="V33" s="15">
        <f t="shared" ref="V33:V39" si="39">V32+5</f>
        <v>70</v>
      </c>
      <c r="W33" s="44">
        <f t="shared" si="4"/>
        <v>3.5050160253979612E-2</v>
      </c>
      <c r="X33" s="34">
        <f t="shared" si="5"/>
        <v>3.5237671315351743E-2</v>
      </c>
      <c r="Y33" s="36">
        <f t="shared" si="6"/>
        <v>3.5472784820745035E-2</v>
      </c>
      <c r="Z33" s="38">
        <f t="shared" si="7"/>
        <v>3.611024021187785E-2</v>
      </c>
      <c r="AB33" s="23">
        <v>30</v>
      </c>
      <c r="AC33" s="45">
        <f>Y25</f>
        <v>3.4651440359622684E-2</v>
      </c>
      <c r="AD33" s="36">
        <f t="shared" si="34"/>
        <v>4.2000000000000003E-2</v>
      </c>
      <c r="AM33" s="15">
        <f t="shared" ref="AM33:AM39" si="40">AM32+5</f>
        <v>70</v>
      </c>
      <c r="AN33" s="44">
        <f t="shared" si="8"/>
        <v>4.7899962086936136E-2</v>
      </c>
      <c r="AO33" s="34">
        <f t="shared" si="9"/>
        <v>4.7899978373526789E-2</v>
      </c>
      <c r="AP33" s="36">
        <f t="shared" si="10"/>
        <v>4.78999884417508E-2</v>
      </c>
      <c r="AQ33" s="38">
        <f t="shared" si="11"/>
        <v>4.7899997194733576E-2</v>
      </c>
      <c r="AS33" s="23">
        <v>30</v>
      </c>
      <c r="AT33" s="45">
        <f>AP25</f>
        <v>4.7865545344744333E-2</v>
      </c>
      <c r="AU33" s="36">
        <f t="shared" si="35"/>
        <v>4.2000000000000003E-2</v>
      </c>
      <c r="BD33" s="15">
        <f t="shared" ref="BD33:BD39" si="41">BD32+5</f>
        <v>70</v>
      </c>
      <c r="BE33" s="44">
        <f t="shared" si="12"/>
        <v>4.3596671297282341E-2</v>
      </c>
      <c r="BF33" s="34">
        <f t="shared" si="13"/>
        <v>4.4025607640193948E-2</v>
      </c>
      <c r="BG33" s="36">
        <f t="shared" si="14"/>
        <v>4.4472302201211671E-2</v>
      </c>
      <c r="BH33" s="38">
        <f t="shared" si="15"/>
        <v>4.535434282127368E-2</v>
      </c>
      <c r="BJ33" s="23">
        <v>30</v>
      </c>
      <c r="BK33" s="45">
        <f>BG25</f>
        <v>4.0271518258293032E-2</v>
      </c>
      <c r="BL33" s="36">
        <f t="shared" si="36"/>
        <v>4.2000000000000003E-2</v>
      </c>
      <c r="BU33" s="15">
        <f t="shared" ref="BU33:BU39" si="42">BU32+5</f>
        <v>70</v>
      </c>
      <c r="BV33" s="44">
        <f t="shared" si="16"/>
        <v>4.7772305062428196E-2</v>
      </c>
      <c r="BW33" s="34">
        <f t="shared" si="17"/>
        <v>4.7816098447361961E-2</v>
      </c>
      <c r="BX33" s="36">
        <f t="shared" si="18"/>
        <v>4.7848599694340882E-2</v>
      </c>
      <c r="BY33" s="38">
        <f t="shared" si="19"/>
        <v>4.7884362934038971E-2</v>
      </c>
      <c r="CA33" s="23">
        <v>30</v>
      </c>
      <c r="CB33" s="45">
        <f>BX25</f>
        <v>4.6639020449277167E-2</v>
      </c>
      <c r="CC33" s="36">
        <f t="shared" si="37"/>
        <v>4.2000000000000003E-2</v>
      </c>
    </row>
    <row r="34" spans="4:82" x14ac:dyDescent="0.3">
      <c r="D34" s="15">
        <f t="shared" si="38"/>
        <v>75</v>
      </c>
      <c r="E34" s="30">
        <f t="shared" si="0"/>
        <v>4.6773192018715985E-2</v>
      </c>
      <c r="F34" s="34">
        <f t="shared" si="1"/>
        <v>4.70002255515172E-2</v>
      </c>
      <c r="G34" s="36">
        <f t="shared" si="2"/>
        <v>4.7207959749686688E-2</v>
      </c>
      <c r="H34" s="38">
        <f t="shared" si="3"/>
        <v>4.7534179008637059E-2</v>
      </c>
      <c r="J34" s="23">
        <v>60</v>
      </c>
      <c r="K34" s="45">
        <f>G31</f>
        <v>4.6639020449277167E-2</v>
      </c>
      <c r="L34" s="36">
        <v>4.7899999999999998E-2</v>
      </c>
      <c r="V34" s="15">
        <f t="shared" si="39"/>
        <v>75</v>
      </c>
      <c r="W34" s="44">
        <f t="shared" si="4"/>
        <v>3.5122061999261503E-2</v>
      </c>
      <c r="X34" s="34">
        <f t="shared" si="5"/>
        <v>3.5321737947025325E-2</v>
      </c>
      <c r="Y34" s="36">
        <f t="shared" si="6"/>
        <v>3.5571805929631509E-2</v>
      </c>
      <c r="Z34" s="38">
        <f t="shared" si="7"/>
        <v>3.6248090290538409E-2</v>
      </c>
      <c r="AB34" s="23">
        <v>60</v>
      </c>
      <c r="AC34" s="45">
        <f>Y31</f>
        <v>3.5272350176644984E-2</v>
      </c>
      <c r="AD34" s="36">
        <f t="shared" si="34"/>
        <v>4.7899999999999998E-2</v>
      </c>
      <c r="AM34" s="15">
        <f t="shared" si="40"/>
        <v>75</v>
      </c>
      <c r="AN34" s="44">
        <f t="shared" si="8"/>
        <v>4.7899984817469085E-2</v>
      </c>
      <c r="AO34" s="34">
        <f t="shared" si="9"/>
        <v>4.7899991679939573E-2</v>
      </c>
      <c r="AP34" s="36">
        <f t="shared" si="10"/>
        <v>4.7899995747957745E-2</v>
      </c>
      <c r="AQ34" s="38">
        <f t="shared" si="11"/>
        <v>4.7899999067267898E-2</v>
      </c>
      <c r="AS34" s="23">
        <v>60</v>
      </c>
      <c r="AT34" s="45">
        <f>AP31</f>
        <v>4.789991459544829E-2</v>
      </c>
      <c r="AU34" s="36">
        <f t="shared" si="35"/>
        <v>4.7899999999999998E-2</v>
      </c>
      <c r="BD34" s="15">
        <f t="shared" si="41"/>
        <v>75</v>
      </c>
      <c r="BE34" s="44">
        <f t="shared" si="12"/>
        <v>4.3942395808086947E-2</v>
      </c>
      <c r="BF34" s="34">
        <f t="shared" si="13"/>
        <v>4.4363495393200954E-2</v>
      </c>
      <c r="BG34" s="36">
        <f t="shared" si="14"/>
        <v>4.4798490773936828E-2</v>
      </c>
      <c r="BH34" s="38">
        <f t="shared" si="15"/>
        <v>4.5645025104364835E-2</v>
      </c>
      <c r="BJ34" s="23">
        <v>60</v>
      </c>
      <c r="BK34" s="45">
        <f>BG31</f>
        <v>4.371340045442039E-2</v>
      </c>
      <c r="BL34" s="36">
        <f t="shared" si="36"/>
        <v>4.7899999999999998E-2</v>
      </c>
      <c r="BU34" s="15">
        <f t="shared" si="42"/>
        <v>75</v>
      </c>
      <c r="BV34" s="44">
        <f t="shared" si="16"/>
        <v>4.7808654947720478E-2</v>
      </c>
      <c r="BW34" s="34">
        <f t="shared" si="17"/>
        <v>4.784175582315521E-2</v>
      </c>
      <c r="BX34" s="36">
        <f t="shared" si="18"/>
        <v>4.7865545344744333E-2</v>
      </c>
      <c r="BY34" s="38">
        <f t="shared" si="19"/>
        <v>4.7890372302322175E-2</v>
      </c>
      <c r="CA34" s="23">
        <v>60</v>
      </c>
      <c r="CB34" s="45">
        <f>BX31</f>
        <v>4.7785606516018618E-2</v>
      </c>
      <c r="CC34" s="36">
        <f t="shared" si="37"/>
        <v>4.7899999999999998E-2</v>
      </c>
    </row>
    <row r="35" spans="4:82" x14ac:dyDescent="0.3">
      <c r="D35" s="15">
        <f t="shared" si="38"/>
        <v>80</v>
      </c>
      <c r="E35" s="30">
        <f t="shared" si="0"/>
        <v>4.6946972157255538E-2</v>
      </c>
      <c r="F35" s="34">
        <f t="shared" si="1"/>
        <v>4.7150321746525052E-2</v>
      </c>
      <c r="G35" s="36">
        <f t="shared" si="2"/>
        <v>4.7333405364700709E-2</v>
      </c>
      <c r="H35" s="38">
        <f t="shared" si="3"/>
        <v>4.7612953529974196E-2</v>
      </c>
      <c r="J35" s="23">
        <v>120</v>
      </c>
      <c r="K35" s="45">
        <f>G41</f>
        <v>4.7785606516018618E-2</v>
      </c>
      <c r="L35" s="36">
        <v>4.4999999999999998E-2</v>
      </c>
      <c r="V35" s="15">
        <f t="shared" si="39"/>
        <v>80</v>
      </c>
      <c r="W35" s="44">
        <f t="shared" si="4"/>
        <v>3.5193561415714655E-2</v>
      </c>
      <c r="X35" s="34">
        <f t="shared" si="5"/>
        <v>3.5405246450827099E-2</v>
      </c>
      <c r="Y35" s="36">
        <f t="shared" si="6"/>
        <v>3.5670038029889453E-2</v>
      </c>
      <c r="Z35" s="38">
        <f t="shared" si="7"/>
        <v>3.6384328576886976E-2</v>
      </c>
      <c r="AB35" s="23">
        <v>120</v>
      </c>
      <c r="AC35" s="45">
        <f>Y41</f>
        <v>3.6428234527965619E-2</v>
      </c>
      <c r="AD35" s="36">
        <f t="shared" si="34"/>
        <v>4.4999999999999998E-2</v>
      </c>
      <c r="AM35" s="15">
        <f t="shared" si="40"/>
        <v>80</v>
      </c>
      <c r="AN35" s="44">
        <f t="shared" si="8"/>
        <v>4.7899993920057587E-2</v>
      </c>
      <c r="AO35" s="34">
        <f t="shared" si="9"/>
        <v>4.7899996799135723E-2</v>
      </c>
      <c r="AP35" s="36">
        <f t="shared" si="10"/>
        <v>4.7899998435761072E-2</v>
      </c>
      <c r="AQ35" s="38">
        <f t="shared" si="11"/>
        <v>4.7899999689872887E-2</v>
      </c>
      <c r="AS35" s="23">
        <v>120</v>
      </c>
      <c r="AT35" s="45">
        <f>AP41</f>
        <v>4.7899999999475251E-2</v>
      </c>
      <c r="AU35" s="36">
        <f t="shared" si="35"/>
        <v>4.4999999999999998E-2</v>
      </c>
      <c r="BD35" s="15">
        <f t="shared" si="41"/>
        <v>80</v>
      </c>
      <c r="BE35" s="44">
        <f t="shared" si="12"/>
        <v>4.426034520673347E-2</v>
      </c>
      <c r="BF35" s="34">
        <f t="shared" si="13"/>
        <v>4.4671915781256351E-2</v>
      </c>
      <c r="BG35" s="36">
        <f t="shared" si="14"/>
        <v>4.5093638399874292E-2</v>
      </c>
      <c r="BH35" s="38">
        <f t="shared" si="15"/>
        <v>4.590251509808993E-2</v>
      </c>
      <c r="BJ35" s="23">
        <v>120</v>
      </c>
      <c r="BK35" s="45">
        <f>BG41</f>
        <v>4.6639020449277167E-2</v>
      </c>
      <c r="BL35" s="36">
        <f t="shared" si="36"/>
        <v>4.4999999999999998E-2</v>
      </c>
      <c r="BU35" s="15">
        <f t="shared" si="42"/>
        <v>80</v>
      </c>
      <c r="BV35" s="44">
        <f t="shared" si="16"/>
        <v>4.7834657405104591E-2</v>
      </c>
      <c r="BW35" s="34">
        <f t="shared" si="17"/>
        <v>4.7859567087501206E-2</v>
      </c>
      <c r="BX35" s="36">
        <f t="shared" si="18"/>
        <v>4.7876904353902877E-2</v>
      </c>
      <c r="BY35" s="38">
        <f t="shared" si="19"/>
        <v>4.7894072253528465E-2</v>
      </c>
      <c r="CA35" s="23">
        <v>120</v>
      </c>
      <c r="CB35" s="45">
        <f>BX41</f>
        <v>4.7899058570562772E-2</v>
      </c>
      <c r="CC35" s="36">
        <f t="shared" si="37"/>
        <v>4.4999999999999998E-2</v>
      </c>
    </row>
    <row r="36" spans="4:82" x14ac:dyDescent="0.3">
      <c r="D36" s="15">
        <f t="shared" si="38"/>
        <v>85</v>
      </c>
      <c r="E36" s="30">
        <f t="shared" si="0"/>
        <v>4.7093951334981503E-2</v>
      </c>
      <c r="F36" s="34">
        <f t="shared" si="1"/>
        <v>4.7275379591317661E-2</v>
      </c>
      <c r="G36" s="36">
        <f t="shared" si="2"/>
        <v>4.7436111547551466E-2</v>
      </c>
      <c r="H36" s="38">
        <f t="shared" si="3"/>
        <v>4.7674765041100305E-2</v>
      </c>
      <c r="J36" s="23">
        <v>240</v>
      </c>
      <c r="K36" s="45">
        <f>G53</f>
        <v>4.7899058570562772E-2</v>
      </c>
      <c r="L36" s="36">
        <v>4.3799999999999999E-2</v>
      </c>
      <c r="V36" s="15">
        <f t="shared" si="39"/>
        <v>85</v>
      </c>
      <c r="W36" s="44">
        <f t="shared" si="4"/>
        <v>3.5264660754584641E-2</v>
      </c>
      <c r="X36" s="34">
        <f t="shared" si="5"/>
        <v>3.5488200532231097E-2</v>
      </c>
      <c r="Y36" s="36">
        <f t="shared" si="6"/>
        <v>3.5767487408406802E-2</v>
      </c>
      <c r="Z36" s="38">
        <f t="shared" si="7"/>
        <v>3.6518973916574431E-2</v>
      </c>
      <c r="AB36" s="23">
        <v>240</v>
      </c>
      <c r="AC36" s="45">
        <f>Y53</f>
        <v>3.8432273162204295E-2</v>
      </c>
      <c r="AD36" s="36">
        <f t="shared" si="34"/>
        <v>4.3799999999999999E-2</v>
      </c>
      <c r="AM36" s="15">
        <f t="shared" si="40"/>
        <v>85</v>
      </c>
      <c r="AN36" s="44">
        <f t="shared" si="8"/>
        <v>4.7899997565247855E-2</v>
      </c>
      <c r="AO36" s="34">
        <f t="shared" si="9"/>
        <v>4.7899998768574793E-2</v>
      </c>
      <c r="AP36" s="36">
        <f t="shared" si="10"/>
        <v>4.7899999424548652E-2</v>
      </c>
      <c r="AQ36" s="38">
        <f t="shared" si="11"/>
        <v>4.7899999896884836E-2</v>
      </c>
      <c r="AS36" s="23">
        <v>240</v>
      </c>
      <c r="AT36" s="45">
        <f>AP53</f>
        <v>4.7899999999999998E-2</v>
      </c>
      <c r="AU36" s="36">
        <f t="shared" si="35"/>
        <v>4.3799999999999999E-2</v>
      </c>
      <c r="BD36" s="15">
        <f t="shared" si="41"/>
        <v>85</v>
      </c>
      <c r="BE36" s="44">
        <f t="shared" si="12"/>
        <v>4.4552750913995631E-2</v>
      </c>
      <c r="BF36" s="34">
        <f t="shared" si="13"/>
        <v>4.4953438668433238E-2</v>
      </c>
      <c r="BG36" s="36">
        <f t="shared" si="14"/>
        <v>4.5360699015666986E-2</v>
      </c>
      <c r="BH36" s="38">
        <f t="shared" si="15"/>
        <v>4.6130602947694978E-2</v>
      </c>
      <c r="BJ36" s="23">
        <v>240</v>
      </c>
      <c r="BK36" s="45">
        <f>BG53</f>
        <v>4.7785606516018618E-2</v>
      </c>
      <c r="BL36" s="36">
        <f t="shared" si="36"/>
        <v>4.3799999999999999E-2</v>
      </c>
      <c r="BU36" s="15">
        <f t="shared" si="42"/>
        <v>85</v>
      </c>
      <c r="BV36" s="44">
        <f t="shared" si="16"/>
        <v>4.7853257953210208E-2</v>
      </c>
      <c r="BW36" s="34">
        <f t="shared" si="17"/>
        <v>4.7871931607558094E-2</v>
      </c>
      <c r="BX36" s="36">
        <f t="shared" si="18"/>
        <v>4.7884518525444952E-2</v>
      </c>
      <c r="BY36" s="38">
        <f t="shared" si="19"/>
        <v>4.789635030311435E-2</v>
      </c>
      <c r="CA36" s="23">
        <v>240</v>
      </c>
      <c r="CB36" s="45">
        <f>BX53</f>
        <v>4.7899999936238169E-2</v>
      </c>
      <c r="CC36" s="36">
        <f t="shared" si="37"/>
        <v>4.3799999999999999E-2</v>
      </c>
    </row>
    <row r="37" spans="4:82" x14ac:dyDescent="0.3">
      <c r="D37" s="15">
        <f t="shared" si="38"/>
        <v>90</v>
      </c>
      <c r="E37" s="30">
        <f t="shared" si="0"/>
        <v>4.7218262886730464E-2</v>
      </c>
      <c r="F37" s="34">
        <f t="shared" si="1"/>
        <v>4.7379575867201637E-2</v>
      </c>
      <c r="G37" s="36">
        <f t="shared" si="2"/>
        <v>4.7520200257982634E-2</v>
      </c>
      <c r="H37" s="38">
        <f t="shared" si="3"/>
        <v>4.7723266293064025E-2</v>
      </c>
      <c r="V37" s="15">
        <f t="shared" si="39"/>
        <v>90</v>
      </c>
      <c r="W37" s="44">
        <f t="shared" si="4"/>
        <v>3.5335362254520122E-2</v>
      </c>
      <c r="X37" s="34">
        <f t="shared" si="5"/>
        <v>3.55706038721103E-2</v>
      </c>
      <c r="Y37" s="36">
        <f t="shared" si="6"/>
        <v>3.5864160301977054E-2</v>
      </c>
      <c r="Z37" s="38">
        <f t="shared" si="7"/>
        <v>3.6652044934901595E-2</v>
      </c>
      <c r="AM37" s="15">
        <f t="shared" si="40"/>
        <v>90</v>
      </c>
      <c r="AN37" s="44">
        <f t="shared" si="8"/>
        <v>4.7899999024987802E-2</v>
      </c>
      <c r="AO37" s="34">
        <f t="shared" si="9"/>
        <v>4.7899999526250445E-2</v>
      </c>
      <c r="AP37" s="36">
        <f t="shared" si="10"/>
        <v>4.7899999788303282E-2</v>
      </c>
      <c r="AQ37" s="38">
        <f t="shared" si="11"/>
        <v>4.7899999965714903E-2</v>
      </c>
      <c r="BD37" s="15">
        <f t="shared" si="41"/>
        <v>90</v>
      </c>
      <c r="BE37" s="44">
        <f t="shared" si="12"/>
        <v>4.4821665080851905E-2</v>
      </c>
      <c r="BF37" s="34">
        <f t="shared" si="13"/>
        <v>4.5210409799635413E-2</v>
      </c>
      <c r="BG37" s="36">
        <f t="shared" si="14"/>
        <v>4.5602345453719946E-2</v>
      </c>
      <c r="BH37" s="38">
        <f t="shared" si="15"/>
        <v>4.6332646011135327E-2</v>
      </c>
      <c r="BU37" s="15">
        <f t="shared" si="42"/>
        <v>90</v>
      </c>
      <c r="BV37" s="44">
        <f t="shared" si="16"/>
        <v>4.7866563633697186E-2</v>
      </c>
      <c r="BW37" s="34">
        <f t="shared" si="17"/>
        <v>4.7880515015971299E-2</v>
      </c>
      <c r="BX37" s="36">
        <f t="shared" si="18"/>
        <v>4.788962245726356E-2</v>
      </c>
      <c r="BY37" s="38">
        <f t="shared" si="19"/>
        <v>4.7897752891858464E-2</v>
      </c>
    </row>
    <row r="38" spans="4:82" x14ac:dyDescent="0.3">
      <c r="D38" s="15">
        <f t="shared" si="38"/>
        <v>95</v>
      </c>
      <c r="E38" s="30">
        <f t="shared" si="0"/>
        <v>4.7323402690458628E-2</v>
      </c>
      <c r="F38" s="34">
        <f t="shared" si="1"/>
        <v>4.7466390604222683E-2</v>
      </c>
      <c r="G38" s="36">
        <f t="shared" si="2"/>
        <v>4.7589046271199295E-2</v>
      </c>
      <c r="H38" s="38">
        <f t="shared" si="3"/>
        <v>4.7761323467192141E-2</v>
      </c>
      <c r="J38" t="s">
        <v>19</v>
      </c>
      <c r="V38" s="15">
        <f t="shared" si="39"/>
        <v>95</v>
      </c>
      <c r="W38" s="44">
        <f t="shared" si="4"/>
        <v>3.5405668141643309E-2</v>
      </c>
      <c r="X38" s="34">
        <f t="shared" si="5"/>
        <v>3.565246012689996E-2</v>
      </c>
      <c r="Y38" s="36">
        <f t="shared" si="6"/>
        <v>3.5960062897698389E-2</v>
      </c>
      <c r="Z38" s="38">
        <f t="shared" si="7"/>
        <v>3.6783560039395605E-2</v>
      </c>
      <c r="AB38" t="s">
        <v>19</v>
      </c>
      <c r="AM38" s="15">
        <f t="shared" si="40"/>
        <v>95</v>
      </c>
      <c r="AN38" s="44">
        <f t="shared" si="8"/>
        <v>4.7899999609550076E-2</v>
      </c>
      <c r="AO38" s="34">
        <f t="shared" si="9"/>
        <v>4.7899999817740742E-2</v>
      </c>
      <c r="AP38" s="36">
        <f t="shared" si="10"/>
        <v>4.7899999922121128E-2</v>
      </c>
      <c r="AQ38" s="38">
        <f t="shared" si="11"/>
        <v>4.7899999988600436E-2</v>
      </c>
      <c r="AS38" t="s">
        <v>19</v>
      </c>
      <c r="BD38" s="15">
        <f t="shared" si="41"/>
        <v>95</v>
      </c>
      <c r="BE38" s="44">
        <f t="shared" si="12"/>
        <v>4.5068974990816045E-2</v>
      </c>
      <c r="BF38" s="34">
        <f t="shared" si="13"/>
        <v>4.5444970346145558E-2</v>
      </c>
      <c r="BG38" s="36">
        <f t="shared" si="14"/>
        <v>4.5820996192805372E-2</v>
      </c>
      <c r="BH38" s="38">
        <f t="shared" si="15"/>
        <v>4.6511618277983592E-2</v>
      </c>
      <c r="BJ38" t="s">
        <v>19</v>
      </c>
      <c r="BU38" s="15">
        <f t="shared" si="42"/>
        <v>95</v>
      </c>
      <c r="BV38" s="44">
        <f t="shared" si="16"/>
        <v>4.7876081693714365E-2</v>
      </c>
      <c r="BW38" s="34">
        <f t="shared" si="17"/>
        <v>4.7886473589344863E-2</v>
      </c>
      <c r="BX38" s="36">
        <f t="shared" si="18"/>
        <v>4.7893043725075177E-2</v>
      </c>
      <c r="BY38" s="38">
        <f t="shared" si="19"/>
        <v>4.789861646181643E-2</v>
      </c>
      <c r="CA38" t="s">
        <v>19</v>
      </c>
    </row>
    <row r="39" spans="4:82" x14ac:dyDescent="0.3">
      <c r="D39" s="15">
        <f t="shared" si="38"/>
        <v>100</v>
      </c>
      <c r="E39" s="30">
        <f t="shared" si="0"/>
        <v>4.7412327477998249E-2</v>
      </c>
      <c r="F39" s="34">
        <f t="shared" si="1"/>
        <v>4.75387233099753E-2</v>
      </c>
      <c r="G39" s="36">
        <f t="shared" si="2"/>
        <v>4.7645412619446596E-2</v>
      </c>
      <c r="H39" s="38">
        <f t="shared" si="3"/>
        <v>4.7791185552065761E-2</v>
      </c>
      <c r="J39" s="26" t="s">
        <v>11</v>
      </c>
      <c r="K39" s="26" t="s">
        <v>15</v>
      </c>
      <c r="L39" s="27" t="s">
        <v>16</v>
      </c>
      <c r="M39" s="27" t="s">
        <v>21</v>
      </c>
      <c r="V39" s="15">
        <f t="shared" si="39"/>
        <v>100</v>
      </c>
      <c r="W39" s="44">
        <f t="shared" si="4"/>
        <v>3.5475580629620078E-2</v>
      </c>
      <c r="X39" s="34">
        <f t="shared" si="5"/>
        <v>3.573377292875983E-2</v>
      </c>
      <c r="Y39" s="36">
        <f t="shared" si="6"/>
        <v>3.605520133336966E-2</v>
      </c>
      <c r="Z39" s="38">
        <f t="shared" si="7"/>
        <v>3.6913537422356243E-2</v>
      </c>
      <c r="AB39" s="26" t="s">
        <v>11</v>
      </c>
      <c r="AC39" s="26" t="s">
        <v>15</v>
      </c>
      <c r="AD39" s="27" t="s">
        <v>16</v>
      </c>
      <c r="AE39" s="27" t="s">
        <v>21</v>
      </c>
      <c r="AM39" s="15">
        <f t="shared" si="40"/>
        <v>100</v>
      </c>
      <c r="AN39" s="44">
        <f t="shared" si="8"/>
        <v>4.7899999843641808E-2</v>
      </c>
      <c r="AO39" s="34">
        <f t="shared" si="9"/>
        <v>4.7899999929881858E-2</v>
      </c>
      <c r="AP39" s="36">
        <f t="shared" si="10"/>
        <v>4.7899999971349964E-2</v>
      </c>
      <c r="AQ39" s="38">
        <f t="shared" si="11"/>
        <v>4.7899999996209724E-2</v>
      </c>
      <c r="AS39" s="26" t="s">
        <v>11</v>
      </c>
      <c r="AT39" s="26" t="s">
        <v>15</v>
      </c>
      <c r="AU39" s="27" t="s">
        <v>16</v>
      </c>
      <c r="AV39" s="27" t="s">
        <v>21</v>
      </c>
      <c r="BD39" s="15">
        <f t="shared" si="41"/>
        <v>100</v>
      </c>
      <c r="BE39" s="44">
        <f t="shared" si="12"/>
        <v>4.5296416305200794E-2</v>
      </c>
      <c r="BF39" s="34">
        <f t="shared" si="13"/>
        <v>4.5659074746596105E-2</v>
      </c>
      <c r="BG39" s="36">
        <f t="shared" si="14"/>
        <v>4.6018839563011081E-2</v>
      </c>
      <c r="BH39" s="38">
        <f t="shared" si="15"/>
        <v>4.6670154145314988E-2</v>
      </c>
      <c r="BJ39" s="26" t="s">
        <v>11</v>
      </c>
      <c r="BK39" s="26" t="s">
        <v>15</v>
      </c>
      <c r="BL39" s="27" t="s">
        <v>16</v>
      </c>
      <c r="BM39" s="27" t="s">
        <v>21</v>
      </c>
      <c r="BU39" s="15">
        <f t="shared" si="42"/>
        <v>100</v>
      </c>
      <c r="BV39" s="44">
        <f t="shared" si="16"/>
        <v>4.7882890324552833E-2</v>
      </c>
      <c r="BW39" s="34">
        <f t="shared" si="17"/>
        <v>4.7890610011024806E-2</v>
      </c>
      <c r="BX39" s="36">
        <f t="shared" si="18"/>
        <v>4.7895337069472153E-2</v>
      </c>
      <c r="BY39" s="38">
        <f t="shared" si="19"/>
        <v>4.7899148159418758E-2</v>
      </c>
      <c r="CA39" s="26" t="s">
        <v>11</v>
      </c>
      <c r="CB39" s="26" t="s">
        <v>15</v>
      </c>
      <c r="CC39" s="27" t="s">
        <v>16</v>
      </c>
      <c r="CD39" s="27" t="s">
        <v>21</v>
      </c>
    </row>
    <row r="40" spans="4:82" x14ac:dyDescent="0.3">
      <c r="D40" s="15">
        <f>D39+10</f>
        <v>110</v>
      </c>
      <c r="E40" s="30">
        <f t="shared" si="0"/>
        <v>4.7551149271344545E-2</v>
      </c>
      <c r="F40" s="34">
        <f t="shared" si="1"/>
        <v>4.7649202931744572E-2</v>
      </c>
      <c r="G40" s="36">
        <f t="shared" si="2"/>
        <v>4.7729344975347344E-2</v>
      </c>
      <c r="H40" s="38">
        <f t="shared" si="3"/>
        <v>4.7833003249439433E-2</v>
      </c>
      <c r="J40" s="28">
        <v>0</v>
      </c>
      <c r="K40" s="46">
        <f>F3</f>
        <v>3.4000000000000002E-2</v>
      </c>
      <c r="L40" s="34">
        <v>3.4000000000000002E-2</v>
      </c>
      <c r="M40" s="19" cm="1">
        <f t="array" ref="M40">SQRT(SUMSQ(K40:K45-L40:L45)/COUNTA(K40:K45-L40:L45))</f>
        <v>3.5818844326597388E-3</v>
      </c>
      <c r="V40" s="15">
        <f>V39+10</f>
        <v>110</v>
      </c>
      <c r="W40" s="44">
        <f t="shared" si="4"/>
        <v>3.5614234200933889E-2</v>
      </c>
      <c r="X40" s="34">
        <f t="shared" si="5"/>
        <v>3.5894782581917764E-2</v>
      </c>
      <c r="Y40" s="36">
        <f t="shared" si="6"/>
        <v>3.6243210031614674E-2</v>
      </c>
      <c r="Z40" s="38">
        <f t="shared" si="7"/>
        <v>3.7168950731809244E-2</v>
      </c>
      <c r="AB40" s="28">
        <v>0</v>
      </c>
      <c r="AC40" s="46">
        <f>X3</f>
        <v>3.4000000000000002E-2</v>
      </c>
      <c r="AD40" s="34">
        <f>L40</f>
        <v>3.4000000000000002E-2</v>
      </c>
      <c r="AE40" s="19" cm="1">
        <f t="array" ref="AE40">SQRT(SUMSQ(AC40:AC45-AD40:AD45)/COUNTA(AC40:AC45-AD40:AD45))</f>
        <v>8.0093861925777509E-3</v>
      </c>
      <c r="AM40" s="15">
        <f>AM39+10</f>
        <v>110</v>
      </c>
      <c r="AN40" s="44">
        <f t="shared" si="8"/>
        <v>4.7899999974925563E-2</v>
      </c>
      <c r="AO40" s="34">
        <f t="shared" si="9"/>
        <v>4.7899999989622043E-2</v>
      </c>
      <c r="AP40" s="36">
        <f t="shared" si="10"/>
        <v>4.7899999996122634E-2</v>
      </c>
      <c r="AQ40" s="38">
        <f t="shared" si="11"/>
        <v>4.7899999999580979E-2</v>
      </c>
      <c r="AS40" s="28">
        <v>0</v>
      </c>
      <c r="AT40" s="46">
        <f>AO3</f>
        <v>3.4000000000000002E-2</v>
      </c>
      <c r="AU40" s="34">
        <f>AD40</f>
        <v>3.4000000000000002E-2</v>
      </c>
      <c r="AV40" s="19" cm="1">
        <f t="array" ref="AV40">SQRT(SUMSQ(AT40:AT45-AU40:AU45)/COUNTA(AT40:AT45-AU40:AU45))</f>
        <v>3.6637800375640315E-3</v>
      </c>
      <c r="BD40" s="15">
        <f>BD39+10</f>
        <v>110</v>
      </c>
      <c r="BE40" s="44">
        <f t="shared" si="12"/>
        <v>4.5697949789784337E-2</v>
      </c>
      <c r="BF40" s="34">
        <f t="shared" si="13"/>
        <v>4.6032895490672666E-2</v>
      </c>
      <c r="BG40" s="36">
        <f t="shared" si="14"/>
        <v>4.6359836098763554E-2</v>
      </c>
      <c r="BH40" s="38">
        <f t="shared" si="15"/>
        <v>4.6934984542718702E-2</v>
      </c>
      <c r="BJ40" s="28">
        <v>0</v>
      </c>
      <c r="BK40" s="46">
        <f>BF3</f>
        <v>3.4000000000000002E-2</v>
      </c>
      <c r="BL40" s="34">
        <f>AU40</f>
        <v>3.4000000000000002E-2</v>
      </c>
      <c r="BM40" s="19" cm="1">
        <f t="array" ref="BM40">SQRT(SUMSQ(BK40:BK45-BL40:BL45)/COUNTA(BK40:BK45-BL40:BL45))</f>
        <v>4.4370765175259404E-3</v>
      </c>
      <c r="BU40" s="15">
        <f>BU39+10</f>
        <v>110</v>
      </c>
      <c r="BV40" s="44">
        <f t="shared" si="16"/>
        <v>4.7891244832310539E-2</v>
      </c>
      <c r="BW40" s="34">
        <f t="shared" si="17"/>
        <v>4.7895474879896004E-2</v>
      </c>
      <c r="BX40" s="36">
        <f t="shared" si="18"/>
        <v>4.7897904810256173E-2</v>
      </c>
      <c r="BY40" s="38">
        <f t="shared" si="19"/>
        <v>4.789967708168448E-2</v>
      </c>
      <c r="CA40" s="28">
        <v>0</v>
      </c>
      <c r="CB40" s="46">
        <f>BW3</f>
        <v>3.4000000000000002E-2</v>
      </c>
      <c r="CC40" s="34">
        <f>BL40</f>
        <v>3.4000000000000002E-2</v>
      </c>
      <c r="CD40" s="19" cm="1">
        <f t="array" ref="CD40">SQRT(SUMSQ(CB40:CB45-CC40:CC45)/COUNTA(CB40:CB45-CC40:CC45))</f>
        <v>3.2922396947909949E-3</v>
      </c>
    </row>
    <row r="41" spans="4:82" x14ac:dyDescent="0.3">
      <c r="D41" s="15">
        <f t="shared" ref="D41:D59" si="43">D40+10</f>
        <v>120</v>
      </c>
      <c r="E41" s="39">
        <f t="shared" si="0"/>
        <v>4.765045378734091E-2</v>
      </c>
      <c r="F41" s="40">
        <f t="shared" si="1"/>
        <v>4.7725897515167065E-2</v>
      </c>
      <c r="G41" s="41">
        <f t="shared" si="2"/>
        <v>4.7785606516018618E-2</v>
      </c>
      <c r="H41" s="42">
        <f t="shared" si="3"/>
        <v>4.7858750288487545E-2</v>
      </c>
      <c r="J41" s="26">
        <v>10</v>
      </c>
      <c r="K41" s="46">
        <f>F13</f>
        <v>3.8250666552796096E-2</v>
      </c>
      <c r="L41" s="34">
        <v>4.2900000000000001E-2</v>
      </c>
      <c r="V41" s="15">
        <f t="shared" ref="V41:V59" si="44">V40+10</f>
        <v>120</v>
      </c>
      <c r="W41" s="44">
        <f t="shared" si="4"/>
        <v>3.5751340431300405E-2</v>
      </c>
      <c r="X41" s="34">
        <f t="shared" si="5"/>
        <v>3.6053661409450113E-2</v>
      </c>
      <c r="Y41" s="36">
        <f t="shared" si="6"/>
        <v>3.6428234527965619E-2</v>
      </c>
      <c r="Z41" s="38">
        <f t="shared" si="7"/>
        <v>3.7418426192005978E-2</v>
      </c>
      <c r="AB41" s="26">
        <v>10</v>
      </c>
      <c r="AC41" s="46">
        <f>X13</f>
        <v>3.4183954661193672E-2</v>
      </c>
      <c r="AD41" s="34">
        <f t="shared" ref="AD41:AD45" si="45">L41</f>
        <v>4.2900000000000001E-2</v>
      </c>
      <c r="AM41" s="15">
        <f t="shared" ref="AM41:AM59" si="46">AM40+10</f>
        <v>120</v>
      </c>
      <c r="AN41" s="44">
        <f t="shared" si="8"/>
        <v>4.789999999597893E-2</v>
      </c>
      <c r="AO41" s="34">
        <f t="shared" si="9"/>
        <v>4.7899999998463991E-2</v>
      </c>
      <c r="AP41" s="36">
        <f t="shared" si="10"/>
        <v>4.7899999999475251E-2</v>
      </c>
      <c r="AQ41" s="38">
        <f t="shared" si="11"/>
        <v>4.7899999999953674E-2</v>
      </c>
      <c r="AS41" s="26">
        <v>10</v>
      </c>
      <c r="AT41" s="46">
        <f>AO13</f>
        <v>4.5842706008985323E-2</v>
      </c>
      <c r="AU41" s="34">
        <f t="shared" ref="AU41:AU45" si="47">AD41</f>
        <v>4.2900000000000001E-2</v>
      </c>
      <c r="BD41" s="15">
        <f t="shared" ref="BD41:BD59" si="48">BD40+10</f>
        <v>120</v>
      </c>
      <c r="BE41" s="44">
        <f t="shared" si="12"/>
        <v>4.6037557422103609E-2</v>
      </c>
      <c r="BF41" s="34">
        <f t="shared" si="13"/>
        <v>4.634435719421913E-2</v>
      </c>
      <c r="BG41" s="36">
        <f t="shared" si="14"/>
        <v>4.6639020449277167E-2</v>
      </c>
      <c r="BH41" s="38">
        <f t="shared" si="15"/>
        <v>4.7142787354818257E-2</v>
      </c>
      <c r="BJ41" s="26">
        <v>10</v>
      </c>
      <c r="BK41" s="46">
        <f>BF13</f>
        <v>3.6318733449396207E-2</v>
      </c>
      <c r="BL41" s="34">
        <f t="shared" ref="BL41:BL45" si="49">AU41</f>
        <v>4.2900000000000001E-2</v>
      </c>
      <c r="BU41" s="15">
        <f t="shared" ref="BU41:BU59" si="50">BU40+10</f>
        <v>120</v>
      </c>
      <c r="BV41" s="44">
        <f t="shared" si="16"/>
        <v>4.7895519905593341E-2</v>
      </c>
      <c r="BW41" s="34">
        <f t="shared" si="17"/>
        <v>4.7897819303940645E-2</v>
      </c>
      <c r="BX41" s="36">
        <f t="shared" si="18"/>
        <v>4.7899058570562772E-2</v>
      </c>
      <c r="BY41" s="38">
        <f t="shared" si="19"/>
        <v>4.7899877587143896E-2</v>
      </c>
      <c r="CA41" s="26">
        <v>10</v>
      </c>
      <c r="CB41" s="46">
        <f>BW13</f>
        <v>4.1201465037746188E-2</v>
      </c>
      <c r="CC41" s="34">
        <f t="shared" ref="CC41:CC45" si="51">BL41</f>
        <v>4.2900000000000001E-2</v>
      </c>
    </row>
    <row r="42" spans="4:82" x14ac:dyDescent="0.3">
      <c r="D42" s="15">
        <f t="shared" si="43"/>
        <v>130</v>
      </c>
      <c r="E42" s="30">
        <f t="shared" si="0"/>
        <v>4.7721490089779918E-2</v>
      </c>
      <c r="F42" s="34">
        <f t="shared" si="1"/>
        <v>4.7779138638119438E-2</v>
      </c>
      <c r="G42" s="36">
        <f t="shared" si="2"/>
        <v>4.7823319754551424E-2</v>
      </c>
      <c r="H42" s="38">
        <f t="shared" si="3"/>
        <v>4.7874602668254447E-2</v>
      </c>
      <c r="J42" s="26">
        <v>30</v>
      </c>
      <c r="K42" s="46">
        <f>F25</f>
        <v>4.3249899463414357E-2</v>
      </c>
      <c r="L42" s="34">
        <v>4.3999999999999997E-2</v>
      </c>
      <c r="V42" s="15">
        <f t="shared" si="44"/>
        <v>130</v>
      </c>
      <c r="W42" s="44">
        <f t="shared" si="4"/>
        <v>3.5886916588677362E-2</v>
      </c>
      <c r="X42" s="34">
        <f t="shared" si="5"/>
        <v>3.6210437611019192E-2</v>
      </c>
      <c r="Y42" s="36">
        <f t="shared" si="6"/>
        <v>3.6610322189704052E-2</v>
      </c>
      <c r="Z42" s="38">
        <f t="shared" si="7"/>
        <v>3.7662101846080778E-2</v>
      </c>
      <c r="AB42" s="26">
        <v>30</v>
      </c>
      <c r="AC42" s="46">
        <f>X25</f>
        <v>3.4544592752100402E-2</v>
      </c>
      <c r="AD42" s="34">
        <f t="shared" si="45"/>
        <v>4.3999999999999997E-2</v>
      </c>
      <c r="AM42" s="15">
        <f t="shared" si="46"/>
        <v>130</v>
      </c>
      <c r="AN42" s="44">
        <f t="shared" si="8"/>
        <v>4.789999999935516E-2</v>
      </c>
      <c r="AO42" s="34">
        <f t="shared" si="9"/>
        <v>4.7899999999772659E-2</v>
      </c>
      <c r="AP42" s="36">
        <f t="shared" si="10"/>
        <v>4.7899999999928979E-2</v>
      </c>
      <c r="AQ42" s="38">
        <f t="shared" si="11"/>
        <v>4.7899999999994877E-2</v>
      </c>
      <c r="AS42" s="26">
        <v>30</v>
      </c>
      <c r="AT42" s="46">
        <f>AO25</f>
        <v>4.7854932914580248E-2</v>
      </c>
      <c r="AU42" s="34">
        <f t="shared" si="47"/>
        <v>4.3999999999999997E-2</v>
      </c>
      <c r="BD42" s="15">
        <f t="shared" si="48"/>
        <v>130</v>
      </c>
      <c r="BE42" s="44">
        <f t="shared" si="12"/>
        <v>4.6324789616572076E-2</v>
      </c>
      <c r="BF42" s="34">
        <f t="shared" si="13"/>
        <v>4.6603862302785792E-2</v>
      </c>
      <c r="BG42" s="36">
        <f t="shared" si="14"/>
        <v>4.6867597262820755E-2</v>
      </c>
      <c r="BH42" s="38">
        <f t="shared" si="15"/>
        <v>4.7305842688117695E-2</v>
      </c>
      <c r="BJ42" s="26">
        <v>30</v>
      </c>
      <c r="BK42" s="46">
        <f>BF25</f>
        <v>3.9860323547645682E-2</v>
      </c>
      <c r="BL42" s="34">
        <f t="shared" si="49"/>
        <v>4.3999999999999997E-2</v>
      </c>
      <c r="BU42" s="15">
        <f t="shared" si="50"/>
        <v>130</v>
      </c>
      <c r="BV42" s="44">
        <f t="shared" si="16"/>
        <v>4.7897707497262819E-2</v>
      </c>
      <c r="BW42" s="34">
        <f t="shared" si="17"/>
        <v>4.7898949102964342E-2</v>
      </c>
      <c r="BX42" s="36">
        <f t="shared" si="18"/>
        <v>4.7899576988486181E-2</v>
      </c>
      <c r="BY42" s="38">
        <f t="shared" si="19"/>
        <v>4.7899953595362602E-2</v>
      </c>
      <c r="CA42" s="26">
        <v>30</v>
      </c>
      <c r="CB42" s="46">
        <f>BW25</f>
        <v>4.634435719421913E-2</v>
      </c>
      <c r="CC42" s="34">
        <f t="shared" si="51"/>
        <v>4.3999999999999997E-2</v>
      </c>
    </row>
    <row r="43" spans="4:82" x14ac:dyDescent="0.3">
      <c r="D43" s="15">
        <f t="shared" si="43"/>
        <v>140</v>
      </c>
      <c r="E43" s="30">
        <f t="shared" si="0"/>
        <v>4.7772305062428196E-2</v>
      </c>
      <c r="F43" s="34">
        <f t="shared" si="1"/>
        <v>4.7816098447361961E-2</v>
      </c>
      <c r="G43" s="36">
        <f t="shared" si="2"/>
        <v>4.7848599694340882E-2</v>
      </c>
      <c r="H43" s="38">
        <f t="shared" si="3"/>
        <v>4.7884362934038971E-2</v>
      </c>
      <c r="J43" s="26">
        <v>60</v>
      </c>
      <c r="K43" s="46">
        <f>F31</f>
        <v>4.634435719421913E-2</v>
      </c>
      <c r="L43" s="34">
        <v>4.6800000000000001E-2</v>
      </c>
      <c r="V43" s="15">
        <f t="shared" si="44"/>
        <v>140</v>
      </c>
      <c r="W43" s="44">
        <f t="shared" si="4"/>
        <v>3.6020979748316154E-2</v>
      </c>
      <c r="X43" s="34">
        <f t="shared" si="5"/>
        <v>3.6365139013088778E-2</v>
      </c>
      <c r="Y43" s="36">
        <f t="shared" si="6"/>
        <v>3.678951963226583E-2</v>
      </c>
      <c r="Z43" s="38">
        <f t="shared" si="7"/>
        <v>3.7900112527940864E-2</v>
      </c>
      <c r="AB43" s="26">
        <v>60</v>
      </c>
      <c r="AC43" s="46">
        <f>X31</f>
        <v>3.5067848722500058E-2</v>
      </c>
      <c r="AD43" s="34">
        <f t="shared" si="45"/>
        <v>4.6800000000000001E-2</v>
      </c>
      <c r="AM43" s="15">
        <f t="shared" si="46"/>
        <v>140</v>
      </c>
      <c r="AN43" s="44">
        <f t="shared" si="8"/>
        <v>4.7899999999896588E-2</v>
      </c>
      <c r="AO43" s="34">
        <f t="shared" si="9"/>
        <v>4.7899999999966351E-2</v>
      </c>
      <c r="AP43" s="36">
        <f t="shared" si="10"/>
        <v>4.7899999999990388E-2</v>
      </c>
      <c r="AQ43" s="38">
        <f t="shared" si="11"/>
        <v>4.7899999999999429E-2</v>
      </c>
      <c r="AS43" s="26">
        <v>60</v>
      </c>
      <c r="AT43" s="46">
        <f>AO31</f>
        <v>4.7899853881856962E-2</v>
      </c>
      <c r="AU43" s="34">
        <f t="shared" si="47"/>
        <v>4.6800000000000001E-2</v>
      </c>
      <c r="BD43" s="15">
        <f t="shared" si="48"/>
        <v>140</v>
      </c>
      <c r="BE43" s="44">
        <f t="shared" si="12"/>
        <v>4.6567723890386069E-2</v>
      </c>
      <c r="BF43" s="34">
        <f t="shared" si="13"/>
        <v>4.6820077974264497E-2</v>
      </c>
      <c r="BG43" s="36">
        <f t="shared" si="14"/>
        <v>4.705474012950947E-2</v>
      </c>
      <c r="BH43" s="38">
        <f t="shared" si="15"/>
        <v>4.7433786297007133E-2</v>
      </c>
      <c r="BJ43" s="26">
        <v>60</v>
      </c>
      <c r="BK43" s="46">
        <f>BF31</f>
        <v>4.3249899463414357E-2</v>
      </c>
      <c r="BL43" s="34">
        <f t="shared" si="49"/>
        <v>4.6800000000000001E-2</v>
      </c>
      <c r="BU43" s="15">
        <f t="shared" si="50"/>
        <v>140</v>
      </c>
      <c r="BV43" s="44">
        <f t="shared" si="16"/>
        <v>4.7898826906684781E-2</v>
      </c>
      <c r="BW43" s="34">
        <f t="shared" si="17"/>
        <v>4.7899493563270855E-2</v>
      </c>
      <c r="BX43" s="36">
        <f t="shared" si="18"/>
        <v>4.7899809928674687E-2</v>
      </c>
      <c r="BY43" s="38">
        <f t="shared" si="19"/>
        <v>4.7899982408789073E-2</v>
      </c>
      <c r="CA43" s="26">
        <v>60</v>
      </c>
      <c r="CB43" s="46">
        <f>BW31</f>
        <v>4.7725897515167065E-2</v>
      </c>
      <c r="CC43" s="34">
        <f t="shared" si="51"/>
        <v>4.6800000000000001E-2</v>
      </c>
    </row>
    <row r="44" spans="4:82" x14ac:dyDescent="0.3">
      <c r="D44" s="15">
        <f t="shared" si="43"/>
        <v>150</v>
      </c>
      <c r="E44" s="30">
        <f t="shared" si="0"/>
        <v>4.7808654947720478E-2</v>
      </c>
      <c r="F44" s="34">
        <f t="shared" si="1"/>
        <v>4.784175582315521E-2</v>
      </c>
      <c r="G44" s="36">
        <f t="shared" si="2"/>
        <v>4.7865545344744333E-2</v>
      </c>
      <c r="H44" s="38">
        <f t="shared" si="3"/>
        <v>4.7890372302322175E-2</v>
      </c>
      <c r="J44" s="26">
        <v>120</v>
      </c>
      <c r="K44" s="46">
        <f>F41</f>
        <v>4.7725897515167065E-2</v>
      </c>
      <c r="L44" s="34">
        <v>4.4400000000000002E-2</v>
      </c>
      <c r="V44" s="15">
        <f t="shared" si="44"/>
        <v>150</v>
      </c>
      <c r="W44" s="44">
        <f t="shared" si="4"/>
        <v>3.615354679491245E-2</v>
      </c>
      <c r="X44" s="34">
        <f t="shared" si="5"/>
        <v>3.6517793073863117E-2</v>
      </c>
      <c r="Y44" s="36">
        <f t="shared" si="6"/>
        <v>3.6965872731174909E-2</v>
      </c>
      <c r="Z44" s="38">
        <f t="shared" si="7"/>
        <v>3.8132589936874434E-2</v>
      </c>
      <c r="AB44" s="26">
        <v>120</v>
      </c>
      <c r="AC44" s="46">
        <f>X41</f>
        <v>3.6053661409450113E-2</v>
      </c>
      <c r="AD44" s="34">
        <f t="shared" si="45"/>
        <v>4.4400000000000002E-2</v>
      </c>
      <c r="AM44" s="15">
        <f t="shared" si="46"/>
        <v>150</v>
      </c>
      <c r="AN44" s="44">
        <f t="shared" si="8"/>
        <v>4.7899999999983414E-2</v>
      </c>
      <c r="AO44" s="34">
        <f t="shared" si="9"/>
        <v>4.7899999999995016E-2</v>
      </c>
      <c r="AP44" s="36">
        <f t="shared" si="10"/>
        <v>4.7899999999998701E-2</v>
      </c>
      <c r="AQ44" s="38">
        <f t="shared" si="11"/>
        <v>4.7899999999999936E-2</v>
      </c>
      <c r="AS44" s="26">
        <v>120</v>
      </c>
      <c r="AT44" s="46">
        <f>AO41</f>
        <v>4.7899999998463991E-2</v>
      </c>
      <c r="AU44" s="34">
        <f t="shared" si="47"/>
        <v>4.4400000000000002E-2</v>
      </c>
      <c r="BD44" s="15">
        <f t="shared" si="48"/>
        <v>150</v>
      </c>
      <c r="BE44" s="44">
        <f t="shared" si="12"/>
        <v>4.6773192018715985E-2</v>
      </c>
      <c r="BF44" s="34">
        <f t="shared" si="13"/>
        <v>4.70002255515172E-2</v>
      </c>
      <c r="BG44" s="36">
        <f t="shared" si="14"/>
        <v>4.7207959749686688E-2</v>
      </c>
      <c r="BH44" s="38">
        <f t="shared" si="15"/>
        <v>4.7534179008637059E-2</v>
      </c>
      <c r="BJ44" s="26">
        <v>120</v>
      </c>
      <c r="BK44" s="46">
        <f>BF41</f>
        <v>4.634435719421913E-2</v>
      </c>
      <c r="BL44" s="34">
        <f t="shared" si="49"/>
        <v>4.4400000000000002E-2</v>
      </c>
      <c r="BU44" s="15">
        <f t="shared" si="50"/>
        <v>150</v>
      </c>
      <c r="BV44" s="44">
        <f t="shared" si="16"/>
        <v>4.7899399718088057E-2</v>
      </c>
      <c r="BW44" s="34">
        <f t="shared" si="17"/>
        <v>4.7899755943587315E-2</v>
      </c>
      <c r="BX44" s="36">
        <f t="shared" si="18"/>
        <v>4.789991459544829E-2</v>
      </c>
      <c r="BY44" s="38">
        <f t="shared" si="19"/>
        <v>4.7899993331470318E-2</v>
      </c>
      <c r="CA44" s="26">
        <v>120</v>
      </c>
      <c r="CB44" s="46">
        <f>BW41</f>
        <v>4.7897819303940645E-2</v>
      </c>
      <c r="CC44" s="34">
        <f t="shared" si="51"/>
        <v>4.4400000000000002E-2</v>
      </c>
    </row>
    <row r="45" spans="4:82" x14ac:dyDescent="0.3">
      <c r="D45" s="15">
        <f t="shared" si="43"/>
        <v>160</v>
      </c>
      <c r="E45" s="30">
        <f t="shared" si="0"/>
        <v>4.7834657405104591E-2</v>
      </c>
      <c r="F45" s="34">
        <f t="shared" si="1"/>
        <v>4.7859567087501206E-2</v>
      </c>
      <c r="G45" s="36">
        <f t="shared" si="2"/>
        <v>4.7876904353902877E-2</v>
      </c>
      <c r="H45" s="38">
        <f t="shared" si="3"/>
        <v>4.7894072253528465E-2</v>
      </c>
      <c r="J45" s="26">
        <v>240</v>
      </c>
      <c r="K45" s="46">
        <f>F53</f>
        <v>4.7897819303940645E-2</v>
      </c>
      <c r="L45" s="34">
        <v>4.1300000000000003E-2</v>
      </c>
      <c r="V45" s="15">
        <f t="shared" si="44"/>
        <v>160</v>
      </c>
      <c r="W45" s="44">
        <f t="shared" si="4"/>
        <v>3.6284634424732704E-2</v>
      </c>
      <c r="X45" s="34">
        <f t="shared" si="5"/>
        <v>3.6668426888160514E-2</v>
      </c>
      <c r="Y45" s="36">
        <f t="shared" si="6"/>
        <v>3.7139426633787748E-2</v>
      </c>
      <c r="Z45" s="38">
        <f t="shared" si="7"/>
        <v>3.8359662710424312E-2</v>
      </c>
      <c r="AB45" s="26">
        <v>240</v>
      </c>
      <c r="AC45" s="46">
        <f>X53</f>
        <v>3.7803903740866805E-2</v>
      </c>
      <c r="AD45" s="34">
        <f t="shared" si="45"/>
        <v>4.1300000000000003E-2</v>
      </c>
      <c r="AM45" s="15">
        <f t="shared" si="46"/>
        <v>160</v>
      </c>
      <c r="AN45" s="44">
        <f t="shared" si="8"/>
        <v>4.7899999999997341E-2</v>
      </c>
      <c r="AO45" s="34">
        <f t="shared" si="9"/>
        <v>4.7899999999999263E-2</v>
      </c>
      <c r="AP45" s="36">
        <f t="shared" si="10"/>
        <v>4.7899999999999825E-2</v>
      </c>
      <c r="AQ45" s="38">
        <f t="shared" si="11"/>
        <v>4.7899999999999991E-2</v>
      </c>
      <c r="AS45" s="26">
        <v>240</v>
      </c>
      <c r="AT45" s="46">
        <f>AO53</f>
        <v>4.7899999999999998E-2</v>
      </c>
      <c r="AU45" s="34">
        <f t="shared" si="47"/>
        <v>4.1300000000000003E-2</v>
      </c>
      <c r="BD45" s="15">
        <f t="shared" si="48"/>
        <v>160</v>
      </c>
      <c r="BE45" s="44">
        <f t="shared" si="12"/>
        <v>4.6946972157255538E-2</v>
      </c>
      <c r="BF45" s="34">
        <f t="shared" si="13"/>
        <v>4.7150321746525052E-2</v>
      </c>
      <c r="BG45" s="36">
        <f t="shared" si="14"/>
        <v>4.7333405364700709E-2</v>
      </c>
      <c r="BH45" s="38">
        <f t="shared" si="15"/>
        <v>4.7612953529974196E-2</v>
      </c>
      <c r="BJ45" s="26">
        <v>240</v>
      </c>
      <c r="BK45" s="46">
        <f>BF53</f>
        <v>4.7725897515167065E-2</v>
      </c>
      <c r="BL45" s="34">
        <f t="shared" si="49"/>
        <v>4.1300000000000003E-2</v>
      </c>
      <c r="BU45" s="15">
        <f t="shared" si="50"/>
        <v>160</v>
      </c>
      <c r="BV45" s="44">
        <f t="shared" si="16"/>
        <v>4.7899692830596571E-2</v>
      </c>
      <c r="BW45" s="34">
        <f t="shared" si="17"/>
        <v>4.7899882387020636E-2</v>
      </c>
      <c r="BX45" s="36">
        <f t="shared" si="18"/>
        <v>4.7899961625261243E-2</v>
      </c>
      <c r="BY45" s="38">
        <f t="shared" si="19"/>
        <v>4.7899997472073505E-2</v>
      </c>
      <c r="CA45" s="26">
        <v>240</v>
      </c>
      <c r="CB45" s="46">
        <f>BW53</f>
        <v>4.7899999657882351E-2</v>
      </c>
      <c r="CC45" s="34">
        <f t="shared" si="51"/>
        <v>4.1300000000000003E-2</v>
      </c>
    </row>
    <row r="46" spans="4:82" x14ac:dyDescent="0.3">
      <c r="D46" s="15">
        <f t="shared" si="43"/>
        <v>170</v>
      </c>
      <c r="E46" s="30">
        <f t="shared" si="0"/>
        <v>4.7853257953210208E-2</v>
      </c>
      <c r="F46" s="34">
        <f t="shared" si="1"/>
        <v>4.7871931607558094E-2</v>
      </c>
      <c r="G46" s="36">
        <f t="shared" si="2"/>
        <v>4.7884518525444952E-2</v>
      </c>
      <c r="H46" s="38">
        <f t="shared" si="3"/>
        <v>4.789635030311435E-2</v>
      </c>
      <c r="V46" s="15">
        <f t="shared" si="44"/>
        <v>170</v>
      </c>
      <c r="W46" s="44">
        <f t="shared" si="4"/>
        <v>3.6414259147717003E-2</v>
      </c>
      <c r="X46" s="34">
        <f t="shared" si="5"/>
        <v>3.6817067192222407E-2</v>
      </c>
      <c r="Y46" s="36">
        <f t="shared" si="6"/>
        <v>3.731022577085126E-2</v>
      </c>
      <c r="Z46" s="38">
        <f t="shared" si="7"/>
        <v>3.8581456495567393E-2</v>
      </c>
      <c r="AM46" s="15">
        <f t="shared" si="46"/>
        <v>170</v>
      </c>
      <c r="AN46" s="44">
        <f t="shared" si="8"/>
        <v>4.7899999999999575E-2</v>
      </c>
      <c r="AO46" s="34">
        <f t="shared" si="9"/>
        <v>4.7899999999999887E-2</v>
      </c>
      <c r="AP46" s="36">
        <f t="shared" si="10"/>
        <v>4.7899999999999977E-2</v>
      </c>
      <c r="AQ46" s="38">
        <f t="shared" si="11"/>
        <v>4.7899999999999998E-2</v>
      </c>
      <c r="BD46" s="15">
        <f t="shared" si="48"/>
        <v>170</v>
      </c>
      <c r="BE46" s="44">
        <f t="shared" si="12"/>
        <v>4.7093951334981503E-2</v>
      </c>
      <c r="BF46" s="34">
        <f t="shared" si="13"/>
        <v>4.7275379591317661E-2</v>
      </c>
      <c r="BG46" s="36">
        <f t="shared" si="14"/>
        <v>4.7436111547551466E-2</v>
      </c>
      <c r="BH46" s="38">
        <f t="shared" si="15"/>
        <v>4.7674765041100305E-2</v>
      </c>
      <c r="BU46" s="15">
        <f t="shared" si="50"/>
        <v>170</v>
      </c>
      <c r="BV46" s="44">
        <f t="shared" si="16"/>
        <v>4.789984281878143E-2</v>
      </c>
      <c r="BW46" s="34">
        <f t="shared" si="17"/>
        <v>4.789994332124789E-2</v>
      </c>
      <c r="BX46" s="36">
        <f t="shared" si="18"/>
        <v>4.7899982757118389E-2</v>
      </c>
      <c r="BY46" s="38">
        <f t="shared" si="19"/>
        <v>4.7899999041705943E-2</v>
      </c>
    </row>
    <row r="47" spans="4:82" x14ac:dyDescent="0.3">
      <c r="D47" s="15">
        <f t="shared" si="43"/>
        <v>180</v>
      </c>
      <c r="E47" s="30">
        <f t="shared" si="0"/>
        <v>4.7866563633697186E-2</v>
      </c>
      <c r="F47" s="34">
        <f t="shared" si="1"/>
        <v>4.7880515015971299E-2</v>
      </c>
      <c r="G47" s="36">
        <f t="shared" si="2"/>
        <v>4.788962245726356E-2</v>
      </c>
      <c r="H47" s="38">
        <f t="shared" si="3"/>
        <v>4.7897752891858464E-2</v>
      </c>
      <c r="J47" t="s">
        <v>20</v>
      </c>
      <c r="V47" s="15">
        <f t="shared" si="44"/>
        <v>180</v>
      </c>
      <c r="W47" s="44">
        <f t="shared" si="4"/>
        <v>3.6542437289558437E-2</v>
      </c>
      <c r="X47" s="34">
        <f t="shared" si="5"/>
        <v>3.6963740368458883E-2</v>
      </c>
      <c r="Y47" s="36">
        <f t="shared" si="6"/>
        <v>3.7478313867877325E-2</v>
      </c>
      <c r="Z47" s="38">
        <f t="shared" si="7"/>
        <v>3.8798094018239353E-2</v>
      </c>
      <c r="AB47" t="s">
        <v>20</v>
      </c>
      <c r="AM47" s="15">
        <f t="shared" si="46"/>
        <v>180</v>
      </c>
      <c r="AN47" s="44">
        <f t="shared" si="8"/>
        <v>4.7899999999999929E-2</v>
      </c>
      <c r="AO47" s="34">
        <f t="shared" si="9"/>
        <v>4.7899999999999984E-2</v>
      </c>
      <c r="AP47" s="36">
        <f t="shared" si="10"/>
        <v>4.7899999999999998E-2</v>
      </c>
      <c r="AQ47" s="38">
        <f t="shared" si="11"/>
        <v>4.7899999999999998E-2</v>
      </c>
      <c r="AS47" t="s">
        <v>20</v>
      </c>
      <c r="BD47" s="15">
        <f t="shared" si="48"/>
        <v>180</v>
      </c>
      <c r="BE47" s="44">
        <f t="shared" si="12"/>
        <v>4.7218262886730464E-2</v>
      </c>
      <c r="BF47" s="34">
        <f t="shared" si="13"/>
        <v>4.7379575867201637E-2</v>
      </c>
      <c r="BG47" s="36">
        <f t="shared" si="14"/>
        <v>4.7520200257982634E-2</v>
      </c>
      <c r="BH47" s="38">
        <f t="shared" si="15"/>
        <v>4.7723266293064025E-2</v>
      </c>
      <c r="BJ47" t="s">
        <v>20</v>
      </c>
      <c r="BU47" s="15">
        <f t="shared" si="50"/>
        <v>180</v>
      </c>
      <c r="BV47" s="44">
        <f t="shared" si="16"/>
        <v>4.789991956902219E-2</v>
      </c>
      <c r="BW47" s="34">
        <f t="shared" si="17"/>
        <v>4.7899972685999812E-2</v>
      </c>
      <c r="BX47" s="36">
        <f t="shared" si="18"/>
        <v>4.7899992252273864E-2</v>
      </c>
      <c r="BY47" s="38">
        <f t="shared" si="19"/>
        <v>4.7899999636726975E-2</v>
      </c>
      <c r="CA47" t="s">
        <v>20</v>
      </c>
    </row>
    <row r="48" spans="4:82" x14ac:dyDescent="0.3">
      <c r="D48" s="15">
        <f t="shared" si="43"/>
        <v>190</v>
      </c>
      <c r="E48" s="30">
        <f t="shared" si="0"/>
        <v>4.7876081693714365E-2</v>
      </c>
      <c r="F48" s="34">
        <f t="shared" si="1"/>
        <v>4.7886473589344863E-2</v>
      </c>
      <c r="G48" s="36">
        <f t="shared" si="2"/>
        <v>4.7893043725075177E-2</v>
      </c>
      <c r="H48" s="38">
        <f t="shared" si="3"/>
        <v>4.789861646181643E-2</v>
      </c>
      <c r="J48" s="29" t="s">
        <v>11</v>
      </c>
      <c r="K48" s="29" t="s">
        <v>15</v>
      </c>
      <c r="L48" s="30" t="s">
        <v>16</v>
      </c>
      <c r="M48" s="30" t="s">
        <v>21</v>
      </c>
      <c r="V48" s="15">
        <f t="shared" si="44"/>
        <v>190</v>
      </c>
      <c r="W48" s="44">
        <f t="shared" si="4"/>
        <v>3.6669184993759207E-2</v>
      </c>
      <c r="X48" s="34">
        <f t="shared" si="5"/>
        <v>3.7108472450131269E-2</v>
      </c>
      <c r="Y48" s="36">
        <f t="shared" si="6"/>
        <v>3.7643733956336786E-2</v>
      </c>
      <c r="Z48" s="38">
        <f t="shared" si="7"/>
        <v>3.9009695151243001E-2</v>
      </c>
      <c r="AB48" s="29" t="s">
        <v>11</v>
      </c>
      <c r="AC48" s="29" t="s">
        <v>15</v>
      </c>
      <c r="AD48" s="30" t="s">
        <v>16</v>
      </c>
      <c r="AE48" s="30" t="s">
        <v>21</v>
      </c>
      <c r="AM48" s="15">
        <f t="shared" si="46"/>
        <v>190</v>
      </c>
      <c r="AN48" s="44">
        <f t="shared" si="8"/>
        <v>4.7899999999999984E-2</v>
      </c>
      <c r="AO48" s="34">
        <f t="shared" si="9"/>
        <v>4.7899999999999998E-2</v>
      </c>
      <c r="AP48" s="36">
        <f t="shared" si="10"/>
        <v>4.7899999999999998E-2</v>
      </c>
      <c r="AQ48" s="38">
        <f t="shared" si="11"/>
        <v>4.7899999999999998E-2</v>
      </c>
      <c r="AS48" s="29" t="s">
        <v>11</v>
      </c>
      <c r="AT48" s="29" t="s">
        <v>15</v>
      </c>
      <c r="AU48" s="30" t="s">
        <v>16</v>
      </c>
      <c r="AV48" s="30" t="s">
        <v>21</v>
      </c>
      <c r="BD48" s="15">
        <f t="shared" si="48"/>
        <v>190</v>
      </c>
      <c r="BE48" s="44">
        <f t="shared" si="12"/>
        <v>4.7323402690458628E-2</v>
      </c>
      <c r="BF48" s="34">
        <f t="shared" si="13"/>
        <v>4.7466390604222683E-2</v>
      </c>
      <c r="BG48" s="36">
        <f t="shared" si="14"/>
        <v>4.7589046271199295E-2</v>
      </c>
      <c r="BH48" s="38">
        <f t="shared" si="15"/>
        <v>4.7761323467192141E-2</v>
      </c>
      <c r="BJ48" s="29" t="s">
        <v>11</v>
      </c>
      <c r="BK48" s="29" t="s">
        <v>15</v>
      </c>
      <c r="BL48" s="30" t="s">
        <v>16</v>
      </c>
      <c r="BM48" s="30" t="s">
        <v>21</v>
      </c>
      <c r="BU48" s="15">
        <f t="shared" si="50"/>
        <v>190</v>
      </c>
      <c r="BV48" s="44">
        <f t="shared" si="16"/>
        <v>4.7899958842778735E-2</v>
      </c>
      <c r="BW48" s="34">
        <f t="shared" si="17"/>
        <v>4.7899986837137754E-2</v>
      </c>
      <c r="BX48" s="36">
        <f t="shared" si="18"/>
        <v>4.7899996518722239E-2</v>
      </c>
      <c r="BY48" s="38">
        <f t="shared" si="19"/>
        <v>4.7899999862289357E-2</v>
      </c>
      <c r="CA48" s="29" t="s">
        <v>11</v>
      </c>
      <c r="CB48" s="29" t="s">
        <v>15</v>
      </c>
      <c r="CC48" s="30" t="s">
        <v>16</v>
      </c>
      <c r="CD48" s="30" t="s">
        <v>21</v>
      </c>
    </row>
    <row r="49" spans="4:82" x14ac:dyDescent="0.3">
      <c r="D49" s="15">
        <f t="shared" si="43"/>
        <v>200</v>
      </c>
      <c r="E49" s="30">
        <f t="shared" si="0"/>
        <v>4.7882890324552833E-2</v>
      </c>
      <c r="F49" s="34">
        <f t="shared" si="1"/>
        <v>4.7890610011024806E-2</v>
      </c>
      <c r="G49" s="36">
        <f t="shared" si="2"/>
        <v>4.7895337069472153E-2</v>
      </c>
      <c r="H49" s="38">
        <f t="shared" si="3"/>
        <v>4.7899148159418758E-2</v>
      </c>
      <c r="J49" s="31">
        <v>0</v>
      </c>
      <c r="K49" s="47">
        <f>E3</f>
        <v>3.4000000000000002E-2</v>
      </c>
      <c r="L49" s="49">
        <v>3.4000000000000002E-2</v>
      </c>
      <c r="M49" s="19" cm="1">
        <f t="array" ref="M49">SQRT(SUMSQ(K49:K54-L49:L54)/COUNTA(K49:K54-L49:L54))</f>
        <v>4.2078508774283869E-3</v>
      </c>
      <c r="V49" s="15">
        <f t="shared" si="44"/>
        <v>200</v>
      </c>
      <c r="W49" s="44">
        <f t="shared" si="4"/>
        <v>3.6794518223663891E-2</v>
      </c>
      <c r="X49" s="34">
        <f t="shared" si="5"/>
        <v>3.7251289125972871E-2</v>
      </c>
      <c r="Y49" s="36">
        <f t="shared" si="6"/>
        <v>3.78065283846757E-2</v>
      </c>
      <c r="Z49" s="38">
        <f t="shared" si="7"/>
        <v>3.9216376980577929E-2</v>
      </c>
      <c r="AB49" s="31">
        <v>0</v>
      </c>
      <c r="AC49" s="47">
        <f>W3</f>
        <v>3.4000000000000002E-2</v>
      </c>
      <c r="AD49" s="44">
        <f>L49</f>
        <v>3.4000000000000002E-2</v>
      </c>
      <c r="AE49" s="19" cm="1">
        <f t="array" ref="AE49">SQRT(SUMSQ(AC49:AC54-AD49:AD54)/COUNTA(AC49:AC54-AD49:AD54))</f>
        <v>6.1280781752473855E-3</v>
      </c>
      <c r="AM49" s="15">
        <f t="shared" si="46"/>
        <v>200</v>
      </c>
      <c r="AN49" s="44">
        <f t="shared" si="8"/>
        <v>4.7899999999999998E-2</v>
      </c>
      <c r="AO49" s="34">
        <f t="shared" si="9"/>
        <v>4.7899999999999998E-2</v>
      </c>
      <c r="AP49" s="36">
        <f t="shared" si="10"/>
        <v>4.7899999999999998E-2</v>
      </c>
      <c r="AQ49" s="38">
        <f t="shared" si="11"/>
        <v>4.7899999999999998E-2</v>
      </c>
      <c r="AS49" s="31">
        <v>0</v>
      </c>
      <c r="AT49" s="47">
        <f>AN3</f>
        <v>3.4000000000000002E-2</v>
      </c>
      <c r="AU49" s="44">
        <f>AD49</f>
        <v>3.4000000000000002E-2</v>
      </c>
      <c r="AV49" s="19" cm="1">
        <f t="array" ref="AV49">SQRT(SUMSQ(AT49:AT54-AU49:AU54)/COUNTA(AT49:AT54-AU49:AU54))</f>
        <v>5.5429837660486867E-3</v>
      </c>
      <c r="BD49" s="15">
        <f t="shared" si="48"/>
        <v>200</v>
      </c>
      <c r="BE49" s="44">
        <f t="shared" si="12"/>
        <v>4.7412327477998249E-2</v>
      </c>
      <c r="BF49" s="34">
        <f t="shared" si="13"/>
        <v>4.75387233099753E-2</v>
      </c>
      <c r="BG49" s="36">
        <f t="shared" si="14"/>
        <v>4.7645412619446596E-2</v>
      </c>
      <c r="BH49" s="38">
        <f t="shared" si="15"/>
        <v>4.7791185552065761E-2</v>
      </c>
      <c r="BJ49" s="31">
        <v>0</v>
      </c>
      <c r="BK49" s="47">
        <f>BE3</f>
        <v>3.4000000000000002E-2</v>
      </c>
      <c r="BL49" s="44">
        <f>AU49</f>
        <v>3.4000000000000002E-2</v>
      </c>
      <c r="BM49" s="19" cm="1">
        <f t="array" ref="BM49">SQRT(SUMSQ(BK49:BK54-BL49:BL54)/COUNTA(BK49:BK54-BL49:BL54))</f>
        <v>4.081504266780985E-3</v>
      </c>
      <c r="BU49" s="15">
        <f t="shared" si="50"/>
        <v>200</v>
      </c>
      <c r="BV49" s="44">
        <f t="shared" si="16"/>
        <v>4.7899978939496837E-2</v>
      </c>
      <c r="BW49" s="34">
        <f t="shared" si="17"/>
        <v>4.7899993656698343E-2</v>
      </c>
      <c r="BX49" s="36">
        <f t="shared" si="18"/>
        <v>4.7899998435761072E-2</v>
      </c>
      <c r="BY49" s="38">
        <f t="shared" si="19"/>
        <v>4.7899999947796229E-2</v>
      </c>
      <c r="CA49" s="31">
        <v>0</v>
      </c>
      <c r="CB49" s="47">
        <f>BV3</f>
        <v>3.4000000000000002E-2</v>
      </c>
      <c r="CC49" s="44">
        <f>BL49</f>
        <v>3.4000000000000002E-2</v>
      </c>
      <c r="CD49" s="19" cm="1">
        <f t="array" ref="CD49">SQRT(SUMSQ(CB49:CB54-CC49:CC54)/COUNTA(CB49:CB54-CC49:CC54))</f>
        <v>4.689467771965594E-3</v>
      </c>
    </row>
    <row r="50" spans="4:82" x14ac:dyDescent="0.3">
      <c r="D50" s="15">
        <f t="shared" si="43"/>
        <v>210</v>
      </c>
      <c r="E50" s="30">
        <f t="shared" si="0"/>
        <v>4.7887760797507513E-2</v>
      </c>
      <c r="F50" s="34">
        <f t="shared" si="1"/>
        <v>4.7893481501101634E-2</v>
      </c>
      <c r="G50" s="36">
        <f t="shared" si="2"/>
        <v>4.7896874344193915E-2</v>
      </c>
      <c r="H50" s="38">
        <f t="shared" si="3"/>
        <v>4.7899475524142039E-2</v>
      </c>
      <c r="J50" s="29">
        <v>10</v>
      </c>
      <c r="K50" s="47">
        <f>E13</f>
        <v>3.7956800599699421E-2</v>
      </c>
      <c r="L50" s="49">
        <v>3.9800000000000002E-2</v>
      </c>
      <c r="V50" s="15">
        <f t="shared" si="44"/>
        <v>210</v>
      </c>
      <c r="W50" s="44">
        <f t="shared" si="4"/>
        <v>3.6918452764469908E-2</v>
      </c>
      <c r="X50" s="34">
        <f t="shared" si="5"/>
        <v>3.7392215744748485E-2</v>
      </c>
      <c r="Y50" s="36">
        <f t="shared" si="6"/>
        <v>3.7966738829156806E-2</v>
      </c>
      <c r="Z50" s="38">
        <f t="shared" si="7"/>
        <v>3.9418253870228112E-2</v>
      </c>
      <c r="AB50" s="29">
        <v>10</v>
      </c>
      <c r="AC50" s="47">
        <f>W13</f>
        <v>3.4155120700920374E-2</v>
      </c>
      <c r="AD50" s="44">
        <f t="shared" ref="AD50:AD54" si="52">L50</f>
        <v>3.9800000000000002E-2</v>
      </c>
      <c r="AM50" s="15">
        <f t="shared" si="46"/>
        <v>210</v>
      </c>
      <c r="AN50" s="44">
        <f t="shared" si="8"/>
        <v>4.7899999999999998E-2</v>
      </c>
      <c r="AO50" s="34">
        <f t="shared" si="9"/>
        <v>4.7899999999999998E-2</v>
      </c>
      <c r="AP50" s="36">
        <f t="shared" si="10"/>
        <v>4.7899999999999998E-2</v>
      </c>
      <c r="AQ50" s="38">
        <f t="shared" si="11"/>
        <v>4.7899999999999998E-2</v>
      </c>
      <c r="AS50" s="29">
        <v>10</v>
      </c>
      <c r="AT50" s="47">
        <f>AN13</f>
        <v>4.5670921395245867E-2</v>
      </c>
      <c r="AU50" s="44">
        <f t="shared" ref="AU50:AU54" si="53">AD50</f>
        <v>3.9800000000000002E-2</v>
      </c>
      <c r="BD50" s="15">
        <f t="shared" si="48"/>
        <v>210</v>
      </c>
      <c r="BE50" s="44">
        <f t="shared" si="12"/>
        <v>4.7487537983996644E-2</v>
      </c>
      <c r="BF50" s="34">
        <f t="shared" si="13"/>
        <v>4.7598989809662165E-2</v>
      </c>
      <c r="BG50" s="36">
        <f t="shared" si="14"/>
        <v>4.769156148219536E-2</v>
      </c>
      <c r="BH50" s="38">
        <f t="shared" si="15"/>
        <v>4.781461724749321E-2</v>
      </c>
      <c r="BJ50" s="29">
        <v>10</v>
      </c>
      <c r="BK50" s="47">
        <f>BE13</f>
        <v>3.6143705019685071E-2</v>
      </c>
      <c r="BL50" s="44">
        <f t="shared" ref="BL50:BL54" si="54">AU50</f>
        <v>3.9800000000000002E-2</v>
      </c>
      <c r="BU50" s="15">
        <f t="shared" si="50"/>
        <v>210</v>
      </c>
      <c r="BV50" s="44">
        <f t="shared" si="16"/>
        <v>4.7899989223159876E-2</v>
      </c>
      <c r="BW50" s="34">
        <f t="shared" si="17"/>
        <v>4.7899996943105906E-2</v>
      </c>
      <c r="BX50" s="36">
        <f t="shared" si="18"/>
        <v>4.7899999297142143E-2</v>
      </c>
      <c r="BY50" s="38">
        <f t="shared" si="19"/>
        <v>4.7899999980210432E-2</v>
      </c>
      <c r="CA50" s="29">
        <v>10</v>
      </c>
      <c r="CB50" s="47">
        <f>BV13</f>
        <v>4.0787250768767061E-2</v>
      </c>
      <c r="CC50" s="44">
        <f t="shared" ref="CC50:CC54" si="55">BL50</f>
        <v>3.9800000000000002E-2</v>
      </c>
    </row>
    <row r="51" spans="4:82" x14ac:dyDescent="0.3">
      <c r="D51" s="15">
        <f t="shared" si="43"/>
        <v>220</v>
      </c>
      <c r="E51" s="30">
        <f t="shared" si="0"/>
        <v>4.7891244832310539E-2</v>
      </c>
      <c r="F51" s="34">
        <f t="shared" si="1"/>
        <v>4.7895474879896004E-2</v>
      </c>
      <c r="G51" s="36">
        <f t="shared" si="2"/>
        <v>4.7897904810256173E-2</v>
      </c>
      <c r="H51" s="38">
        <f t="shared" si="3"/>
        <v>4.789967708168448E-2</v>
      </c>
      <c r="J51" s="29">
        <v>30</v>
      </c>
      <c r="K51" s="47">
        <f>E25</f>
        <v>4.2811979576224186E-2</v>
      </c>
      <c r="L51" s="49">
        <v>4.24E-2</v>
      </c>
      <c r="V51" s="15">
        <f t="shared" si="44"/>
        <v>220</v>
      </c>
      <c r="W51" s="44">
        <f t="shared" si="4"/>
        <v>3.704100422521564E-2</v>
      </c>
      <c r="X51" s="34">
        <f t="shared" si="5"/>
        <v>3.7531277319753586E-2</v>
      </c>
      <c r="Y51" s="36">
        <f t="shared" si="6"/>
        <v>3.812440630452886E-2</v>
      </c>
      <c r="Z51" s="38">
        <f t="shared" si="7"/>
        <v>3.9615437525443352E-2</v>
      </c>
      <c r="AB51" s="29">
        <v>30</v>
      </c>
      <c r="AC51" s="47">
        <f>W25</f>
        <v>3.446018809092416E-2</v>
      </c>
      <c r="AD51" s="44">
        <f t="shared" si="52"/>
        <v>4.24E-2</v>
      </c>
      <c r="AM51" s="15">
        <f t="shared" si="46"/>
        <v>220</v>
      </c>
      <c r="AN51" s="44">
        <f t="shared" si="8"/>
        <v>4.7899999999999998E-2</v>
      </c>
      <c r="AO51" s="34">
        <f t="shared" si="9"/>
        <v>4.7899999999999998E-2</v>
      </c>
      <c r="AP51" s="36">
        <f t="shared" si="10"/>
        <v>4.7899999999999998E-2</v>
      </c>
      <c r="AQ51" s="38">
        <f t="shared" si="11"/>
        <v>4.7899999999999998E-2</v>
      </c>
      <c r="AS51" s="29">
        <v>30</v>
      </c>
      <c r="AT51" s="47">
        <f>AN25</f>
        <v>4.7842674671810116E-2</v>
      </c>
      <c r="AU51" s="44">
        <f t="shared" si="53"/>
        <v>4.24E-2</v>
      </c>
      <c r="BD51" s="15">
        <f t="shared" si="48"/>
        <v>220</v>
      </c>
      <c r="BE51" s="44">
        <f t="shared" si="12"/>
        <v>4.7551149271344545E-2</v>
      </c>
      <c r="BF51" s="34">
        <f t="shared" si="13"/>
        <v>4.7649202931744572E-2</v>
      </c>
      <c r="BG51" s="36">
        <f t="shared" si="14"/>
        <v>4.7729344975347344E-2</v>
      </c>
      <c r="BH51" s="38">
        <f t="shared" si="15"/>
        <v>4.7833003249439433E-2</v>
      </c>
      <c r="BJ51" s="29">
        <v>30</v>
      </c>
      <c r="BK51" s="47">
        <f>BE25</f>
        <v>3.949027444618531E-2</v>
      </c>
      <c r="BL51" s="44">
        <f t="shared" si="54"/>
        <v>4.24E-2</v>
      </c>
      <c r="BU51" s="15">
        <f t="shared" si="50"/>
        <v>220</v>
      </c>
      <c r="BV51" s="44">
        <f t="shared" si="16"/>
        <v>4.7899994485398466E-2</v>
      </c>
      <c r="BW51" s="34">
        <f t="shared" si="17"/>
        <v>4.7899998526855253E-2</v>
      </c>
      <c r="BX51" s="36">
        <f t="shared" si="18"/>
        <v>4.7899999684185603E-2</v>
      </c>
      <c r="BY51" s="38">
        <f t="shared" si="19"/>
        <v>4.789999999249811E-2</v>
      </c>
      <c r="CA51" s="29">
        <v>30</v>
      </c>
      <c r="CB51" s="47">
        <f>BV25</f>
        <v>4.6037557422103609E-2</v>
      </c>
      <c r="CC51" s="44">
        <f t="shared" si="55"/>
        <v>4.24E-2</v>
      </c>
    </row>
    <row r="52" spans="4:82" x14ac:dyDescent="0.3">
      <c r="D52" s="15">
        <f t="shared" si="43"/>
        <v>230</v>
      </c>
      <c r="E52" s="30">
        <f t="shared" si="0"/>
        <v>4.789373709509933E-2</v>
      </c>
      <c r="F52" s="34">
        <f t="shared" si="1"/>
        <v>4.7896858676778988E-2</v>
      </c>
      <c r="G52" s="36">
        <f t="shared" si="2"/>
        <v>4.789859555231446E-2</v>
      </c>
      <c r="H52" s="38">
        <f t="shared" si="3"/>
        <v>4.7899801180098352E-2</v>
      </c>
      <c r="J52" s="29">
        <v>60</v>
      </c>
      <c r="K52" s="47">
        <f>E31</f>
        <v>4.6037557422103609E-2</v>
      </c>
      <c r="L52" s="49">
        <v>4.2799999999999998E-2</v>
      </c>
      <c r="V52" s="15">
        <f t="shared" si="44"/>
        <v>230</v>
      </c>
      <c r="W52" s="44">
        <f t="shared" si="4"/>
        <v>3.716218804074628E-2</v>
      </c>
      <c r="X52" s="34">
        <f t="shared" si="5"/>
        <v>3.7668498533254012E-2</v>
      </c>
      <c r="Y52" s="36">
        <f t="shared" si="6"/>
        <v>3.8279571174526648E-2</v>
      </c>
      <c r="Z52" s="38">
        <f t="shared" si="7"/>
        <v>3.9808037054549522E-2</v>
      </c>
      <c r="AB52" s="29">
        <v>60</v>
      </c>
      <c r="AC52" s="47">
        <f>W31</f>
        <v>3.4905140708536925E-2</v>
      </c>
      <c r="AD52" s="44">
        <f t="shared" si="52"/>
        <v>4.2799999999999998E-2</v>
      </c>
      <c r="AM52" s="15">
        <f t="shared" si="46"/>
        <v>230</v>
      </c>
      <c r="AN52" s="44">
        <f t="shared" si="8"/>
        <v>4.7899999999999998E-2</v>
      </c>
      <c r="AO52" s="34">
        <f t="shared" si="9"/>
        <v>4.7899999999999998E-2</v>
      </c>
      <c r="AP52" s="36">
        <f t="shared" si="10"/>
        <v>4.7899999999999998E-2</v>
      </c>
      <c r="AQ52" s="38">
        <f t="shared" si="11"/>
        <v>4.7899999999999998E-2</v>
      </c>
      <c r="AS52" s="29">
        <v>60</v>
      </c>
      <c r="AT52" s="47">
        <f>AN31</f>
        <v>4.7899763583219276E-2</v>
      </c>
      <c r="AU52" s="44">
        <f t="shared" si="53"/>
        <v>4.2799999999999998E-2</v>
      </c>
      <c r="BD52" s="15">
        <f t="shared" si="48"/>
        <v>230</v>
      </c>
      <c r="BE52" s="44">
        <f t="shared" si="12"/>
        <v>4.760495021077904E-2</v>
      </c>
      <c r="BF52" s="34">
        <f t="shared" si="13"/>
        <v>4.7691039733987334E-2</v>
      </c>
      <c r="BG52" s="36">
        <f t="shared" si="14"/>
        <v>4.7760279483149592E-2</v>
      </c>
      <c r="BH52" s="38">
        <f t="shared" si="15"/>
        <v>4.7847430078629551E-2</v>
      </c>
      <c r="BJ52" s="29">
        <v>60</v>
      </c>
      <c r="BK52" s="47">
        <f>BE31</f>
        <v>4.2811979576224186E-2</v>
      </c>
      <c r="BL52" s="44">
        <f t="shared" si="54"/>
        <v>4.2799999999999998E-2</v>
      </c>
      <c r="BU52" s="15">
        <f t="shared" si="50"/>
        <v>230</v>
      </c>
      <c r="BV52" s="44">
        <f t="shared" si="16"/>
        <v>4.7899997178131093E-2</v>
      </c>
      <c r="BW52" s="34">
        <f t="shared" si="17"/>
        <v>4.78999992900783E-2</v>
      </c>
      <c r="BX52" s="36">
        <f t="shared" si="18"/>
        <v>4.7899999858095448E-2</v>
      </c>
      <c r="BY52" s="38">
        <f t="shared" si="19"/>
        <v>4.7899999997156162E-2</v>
      </c>
      <c r="CA52" s="29">
        <v>60</v>
      </c>
      <c r="CB52" s="47">
        <f>BV31</f>
        <v>4.765045378734091E-2</v>
      </c>
      <c r="CC52" s="44">
        <f t="shared" si="55"/>
        <v>4.2799999999999998E-2</v>
      </c>
    </row>
    <row r="53" spans="4:82" x14ac:dyDescent="0.3">
      <c r="D53" s="15">
        <f t="shared" si="43"/>
        <v>240</v>
      </c>
      <c r="E53" s="39">
        <f t="shared" si="0"/>
        <v>4.7895519905593341E-2</v>
      </c>
      <c r="F53" s="40">
        <f t="shared" si="1"/>
        <v>4.7897819303940645E-2</v>
      </c>
      <c r="G53" s="41">
        <f t="shared" si="2"/>
        <v>4.7899058570562772E-2</v>
      </c>
      <c r="H53" s="42">
        <f t="shared" si="3"/>
        <v>4.7899877587143896E-2</v>
      </c>
      <c r="J53" s="29">
        <v>120</v>
      </c>
      <c r="K53" s="47">
        <f>E41</f>
        <v>4.765045378734091E-2</v>
      </c>
      <c r="L53" s="49">
        <v>4.3799999999999999E-2</v>
      </c>
      <c r="V53" s="15">
        <f t="shared" si="44"/>
        <v>240</v>
      </c>
      <c r="W53" s="44">
        <f t="shared" si="4"/>
        <v>3.7282019473657828E-2</v>
      </c>
      <c r="X53" s="34">
        <f t="shared" si="5"/>
        <v>3.7803903740866805E-2</v>
      </c>
      <c r="Y53" s="36">
        <f t="shared" si="6"/>
        <v>3.8432273162204295E-2</v>
      </c>
      <c r="Z53" s="38">
        <f t="shared" si="7"/>
        <v>3.9996159029321847E-2</v>
      </c>
      <c r="AB53" s="29">
        <v>120</v>
      </c>
      <c r="AC53" s="47">
        <f>W41</f>
        <v>3.5751340431300405E-2</v>
      </c>
      <c r="AD53" s="44">
        <f t="shared" si="52"/>
        <v>4.3799999999999999E-2</v>
      </c>
      <c r="AM53" s="15">
        <f t="shared" si="46"/>
        <v>240</v>
      </c>
      <c r="AN53" s="44">
        <f t="shared" si="8"/>
        <v>4.7899999999999998E-2</v>
      </c>
      <c r="AO53" s="34">
        <f t="shared" si="9"/>
        <v>4.7899999999999998E-2</v>
      </c>
      <c r="AP53" s="36">
        <f t="shared" si="10"/>
        <v>4.7899999999999998E-2</v>
      </c>
      <c r="AQ53" s="38">
        <f t="shared" si="11"/>
        <v>4.7899999999999998E-2</v>
      </c>
      <c r="AS53" s="29">
        <v>120</v>
      </c>
      <c r="AT53" s="47">
        <f>AN41</f>
        <v>4.789999999597893E-2</v>
      </c>
      <c r="AU53" s="44">
        <f t="shared" si="53"/>
        <v>4.3799999999999999E-2</v>
      </c>
      <c r="BD53" s="15">
        <f t="shared" si="48"/>
        <v>240</v>
      </c>
      <c r="BE53" s="44">
        <f t="shared" si="12"/>
        <v>4.765045378734091E-2</v>
      </c>
      <c r="BF53" s="34">
        <f t="shared" si="13"/>
        <v>4.7725897515167065E-2</v>
      </c>
      <c r="BG53" s="36">
        <f t="shared" si="14"/>
        <v>4.7785606516018618E-2</v>
      </c>
      <c r="BH53" s="38">
        <f t="shared" si="15"/>
        <v>4.7858750288487545E-2</v>
      </c>
      <c r="BJ53" s="29">
        <v>120</v>
      </c>
      <c r="BK53" s="47">
        <f>BE41</f>
        <v>4.6037557422103609E-2</v>
      </c>
      <c r="BL53" s="44">
        <f t="shared" si="54"/>
        <v>4.3799999999999999E-2</v>
      </c>
      <c r="BU53" s="15">
        <f t="shared" si="50"/>
        <v>240</v>
      </c>
      <c r="BV53" s="44">
        <f t="shared" si="16"/>
        <v>4.7899998556025475E-2</v>
      </c>
      <c r="BW53" s="34">
        <f t="shared" si="17"/>
        <v>4.7899999657882351E-2</v>
      </c>
      <c r="BX53" s="36">
        <f t="shared" si="18"/>
        <v>4.7899999936238169E-2</v>
      </c>
      <c r="BY53" s="38">
        <f t="shared" si="19"/>
        <v>4.7899999998921944E-2</v>
      </c>
      <c r="CA53" s="29">
        <v>120</v>
      </c>
      <c r="CB53" s="47">
        <f>BV41</f>
        <v>4.7895519905593341E-2</v>
      </c>
      <c r="CC53" s="44">
        <f t="shared" si="55"/>
        <v>4.3799999999999999E-2</v>
      </c>
    </row>
    <row r="54" spans="4:82" x14ac:dyDescent="0.3">
      <c r="D54" s="15">
        <f t="shared" si="43"/>
        <v>250</v>
      </c>
      <c r="E54" s="30">
        <f t="shared" si="0"/>
        <v>4.789679521784046E-2</v>
      </c>
      <c r="F54" s="34">
        <f t="shared" si="1"/>
        <v>4.7898486168099011E-2</v>
      </c>
      <c r="G54" s="36">
        <f t="shared" si="2"/>
        <v>4.7899368940976302E-2</v>
      </c>
      <c r="H54" s="38">
        <f t="shared" si="3"/>
        <v>4.7899924630747645E-2</v>
      </c>
      <c r="J54" s="29">
        <v>240</v>
      </c>
      <c r="K54" s="47">
        <f>E53</f>
        <v>4.7895519905593341E-2</v>
      </c>
      <c r="L54" s="49">
        <v>3.9100000000000003E-2</v>
      </c>
      <c r="V54" s="15">
        <f t="shared" si="44"/>
        <v>250</v>
      </c>
      <c r="W54" s="44">
        <f t="shared" si="4"/>
        <v>3.7400513616219343E-2</v>
      </c>
      <c r="X54" s="34">
        <f t="shared" si="5"/>
        <v>3.793751697588317E-2</v>
      </c>
      <c r="Y54" s="36">
        <f t="shared" si="6"/>
        <v>3.8582551360104612E-2</v>
      </c>
      <c r="Z54" s="38">
        <f t="shared" si="7"/>
        <v>4.0179907543954674E-2</v>
      </c>
      <c r="AB54" s="29">
        <v>240</v>
      </c>
      <c r="AC54" s="47">
        <f>W53</f>
        <v>3.7282019473657828E-2</v>
      </c>
      <c r="AD54" s="44">
        <f t="shared" si="52"/>
        <v>3.9100000000000003E-2</v>
      </c>
      <c r="AM54" s="15">
        <f t="shared" si="46"/>
        <v>250</v>
      </c>
      <c r="AN54" s="44">
        <f t="shared" si="8"/>
        <v>4.7899999999999998E-2</v>
      </c>
      <c r="AO54" s="34">
        <f t="shared" si="9"/>
        <v>4.7899999999999998E-2</v>
      </c>
      <c r="AP54" s="36">
        <f t="shared" si="10"/>
        <v>4.7899999999999998E-2</v>
      </c>
      <c r="AQ54" s="38">
        <f t="shared" si="11"/>
        <v>4.7899999999999998E-2</v>
      </c>
      <c r="AS54" s="29">
        <v>240</v>
      </c>
      <c r="AT54" s="47">
        <f>AN53</f>
        <v>4.7899999999999998E-2</v>
      </c>
      <c r="AU54" s="44">
        <f t="shared" si="53"/>
        <v>3.9100000000000003E-2</v>
      </c>
      <c r="BD54" s="15">
        <f t="shared" si="48"/>
        <v>250</v>
      </c>
      <c r="BE54" s="44">
        <f t="shared" si="12"/>
        <v>4.7688939648399951E-2</v>
      </c>
      <c r="BF54" s="34">
        <f t="shared" si="13"/>
        <v>4.7754940483167432E-2</v>
      </c>
      <c r="BG54" s="36">
        <f t="shared" si="14"/>
        <v>4.7806342536712711E-2</v>
      </c>
      <c r="BH54" s="38">
        <f t="shared" si="15"/>
        <v>4.7867632846778092E-2</v>
      </c>
      <c r="BJ54" s="29">
        <v>240</v>
      </c>
      <c r="BK54" s="47">
        <f>BE53</f>
        <v>4.765045378734091E-2</v>
      </c>
      <c r="BL54" s="44">
        <f t="shared" si="54"/>
        <v>3.9100000000000003E-2</v>
      </c>
      <c r="BU54" s="15">
        <f t="shared" si="50"/>
        <v>250</v>
      </c>
      <c r="BV54" s="44">
        <f t="shared" si="16"/>
        <v>4.7899999261105851E-2</v>
      </c>
      <c r="BW54" s="34">
        <f t="shared" si="17"/>
        <v>4.7899999835130429E-2</v>
      </c>
      <c r="BX54" s="36">
        <f t="shared" si="18"/>
        <v>4.7899999971349964E-2</v>
      </c>
      <c r="BY54" s="38">
        <f t="shared" si="19"/>
        <v>4.7899999999591325E-2</v>
      </c>
      <c r="CA54" s="29">
        <v>240</v>
      </c>
      <c r="CB54" s="47">
        <f>BV53</f>
        <v>4.7899998556025475E-2</v>
      </c>
      <c r="CC54" s="44">
        <f t="shared" si="55"/>
        <v>3.9100000000000003E-2</v>
      </c>
    </row>
    <row r="55" spans="4:82" x14ac:dyDescent="0.3">
      <c r="D55" s="15">
        <f t="shared" si="43"/>
        <v>260</v>
      </c>
      <c r="E55" s="30">
        <f t="shared" si="0"/>
        <v>4.7897707497262819E-2</v>
      </c>
      <c r="F55" s="34">
        <f t="shared" si="1"/>
        <v>4.7898949102964342E-2</v>
      </c>
      <c r="G55" s="36">
        <f t="shared" si="2"/>
        <v>4.7899576988486181E-2</v>
      </c>
      <c r="H55" s="38">
        <f t="shared" si="3"/>
        <v>4.7899953595362602E-2</v>
      </c>
      <c r="L55" s="8"/>
      <c r="V55" s="15">
        <f t="shared" si="44"/>
        <v>260</v>
      </c>
      <c r="W55" s="44">
        <f t="shared" si="4"/>
        <v>3.7517685392273729E-2</v>
      </c>
      <c r="X55" s="34">
        <f t="shared" si="5"/>
        <v>3.8069361953534192E-2</v>
      </c>
      <c r="Y55" s="36">
        <f t="shared" si="6"/>
        <v>3.873044424026699E-2</v>
      </c>
      <c r="Z55" s="38">
        <f t="shared" si="7"/>
        <v>4.035938427266024E-2</v>
      </c>
      <c r="AD55" s="8"/>
      <c r="AM55" s="15">
        <f t="shared" si="46"/>
        <v>260</v>
      </c>
      <c r="AN55" s="44">
        <f t="shared" si="8"/>
        <v>4.7899999999999998E-2</v>
      </c>
      <c r="AO55" s="34">
        <f t="shared" si="9"/>
        <v>4.7899999999999998E-2</v>
      </c>
      <c r="AP55" s="36">
        <f t="shared" si="10"/>
        <v>4.7899999999999998E-2</v>
      </c>
      <c r="AQ55" s="38">
        <f t="shared" si="11"/>
        <v>4.7899999999999998E-2</v>
      </c>
      <c r="AU55" s="8"/>
      <c r="BD55" s="15">
        <f t="shared" si="48"/>
        <v>260</v>
      </c>
      <c r="BE55" s="44">
        <f t="shared" si="12"/>
        <v>4.7721490089779918E-2</v>
      </c>
      <c r="BF55" s="34">
        <f t="shared" si="13"/>
        <v>4.7779138638119438E-2</v>
      </c>
      <c r="BG55" s="36">
        <f t="shared" si="14"/>
        <v>4.7823319754551424E-2</v>
      </c>
      <c r="BH55" s="38">
        <f t="shared" si="15"/>
        <v>4.7874602668254447E-2</v>
      </c>
      <c r="BL55" s="8"/>
      <c r="BU55" s="15">
        <f t="shared" si="50"/>
        <v>260</v>
      </c>
      <c r="BV55" s="44">
        <f t="shared" si="16"/>
        <v>4.7899999621901522E-2</v>
      </c>
      <c r="BW55" s="34">
        <f t="shared" si="17"/>
        <v>4.7899999920547873E-2</v>
      </c>
      <c r="BX55" s="36">
        <f t="shared" si="18"/>
        <v>4.7899999987126705E-2</v>
      </c>
      <c r="BY55" s="38">
        <f t="shared" si="19"/>
        <v>4.789999999984508E-2</v>
      </c>
      <c r="CC55" s="8"/>
    </row>
    <row r="56" spans="4:82" x14ac:dyDescent="0.3">
      <c r="D56" s="15">
        <f t="shared" si="43"/>
        <v>270</v>
      </c>
      <c r="E56" s="30">
        <f t="shared" si="0"/>
        <v>4.7898360085479028E-2</v>
      </c>
      <c r="F56" s="34">
        <f t="shared" si="1"/>
        <v>4.789927047079743E-2</v>
      </c>
      <c r="G56" s="36">
        <f t="shared" si="2"/>
        <v>4.7899716446902586E-2</v>
      </c>
      <c r="H56" s="38">
        <f t="shared" si="3"/>
        <v>4.7899971428794839E-2</v>
      </c>
      <c r="J56" s="15">
        <v>0</v>
      </c>
      <c r="K56" s="15">
        <v>0</v>
      </c>
      <c r="V56" s="15">
        <f t="shared" si="44"/>
        <v>270</v>
      </c>
      <c r="W56" s="44">
        <f t="shared" si="4"/>
        <v>3.7633549559117345E-2</v>
      </c>
      <c r="X56" s="34">
        <f t="shared" si="5"/>
        <v>3.819946207520003E-2</v>
      </c>
      <c r="Y56" s="36">
        <f t="shared" si="6"/>
        <v>3.8875989664076453E-2</v>
      </c>
      <c r="Z56" s="38">
        <f t="shared" si="7"/>
        <v>4.0534688525928474E-2</v>
      </c>
      <c r="AB56" s="15">
        <v>0</v>
      </c>
      <c r="AC56" s="15">
        <v>0</v>
      </c>
      <c r="AM56" s="15">
        <f t="shared" si="46"/>
        <v>270</v>
      </c>
      <c r="AN56" s="44">
        <f t="shared" si="8"/>
        <v>4.7899999999999998E-2</v>
      </c>
      <c r="AO56" s="34">
        <f t="shared" si="9"/>
        <v>4.7899999999999998E-2</v>
      </c>
      <c r="AP56" s="36">
        <f t="shared" si="10"/>
        <v>4.7899999999999998E-2</v>
      </c>
      <c r="AQ56" s="38">
        <f t="shared" si="11"/>
        <v>4.7899999999999998E-2</v>
      </c>
      <c r="AS56" s="15">
        <v>0</v>
      </c>
      <c r="AT56" s="15">
        <v>0</v>
      </c>
      <c r="BD56" s="15">
        <f t="shared" si="48"/>
        <v>270</v>
      </c>
      <c r="BE56" s="44">
        <f t="shared" si="12"/>
        <v>4.7749020491981521E-2</v>
      </c>
      <c r="BF56" s="34">
        <f t="shared" si="13"/>
        <v>4.7799300169236857E-2</v>
      </c>
      <c r="BG56" s="36">
        <f t="shared" si="14"/>
        <v>4.7837219524897681E-2</v>
      </c>
      <c r="BH56" s="38">
        <f t="shared" si="15"/>
        <v>4.788007163449403E-2</v>
      </c>
      <c r="BJ56" s="15">
        <v>0</v>
      </c>
      <c r="BK56" s="15">
        <v>0</v>
      </c>
      <c r="BU56" s="15">
        <f t="shared" si="50"/>
        <v>270</v>
      </c>
      <c r="BV56" s="44">
        <f t="shared" si="16"/>
        <v>4.7899999806523763E-2</v>
      </c>
      <c r="BW56" s="34">
        <f t="shared" si="17"/>
        <v>4.7899999961711306E-2</v>
      </c>
      <c r="BX56" s="36">
        <f t="shared" si="18"/>
        <v>4.7899999994215653E-2</v>
      </c>
      <c r="BY56" s="38">
        <f t="shared" si="19"/>
        <v>4.7899999999941267E-2</v>
      </c>
      <c r="CA56" s="15">
        <v>0</v>
      </c>
      <c r="CB56" s="15">
        <v>0</v>
      </c>
    </row>
    <row r="57" spans="4:82" x14ac:dyDescent="0.3">
      <c r="D57" s="15">
        <f t="shared" si="43"/>
        <v>280</v>
      </c>
      <c r="E57" s="30">
        <f t="shared" si="0"/>
        <v>4.7898826906684781E-2</v>
      </c>
      <c r="F57" s="34">
        <f t="shared" si="1"/>
        <v>4.7899493563270855E-2</v>
      </c>
      <c r="G57" s="36">
        <f t="shared" si="2"/>
        <v>4.7899809928674687E-2</v>
      </c>
      <c r="H57" s="38">
        <f t="shared" si="3"/>
        <v>4.7899982408789073E-2</v>
      </c>
      <c r="J57" s="15">
        <v>0.2</v>
      </c>
      <c r="K57" s="15">
        <v>0.2</v>
      </c>
      <c r="V57" s="15">
        <f t="shared" si="44"/>
        <v>280</v>
      </c>
      <c r="W57" s="44">
        <f t="shared" si="4"/>
        <v>3.7748120709358637E-2</v>
      </c>
      <c r="X57" s="34">
        <f t="shared" si="5"/>
        <v>3.8327840432563556E-2</v>
      </c>
      <c r="Y57" s="36">
        <f t="shared" si="6"/>
        <v>3.9019224891956361E-2</v>
      </c>
      <c r="Z57" s="38">
        <f t="shared" si="7"/>
        <v>4.0705917305478762E-2</v>
      </c>
      <c r="AB57" s="15">
        <v>0.2</v>
      </c>
      <c r="AC57" s="15">
        <v>0.2</v>
      </c>
      <c r="AM57" s="15">
        <f t="shared" si="46"/>
        <v>280</v>
      </c>
      <c r="AN57" s="44">
        <f t="shared" si="8"/>
        <v>4.7899999999999998E-2</v>
      </c>
      <c r="AO57" s="34">
        <f t="shared" si="9"/>
        <v>4.7899999999999998E-2</v>
      </c>
      <c r="AP57" s="36">
        <f t="shared" si="10"/>
        <v>4.7899999999999998E-2</v>
      </c>
      <c r="AQ57" s="38">
        <f t="shared" si="11"/>
        <v>4.7899999999999998E-2</v>
      </c>
      <c r="AS57" s="15">
        <v>0.2</v>
      </c>
      <c r="AT57" s="15">
        <v>0.2</v>
      </c>
      <c r="BD57" s="15">
        <f t="shared" si="48"/>
        <v>280</v>
      </c>
      <c r="BE57" s="44">
        <f t="shared" si="12"/>
        <v>4.7772305062428196E-2</v>
      </c>
      <c r="BF57" s="34">
        <f t="shared" si="13"/>
        <v>4.7816098447361961E-2</v>
      </c>
      <c r="BG57" s="36">
        <f t="shared" si="14"/>
        <v>4.7848599694340882E-2</v>
      </c>
      <c r="BH57" s="38">
        <f t="shared" si="15"/>
        <v>4.7884362934038971E-2</v>
      </c>
      <c r="BJ57" s="15">
        <v>0.2</v>
      </c>
      <c r="BK57" s="15">
        <v>0.2</v>
      </c>
      <c r="BU57" s="15">
        <f t="shared" si="50"/>
        <v>280</v>
      </c>
      <c r="BV57" s="44">
        <f t="shared" si="16"/>
        <v>4.7899999900996547E-2</v>
      </c>
      <c r="BW57" s="34">
        <f t="shared" si="17"/>
        <v>4.7899999981548334E-2</v>
      </c>
      <c r="BX57" s="36">
        <f t="shared" si="18"/>
        <v>4.7899999997400924E-2</v>
      </c>
      <c r="BY57" s="38">
        <f t="shared" si="19"/>
        <v>4.7899999999977738E-2</v>
      </c>
      <c r="CA57" s="15">
        <v>0.2</v>
      </c>
      <c r="CB57" s="15">
        <v>0.2</v>
      </c>
    </row>
    <row r="58" spans="4:82" x14ac:dyDescent="0.3">
      <c r="D58" s="15">
        <f t="shared" si="43"/>
        <v>290</v>
      </c>
      <c r="E58" s="30">
        <f t="shared" si="0"/>
        <v>4.7899160841672783E-2</v>
      </c>
      <c r="F58" s="34">
        <f t="shared" si="1"/>
        <v>4.7899648433318745E-2</v>
      </c>
      <c r="G58" s="36">
        <f t="shared" si="2"/>
        <v>4.7899872591380462E-2</v>
      </c>
      <c r="H58" s="38">
        <f t="shared" si="3"/>
        <v>4.789998916914074E-2</v>
      </c>
      <c r="V58" s="15">
        <f t="shared" si="44"/>
        <v>290</v>
      </c>
      <c r="W58" s="44">
        <f t="shared" si="4"/>
        <v>3.7861413272755995E-2</v>
      </c>
      <c r="X58" s="34">
        <f t="shared" si="5"/>
        <v>3.8454519811708845E-2</v>
      </c>
      <c r="Y58" s="36">
        <f t="shared" si="6"/>
        <v>3.9160186592907334E-2</v>
      </c>
      <c r="Z58" s="38">
        <f t="shared" si="7"/>
        <v>4.0873165357934269E-2</v>
      </c>
      <c r="AM58" s="15">
        <f t="shared" si="46"/>
        <v>290</v>
      </c>
      <c r="AN58" s="44">
        <f t="shared" si="8"/>
        <v>4.7899999999999998E-2</v>
      </c>
      <c r="AO58" s="34">
        <f t="shared" si="9"/>
        <v>4.7899999999999998E-2</v>
      </c>
      <c r="AP58" s="36">
        <f t="shared" si="10"/>
        <v>4.7899999999999998E-2</v>
      </c>
      <c r="AQ58" s="38">
        <f t="shared" si="11"/>
        <v>4.7899999999999998E-2</v>
      </c>
      <c r="BD58" s="15">
        <f t="shared" si="48"/>
        <v>290</v>
      </c>
      <c r="BE58" s="44">
        <f t="shared" si="12"/>
        <v>4.7791998607655609E-2</v>
      </c>
      <c r="BF58" s="34">
        <f t="shared" si="13"/>
        <v>4.7830094514740247E-2</v>
      </c>
      <c r="BG58" s="36">
        <f t="shared" si="14"/>
        <v>4.7857916989039274E-2</v>
      </c>
      <c r="BH58" s="38">
        <f t="shared" si="15"/>
        <v>4.7887730161221879E-2</v>
      </c>
      <c r="BU58" s="15">
        <f t="shared" si="50"/>
        <v>290</v>
      </c>
      <c r="BV58" s="44">
        <f t="shared" si="16"/>
        <v>4.7899999949339085E-2</v>
      </c>
      <c r="BW58" s="34">
        <f t="shared" si="17"/>
        <v>4.7899999991107972E-2</v>
      </c>
      <c r="BX58" s="36">
        <f t="shared" si="18"/>
        <v>4.7899999998832161E-2</v>
      </c>
      <c r="BY58" s="38">
        <f t="shared" si="19"/>
        <v>4.789999999999156E-2</v>
      </c>
    </row>
    <row r="59" spans="4:82" x14ac:dyDescent="0.3">
      <c r="D59" s="15">
        <f t="shared" si="43"/>
        <v>300</v>
      </c>
      <c r="E59" s="30">
        <f t="shared" si="0"/>
        <v>4.7899399718088057E-2</v>
      </c>
      <c r="F59" s="34">
        <f t="shared" si="1"/>
        <v>4.7899755943587315E-2</v>
      </c>
      <c r="G59" s="36">
        <f t="shared" si="2"/>
        <v>4.789991459544829E-2</v>
      </c>
      <c r="H59" s="38">
        <f t="shared" si="3"/>
        <v>4.7899993331470318E-2</v>
      </c>
      <c r="V59" s="15">
        <f t="shared" si="44"/>
        <v>300</v>
      </c>
      <c r="W59" s="44">
        <f t="shared" si="4"/>
        <v>3.7973441518035139E-2</v>
      </c>
      <c r="X59" s="34">
        <f t="shared" si="5"/>
        <v>3.857952269716558E-2</v>
      </c>
      <c r="Y59" s="36">
        <f t="shared" si="6"/>
        <v>3.9298910853894642E-2</v>
      </c>
      <c r="Z59" s="38">
        <f t="shared" si="7"/>
        <v>4.1036525227248453E-2</v>
      </c>
      <c r="AM59" s="15">
        <f t="shared" si="46"/>
        <v>300</v>
      </c>
      <c r="AN59" s="44">
        <f t="shared" si="8"/>
        <v>4.7899999999999998E-2</v>
      </c>
      <c r="AO59" s="34">
        <f t="shared" si="9"/>
        <v>4.7899999999999998E-2</v>
      </c>
      <c r="AP59" s="36">
        <f t="shared" si="10"/>
        <v>4.7899999999999998E-2</v>
      </c>
      <c r="AQ59" s="38">
        <f t="shared" si="11"/>
        <v>4.7899999999999998E-2</v>
      </c>
      <c r="BD59" s="15">
        <f t="shared" si="48"/>
        <v>300</v>
      </c>
      <c r="BE59" s="44">
        <f t="shared" si="12"/>
        <v>4.7808654947720478E-2</v>
      </c>
      <c r="BF59" s="34">
        <f t="shared" si="13"/>
        <v>4.784175582315521E-2</v>
      </c>
      <c r="BG59" s="36">
        <f t="shared" si="14"/>
        <v>4.7865545344744333E-2</v>
      </c>
      <c r="BH59" s="38">
        <f t="shared" si="15"/>
        <v>4.7890372302322175E-2</v>
      </c>
      <c r="BU59" s="15">
        <f t="shared" si="50"/>
        <v>300</v>
      </c>
      <c r="BV59" s="44">
        <f t="shared" si="16"/>
        <v>4.7899999974076374E-2</v>
      </c>
      <c r="BW59" s="34">
        <f t="shared" si="17"/>
        <v>4.789999999571485E-2</v>
      </c>
      <c r="BX59" s="36">
        <f t="shared" si="18"/>
        <v>4.7899999999475251E-2</v>
      </c>
      <c r="BY59" s="38">
        <f t="shared" si="19"/>
        <v>4.7899999999996799E-2</v>
      </c>
    </row>
  </sheetData>
  <mergeCells count="5">
    <mergeCell ref="E1:H1"/>
    <mergeCell ref="W1:Z1"/>
    <mergeCell ref="AN1:AQ1"/>
    <mergeCell ref="BE1:BH1"/>
    <mergeCell ref="BV1:BY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D944-DD70-4A27-93A1-B8CAD3369FDD}">
  <dimension ref="A1:CD59"/>
  <sheetViews>
    <sheetView topLeftCell="BL1" zoomScale="85" zoomScaleNormal="85" workbookViewId="0">
      <selection activeCell="BD11" sqref="BD11"/>
    </sheetView>
  </sheetViews>
  <sheetFormatPr defaultRowHeight="14.4" x14ac:dyDescent="0.3"/>
  <cols>
    <col min="4" max="4" width="13.33203125" customWidth="1"/>
    <col min="10" max="10" width="12.6640625" customWidth="1"/>
    <col min="11" max="12" width="15" customWidth="1"/>
    <col min="22" max="22" width="12.5546875" customWidth="1"/>
    <col min="29" max="29" width="13.5546875" customWidth="1"/>
    <col min="30" max="30" width="13" customWidth="1"/>
    <col min="39" max="39" width="14.33203125" customWidth="1"/>
    <col min="40" max="40" width="9.6640625" customWidth="1"/>
    <col min="45" max="45" width="11.44140625" customWidth="1"/>
    <col min="46" max="46" width="13" customWidth="1"/>
    <col min="47" max="47" width="11.88671875" customWidth="1"/>
    <col min="56" max="56" width="14.33203125" customWidth="1"/>
    <col min="57" max="57" width="9.6640625" customWidth="1"/>
    <col min="62" max="62" width="11.44140625" customWidth="1"/>
    <col min="63" max="63" width="13" customWidth="1"/>
    <col min="64" max="64" width="11.88671875" customWidth="1"/>
    <col min="73" max="73" width="15" customWidth="1"/>
    <col min="79" max="79" width="12.88671875" customWidth="1"/>
    <col min="80" max="81" width="14.6640625" customWidth="1"/>
  </cols>
  <sheetData>
    <row r="1" spans="1:77" x14ac:dyDescent="0.3">
      <c r="A1" s="16" t="s">
        <v>10</v>
      </c>
      <c r="B1" s="17" t="s">
        <v>13</v>
      </c>
      <c r="D1" s="15" t="s">
        <v>14</v>
      </c>
      <c r="E1" s="51" t="s">
        <v>12</v>
      </c>
      <c r="F1" s="51"/>
      <c r="G1" s="51"/>
      <c r="H1" s="51"/>
      <c r="V1" s="15" t="s">
        <v>14</v>
      </c>
      <c r="W1" s="51" t="s">
        <v>22</v>
      </c>
      <c r="X1" s="51"/>
      <c r="Y1" s="51"/>
      <c r="Z1" s="51"/>
      <c r="AM1" s="15" t="s">
        <v>14</v>
      </c>
      <c r="AN1" s="51" t="s">
        <v>23</v>
      </c>
      <c r="AO1" s="51"/>
      <c r="AP1" s="51"/>
      <c r="AQ1" s="51"/>
      <c r="BD1" s="15" t="s">
        <v>14</v>
      </c>
      <c r="BE1" s="51" t="s">
        <v>24</v>
      </c>
      <c r="BF1" s="51"/>
      <c r="BG1" s="51"/>
      <c r="BH1" s="51"/>
      <c r="BU1" s="15" t="s">
        <v>14</v>
      </c>
      <c r="BV1" s="51" t="s">
        <v>25</v>
      </c>
      <c r="BW1" s="51"/>
      <c r="BX1" s="51"/>
      <c r="BY1" s="51"/>
    </row>
    <row r="2" spans="1:77" x14ac:dyDescent="0.3">
      <c r="A2" s="17">
        <v>4000</v>
      </c>
      <c r="B2" s="18">
        <v>7.4882352941176469E-2</v>
      </c>
      <c r="D2" s="15" t="s">
        <v>11</v>
      </c>
      <c r="E2" s="32">
        <v>7.4882352941176469E-2</v>
      </c>
      <c r="F2" s="33">
        <v>8.1588235294117642E-2</v>
      </c>
      <c r="G2" s="35">
        <v>8.9411764705882357E-2</v>
      </c>
      <c r="H2" s="37">
        <v>0.10841176470588235</v>
      </c>
      <c r="V2" s="15" t="s">
        <v>11</v>
      </c>
      <c r="W2" s="32">
        <v>7.4882352941176469E-2</v>
      </c>
      <c r="X2" s="33">
        <v>8.1588235294117642E-2</v>
      </c>
      <c r="Y2" s="35">
        <v>8.9411764705882357E-2</v>
      </c>
      <c r="Z2" s="37">
        <v>0.10841176470588235</v>
      </c>
      <c r="AM2" s="15" t="s">
        <v>11</v>
      </c>
      <c r="AN2" s="32">
        <v>7.4882352941176469E-2</v>
      </c>
      <c r="AO2" s="33">
        <v>8.1588235294117642E-2</v>
      </c>
      <c r="AP2" s="35">
        <v>8.9411764705882357E-2</v>
      </c>
      <c r="AQ2" s="37">
        <v>0.10841176470588235</v>
      </c>
      <c r="BD2" s="15" t="s">
        <v>11</v>
      </c>
      <c r="BE2" s="32">
        <v>7.4882352941176469E-2</v>
      </c>
      <c r="BF2" s="33">
        <v>8.1588235294117642E-2</v>
      </c>
      <c r="BG2" s="35">
        <v>8.9411764705882357E-2</v>
      </c>
      <c r="BH2" s="37">
        <v>0.10841176470588235</v>
      </c>
      <c r="BU2" s="15" t="s">
        <v>11</v>
      </c>
      <c r="BV2" s="32">
        <v>7.4882352941176469E-2</v>
      </c>
      <c r="BW2" s="33">
        <v>8.1588235294117642E-2</v>
      </c>
      <c r="BX2" s="35">
        <v>8.9411764705882357E-2</v>
      </c>
      <c r="BY2" s="37">
        <v>0.10841176470588235</v>
      </c>
    </row>
    <row r="3" spans="1:77" x14ac:dyDescent="0.3">
      <c r="A3" s="17">
        <v>5000</v>
      </c>
      <c r="B3" s="18">
        <v>8.1588235294117642E-2</v>
      </c>
      <c r="D3" s="15">
        <v>0</v>
      </c>
      <c r="E3" s="39">
        <f>$B$8-($B$8-$B$7)*EXP(-$E$2*D3)</f>
        <v>7.5999999999999998E-2</v>
      </c>
      <c r="F3" s="40">
        <f>$B$8-($B$8-$B$7)*EXP(-$F$2*D3)</f>
        <v>7.5999999999999998E-2</v>
      </c>
      <c r="G3" s="41">
        <f>$B$8-($B$8-$B$7)*EXP(-$G$2*D3)</f>
        <v>7.5999999999999998E-2</v>
      </c>
      <c r="H3" s="42">
        <f>$B$8-($B$8-$B$7)*EXP(-$H$2*D3)</f>
        <v>7.5999999999999998E-2</v>
      </c>
      <c r="V3" s="15">
        <v>0</v>
      </c>
      <c r="W3" s="44">
        <f>$B$8-($B$8-$B$7)*EXP(-($W$2^2)*V3)</f>
        <v>7.5999999999999998E-2</v>
      </c>
      <c r="X3" s="34">
        <f>$B$8-($B$8-$B$7)*EXP(-($X$2^2)*V3)</f>
        <v>7.5999999999999998E-2</v>
      </c>
      <c r="Y3" s="36">
        <f>$B$8-($B$8-$B$7)*EXP(-($Y$2^2)*V3)</f>
        <v>7.5999999999999998E-2</v>
      </c>
      <c r="Z3" s="38">
        <f>$B$8-($B$8-$B$7)*EXP(-($Z$2^2)*V3)</f>
        <v>7.5999999999999998E-2</v>
      </c>
      <c r="AM3" s="15">
        <v>0</v>
      </c>
      <c r="AN3" s="44">
        <f>$B$8-($B$8-$B$7)*EXP(-($AN$2^0.5)*AM3)</f>
        <v>7.5999999999999998E-2</v>
      </c>
      <c r="AO3" s="34">
        <f>$B$8-($B$8-$B$7)*EXP(-($AO$2^0.5)*AM3)</f>
        <v>7.5999999999999998E-2</v>
      </c>
      <c r="AP3" s="36">
        <f>$B$8-($B$8-$B$7)*EXP(-($AP$2^0.5)*AM3)</f>
        <v>7.5999999999999998E-2</v>
      </c>
      <c r="AQ3" s="38">
        <f>$B$8-($B$8-$B$7)*EXP(-($AQ$2^0.5)*AM3)</f>
        <v>7.5999999999999998E-2</v>
      </c>
      <c r="BD3" s="15">
        <v>0</v>
      </c>
      <c r="BE3" s="44">
        <f>$B$8-($B$8-$B$7)*EXP(-($BE$2/2)*BD3)</f>
        <v>7.5999999999999998E-2</v>
      </c>
      <c r="BF3" s="34">
        <f>$B$8-($B$8-$B$7)*EXP(-($BF$2/2)*BD3)</f>
        <v>7.5999999999999998E-2</v>
      </c>
      <c r="BG3" s="36">
        <f>$B$8-($B$8-$B$7)*EXP(-($BG$2/2)*BD3)</f>
        <v>7.5999999999999998E-2</v>
      </c>
      <c r="BH3" s="38">
        <f>$B$8-($B$8-$B$7)*EXP(-($BH$2/2)*BD3)</f>
        <v>7.5999999999999998E-2</v>
      </c>
      <c r="BU3" s="15">
        <v>0</v>
      </c>
      <c r="BV3" s="44">
        <f>$B$8-($B$8-$B$7)*EXP(-($BV$2*2)*BU3)</f>
        <v>7.5999999999999998E-2</v>
      </c>
      <c r="BW3" s="34">
        <f>$B$8-($B$8-$B$7)*EXP(-($BW$2*2)*BU3)</f>
        <v>7.5999999999999998E-2</v>
      </c>
      <c r="BX3" s="36">
        <f>$B$8-($B$8-$B$7)*EXP(-($BX$2*2)*BU3)</f>
        <v>7.5999999999999998E-2</v>
      </c>
      <c r="BY3" s="38">
        <f>$B$8-($B$8-$B$7)*EXP(-($BY$2*2)*BU3)</f>
        <v>7.5999999999999998E-2</v>
      </c>
    </row>
    <row r="4" spans="1:77" x14ac:dyDescent="0.3">
      <c r="A4" s="17">
        <v>6000</v>
      </c>
      <c r="B4" s="18">
        <v>8.9411764705882357E-2</v>
      </c>
      <c r="D4" s="15">
        <f>D3+1</f>
        <v>1</v>
      </c>
      <c r="E4" s="30">
        <f t="shared" ref="E4:E59" si="0">$B$8-($B$8-$B$7)*EXP(-$E$2*D4)</f>
        <v>7.8432841274187093E-2</v>
      </c>
      <c r="F4" s="34">
        <f t="shared" ref="F4:F59" si="1">$B$8-($B$8-$B$7)*EXP(-$F$2*D4)</f>
        <v>7.8641950364384816E-2</v>
      </c>
      <c r="G4" s="36">
        <f t="shared" ref="G4:G59" si="2">$B$8-($B$8-$B$7)*EXP(-$G$2*D4)</f>
        <v>7.8884145253509702E-2</v>
      </c>
      <c r="H4" s="38">
        <f t="shared" ref="H4:H59" si="3">$B$8-($B$8-$B$7)*EXP(-$H$2*D4)</f>
        <v>7.9464504121791596E-2</v>
      </c>
      <c r="V4" s="15">
        <f>V3+1</f>
        <v>1</v>
      </c>
      <c r="W4" s="44">
        <f t="shared" ref="W4:W59" si="4">$B$8-($B$8-$B$7)*EXP(-($W$2^2)*V4)</f>
        <v>7.6188553776235596E-2</v>
      </c>
      <c r="X4" s="34">
        <f t="shared" ref="X4:X59" si="5">$B$8-($B$8-$B$7)*EXP(-($X$2^2)*V4)</f>
        <v>7.6223719446144561E-2</v>
      </c>
      <c r="Y4" s="36">
        <f t="shared" ref="Y4:Y59" si="6">$B$8-($B$8-$B$7)*EXP(-($Y$2^2)*V4)</f>
        <v>7.6268502194275473E-2</v>
      </c>
      <c r="Z4" s="38">
        <f t="shared" ref="Z4:Z59" si="7">$B$8-($B$8-$B$7)*EXP(-($Z$2^2)*V4)</f>
        <v>7.6394000249702915E-2</v>
      </c>
      <c r="AM4" s="15">
        <f>AM3+1</f>
        <v>1</v>
      </c>
      <c r="AN4" s="44">
        <f t="shared" ref="AN4:AN59" si="8">$B$8-($B$8-$B$7)*EXP(-($AN$2^0.5)*AM4)</f>
        <v>8.4072642168841721E-2</v>
      </c>
      <c r="AO4" s="34">
        <f t="shared" ref="AO4:AO59" si="9">$B$8-($B$8-$B$7)*EXP(-($AO$2^0.5)*AM4)</f>
        <v>8.4378326749091098E-2</v>
      </c>
      <c r="AP4" s="36">
        <f t="shared" ref="AP4:AP59" si="10">$B$8-($B$8-$B$7)*EXP(-($AP$2^0.5)*AM4)</f>
        <v>8.4715182397439553E-2</v>
      </c>
      <c r="AQ4" s="38">
        <f t="shared" ref="AQ4:AQ59" si="11">$B$8-($B$8-$B$7)*EXP(-($AQ$2^0.5)*AM4)</f>
        <v>8.5460057256266361E-2</v>
      </c>
      <c r="BD4" s="15">
        <f>BD3+1</f>
        <v>1</v>
      </c>
      <c r="BE4" s="44">
        <f t="shared" ref="BE4:BE59" si="12">$B$8-($B$8-$B$7)*EXP(-($BE$2/2)*BD4)</f>
        <v>7.7239190087093262E-2</v>
      </c>
      <c r="BF4" s="34">
        <f t="shared" ref="BF4:BF59" si="13">$B$8-($B$8-$B$7)*EXP(-($BF$2/2)*BD4)</f>
        <v>7.7347915454714561E-2</v>
      </c>
      <c r="BG4" s="36">
        <f t="shared" ref="BG4:BG59" si="14">$B$8-($B$8-$B$7)*EXP(-($BG$2/2)*BD4)</f>
        <v>7.7474301823716202E-2</v>
      </c>
      <c r="BH4" s="38">
        <f t="shared" ref="BH4:BH59" si="15">$B$8-($B$8-$B$7)*EXP(-($BH$2/2)*BD4)</f>
        <v>7.7779189694184514E-2</v>
      </c>
      <c r="BU4" s="15">
        <f>BU3+1</f>
        <v>1</v>
      </c>
      <c r="BV4" s="44">
        <f t="shared" ref="BV4:BV59" si="16">$B$8-($B$8-$B$7)*EXP(-($BV$2*2)*BU4)</f>
        <v>8.0690159470811137E-2</v>
      </c>
      <c r="BW4" s="34">
        <f t="shared" ref="BW4:BW59" si="17">$B$8-($B$8-$B$7)*EXP(-($BW$2*2)*BU4)</f>
        <v>8.1076907574404194E-2</v>
      </c>
      <c r="BX4" s="36">
        <f t="shared" ref="BX4:BX59" si="18">$B$8-($B$8-$B$7)*EXP(-($BX$2*2)*BU4)</f>
        <v>8.1521606535138236E-2</v>
      </c>
      <c r="BY4" s="38">
        <f t="shared" ref="BY4:BY59" si="19">$B$8-($B$8-$B$7)*EXP(-($BY$2*2)*BU4)</f>
        <v>8.2573058372967648E-2</v>
      </c>
    </row>
    <row r="5" spans="1:77" x14ac:dyDescent="0.3">
      <c r="A5" s="17">
        <v>7000</v>
      </c>
      <c r="B5" s="18">
        <v>0.10841176470588235</v>
      </c>
      <c r="D5" s="15">
        <f t="shared" ref="D5:D23" si="20">D4+1</f>
        <v>2</v>
      </c>
      <c r="E5" s="30">
        <f t="shared" si="0"/>
        <v>8.0690159470811137E-2</v>
      </c>
      <c r="F5" s="34">
        <f t="shared" si="1"/>
        <v>8.1076907574404194E-2</v>
      </c>
      <c r="G5" s="36">
        <f t="shared" si="2"/>
        <v>8.1521606535138236E-2</v>
      </c>
      <c r="H5" s="38">
        <f t="shared" si="3"/>
        <v>8.2573058372967648E-2</v>
      </c>
      <c r="V5" s="15">
        <f t="shared" ref="V5:V23" si="21">V4+1</f>
        <v>2</v>
      </c>
      <c r="W5" s="44">
        <f t="shared" si="4"/>
        <v>7.6376053221063736E-2</v>
      </c>
      <c r="X5" s="34">
        <f t="shared" si="5"/>
        <v>7.6445954618064638E-2</v>
      </c>
      <c r="Y5" s="36">
        <f t="shared" si="6"/>
        <v>7.6534866414877251E-2</v>
      </c>
      <c r="Z5" s="38">
        <f t="shared" si="7"/>
        <v>7.6783396877278601E-2</v>
      </c>
      <c r="AM5" s="15">
        <f t="shared" ref="AM5:AM23" si="22">AM4+1</f>
        <v>2</v>
      </c>
      <c r="AN5" s="44">
        <f t="shared" si="8"/>
        <v>9.0212701675204787E-2</v>
      </c>
      <c r="AO5" s="34">
        <f t="shared" si="9"/>
        <v>9.0674938545081463E-2</v>
      </c>
      <c r="AP5" s="36">
        <f t="shared" si="10"/>
        <v>9.1177891575264153E-2</v>
      </c>
      <c r="AQ5" s="38">
        <f t="shared" si="11"/>
        <v>9.22661555415588E-2</v>
      </c>
      <c r="BD5" s="15">
        <f t="shared" ref="BD5:BD23" si="23">BD4+1</f>
        <v>2</v>
      </c>
      <c r="BE5" s="44">
        <f t="shared" si="12"/>
        <v>7.8432841274187093E-2</v>
      </c>
      <c r="BF5" s="34">
        <f t="shared" si="13"/>
        <v>7.8641950364384816E-2</v>
      </c>
      <c r="BG5" s="36">
        <f t="shared" si="14"/>
        <v>7.8884145253509702E-2</v>
      </c>
      <c r="BH5" s="38">
        <f t="shared" si="15"/>
        <v>7.9464504121791596E-2</v>
      </c>
      <c r="BU5" s="15">
        <f t="shared" ref="BU5:BU23" si="24">BU4+1</f>
        <v>2</v>
      </c>
      <c r="BV5" s="44">
        <f t="shared" si="16"/>
        <v>8.4727967098662385E-2</v>
      </c>
      <c r="BW5" s="34">
        <f t="shared" si="17"/>
        <v>8.5389442411299712E-2</v>
      </c>
      <c r="BX5" s="36">
        <f t="shared" si="18"/>
        <v>8.6139069107758898E-2</v>
      </c>
      <c r="BY5" s="38">
        <f t="shared" si="19"/>
        <v>8.7864843809456084E-2</v>
      </c>
    </row>
    <row r="6" spans="1:77" x14ac:dyDescent="0.3">
      <c r="D6" s="15">
        <f t="shared" si="20"/>
        <v>3</v>
      </c>
      <c r="E6" s="30">
        <f t="shared" si="0"/>
        <v>8.2784618116705566E-2</v>
      </c>
      <c r="F6" s="34">
        <f t="shared" si="1"/>
        <v>8.3321089257206535E-2</v>
      </c>
      <c r="G6" s="36">
        <f t="shared" si="2"/>
        <v>8.3933482984018384E-2</v>
      </c>
      <c r="H6" s="38">
        <f t="shared" si="3"/>
        <v>8.5362233733367446E-2</v>
      </c>
      <c r="V6" s="15">
        <f t="shared" si="21"/>
        <v>3</v>
      </c>
      <c r="W6" s="44">
        <f t="shared" si="4"/>
        <v>7.656250422996283E-2</v>
      </c>
      <c r="X6" s="34">
        <f>$B$8-($B$8-$B$7)*EXP(-($X$2^2)*V6)</f>
        <v>7.666671536322775E-2</v>
      </c>
      <c r="Y6" s="36">
        <f t="shared" si="6"/>
        <v>7.6799109685619371E-2</v>
      </c>
      <c r="Z6" s="38">
        <f t="shared" si="7"/>
        <v>7.7168243672887618E-2</v>
      </c>
      <c r="AM6" s="15">
        <f t="shared" si="22"/>
        <v>3</v>
      </c>
      <c r="AN6" s="44">
        <f t="shared" si="8"/>
        <v>9.4882836923759817E-2</v>
      </c>
      <c r="AO6" s="34">
        <f t="shared" si="9"/>
        <v>9.5407067202358517E-2</v>
      </c>
      <c r="AP6" s="36">
        <f t="shared" si="10"/>
        <v>9.5970288109547705E-2</v>
      </c>
      <c r="AQ6" s="38">
        <f t="shared" si="11"/>
        <v>9.7162846186678989E-2</v>
      </c>
      <c r="BD6" s="15">
        <f t="shared" si="23"/>
        <v>3</v>
      </c>
      <c r="BE6" s="44">
        <f t="shared" si="12"/>
        <v>7.9582627066770883E-2</v>
      </c>
      <c r="BF6" s="34">
        <f t="shared" si="13"/>
        <v>7.9884258508852182E-2</v>
      </c>
      <c r="BG6" s="36">
        <f t="shared" si="14"/>
        <v>8.0232348494228597E-2</v>
      </c>
      <c r="BH6" s="38">
        <f t="shared" si="15"/>
        <v>8.1060896417219364E-2</v>
      </c>
      <c r="BU6" s="15">
        <f t="shared" si="24"/>
        <v>3</v>
      </c>
      <c r="BV6" s="44">
        <f t="shared" si="16"/>
        <v>8.8204158162313792E-2</v>
      </c>
      <c r="BW6" s="34">
        <f t="shared" si="17"/>
        <v>8.9052687496398553E-2</v>
      </c>
      <c r="BX6" s="36">
        <f t="shared" si="18"/>
        <v>9.0000438162919028E-2</v>
      </c>
      <c r="BY6" s="38">
        <f t="shared" si="19"/>
        <v>9.2125112244161617E-2</v>
      </c>
    </row>
    <row r="7" spans="1:77" x14ac:dyDescent="0.3">
      <c r="A7" t="s">
        <v>8</v>
      </c>
      <c r="B7" s="8">
        <f>summary!C23</f>
        <v>7.5999999999999998E-2</v>
      </c>
      <c r="D7" s="15">
        <f t="shared" si="20"/>
        <v>4</v>
      </c>
      <c r="E7" s="30">
        <f t="shared" si="0"/>
        <v>8.4727967098662385E-2</v>
      </c>
      <c r="F7" s="34">
        <f t="shared" si="1"/>
        <v>8.5389442411299712E-2</v>
      </c>
      <c r="G7" s="36">
        <f t="shared" si="2"/>
        <v>8.6139069107758898E-2</v>
      </c>
      <c r="H7" s="38">
        <f t="shared" si="3"/>
        <v>8.7864843809456084E-2</v>
      </c>
      <c r="V7" s="15">
        <f t="shared" si="21"/>
        <v>4</v>
      </c>
      <c r="W7" s="44">
        <f t="shared" si="4"/>
        <v>7.6747912665445686E-2</v>
      </c>
      <c r="X7" s="34">
        <f t="shared" si="5"/>
        <v>7.6886011463768E-2</v>
      </c>
      <c r="Y7" s="36">
        <f t="shared" si="6"/>
        <v>7.7061248894762222E-2</v>
      </c>
      <c r="Z7" s="38">
        <f t="shared" si="7"/>
        <v>7.7548593798189472E-2</v>
      </c>
      <c r="AM7" s="15">
        <f t="shared" si="22"/>
        <v>4</v>
      </c>
      <c r="AN7" s="44">
        <f t="shared" si="8"/>
        <v>9.8434946348301036E-2</v>
      </c>
      <c r="AO7" s="34">
        <f t="shared" si="9"/>
        <v>9.8963430903116198E-2</v>
      </c>
      <c r="AP7" s="36">
        <f t="shared" si="10"/>
        <v>9.9524070882354432E-2</v>
      </c>
      <c r="AQ7" s="38">
        <f t="shared" si="11"/>
        <v>0.10068580137611866</v>
      </c>
      <c r="BD7" s="15">
        <f t="shared" si="23"/>
        <v>4</v>
      </c>
      <c r="BE7" s="44">
        <f t="shared" si="12"/>
        <v>8.0690159470811137E-2</v>
      </c>
      <c r="BF7" s="34">
        <f t="shared" si="13"/>
        <v>8.1076907574404194E-2</v>
      </c>
      <c r="BG7" s="36">
        <f t="shared" si="14"/>
        <v>8.1521606535138236E-2</v>
      </c>
      <c r="BH7" s="38">
        <f t="shared" si="15"/>
        <v>8.2573058372967648E-2</v>
      </c>
      <c r="BU7" s="15">
        <f t="shared" si="24"/>
        <v>4</v>
      </c>
      <c r="BV7" s="44">
        <f t="shared" si="16"/>
        <v>9.1196847617764754E-2</v>
      </c>
      <c r="BW7" s="34">
        <f t="shared" si="17"/>
        <v>9.2164399067675096E-2</v>
      </c>
      <c r="BX7" s="36">
        <f t="shared" si="18"/>
        <v>9.3229521397628579E-2</v>
      </c>
      <c r="BY7" s="38">
        <f t="shared" si="19"/>
        <v>9.5554935194011315E-2</v>
      </c>
    </row>
    <row r="8" spans="1:77" x14ac:dyDescent="0.3">
      <c r="A8" t="s">
        <v>9</v>
      </c>
      <c r="B8" s="8">
        <f>summary!C24</f>
        <v>0.10972044717744713</v>
      </c>
      <c r="D8" s="15">
        <f t="shared" si="20"/>
        <v>5</v>
      </c>
      <c r="E8" s="30">
        <f t="shared" si="0"/>
        <v>8.6531108580149993E-2</v>
      </c>
      <c r="F8" s="34">
        <f t="shared" si="1"/>
        <v>8.7295742958546446E-2</v>
      </c>
      <c r="G8" s="36">
        <f t="shared" si="2"/>
        <v>8.8156009134473523E-2</v>
      </c>
      <c r="H8" s="38">
        <f t="shared" si="3"/>
        <v>9.0110330874149852E-2</v>
      </c>
      <c r="V8" s="15">
        <f t="shared" si="21"/>
        <v>5</v>
      </c>
      <c r="W8" s="44">
        <f t="shared" si="4"/>
        <v>7.6932284357243849E-2</v>
      </c>
      <c r="X8" s="34">
        <f t="shared" si="5"/>
        <v>7.7103852636919656E-2</v>
      </c>
      <c r="Y8" s="36">
        <f t="shared" si="6"/>
        <v>7.7321300796091799E-2</v>
      </c>
      <c r="Z8" s="38">
        <f t="shared" si="7"/>
        <v>7.7924499793686208E-2</v>
      </c>
      <c r="AM8" s="15">
        <f t="shared" si="22"/>
        <v>5</v>
      </c>
      <c r="AN8" s="44">
        <f t="shared" si="8"/>
        <v>0.10113668424075684</v>
      </c>
      <c r="AO8" s="34">
        <f t="shared" si="9"/>
        <v>0.1016361652449049</v>
      </c>
      <c r="AP8" s="36">
        <f t="shared" si="10"/>
        <v>0.10215936449922246</v>
      </c>
      <c r="AQ8" s="38">
        <f t="shared" si="11"/>
        <v>0.10322041386571271</v>
      </c>
      <c r="BD8" s="15">
        <f t="shared" si="23"/>
        <v>5</v>
      </c>
      <c r="BE8" s="44">
        <f t="shared" si="12"/>
        <v>8.1756991252792649E-2</v>
      </c>
      <c r="BF8" s="34">
        <f t="shared" si="13"/>
        <v>8.2221882595212722E-2</v>
      </c>
      <c r="BG8" s="36">
        <f t="shared" si="14"/>
        <v>8.2754496537066902E-2</v>
      </c>
      <c r="BH8" s="38">
        <f t="shared" si="15"/>
        <v>8.4005434228803091E-2</v>
      </c>
      <c r="BU8" s="15">
        <f t="shared" si="24"/>
        <v>5</v>
      </c>
      <c r="BV8" s="44">
        <f t="shared" si="16"/>
        <v>9.3773285452387056E-2</v>
      </c>
      <c r="BW8" s="34">
        <f t="shared" si="17"/>
        <v>9.4807615308434748E-2</v>
      </c>
      <c r="BX8" s="36">
        <f t="shared" si="18"/>
        <v>9.5929853426950706E-2</v>
      </c>
      <c r="BY8" s="38">
        <f t="shared" si="19"/>
        <v>9.831618971297186E-2</v>
      </c>
    </row>
    <row r="9" spans="1:77" x14ac:dyDescent="0.3">
      <c r="D9" s="15">
        <f t="shared" si="20"/>
        <v>6</v>
      </c>
      <c r="E9" s="30">
        <f t="shared" si="0"/>
        <v>8.8204158162313792E-2</v>
      </c>
      <c r="F9" s="34">
        <f t="shared" si="1"/>
        <v>8.9052687496398553E-2</v>
      </c>
      <c r="G9" s="36">
        <f t="shared" si="2"/>
        <v>9.0000438162919028E-2</v>
      </c>
      <c r="H9" s="38">
        <f t="shared" si="3"/>
        <v>9.2125112244161617E-2</v>
      </c>
      <c r="V9" s="15">
        <f t="shared" si="21"/>
        <v>6</v>
      </c>
      <c r="W9" s="44">
        <f t="shared" si="4"/>
        <v>7.7115625102490898E-2</v>
      </c>
      <c r="X9" s="34">
        <f t="shared" si="5"/>
        <v>7.7320248535447611E-2</v>
      </c>
      <c r="Y9" s="36">
        <f t="shared" si="6"/>
        <v>7.7579282009990536E-2</v>
      </c>
      <c r="Z9" s="38">
        <f t="shared" si="7"/>
        <v>7.8296013585980179E-2</v>
      </c>
      <c r="AM9" s="15">
        <f t="shared" si="22"/>
        <v>6</v>
      </c>
      <c r="AN9" s="44">
        <f t="shared" si="8"/>
        <v>0.10319162871659437</v>
      </c>
      <c r="AO9" s="34">
        <f t="shared" si="9"/>
        <v>0.10364482056332884</v>
      </c>
      <c r="AP9" s="36">
        <f t="shared" si="10"/>
        <v>0.10411355610042167</v>
      </c>
      <c r="AQ9" s="38">
        <f t="shared" si="11"/>
        <v>0.10504395692174229</v>
      </c>
      <c r="BD9" s="15">
        <f t="shared" si="23"/>
        <v>6</v>
      </c>
      <c r="BE9" s="44">
        <f t="shared" si="12"/>
        <v>8.2784618116705566E-2</v>
      </c>
      <c r="BF9" s="34">
        <f t="shared" si="13"/>
        <v>8.3321089257206535E-2</v>
      </c>
      <c r="BG9" s="36">
        <f t="shared" si="14"/>
        <v>8.3933482984018384E-2</v>
      </c>
      <c r="BH9" s="38">
        <f t="shared" si="15"/>
        <v>8.5362233733367446E-2</v>
      </c>
      <c r="BU9" s="15">
        <f t="shared" si="24"/>
        <v>6</v>
      </c>
      <c r="BV9" s="44">
        <f t="shared" si="16"/>
        <v>9.599136788776387E-2</v>
      </c>
      <c r="BW9" s="34">
        <f t="shared" si="17"/>
        <v>9.7052872278877364E-2</v>
      </c>
      <c r="BX9" s="36">
        <f t="shared" si="18"/>
        <v>9.8188015431015283E-2</v>
      </c>
      <c r="BY9" s="38">
        <f t="shared" si="19"/>
        <v>0.10053919848921618</v>
      </c>
    </row>
    <row r="10" spans="1:77" x14ac:dyDescent="0.3">
      <c r="D10" s="15">
        <f t="shared" si="20"/>
        <v>7</v>
      </c>
      <c r="E10" s="30">
        <f t="shared" si="0"/>
        <v>8.975650163237206E-2</v>
      </c>
      <c r="F10" s="34">
        <f t="shared" si="1"/>
        <v>9.0671977861470701E-2</v>
      </c>
      <c r="G10" s="36">
        <f t="shared" si="2"/>
        <v>9.168711123991366E-2</v>
      </c>
      <c r="H10" s="38">
        <f t="shared" si="3"/>
        <v>9.3932891069865992E-2</v>
      </c>
      <c r="V10" s="15">
        <f t="shared" si="21"/>
        <v>7</v>
      </c>
      <c r="W10" s="44">
        <f t="shared" si="4"/>
        <v>7.729794066590473E-2</v>
      </c>
      <c r="X10" s="34">
        <f t="shared" si="5"/>
        <v>7.7535208748075207E-2</v>
      </c>
      <c r="Y10" s="36">
        <f t="shared" si="6"/>
        <v>7.783520902449953E-2</v>
      </c>
      <c r="Z10" s="38">
        <f t="shared" si="7"/>
        <v>7.8663186494947163E-2</v>
      </c>
      <c r="AM10" s="15">
        <f t="shared" si="22"/>
        <v>7</v>
      </c>
      <c r="AN10" s="44">
        <f t="shared" si="8"/>
        <v>0.10475462148897499</v>
      </c>
      <c r="AO10" s="34">
        <f t="shared" si="9"/>
        <v>0.10515439677715208</v>
      </c>
      <c r="AP10" s="36">
        <f t="shared" si="10"/>
        <v>0.10556267918475416</v>
      </c>
      <c r="AQ10" s="38">
        <f t="shared" si="11"/>
        <v>0.10635591655693147</v>
      </c>
      <c r="BD10" s="15">
        <f t="shared" si="23"/>
        <v>7</v>
      </c>
      <c r="BE10" s="44">
        <f t="shared" si="12"/>
        <v>8.3774480801030643E-2</v>
      </c>
      <c r="BF10" s="34">
        <f t="shared" si="13"/>
        <v>8.4376357069877561E-2</v>
      </c>
      <c r="BG10" s="36">
        <f t="shared" si="14"/>
        <v>8.5060922609549311E-2</v>
      </c>
      <c r="BH10" s="38">
        <f t="shared" si="15"/>
        <v>8.6647444516617031E-2</v>
      </c>
      <c r="BU10" s="15">
        <f t="shared" si="24"/>
        <v>7</v>
      </c>
      <c r="BV10" s="44">
        <f t="shared" si="16"/>
        <v>9.7900938390111519E-2</v>
      </c>
      <c r="BW10" s="34">
        <f t="shared" si="17"/>
        <v>9.8960086219826951E-2</v>
      </c>
      <c r="BX10" s="36">
        <f t="shared" si="18"/>
        <v>0.10007641122132148</v>
      </c>
      <c r="BY10" s="38">
        <f t="shared" si="19"/>
        <v>0.10232888067364573</v>
      </c>
    </row>
    <row r="11" spans="1:77" x14ac:dyDescent="0.3">
      <c r="D11" s="15">
        <f t="shared" si="20"/>
        <v>8</v>
      </c>
      <c r="E11" s="30">
        <f t="shared" si="0"/>
        <v>9.1196847617764754E-2</v>
      </c>
      <c r="F11" s="34">
        <f t="shared" si="1"/>
        <v>9.2164399067675096E-2</v>
      </c>
      <c r="G11" s="36">
        <f t="shared" si="2"/>
        <v>9.3229521397628579E-2</v>
      </c>
      <c r="H11" s="38">
        <f t="shared" si="3"/>
        <v>9.5554935194011315E-2</v>
      </c>
      <c r="V11" s="15">
        <f t="shared" si="21"/>
        <v>8</v>
      </c>
      <c r="W11" s="44">
        <f t="shared" si="4"/>
        <v>7.7479236779968819E-2</v>
      </c>
      <c r="X11" s="34">
        <f t="shared" si="5"/>
        <v>7.7748742799909065E-2</v>
      </c>
      <c r="Y11" s="36">
        <f t="shared" si="6"/>
        <v>7.8089098196372331E-2</v>
      </c>
      <c r="Z11" s="38">
        <f t="shared" si="7"/>
        <v>7.9026069240825378E-2</v>
      </c>
      <c r="AM11" s="15">
        <f t="shared" si="22"/>
        <v>8</v>
      </c>
      <c r="AN11" s="44">
        <f t="shared" si="8"/>
        <v>0.1059434353159366</v>
      </c>
      <c r="AO11" s="34">
        <f t="shared" si="9"/>
        <v>0.10628889721853639</v>
      </c>
      <c r="AP11" s="36">
        <f t="shared" si="10"/>
        <v>0.10663727069986285</v>
      </c>
      <c r="AQ11" s="38">
        <f t="shared" si="11"/>
        <v>0.10729981425031161</v>
      </c>
      <c r="BD11" s="15">
        <f t="shared" si="23"/>
        <v>8</v>
      </c>
      <c r="BE11" s="44">
        <f t="shared" si="12"/>
        <v>8.4727967098662385E-2</v>
      </c>
      <c r="BF11" s="34">
        <f t="shared" si="13"/>
        <v>8.5389442411299712E-2</v>
      </c>
      <c r="BG11" s="36">
        <f t="shared" si="14"/>
        <v>8.6139069107758898E-2</v>
      </c>
      <c r="BH11" s="38">
        <f t="shared" si="15"/>
        <v>8.7864843809456084E-2</v>
      </c>
      <c r="BU11" s="15">
        <f t="shared" si="24"/>
        <v>8</v>
      </c>
      <c r="BV11" s="44">
        <f t="shared" si="16"/>
        <v>9.9544907723837728E-2</v>
      </c>
      <c r="BW11" s="34">
        <f t="shared" si="17"/>
        <v>0.10058015245920952</v>
      </c>
      <c r="BX11" s="36">
        <f t="shared" si="18"/>
        <v>0.1016555887357901</v>
      </c>
      <c r="BY11" s="38">
        <f t="shared" si="19"/>
        <v>0.10376970373988471</v>
      </c>
    </row>
    <row r="12" spans="1:77" x14ac:dyDescent="0.3">
      <c r="D12" s="15">
        <f t="shared" si="20"/>
        <v>9</v>
      </c>
      <c r="E12" s="30">
        <f t="shared" si="0"/>
        <v>9.2533276441444462E-2</v>
      </c>
      <c r="F12" s="34">
        <f t="shared" si="1"/>
        <v>9.3539891138011311E-2</v>
      </c>
      <c r="G12" s="36">
        <f t="shared" si="2"/>
        <v>9.4640007595025596E-2</v>
      </c>
      <c r="H12" s="38">
        <f t="shared" si="3"/>
        <v>9.7010327359946913E-2</v>
      </c>
      <c r="V12" s="15">
        <f t="shared" si="21"/>
        <v>9</v>
      </c>
      <c r="W12" s="44">
        <f t="shared" si="4"/>
        <v>7.765951914511246E-2</v>
      </c>
      <c r="X12" s="34">
        <f t="shared" si="5"/>
        <v>7.7960860152861133E-2</v>
      </c>
      <c r="Y12" s="36">
        <f t="shared" si="6"/>
        <v>7.8340965752120295E-2</v>
      </c>
      <c r="Z12" s="38">
        <f t="shared" si="7"/>
        <v>7.9384711951221959E-2</v>
      </c>
      <c r="AM12" s="15">
        <f t="shared" si="22"/>
        <v>9</v>
      </c>
      <c r="AN12" s="44">
        <f t="shared" si="8"/>
        <v>0.10684764827209922</v>
      </c>
      <c r="AO12" s="34">
        <f t="shared" si="9"/>
        <v>0.10714151482055957</v>
      </c>
      <c r="AP12" s="36">
        <f t="shared" si="10"/>
        <v>0.10743412980508889</v>
      </c>
      <c r="AQ12" s="38">
        <f t="shared" si="11"/>
        <v>0.10797890744165047</v>
      </c>
      <c r="BD12" s="15">
        <f t="shared" si="23"/>
        <v>9</v>
      </c>
      <c r="BE12" s="44">
        <f t="shared" si="12"/>
        <v>8.5646413802602295E-2</v>
      </c>
      <c r="BF12" s="34">
        <f t="shared" si="13"/>
        <v>8.63620314514284E-2</v>
      </c>
      <c r="BG12" s="36">
        <f t="shared" si="14"/>
        <v>8.7170077638308127E-2</v>
      </c>
      <c r="BH12" s="38">
        <f t="shared" si="15"/>
        <v>8.9018009545007798E-2</v>
      </c>
      <c r="BU12" s="15">
        <f t="shared" si="24"/>
        <v>9</v>
      </c>
      <c r="BV12" s="44">
        <f t="shared" si="16"/>
        <v>0.10096021821743278</v>
      </c>
      <c r="BW12" s="34">
        <f t="shared" si="17"/>
        <v>0.10195630358920828</v>
      </c>
      <c r="BX12" s="36">
        <f t="shared" si="18"/>
        <v>0.10297618139703456</v>
      </c>
      <c r="BY12" s="38">
        <f t="shared" si="19"/>
        <v>0.10492967008824952</v>
      </c>
    </row>
    <row r="13" spans="1:77" x14ac:dyDescent="0.3">
      <c r="D13" s="15">
        <f t="shared" si="20"/>
        <v>10</v>
      </c>
      <c r="E13" s="39">
        <f t="shared" si="0"/>
        <v>9.3773285452387056E-2</v>
      </c>
      <c r="F13" s="40">
        <f t="shared" si="1"/>
        <v>9.4807615308434748E-2</v>
      </c>
      <c r="G13" s="41">
        <f t="shared" si="2"/>
        <v>9.5929853426950706E-2</v>
      </c>
      <c r="H13" s="42">
        <f t="shared" si="3"/>
        <v>9.831618971297186E-2</v>
      </c>
      <c r="V13" s="15">
        <f t="shared" si="21"/>
        <v>10</v>
      </c>
      <c r="W13" s="44">
        <f t="shared" si="4"/>
        <v>7.783879342988996E-2</v>
      </c>
      <c r="X13" s="34">
        <f t="shared" si="5"/>
        <v>7.8171570206068047E-2</v>
      </c>
      <c r="Y13" s="36">
        <f t="shared" si="6"/>
        <v>7.8590827789049675E-2</v>
      </c>
      <c r="Z13" s="38">
        <f t="shared" si="7"/>
        <v>7.9739164168037405E-2</v>
      </c>
      <c r="AM13" s="15">
        <f t="shared" si="22"/>
        <v>10</v>
      </c>
      <c r="AN13" s="44">
        <f t="shared" si="8"/>
        <v>0.10753539352837876</v>
      </c>
      <c r="AO13" s="34">
        <f t="shared" si="9"/>
        <v>0.10778228740094986</v>
      </c>
      <c r="AP13" s="36">
        <f t="shared" si="10"/>
        <v>0.10802503753575099</v>
      </c>
      <c r="AQ13" s="38">
        <f t="shared" si="11"/>
        <v>0.10846748535190186</v>
      </c>
      <c r="BD13" s="15">
        <f t="shared" si="23"/>
        <v>10</v>
      </c>
      <c r="BE13" s="44">
        <f t="shared" si="12"/>
        <v>8.6531108580149993E-2</v>
      </c>
      <c r="BF13" s="34">
        <f t="shared" si="13"/>
        <v>8.7295742958546446E-2</v>
      </c>
      <c r="BG13" s="36">
        <f t="shared" si="14"/>
        <v>8.8156009134473523E-2</v>
      </c>
      <c r="BH13" s="38">
        <f t="shared" si="15"/>
        <v>9.0110330874149852E-2</v>
      </c>
      <c r="BU13" s="15">
        <f t="shared" si="24"/>
        <v>10</v>
      </c>
      <c r="BV13" s="44">
        <f t="shared" si="16"/>
        <v>0.10217867391011899</v>
      </c>
      <c r="BW13" s="34">
        <f t="shared" si="17"/>
        <v>0.10312526315799642</v>
      </c>
      <c r="BX13" s="36">
        <f t="shared" si="18"/>
        <v>0.10408053157993313</v>
      </c>
      <c r="BY13" s="38">
        <f t="shared" si="19"/>
        <v>0.10586352654909245</v>
      </c>
    </row>
    <row r="14" spans="1:77" x14ac:dyDescent="0.3">
      <c r="D14" s="15">
        <f t="shared" si="20"/>
        <v>11</v>
      </c>
      <c r="E14" s="30">
        <f t="shared" si="0"/>
        <v>9.4923831085625604E-2</v>
      </c>
      <c r="F14" s="34">
        <f t="shared" si="1"/>
        <v>9.5976015044743623E-2</v>
      </c>
      <c r="G14" s="36">
        <f t="shared" si="2"/>
        <v>9.7109377390534934E-2</v>
      </c>
      <c r="H14" s="38">
        <f t="shared" si="3"/>
        <v>9.9487885235979998E-2</v>
      </c>
      <c r="V14" s="15">
        <f t="shared" si="21"/>
        <v>11</v>
      </c>
      <c r="W14" s="44">
        <f t="shared" si="4"/>
        <v>7.8017065271158953E-2</v>
      </c>
      <c r="X14" s="34">
        <f t="shared" si="5"/>
        <v>7.8380882296307464E-2</v>
      </c>
      <c r="Y14" s="36">
        <f t="shared" si="6"/>
        <v>7.8838700276290447E-2</v>
      </c>
      <c r="Z14" s="38">
        <f t="shared" si="7"/>
        <v>8.0089474854309145E-2</v>
      </c>
      <c r="AM14" s="15">
        <f t="shared" si="22"/>
        <v>11</v>
      </c>
      <c r="AN14" s="44">
        <f t="shared" si="8"/>
        <v>0.10805849324101982</v>
      </c>
      <c r="AO14" s="34">
        <f t="shared" si="9"/>
        <v>0.10826385088123194</v>
      </c>
      <c r="AP14" s="36">
        <f t="shared" si="10"/>
        <v>0.10846322283584517</v>
      </c>
      <c r="AQ14" s="38">
        <f t="shared" si="11"/>
        <v>0.10881899583298177</v>
      </c>
      <c r="BD14" s="15">
        <f t="shared" si="23"/>
        <v>11</v>
      </c>
      <c r="BE14" s="44">
        <f t="shared" si="12"/>
        <v>8.7383291778219768E-2</v>
      </c>
      <c r="BF14" s="34">
        <f t="shared" si="13"/>
        <v>8.8192130993527046E-2</v>
      </c>
      <c r="BG14" s="36">
        <f t="shared" si="14"/>
        <v>8.9098834422847356E-2</v>
      </c>
      <c r="BH14" s="38">
        <f t="shared" si="15"/>
        <v>9.1145018126219321E-2</v>
      </c>
      <c r="BU14" s="15">
        <f t="shared" si="24"/>
        <v>11</v>
      </c>
      <c r="BV14" s="44">
        <f t="shared" si="16"/>
        <v>0.10322765523383426</v>
      </c>
      <c r="BW14" s="34">
        <f t="shared" si="17"/>
        <v>0.10411822566311209</v>
      </c>
      <c r="BX14" s="36">
        <f t="shared" si="18"/>
        <v>0.10500404824200424</v>
      </c>
      <c r="BY14" s="38">
        <f t="shared" si="19"/>
        <v>0.10661534826416846</v>
      </c>
    </row>
    <row r="15" spans="1:77" x14ac:dyDescent="0.3">
      <c r="D15" s="15">
        <f t="shared" si="20"/>
        <v>12</v>
      </c>
      <c r="E15" s="30">
        <f t="shared" si="0"/>
        <v>9.599136788776387E-2</v>
      </c>
      <c r="F15" s="34">
        <f t="shared" si="1"/>
        <v>9.7052872278877364E-2</v>
      </c>
      <c r="G15" s="36">
        <f t="shared" si="2"/>
        <v>9.8188015431015283E-2</v>
      </c>
      <c r="H15" s="38">
        <f t="shared" si="3"/>
        <v>0.10053919848921618</v>
      </c>
      <c r="V15" s="15">
        <f t="shared" si="21"/>
        <v>12</v>
      </c>
      <c r="W15" s="44">
        <f t="shared" si="4"/>
        <v>7.8194340274257618E-2</v>
      </c>
      <c r="X15" s="34">
        <f t="shared" si="5"/>
        <v>7.8588805698411979E-2</v>
      </c>
      <c r="Y15" s="36">
        <f t="shared" si="6"/>
        <v>7.9084599055816898E-2</v>
      </c>
      <c r="Z15" s="38">
        <f t="shared" si="7"/>
        <v>8.0435692400975145E-2</v>
      </c>
      <c r="AM15" s="15">
        <f t="shared" si="22"/>
        <v>12</v>
      </c>
      <c r="AN15" s="44">
        <f t="shared" si="8"/>
        <v>0.10845636339260098</v>
      </c>
      <c r="AO15" s="34">
        <f t="shared" si="9"/>
        <v>0.10862576303639959</v>
      </c>
      <c r="AP15" s="36">
        <f t="shared" si="10"/>
        <v>0.10878815741912347</v>
      </c>
      <c r="AQ15" s="38">
        <f t="shared" si="11"/>
        <v>0.10907189228146315</v>
      </c>
      <c r="BD15" s="15">
        <f t="shared" si="23"/>
        <v>12</v>
      </c>
      <c r="BE15" s="44">
        <f t="shared" si="12"/>
        <v>8.8204158162313792E-2</v>
      </c>
      <c r="BF15" s="34">
        <f t="shared" si="13"/>
        <v>8.9052687496398553E-2</v>
      </c>
      <c r="BG15" s="36">
        <f t="shared" si="14"/>
        <v>9.0000438162919028E-2</v>
      </c>
      <c r="BH15" s="38">
        <f t="shared" si="15"/>
        <v>9.2125112244161617E-2</v>
      </c>
      <c r="BU15" s="15">
        <f t="shared" si="24"/>
        <v>12</v>
      </c>
      <c r="BV15" s="44">
        <f t="shared" si="16"/>
        <v>0.10413073429046994</v>
      </c>
      <c r="BW15" s="34">
        <f t="shared" si="17"/>
        <v>0.10496168899827926</v>
      </c>
      <c r="BX15" s="36">
        <f t="shared" si="18"/>
        <v>0.10577634224650599</v>
      </c>
      <c r="BY15" s="38">
        <f t="shared" si="19"/>
        <v>0.10722061889724802</v>
      </c>
    </row>
    <row r="16" spans="1:77" x14ac:dyDescent="0.3">
      <c r="D16" s="15">
        <f t="shared" si="20"/>
        <v>13</v>
      </c>
      <c r="E16" s="30">
        <f t="shared" si="0"/>
        <v>9.6981884726901987E-2</v>
      </c>
      <c r="F16" s="34">
        <f t="shared" si="1"/>
        <v>9.8045359239178759E-2</v>
      </c>
      <c r="G16" s="36">
        <f t="shared" si="2"/>
        <v>9.9174396427324896E-2</v>
      </c>
      <c r="H16" s="38">
        <f t="shared" si="3"/>
        <v>0.10148249778047955</v>
      </c>
      <c r="V16" s="15">
        <f t="shared" si="21"/>
        <v>13</v>
      </c>
      <c r="W16" s="44">
        <f t="shared" si="4"/>
        <v>7.8370624013180845E-2</v>
      </c>
      <c r="X16" s="34">
        <f t="shared" si="5"/>
        <v>7.8795349625679897E-2</v>
      </c>
      <c r="Y16" s="36">
        <f t="shared" si="6"/>
        <v>7.9328539843460111E-2</v>
      </c>
      <c r="Z16" s="38">
        <f t="shared" si="7"/>
        <v>8.0777864633558571E-2</v>
      </c>
      <c r="AM16" s="15">
        <f t="shared" si="22"/>
        <v>13</v>
      </c>
      <c r="AN16" s="44">
        <f t="shared" si="8"/>
        <v>0.10875898381791145</v>
      </c>
      <c r="AO16" s="34">
        <f t="shared" si="9"/>
        <v>0.10889775294722374</v>
      </c>
      <c r="AP16" s="36">
        <f t="shared" si="10"/>
        <v>0.10902911137944016</v>
      </c>
      <c r="AQ16" s="38">
        <f t="shared" si="11"/>
        <v>0.10925384023777447</v>
      </c>
      <c r="BD16" s="15">
        <f t="shared" si="23"/>
        <v>13</v>
      </c>
      <c r="BE16" s="44">
        <f t="shared" si="12"/>
        <v>8.8994858591589815E-2</v>
      </c>
      <c r="BF16" s="34">
        <f t="shared" si="13"/>
        <v>8.9878844769515742E-2</v>
      </c>
      <c r="BG16" s="36">
        <f t="shared" si="14"/>
        <v>9.0862622614412997E-2</v>
      </c>
      <c r="BH16" s="38">
        <f t="shared" si="15"/>
        <v>9.3053493721853398E-2</v>
      </c>
      <c r="BU16" s="15">
        <f t="shared" si="24"/>
        <v>13</v>
      </c>
      <c r="BV16" s="44">
        <f t="shared" si="16"/>
        <v>0.10490820455051754</v>
      </c>
      <c r="BW16" s="34">
        <f t="shared" si="17"/>
        <v>0.10567816156809541</v>
      </c>
      <c r="BX16" s="36">
        <f t="shared" si="18"/>
        <v>0.10642217578030684</v>
      </c>
      <c r="BY16" s="38">
        <f t="shared" si="19"/>
        <v>0.10770790535349448</v>
      </c>
    </row>
    <row r="17" spans="4:82" x14ac:dyDescent="0.3">
      <c r="D17" s="15">
        <f t="shared" si="20"/>
        <v>14</v>
      </c>
      <c r="E17" s="30">
        <f t="shared" si="0"/>
        <v>9.7900938390111519E-2</v>
      </c>
      <c r="F17" s="34">
        <f t="shared" si="1"/>
        <v>9.8960086219826951E-2</v>
      </c>
      <c r="G17" s="36">
        <f t="shared" si="2"/>
        <v>0.10007641122132148</v>
      </c>
      <c r="H17" s="38">
        <f t="shared" si="3"/>
        <v>0.10232888067364573</v>
      </c>
      <c r="V17" s="15">
        <f t="shared" si="21"/>
        <v>14</v>
      </c>
      <c r="W17" s="44">
        <f t="shared" si="4"/>
        <v>7.8545922030755597E-2</v>
      </c>
      <c r="X17" s="34">
        <f t="shared" si="5"/>
        <v>7.900052323028367E-2</v>
      </c>
      <c r="Y17" s="36">
        <f t="shared" si="6"/>
        <v>7.9570538229912419E-2</v>
      </c>
      <c r="Z17" s="38">
        <f t="shared" si="7"/>
        <v>8.1116038818774175E-2</v>
      </c>
      <c r="AM17" s="15">
        <f t="shared" si="22"/>
        <v>14</v>
      </c>
      <c r="AN17" s="44">
        <f t="shared" si="8"/>
        <v>0.10898915720852932</v>
      </c>
      <c r="AO17" s="34">
        <f t="shared" si="9"/>
        <v>0.10910216307972084</v>
      </c>
      <c r="AP17" s="36">
        <f t="shared" si="10"/>
        <v>0.10920778983959829</v>
      </c>
      <c r="AQ17" s="38">
        <f t="shared" si="11"/>
        <v>0.1093847438507143</v>
      </c>
      <c r="BD17" s="15">
        <f t="shared" si="23"/>
        <v>14</v>
      </c>
      <c r="BE17" s="44">
        <f t="shared" si="12"/>
        <v>8.975650163237206E-2</v>
      </c>
      <c r="BF17" s="34">
        <f t="shared" si="13"/>
        <v>9.0671977861470701E-2</v>
      </c>
      <c r="BG17" s="36">
        <f t="shared" si="14"/>
        <v>9.168711123991366E-2</v>
      </c>
      <c r="BH17" s="38">
        <f t="shared" si="15"/>
        <v>9.3932891069865992E-2</v>
      </c>
      <c r="BU17" s="15">
        <f t="shared" si="24"/>
        <v>14</v>
      </c>
      <c r="BV17" s="44">
        <f t="shared" si="16"/>
        <v>0.10557753687620598</v>
      </c>
      <c r="BW17" s="34">
        <f t="shared" si="17"/>
        <v>0.10628676294043274</v>
      </c>
      <c r="BX17" s="36">
        <f t="shared" si="18"/>
        <v>0.10696225630786549</v>
      </c>
      <c r="BY17" s="38">
        <f t="shared" si="19"/>
        <v>0.10810020604919009</v>
      </c>
    </row>
    <row r="18" spans="4:82" x14ac:dyDescent="0.3">
      <c r="D18" s="15">
        <f t="shared" si="20"/>
        <v>15</v>
      </c>
      <c r="E18" s="30">
        <f t="shared" si="0"/>
        <v>9.8753684756941407E-2</v>
      </c>
      <c r="F18" s="34">
        <f t="shared" si="1"/>
        <v>9.980314560760134E-2</v>
      </c>
      <c r="G18" s="36">
        <f t="shared" si="2"/>
        <v>0.10090127574287325</v>
      </c>
      <c r="H18" s="38">
        <f t="shared" si="3"/>
        <v>0.10308830454736126</v>
      </c>
      <c r="V18" s="15">
        <f t="shared" si="21"/>
        <v>15</v>
      </c>
      <c r="W18" s="44">
        <f t="shared" si="4"/>
        <v>7.872023983881514E-2</v>
      </c>
      <c r="X18" s="34">
        <f t="shared" si="5"/>
        <v>7.9204335603675291E-2</v>
      </c>
      <c r="Y18" s="36">
        <f t="shared" si="6"/>
        <v>7.9810609681723793E-2</v>
      </c>
      <c r="Z18" s="38">
        <f t="shared" si="7"/>
        <v>8.1450261671057678E-2</v>
      </c>
      <c r="AM18" s="15">
        <f t="shared" si="22"/>
        <v>15</v>
      </c>
      <c r="AN18" s="44">
        <f t="shared" si="8"/>
        <v>0.10916422731390696</v>
      </c>
      <c r="AO18" s="34">
        <f t="shared" si="9"/>
        <v>0.10925578459509572</v>
      </c>
      <c r="AP18" s="36">
        <f t="shared" si="10"/>
        <v>0.1093402881479163</v>
      </c>
      <c r="AQ18" s="38">
        <f t="shared" si="11"/>
        <v>0.10947892328657112</v>
      </c>
      <c r="BD18" s="15">
        <f t="shared" si="23"/>
        <v>15</v>
      </c>
      <c r="BE18" s="44">
        <f t="shared" si="12"/>
        <v>9.0490155112367215E-2</v>
      </c>
      <c r="BF18" s="34">
        <f t="shared" si="13"/>
        <v>9.1433406855711122E-2</v>
      </c>
      <c r="BG18" s="36">
        <f t="shared" si="14"/>
        <v>9.2475552149978879E-2</v>
      </c>
      <c r="BH18" s="38">
        <f t="shared" si="15"/>
        <v>9.4765888834550269E-2</v>
      </c>
      <c r="BU18" s="15">
        <f t="shared" si="24"/>
        <v>15</v>
      </c>
      <c r="BV18" s="44">
        <f t="shared" si="16"/>
        <v>0.10615377211661771</v>
      </c>
      <c r="BW18" s="34">
        <f t="shared" si="17"/>
        <v>0.10680373406537885</v>
      </c>
      <c r="BX18" s="36">
        <f t="shared" si="18"/>
        <v>0.10741390051799407</v>
      </c>
      <c r="BY18" s="38">
        <f t="shared" si="19"/>
        <v>0.10841603636597899</v>
      </c>
    </row>
    <row r="19" spans="4:82" x14ac:dyDescent="0.3">
      <c r="D19" s="15">
        <f t="shared" si="20"/>
        <v>16</v>
      </c>
      <c r="E19" s="30">
        <f t="shared" si="0"/>
        <v>9.9544907723837728E-2</v>
      </c>
      <c r="F19" s="34">
        <f t="shared" si="1"/>
        <v>0.10058015245920952</v>
      </c>
      <c r="G19" s="36">
        <f t="shared" si="2"/>
        <v>0.1016555887357901</v>
      </c>
      <c r="H19" s="38">
        <f t="shared" si="3"/>
        <v>0.10376970373988471</v>
      </c>
      <c r="V19" s="15">
        <f t="shared" si="21"/>
        <v>16</v>
      </c>
      <c r="W19" s="44">
        <f t="shared" si="4"/>
        <v>7.8893582918372368E-2</v>
      </c>
      <c r="X19" s="34">
        <f t="shared" si="5"/>
        <v>7.9406795776989239E-2</v>
      </c>
      <c r="Y19" s="36">
        <f t="shared" si="6"/>
        <v>8.0048769542290413E-2</v>
      </c>
      <c r="Z19" s="38">
        <f t="shared" si="7"/>
        <v>8.1780579359018668E-2</v>
      </c>
      <c r="AM19" s="15">
        <f t="shared" si="22"/>
        <v>16</v>
      </c>
      <c r="AN19" s="44">
        <f t="shared" si="8"/>
        <v>0.1092973858067921</v>
      </c>
      <c r="AO19" s="34">
        <f t="shared" si="9"/>
        <v>0.10937123665071437</v>
      </c>
      <c r="AP19" s="36">
        <f t="shared" si="10"/>
        <v>0.1094385417465403</v>
      </c>
      <c r="AQ19" s="38">
        <f t="shared" si="11"/>
        <v>0.10954668127994588</v>
      </c>
      <c r="BD19" s="15">
        <f t="shared" si="23"/>
        <v>16</v>
      </c>
      <c r="BE19" s="44">
        <f t="shared" si="12"/>
        <v>9.1196847617764754E-2</v>
      </c>
      <c r="BF19" s="34">
        <f t="shared" si="13"/>
        <v>9.2164399067675096E-2</v>
      </c>
      <c r="BG19" s="36">
        <f t="shared" si="14"/>
        <v>9.3229521397628579E-2</v>
      </c>
      <c r="BH19" s="38">
        <f t="shared" si="15"/>
        <v>9.5554935194011315E-2</v>
      </c>
      <c r="BU19" s="15">
        <f t="shared" si="24"/>
        <v>16</v>
      </c>
      <c r="BV19" s="44">
        <f t="shared" si="16"/>
        <v>0.10664985909695417</v>
      </c>
      <c r="BW19" s="34">
        <f t="shared" si="17"/>
        <v>0.10724287067626363</v>
      </c>
      <c r="BX19" s="36">
        <f t="shared" si="18"/>
        <v>0.1077915895516364</v>
      </c>
      <c r="BY19" s="38">
        <f t="shared" si="19"/>
        <v>0.10867030251971625</v>
      </c>
    </row>
    <row r="20" spans="4:82" x14ac:dyDescent="0.3">
      <c r="D20" s="15">
        <f>D19+1</f>
        <v>17</v>
      </c>
      <c r="E20" s="30">
        <f t="shared" si="0"/>
        <v>0.10027904604174287</v>
      </c>
      <c r="F20" s="34">
        <f t="shared" si="1"/>
        <v>0.1012962818994378</v>
      </c>
      <c r="G20" s="36">
        <f t="shared" si="2"/>
        <v>0.10234538454639518</v>
      </c>
      <c r="H20" s="38">
        <f t="shared" si="3"/>
        <v>0.10438109465823966</v>
      </c>
      <c r="J20" t="s">
        <v>17</v>
      </c>
      <c r="V20" s="15">
        <f>V19+1</f>
        <v>17</v>
      </c>
      <c r="W20" s="44">
        <f t="shared" si="4"/>
        <v>7.9065956719792135E-2</v>
      </c>
      <c r="X20" s="34">
        <f t="shared" si="5"/>
        <v>7.9607912721442617E-2</v>
      </c>
      <c r="Y20" s="36">
        <f t="shared" si="6"/>
        <v>8.0285033032835171E-2</v>
      </c>
      <c r="Z20" s="38">
        <f t="shared" si="7"/>
        <v>8.2107037511818304E-2</v>
      </c>
      <c r="AB20" t="s">
        <v>17</v>
      </c>
      <c r="AM20" s="15">
        <f>AM19+1</f>
        <v>17</v>
      </c>
      <c r="AN20" s="44">
        <f t="shared" si="8"/>
        <v>0.10939866628634166</v>
      </c>
      <c r="AO20" s="34">
        <f t="shared" si="9"/>
        <v>0.10945800299404881</v>
      </c>
      <c r="AP20" s="36">
        <f t="shared" si="10"/>
        <v>0.10951140131558021</v>
      </c>
      <c r="AQ20" s="38">
        <f t="shared" si="11"/>
        <v>0.10959543019869235</v>
      </c>
      <c r="AS20" t="s">
        <v>17</v>
      </c>
      <c r="BD20" s="15">
        <f>BD19+1</f>
        <v>17</v>
      </c>
      <c r="BE20" s="44">
        <f t="shared" si="12"/>
        <v>9.1877569935320383E-2</v>
      </c>
      <c r="BF20" s="34">
        <f t="shared" si="13"/>
        <v>9.2866171154099286E-2</v>
      </c>
      <c r="BG20" s="36">
        <f t="shared" si="14"/>
        <v>9.3950526128794051E-2</v>
      </c>
      <c r="BH20" s="38">
        <f t="shared" si="15"/>
        <v>9.6302349153296898E-2</v>
      </c>
      <c r="BJ20" t="s">
        <v>17</v>
      </c>
      <c r="BU20" s="15">
        <f>BU19+1</f>
        <v>17</v>
      </c>
      <c r="BV20" s="44">
        <f t="shared" si="16"/>
        <v>0.10707694559705005</v>
      </c>
      <c r="BW20" s="34">
        <f t="shared" si="17"/>
        <v>0.10761589143837966</v>
      </c>
      <c r="BX20" s="36">
        <f t="shared" si="18"/>
        <v>0.10810743331301899</v>
      </c>
      <c r="BY20" s="38">
        <f t="shared" si="19"/>
        <v>0.10887500508783468</v>
      </c>
      <c r="CA20" t="s">
        <v>17</v>
      </c>
    </row>
    <row r="21" spans="4:82" x14ac:dyDescent="0.3">
      <c r="D21" s="15">
        <f t="shared" si="20"/>
        <v>18</v>
      </c>
      <c r="E21" s="30">
        <f t="shared" si="0"/>
        <v>0.10096021821743278</v>
      </c>
      <c r="F21" s="34">
        <f t="shared" si="1"/>
        <v>0.10195630358920828</v>
      </c>
      <c r="G21" s="36">
        <f t="shared" si="2"/>
        <v>0.10297618139703456</v>
      </c>
      <c r="H21" s="38">
        <f t="shared" si="3"/>
        <v>0.10492967008824952</v>
      </c>
      <c r="J21" s="20" t="s">
        <v>11</v>
      </c>
      <c r="K21" s="20" t="s">
        <v>15</v>
      </c>
      <c r="L21" s="21" t="s">
        <v>16</v>
      </c>
      <c r="M21" s="21" t="s">
        <v>21</v>
      </c>
      <c r="V21" s="15">
        <f t="shared" si="21"/>
        <v>18</v>
      </c>
      <c r="W21" s="44">
        <f t="shared" si="4"/>
        <v>7.9237366662962605E-2</v>
      </c>
      <c r="X21" s="34">
        <f t="shared" si="5"/>
        <v>7.980769534873268E-2</v>
      </c>
      <c r="Y21" s="36">
        <f t="shared" si="6"/>
        <v>8.0519415253380619E-2</v>
      </c>
      <c r="Z21" s="38">
        <f t="shared" si="7"/>
        <v>8.242968122547234E-2</v>
      </c>
      <c r="AB21" s="20" t="s">
        <v>11</v>
      </c>
      <c r="AC21" s="20" t="s">
        <v>15</v>
      </c>
      <c r="AD21" s="21" t="s">
        <v>16</v>
      </c>
      <c r="AE21" s="21" t="s">
        <v>21</v>
      </c>
      <c r="AM21" s="15">
        <f t="shared" si="22"/>
        <v>18</v>
      </c>
      <c r="AN21" s="44">
        <f t="shared" si="8"/>
        <v>0.10947570031785957</v>
      </c>
      <c r="AO21" s="34">
        <f t="shared" si="9"/>
        <v>0.10952321100005</v>
      </c>
      <c r="AP21" s="36">
        <f t="shared" si="10"/>
        <v>0.1095654300420088</v>
      </c>
      <c r="AQ21" s="38">
        <f t="shared" si="11"/>
        <v>0.10963050291794789</v>
      </c>
      <c r="AS21" s="20" t="s">
        <v>11</v>
      </c>
      <c r="AT21" s="20" t="s">
        <v>15</v>
      </c>
      <c r="AU21" s="21" t="s">
        <v>16</v>
      </c>
      <c r="AV21" s="21" t="s">
        <v>21</v>
      </c>
      <c r="BD21" s="15">
        <f t="shared" si="23"/>
        <v>18</v>
      </c>
      <c r="BE21" s="44">
        <f t="shared" si="12"/>
        <v>9.2533276441444462E-2</v>
      </c>
      <c r="BF21" s="34">
        <f t="shared" si="13"/>
        <v>9.3539891138011311E-2</v>
      </c>
      <c r="BG21" s="36">
        <f t="shared" si="14"/>
        <v>9.4640007595025596E-2</v>
      </c>
      <c r="BH21" s="38">
        <f t="shared" si="15"/>
        <v>9.7010327359946913E-2</v>
      </c>
      <c r="BJ21" s="20" t="s">
        <v>11</v>
      </c>
      <c r="BK21" s="20" t="s">
        <v>15</v>
      </c>
      <c r="BL21" s="21" t="s">
        <v>16</v>
      </c>
      <c r="BM21" s="21" t="s">
        <v>21</v>
      </c>
      <c r="BU21" s="15">
        <f t="shared" si="24"/>
        <v>18</v>
      </c>
      <c r="BV21" s="44">
        <f t="shared" si="16"/>
        <v>0.10744462885783718</v>
      </c>
      <c r="BW21" s="34">
        <f t="shared" si="17"/>
        <v>0.10793275066970009</v>
      </c>
      <c r="BX21" s="36">
        <f t="shared" si="18"/>
        <v>0.10837155875145776</v>
      </c>
      <c r="BY21" s="38">
        <f t="shared" si="19"/>
        <v>0.1090398053995489</v>
      </c>
      <c r="CA21" s="20" t="s">
        <v>11</v>
      </c>
      <c r="CB21" s="20" t="s">
        <v>15</v>
      </c>
      <c r="CC21" s="21" t="s">
        <v>16</v>
      </c>
      <c r="CD21" s="21" t="s">
        <v>21</v>
      </c>
    </row>
    <row r="22" spans="4:82" x14ac:dyDescent="0.3">
      <c r="D22" s="15">
        <f t="shared" si="20"/>
        <v>19</v>
      </c>
      <c r="E22" s="30">
        <f t="shared" si="0"/>
        <v>0.10159224561828843</v>
      </c>
      <c r="F22" s="34">
        <f t="shared" si="1"/>
        <v>0.10256461349311141</v>
      </c>
      <c r="G22" s="36">
        <f t="shared" si="2"/>
        <v>0.10355302553070295</v>
      </c>
      <c r="H22" s="38">
        <f t="shared" si="3"/>
        <v>0.10542188381497646</v>
      </c>
      <c r="J22" s="22">
        <v>0</v>
      </c>
      <c r="K22" s="43">
        <f>H3</f>
        <v>7.5999999999999998E-2</v>
      </c>
      <c r="L22" s="38">
        <v>7.5999999999999998E-2</v>
      </c>
      <c r="M22" s="19" cm="1">
        <f t="array" ref="M22">SQRT(SUMSQ(K22:K27-L22:L27)/COUNTA(K22:K27-L22:L27))</f>
        <v>1.6086584075511765E-2</v>
      </c>
      <c r="V22" s="15">
        <f t="shared" si="21"/>
        <v>19</v>
      </c>
      <c r="W22" s="44">
        <f t="shared" si="4"/>
        <v>7.9407818137465697E-2</v>
      </c>
      <c r="X22" s="34">
        <f t="shared" si="5"/>
        <v>8.0006152511431741E-2</v>
      </c>
      <c r="Y22" s="36">
        <f t="shared" si="6"/>
        <v>8.0751931183713946E-2</v>
      </c>
      <c r="Z22" s="38">
        <f t="shared" si="7"/>
        <v>8.2748555069080604E-2</v>
      </c>
      <c r="AB22" s="22">
        <v>0</v>
      </c>
      <c r="AC22" s="43">
        <f>Z3</f>
        <v>7.5999999999999998E-2</v>
      </c>
      <c r="AD22" s="38">
        <v>7.5999999999999998E-2</v>
      </c>
      <c r="AE22" s="19" cm="1">
        <f t="array" ref="AE22">SQRT(SUMSQ(AC22:AC27-AD22:AD27)/COUNTA(AC22:AC27-AD22:AD27))</f>
        <v>1.1731643874329031E-2</v>
      </c>
      <c r="AM22" s="15">
        <f t="shared" si="22"/>
        <v>19</v>
      </c>
      <c r="AN22" s="44">
        <f t="shared" si="8"/>
        <v>0.10953429247735856</v>
      </c>
      <c r="AO22" s="34">
        <f t="shared" si="9"/>
        <v>0.10957221714555805</v>
      </c>
      <c r="AP22" s="36">
        <f t="shared" si="10"/>
        <v>0.10960549483127344</v>
      </c>
      <c r="AQ22" s="38">
        <f t="shared" si="11"/>
        <v>0.10965573620860557</v>
      </c>
      <c r="AS22" s="22">
        <v>0</v>
      </c>
      <c r="AT22" s="43">
        <f>AQ3</f>
        <v>7.5999999999999998E-2</v>
      </c>
      <c r="AU22" s="38">
        <v>7.5999999999999998E-2</v>
      </c>
      <c r="AV22" s="19" cm="1">
        <f t="array" ref="AV22">SQRT(SUMSQ(AT22:AT27-AU22:AU27)/COUNTA(AT22:AT27-AU22:AU27))</f>
        <v>1.7573125400572005E-2</v>
      </c>
      <c r="BD22" s="15">
        <f t="shared" si="23"/>
        <v>19</v>
      </c>
      <c r="BE22" s="44">
        <f t="shared" si="12"/>
        <v>9.3164886440243011E-2</v>
      </c>
      <c r="BF22" s="34">
        <f t="shared" si="13"/>
        <v>9.4186680352776456E-2</v>
      </c>
      <c r="BG22" s="36">
        <f t="shared" si="14"/>
        <v>9.5299344034480524E-2</v>
      </c>
      <c r="BH22" s="38">
        <f t="shared" si="15"/>
        <v>9.7680950559934338E-2</v>
      </c>
      <c r="BJ22" s="22">
        <v>0</v>
      </c>
      <c r="BK22" s="43">
        <f>BH3</f>
        <v>7.5999999999999998E-2</v>
      </c>
      <c r="BL22" s="38">
        <v>7.5999999999999998E-2</v>
      </c>
      <c r="BM22" s="19" cm="1">
        <f t="array" ref="BM22">SQRT(SUMSQ(BK22:BK27-BL22:BL27)/COUNTA(BK22:BK27-BL22:BL27))</f>
        <v>1.4904344500576799E-2</v>
      </c>
      <c r="BU22" s="15">
        <f t="shared" si="24"/>
        <v>19</v>
      </c>
      <c r="BV22" s="44">
        <f t="shared" si="16"/>
        <v>0.10776117124499457</v>
      </c>
      <c r="BW22" s="34">
        <f t="shared" si="17"/>
        <v>0.10820190397876377</v>
      </c>
      <c r="BX22" s="36">
        <f t="shared" si="18"/>
        <v>0.10859243456336268</v>
      </c>
      <c r="BY22" s="38">
        <f t="shared" si="19"/>
        <v>0.10917248152076588</v>
      </c>
      <c r="CA22" s="22">
        <v>0</v>
      </c>
      <c r="CB22" s="43">
        <f>BY3</f>
        <v>7.5999999999999998E-2</v>
      </c>
      <c r="CC22" s="38">
        <v>7.5999999999999998E-2</v>
      </c>
      <c r="CD22" s="19" cm="1">
        <f t="array" ref="CD22">SQRT(SUMSQ(CB22:CB27-CC22:CC27)/COUNTA(CB22:CB27-CC22:CC27))</f>
        <v>1.714858589543073E-2</v>
      </c>
    </row>
    <row r="23" spans="4:82" x14ac:dyDescent="0.3">
      <c r="D23" s="15">
        <f t="shared" si="20"/>
        <v>20</v>
      </c>
      <c r="E23" s="30">
        <f t="shared" si="0"/>
        <v>0.10217867391011899</v>
      </c>
      <c r="F23" s="34">
        <f t="shared" si="1"/>
        <v>0.10312526315799642</v>
      </c>
      <c r="G23" s="36">
        <f t="shared" si="2"/>
        <v>0.10408053157993313</v>
      </c>
      <c r="H23" s="38">
        <f t="shared" si="3"/>
        <v>0.10586352654909245</v>
      </c>
      <c r="J23" s="20">
        <v>10</v>
      </c>
      <c r="K23" s="43">
        <f>H13</f>
        <v>9.831618971297186E-2</v>
      </c>
      <c r="L23" s="38">
        <v>9.0450482570703483E-2</v>
      </c>
      <c r="V23" s="15">
        <f t="shared" si="21"/>
        <v>20</v>
      </c>
      <c r="W23" s="44">
        <f t="shared" si="4"/>
        <v>7.9577316502746576E-2</v>
      </c>
      <c r="X23" s="34">
        <f t="shared" si="5"/>
        <v>8.0203293003379403E-2</v>
      </c>
      <c r="Y23" s="36">
        <f t="shared" si="6"/>
        <v>8.0982595684344405E-2</v>
      </c>
      <c r="Z23" s="38">
        <f t="shared" si="7"/>
        <v>8.3063703090983584E-2</v>
      </c>
      <c r="AB23" s="20">
        <v>10</v>
      </c>
      <c r="AC23" s="43">
        <f>Z13</f>
        <v>7.9739164168037405E-2</v>
      </c>
      <c r="AD23" s="38">
        <v>9.0450482570703483E-2</v>
      </c>
      <c r="AM23" s="15">
        <f t="shared" si="22"/>
        <v>20</v>
      </c>
      <c r="AN23" s="44">
        <f t="shared" si="8"/>
        <v>0.10957885773101475</v>
      </c>
      <c r="AO23" s="34">
        <f t="shared" si="9"/>
        <v>0.10960904701423267</v>
      </c>
      <c r="AP23" s="36">
        <f t="shared" si="10"/>
        <v>0.1096352047179379</v>
      </c>
      <c r="AQ23" s="38">
        <f t="shared" si="11"/>
        <v>0.10967389045985639</v>
      </c>
      <c r="AS23" s="20">
        <v>10</v>
      </c>
      <c r="AT23" s="43">
        <f>AQ13</f>
        <v>0.10846748535190186</v>
      </c>
      <c r="AU23" s="38">
        <v>9.0450482570703483E-2</v>
      </c>
      <c r="BD23" s="15">
        <f t="shared" si="23"/>
        <v>20</v>
      </c>
      <c r="BE23" s="44">
        <f t="shared" si="12"/>
        <v>9.3773285452387056E-2</v>
      </c>
      <c r="BF23" s="34">
        <f t="shared" si="13"/>
        <v>9.4807615308434748E-2</v>
      </c>
      <c r="BG23" s="36">
        <f t="shared" si="14"/>
        <v>9.5929853426950706E-2</v>
      </c>
      <c r="BH23" s="38">
        <f t="shared" si="15"/>
        <v>9.831618971297186E-2</v>
      </c>
      <c r="BJ23" s="20">
        <v>10</v>
      </c>
      <c r="BK23" s="43">
        <f>BH13</f>
        <v>9.0110330874149852E-2</v>
      </c>
      <c r="BL23" s="38">
        <v>9.0450482570703483E-2</v>
      </c>
      <c r="BU23" s="15">
        <f t="shared" si="24"/>
        <v>20</v>
      </c>
      <c r="BV23" s="44">
        <f t="shared" si="16"/>
        <v>0.10803368591605358</v>
      </c>
      <c r="BW23" s="34">
        <f t="shared" si="17"/>
        <v>0.10843053390845853</v>
      </c>
      <c r="BX23" s="36">
        <f t="shared" si="18"/>
        <v>0.10877714272541258</v>
      </c>
      <c r="BY23" s="38">
        <f t="shared" si="19"/>
        <v>0.10927929535478159</v>
      </c>
      <c r="CA23" s="20">
        <v>10</v>
      </c>
      <c r="CB23" s="43">
        <f>BY13</f>
        <v>0.10586352654909245</v>
      </c>
      <c r="CC23" s="38">
        <v>9.0450482570703483E-2</v>
      </c>
    </row>
    <row r="24" spans="4:82" x14ac:dyDescent="0.3">
      <c r="D24" s="15">
        <f>D23+5</f>
        <v>25</v>
      </c>
      <c r="E24" s="30">
        <f t="shared" si="0"/>
        <v>0.10453401732378004</v>
      </c>
      <c r="F24" s="34">
        <f t="shared" si="1"/>
        <v>0.10533453111509082</v>
      </c>
      <c r="G24" s="36">
        <f t="shared" si="2"/>
        <v>0.10611368568255408</v>
      </c>
      <c r="H24" s="38">
        <f t="shared" si="3"/>
        <v>0.10747745610153971</v>
      </c>
      <c r="J24" s="20">
        <v>30</v>
      </c>
      <c r="K24" s="43">
        <f>H25</f>
        <v>0.10841603636597899</v>
      </c>
      <c r="L24" s="38">
        <v>9.5420493988168181E-2</v>
      </c>
      <c r="V24" s="15">
        <f>V23+5</f>
        <v>25</v>
      </c>
      <c r="W24" s="44">
        <f t="shared" si="4"/>
        <v>8.0410697182975985E-2</v>
      </c>
      <c r="X24" s="34">
        <f t="shared" si="5"/>
        <v>8.1169549123826124E-2</v>
      </c>
      <c r="Y24" s="36">
        <f t="shared" si="6"/>
        <v>8.2108658629357789E-2</v>
      </c>
      <c r="Z24" s="38">
        <f t="shared" si="7"/>
        <v>8.4585061874417986E-2</v>
      </c>
      <c r="AB24" s="20">
        <v>30</v>
      </c>
      <c r="AC24" s="43">
        <f>Z25</f>
        <v>8.6019593379156017E-2</v>
      </c>
      <c r="AD24" s="38">
        <v>9.5420493988168181E-2</v>
      </c>
      <c r="AM24" s="15">
        <f>AM23+5</f>
        <v>25</v>
      </c>
      <c r="AN24" s="44">
        <f t="shared" si="8"/>
        <v>0.1096844046470466</v>
      </c>
      <c r="AO24" s="34">
        <f t="shared" si="9"/>
        <v>0.10969373963344518</v>
      </c>
      <c r="AP24" s="36">
        <f t="shared" si="10"/>
        <v>0.10970133339521723</v>
      </c>
      <c r="AQ24" s="38">
        <f t="shared" si="11"/>
        <v>0.10971147279422995</v>
      </c>
      <c r="AS24" s="20">
        <v>30</v>
      </c>
      <c r="AT24" s="43">
        <f>AQ25</f>
        <v>0.10971871725406987</v>
      </c>
      <c r="AU24" s="38">
        <v>9.5420493988168181E-2</v>
      </c>
      <c r="BD24" s="15">
        <f>BD23+5</f>
        <v>25</v>
      </c>
      <c r="BE24" s="44">
        <f t="shared" si="12"/>
        <v>9.6495896753326232E-2</v>
      </c>
      <c r="BF24" s="34">
        <f t="shared" si="13"/>
        <v>9.7559236263010898E-2</v>
      </c>
      <c r="BG24" s="36">
        <f t="shared" si="14"/>
        <v>9.8692228351626207E-2</v>
      </c>
      <c r="BH24" s="38">
        <f t="shared" si="15"/>
        <v>0.10102362809834577</v>
      </c>
      <c r="BJ24" s="20">
        <v>30</v>
      </c>
      <c r="BK24" s="43">
        <f>BH25</f>
        <v>0.10308830454736126</v>
      </c>
      <c r="BL24" s="38">
        <v>9.5420493988168181E-2</v>
      </c>
      <c r="BU24" s="15">
        <f>BU23+5</f>
        <v>25</v>
      </c>
      <c r="BV24" s="44">
        <f t="shared" si="16"/>
        <v>0.10892273964748887</v>
      </c>
      <c r="BW24" s="34">
        <f t="shared" si="17"/>
        <v>0.10914998440734185</v>
      </c>
      <c r="BX24" s="36">
        <f t="shared" si="18"/>
        <v>0.10933466556510411</v>
      </c>
      <c r="BY24" s="38">
        <f t="shared" si="19"/>
        <v>0.10957124960185965</v>
      </c>
      <c r="CA24" s="20">
        <v>30</v>
      </c>
      <c r="CB24" s="43">
        <f>BY25</f>
        <v>0.10966998854752086</v>
      </c>
      <c r="CC24" s="38">
        <v>9.5420493988168181E-2</v>
      </c>
    </row>
    <row r="25" spans="4:82" x14ac:dyDescent="0.3">
      <c r="D25" s="15">
        <f t="shared" ref="D25:D39" si="25">D24+5</f>
        <v>30</v>
      </c>
      <c r="E25" s="39">
        <f t="shared" si="0"/>
        <v>0.10615377211661771</v>
      </c>
      <c r="F25" s="40">
        <f t="shared" si="1"/>
        <v>0.10680373406537885</v>
      </c>
      <c r="G25" s="41">
        <f t="shared" si="2"/>
        <v>0.10741390051799407</v>
      </c>
      <c r="H25" s="42">
        <f t="shared" si="3"/>
        <v>0.10841603636597899</v>
      </c>
      <c r="J25" s="20">
        <v>60</v>
      </c>
      <c r="K25" s="43">
        <f>H31</f>
        <v>0.10966998854752086</v>
      </c>
      <c r="L25" s="38">
        <v>9.0686938018793059E-2</v>
      </c>
      <c r="V25" s="15">
        <f t="shared" ref="V25:V31" si="26">V24+5</f>
        <v>30</v>
      </c>
      <c r="W25" s="44">
        <f t="shared" si="4"/>
        <v>8.122103701301385E-2</v>
      </c>
      <c r="X25" s="34">
        <f t="shared" si="5"/>
        <v>8.2104174454773457E-2</v>
      </c>
      <c r="Y25" s="36">
        <f t="shared" si="6"/>
        <v>8.3190597964210675E-2</v>
      </c>
      <c r="Z25" s="38">
        <f t="shared" si="7"/>
        <v>8.6019593379156017E-2</v>
      </c>
      <c r="AB25" s="20">
        <v>60</v>
      </c>
      <c r="AC25" s="43">
        <f>Z31</f>
        <v>9.3061994583032367E-2</v>
      </c>
      <c r="AD25" s="38">
        <v>9.0686938018793059E-2</v>
      </c>
      <c r="AM25" s="15">
        <f t="shared" ref="AM25:AM31" si="27">AM24+5</f>
        <v>30</v>
      </c>
      <c r="AN25" s="44">
        <f t="shared" si="8"/>
        <v>0.10971127231286219</v>
      </c>
      <c r="AO25" s="34">
        <f t="shared" si="9"/>
        <v>0.10971404419843854</v>
      </c>
      <c r="AP25" s="36">
        <f t="shared" si="10"/>
        <v>0.10971616132420878</v>
      </c>
      <c r="AQ25" s="38">
        <f t="shared" si="11"/>
        <v>0.10971871725406987</v>
      </c>
      <c r="AS25" s="20">
        <v>60</v>
      </c>
      <c r="AT25" s="43">
        <f>AQ31</f>
        <v>0.10972044708869876</v>
      </c>
      <c r="AU25" s="38">
        <v>9.0686938018793059E-2</v>
      </c>
      <c r="BD25" s="15">
        <f t="shared" ref="BD25:BD31" si="28">BD24+5</f>
        <v>30</v>
      </c>
      <c r="BE25" s="44">
        <f t="shared" si="12"/>
        <v>9.8753684756941407E-2</v>
      </c>
      <c r="BF25" s="34">
        <f t="shared" si="13"/>
        <v>9.980314560760134E-2</v>
      </c>
      <c r="BG25" s="36">
        <f t="shared" si="14"/>
        <v>0.10090127574287325</v>
      </c>
      <c r="BH25" s="38">
        <f t="shared" si="15"/>
        <v>0.10308830454736126</v>
      </c>
      <c r="BJ25" s="20">
        <v>60</v>
      </c>
      <c r="BK25" s="43">
        <f>BH31</f>
        <v>0.10841603636597899</v>
      </c>
      <c r="BL25" s="38">
        <v>9.0686938018793059E-2</v>
      </c>
      <c r="BU25" s="15">
        <f t="shared" ref="BU25:BU31" si="29">BU24+5</f>
        <v>30</v>
      </c>
      <c r="BV25" s="44">
        <f t="shared" si="16"/>
        <v>0.10934319325425329</v>
      </c>
      <c r="BW25" s="34">
        <f t="shared" si="17"/>
        <v>0.10946816062462227</v>
      </c>
      <c r="BX25" s="36">
        <f t="shared" si="18"/>
        <v>0.10956267472964304</v>
      </c>
      <c r="BY25" s="38">
        <f t="shared" si="19"/>
        <v>0.10966998854752086</v>
      </c>
      <c r="CA25" s="20">
        <v>60</v>
      </c>
      <c r="CB25" s="43">
        <f>BY31</f>
        <v>0.1097203716721218</v>
      </c>
      <c r="CC25" s="38">
        <v>9.0686938018793059E-2</v>
      </c>
    </row>
    <row r="26" spans="4:82" x14ac:dyDescent="0.3">
      <c r="D26" s="15">
        <f t="shared" si="25"/>
        <v>35</v>
      </c>
      <c r="E26" s="30">
        <f t="shared" si="0"/>
        <v>0.10726766725976483</v>
      </c>
      <c r="F26" s="34">
        <f t="shared" si="1"/>
        <v>0.10778078046765137</v>
      </c>
      <c r="G26" s="36">
        <f t="shared" si="2"/>
        <v>0.10824539608250584</v>
      </c>
      <c r="H26" s="38">
        <f t="shared" si="3"/>
        <v>0.10896186744730414</v>
      </c>
      <c r="J26" s="20">
        <v>120</v>
      </c>
      <c r="K26" s="43">
        <f>H41</f>
        <v>0.1097203716721218</v>
      </c>
      <c r="L26" s="38">
        <v>9.0335218374187551E-2</v>
      </c>
      <c r="V26" s="15">
        <f t="shared" si="26"/>
        <v>35</v>
      </c>
      <c r="W26" s="44">
        <f t="shared" si="4"/>
        <v>8.2008973013600092E-2</v>
      </c>
      <c r="X26" s="34">
        <f t="shared" si="5"/>
        <v>8.3008204443059147E-2</v>
      </c>
      <c r="Y26" s="36">
        <f t="shared" si="6"/>
        <v>8.4230142626865359E-2</v>
      </c>
      <c r="Z26" s="38">
        <f t="shared" si="7"/>
        <v>8.7372253028210278E-2</v>
      </c>
      <c r="AB26" s="20">
        <v>120</v>
      </c>
      <c r="AC26" s="43">
        <f>Z41</f>
        <v>0.10149089905253485</v>
      </c>
      <c r="AD26" s="38">
        <v>9.0335218374187551E-2</v>
      </c>
      <c r="AM26" s="15">
        <f t="shared" si="27"/>
        <v>35</v>
      </c>
      <c r="AN26" s="44">
        <f t="shared" si="8"/>
        <v>0.10971811165496254</v>
      </c>
      <c r="AO26" s="34">
        <f t="shared" si="9"/>
        <v>0.10971891210031007</v>
      </c>
      <c r="AP26" s="36">
        <f t="shared" si="10"/>
        <v>0.10971948616733622</v>
      </c>
      <c r="AQ26" s="38">
        <f t="shared" si="11"/>
        <v>0.10972011371331719</v>
      </c>
      <c r="AS26" s="20">
        <v>120</v>
      </c>
      <c r="AT26" s="43">
        <f>AQ41</f>
        <v>0.10972044717744713</v>
      </c>
      <c r="AU26" s="38">
        <v>9.0335218374187551E-2</v>
      </c>
      <c r="BD26" s="15">
        <f t="shared" si="28"/>
        <v>35</v>
      </c>
      <c r="BE26" s="44">
        <f t="shared" si="12"/>
        <v>0.1006260073567595</v>
      </c>
      <c r="BF26" s="34">
        <f t="shared" si="13"/>
        <v>0.10163302306160403</v>
      </c>
      <c r="BG26" s="36">
        <f t="shared" si="14"/>
        <v>0.10266783188019724</v>
      </c>
      <c r="BH26" s="38">
        <f t="shared" si="15"/>
        <v>0.10466281455732053</v>
      </c>
      <c r="BJ26" s="20">
        <v>120</v>
      </c>
      <c r="BK26" s="43">
        <f>BH41</f>
        <v>0.10966998854752086</v>
      </c>
      <c r="BL26" s="38">
        <v>9.0335218374187551E-2</v>
      </c>
      <c r="BU26" s="15">
        <f t="shared" si="29"/>
        <v>35</v>
      </c>
      <c r="BV26" s="44">
        <f t="shared" si="16"/>
        <v>0.10954203526929754</v>
      </c>
      <c r="BW26" s="34">
        <f t="shared" si="17"/>
        <v>0.10960887371801785</v>
      </c>
      <c r="BX26" s="36">
        <f t="shared" si="18"/>
        <v>0.10965592324864992</v>
      </c>
      <c r="BY26" s="38">
        <f t="shared" si="19"/>
        <v>0.10970338206547053</v>
      </c>
      <c r="CA26" s="20">
        <v>120</v>
      </c>
      <c r="CB26" s="43">
        <f>BY41</f>
        <v>0.10972044717727805</v>
      </c>
      <c r="CC26" s="38">
        <v>9.0335218374187551E-2</v>
      </c>
    </row>
    <row r="27" spans="4:82" x14ac:dyDescent="0.3">
      <c r="D27" s="15">
        <f t="shared" si="25"/>
        <v>40</v>
      </c>
      <c r="E27" s="30">
        <f t="shared" si="0"/>
        <v>0.10803368591605358</v>
      </c>
      <c r="F27" s="34">
        <f t="shared" si="1"/>
        <v>0.10843053390845853</v>
      </c>
      <c r="G27" s="36">
        <f t="shared" si="2"/>
        <v>0.10877714272541258</v>
      </c>
      <c r="H27" s="38">
        <f t="shared" si="3"/>
        <v>0.10927929535478159</v>
      </c>
      <c r="J27" s="20">
        <v>240</v>
      </c>
      <c r="K27" s="43">
        <f>H53</f>
        <v>0.10972044717727805</v>
      </c>
      <c r="L27" s="38">
        <v>8.5517652359137733E-2</v>
      </c>
      <c r="V27" s="15">
        <f t="shared" si="26"/>
        <v>40</v>
      </c>
      <c r="W27" s="44">
        <f t="shared" si="4"/>
        <v>8.2775124593475954E-2</v>
      </c>
      <c r="X27" s="34">
        <f t="shared" si="5"/>
        <v>8.3882640639744974E-2</v>
      </c>
      <c r="Y27" s="36">
        <f t="shared" si="6"/>
        <v>8.5228953808640914E-2</v>
      </c>
      <c r="Z27" s="38">
        <f t="shared" si="7"/>
        <v>8.8647713427745856E-2</v>
      </c>
      <c r="AB27" s="20">
        <v>240</v>
      </c>
      <c r="AC27" s="43">
        <f>Z53</f>
        <v>0.10771200814388818</v>
      </c>
      <c r="AD27" s="38">
        <v>8.5517652359137733E-2</v>
      </c>
      <c r="AM27" s="15">
        <f t="shared" si="27"/>
        <v>40</v>
      </c>
      <c r="AN27" s="44">
        <f t="shared" si="8"/>
        <v>0.10971985265474594</v>
      </c>
      <c r="AO27" s="34">
        <f t="shared" si="9"/>
        <v>0.10972007915159329</v>
      </c>
      <c r="AP27" s="36">
        <f t="shared" si="10"/>
        <v>0.10972023169166591</v>
      </c>
      <c r="AQ27" s="38">
        <f t="shared" si="11"/>
        <v>0.10972038289811116</v>
      </c>
      <c r="AS27" s="20">
        <v>240</v>
      </c>
      <c r="AT27" s="43">
        <f>AQ53</f>
        <v>0.10972044717744713</v>
      </c>
      <c r="AU27" s="38">
        <v>8.5517652359137733E-2</v>
      </c>
      <c r="BD27" s="15">
        <f t="shared" si="28"/>
        <v>40</v>
      </c>
      <c r="BE27" s="44">
        <f t="shared" si="12"/>
        <v>0.10217867391011899</v>
      </c>
      <c r="BF27" s="34">
        <f t="shared" si="13"/>
        <v>0.10312526315799642</v>
      </c>
      <c r="BG27" s="36">
        <f t="shared" si="14"/>
        <v>0.10408053157993313</v>
      </c>
      <c r="BH27" s="38">
        <f t="shared" si="15"/>
        <v>0.10586352654909245</v>
      </c>
      <c r="BJ27" s="20">
        <v>240</v>
      </c>
      <c r="BK27" s="43">
        <f>BH53</f>
        <v>0.1097203716721218</v>
      </c>
      <c r="BL27" s="38">
        <v>8.5517652359137733E-2</v>
      </c>
      <c r="BU27" s="15">
        <f t="shared" si="29"/>
        <v>40</v>
      </c>
      <c r="BV27" s="44">
        <f t="shared" si="16"/>
        <v>0.10963607215306012</v>
      </c>
      <c r="BW27" s="34">
        <f t="shared" si="17"/>
        <v>0.10967110393378381</v>
      </c>
      <c r="BX27" s="36">
        <f t="shared" si="18"/>
        <v>0.10969405893637352</v>
      </c>
      <c r="BY27" s="38">
        <f t="shared" si="19"/>
        <v>0.10971467575544856</v>
      </c>
      <c r="CA27" s="20">
        <v>240</v>
      </c>
      <c r="CB27" s="43">
        <f>BY53</f>
        <v>0.10972044717744713</v>
      </c>
      <c r="CC27" s="38">
        <v>8.5517652359137733E-2</v>
      </c>
    </row>
    <row r="28" spans="4:82" x14ac:dyDescent="0.3">
      <c r="D28" s="15">
        <f t="shared" si="25"/>
        <v>45</v>
      </c>
      <c r="E28" s="30">
        <f t="shared" si="0"/>
        <v>0.10856047210898422</v>
      </c>
      <c r="F28" s="34">
        <f t="shared" si="1"/>
        <v>0.10886263163980352</v>
      </c>
      <c r="G28" s="36">
        <f t="shared" si="2"/>
        <v>0.10911719804778655</v>
      </c>
      <c r="H28" s="38">
        <f t="shared" si="3"/>
        <v>0.10946389546256748</v>
      </c>
      <c r="V28" s="15">
        <f t="shared" si="26"/>
        <v>45</v>
      </c>
      <c r="W28" s="44">
        <f t="shared" si="4"/>
        <v>8.3520094036310832E-2</v>
      </c>
      <c r="X28" s="34">
        <f t="shared" si="5"/>
        <v>8.4728451809708866E-2</v>
      </c>
      <c r="Y28" s="36">
        <f t="shared" si="6"/>
        <v>8.6188627608795143E-2</v>
      </c>
      <c r="Z28" s="38">
        <f t="shared" si="7"/>
        <v>8.985038050805752E-2</v>
      </c>
      <c r="AM28" s="15">
        <f t="shared" si="27"/>
        <v>45</v>
      </c>
      <c r="AN28" s="44">
        <f t="shared" si="8"/>
        <v>0.10972029583775994</v>
      </c>
      <c r="AO28" s="34">
        <f t="shared" si="9"/>
        <v>0.10972035894537994</v>
      </c>
      <c r="AP28" s="36">
        <f t="shared" si="10"/>
        <v>0.10972039885941032</v>
      </c>
      <c r="AQ28" s="38">
        <f t="shared" si="11"/>
        <v>0.10972043478680998</v>
      </c>
      <c r="BD28" s="15">
        <f t="shared" si="28"/>
        <v>45</v>
      </c>
      <c r="BE28" s="44">
        <f t="shared" si="12"/>
        <v>0.10346625833929561</v>
      </c>
      <c r="BF28" s="34">
        <f t="shared" si="13"/>
        <v>0.10434216459607372</v>
      </c>
      <c r="BG28" s="36">
        <f t="shared" si="14"/>
        <v>0.10521025533989076</v>
      </c>
      <c r="BH28" s="38">
        <f t="shared" si="15"/>
        <v>0.10677918238999892</v>
      </c>
      <c r="BU28" s="15">
        <f t="shared" si="29"/>
        <v>45</v>
      </c>
      <c r="BV28" s="44">
        <f t="shared" si="16"/>
        <v>0.10968054432110673</v>
      </c>
      <c r="BW28" s="34">
        <f t="shared" si="17"/>
        <v>0.10969862518046261</v>
      </c>
      <c r="BX28" s="36">
        <f t="shared" si="18"/>
        <v>0.10970965522351718</v>
      </c>
      <c r="BY28" s="38">
        <f t="shared" si="19"/>
        <v>0.10971849528214569</v>
      </c>
    </row>
    <row r="29" spans="4:82" x14ac:dyDescent="0.3">
      <c r="D29" s="15">
        <f t="shared" si="25"/>
        <v>50</v>
      </c>
      <c r="E29" s="30">
        <f t="shared" si="0"/>
        <v>0.10892273964748887</v>
      </c>
      <c r="F29" s="34">
        <f t="shared" si="1"/>
        <v>0.10914998440734185</v>
      </c>
      <c r="G29" s="36">
        <f t="shared" si="2"/>
        <v>0.10933466556510411</v>
      </c>
      <c r="H29" s="38">
        <f t="shared" si="3"/>
        <v>0.10957124960185965</v>
      </c>
      <c r="J29" t="s">
        <v>18</v>
      </c>
      <c r="V29" s="15">
        <f t="shared" si="26"/>
        <v>50</v>
      </c>
      <c r="W29" s="44">
        <f t="shared" si="4"/>
        <v>8.4244466974166848E-2</v>
      </c>
      <c r="X29" s="34">
        <f t="shared" si="5"/>
        <v>8.5546575004914083E-2</v>
      </c>
      <c r="Y29" s="36">
        <f t="shared" si="6"/>
        <v>8.7110697585089644E-2</v>
      </c>
      <c r="Z29" s="38">
        <f t="shared" si="7"/>
        <v>9.098440874334579E-2</v>
      </c>
      <c r="AB29" t="s">
        <v>18</v>
      </c>
      <c r="AM29" s="15">
        <f t="shared" si="27"/>
        <v>50</v>
      </c>
      <c r="AN29" s="44">
        <f t="shared" si="8"/>
        <v>0.10972040865292843</v>
      </c>
      <c r="AO29" s="34">
        <f t="shared" si="9"/>
        <v>0.10972042602431997</v>
      </c>
      <c r="AP29" s="36">
        <f t="shared" si="10"/>
        <v>0.10972043634316996</v>
      </c>
      <c r="AQ29" s="38">
        <f t="shared" si="11"/>
        <v>0.10972044478899855</v>
      </c>
      <c r="AS29" t="s">
        <v>18</v>
      </c>
      <c r="BD29" s="15">
        <f t="shared" si="28"/>
        <v>50</v>
      </c>
      <c r="BE29" s="44">
        <f t="shared" si="12"/>
        <v>0.10453401732378004</v>
      </c>
      <c r="BF29" s="34">
        <f t="shared" si="13"/>
        <v>0.10533453111509082</v>
      </c>
      <c r="BG29" s="36">
        <f t="shared" si="14"/>
        <v>0.10611368568255408</v>
      </c>
      <c r="BH29" s="38">
        <f t="shared" si="15"/>
        <v>0.10747745610153971</v>
      </c>
      <c r="BJ29" t="s">
        <v>18</v>
      </c>
      <c r="BU29" s="15">
        <f t="shared" si="29"/>
        <v>50</v>
      </c>
      <c r="BV29" s="44">
        <f t="shared" si="16"/>
        <v>0.10970157621467479</v>
      </c>
      <c r="BW29" s="34">
        <f t="shared" si="17"/>
        <v>0.10971079642251011</v>
      </c>
      <c r="BX29" s="36">
        <f t="shared" si="18"/>
        <v>0.10971603361046094</v>
      </c>
      <c r="BY29" s="38">
        <f t="shared" si="19"/>
        <v>0.10971978704632715</v>
      </c>
      <c r="CA29" t="s">
        <v>18</v>
      </c>
    </row>
    <row r="30" spans="4:82" x14ac:dyDescent="0.3">
      <c r="D30" s="15">
        <f t="shared" si="25"/>
        <v>55</v>
      </c>
      <c r="E30" s="30">
        <f t="shared" si="0"/>
        <v>0.10917186874619229</v>
      </c>
      <c r="F30" s="34">
        <f t="shared" si="1"/>
        <v>0.10934107916906373</v>
      </c>
      <c r="G30" s="36">
        <f t="shared" si="2"/>
        <v>0.10947373741011482</v>
      </c>
      <c r="H30" s="38">
        <f t="shared" si="3"/>
        <v>0.10963368137051568</v>
      </c>
      <c r="J30" s="23" t="s">
        <v>11</v>
      </c>
      <c r="K30" s="23" t="s">
        <v>15</v>
      </c>
      <c r="L30" s="24" t="s">
        <v>16</v>
      </c>
      <c r="M30" s="24" t="s">
        <v>21</v>
      </c>
      <c r="V30" s="15">
        <f t="shared" si="26"/>
        <v>55</v>
      </c>
      <c r="W30" s="44">
        <f t="shared" si="4"/>
        <v>8.494881284787334E-2</v>
      </c>
      <c r="X30" s="34">
        <f t="shared" si="5"/>
        <v>8.633791660254439E-2</v>
      </c>
      <c r="Y30" s="36">
        <f t="shared" si="6"/>
        <v>8.7996637204413503E-2</v>
      </c>
      <c r="Z30" s="38">
        <f t="shared" si="7"/>
        <v>9.2053715502867076E-2</v>
      </c>
      <c r="AB30" s="23" t="s">
        <v>11</v>
      </c>
      <c r="AC30" s="23" t="s">
        <v>15</v>
      </c>
      <c r="AD30" s="24" t="s">
        <v>16</v>
      </c>
      <c r="AE30" s="24" t="s">
        <v>21</v>
      </c>
      <c r="AM30" s="15">
        <f t="shared" si="27"/>
        <v>55</v>
      </c>
      <c r="AN30" s="44">
        <f t="shared" si="8"/>
        <v>0.109720437370776</v>
      </c>
      <c r="AO30" s="34">
        <f t="shared" si="9"/>
        <v>0.10972044210610739</v>
      </c>
      <c r="AP30" s="36">
        <f t="shared" si="10"/>
        <v>0.10972044474809424</v>
      </c>
      <c r="AQ30" s="38">
        <f t="shared" si="11"/>
        <v>0.10972044671704412</v>
      </c>
      <c r="AS30" s="23" t="s">
        <v>11</v>
      </c>
      <c r="AT30" s="23" t="s">
        <v>15</v>
      </c>
      <c r="AU30" s="24" t="s">
        <v>16</v>
      </c>
      <c r="AV30" s="24" t="s">
        <v>21</v>
      </c>
      <c r="BD30" s="15">
        <f t="shared" si="28"/>
        <v>55</v>
      </c>
      <c r="BE30" s="44">
        <f t="shared" si="12"/>
        <v>0.10541948100531608</v>
      </c>
      <c r="BF30" s="34">
        <f t="shared" si="13"/>
        <v>0.10614379247122994</v>
      </c>
      <c r="BG30" s="36">
        <f t="shared" si="14"/>
        <v>0.10683615113205071</v>
      </c>
      <c r="BH30" s="38">
        <f t="shared" si="15"/>
        <v>0.10800995549098963</v>
      </c>
      <c r="BJ30" s="23" t="s">
        <v>11</v>
      </c>
      <c r="BK30" s="23" t="s">
        <v>15</v>
      </c>
      <c r="BL30" s="24" t="s">
        <v>16</v>
      </c>
      <c r="BM30" s="24" t="s">
        <v>21</v>
      </c>
      <c r="BU30" s="15">
        <f t="shared" si="29"/>
        <v>55</v>
      </c>
      <c r="BV30" s="44">
        <f t="shared" si="16"/>
        <v>0.10971152267257166</v>
      </c>
      <c r="BW30" s="34">
        <f t="shared" si="17"/>
        <v>0.1097161791413494</v>
      </c>
      <c r="BX30" s="36">
        <f t="shared" si="18"/>
        <v>0.10971864216848692</v>
      </c>
      <c r="BY30" s="38">
        <f t="shared" si="19"/>
        <v>0.10972022392105871</v>
      </c>
      <c r="CA30" s="23" t="s">
        <v>11</v>
      </c>
      <c r="CB30" s="23" t="s">
        <v>15</v>
      </c>
      <c r="CC30" s="24" t="s">
        <v>16</v>
      </c>
      <c r="CD30" s="24" t="s">
        <v>21</v>
      </c>
    </row>
    <row r="31" spans="4:82" x14ac:dyDescent="0.3">
      <c r="D31" s="15">
        <f t="shared" si="25"/>
        <v>60</v>
      </c>
      <c r="E31" s="39">
        <f t="shared" si="0"/>
        <v>0.10934319325425329</v>
      </c>
      <c r="F31" s="40">
        <f t="shared" si="1"/>
        <v>0.10946816062462227</v>
      </c>
      <c r="G31" s="41">
        <f t="shared" si="2"/>
        <v>0.10956267472964304</v>
      </c>
      <c r="H31" s="42">
        <f t="shared" si="3"/>
        <v>0.10966998854752086</v>
      </c>
      <c r="J31" s="25">
        <v>0</v>
      </c>
      <c r="K31" s="45">
        <f>G3</f>
        <v>7.5999999999999998E-2</v>
      </c>
      <c r="L31" s="36">
        <v>7.5999999999999998E-2</v>
      </c>
      <c r="M31" s="19" cm="1">
        <f t="array" ref="M31">SQRT(SUMSQ(K31:K36-L31:L36)/COUNTA(K31:K36-L31:L36))</f>
        <v>1.4520463892793083E-2</v>
      </c>
      <c r="V31" s="15">
        <f t="shared" si="26"/>
        <v>60</v>
      </c>
      <c r="W31" s="44">
        <f t="shared" si="4"/>
        <v>8.563368535467307E-2</v>
      </c>
      <c r="X31" s="34">
        <f t="shared" si="5"/>
        <v>8.7103353309155557E-2</v>
      </c>
      <c r="Y31" s="36">
        <f t="shared" si="6"/>
        <v>8.8847862197381985E-2</v>
      </c>
      <c r="Z31" s="38">
        <f t="shared" si="7"/>
        <v>9.3061994583032367E-2</v>
      </c>
      <c r="AB31" s="25">
        <v>0</v>
      </c>
      <c r="AC31" s="45">
        <f>Y3</f>
        <v>7.5999999999999998E-2</v>
      </c>
      <c r="AD31" s="36">
        <v>7.5999999999999998E-2</v>
      </c>
      <c r="AE31" s="19" cm="1">
        <f t="array" ref="AE31">SQRT(SUMSQ(AC31:AC36-AD31:AD36)/COUNTA(AC31:AC36-AD31:AD36))</f>
        <v>9.2829970492239507E-3</v>
      </c>
      <c r="AM31" s="15">
        <f t="shared" si="27"/>
        <v>60</v>
      </c>
      <c r="AN31" s="44">
        <f t="shared" si="8"/>
        <v>0.1097204446810941</v>
      </c>
      <c r="AO31" s="34">
        <f t="shared" si="9"/>
        <v>0.1097204459616228</v>
      </c>
      <c r="AP31" s="36">
        <f t="shared" si="10"/>
        <v>0.10972044663271716</v>
      </c>
      <c r="AQ31" s="38">
        <f t="shared" si="11"/>
        <v>0.10972044708869876</v>
      </c>
      <c r="AS31" s="25">
        <v>0</v>
      </c>
      <c r="AT31" s="45">
        <f>AP3</f>
        <v>7.5999999999999998E-2</v>
      </c>
      <c r="AU31" s="36">
        <v>7.5999999999999998E-2</v>
      </c>
      <c r="AV31" s="19" cm="1">
        <f t="array" ref="AV31">SQRT(SUMSQ(AT31:AT36-AU31:AU36)/COUNTA(AT31:AT36-AU31:AU36))</f>
        <v>1.655708021322301E-2</v>
      </c>
      <c r="BD31" s="15">
        <f t="shared" si="28"/>
        <v>60</v>
      </c>
      <c r="BE31" s="44">
        <f t="shared" si="12"/>
        <v>0.10615377211661771</v>
      </c>
      <c r="BF31" s="34">
        <f t="shared" si="13"/>
        <v>0.10680373406537885</v>
      </c>
      <c r="BG31" s="36">
        <f t="shared" si="14"/>
        <v>0.10741390051799407</v>
      </c>
      <c r="BH31" s="38">
        <f t="shared" si="15"/>
        <v>0.10841603636597899</v>
      </c>
      <c r="BJ31" s="25">
        <v>0</v>
      </c>
      <c r="BK31" s="45">
        <f>BG3</f>
        <v>7.5999999999999998E-2</v>
      </c>
      <c r="BL31" s="36">
        <v>7.5999999999999998E-2</v>
      </c>
      <c r="BM31" s="19" cm="1">
        <f t="array" ref="BM31">SQRT(SUMSQ(BK31:BK36-BL31:BL36)/COUNTA(BK31:BK36-BL31:BL36))</f>
        <v>1.2667487264310334E-2</v>
      </c>
      <c r="BU31" s="15">
        <f t="shared" si="29"/>
        <v>60</v>
      </c>
      <c r="BV31" s="44">
        <f t="shared" si="16"/>
        <v>0.10971622657735199</v>
      </c>
      <c r="BW31" s="34">
        <f t="shared" si="17"/>
        <v>0.10971855964302621</v>
      </c>
      <c r="BX31" s="36">
        <f t="shared" si="18"/>
        <v>0.10971970898601226</v>
      </c>
      <c r="BY31" s="38">
        <f t="shared" si="19"/>
        <v>0.1097203716721218</v>
      </c>
      <c r="CA31" s="25">
        <v>0</v>
      </c>
      <c r="CB31" s="45">
        <f>BX3</f>
        <v>7.5999999999999998E-2</v>
      </c>
      <c r="CC31" s="36">
        <v>7.5999999999999998E-2</v>
      </c>
      <c r="CD31" s="19" cm="1">
        <f t="array" ref="CD31">SQRT(SUMSQ(CB31:CB36-CC31:CC36)/COUNTA(CB31:CB36-CC31:CC36))</f>
        <v>1.5902919943370945E-2</v>
      </c>
    </row>
    <row r="32" spans="4:82" x14ac:dyDescent="0.3">
      <c r="D32" s="15">
        <f>D31+5</f>
        <v>65</v>
      </c>
      <c r="E32" s="30">
        <f t="shared" si="0"/>
        <v>0.10946101203662398</v>
      </c>
      <c r="F32" s="34">
        <f t="shared" si="1"/>
        <v>0.10955267207957453</v>
      </c>
      <c r="G32" s="36">
        <f t="shared" si="2"/>
        <v>0.10961955070482161</v>
      </c>
      <c r="H32" s="38">
        <f t="shared" si="3"/>
        <v>0.10969110297580732</v>
      </c>
      <c r="J32" s="23">
        <v>10</v>
      </c>
      <c r="K32" s="45">
        <f>G13</f>
        <v>9.5929853426950706E-2</v>
      </c>
      <c r="L32" s="36">
        <v>9.0862480884593408E-2</v>
      </c>
      <c r="V32" s="15">
        <f>V31+5</f>
        <v>65</v>
      </c>
      <c r="W32" s="44">
        <f t="shared" si="4"/>
        <v>8.6299622883492355E-2</v>
      </c>
      <c r="X32" s="34">
        <f t="shared" si="5"/>
        <v>8.7843733131955481E-2</v>
      </c>
      <c r="Y32" s="36">
        <f t="shared" si="6"/>
        <v>8.96657328206725E-2</v>
      </c>
      <c r="Z32" s="38">
        <f t="shared" si="7"/>
        <v>9.4012728967199269E-2</v>
      </c>
      <c r="AB32" s="23">
        <v>10</v>
      </c>
      <c r="AC32" s="45">
        <f>Y13</f>
        <v>7.8590827789049675E-2</v>
      </c>
      <c r="AD32" s="36">
        <v>9.0862480884593408E-2</v>
      </c>
      <c r="AM32" s="15">
        <f>AM31+5</f>
        <v>65</v>
      </c>
      <c r="AN32" s="44">
        <f t="shared" si="8"/>
        <v>0.10972044654198394</v>
      </c>
      <c r="AO32" s="34">
        <f t="shared" si="9"/>
        <v>0.10972044688596028</v>
      </c>
      <c r="AP32" s="36">
        <f t="shared" si="10"/>
        <v>0.10972044705530319</v>
      </c>
      <c r="AQ32" s="38">
        <f t="shared" si="11"/>
        <v>0.10972044716033978</v>
      </c>
      <c r="AS32" s="23">
        <v>10</v>
      </c>
      <c r="AT32" s="45">
        <f>AP13</f>
        <v>0.10802503753575099</v>
      </c>
      <c r="AU32" s="36">
        <v>9.0862480884593408E-2</v>
      </c>
      <c r="BD32" s="15">
        <f>BD31+5</f>
        <v>65</v>
      </c>
      <c r="BE32" s="44">
        <f t="shared" si="12"/>
        <v>0.10676269989917932</v>
      </c>
      <c r="BF32" s="34">
        <f t="shared" si="13"/>
        <v>0.10734190743098426</v>
      </c>
      <c r="BG32" s="36">
        <f t="shared" si="14"/>
        <v>0.10787592171664172</v>
      </c>
      <c r="BH32" s="38">
        <f t="shared" si="15"/>
        <v>0.10872571123190224</v>
      </c>
      <c r="BJ32" s="23">
        <v>10</v>
      </c>
      <c r="BK32" s="45">
        <f>BG13</f>
        <v>8.8156009134473523E-2</v>
      </c>
      <c r="BL32" s="36">
        <v>9.0862480884593408E-2</v>
      </c>
      <c r="BU32" s="15">
        <f>BU31+5</f>
        <v>65</v>
      </c>
      <c r="BV32" s="44">
        <f t="shared" si="16"/>
        <v>0.10971845116025496</v>
      </c>
      <c r="BW32" s="34">
        <f t="shared" si="17"/>
        <v>0.10971961241735874</v>
      </c>
      <c r="BX32" s="36">
        <f t="shared" si="18"/>
        <v>0.10972014528055546</v>
      </c>
      <c r="BY32" s="38">
        <f t="shared" si="19"/>
        <v>0.10972042164154111</v>
      </c>
      <c r="CA32" s="23">
        <v>10</v>
      </c>
      <c r="CB32" s="45">
        <f>BX13</f>
        <v>0.10408053157993313</v>
      </c>
      <c r="CC32" s="36">
        <v>9.0862480884593408E-2</v>
      </c>
    </row>
    <row r="33" spans="4:82" x14ac:dyDescent="0.3">
      <c r="D33" s="15">
        <f t="shared" si="25"/>
        <v>70</v>
      </c>
      <c r="E33" s="30">
        <f t="shared" si="0"/>
        <v>0.10954203526929754</v>
      </c>
      <c r="F33" s="34">
        <f t="shared" si="1"/>
        <v>0.10960887371801785</v>
      </c>
      <c r="G33" s="36">
        <f t="shared" si="2"/>
        <v>0.10965592324864992</v>
      </c>
      <c r="H33" s="38">
        <f t="shared" si="3"/>
        <v>0.10970338206547053</v>
      </c>
      <c r="J33" s="23">
        <v>30</v>
      </c>
      <c r="K33" s="45">
        <f>G25</f>
        <v>0.10741390051799407</v>
      </c>
      <c r="L33" s="36">
        <v>8.5024416000407887E-2</v>
      </c>
      <c r="V33" s="15">
        <f t="shared" ref="V33:V39" si="30">V32+5</f>
        <v>70</v>
      </c>
      <c r="W33" s="44">
        <f t="shared" si="4"/>
        <v>8.6947148938176899E-2</v>
      </c>
      <c r="X33" s="34">
        <f t="shared" si="5"/>
        <v>8.8559876318289155E-2</v>
      </c>
      <c r="Y33" s="36">
        <f t="shared" si="6"/>
        <v>9.0451556030713517E-2</v>
      </c>
      <c r="Z33" s="38">
        <f t="shared" si="7"/>
        <v>9.4909202857234767E-2</v>
      </c>
      <c r="AB33" s="23">
        <v>30</v>
      </c>
      <c r="AC33" s="45">
        <f>Y25</f>
        <v>8.3190597964210675E-2</v>
      </c>
      <c r="AD33" s="36">
        <v>8.5024416000407887E-2</v>
      </c>
      <c r="AM33" s="15">
        <f t="shared" ref="AM33:AM39" si="31">AM32+5</f>
        <v>70</v>
      </c>
      <c r="AN33" s="44">
        <f t="shared" si="8"/>
        <v>0.10972044701568577</v>
      </c>
      <c r="AO33" s="34">
        <f t="shared" si="9"/>
        <v>0.10972044710756484</v>
      </c>
      <c r="AP33" s="36">
        <f t="shared" si="10"/>
        <v>0.10972044715005898</v>
      </c>
      <c r="AQ33" s="38">
        <f t="shared" si="11"/>
        <v>0.10972044717414947</v>
      </c>
      <c r="AS33" s="23">
        <v>30</v>
      </c>
      <c r="AT33" s="45">
        <f>AP25</f>
        <v>0.10971616132420878</v>
      </c>
      <c r="AU33" s="36">
        <v>8.5024416000407887E-2</v>
      </c>
      <c r="BD33" s="15">
        <f t="shared" ref="BD33:BD39" si="32">BD32+5</f>
        <v>70</v>
      </c>
      <c r="BE33" s="44">
        <f t="shared" si="12"/>
        <v>0.10726766725976483</v>
      </c>
      <c r="BF33" s="34">
        <f t="shared" si="13"/>
        <v>0.10778078046765137</v>
      </c>
      <c r="BG33" s="36">
        <f t="shared" si="14"/>
        <v>0.10824539608250584</v>
      </c>
      <c r="BH33" s="38">
        <f t="shared" si="15"/>
        <v>0.10896186744730414</v>
      </c>
      <c r="BJ33" s="23">
        <v>30</v>
      </c>
      <c r="BK33" s="45">
        <f>BG25</f>
        <v>0.10090127574287325</v>
      </c>
      <c r="BL33" s="36">
        <v>8.5024416000407887E-2</v>
      </c>
      <c r="BU33" s="15">
        <f t="shared" ref="BU33:BU39" si="33">BU32+5</f>
        <v>70</v>
      </c>
      <c r="BV33" s="44">
        <f t="shared" si="16"/>
        <v>0.10971950321579674</v>
      </c>
      <c r="BW33" s="34">
        <f t="shared" si="17"/>
        <v>0.10972007800568663</v>
      </c>
      <c r="BX33" s="36">
        <f t="shared" si="18"/>
        <v>0.10972032371119042</v>
      </c>
      <c r="BY33" s="38">
        <f t="shared" si="19"/>
        <v>0.10972043854120202</v>
      </c>
      <c r="CA33" s="23">
        <v>30</v>
      </c>
      <c r="CB33" s="45">
        <f>BX25</f>
        <v>0.10956267472964304</v>
      </c>
      <c r="CC33" s="36">
        <v>8.5024416000407887E-2</v>
      </c>
    </row>
    <row r="34" spans="4:82" x14ac:dyDescent="0.3">
      <c r="D34" s="15">
        <f t="shared" si="25"/>
        <v>75</v>
      </c>
      <c r="E34" s="30">
        <f t="shared" si="0"/>
        <v>0.10959775443478867</v>
      </c>
      <c r="F34" s="34">
        <f t="shared" si="1"/>
        <v>0.10964624881900856</v>
      </c>
      <c r="G34" s="36">
        <f t="shared" si="2"/>
        <v>0.10967918371918056</v>
      </c>
      <c r="H34" s="38">
        <f t="shared" si="3"/>
        <v>0.10971052296651278</v>
      </c>
      <c r="J34" s="23">
        <v>60</v>
      </c>
      <c r="K34" s="45">
        <f>G31</f>
        <v>0.10956267472964304</v>
      </c>
      <c r="L34" s="36">
        <v>0.1018424267519739</v>
      </c>
      <c r="V34" s="15">
        <f t="shared" si="30"/>
        <v>75</v>
      </c>
      <c r="W34" s="44">
        <f t="shared" si="4"/>
        <v>8.7576772549026294E-2</v>
      </c>
      <c r="X34" s="34">
        <f t="shared" si="5"/>
        <v>8.9252576264369027E-2</v>
      </c>
      <c r="Y34" s="36">
        <f t="shared" si="6"/>
        <v>9.1206587572199516E-2</v>
      </c>
      <c r="Z34" s="38">
        <f t="shared" si="7"/>
        <v>9.5754513018410481E-2</v>
      </c>
      <c r="AB34" s="23">
        <v>60</v>
      </c>
      <c r="AC34" s="45">
        <f>Y31</f>
        <v>8.8847862197381985E-2</v>
      </c>
      <c r="AD34" s="36">
        <v>0.1018424267519739</v>
      </c>
      <c r="AM34" s="15">
        <f t="shared" si="31"/>
        <v>75</v>
      </c>
      <c r="AN34" s="44">
        <f t="shared" si="8"/>
        <v>0.1097204471362697</v>
      </c>
      <c r="AO34" s="34">
        <f t="shared" si="9"/>
        <v>0.10972044716069325</v>
      </c>
      <c r="AP34" s="36">
        <f t="shared" si="10"/>
        <v>0.10972044717130593</v>
      </c>
      <c r="AQ34" s="38">
        <f t="shared" si="11"/>
        <v>0.10972044717681147</v>
      </c>
      <c r="AS34" s="23">
        <v>60</v>
      </c>
      <c r="AT34" s="45">
        <f>AP31</f>
        <v>0.10972044663271716</v>
      </c>
      <c r="AU34" s="36">
        <v>0.1018424267519739</v>
      </c>
      <c r="BD34" s="15">
        <f t="shared" si="32"/>
        <v>75</v>
      </c>
      <c r="BE34" s="44">
        <f t="shared" si="12"/>
        <v>0.10768642305077838</v>
      </c>
      <c r="BF34" s="34">
        <f t="shared" si="13"/>
        <v>0.10813867544095004</v>
      </c>
      <c r="BG34" s="36">
        <f t="shared" si="14"/>
        <v>0.10854086154476227</v>
      </c>
      <c r="BH34" s="38">
        <f t="shared" si="15"/>
        <v>0.10914195877601654</v>
      </c>
      <c r="BJ34" s="23">
        <v>60</v>
      </c>
      <c r="BK34" s="45">
        <f>BG31</f>
        <v>0.10741390051799407</v>
      </c>
      <c r="BL34" s="36">
        <v>0.1018424267519739</v>
      </c>
      <c r="BU34" s="15">
        <f t="shared" si="33"/>
        <v>75</v>
      </c>
      <c r="BV34" s="44">
        <f t="shared" si="16"/>
        <v>0.10972000075664429</v>
      </c>
      <c r="BW34" s="34">
        <f t="shared" si="17"/>
        <v>0.10972028391162902</v>
      </c>
      <c r="BX34" s="36">
        <f t="shared" si="18"/>
        <v>0.10972039668366278</v>
      </c>
      <c r="BY34" s="38">
        <f t="shared" si="19"/>
        <v>0.10972044425666846</v>
      </c>
      <c r="CA34" s="23">
        <v>60</v>
      </c>
      <c r="CB34" s="45">
        <f>BX31</f>
        <v>0.10971970898601226</v>
      </c>
      <c r="CC34" s="36">
        <v>0.1018424267519739</v>
      </c>
    </row>
    <row r="35" spans="4:82" x14ac:dyDescent="0.3">
      <c r="D35" s="15">
        <f t="shared" si="25"/>
        <v>80</v>
      </c>
      <c r="E35" s="30">
        <f t="shared" si="0"/>
        <v>0.10963607215306012</v>
      </c>
      <c r="F35" s="34">
        <f t="shared" si="1"/>
        <v>0.10967110393378381</v>
      </c>
      <c r="G35" s="36">
        <f t="shared" si="2"/>
        <v>0.10969405893637352</v>
      </c>
      <c r="H35" s="38">
        <f t="shared" si="3"/>
        <v>0.10971467575544856</v>
      </c>
      <c r="J35" s="23">
        <v>120</v>
      </c>
      <c r="K35" s="45">
        <f>G41</f>
        <v>0.10971970898601226</v>
      </c>
      <c r="L35" s="36">
        <v>9.0161671068370017E-2</v>
      </c>
      <c r="V35" s="15">
        <f t="shared" si="30"/>
        <v>80</v>
      </c>
      <c r="W35" s="44">
        <f t="shared" si="4"/>
        <v>8.8188988672950691E-2</v>
      </c>
      <c r="X35" s="34">
        <f t="shared" si="5"/>
        <v>8.9922600394257896E-2</v>
      </c>
      <c r="Y35" s="36">
        <f t="shared" si="6"/>
        <v>9.1932033984769818E-2</v>
      </c>
      <c r="Z35" s="38">
        <f t="shared" si="7"/>
        <v>9.6551579476819638E-2</v>
      </c>
      <c r="AB35" s="23">
        <v>120</v>
      </c>
      <c r="AC35" s="45">
        <f>Y41</f>
        <v>9.6800547228984346E-2</v>
      </c>
      <c r="AD35" s="36">
        <v>9.0161671068370017E-2</v>
      </c>
      <c r="AM35" s="15">
        <f t="shared" si="31"/>
        <v>80</v>
      </c>
      <c r="AN35" s="44">
        <f t="shared" si="8"/>
        <v>0.10972044716696513</v>
      </c>
      <c r="AO35" s="34">
        <f t="shared" si="9"/>
        <v>0.10972044717343048</v>
      </c>
      <c r="AP35" s="36">
        <f t="shared" si="10"/>
        <v>0.10972044717607009</v>
      </c>
      <c r="AQ35" s="38">
        <f t="shared" si="11"/>
        <v>0.1097204471773246</v>
      </c>
      <c r="AS35" s="23">
        <v>120</v>
      </c>
      <c r="AT35" s="45">
        <f>AP41</f>
        <v>0.10972044717744711</v>
      </c>
      <c r="AU35" s="36">
        <v>9.0161671068370017E-2</v>
      </c>
      <c r="BD35" s="15">
        <f t="shared" si="32"/>
        <v>80</v>
      </c>
      <c r="BE35" s="44">
        <f t="shared" si="12"/>
        <v>0.10803368591605358</v>
      </c>
      <c r="BF35" s="34">
        <f t="shared" si="13"/>
        <v>0.10843053390845853</v>
      </c>
      <c r="BG35" s="36">
        <f t="shared" si="14"/>
        <v>0.10877714272541258</v>
      </c>
      <c r="BH35" s="38">
        <f t="shared" si="15"/>
        <v>0.10927929535478159</v>
      </c>
      <c r="BJ35" s="23">
        <v>120</v>
      </c>
      <c r="BK35" s="45">
        <f>BG41</f>
        <v>0.10956267472964304</v>
      </c>
      <c r="BL35" s="36">
        <v>9.0161671068370017E-2</v>
      </c>
      <c r="BU35" s="15">
        <f t="shared" si="33"/>
        <v>80</v>
      </c>
      <c r="BV35" s="44">
        <f t="shared" si="16"/>
        <v>0.10972023605495806</v>
      </c>
      <c r="BW35" s="34">
        <f t="shared" si="17"/>
        <v>0.10972037497331287</v>
      </c>
      <c r="BX35" s="36">
        <f t="shared" si="18"/>
        <v>0.10972042652709028</v>
      </c>
      <c r="BY35" s="38">
        <f t="shared" si="19"/>
        <v>0.10972044618963958</v>
      </c>
      <c r="CA35" s="23">
        <v>120</v>
      </c>
      <c r="CB35" s="45">
        <f>BX41</f>
        <v>0.109720447161287</v>
      </c>
      <c r="CC35" s="36">
        <v>9.0161671068370017E-2</v>
      </c>
    </row>
    <row r="36" spans="4:82" x14ac:dyDescent="0.3">
      <c r="D36" s="15">
        <f t="shared" si="25"/>
        <v>85</v>
      </c>
      <c r="E36" s="30">
        <f t="shared" si="0"/>
        <v>0.10966242300595944</v>
      </c>
      <c r="F36" s="34">
        <f t="shared" si="1"/>
        <v>0.10968763303241137</v>
      </c>
      <c r="G36" s="36">
        <f t="shared" si="2"/>
        <v>0.10970357173132092</v>
      </c>
      <c r="H36" s="38">
        <f t="shared" si="3"/>
        <v>0.10971709080865309</v>
      </c>
      <c r="J36" s="23">
        <v>240</v>
      </c>
      <c r="K36" s="45">
        <f>G53</f>
        <v>0.109720447161287</v>
      </c>
      <c r="L36" s="36">
        <v>9.2516468769631724E-2</v>
      </c>
      <c r="V36" s="15">
        <f t="shared" si="30"/>
        <v>85</v>
      </c>
      <c r="W36" s="44">
        <f t="shared" si="4"/>
        <v>8.878427858256413E-2</v>
      </c>
      <c r="X36" s="34">
        <f t="shared" si="5"/>
        <v>9.0570691010077808E-2</v>
      </c>
      <c r="Y36" s="36">
        <f t="shared" si="6"/>
        <v>9.2629054531057659E-2</v>
      </c>
      <c r="Z36" s="38">
        <f t="shared" si="7"/>
        <v>9.7303155606269329E-2</v>
      </c>
      <c r="AB36" s="23">
        <v>240</v>
      </c>
      <c r="AC36" s="45">
        <f>Y53</f>
        <v>0.10477022176080644</v>
      </c>
      <c r="AD36" s="36">
        <v>9.2516468769631724E-2</v>
      </c>
      <c r="AM36" s="15">
        <f t="shared" si="31"/>
        <v>85</v>
      </c>
      <c r="AN36" s="44">
        <f t="shared" si="8"/>
        <v>0.10972044717477887</v>
      </c>
      <c r="AO36" s="34">
        <f t="shared" si="9"/>
        <v>0.10972044717648416</v>
      </c>
      <c r="AP36" s="36">
        <f t="shared" si="10"/>
        <v>0.10972044717713836</v>
      </c>
      <c r="AQ36" s="38">
        <f t="shared" si="11"/>
        <v>0.10972044717742351</v>
      </c>
      <c r="AS36" s="23">
        <v>240</v>
      </c>
      <c r="AT36" s="45">
        <f>AP53</f>
        <v>0.10972044717744713</v>
      </c>
      <c r="AU36" s="36">
        <v>9.2516468769631724E-2</v>
      </c>
      <c r="BD36" s="15">
        <f t="shared" si="32"/>
        <v>85</v>
      </c>
      <c r="BE36" s="44">
        <f t="shared" si="12"/>
        <v>0.1083216616293142</v>
      </c>
      <c r="BF36" s="34">
        <f t="shared" si="13"/>
        <v>0.10866854050651521</v>
      </c>
      <c r="BG36" s="36">
        <f t="shared" si="14"/>
        <v>0.10896609474675258</v>
      </c>
      <c r="BH36" s="38">
        <f t="shared" si="15"/>
        <v>0.10938402741490763</v>
      </c>
      <c r="BJ36" s="23">
        <v>240</v>
      </c>
      <c r="BK36" s="45">
        <f>BG53</f>
        <v>0.10971970898601226</v>
      </c>
      <c r="BL36" s="36">
        <v>9.2516468769631724E-2</v>
      </c>
      <c r="BU36" s="15">
        <f t="shared" si="33"/>
        <v>85</v>
      </c>
      <c r="BV36" s="44">
        <f t="shared" si="16"/>
        <v>0.1097203473328496</v>
      </c>
      <c r="BW36" s="34">
        <f t="shared" si="17"/>
        <v>0.10972041524524562</v>
      </c>
      <c r="BX36" s="36">
        <f t="shared" si="18"/>
        <v>0.10972043873210592</v>
      </c>
      <c r="BY36" s="38">
        <f t="shared" si="19"/>
        <v>0.10972044684337055</v>
      </c>
      <c r="CA36" s="23">
        <v>240</v>
      </c>
      <c r="CB36" s="45">
        <f>BX53</f>
        <v>0.10972044717744713</v>
      </c>
      <c r="CC36" s="36">
        <v>9.2516468769631724E-2</v>
      </c>
    </row>
    <row r="37" spans="4:82" x14ac:dyDescent="0.3">
      <c r="D37" s="15">
        <f t="shared" si="25"/>
        <v>90</v>
      </c>
      <c r="E37" s="30">
        <f t="shared" si="0"/>
        <v>0.10968054432110673</v>
      </c>
      <c r="F37" s="34">
        <f t="shared" si="1"/>
        <v>0.10969862518046261</v>
      </c>
      <c r="G37" s="36">
        <f t="shared" si="2"/>
        <v>0.10970965522351718</v>
      </c>
      <c r="H37" s="38">
        <f t="shared" si="3"/>
        <v>0.10971849528214569</v>
      </c>
      <c r="V37" s="15">
        <f t="shared" si="30"/>
        <v>90</v>
      </c>
      <c r="W37" s="44">
        <f t="shared" si="4"/>
        <v>8.9363110244520358E-2</v>
      </c>
      <c r="X37" s="34">
        <f t="shared" si="5"/>
        <v>9.1197566114387119E-2</v>
      </c>
      <c r="Y37" s="36">
        <f t="shared" si="6"/>
        <v>9.3298763049190714E-2</v>
      </c>
      <c r="Z37" s="38">
        <f t="shared" si="7"/>
        <v>9.8011837639491464E-2</v>
      </c>
      <c r="AM37" s="15">
        <f t="shared" si="31"/>
        <v>90</v>
      </c>
      <c r="AN37" s="44">
        <f t="shared" si="8"/>
        <v>0.1097204471767679</v>
      </c>
      <c r="AO37" s="34">
        <f t="shared" si="9"/>
        <v>0.10972044717721625</v>
      </c>
      <c r="AP37" s="36">
        <f t="shared" si="10"/>
        <v>0.10972044717737789</v>
      </c>
      <c r="AQ37" s="38">
        <f t="shared" si="11"/>
        <v>0.10972044717744257</v>
      </c>
      <c r="BD37" s="15">
        <f t="shared" si="32"/>
        <v>90</v>
      </c>
      <c r="BE37" s="44">
        <f t="shared" si="12"/>
        <v>0.10856047210898422</v>
      </c>
      <c r="BF37" s="34">
        <f t="shared" si="13"/>
        <v>0.10886263163980352</v>
      </c>
      <c r="BG37" s="36">
        <f t="shared" si="14"/>
        <v>0.10911719804778655</v>
      </c>
      <c r="BH37" s="38">
        <f t="shared" si="15"/>
        <v>0.10946389546256748</v>
      </c>
      <c r="BU37" s="15">
        <f t="shared" si="33"/>
        <v>90</v>
      </c>
      <c r="BV37" s="44">
        <f t="shared" si="16"/>
        <v>0.10972039995867995</v>
      </c>
      <c r="BW37" s="34">
        <f t="shared" si="17"/>
        <v>0.109720433055465</v>
      </c>
      <c r="BX37" s="36">
        <f t="shared" si="18"/>
        <v>0.10972044372357034</v>
      </c>
      <c r="BY37" s="38">
        <f t="shared" si="19"/>
        <v>0.10972044706446241</v>
      </c>
    </row>
    <row r="38" spans="4:82" x14ac:dyDescent="0.3">
      <c r="D38" s="15">
        <f t="shared" si="25"/>
        <v>95</v>
      </c>
      <c r="E38" s="30">
        <f t="shared" si="0"/>
        <v>0.10969300623510708</v>
      </c>
      <c r="F38" s="34">
        <f t="shared" si="1"/>
        <v>0.10970593515673553</v>
      </c>
      <c r="G38" s="36">
        <f t="shared" si="2"/>
        <v>0.10971354565503669</v>
      </c>
      <c r="H38" s="38">
        <f t="shared" si="3"/>
        <v>0.10971931205329911</v>
      </c>
      <c r="J38" t="s">
        <v>19</v>
      </c>
      <c r="V38" s="15">
        <f t="shared" si="30"/>
        <v>95</v>
      </c>
      <c r="W38" s="44">
        <f t="shared" si="4"/>
        <v>8.9925938687388809E-2</v>
      </c>
      <c r="X38" s="34">
        <f t="shared" si="5"/>
        <v>9.180392020563663E-2</v>
      </c>
      <c r="Y38" s="36">
        <f t="shared" si="6"/>
        <v>9.3942229732703303E-2</v>
      </c>
      <c r="Z38" s="38">
        <f t="shared" si="7"/>
        <v>9.8680073636528268E-2</v>
      </c>
      <c r="AB38" t="s">
        <v>19</v>
      </c>
      <c r="AM38" s="15">
        <f t="shared" si="31"/>
        <v>95</v>
      </c>
      <c r="AN38" s="44">
        <f t="shared" si="8"/>
        <v>0.10972044717727422</v>
      </c>
      <c r="AO38" s="34">
        <f t="shared" si="9"/>
        <v>0.10972044717739178</v>
      </c>
      <c r="AP38" s="36">
        <f t="shared" si="10"/>
        <v>0.1097204471774316</v>
      </c>
      <c r="AQ38" s="38">
        <f t="shared" si="11"/>
        <v>0.10972044717744625</v>
      </c>
      <c r="AS38" t="s">
        <v>19</v>
      </c>
      <c r="BD38" s="15">
        <f t="shared" si="32"/>
        <v>95</v>
      </c>
      <c r="BE38" s="44">
        <f t="shared" si="12"/>
        <v>0.10875851118858056</v>
      </c>
      <c r="BF38" s="34">
        <f t="shared" si="13"/>
        <v>0.10902091031076781</v>
      </c>
      <c r="BG38" s="36">
        <f t="shared" si="14"/>
        <v>0.10923803405378134</v>
      </c>
      <c r="BH38" s="38">
        <f t="shared" si="15"/>
        <v>0.1095248023618428</v>
      </c>
      <c r="BJ38" t="s">
        <v>19</v>
      </c>
      <c r="BU38" s="15">
        <f t="shared" si="33"/>
        <v>95</v>
      </c>
      <c r="BV38" s="44">
        <f t="shared" si="16"/>
        <v>0.10972042484662474</v>
      </c>
      <c r="BW38" s="34">
        <f t="shared" si="17"/>
        <v>0.10972044093201556</v>
      </c>
      <c r="BX38" s="36">
        <f t="shared" si="18"/>
        <v>0.10972044576492103</v>
      </c>
      <c r="BY38" s="38">
        <f t="shared" si="19"/>
        <v>0.10972044713923569</v>
      </c>
      <c r="CA38" t="s">
        <v>19</v>
      </c>
    </row>
    <row r="39" spans="4:82" x14ac:dyDescent="0.3">
      <c r="D39" s="15">
        <f t="shared" si="25"/>
        <v>100</v>
      </c>
      <c r="E39" s="30">
        <f t="shared" si="0"/>
        <v>0.10970157621467479</v>
      </c>
      <c r="F39" s="34">
        <f t="shared" si="1"/>
        <v>0.10971079642251011</v>
      </c>
      <c r="G39" s="36">
        <f t="shared" si="2"/>
        <v>0.10971603361046094</v>
      </c>
      <c r="H39" s="38">
        <f t="shared" si="3"/>
        <v>0.10971978704632715</v>
      </c>
      <c r="J39" s="26" t="s">
        <v>11</v>
      </c>
      <c r="K39" s="26" t="s">
        <v>15</v>
      </c>
      <c r="L39" s="27" t="s">
        <v>16</v>
      </c>
      <c r="M39" s="27" t="s">
        <v>21</v>
      </c>
      <c r="V39" s="15">
        <f t="shared" si="30"/>
        <v>100</v>
      </c>
      <c r="W39" s="44">
        <f t="shared" si="4"/>
        <v>9.0473206359359487E-2</v>
      </c>
      <c r="X39" s="34">
        <f t="shared" si="5"/>
        <v>9.2390425047586128E-2</v>
      </c>
      <c r="Y39" s="36">
        <f t="shared" si="6"/>
        <v>9.4560482840704577E-2</v>
      </c>
      <c r="Z39" s="38">
        <f t="shared" si="7"/>
        <v>9.9310171941272202E-2</v>
      </c>
      <c r="AB39" s="26" t="s">
        <v>11</v>
      </c>
      <c r="AC39" s="26" t="s">
        <v>15</v>
      </c>
      <c r="AD39" s="27" t="s">
        <v>16</v>
      </c>
      <c r="AE39" s="27" t="s">
        <v>21</v>
      </c>
      <c r="AM39" s="15">
        <f t="shared" si="31"/>
        <v>100</v>
      </c>
      <c r="AN39" s="44">
        <f t="shared" si="8"/>
        <v>0.10972044717740312</v>
      </c>
      <c r="AO39" s="34">
        <f t="shared" si="9"/>
        <v>0.10972044717743386</v>
      </c>
      <c r="AP39" s="36">
        <f t="shared" si="10"/>
        <v>0.10972044717744364</v>
      </c>
      <c r="AQ39" s="38">
        <f t="shared" si="11"/>
        <v>0.10972044717744696</v>
      </c>
      <c r="AS39" s="26" t="s">
        <v>11</v>
      </c>
      <c r="AT39" s="26" t="s">
        <v>15</v>
      </c>
      <c r="AU39" s="27" t="s">
        <v>16</v>
      </c>
      <c r="AV39" s="27" t="s">
        <v>21</v>
      </c>
      <c r="BD39" s="15">
        <f t="shared" si="32"/>
        <v>100</v>
      </c>
      <c r="BE39" s="44">
        <f t="shared" si="12"/>
        <v>0.10892273964748887</v>
      </c>
      <c r="BF39" s="34">
        <f t="shared" si="13"/>
        <v>0.10914998440734185</v>
      </c>
      <c r="BG39" s="36">
        <f t="shared" si="14"/>
        <v>0.10933466556510411</v>
      </c>
      <c r="BH39" s="38">
        <f t="shared" si="15"/>
        <v>0.10957124960185965</v>
      </c>
      <c r="BJ39" s="26" t="s">
        <v>11</v>
      </c>
      <c r="BK39" s="26" t="s">
        <v>15</v>
      </c>
      <c r="BL39" s="27" t="s">
        <v>16</v>
      </c>
      <c r="BM39" s="27" t="s">
        <v>21</v>
      </c>
      <c r="BU39" s="15">
        <f t="shared" si="33"/>
        <v>100</v>
      </c>
      <c r="BV39" s="44">
        <f t="shared" si="16"/>
        <v>0.10972043661669643</v>
      </c>
      <c r="BW39" s="34">
        <f t="shared" si="17"/>
        <v>0.10972044441541166</v>
      </c>
      <c r="BX39" s="36">
        <f t="shared" si="18"/>
        <v>0.10972044659976873</v>
      </c>
      <c r="BY39" s="38">
        <f t="shared" si="19"/>
        <v>0.10972044716452402</v>
      </c>
      <c r="CA39" s="26" t="s">
        <v>11</v>
      </c>
      <c r="CB39" s="26" t="s">
        <v>15</v>
      </c>
      <c r="CC39" s="27" t="s">
        <v>16</v>
      </c>
      <c r="CD39" s="27" t="s">
        <v>21</v>
      </c>
    </row>
    <row r="40" spans="4:82" x14ac:dyDescent="0.3">
      <c r="D40" s="15">
        <f>D39+10</f>
        <v>110</v>
      </c>
      <c r="E40" s="30">
        <f t="shared" si="0"/>
        <v>0.10971152267257166</v>
      </c>
      <c r="F40" s="34">
        <f t="shared" si="1"/>
        <v>0.1097161791413494</v>
      </c>
      <c r="G40" s="36">
        <f t="shared" si="2"/>
        <v>0.10971864216848692</v>
      </c>
      <c r="H40" s="38">
        <f t="shared" si="3"/>
        <v>0.10972022392105871</v>
      </c>
      <c r="J40" s="28">
        <v>0</v>
      </c>
      <c r="K40" s="46">
        <f>F3</f>
        <v>7.5999999999999998E-2</v>
      </c>
      <c r="L40" s="34">
        <v>7.5999999999999998E-2</v>
      </c>
      <c r="M40" s="19" cm="1">
        <f t="array" ref="M40">SQRT(SUMSQ(K40:K45-L40:L45)/COUNTA(K40:K45-L40:L45))</f>
        <v>1.2731809278082363E-2</v>
      </c>
      <c r="V40" s="15">
        <f>V39+10</f>
        <v>110</v>
      </c>
      <c r="W40" s="44">
        <f t="shared" si="4"/>
        <v>9.1522768358747203E-2</v>
      </c>
      <c r="X40" s="34">
        <f t="shared" si="5"/>
        <v>9.3506464806183284E-2</v>
      </c>
      <c r="Y40" s="36">
        <f t="shared" si="6"/>
        <v>9.5725261489040647E-2</v>
      </c>
      <c r="Z40" s="38">
        <f t="shared" si="7"/>
        <v>0.10046453765705507</v>
      </c>
      <c r="AB40" s="28">
        <v>0</v>
      </c>
      <c r="AC40" s="46">
        <f>X3</f>
        <v>7.5999999999999998E-2</v>
      </c>
      <c r="AD40" s="34">
        <v>7.5999999999999998E-2</v>
      </c>
      <c r="AE40" s="19" cm="1">
        <f t="array" ref="AE40">SQRT(SUMSQ(AC40:AC45-AD40:AD45)/COUNTA(AC40:AC45-AD40:AD45))</f>
        <v>1.6581362572044425E-2</v>
      </c>
      <c r="AM40" s="15">
        <f>AM39+10</f>
        <v>110</v>
      </c>
      <c r="AN40" s="44">
        <f t="shared" si="8"/>
        <v>0.10972044717744427</v>
      </c>
      <c r="AO40" s="34">
        <f t="shared" si="9"/>
        <v>0.10972044717744636</v>
      </c>
      <c r="AP40" s="36">
        <f t="shared" si="10"/>
        <v>0.10972044717744694</v>
      </c>
      <c r="AQ40" s="38">
        <f t="shared" si="11"/>
        <v>0.10972044717744713</v>
      </c>
      <c r="AS40" s="28">
        <v>0</v>
      </c>
      <c r="AT40" s="46">
        <f>AO3</f>
        <v>7.5999999999999998E-2</v>
      </c>
      <c r="AU40" s="34">
        <v>7.5999999999999998E-2</v>
      </c>
      <c r="AV40" s="19" cm="1">
        <f t="array" ref="AV40">SQRT(SUMSQ(AT40:AT45-AU40:AU45)/COUNTA(AT40:AT45-AU40:AU45))</f>
        <v>1.2809035715643173E-2</v>
      </c>
      <c r="BD40" s="15">
        <f>BD39+10</f>
        <v>110</v>
      </c>
      <c r="BE40" s="44">
        <f t="shared" si="12"/>
        <v>0.10917186874619229</v>
      </c>
      <c r="BF40" s="34">
        <f t="shared" si="13"/>
        <v>0.10934107916906373</v>
      </c>
      <c r="BG40" s="36">
        <f t="shared" si="14"/>
        <v>0.10947373741011482</v>
      </c>
      <c r="BH40" s="38">
        <f t="shared" si="15"/>
        <v>0.10963368137051568</v>
      </c>
      <c r="BJ40" s="28">
        <v>0</v>
      </c>
      <c r="BK40" s="46">
        <f>BF3</f>
        <v>7.5999999999999998E-2</v>
      </c>
      <c r="BL40" s="34">
        <v>7.5999999999999998E-2</v>
      </c>
      <c r="BM40" s="19" cm="1">
        <f t="array" ref="BM40">SQRT(SUMSQ(BK40:BK45-BL40:BL45)/COUNTA(BK40:BK45-BL40:BL45))</f>
        <v>1.3878485822632335E-2</v>
      </c>
      <c r="BU40" s="15">
        <f>BU39+10</f>
        <v>110</v>
      </c>
      <c r="BV40" s="44">
        <f t="shared" si="16"/>
        <v>0.10972044481547408</v>
      </c>
      <c r="BW40" s="34">
        <f t="shared" si="17"/>
        <v>0.10972044663723685</v>
      </c>
      <c r="BX40" s="36">
        <f t="shared" si="18"/>
        <v>0.10972044708082748</v>
      </c>
      <c r="BY40" s="38">
        <f t="shared" si="19"/>
        <v>0.10972044717596899</v>
      </c>
      <c r="CA40" s="28">
        <v>0</v>
      </c>
      <c r="CB40" s="46">
        <f>BW3</f>
        <v>7.5999999999999998E-2</v>
      </c>
      <c r="CC40" s="34">
        <v>7.5999999999999998E-2</v>
      </c>
      <c r="CD40" s="19" cm="1">
        <f t="array" ref="CD40">SQRT(SUMSQ(CB40:CB45-CC40:CC45)/COUNTA(CB40:CB45-CC40:CC45))</f>
        <v>1.2517290187389311E-2</v>
      </c>
    </row>
    <row r="41" spans="4:82" x14ac:dyDescent="0.3">
      <c r="D41" s="15">
        <f t="shared" ref="D41:D59" si="34">D40+10</f>
        <v>120</v>
      </c>
      <c r="E41" s="39">
        <f t="shared" si="0"/>
        <v>0.10971622657735199</v>
      </c>
      <c r="F41" s="40">
        <f t="shared" si="1"/>
        <v>0.10971855964302621</v>
      </c>
      <c r="G41" s="41">
        <f t="shared" si="2"/>
        <v>0.10971970898601226</v>
      </c>
      <c r="H41" s="42">
        <f t="shared" si="3"/>
        <v>0.1097203716721218</v>
      </c>
      <c r="J41" s="26">
        <v>10</v>
      </c>
      <c r="K41" s="46">
        <f>F13</f>
        <v>9.4807615308434748E-2</v>
      </c>
      <c r="L41" s="34">
        <v>0.10069087208399324</v>
      </c>
      <c r="V41" s="15">
        <f t="shared" ref="V41:V59" si="35">V40+10</f>
        <v>120</v>
      </c>
      <c r="W41" s="44">
        <f t="shared" si="4"/>
        <v>9.2515097199316471E-2</v>
      </c>
      <c r="X41" s="34">
        <f t="shared" si="5"/>
        <v>9.4550632484442843E-2</v>
      </c>
      <c r="Y41" s="36">
        <f t="shared" si="6"/>
        <v>9.6800547228984346E-2</v>
      </c>
      <c r="Z41" s="38">
        <f t="shared" si="7"/>
        <v>0.10149089905253485</v>
      </c>
      <c r="AB41" s="26">
        <v>10</v>
      </c>
      <c r="AC41" s="46">
        <f>X13</f>
        <v>7.8171570206068047E-2</v>
      </c>
      <c r="AD41" s="34">
        <v>0.10069087208399324</v>
      </c>
      <c r="AM41" s="15">
        <f t="shared" ref="AM41:AM59" si="36">AM40+10</f>
        <v>120</v>
      </c>
      <c r="AN41" s="44">
        <f t="shared" si="8"/>
        <v>0.10972044717744694</v>
      </c>
      <c r="AO41" s="34">
        <f t="shared" si="9"/>
        <v>0.10972044717744708</v>
      </c>
      <c r="AP41" s="36">
        <f t="shared" si="10"/>
        <v>0.10972044717744711</v>
      </c>
      <c r="AQ41" s="38">
        <f t="shared" si="11"/>
        <v>0.10972044717744713</v>
      </c>
      <c r="AS41" s="26">
        <v>10</v>
      </c>
      <c r="AT41" s="46">
        <f>AO13</f>
        <v>0.10778228740094986</v>
      </c>
      <c r="AU41" s="34">
        <v>0.10069087208399324</v>
      </c>
      <c r="BD41" s="15">
        <f t="shared" ref="BD41:BD59" si="37">BD40+10</f>
        <v>120</v>
      </c>
      <c r="BE41" s="44">
        <f t="shared" si="12"/>
        <v>0.10934319325425329</v>
      </c>
      <c r="BF41" s="34">
        <f t="shared" si="13"/>
        <v>0.10946816062462227</v>
      </c>
      <c r="BG41" s="36">
        <f t="shared" si="14"/>
        <v>0.10956267472964304</v>
      </c>
      <c r="BH41" s="38">
        <f t="shared" si="15"/>
        <v>0.10966998854752086</v>
      </c>
      <c r="BJ41" s="26">
        <v>10</v>
      </c>
      <c r="BK41" s="46">
        <f>BF13</f>
        <v>8.7295742958546446E-2</v>
      </c>
      <c r="BL41" s="34">
        <v>0.10069087208399324</v>
      </c>
      <c r="BU41" s="15">
        <f t="shared" ref="BU41:BU59" si="38">BU40+10</f>
        <v>120</v>
      </c>
      <c r="BV41" s="44">
        <f t="shared" si="16"/>
        <v>0.10972044664917818</v>
      </c>
      <c r="BW41" s="34">
        <f t="shared" si="17"/>
        <v>0.10972044707179057</v>
      </c>
      <c r="BX41" s="36">
        <f t="shared" si="18"/>
        <v>0.109720447161287</v>
      </c>
      <c r="BY41" s="38">
        <f t="shared" si="19"/>
        <v>0.10972044717727805</v>
      </c>
      <c r="CA41" s="26">
        <v>10</v>
      </c>
      <c r="CB41" s="46">
        <f>BW13</f>
        <v>0.10312526315799642</v>
      </c>
      <c r="CC41" s="34">
        <v>0.10069087208399324</v>
      </c>
    </row>
    <row r="42" spans="4:82" x14ac:dyDescent="0.3">
      <c r="D42" s="15">
        <f t="shared" si="34"/>
        <v>130</v>
      </c>
      <c r="E42" s="30">
        <f t="shared" si="0"/>
        <v>0.10971845116025496</v>
      </c>
      <c r="F42" s="34">
        <f t="shared" si="1"/>
        <v>0.10971961241735874</v>
      </c>
      <c r="G42" s="36">
        <f t="shared" si="2"/>
        <v>0.10972014528055546</v>
      </c>
      <c r="H42" s="38">
        <f t="shared" si="3"/>
        <v>0.10972042164154111</v>
      </c>
      <c r="J42" s="26">
        <v>30</v>
      </c>
      <c r="K42" s="46">
        <f>F25</f>
        <v>0.10680373406537885</v>
      </c>
      <c r="L42" s="34">
        <v>0.10972044717744713</v>
      </c>
      <c r="V42" s="15">
        <f t="shared" si="35"/>
        <v>130</v>
      </c>
      <c r="W42" s="44">
        <f t="shared" si="4"/>
        <v>9.3453313834827273E-2</v>
      </c>
      <c r="X42" s="34">
        <f t="shared" si="5"/>
        <v>9.5527556587659768E-2</v>
      </c>
      <c r="Y42" s="36">
        <f t="shared" si="6"/>
        <v>9.7793216028483732E-2</v>
      </c>
      <c r="Z42" s="38">
        <f t="shared" si="7"/>
        <v>0.10240345016153651</v>
      </c>
      <c r="AB42" s="26">
        <v>30</v>
      </c>
      <c r="AC42" s="46">
        <f>X25</f>
        <v>8.2104174454773457E-2</v>
      </c>
      <c r="AD42" s="34">
        <v>0.10972044717744713</v>
      </c>
      <c r="AM42" s="15">
        <f t="shared" si="36"/>
        <v>130</v>
      </c>
      <c r="AN42" s="44">
        <f t="shared" si="8"/>
        <v>0.10972044717744711</v>
      </c>
      <c r="AO42" s="34">
        <f t="shared" si="9"/>
        <v>0.10972044717744713</v>
      </c>
      <c r="AP42" s="36">
        <f t="shared" si="10"/>
        <v>0.10972044717744713</v>
      </c>
      <c r="AQ42" s="38">
        <f t="shared" si="11"/>
        <v>0.10972044717744713</v>
      </c>
      <c r="AS42" s="26">
        <v>30</v>
      </c>
      <c r="AT42" s="46">
        <f>AO25</f>
        <v>0.10971404419843854</v>
      </c>
      <c r="AU42" s="34">
        <v>0.10972044717744713</v>
      </c>
      <c r="BD42" s="15">
        <f t="shared" si="37"/>
        <v>130</v>
      </c>
      <c r="BE42" s="44">
        <f t="shared" si="12"/>
        <v>0.10946101203662398</v>
      </c>
      <c r="BF42" s="34">
        <f t="shared" si="13"/>
        <v>0.10955267207957453</v>
      </c>
      <c r="BG42" s="36">
        <f t="shared" si="14"/>
        <v>0.10961955070482161</v>
      </c>
      <c r="BH42" s="38">
        <f t="shared" si="15"/>
        <v>0.10969110297580732</v>
      </c>
      <c r="BJ42" s="26">
        <v>30</v>
      </c>
      <c r="BK42" s="46">
        <f>BF25</f>
        <v>9.980314560760134E-2</v>
      </c>
      <c r="BL42" s="34">
        <v>0.10972044717744713</v>
      </c>
      <c r="BU42" s="15">
        <f t="shared" si="38"/>
        <v>130</v>
      </c>
      <c r="BV42" s="44">
        <f t="shared" si="16"/>
        <v>0.10972044705929672</v>
      </c>
      <c r="BW42" s="34">
        <f t="shared" si="17"/>
        <v>0.10972044715678238</v>
      </c>
      <c r="BX42" s="36">
        <f t="shared" si="18"/>
        <v>0.10972044717474426</v>
      </c>
      <c r="BY42" s="38">
        <f t="shared" si="19"/>
        <v>0.10972044717742779</v>
      </c>
      <c r="CA42" s="26">
        <v>30</v>
      </c>
      <c r="CB42" s="46">
        <f>BW25</f>
        <v>0.10946816062462227</v>
      </c>
      <c r="CC42" s="34">
        <v>0.10972044717744713</v>
      </c>
    </row>
    <row r="43" spans="4:82" x14ac:dyDescent="0.3">
      <c r="D43" s="15">
        <f t="shared" si="34"/>
        <v>140</v>
      </c>
      <c r="E43" s="30">
        <f t="shared" si="0"/>
        <v>0.10971950321579674</v>
      </c>
      <c r="F43" s="34">
        <f t="shared" si="1"/>
        <v>0.10972007800568663</v>
      </c>
      <c r="G43" s="36">
        <f t="shared" si="2"/>
        <v>0.10972032371119042</v>
      </c>
      <c r="H43" s="38">
        <f t="shared" si="3"/>
        <v>0.10972043854120202</v>
      </c>
      <c r="J43" s="26">
        <v>60</v>
      </c>
      <c r="K43" s="46">
        <f>F31</f>
        <v>0.10946816062462227</v>
      </c>
      <c r="L43" s="34">
        <v>0.10050961300625309</v>
      </c>
      <c r="V43" s="15">
        <f t="shared" si="35"/>
        <v>140</v>
      </c>
      <c r="W43" s="44">
        <f t="shared" si="4"/>
        <v>9.4340369031816446E-2</v>
      </c>
      <c r="X43" s="34">
        <f t="shared" si="5"/>
        <v>9.6441567549038099E-2</v>
      </c>
      <c r="Y43" s="36">
        <f t="shared" si="6"/>
        <v>9.8709615557367222E-2</v>
      </c>
      <c r="Z43" s="38">
        <f t="shared" si="7"/>
        <v>0.10321481108197614</v>
      </c>
      <c r="AB43" s="26">
        <v>60</v>
      </c>
      <c r="AC43" s="46">
        <f>X31</f>
        <v>8.7103353309155557E-2</v>
      </c>
      <c r="AD43" s="34">
        <v>0.10050961300625309</v>
      </c>
      <c r="AM43" s="15">
        <f t="shared" si="36"/>
        <v>140</v>
      </c>
      <c r="AN43" s="44">
        <f t="shared" si="8"/>
        <v>0.10972044717744713</v>
      </c>
      <c r="AO43" s="34">
        <f t="shared" si="9"/>
        <v>0.10972044717744713</v>
      </c>
      <c r="AP43" s="36">
        <f t="shared" si="10"/>
        <v>0.10972044717744713</v>
      </c>
      <c r="AQ43" s="38">
        <f t="shared" si="11"/>
        <v>0.10972044717744713</v>
      </c>
      <c r="AS43" s="26">
        <v>60</v>
      </c>
      <c r="AT43" s="46">
        <f>AO31</f>
        <v>0.1097204459616228</v>
      </c>
      <c r="AU43" s="34">
        <v>0.10050961300625309</v>
      </c>
      <c r="BD43" s="15">
        <f t="shared" si="37"/>
        <v>140</v>
      </c>
      <c r="BE43" s="44">
        <f t="shared" si="12"/>
        <v>0.10954203526929754</v>
      </c>
      <c r="BF43" s="34">
        <f t="shared" si="13"/>
        <v>0.10960887371801785</v>
      </c>
      <c r="BG43" s="36">
        <f t="shared" si="14"/>
        <v>0.10965592324864992</v>
      </c>
      <c r="BH43" s="38">
        <f t="shared" si="15"/>
        <v>0.10970338206547053</v>
      </c>
      <c r="BJ43" s="26">
        <v>60</v>
      </c>
      <c r="BK43" s="46">
        <f>BF31</f>
        <v>0.10680373406537885</v>
      </c>
      <c r="BL43" s="34">
        <v>0.10050961300625309</v>
      </c>
      <c r="BU43" s="15">
        <f t="shared" si="38"/>
        <v>140</v>
      </c>
      <c r="BV43" s="44">
        <f t="shared" si="16"/>
        <v>0.1097204471510221</v>
      </c>
      <c r="BW43" s="34">
        <f t="shared" si="17"/>
        <v>0.10972044717340543</v>
      </c>
      <c r="BX43" s="36">
        <f t="shared" si="18"/>
        <v>0.10972044717699506</v>
      </c>
      <c r="BY43" s="38">
        <f t="shared" si="19"/>
        <v>0.10972044717744492</v>
      </c>
      <c r="CA43" s="26">
        <v>60</v>
      </c>
      <c r="CB43" s="46">
        <f>BW31</f>
        <v>0.10971855964302621</v>
      </c>
      <c r="CC43" s="34">
        <v>0.10050961300625309</v>
      </c>
    </row>
    <row r="44" spans="4:82" x14ac:dyDescent="0.3">
      <c r="D44" s="15">
        <f t="shared" si="34"/>
        <v>150</v>
      </c>
      <c r="E44" s="30">
        <f t="shared" si="0"/>
        <v>0.10972000075664429</v>
      </c>
      <c r="F44" s="34">
        <f t="shared" si="1"/>
        <v>0.10972028391162902</v>
      </c>
      <c r="G44" s="36">
        <f t="shared" si="2"/>
        <v>0.10972039668366278</v>
      </c>
      <c r="H44" s="38">
        <f t="shared" si="3"/>
        <v>0.10972044425666846</v>
      </c>
      <c r="J44" s="26">
        <v>120</v>
      </c>
      <c r="K44" s="46">
        <f>F41</f>
        <v>0.10971855964302621</v>
      </c>
      <c r="L44" s="34">
        <v>8.788893040268185E-2</v>
      </c>
      <c r="V44" s="15">
        <f t="shared" si="35"/>
        <v>150</v>
      </c>
      <c r="W44" s="44">
        <f t="shared" si="4"/>
        <v>9.5179052649994988E-2</v>
      </c>
      <c r="X44" s="34">
        <f t="shared" si="5"/>
        <v>9.7296716925298538E-2</v>
      </c>
      <c r="Y44" s="36">
        <f t="shared" si="6"/>
        <v>9.9555605777832915E-2</v>
      </c>
      <c r="Z44" s="38">
        <f t="shared" si="7"/>
        <v>0.10393620250512267</v>
      </c>
      <c r="AB44" s="26">
        <v>120</v>
      </c>
      <c r="AC44" s="46">
        <f>X41</f>
        <v>9.4550632484442843E-2</v>
      </c>
      <c r="AD44" s="34">
        <v>8.788893040268185E-2</v>
      </c>
      <c r="AM44" s="15">
        <f t="shared" si="36"/>
        <v>150</v>
      </c>
      <c r="AN44" s="44">
        <f t="shared" si="8"/>
        <v>0.10972044717744713</v>
      </c>
      <c r="AO44" s="34">
        <f t="shared" si="9"/>
        <v>0.10972044717744713</v>
      </c>
      <c r="AP44" s="36">
        <f t="shared" si="10"/>
        <v>0.10972044717744713</v>
      </c>
      <c r="AQ44" s="38">
        <f t="shared" si="11"/>
        <v>0.10972044717744713</v>
      </c>
      <c r="AS44" s="26">
        <v>120</v>
      </c>
      <c r="AT44" s="46">
        <f>AO41</f>
        <v>0.10972044717744708</v>
      </c>
      <c r="AU44" s="34">
        <v>8.788893040268185E-2</v>
      </c>
      <c r="BD44" s="15">
        <f t="shared" si="37"/>
        <v>150</v>
      </c>
      <c r="BE44" s="44">
        <f t="shared" si="12"/>
        <v>0.10959775443478867</v>
      </c>
      <c r="BF44" s="34">
        <f t="shared" si="13"/>
        <v>0.10964624881900856</v>
      </c>
      <c r="BG44" s="36">
        <f t="shared" si="14"/>
        <v>0.10967918371918056</v>
      </c>
      <c r="BH44" s="38">
        <f t="shared" si="15"/>
        <v>0.10971052296651278</v>
      </c>
      <c r="BJ44" s="26">
        <v>120</v>
      </c>
      <c r="BK44" s="46">
        <f>BF41</f>
        <v>0.10946816062462227</v>
      </c>
      <c r="BL44" s="34">
        <v>8.788893040268185E-2</v>
      </c>
      <c r="BU44" s="15">
        <f t="shared" si="38"/>
        <v>150</v>
      </c>
      <c r="BV44" s="44">
        <f t="shared" si="16"/>
        <v>0.10972044717153702</v>
      </c>
      <c r="BW44" s="34">
        <f t="shared" si="17"/>
        <v>0.10972044717665663</v>
      </c>
      <c r="BX44" s="36">
        <f t="shared" si="18"/>
        <v>0.10972044717737152</v>
      </c>
      <c r="BY44" s="38">
        <f t="shared" si="19"/>
        <v>0.10972044717744688</v>
      </c>
      <c r="CA44" s="26">
        <v>120</v>
      </c>
      <c r="CB44" s="46">
        <f>BW41</f>
        <v>0.10972044707179057</v>
      </c>
      <c r="CC44" s="34">
        <v>8.788893040268185E-2</v>
      </c>
    </row>
    <row r="45" spans="4:82" x14ac:dyDescent="0.3">
      <c r="D45" s="15">
        <f t="shared" si="34"/>
        <v>160</v>
      </c>
      <c r="E45" s="30">
        <f t="shared" si="0"/>
        <v>0.10972023605495806</v>
      </c>
      <c r="F45" s="34">
        <f t="shared" si="1"/>
        <v>0.10972037497331287</v>
      </c>
      <c r="G45" s="36">
        <f t="shared" si="2"/>
        <v>0.10972042652709028</v>
      </c>
      <c r="H45" s="38">
        <f t="shared" si="3"/>
        <v>0.10972044618963958</v>
      </c>
      <c r="J45" s="26">
        <v>240</v>
      </c>
      <c r="K45" s="46">
        <f>F53</f>
        <v>0.10972044707179057</v>
      </c>
      <c r="L45" s="34">
        <v>9.0415380610003052E-2</v>
      </c>
      <c r="V45" s="15">
        <f t="shared" si="35"/>
        <v>160</v>
      </c>
      <c r="W45" s="44">
        <f t="shared" si="4"/>
        <v>9.5972002416580521E-2</v>
      </c>
      <c r="X45" s="34">
        <f t="shared" si="5"/>
        <v>9.809679535610405E-2</v>
      </c>
      <c r="Y45" s="36">
        <f t="shared" si="6"/>
        <v>0.10033659641626717</v>
      </c>
      <c r="Z45" s="38">
        <f t="shared" si="7"/>
        <v>0.10457760089180783</v>
      </c>
      <c r="AB45" s="26">
        <v>240</v>
      </c>
      <c r="AC45" s="46">
        <f>X53</f>
        <v>0.10289600393655204</v>
      </c>
      <c r="AD45" s="34">
        <v>9.0415380610003052E-2</v>
      </c>
      <c r="AM45" s="15">
        <f t="shared" si="36"/>
        <v>160</v>
      </c>
      <c r="AN45" s="44">
        <f t="shared" si="8"/>
        <v>0.10972044717744713</v>
      </c>
      <c r="AO45" s="34">
        <f t="shared" si="9"/>
        <v>0.10972044717744713</v>
      </c>
      <c r="AP45" s="36">
        <f t="shared" si="10"/>
        <v>0.10972044717744713</v>
      </c>
      <c r="AQ45" s="38">
        <f t="shared" si="11"/>
        <v>0.10972044717744713</v>
      </c>
      <c r="AS45" s="26">
        <v>240</v>
      </c>
      <c r="AT45" s="46">
        <f>AO53</f>
        <v>0.10972044717744713</v>
      </c>
      <c r="AU45" s="34">
        <v>9.0415380610003052E-2</v>
      </c>
      <c r="BD45" s="15">
        <f t="shared" si="37"/>
        <v>160</v>
      </c>
      <c r="BE45" s="44">
        <f t="shared" si="12"/>
        <v>0.10963607215306012</v>
      </c>
      <c r="BF45" s="34">
        <f t="shared" si="13"/>
        <v>0.10967110393378381</v>
      </c>
      <c r="BG45" s="36">
        <f t="shared" si="14"/>
        <v>0.10969405893637352</v>
      </c>
      <c r="BH45" s="38">
        <f t="shared" si="15"/>
        <v>0.10971467575544856</v>
      </c>
      <c r="BJ45" s="26">
        <v>240</v>
      </c>
      <c r="BK45" s="46">
        <f>BF53</f>
        <v>0.10971855964302621</v>
      </c>
      <c r="BL45" s="34">
        <v>9.0415380610003052E-2</v>
      </c>
      <c r="BU45" s="15">
        <f t="shared" si="38"/>
        <v>160</v>
      </c>
      <c r="BV45" s="44">
        <f t="shared" si="16"/>
        <v>0.10972044717612529</v>
      </c>
      <c r="BW45" s="34">
        <f t="shared" si="17"/>
        <v>0.10972044717729251</v>
      </c>
      <c r="BX45" s="36">
        <f t="shared" si="18"/>
        <v>0.10972044717743448</v>
      </c>
      <c r="BY45" s="38">
        <f t="shared" si="19"/>
        <v>0.1097204471774471</v>
      </c>
      <c r="CA45" s="26">
        <v>240</v>
      </c>
      <c r="CB45" s="46">
        <f>BW53</f>
        <v>0.10972044717744713</v>
      </c>
      <c r="CC45" s="34">
        <v>9.0415380610003052E-2</v>
      </c>
    </row>
    <row r="46" spans="4:82" x14ac:dyDescent="0.3">
      <c r="D46" s="15">
        <f t="shared" si="34"/>
        <v>170</v>
      </c>
      <c r="E46" s="30">
        <f t="shared" si="0"/>
        <v>0.1097203473328496</v>
      </c>
      <c r="F46" s="34">
        <f t="shared" si="1"/>
        <v>0.10972041524524562</v>
      </c>
      <c r="G46" s="36">
        <f t="shared" si="2"/>
        <v>0.10972043873210592</v>
      </c>
      <c r="H46" s="38">
        <f t="shared" si="3"/>
        <v>0.10972044684337055</v>
      </c>
      <c r="V46" s="15">
        <f t="shared" si="35"/>
        <v>170</v>
      </c>
      <c r="W46" s="44">
        <f t="shared" si="4"/>
        <v>9.6721712222160888E-2</v>
      </c>
      <c r="X46" s="34">
        <f t="shared" si="5"/>
        <v>9.8845349366912638E-2</v>
      </c>
      <c r="Y46" s="36">
        <f t="shared" si="6"/>
        <v>0.10105758155600815</v>
      </c>
      <c r="Z46" s="38">
        <f t="shared" si="7"/>
        <v>0.10514787644158904</v>
      </c>
      <c r="AM46" s="15">
        <f t="shared" si="36"/>
        <v>170</v>
      </c>
      <c r="AN46" s="44">
        <f t="shared" si="8"/>
        <v>0.10972044717744713</v>
      </c>
      <c r="AO46" s="34">
        <f t="shared" si="9"/>
        <v>0.10972044717744713</v>
      </c>
      <c r="AP46" s="36">
        <f t="shared" si="10"/>
        <v>0.10972044717744713</v>
      </c>
      <c r="AQ46" s="38">
        <f t="shared" si="11"/>
        <v>0.10972044717744713</v>
      </c>
      <c r="BD46" s="15">
        <f t="shared" si="37"/>
        <v>170</v>
      </c>
      <c r="BE46" s="44">
        <f t="shared" si="12"/>
        <v>0.10966242300595944</v>
      </c>
      <c r="BF46" s="34">
        <f t="shared" si="13"/>
        <v>0.10968763303241137</v>
      </c>
      <c r="BG46" s="36">
        <f t="shared" si="14"/>
        <v>0.10970357173132092</v>
      </c>
      <c r="BH46" s="38">
        <f t="shared" si="15"/>
        <v>0.10971709080865309</v>
      </c>
      <c r="BU46" s="15">
        <f t="shared" si="38"/>
        <v>170</v>
      </c>
      <c r="BV46" s="44">
        <f t="shared" si="16"/>
        <v>0.10972044717715149</v>
      </c>
      <c r="BW46" s="34">
        <f t="shared" si="17"/>
        <v>0.10972044717741689</v>
      </c>
      <c r="BX46" s="36">
        <f t="shared" si="18"/>
        <v>0.10972044717744502</v>
      </c>
      <c r="BY46" s="38">
        <f t="shared" si="19"/>
        <v>0.10972044717744713</v>
      </c>
    </row>
    <row r="47" spans="4:82" x14ac:dyDescent="0.3">
      <c r="D47" s="15">
        <f t="shared" si="34"/>
        <v>180</v>
      </c>
      <c r="E47" s="30">
        <f t="shared" si="0"/>
        <v>0.10972039995867995</v>
      </c>
      <c r="F47" s="34">
        <f t="shared" si="1"/>
        <v>0.109720433055465</v>
      </c>
      <c r="G47" s="36">
        <f t="shared" si="2"/>
        <v>0.10972044372357034</v>
      </c>
      <c r="H47" s="38">
        <f t="shared" si="3"/>
        <v>0.10972044706446241</v>
      </c>
      <c r="J47" t="s">
        <v>20</v>
      </c>
      <c r="V47" s="15">
        <f t="shared" si="35"/>
        <v>180</v>
      </c>
      <c r="W47" s="44">
        <f t="shared" si="4"/>
        <v>9.7430539964179899E-2</v>
      </c>
      <c r="X47" s="34">
        <f t="shared" si="5"/>
        <v>9.9545697089739607E-2</v>
      </c>
      <c r="Y47" s="36">
        <f t="shared" si="6"/>
        <v>0.10172317157225913</v>
      </c>
      <c r="Z47" s="38">
        <f t="shared" si="7"/>
        <v>0.10565491576290539</v>
      </c>
      <c r="AB47" t="s">
        <v>20</v>
      </c>
      <c r="AM47" s="15">
        <f t="shared" si="36"/>
        <v>180</v>
      </c>
      <c r="AN47" s="44">
        <f t="shared" si="8"/>
        <v>0.10972044717744713</v>
      </c>
      <c r="AO47" s="34">
        <f t="shared" si="9"/>
        <v>0.10972044717744713</v>
      </c>
      <c r="AP47" s="36">
        <f t="shared" si="10"/>
        <v>0.10972044717744713</v>
      </c>
      <c r="AQ47" s="38">
        <f t="shared" si="11"/>
        <v>0.10972044717744713</v>
      </c>
      <c r="AS47" t="s">
        <v>20</v>
      </c>
      <c r="BD47" s="15">
        <f t="shared" si="37"/>
        <v>180</v>
      </c>
      <c r="BE47" s="44">
        <f t="shared" si="12"/>
        <v>0.10968054432110673</v>
      </c>
      <c r="BF47" s="34">
        <f t="shared" si="13"/>
        <v>0.10969862518046261</v>
      </c>
      <c r="BG47" s="36">
        <f t="shared" si="14"/>
        <v>0.10970965522351718</v>
      </c>
      <c r="BH47" s="38">
        <f t="shared" si="15"/>
        <v>0.10971849528214569</v>
      </c>
      <c r="BJ47" t="s">
        <v>20</v>
      </c>
      <c r="BU47" s="15">
        <f t="shared" si="38"/>
        <v>180</v>
      </c>
      <c r="BV47" s="44">
        <f t="shared" si="16"/>
        <v>0.10972044717738101</v>
      </c>
      <c r="BW47" s="34">
        <f t="shared" si="17"/>
        <v>0.10972044717744121</v>
      </c>
      <c r="BX47" s="36">
        <f t="shared" si="18"/>
        <v>0.10972044717744678</v>
      </c>
      <c r="BY47" s="38">
        <f t="shared" si="19"/>
        <v>0.10972044717744713</v>
      </c>
      <c r="CA47" t="s">
        <v>20</v>
      </c>
    </row>
    <row r="48" spans="4:82" x14ac:dyDescent="0.3">
      <c r="D48" s="15">
        <f t="shared" si="34"/>
        <v>190</v>
      </c>
      <c r="E48" s="30">
        <f t="shared" si="0"/>
        <v>0.10972042484662474</v>
      </c>
      <c r="F48" s="34">
        <f t="shared" si="1"/>
        <v>0.10972044093201556</v>
      </c>
      <c r="G48" s="36">
        <f t="shared" si="2"/>
        <v>0.10972044576492103</v>
      </c>
      <c r="H48" s="38">
        <f t="shared" si="3"/>
        <v>0.10972044713923569</v>
      </c>
      <c r="J48" s="29" t="s">
        <v>11</v>
      </c>
      <c r="K48" s="29" t="s">
        <v>15</v>
      </c>
      <c r="L48" s="30" t="s">
        <v>16</v>
      </c>
      <c r="M48" s="30" t="s">
        <v>21</v>
      </c>
      <c r="V48" s="15">
        <f t="shared" si="35"/>
        <v>190</v>
      </c>
      <c r="W48" s="44">
        <f t="shared" si="4"/>
        <v>9.8100714962713942E-2</v>
      </c>
      <c r="X48" s="34">
        <f t="shared" si="5"/>
        <v>0.10020094297151522</v>
      </c>
      <c r="Y48" s="36">
        <f t="shared" si="6"/>
        <v>0.1023376226133612</v>
      </c>
      <c r="Z48" s="38">
        <f t="shared" si="7"/>
        <v>0.10610573094069023</v>
      </c>
      <c r="AB48" s="29" t="s">
        <v>11</v>
      </c>
      <c r="AC48" s="29" t="s">
        <v>15</v>
      </c>
      <c r="AD48" s="30" t="s">
        <v>16</v>
      </c>
      <c r="AE48" s="30" t="s">
        <v>21</v>
      </c>
      <c r="AM48" s="15">
        <f t="shared" si="36"/>
        <v>190</v>
      </c>
      <c r="AN48" s="44">
        <f t="shared" si="8"/>
        <v>0.10972044717744713</v>
      </c>
      <c r="AO48" s="34">
        <f t="shared" si="9"/>
        <v>0.10972044717744713</v>
      </c>
      <c r="AP48" s="36">
        <f t="shared" si="10"/>
        <v>0.10972044717744713</v>
      </c>
      <c r="AQ48" s="38">
        <f t="shared" si="11"/>
        <v>0.10972044717744713</v>
      </c>
      <c r="AS48" s="29" t="s">
        <v>11</v>
      </c>
      <c r="AT48" s="29" t="s">
        <v>15</v>
      </c>
      <c r="AU48" s="30" t="s">
        <v>16</v>
      </c>
      <c r="AV48" s="30" t="s">
        <v>21</v>
      </c>
      <c r="BD48" s="15">
        <f t="shared" si="37"/>
        <v>190</v>
      </c>
      <c r="BE48" s="44">
        <f t="shared" si="12"/>
        <v>0.10969300623510708</v>
      </c>
      <c r="BF48" s="34">
        <f t="shared" si="13"/>
        <v>0.10970593515673553</v>
      </c>
      <c r="BG48" s="36">
        <f t="shared" si="14"/>
        <v>0.10971354565503669</v>
      </c>
      <c r="BH48" s="38">
        <f t="shared" si="15"/>
        <v>0.10971931205329911</v>
      </c>
      <c r="BJ48" s="29" t="s">
        <v>11</v>
      </c>
      <c r="BK48" s="29" t="s">
        <v>15</v>
      </c>
      <c r="BL48" s="30" t="s">
        <v>16</v>
      </c>
      <c r="BM48" s="30" t="s">
        <v>21</v>
      </c>
      <c r="BU48" s="15">
        <f t="shared" si="38"/>
        <v>190</v>
      </c>
      <c r="BV48" s="44">
        <f t="shared" si="16"/>
        <v>0.10972044717743233</v>
      </c>
      <c r="BW48" s="34">
        <f t="shared" si="17"/>
        <v>0.10972044717744597</v>
      </c>
      <c r="BX48" s="36">
        <f t="shared" si="18"/>
        <v>0.10972044717744707</v>
      </c>
      <c r="BY48" s="38">
        <f t="shared" si="19"/>
        <v>0.10972044717744713</v>
      </c>
      <c r="CA48" s="29" t="s">
        <v>11</v>
      </c>
      <c r="CB48" s="29" t="s">
        <v>15</v>
      </c>
      <c r="CC48" s="30" t="s">
        <v>16</v>
      </c>
      <c r="CD48" s="30" t="s">
        <v>21</v>
      </c>
    </row>
    <row r="49" spans="4:82" x14ac:dyDescent="0.3">
      <c r="D49" s="15">
        <f t="shared" si="34"/>
        <v>200</v>
      </c>
      <c r="E49" s="30">
        <f t="shared" si="0"/>
        <v>0.10972043661669643</v>
      </c>
      <c r="F49" s="34">
        <f t="shared" si="1"/>
        <v>0.10972044441541166</v>
      </c>
      <c r="G49" s="36">
        <f t="shared" si="2"/>
        <v>0.10972044659976873</v>
      </c>
      <c r="H49" s="38">
        <f t="shared" si="3"/>
        <v>0.10972044716452402</v>
      </c>
      <c r="J49" s="31">
        <v>0</v>
      </c>
      <c r="K49" s="47">
        <f>E3</f>
        <v>7.5999999999999998E-2</v>
      </c>
      <c r="L49" s="44">
        <v>7.5999999999999998E-2</v>
      </c>
      <c r="M49" s="19" cm="1">
        <f t="array" ref="M49">SQRT(SUMSQ(K49:K54-L49:L54)/COUNTA(K49:K54-L49:L54))</f>
        <v>1.5348648245770188E-2</v>
      </c>
      <c r="V49" s="15">
        <f t="shared" si="35"/>
        <v>200</v>
      </c>
      <c r="W49" s="44">
        <f t="shared" si="4"/>
        <v>9.8734344971862287E-2</v>
      </c>
      <c r="X49" s="34">
        <f t="shared" si="5"/>
        <v>0.10081399153523554</v>
      </c>
      <c r="Y49" s="36">
        <f t="shared" si="6"/>
        <v>0.1029048638169448</v>
      </c>
      <c r="Z49" s="38">
        <f t="shared" si="7"/>
        <v>0.1065065565097872</v>
      </c>
      <c r="AB49" s="31">
        <v>0</v>
      </c>
      <c r="AC49" s="47">
        <f>W3</f>
        <v>7.5999999999999998E-2</v>
      </c>
      <c r="AD49" s="44">
        <v>7.5999999999999998E-2</v>
      </c>
      <c r="AE49" s="19" cm="1">
        <f t="array" ref="AE49">SQRT(SUMSQ(AC49:AC54-AD49:AD54)/COUNTA(AC49:AC54-AD49:AD54))</f>
        <v>9.8712215769351103E-3</v>
      </c>
      <c r="AM49" s="15">
        <f t="shared" si="36"/>
        <v>200</v>
      </c>
      <c r="AN49" s="44">
        <f t="shared" si="8"/>
        <v>0.10972044717744713</v>
      </c>
      <c r="AO49" s="34">
        <f t="shared" si="9"/>
        <v>0.10972044717744713</v>
      </c>
      <c r="AP49" s="36">
        <f t="shared" si="10"/>
        <v>0.10972044717744713</v>
      </c>
      <c r="AQ49" s="38">
        <f t="shared" si="11"/>
        <v>0.10972044717744713</v>
      </c>
      <c r="AS49" s="31">
        <v>0</v>
      </c>
      <c r="AT49" s="47">
        <f>AN3</f>
        <v>7.5999999999999998E-2</v>
      </c>
      <c r="AU49" s="44">
        <v>7.5999999999999998E-2</v>
      </c>
      <c r="AV49" s="19" cm="1">
        <f t="array" ref="AV49">SQRT(SUMSQ(AT49:AT54-AU49:AU54)/COUNTA(AT49:AT54-AU49:AU54))</f>
        <v>1.7903296392207436E-2</v>
      </c>
      <c r="BD49" s="15">
        <f t="shared" si="37"/>
        <v>200</v>
      </c>
      <c r="BE49" s="44">
        <f t="shared" si="12"/>
        <v>0.10970157621467479</v>
      </c>
      <c r="BF49" s="34">
        <f t="shared" si="13"/>
        <v>0.10971079642251011</v>
      </c>
      <c r="BG49" s="36">
        <f t="shared" si="14"/>
        <v>0.10971603361046094</v>
      </c>
      <c r="BH49" s="38">
        <f t="shared" si="15"/>
        <v>0.10971978704632715</v>
      </c>
      <c r="BJ49" s="31">
        <v>0</v>
      </c>
      <c r="BK49" s="47">
        <f>BE3</f>
        <v>7.5999999999999998E-2</v>
      </c>
      <c r="BL49" s="44">
        <v>7.5999999999999998E-2</v>
      </c>
      <c r="BM49" s="19" cm="1">
        <f t="array" ref="BM49">SQRT(SUMSQ(BK49:BK54-BL49:BL54)/COUNTA(BK49:BK54-BL49:BL54))</f>
        <v>1.3422338565896643E-2</v>
      </c>
      <c r="BU49" s="15">
        <f t="shared" si="38"/>
        <v>200</v>
      </c>
      <c r="BV49" s="44">
        <f t="shared" si="16"/>
        <v>0.10972044717744382</v>
      </c>
      <c r="BW49" s="34">
        <f t="shared" si="17"/>
        <v>0.1097204471774469</v>
      </c>
      <c r="BX49" s="36">
        <f t="shared" si="18"/>
        <v>0.10972044717744711</v>
      </c>
      <c r="BY49" s="38">
        <f t="shared" si="19"/>
        <v>0.10972044717744713</v>
      </c>
      <c r="CA49" s="31">
        <v>0</v>
      </c>
      <c r="CB49" s="47">
        <f>BV3</f>
        <v>7.5999999999999998E-2</v>
      </c>
      <c r="CC49" s="44">
        <v>7.5999999999999998E-2</v>
      </c>
      <c r="CD49" s="19" cm="1">
        <f t="array" ref="CD49">SQRT(SUMSQ(CB49:CB54-CC49:CC54)/COUNTA(CB49:CB54-CC49:CC54))</f>
        <v>1.6943759530412956E-2</v>
      </c>
    </row>
    <row r="50" spans="4:82" x14ac:dyDescent="0.3">
      <c r="D50" s="15">
        <f t="shared" si="34"/>
        <v>210</v>
      </c>
      <c r="E50" s="30">
        <f t="shared" si="0"/>
        <v>0.1097204421830294</v>
      </c>
      <c r="F50" s="34">
        <f t="shared" si="1"/>
        <v>0.10972044595593988</v>
      </c>
      <c r="G50" s="36">
        <f t="shared" si="2"/>
        <v>0.10972044694119498</v>
      </c>
      <c r="H50" s="38">
        <f t="shared" si="3"/>
        <v>0.10972044717307652</v>
      </c>
      <c r="J50" s="29">
        <v>10</v>
      </c>
      <c r="K50" s="47">
        <f>E13</f>
        <v>9.3773285452387056E-2</v>
      </c>
      <c r="L50" s="44">
        <v>8.7604318893872962E-2</v>
      </c>
      <c r="V50" s="15">
        <f t="shared" si="35"/>
        <v>210</v>
      </c>
      <c r="W50" s="44">
        <f t="shared" si="4"/>
        <v>9.9333422808802724E-2</v>
      </c>
      <c r="X50" s="34">
        <f t="shared" si="5"/>
        <v>0.10138756025490628</v>
      </c>
      <c r="Y50" s="36">
        <f t="shared" si="6"/>
        <v>0.10342852243499492</v>
      </c>
      <c r="Z50" s="38">
        <f t="shared" si="7"/>
        <v>0.10686293567526105</v>
      </c>
      <c r="AB50" s="29">
        <v>10</v>
      </c>
      <c r="AC50" s="47">
        <f>W13</f>
        <v>7.783879342988996E-2</v>
      </c>
      <c r="AD50" s="44">
        <v>8.7604318893872962E-2</v>
      </c>
      <c r="AM50" s="15">
        <f t="shared" si="36"/>
        <v>210</v>
      </c>
      <c r="AN50" s="44">
        <f t="shared" si="8"/>
        <v>0.10972044717744713</v>
      </c>
      <c r="AO50" s="34">
        <f t="shared" si="9"/>
        <v>0.10972044717744713</v>
      </c>
      <c r="AP50" s="36">
        <f t="shared" si="10"/>
        <v>0.10972044717744713</v>
      </c>
      <c r="AQ50" s="38">
        <f t="shared" si="11"/>
        <v>0.10972044717744713</v>
      </c>
      <c r="AS50" s="29">
        <v>10</v>
      </c>
      <c r="AT50" s="47">
        <f>AN13</f>
        <v>0.10753539352837876</v>
      </c>
      <c r="AU50" s="44">
        <v>8.7604318893872962E-2</v>
      </c>
      <c r="BD50" s="15">
        <f t="shared" si="37"/>
        <v>210</v>
      </c>
      <c r="BE50" s="44">
        <f t="shared" si="12"/>
        <v>0.10970746973550866</v>
      </c>
      <c r="BF50" s="34">
        <f t="shared" si="13"/>
        <v>0.10971402925173537</v>
      </c>
      <c r="BG50" s="36">
        <f t="shared" si="14"/>
        <v>0.10971762467360187</v>
      </c>
      <c r="BH50" s="38">
        <f t="shared" si="15"/>
        <v>0.10972006327838524</v>
      </c>
      <c r="BJ50" s="29">
        <v>10</v>
      </c>
      <c r="BK50" s="47">
        <f>BE13</f>
        <v>8.6531108580149993E-2</v>
      </c>
      <c r="BL50" s="44">
        <v>8.7604318893872962E-2</v>
      </c>
      <c r="BU50" s="15">
        <f t="shared" si="38"/>
        <v>210</v>
      </c>
      <c r="BV50" s="44">
        <f t="shared" si="16"/>
        <v>0.10972044717744639</v>
      </c>
      <c r="BW50" s="34">
        <f t="shared" si="17"/>
        <v>0.10972044717744708</v>
      </c>
      <c r="BX50" s="36">
        <f t="shared" si="18"/>
        <v>0.10972044717744713</v>
      </c>
      <c r="BY50" s="38">
        <f t="shared" si="19"/>
        <v>0.10972044717744713</v>
      </c>
      <c r="CA50" s="29">
        <v>10</v>
      </c>
      <c r="CB50" s="47">
        <f>BV13</f>
        <v>0.10217867391011899</v>
      </c>
      <c r="CC50" s="44">
        <v>8.7604318893872962E-2</v>
      </c>
    </row>
    <row r="51" spans="4:82" x14ac:dyDescent="0.3">
      <c r="D51" s="15">
        <f t="shared" si="34"/>
        <v>220</v>
      </c>
      <c r="E51" s="30">
        <f t="shared" si="0"/>
        <v>0.10972044481547408</v>
      </c>
      <c r="F51" s="34">
        <f t="shared" si="1"/>
        <v>0.10972044663723685</v>
      </c>
      <c r="G51" s="36">
        <f t="shared" si="2"/>
        <v>0.10972044708082748</v>
      </c>
      <c r="H51" s="38">
        <f t="shared" si="3"/>
        <v>0.10972044717596899</v>
      </c>
      <c r="J51" s="29">
        <v>30</v>
      </c>
      <c r="K51" s="47">
        <f>E25</f>
        <v>0.10615377211661771</v>
      </c>
      <c r="L51" s="44">
        <v>8.82413343442877E-2</v>
      </c>
      <c r="V51" s="15">
        <f t="shared" si="35"/>
        <v>220</v>
      </c>
      <c r="W51" s="44">
        <f t="shared" si="4"/>
        <v>9.9899832621361331E-2</v>
      </c>
      <c r="X51" s="34">
        <f t="shared" si="5"/>
        <v>0.10192419160135018</v>
      </c>
      <c r="Y51" s="36">
        <f t="shared" si="6"/>
        <v>0.1039119470284937</v>
      </c>
      <c r="Z51" s="38">
        <f t="shared" si="7"/>
        <v>0.10717979697198415</v>
      </c>
      <c r="AB51" s="29">
        <v>30</v>
      </c>
      <c r="AC51" s="47">
        <f>W25</f>
        <v>8.122103701301385E-2</v>
      </c>
      <c r="AD51" s="44">
        <v>8.82413343442877E-2</v>
      </c>
      <c r="AM51" s="15">
        <f t="shared" si="36"/>
        <v>220</v>
      </c>
      <c r="AN51" s="44">
        <f t="shared" si="8"/>
        <v>0.10972044717744713</v>
      </c>
      <c r="AO51" s="34">
        <f t="shared" si="9"/>
        <v>0.10972044717744713</v>
      </c>
      <c r="AP51" s="36">
        <f t="shared" si="10"/>
        <v>0.10972044717744713</v>
      </c>
      <c r="AQ51" s="38">
        <f t="shared" si="11"/>
        <v>0.10972044717744713</v>
      </c>
      <c r="AS51" s="29">
        <v>30</v>
      </c>
      <c r="AT51" s="47">
        <f>AN25</f>
        <v>0.10971127231286219</v>
      </c>
      <c r="AU51" s="44">
        <v>8.82413343442877E-2</v>
      </c>
      <c r="BD51" s="15">
        <f t="shared" si="37"/>
        <v>220</v>
      </c>
      <c r="BE51" s="44">
        <f t="shared" si="12"/>
        <v>0.10971152267257166</v>
      </c>
      <c r="BF51" s="34">
        <f t="shared" si="13"/>
        <v>0.1097161791413494</v>
      </c>
      <c r="BG51" s="36">
        <f t="shared" si="14"/>
        <v>0.10971864216848692</v>
      </c>
      <c r="BH51" s="38">
        <f t="shared" si="15"/>
        <v>0.10972022392105871</v>
      </c>
      <c r="BJ51" s="29">
        <v>30</v>
      </c>
      <c r="BK51" s="47">
        <f>BE25</f>
        <v>9.8753684756941407E-2</v>
      </c>
      <c r="BL51" s="44">
        <v>8.82413343442877E-2</v>
      </c>
      <c r="BU51" s="15">
        <f t="shared" si="38"/>
        <v>220</v>
      </c>
      <c r="BV51" s="44">
        <f t="shared" si="16"/>
        <v>0.10972044717744696</v>
      </c>
      <c r="BW51" s="34">
        <f t="shared" si="17"/>
        <v>0.10972044717744711</v>
      </c>
      <c r="BX51" s="36">
        <f t="shared" si="18"/>
        <v>0.10972044717744713</v>
      </c>
      <c r="BY51" s="38">
        <f t="shared" si="19"/>
        <v>0.10972044717744713</v>
      </c>
      <c r="CA51" s="29">
        <v>30</v>
      </c>
      <c r="CB51" s="47">
        <f>BV25</f>
        <v>0.10934319325425329</v>
      </c>
      <c r="CC51" s="44">
        <v>8.82413343442877E-2</v>
      </c>
    </row>
    <row r="52" spans="4:82" x14ac:dyDescent="0.3">
      <c r="D52" s="15">
        <f t="shared" si="34"/>
        <v>230</v>
      </c>
      <c r="E52" s="30">
        <f t="shared" si="0"/>
        <v>0.10972044606041668</v>
      </c>
      <c r="F52" s="34">
        <f t="shared" si="1"/>
        <v>0.1097204469385397</v>
      </c>
      <c r="G52" s="36">
        <f t="shared" si="2"/>
        <v>0.10972044713793276</v>
      </c>
      <c r="H52" s="38">
        <f t="shared" si="3"/>
        <v>0.10972044717694722</v>
      </c>
      <c r="J52" s="29">
        <v>60</v>
      </c>
      <c r="K52" s="47">
        <f>E31</f>
        <v>0.10934319325425329</v>
      </c>
      <c r="L52" s="44">
        <v>9.5909343224736487E-2</v>
      </c>
      <c r="V52" s="15">
        <f t="shared" si="35"/>
        <v>230</v>
      </c>
      <c r="W52" s="44">
        <f t="shared" si="4"/>
        <v>0.10043535581380848</v>
      </c>
      <c r="X52" s="34">
        <f t="shared" si="5"/>
        <v>0.10242626431227399</v>
      </c>
      <c r="Y52" s="36">
        <f t="shared" si="6"/>
        <v>0.10435822887995956</v>
      </c>
      <c r="Z52" s="38">
        <f t="shared" si="7"/>
        <v>0.10746152242366019</v>
      </c>
      <c r="AB52" s="29">
        <v>60</v>
      </c>
      <c r="AC52" s="47">
        <f>W31</f>
        <v>8.563368535467307E-2</v>
      </c>
      <c r="AD52" s="44">
        <v>9.5909343224736487E-2</v>
      </c>
      <c r="AM52" s="15">
        <f t="shared" si="36"/>
        <v>230</v>
      </c>
      <c r="AN52" s="44">
        <f t="shared" si="8"/>
        <v>0.10972044717744713</v>
      </c>
      <c r="AO52" s="34">
        <f t="shared" si="9"/>
        <v>0.10972044717744713</v>
      </c>
      <c r="AP52" s="36">
        <f t="shared" si="10"/>
        <v>0.10972044717744713</v>
      </c>
      <c r="AQ52" s="38">
        <f t="shared" si="11"/>
        <v>0.10972044717744713</v>
      </c>
      <c r="AS52" s="29">
        <v>60</v>
      </c>
      <c r="AT52" s="47">
        <f>AN31</f>
        <v>0.1097204446810941</v>
      </c>
      <c r="AU52" s="44">
        <v>9.5909343224736487E-2</v>
      </c>
      <c r="BD52" s="15">
        <f t="shared" si="37"/>
        <v>230</v>
      </c>
      <c r="BE52" s="44">
        <f t="shared" si="12"/>
        <v>0.10971430985179775</v>
      </c>
      <c r="BF52" s="34">
        <f t="shared" si="13"/>
        <v>0.10971760885663295</v>
      </c>
      <c r="BG52" s="36">
        <f t="shared" si="14"/>
        <v>0.10971929286286511</v>
      </c>
      <c r="BH52" s="38">
        <f t="shared" si="15"/>
        <v>0.10972031734275901</v>
      </c>
      <c r="BJ52" s="29">
        <v>60</v>
      </c>
      <c r="BK52" s="47">
        <f>BE31</f>
        <v>0.10615377211661771</v>
      </c>
      <c r="BL52" s="44">
        <v>9.5909343224736487E-2</v>
      </c>
      <c r="BU52" s="15">
        <f t="shared" si="38"/>
        <v>230</v>
      </c>
      <c r="BV52" s="44">
        <f t="shared" si="16"/>
        <v>0.10972044717744708</v>
      </c>
      <c r="BW52" s="34">
        <f t="shared" si="17"/>
        <v>0.10972044717744713</v>
      </c>
      <c r="BX52" s="36">
        <f t="shared" si="18"/>
        <v>0.10972044717744713</v>
      </c>
      <c r="BY52" s="38">
        <f t="shared" si="19"/>
        <v>0.10972044717744713</v>
      </c>
      <c r="CA52" s="29">
        <v>60</v>
      </c>
      <c r="CB52" s="47">
        <f>BV31</f>
        <v>0.10971622657735199</v>
      </c>
      <c r="CC52" s="44">
        <v>9.5909343224736487E-2</v>
      </c>
    </row>
    <row r="53" spans="4:82" x14ac:dyDescent="0.3">
      <c r="D53" s="15">
        <f t="shared" si="34"/>
        <v>240</v>
      </c>
      <c r="E53" s="39">
        <f t="shared" si="0"/>
        <v>0.10972044664917818</v>
      </c>
      <c r="F53" s="40">
        <f t="shared" si="1"/>
        <v>0.10972044707179057</v>
      </c>
      <c r="G53" s="41">
        <f t="shared" si="2"/>
        <v>0.109720447161287</v>
      </c>
      <c r="H53" s="42">
        <f t="shared" si="3"/>
        <v>0.10972044717727805</v>
      </c>
      <c r="J53" s="29">
        <v>120</v>
      </c>
      <c r="K53" s="47">
        <f>E41</f>
        <v>0.10971622657735199</v>
      </c>
      <c r="L53" s="44">
        <v>9.6747384868129102E-2</v>
      </c>
      <c r="V53" s="15">
        <f t="shared" si="35"/>
        <v>240</v>
      </c>
      <c r="W53" s="44">
        <f t="shared" si="4"/>
        <v>0.10094167664951809</v>
      </c>
      <c r="X53" s="34">
        <f t="shared" si="5"/>
        <v>0.10289600393655204</v>
      </c>
      <c r="Y53" s="36">
        <f t="shared" si="6"/>
        <v>0.10477022176080644</v>
      </c>
      <c r="Z53" s="38">
        <f t="shared" si="7"/>
        <v>0.10771200814388818</v>
      </c>
      <c r="AB53" s="29">
        <v>120</v>
      </c>
      <c r="AC53" s="47">
        <f>W41</f>
        <v>9.2515097199316471E-2</v>
      </c>
      <c r="AD53" s="44">
        <v>9.6747384868129102E-2</v>
      </c>
      <c r="AM53" s="15">
        <f t="shared" si="36"/>
        <v>240</v>
      </c>
      <c r="AN53" s="44">
        <f t="shared" si="8"/>
        <v>0.10972044717744713</v>
      </c>
      <c r="AO53" s="34">
        <f t="shared" si="9"/>
        <v>0.10972044717744713</v>
      </c>
      <c r="AP53" s="36">
        <f t="shared" si="10"/>
        <v>0.10972044717744713</v>
      </c>
      <c r="AQ53" s="38">
        <f t="shared" si="11"/>
        <v>0.10972044717744713</v>
      </c>
      <c r="AS53" s="29">
        <v>120</v>
      </c>
      <c r="AT53" s="47">
        <f>AN41</f>
        <v>0.10972044717744694</v>
      </c>
      <c r="AU53" s="44">
        <v>9.6747384868129102E-2</v>
      </c>
      <c r="BD53" s="15">
        <f t="shared" si="37"/>
        <v>240</v>
      </c>
      <c r="BE53" s="44">
        <f t="shared" si="12"/>
        <v>0.10971622657735199</v>
      </c>
      <c r="BF53" s="34">
        <f t="shared" si="13"/>
        <v>0.10971855964302621</v>
      </c>
      <c r="BG53" s="36">
        <f t="shared" si="14"/>
        <v>0.10971970898601226</v>
      </c>
      <c r="BH53" s="38">
        <f t="shared" si="15"/>
        <v>0.1097203716721218</v>
      </c>
      <c r="BJ53" s="29">
        <v>120</v>
      </c>
      <c r="BK53" s="47">
        <f>BE41</f>
        <v>0.10934319325425329</v>
      </c>
      <c r="BL53" s="44">
        <v>9.6747384868129102E-2</v>
      </c>
      <c r="BU53" s="15">
        <f t="shared" si="38"/>
        <v>240</v>
      </c>
      <c r="BV53" s="44">
        <f t="shared" si="16"/>
        <v>0.10972044717744711</v>
      </c>
      <c r="BW53" s="34">
        <f t="shared" si="17"/>
        <v>0.10972044717744713</v>
      </c>
      <c r="BX53" s="36">
        <f t="shared" si="18"/>
        <v>0.10972044717744713</v>
      </c>
      <c r="BY53" s="38">
        <f t="shared" si="19"/>
        <v>0.10972044717744713</v>
      </c>
      <c r="CA53" s="29">
        <v>120</v>
      </c>
      <c r="CB53" s="47">
        <f>BV41</f>
        <v>0.10972044664917818</v>
      </c>
      <c r="CC53" s="44">
        <v>9.6747384868129102E-2</v>
      </c>
    </row>
    <row r="54" spans="4:82" x14ac:dyDescent="0.3">
      <c r="D54" s="15">
        <f t="shared" si="34"/>
        <v>250</v>
      </c>
      <c r="E54" s="30">
        <f t="shared" si="0"/>
        <v>0.1097204469276168</v>
      </c>
      <c r="F54" s="34">
        <f t="shared" si="1"/>
        <v>0.10972044713072063</v>
      </c>
      <c r="G54" s="36">
        <f t="shared" si="2"/>
        <v>0.10972044717083815</v>
      </c>
      <c r="H54" s="38">
        <f t="shared" si="3"/>
        <v>0.10972044717738995</v>
      </c>
      <c r="J54" s="29">
        <v>240</v>
      </c>
      <c r="K54" s="47">
        <f>E53</f>
        <v>0.10972044664917818</v>
      </c>
      <c r="L54" s="44">
        <v>8.315138079069874E-2</v>
      </c>
      <c r="V54" s="15">
        <f t="shared" si="35"/>
        <v>250</v>
      </c>
      <c r="W54" s="44">
        <f t="shared" si="4"/>
        <v>0.10142038754811092</v>
      </c>
      <c r="X54" s="34">
        <f t="shared" si="5"/>
        <v>0.10333549269946625</v>
      </c>
      <c r="Y54" s="36">
        <f t="shared" si="6"/>
        <v>0.10515056017992652</v>
      </c>
      <c r="Z54" s="38">
        <f t="shared" si="7"/>
        <v>0.10793471821734753</v>
      </c>
      <c r="AB54" s="29">
        <v>240</v>
      </c>
      <c r="AC54" s="47">
        <f>W53</f>
        <v>0.10094167664951809</v>
      </c>
      <c r="AD54" s="44">
        <v>8.315138079069874E-2</v>
      </c>
      <c r="AM54" s="15">
        <f t="shared" si="36"/>
        <v>250</v>
      </c>
      <c r="AN54" s="44">
        <f t="shared" si="8"/>
        <v>0.10972044717744713</v>
      </c>
      <c r="AO54" s="34">
        <f t="shared" si="9"/>
        <v>0.10972044717744713</v>
      </c>
      <c r="AP54" s="36">
        <f t="shared" si="10"/>
        <v>0.10972044717744713</v>
      </c>
      <c r="AQ54" s="38">
        <f t="shared" si="11"/>
        <v>0.10972044717744713</v>
      </c>
      <c r="AS54" s="29">
        <v>240</v>
      </c>
      <c r="AT54" s="47">
        <f>AN53</f>
        <v>0.10972044717744713</v>
      </c>
      <c r="AU54" s="44">
        <v>8.315138079069874E-2</v>
      </c>
      <c r="BD54" s="15">
        <f t="shared" si="37"/>
        <v>250</v>
      </c>
      <c r="BE54" s="44">
        <f t="shared" si="12"/>
        <v>0.10971754469741254</v>
      </c>
      <c r="BF54" s="34">
        <f t="shared" si="13"/>
        <v>0.10971919193308843</v>
      </c>
      <c r="BG54" s="36">
        <f t="shared" si="14"/>
        <v>0.10971997509938193</v>
      </c>
      <c r="BH54" s="38">
        <f t="shared" si="15"/>
        <v>0.10972040326734703</v>
      </c>
      <c r="BJ54" s="29">
        <v>240</v>
      </c>
      <c r="BK54" s="47">
        <f>BE53</f>
        <v>0.10971622657735199</v>
      </c>
      <c r="BL54" s="44">
        <v>8.315138079069874E-2</v>
      </c>
      <c r="BU54" s="15">
        <f t="shared" si="38"/>
        <v>250</v>
      </c>
      <c r="BV54" s="44">
        <f t="shared" si="16"/>
        <v>0.10972044717744713</v>
      </c>
      <c r="BW54" s="34">
        <f t="shared" si="17"/>
        <v>0.10972044717744713</v>
      </c>
      <c r="BX54" s="36">
        <f t="shared" si="18"/>
        <v>0.10972044717744713</v>
      </c>
      <c r="BY54" s="38">
        <f t="shared" si="19"/>
        <v>0.10972044717744713</v>
      </c>
      <c r="CA54" s="29">
        <v>240</v>
      </c>
      <c r="CB54" s="47">
        <f>BV53</f>
        <v>0.10972044717744711</v>
      </c>
      <c r="CC54" s="44">
        <v>8.315138079069874E-2</v>
      </c>
    </row>
    <row r="55" spans="4:82" x14ac:dyDescent="0.3">
      <c r="D55" s="15">
        <f t="shared" si="34"/>
        <v>260</v>
      </c>
      <c r="E55" s="30">
        <f t="shared" si="0"/>
        <v>0.10972044705929672</v>
      </c>
      <c r="F55" s="34">
        <f t="shared" si="1"/>
        <v>0.10972044715678238</v>
      </c>
      <c r="G55" s="36">
        <f t="shared" si="2"/>
        <v>0.10972044717474426</v>
      </c>
      <c r="H55" s="38">
        <f t="shared" si="3"/>
        <v>0.10972044717742779</v>
      </c>
      <c r="L55" s="8"/>
      <c r="V55" s="15">
        <f t="shared" si="35"/>
        <v>260</v>
      </c>
      <c r="W55" s="44">
        <f t="shared" si="4"/>
        <v>0.10187299409374195</v>
      </c>
      <c r="X55" s="34">
        <f t="shared" si="5"/>
        <v>0.10374667873263242</v>
      </c>
      <c r="Y55" s="36">
        <f t="shared" si="6"/>
        <v>0.10550167623018793</v>
      </c>
      <c r="Z55" s="38">
        <f t="shared" si="7"/>
        <v>0.1081327326062521</v>
      </c>
      <c r="AD55" s="8"/>
      <c r="AM55" s="15">
        <f t="shared" si="36"/>
        <v>260</v>
      </c>
      <c r="AN55" s="44">
        <f t="shared" si="8"/>
        <v>0.10972044717744713</v>
      </c>
      <c r="AO55" s="34">
        <f t="shared" si="9"/>
        <v>0.10972044717744713</v>
      </c>
      <c r="AP55" s="36">
        <f t="shared" si="10"/>
        <v>0.10972044717744713</v>
      </c>
      <c r="AQ55" s="38">
        <f t="shared" si="11"/>
        <v>0.10972044717744713</v>
      </c>
      <c r="AU55" s="8"/>
      <c r="BD55" s="15">
        <f t="shared" si="37"/>
        <v>260</v>
      </c>
      <c r="BE55" s="44">
        <f t="shared" si="12"/>
        <v>0.10971845116025496</v>
      </c>
      <c r="BF55" s="34">
        <f t="shared" si="13"/>
        <v>0.10971961241735874</v>
      </c>
      <c r="BG55" s="36">
        <f t="shared" si="14"/>
        <v>0.10972014528055546</v>
      </c>
      <c r="BH55" s="38">
        <f t="shared" si="15"/>
        <v>0.10972042164154111</v>
      </c>
      <c r="BL55" s="8"/>
      <c r="BU55" s="15">
        <f t="shared" si="38"/>
        <v>260</v>
      </c>
      <c r="BV55" s="44">
        <f t="shared" si="16"/>
        <v>0.10972044717744713</v>
      </c>
      <c r="BW55" s="34">
        <f t="shared" si="17"/>
        <v>0.10972044717744713</v>
      </c>
      <c r="BX55" s="36">
        <f t="shared" si="18"/>
        <v>0.10972044717744713</v>
      </c>
      <c r="BY55" s="38">
        <f t="shared" si="19"/>
        <v>0.10972044717744713</v>
      </c>
      <c r="CC55" s="8"/>
    </row>
    <row r="56" spans="4:82" x14ac:dyDescent="0.3">
      <c r="D56" s="15">
        <f t="shared" si="34"/>
        <v>270</v>
      </c>
      <c r="E56" s="30">
        <f t="shared" si="0"/>
        <v>0.10972044712157113</v>
      </c>
      <c r="F56" s="34">
        <f t="shared" si="1"/>
        <v>0.10972044716830816</v>
      </c>
      <c r="G56" s="36">
        <f t="shared" si="2"/>
        <v>0.10972044717634175</v>
      </c>
      <c r="H56" s="38">
        <f t="shared" si="3"/>
        <v>0.10972044717744059</v>
      </c>
      <c r="J56" s="15">
        <v>0</v>
      </c>
      <c r="K56" s="15">
        <v>0</v>
      </c>
      <c r="V56" s="15">
        <f t="shared" si="35"/>
        <v>270</v>
      </c>
      <c r="W56" s="44">
        <f t="shared" si="4"/>
        <v>0.10230091977028333</v>
      </c>
      <c r="X56" s="34">
        <f t="shared" si="5"/>
        <v>0.10413138470952663</v>
      </c>
      <c r="Y56" s="36">
        <f t="shared" si="6"/>
        <v>0.10582581514057297</v>
      </c>
      <c r="Z56" s="38">
        <f t="shared" si="7"/>
        <v>0.10830878974459437</v>
      </c>
      <c r="AB56" s="15">
        <v>0</v>
      </c>
      <c r="AC56" s="15">
        <v>0</v>
      </c>
      <c r="AM56" s="15">
        <f t="shared" si="36"/>
        <v>270</v>
      </c>
      <c r="AN56" s="44">
        <f t="shared" si="8"/>
        <v>0.10972044717744713</v>
      </c>
      <c r="AO56" s="34">
        <f t="shared" si="9"/>
        <v>0.10972044717744713</v>
      </c>
      <c r="AP56" s="36">
        <f t="shared" si="10"/>
        <v>0.10972044717744713</v>
      </c>
      <c r="AQ56" s="38">
        <f t="shared" si="11"/>
        <v>0.10972044717744713</v>
      </c>
      <c r="AS56" s="15">
        <v>0</v>
      </c>
      <c r="AT56" s="15">
        <v>0</v>
      </c>
      <c r="BD56" s="15">
        <f t="shared" si="37"/>
        <v>270</v>
      </c>
      <c r="BE56" s="44">
        <f t="shared" si="12"/>
        <v>0.10971907452902785</v>
      </c>
      <c r="BF56" s="34">
        <f t="shared" si="13"/>
        <v>0.10971989204696569</v>
      </c>
      <c r="BG56" s="36">
        <f t="shared" si="14"/>
        <v>0.10972025411248623</v>
      </c>
      <c r="BH56" s="38">
        <f t="shared" si="15"/>
        <v>0.10972043232704837</v>
      </c>
      <c r="BJ56" s="15">
        <v>0</v>
      </c>
      <c r="BK56" s="15">
        <v>0</v>
      </c>
      <c r="BU56" s="15">
        <f t="shared" si="38"/>
        <v>270</v>
      </c>
      <c r="BV56" s="44">
        <f t="shared" si="16"/>
        <v>0.10972044717744713</v>
      </c>
      <c r="BW56" s="34">
        <f t="shared" si="17"/>
        <v>0.10972044717744713</v>
      </c>
      <c r="BX56" s="36">
        <f t="shared" si="18"/>
        <v>0.10972044717744713</v>
      </c>
      <c r="BY56" s="38">
        <f t="shared" si="19"/>
        <v>0.10972044717744713</v>
      </c>
      <c r="CA56" s="15">
        <v>0</v>
      </c>
      <c r="CB56" s="15">
        <v>0</v>
      </c>
    </row>
    <row r="57" spans="4:82" x14ac:dyDescent="0.3">
      <c r="D57" s="15">
        <f t="shared" si="34"/>
        <v>280</v>
      </c>
      <c r="E57" s="30">
        <f t="shared" si="0"/>
        <v>0.1097204471510221</v>
      </c>
      <c r="F57" s="34">
        <f t="shared" si="1"/>
        <v>0.10972044717340543</v>
      </c>
      <c r="G57" s="36">
        <f t="shared" si="2"/>
        <v>0.10972044717699506</v>
      </c>
      <c r="H57" s="38">
        <f t="shared" si="3"/>
        <v>0.10972044717744492</v>
      </c>
      <c r="J57" s="15">
        <v>0.2</v>
      </c>
      <c r="K57" s="15">
        <v>0.2</v>
      </c>
      <c r="V57" s="15">
        <f t="shared" si="35"/>
        <v>280</v>
      </c>
      <c r="W57" s="44">
        <f t="shared" si="4"/>
        <v>0.10270551043829518</v>
      </c>
      <c r="X57" s="34">
        <f t="shared" si="5"/>
        <v>0.10449131592489042</v>
      </c>
      <c r="Y57" s="36">
        <f t="shared" si="6"/>
        <v>0.10612504963340631</v>
      </c>
      <c r="Z57" s="38">
        <f t="shared" si="7"/>
        <v>0.1084653244092354</v>
      </c>
      <c r="AB57" s="15">
        <v>0.2</v>
      </c>
      <c r="AC57" s="15">
        <v>0.2</v>
      </c>
      <c r="AM57" s="15">
        <f t="shared" si="36"/>
        <v>280</v>
      </c>
      <c r="AN57" s="44">
        <f t="shared" si="8"/>
        <v>0.10972044717744713</v>
      </c>
      <c r="AO57" s="34">
        <f t="shared" si="9"/>
        <v>0.10972044717744713</v>
      </c>
      <c r="AP57" s="36">
        <f t="shared" si="10"/>
        <v>0.10972044717744713</v>
      </c>
      <c r="AQ57" s="38">
        <f t="shared" si="11"/>
        <v>0.10972044717744713</v>
      </c>
      <c r="AS57" s="15">
        <v>0.2</v>
      </c>
      <c r="AT57" s="15">
        <v>0.2</v>
      </c>
      <c r="BD57" s="15">
        <f t="shared" si="37"/>
        <v>280</v>
      </c>
      <c r="BE57" s="44">
        <f t="shared" si="12"/>
        <v>0.10971950321579674</v>
      </c>
      <c r="BF57" s="34">
        <f t="shared" si="13"/>
        <v>0.10972007800568663</v>
      </c>
      <c r="BG57" s="36">
        <f t="shared" si="14"/>
        <v>0.10972032371119042</v>
      </c>
      <c r="BH57" s="38">
        <f t="shared" si="15"/>
        <v>0.10972043854120202</v>
      </c>
      <c r="BJ57" s="15">
        <v>0.2</v>
      </c>
      <c r="BK57" s="15">
        <v>0.2</v>
      </c>
      <c r="BU57" s="15">
        <f t="shared" si="38"/>
        <v>280</v>
      </c>
      <c r="BV57" s="44">
        <f t="shared" si="16"/>
        <v>0.10972044717744713</v>
      </c>
      <c r="BW57" s="34">
        <f t="shared" si="17"/>
        <v>0.10972044717744713</v>
      </c>
      <c r="BX57" s="36">
        <f t="shared" si="18"/>
        <v>0.10972044717744713</v>
      </c>
      <c r="BY57" s="38">
        <f t="shared" si="19"/>
        <v>0.10972044717744713</v>
      </c>
      <c r="CA57" s="15">
        <v>0.2</v>
      </c>
      <c r="CB57" s="15">
        <v>0.2</v>
      </c>
    </row>
    <row r="58" spans="4:82" x14ac:dyDescent="0.3">
      <c r="D58" s="15">
        <f t="shared" si="34"/>
        <v>290</v>
      </c>
      <c r="E58" s="30">
        <f t="shared" si="0"/>
        <v>0.10972044716495014</v>
      </c>
      <c r="F58" s="34">
        <f t="shared" si="1"/>
        <v>0.10972044717565969</v>
      </c>
      <c r="G58" s="36">
        <f t="shared" si="2"/>
        <v>0.10972044717726225</v>
      </c>
      <c r="H58" s="38">
        <f t="shared" si="3"/>
        <v>0.10972044717744638</v>
      </c>
      <c r="V58" s="15">
        <f t="shared" si="35"/>
        <v>290</v>
      </c>
      <c r="W58" s="44">
        <f t="shared" si="4"/>
        <v>0.10308803856786498</v>
      </c>
      <c r="X58" s="34">
        <f t="shared" si="5"/>
        <v>0.10482806785382884</v>
      </c>
      <c r="Y58" s="36">
        <f t="shared" si="6"/>
        <v>0.10640129317848041</v>
      </c>
      <c r="Z58" s="38">
        <f t="shared" si="7"/>
        <v>0.10860450139157755</v>
      </c>
      <c r="AM58" s="15">
        <f t="shared" si="36"/>
        <v>290</v>
      </c>
      <c r="AN58" s="44">
        <f t="shared" si="8"/>
        <v>0.10972044717744713</v>
      </c>
      <c r="AO58" s="34">
        <f t="shared" si="9"/>
        <v>0.10972044717744713</v>
      </c>
      <c r="AP58" s="36">
        <f t="shared" si="10"/>
        <v>0.10972044717744713</v>
      </c>
      <c r="AQ58" s="38">
        <f t="shared" si="11"/>
        <v>0.10972044717744713</v>
      </c>
      <c r="BD58" s="15">
        <f t="shared" si="37"/>
        <v>290</v>
      </c>
      <c r="BE58" s="44">
        <f t="shared" si="12"/>
        <v>0.10971979802098077</v>
      </c>
      <c r="BF58" s="34">
        <f t="shared" si="13"/>
        <v>0.10972020167158264</v>
      </c>
      <c r="BG58" s="36">
        <f t="shared" si="14"/>
        <v>0.10972036821999946</v>
      </c>
      <c r="BH58" s="38">
        <f t="shared" si="15"/>
        <v>0.10972044215504129</v>
      </c>
      <c r="BU58" s="15">
        <f t="shared" si="38"/>
        <v>290</v>
      </c>
      <c r="BV58" s="44">
        <f t="shared" si="16"/>
        <v>0.10972044717744713</v>
      </c>
      <c r="BW58" s="34">
        <f t="shared" si="17"/>
        <v>0.10972044717744713</v>
      </c>
      <c r="BX58" s="36">
        <f t="shared" si="18"/>
        <v>0.10972044717744713</v>
      </c>
      <c r="BY58" s="38">
        <f t="shared" si="19"/>
        <v>0.10972044717744713</v>
      </c>
    </row>
    <row r="59" spans="4:82" x14ac:dyDescent="0.3">
      <c r="D59" s="15">
        <f t="shared" si="34"/>
        <v>300</v>
      </c>
      <c r="E59" s="30">
        <f t="shared" si="0"/>
        <v>0.10972044717153702</v>
      </c>
      <c r="F59" s="34">
        <f t="shared" si="1"/>
        <v>0.10972044717665663</v>
      </c>
      <c r="G59" s="36">
        <f t="shared" si="2"/>
        <v>0.10972044717737152</v>
      </c>
      <c r="H59" s="38">
        <f t="shared" si="3"/>
        <v>0.10972044717744688</v>
      </c>
      <c r="V59" s="15">
        <f t="shared" si="35"/>
        <v>300</v>
      </c>
      <c r="W59" s="44">
        <f t="shared" si="4"/>
        <v>0.10344970724062807</v>
      </c>
      <c r="X59" s="34">
        <f t="shared" si="5"/>
        <v>0.10514313322410834</v>
      </c>
      <c r="Y59" s="36">
        <f t="shared" si="6"/>
        <v>0.10665631222883304</v>
      </c>
      <c r="Z59" s="38">
        <f t="shared" si="7"/>
        <v>0.10872824543548176</v>
      </c>
      <c r="AM59" s="15">
        <f t="shared" si="36"/>
        <v>300</v>
      </c>
      <c r="AN59" s="44">
        <f t="shared" si="8"/>
        <v>0.10972044717744713</v>
      </c>
      <c r="AO59" s="34">
        <f t="shared" si="9"/>
        <v>0.10972044717744713</v>
      </c>
      <c r="AP59" s="36">
        <f t="shared" si="10"/>
        <v>0.10972044717744713</v>
      </c>
      <c r="AQ59" s="38">
        <f t="shared" si="11"/>
        <v>0.10972044717744713</v>
      </c>
      <c r="BD59" s="15">
        <f t="shared" si="37"/>
        <v>300</v>
      </c>
      <c r="BE59" s="44">
        <f t="shared" si="12"/>
        <v>0.10972000075664429</v>
      </c>
      <c r="BF59" s="34">
        <f t="shared" si="13"/>
        <v>0.10972028391162902</v>
      </c>
      <c r="BG59" s="36">
        <f t="shared" si="14"/>
        <v>0.10972039668366278</v>
      </c>
      <c r="BH59" s="38">
        <f t="shared" si="15"/>
        <v>0.10972044425666846</v>
      </c>
      <c r="BU59" s="15">
        <f t="shared" si="38"/>
        <v>300</v>
      </c>
      <c r="BV59" s="44">
        <f t="shared" si="16"/>
        <v>0.10972044717744713</v>
      </c>
      <c r="BW59" s="34">
        <f t="shared" si="17"/>
        <v>0.10972044717744713</v>
      </c>
      <c r="BX59" s="36">
        <f t="shared" si="18"/>
        <v>0.10972044717744713</v>
      </c>
      <c r="BY59" s="38">
        <f t="shared" si="19"/>
        <v>0.10972044717744713</v>
      </c>
    </row>
  </sheetData>
  <mergeCells count="5">
    <mergeCell ref="E1:H1"/>
    <mergeCell ref="W1:Z1"/>
    <mergeCell ref="AN1:AQ1"/>
    <mergeCell ref="BE1:BH1"/>
    <mergeCell ref="BV1:BY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using SP rocks</vt:lpstr>
      <vt:lpstr>using SEG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Bernal Vallejos, Sebastian (bern9483@vandals.uidaho.edu)</dc:creator>
  <cp:lastModifiedBy>Hucke Nunez, Nicole (huck4481@vandals.uidaho.edu)</cp:lastModifiedBy>
  <dcterms:created xsi:type="dcterms:W3CDTF">2025-12-10T22:56:15Z</dcterms:created>
  <dcterms:modified xsi:type="dcterms:W3CDTF">2025-12-29T02:23:16Z</dcterms:modified>
</cp:coreProperties>
</file>