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shear_stress_paper\antecedent_conditions\flume_data\"/>
    </mc:Choice>
  </mc:AlternateContent>
  <xr:revisionPtr revIDLastSave="0" documentId="13_ncr:1_{CB3B1948-136A-4E12-B831-D2BA1BD6D017}" xr6:coauthVersionLast="47" xr6:coauthVersionMax="47" xr10:uidLastSave="{00000000-0000-0000-0000-000000000000}"/>
  <bookViews>
    <workbookView xWindow="-120" yWindow="-120" windowWidth="29040" windowHeight="15720" activeTab="1" xr2:uid="{0627FB22-753D-46C0-9E76-44A6937BF82A}"/>
  </bookViews>
  <sheets>
    <sheet name="Sheet1" sheetId="1" r:id="rId1"/>
    <sheet name="using SE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9" i="2" l="1" a="1"/>
  <c r="M49" i="2" s="1"/>
  <c r="M40" i="2" a="1"/>
  <c r="M40" i="2" s="1"/>
  <c r="M31" i="2" a="1"/>
  <c r="M31" i="2" s="1"/>
  <c r="M22" i="2" a="1"/>
  <c r="M22" i="2" s="1"/>
  <c r="K50" i="2" l="1"/>
  <c r="K45" i="2"/>
  <c r="K54" i="2"/>
  <c r="K53" i="2"/>
  <c r="K52" i="2"/>
  <c r="K51" i="2"/>
  <c r="K49" i="2"/>
  <c r="K40" i="2"/>
  <c r="K44" i="2"/>
  <c r="K43" i="2"/>
  <c r="K42" i="2"/>
  <c r="K41" i="2"/>
  <c r="D4" i="2"/>
  <c r="D5" i="2" s="1"/>
  <c r="D6" i="2" s="1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B8" i="2"/>
  <c r="H4" i="2" s="1"/>
  <c r="B7" i="2"/>
  <c r="C16" i="1"/>
  <c r="D16" i="1"/>
  <c r="E16" i="1"/>
  <c r="F16" i="1"/>
  <c r="C17" i="1"/>
  <c r="D17" i="1"/>
  <c r="E17" i="1"/>
  <c r="F17" i="1"/>
  <c r="C18" i="1"/>
  <c r="D18" i="1"/>
  <c r="E18" i="1"/>
  <c r="F18" i="1"/>
  <c r="C19" i="1"/>
  <c r="D19" i="1"/>
  <c r="E19" i="1"/>
  <c r="F19" i="1"/>
  <c r="C20" i="1"/>
  <c r="D20" i="1"/>
  <c r="E20" i="1"/>
  <c r="F20" i="1"/>
  <c r="D15" i="1"/>
  <c r="E15" i="1"/>
  <c r="F15" i="1"/>
  <c r="C15" i="1"/>
  <c r="Q22" i="1"/>
  <c r="Q21" i="1"/>
  <c r="C24" i="1"/>
  <c r="C23" i="1"/>
  <c r="E37" i="2" l="1"/>
  <c r="E13" i="2"/>
  <c r="F45" i="2"/>
  <c r="F33" i="2"/>
  <c r="F15" i="2"/>
  <c r="F9" i="2"/>
  <c r="G54" i="2"/>
  <c r="G36" i="2"/>
  <c r="G30" i="2"/>
  <c r="G24" i="2"/>
  <c r="G18" i="2"/>
  <c r="G12" i="2"/>
  <c r="G6" i="2"/>
  <c r="H57" i="2"/>
  <c r="H51" i="2"/>
  <c r="H45" i="2"/>
  <c r="H39" i="2"/>
  <c r="H33" i="2"/>
  <c r="H27" i="2"/>
  <c r="E10" i="2"/>
  <c r="E4" i="2"/>
  <c r="E54" i="2"/>
  <c r="E48" i="2"/>
  <c r="E42" i="2"/>
  <c r="E36" i="2"/>
  <c r="E30" i="2"/>
  <c r="E24" i="2"/>
  <c r="E18" i="2"/>
  <c r="E12" i="2"/>
  <c r="F56" i="2"/>
  <c r="F50" i="2"/>
  <c r="F44" i="2"/>
  <c r="F38" i="2"/>
  <c r="F32" i="2"/>
  <c r="F26" i="2"/>
  <c r="F20" i="2"/>
  <c r="F14" i="2"/>
  <c r="F8" i="2"/>
  <c r="G59" i="2"/>
  <c r="G53" i="2"/>
  <c r="K36" i="2" s="1"/>
  <c r="G47" i="2"/>
  <c r="G41" i="2"/>
  <c r="K35" i="2" s="1"/>
  <c r="G35" i="2"/>
  <c r="G29" i="2"/>
  <c r="G23" i="2"/>
  <c r="G17" i="2"/>
  <c r="G11" i="2"/>
  <c r="G5" i="2"/>
  <c r="H56" i="2"/>
  <c r="H50" i="2"/>
  <c r="H44" i="2"/>
  <c r="H38" i="2"/>
  <c r="H32" i="2"/>
  <c r="H26" i="2"/>
  <c r="H20" i="2"/>
  <c r="H14" i="2"/>
  <c r="H8" i="2"/>
  <c r="E11" i="2"/>
  <c r="E43" i="2"/>
  <c r="E25" i="2"/>
  <c r="F57" i="2"/>
  <c r="F27" i="2"/>
  <c r="G48" i="2"/>
  <c r="H15" i="2"/>
  <c r="E9" i="2"/>
  <c r="E59" i="2"/>
  <c r="E53" i="2"/>
  <c r="E47" i="2"/>
  <c r="E41" i="2"/>
  <c r="E35" i="2"/>
  <c r="E29" i="2"/>
  <c r="E23" i="2"/>
  <c r="E17" i="2"/>
  <c r="E3" i="2"/>
  <c r="F55" i="2"/>
  <c r="F49" i="2"/>
  <c r="F43" i="2"/>
  <c r="F37" i="2"/>
  <c r="F31" i="2"/>
  <c r="F25" i="2"/>
  <c r="F19" i="2"/>
  <c r="F13" i="2"/>
  <c r="F7" i="2"/>
  <c r="G58" i="2"/>
  <c r="G52" i="2"/>
  <c r="G46" i="2"/>
  <c r="G40" i="2"/>
  <c r="G34" i="2"/>
  <c r="G28" i="2"/>
  <c r="G22" i="2"/>
  <c r="G16" i="2"/>
  <c r="G10" i="2"/>
  <c r="G4" i="2"/>
  <c r="H55" i="2"/>
  <c r="H49" i="2"/>
  <c r="H43" i="2"/>
  <c r="H37" i="2"/>
  <c r="H31" i="2"/>
  <c r="K25" i="2" s="1"/>
  <c r="H25" i="2"/>
  <c r="K24" i="2" s="1"/>
  <c r="H19" i="2"/>
  <c r="H13" i="2"/>
  <c r="K23" i="2" s="1"/>
  <c r="H7" i="2"/>
  <c r="E55" i="2"/>
  <c r="H21" i="2"/>
  <c r="E8" i="2"/>
  <c r="E58" i="2"/>
  <c r="E52" i="2"/>
  <c r="E46" i="2"/>
  <c r="E40" i="2"/>
  <c r="E34" i="2"/>
  <c r="E28" i="2"/>
  <c r="E22" i="2"/>
  <c r="E16" i="2"/>
  <c r="F3" i="2"/>
  <c r="F54" i="2"/>
  <c r="F48" i="2"/>
  <c r="F42" i="2"/>
  <c r="F36" i="2"/>
  <c r="F30" i="2"/>
  <c r="F24" i="2"/>
  <c r="F18" i="2"/>
  <c r="F12" i="2"/>
  <c r="F6" i="2"/>
  <c r="G57" i="2"/>
  <c r="G51" i="2"/>
  <c r="G45" i="2"/>
  <c r="G39" i="2"/>
  <c r="G33" i="2"/>
  <c r="G27" i="2"/>
  <c r="G21" i="2"/>
  <c r="G15" i="2"/>
  <c r="G9" i="2"/>
  <c r="H3" i="2"/>
  <c r="K22" i="2" s="1"/>
  <c r="H54" i="2"/>
  <c r="H48" i="2"/>
  <c r="H42" i="2"/>
  <c r="H36" i="2"/>
  <c r="H30" i="2"/>
  <c r="H24" i="2"/>
  <c r="H18" i="2"/>
  <c r="H12" i="2"/>
  <c r="H6" i="2"/>
  <c r="E5" i="2"/>
  <c r="E31" i="2"/>
  <c r="F51" i="2"/>
  <c r="F21" i="2"/>
  <c r="G42" i="2"/>
  <c r="H9" i="2"/>
  <c r="E7" i="2"/>
  <c r="E57" i="2"/>
  <c r="E51" i="2"/>
  <c r="E45" i="2"/>
  <c r="E39" i="2"/>
  <c r="E33" i="2"/>
  <c r="E27" i="2"/>
  <c r="E21" i="2"/>
  <c r="E15" i="2"/>
  <c r="F59" i="2"/>
  <c r="F53" i="2"/>
  <c r="F47" i="2"/>
  <c r="F41" i="2"/>
  <c r="F35" i="2"/>
  <c r="F29" i="2"/>
  <c r="F23" i="2"/>
  <c r="F17" i="2"/>
  <c r="F11" i="2"/>
  <c r="F5" i="2"/>
  <c r="G56" i="2"/>
  <c r="G50" i="2"/>
  <c r="G44" i="2"/>
  <c r="G38" i="2"/>
  <c r="G32" i="2"/>
  <c r="G26" i="2"/>
  <c r="G20" i="2"/>
  <c r="G14" i="2"/>
  <c r="G8" i="2"/>
  <c r="H59" i="2"/>
  <c r="H53" i="2"/>
  <c r="K27" i="2" s="1"/>
  <c r="H47" i="2"/>
  <c r="H41" i="2"/>
  <c r="K26" i="2" s="1"/>
  <c r="H35" i="2"/>
  <c r="H29" i="2"/>
  <c r="H23" i="2"/>
  <c r="H17" i="2"/>
  <c r="H11" i="2"/>
  <c r="H5" i="2"/>
  <c r="E49" i="2"/>
  <c r="E19" i="2"/>
  <c r="F39" i="2"/>
  <c r="G3" i="2"/>
  <c r="K31" i="2" s="1"/>
  <c r="E6" i="2"/>
  <c r="E56" i="2"/>
  <c r="E50" i="2"/>
  <c r="E44" i="2"/>
  <c r="E38" i="2"/>
  <c r="E32" i="2"/>
  <c r="E26" i="2"/>
  <c r="E20" i="2"/>
  <c r="E14" i="2"/>
  <c r="F58" i="2"/>
  <c r="F52" i="2"/>
  <c r="F46" i="2"/>
  <c r="F40" i="2"/>
  <c r="F34" i="2"/>
  <c r="F28" i="2"/>
  <c r="F22" i="2"/>
  <c r="F16" i="2"/>
  <c r="F10" i="2"/>
  <c r="F4" i="2"/>
  <c r="G55" i="2"/>
  <c r="G49" i="2"/>
  <c r="G43" i="2"/>
  <c r="G37" i="2"/>
  <c r="G31" i="2"/>
  <c r="K34" i="2" s="1"/>
  <c r="G25" i="2"/>
  <c r="K33" i="2" s="1"/>
  <c r="G19" i="2"/>
  <c r="G13" i="2"/>
  <c r="K32" i="2" s="1"/>
  <c r="G7" i="2"/>
  <c r="H58" i="2"/>
  <c r="H52" i="2"/>
  <c r="H46" i="2"/>
  <c r="H40" i="2"/>
  <c r="H34" i="2"/>
  <c r="H28" i="2"/>
  <c r="H22" i="2"/>
  <c r="H16" i="2"/>
  <c r="H10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<sst xmlns="http://schemas.openxmlformats.org/spreadsheetml/2006/main" count="45" uniqueCount="24">
  <si>
    <t>tau*/tau*ref</t>
  </si>
  <si>
    <t>tau*c50</t>
  </si>
  <si>
    <t>duration</t>
  </si>
  <si>
    <t>d50</t>
  </si>
  <si>
    <t>mm</t>
  </si>
  <si>
    <t>Using GSD by weight from spray-painted rocks</t>
  </si>
  <si>
    <t>Using GSD by b-axis from SEG</t>
  </si>
  <si>
    <t>min</t>
  </si>
  <si>
    <t>max</t>
  </si>
  <si>
    <t>applied tau</t>
  </si>
  <si>
    <t>min tauc</t>
  </si>
  <si>
    <t>max tauc</t>
  </si>
  <si>
    <t>GPM</t>
  </si>
  <si>
    <t>Time (mins)</t>
  </si>
  <si>
    <t>K values (assuming k=τ)</t>
  </si>
  <si>
    <t xml:space="preserve">τ* </t>
  </si>
  <si>
    <t>τ*c</t>
  </si>
  <si>
    <t xml:space="preserve">Predicted τ*c </t>
  </si>
  <si>
    <t>Measured τ*c</t>
  </si>
  <si>
    <t>High Flow: (τ* = 0.108)</t>
  </si>
  <si>
    <t>Med High Flow (τ* = 0.089)</t>
  </si>
  <si>
    <t>Med Low Flow (τ* = 0.086)</t>
  </si>
  <si>
    <t>Low Flow (τ* = 0.075)</t>
  </si>
  <si>
    <t>RMSE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</si>
</sst>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2" fillId="0" borderId="4" xfId="0" applyFont="1" applyBorder="1"/>
    <xf numFmtId="0" fontId="2" fillId="0" borderId="0" xfId="0" applyFont="1"/>
    <xf numFmtId="0" fontId="0" fillId="0" borderId="4" xfId="0" applyBorder="1"/>
    <xf numFmtId="164" fontId="0" fillId="0" borderId="0" xfId="0" applyNumberFormat="1"/>
    <xf numFmtId="164" fontId="2" fillId="2" borderId="0" xfId="0" applyNumberFormat="1" applyFont="1" applyFill="1"/>
    <xf numFmtId="0" fontId="2" fillId="2" borderId="0" xfId="0" applyFont="1" applyFill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Border="1"/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1" fillId="0" borderId="9" xfId="0" applyFont="1" applyBorder="1" applyAlignment="1">
      <alignment horizontal="center"/>
    </xf>
    <xf numFmtId="165" fontId="0" fillId="0" borderId="9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65" fontId="0" fillId="0" borderId="0" xfId="0" applyNumberFormat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2" fillId="6" borderId="4" xfId="0" applyFont="1" applyFill="1" applyBorder="1" applyAlignment="1">
      <alignment horizontal="center"/>
    </xf>
    <xf numFmtId="165" fontId="0" fillId="6" borderId="9" xfId="0" applyNumberFormat="1" applyFill="1" applyBorder="1" applyAlignment="1">
      <alignment horizontal="center"/>
    </xf>
    <xf numFmtId="165" fontId="0" fillId="5" borderId="9" xfId="0" applyNumberFormat="1" applyFill="1" applyBorder="1" applyAlignment="1">
      <alignment horizontal="center"/>
    </xf>
    <xf numFmtId="164" fontId="0" fillId="5" borderId="0" xfId="0" applyNumberFormat="1" applyFill="1" applyAlignment="1">
      <alignment horizontal="center"/>
    </xf>
    <xf numFmtId="165" fontId="0" fillId="4" borderId="9" xfId="0" applyNumberFormat="1" applyFill="1" applyBorder="1" applyAlignment="1">
      <alignment horizontal="center"/>
    </xf>
    <xf numFmtId="164" fontId="0" fillId="4" borderId="0" xfId="0" applyNumberFormat="1" applyFill="1" applyAlignment="1">
      <alignment horizontal="center"/>
    </xf>
    <xf numFmtId="165" fontId="0" fillId="3" borderId="9" xfId="0" applyNumberFormat="1" applyFill="1" applyBorder="1" applyAlignment="1">
      <alignment horizontal="center"/>
    </xf>
    <xf numFmtId="164" fontId="0" fillId="3" borderId="0" xfId="0" applyNumberFormat="1" applyFill="1" applyAlignment="1">
      <alignment horizontal="center"/>
    </xf>
    <xf numFmtId="0" fontId="1" fillId="6" borderId="0" xfId="0" applyFont="1" applyFill="1" applyAlignment="1">
      <alignment horizontal="center"/>
    </xf>
    <xf numFmtId="164" fontId="1" fillId="5" borderId="0" xfId="0" applyNumberFormat="1" applyFont="1" applyFill="1" applyAlignment="1">
      <alignment horizontal="center"/>
    </xf>
    <xf numFmtId="164" fontId="1" fillId="4" borderId="0" xfId="0" applyNumberFormat="1" applyFont="1" applyFill="1" applyAlignment="1">
      <alignment horizontal="center"/>
    </xf>
    <xf numFmtId="164" fontId="1" fillId="3" borderId="0" xfId="0" applyNumberFormat="1" applyFont="1" applyFill="1" applyAlignment="1">
      <alignment horizontal="center"/>
    </xf>
    <xf numFmtId="164" fontId="0" fillId="3" borderId="4" xfId="0" applyNumberFormat="1" applyFill="1" applyBorder="1" applyAlignment="1">
      <alignment horizontal="center"/>
    </xf>
    <xf numFmtId="164" fontId="0" fillId="0" borderId="0" xfId="0" applyNumberFormat="1" applyFont="1"/>
    <xf numFmtId="164" fontId="0" fillId="3" borderId="0" xfId="0" applyNumberFormat="1" applyFont="1" applyFill="1" applyAlignment="1">
      <alignment horizontal="center"/>
    </xf>
    <xf numFmtId="164" fontId="0" fillId="6" borderId="0" xfId="0" applyNumberFormat="1" applyFill="1" applyAlignment="1">
      <alignment horizontal="center"/>
    </xf>
    <xf numFmtId="164" fontId="0" fillId="4" borderId="4" xfId="0" applyNumberFormat="1" applyFill="1" applyBorder="1" applyAlignment="1">
      <alignment horizontal="center"/>
    </xf>
    <xf numFmtId="164" fontId="0" fillId="5" borderId="4" xfId="0" applyNumberFormat="1" applyFill="1" applyBorder="1" applyAlignment="1">
      <alignment horizontal="center"/>
    </xf>
    <xf numFmtId="164" fontId="0" fillId="6" borderId="4" xfId="0" applyNumberFormat="1" applyFill="1" applyBorder="1" applyAlignment="1">
      <alignment horizontal="center"/>
    </xf>
    <xf numFmtId="0" fontId="0" fillId="6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3" borderId="0" xfId="0" applyFill="1" applyBorder="1" applyAlignment="1">
      <alignment horizontal="center"/>
    </xf>
    <xf numFmtId="0" fontId="0" fillId="4" borderId="0" xfId="0" applyFill="1" applyBorder="1" applyAlignment="1">
      <alignment horizontal="center"/>
    </xf>
    <xf numFmtId="0" fontId="0" fillId="5" borderId="0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Testing</a:t>
            </a:r>
            <a:r>
              <a:rPr lang="en-US" baseline="0"/>
              <a:t> Equation with flume data (k=</a:t>
            </a:r>
            <a:r>
              <a:rPr lang="el-GR" baseline="0"/>
              <a:t>τ</a:t>
            </a:r>
            <a:r>
              <a:rPr lang="en-US" baseline="0"/>
              <a:t>) </a:t>
            </a:r>
            <a:endParaRPr lang="en-US"/>
          </a:p>
        </c:rich>
      </c:tx>
      <c:layout>
        <c:manualLayout>
          <c:xMode val="edge"/>
          <c:yMode val="edge"/>
          <c:x val="0.1763585791018838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0"/>
          <c:tx>
            <c:strRef>
              <c:f>'using SEG'!$H$2</c:f>
              <c:strCache>
                <c:ptCount val="1"/>
                <c:pt idx="0">
                  <c:v>0.108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'using SEG'!$D$4:$D$59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SEG'!$H$4:$H$59</c:f>
              <c:numCache>
                <c:formatCode>0.0000</c:formatCode>
                <c:ptCount val="56"/>
                <c:pt idx="0">
                  <c:v>7.9464504121791596E-2</c:v>
                </c:pt>
                <c:pt idx="1">
                  <c:v>8.2573058372967648E-2</c:v>
                </c:pt>
                <c:pt idx="2">
                  <c:v>8.5362233733367446E-2</c:v>
                </c:pt>
                <c:pt idx="3">
                  <c:v>8.7864843809456084E-2</c:v>
                </c:pt>
                <c:pt idx="4">
                  <c:v>9.0110330874149852E-2</c:v>
                </c:pt>
                <c:pt idx="5">
                  <c:v>9.2125112244161617E-2</c:v>
                </c:pt>
                <c:pt idx="6">
                  <c:v>9.3932891069865992E-2</c:v>
                </c:pt>
                <c:pt idx="7">
                  <c:v>9.5554935194011315E-2</c:v>
                </c:pt>
                <c:pt idx="8">
                  <c:v>9.7010327359946913E-2</c:v>
                </c:pt>
                <c:pt idx="9">
                  <c:v>9.831618971297186E-2</c:v>
                </c:pt>
                <c:pt idx="10">
                  <c:v>9.9487885235979998E-2</c:v>
                </c:pt>
                <c:pt idx="11">
                  <c:v>0.10053919848921618</c:v>
                </c:pt>
                <c:pt idx="12">
                  <c:v>0.10148249778047955</c:v>
                </c:pt>
                <c:pt idx="13">
                  <c:v>0.10232888067364573</c:v>
                </c:pt>
                <c:pt idx="14">
                  <c:v>0.10308830454736126</c:v>
                </c:pt>
                <c:pt idx="15">
                  <c:v>0.10376970373988471</c:v>
                </c:pt>
                <c:pt idx="16">
                  <c:v>0.10438109465823966</c:v>
                </c:pt>
                <c:pt idx="17">
                  <c:v>0.10492967008824952</c:v>
                </c:pt>
                <c:pt idx="18">
                  <c:v>0.10542188381497646</c:v>
                </c:pt>
                <c:pt idx="19">
                  <c:v>0.10586352654909245</c:v>
                </c:pt>
                <c:pt idx="20">
                  <c:v>0.10747745610153971</c:v>
                </c:pt>
                <c:pt idx="21">
                  <c:v>0.10841603636597899</c:v>
                </c:pt>
                <c:pt idx="22">
                  <c:v>0.10896186744730414</c:v>
                </c:pt>
                <c:pt idx="23">
                  <c:v>0.10927929535478159</c:v>
                </c:pt>
                <c:pt idx="24">
                  <c:v>0.10946389546256748</c:v>
                </c:pt>
                <c:pt idx="25">
                  <c:v>0.10957124960185965</c:v>
                </c:pt>
                <c:pt idx="26">
                  <c:v>0.10963368137051568</c:v>
                </c:pt>
                <c:pt idx="27">
                  <c:v>0.10966998854752086</c:v>
                </c:pt>
                <c:pt idx="28">
                  <c:v>0.10969110297580732</c:v>
                </c:pt>
                <c:pt idx="29">
                  <c:v>0.10970338206547053</c:v>
                </c:pt>
                <c:pt idx="30">
                  <c:v>0.10971052296651278</c:v>
                </c:pt>
                <c:pt idx="31">
                  <c:v>0.10971467575544856</c:v>
                </c:pt>
                <c:pt idx="32">
                  <c:v>0.10971709080865309</c:v>
                </c:pt>
                <c:pt idx="33">
                  <c:v>0.10971849528214569</c:v>
                </c:pt>
                <c:pt idx="34">
                  <c:v>0.10971931205329911</c:v>
                </c:pt>
                <c:pt idx="35">
                  <c:v>0.10971978704632715</c:v>
                </c:pt>
                <c:pt idx="36">
                  <c:v>0.10972022392105871</c:v>
                </c:pt>
                <c:pt idx="37">
                  <c:v>0.1097203716721218</c:v>
                </c:pt>
                <c:pt idx="38">
                  <c:v>0.10972042164154111</c:v>
                </c:pt>
                <c:pt idx="39">
                  <c:v>0.10972043854120202</c:v>
                </c:pt>
                <c:pt idx="40">
                  <c:v>0.10972044425666846</c:v>
                </c:pt>
                <c:pt idx="41">
                  <c:v>0.10972044618963958</c:v>
                </c:pt>
                <c:pt idx="42">
                  <c:v>0.10972044684337055</c:v>
                </c:pt>
                <c:pt idx="43">
                  <c:v>0.10972044706446241</c:v>
                </c:pt>
                <c:pt idx="44">
                  <c:v>0.10972044713923569</c:v>
                </c:pt>
                <c:pt idx="45">
                  <c:v>0.10972044716452402</c:v>
                </c:pt>
                <c:pt idx="46">
                  <c:v>0.10972044717307652</c:v>
                </c:pt>
                <c:pt idx="47">
                  <c:v>0.10972044717596899</c:v>
                </c:pt>
                <c:pt idx="48">
                  <c:v>0.10972044717694722</c:v>
                </c:pt>
                <c:pt idx="49">
                  <c:v>0.10972044717727805</c:v>
                </c:pt>
                <c:pt idx="50">
                  <c:v>0.10972044717738995</c:v>
                </c:pt>
                <c:pt idx="51">
                  <c:v>0.10972044717742779</c:v>
                </c:pt>
                <c:pt idx="52">
                  <c:v>0.10972044717744059</c:v>
                </c:pt>
                <c:pt idx="53">
                  <c:v>0.10972044717744492</c:v>
                </c:pt>
                <c:pt idx="54">
                  <c:v>0.10972044717744638</c:v>
                </c:pt>
                <c:pt idx="55">
                  <c:v>0.10972044717744688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C26-4FE0-AB92-7861CB72633D}"/>
            </c:ext>
          </c:extLst>
        </c:ser>
        <c:ser>
          <c:idx val="2"/>
          <c:order val="1"/>
          <c:tx>
            <c:strRef>
              <c:f>'using SEG'!$G$2</c:f>
              <c:strCache>
                <c:ptCount val="1"/>
                <c:pt idx="0">
                  <c:v>0.089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'using SEG'!$D$4:$D$59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SEG'!$G$4:$G$59</c:f>
              <c:numCache>
                <c:formatCode>0.0000</c:formatCode>
                <c:ptCount val="56"/>
                <c:pt idx="0">
                  <c:v>7.8884145253509702E-2</c:v>
                </c:pt>
                <c:pt idx="1">
                  <c:v>8.1521606535138236E-2</c:v>
                </c:pt>
                <c:pt idx="2">
                  <c:v>8.3933482984018384E-2</c:v>
                </c:pt>
                <c:pt idx="3">
                  <c:v>8.6139069107758898E-2</c:v>
                </c:pt>
                <c:pt idx="4">
                  <c:v>8.8156009134473523E-2</c:v>
                </c:pt>
                <c:pt idx="5">
                  <c:v>9.0000438162919028E-2</c:v>
                </c:pt>
                <c:pt idx="6">
                  <c:v>9.168711123991366E-2</c:v>
                </c:pt>
                <c:pt idx="7">
                  <c:v>9.3229521397628579E-2</c:v>
                </c:pt>
                <c:pt idx="8">
                  <c:v>9.4640007595025596E-2</c:v>
                </c:pt>
                <c:pt idx="9">
                  <c:v>9.5929853426950706E-2</c:v>
                </c:pt>
                <c:pt idx="10">
                  <c:v>9.7109377390534934E-2</c:v>
                </c:pt>
                <c:pt idx="11">
                  <c:v>9.8188015431015283E-2</c:v>
                </c:pt>
                <c:pt idx="12">
                  <c:v>9.9174396427324896E-2</c:v>
                </c:pt>
                <c:pt idx="13">
                  <c:v>0.10007641122132148</c:v>
                </c:pt>
                <c:pt idx="14">
                  <c:v>0.10090127574287325</c:v>
                </c:pt>
                <c:pt idx="15">
                  <c:v>0.1016555887357901</c:v>
                </c:pt>
                <c:pt idx="16">
                  <c:v>0.10234538454639518</c:v>
                </c:pt>
                <c:pt idx="17">
                  <c:v>0.10297618139703456</c:v>
                </c:pt>
                <c:pt idx="18">
                  <c:v>0.10355302553070295</c:v>
                </c:pt>
                <c:pt idx="19">
                  <c:v>0.10408053157993313</c:v>
                </c:pt>
                <c:pt idx="20">
                  <c:v>0.10611368568255408</c:v>
                </c:pt>
                <c:pt idx="21">
                  <c:v>0.10741390051799407</c:v>
                </c:pt>
                <c:pt idx="22">
                  <c:v>0.10824539608250584</c:v>
                </c:pt>
                <c:pt idx="23">
                  <c:v>0.10877714272541258</c:v>
                </c:pt>
                <c:pt idx="24">
                  <c:v>0.10911719804778655</c:v>
                </c:pt>
                <c:pt idx="25">
                  <c:v>0.10933466556510411</c:v>
                </c:pt>
                <c:pt idx="26">
                  <c:v>0.10947373741011482</c:v>
                </c:pt>
                <c:pt idx="27">
                  <c:v>0.10956267472964304</c:v>
                </c:pt>
                <c:pt idx="28">
                  <c:v>0.10961955070482161</c:v>
                </c:pt>
                <c:pt idx="29">
                  <c:v>0.10965592324864992</c:v>
                </c:pt>
                <c:pt idx="30">
                  <c:v>0.10967918371918056</c:v>
                </c:pt>
                <c:pt idx="31">
                  <c:v>0.10969405893637352</c:v>
                </c:pt>
                <c:pt idx="32">
                  <c:v>0.10970357173132092</c:v>
                </c:pt>
                <c:pt idx="33">
                  <c:v>0.10970965522351718</c:v>
                </c:pt>
                <c:pt idx="34">
                  <c:v>0.10971354565503669</c:v>
                </c:pt>
                <c:pt idx="35">
                  <c:v>0.10971603361046094</c:v>
                </c:pt>
                <c:pt idx="36">
                  <c:v>0.10971864216848692</c:v>
                </c:pt>
                <c:pt idx="37">
                  <c:v>0.10971970898601226</c:v>
                </c:pt>
                <c:pt idx="38">
                  <c:v>0.10972014528055546</c:v>
                </c:pt>
                <c:pt idx="39">
                  <c:v>0.10972032371119042</c:v>
                </c:pt>
                <c:pt idx="40">
                  <c:v>0.10972039668366278</c:v>
                </c:pt>
                <c:pt idx="41">
                  <c:v>0.10972042652709028</c:v>
                </c:pt>
                <c:pt idx="42">
                  <c:v>0.10972043873210592</c:v>
                </c:pt>
                <c:pt idx="43">
                  <c:v>0.10972044372357034</c:v>
                </c:pt>
                <c:pt idx="44">
                  <c:v>0.10972044576492103</c:v>
                </c:pt>
                <c:pt idx="45">
                  <c:v>0.10972044659976873</c:v>
                </c:pt>
                <c:pt idx="46">
                  <c:v>0.10972044694119498</c:v>
                </c:pt>
                <c:pt idx="47">
                  <c:v>0.10972044708082748</c:v>
                </c:pt>
                <c:pt idx="48">
                  <c:v>0.10972044713793276</c:v>
                </c:pt>
                <c:pt idx="49">
                  <c:v>0.109720447161287</c:v>
                </c:pt>
                <c:pt idx="50">
                  <c:v>0.10972044717083815</c:v>
                </c:pt>
                <c:pt idx="51">
                  <c:v>0.10972044717474426</c:v>
                </c:pt>
                <c:pt idx="52">
                  <c:v>0.10972044717634175</c:v>
                </c:pt>
                <c:pt idx="53">
                  <c:v>0.10972044717699506</c:v>
                </c:pt>
                <c:pt idx="54">
                  <c:v>0.10972044717726225</c:v>
                </c:pt>
                <c:pt idx="55">
                  <c:v>0.10972044717737152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C26-4FE0-AB92-7861CB72633D}"/>
            </c:ext>
          </c:extLst>
        </c:ser>
        <c:ser>
          <c:idx val="1"/>
          <c:order val="2"/>
          <c:tx>
            <c:strRef>
              <c:f>'using SEG'!$F$2</c:f>
              <c:strCache>
                <c:ptCount val="1"/>
                <c:pt idx="0">
                  <c:v>0.082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'using SEG'!$D$4:$D$59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SEG'!$F$4:$F$59</c:f>
              <c:numCache>
                <c:formatCode>0.0000</c:formatCode>
                <c:ptCount val="56"/>
                <c:pt idx="0">
                  <c:v>7.8641950364384816E-2</c:v>
                </c:pt>
                <c:pt idx="1">
                  <c:v>8.1076907574404194E-2</c:v>
                </c:pt>
                <c:pt idx="2">
                  <c:v>8.3321089257206535E-2</c:v>
                </c:pt>
                <c:pt idx="3">
                  <c:v>8.5389442411299712E-2</c:v>
                </c:pt>
                <c:pt idx="4">
                  <c:v>8.7295742958546446E-2</c:v>
                </c:pt>
                <c:pt idx="5">
                  <c:v>8.9052687496398553E-2</c:v>
                </c:pt>
                <c:pt idx="6">
                  <c:v>9.0671977861470701E-2</c:v>
                </c:pt>
                <c:pt idx="7">
                  <c:v>9.2164399067675096E-2</c:v>
                </c:pt>
                <c:pt idx="8">
                  <c:v>9.3539891138011311E-2</c:v>
                </c:pt>
                <c:pt idx="9">
                  <c:v>9.4807615308434748E-2</c:v>
                </c:pt>
                <c:pt idx="10">
                  <c:v>9.5976015044743623E-2</c:v>
                </c:pt>
                <c:pt idx="11">
                  <c:v>9.7052872278877364E-2</c:v>
                </c:pt>
                <c:pt idx="12">
                  <c:v>9.8045359239178759E-2</c:v>
                </c:pt>
                <c:pt idx="13">
                  <c:v>9.8960086219826951E-2</c:v>
                </c:pt>
                <c:pt idx="14">
                  <c:v>9.980314560760134E-2</c:v>
                </c:pt>
                <c:pt idx="15">
                  <c:v>0.10058015245920952</c:v>
                </c:pt>
                <c:pt idx="16">
                  <c:v>0.1012962818994378</c:v>
                </c:pt>
                <c:pt idx="17">
                  <c:v>0.10195630358920828</c:v>
                </c:pt>
                <c:pt idx="18">
                  <c:v>0.10256461349311141</c:v>
                </c:pt>
                <c:pt idx="19">
                  <c:v>0.10312526315799642</c:v>
                </c:pt>
                <c:pt idx="20">
                  <c:v>0.10533453111509082</c:v>
                </c:pt>
                <c:pt idx="21">
                  <c:v>0.10680373406537885</c:v>
                </c:pt>
                <c:pt idx="22">
                  <c:v>0.10778078046765137</c:v>
                </c:pt>
                <c:pt idx="23">
                  <c:v>0.10843053390845853</c:v>
                </c:pt>
                <c:pt idx="24">
                  <c:v>0.10886263163980352</c:v>
                </c:pt>
                <c:pt idx="25">
                  <c:v>0.10914998440734185</c:v>
                </c:pt>
                <c:pt idx="26">
                  <c:v>0.10934107916906373</c:v>
                </c:pt>
                <c:pt idx="27">
                  <c:v>0.10946816062462227</c:v>
                </c:pt>
                <c:pt idx="28">
                  <c:v>0.10955267207957453</c:v>
                </c:pt>
                <c:pt idx="29">
                  <c:v>0.10960887371801785</c:v>
                </c:pt>
                <c:pt idx="30">
                  <c:v>0.10964624881900856</c:v>
                </c:pt>
                <c:pt idx="31">
                  <c:v>0.10967110393378381</c:v>
                </c:pt>
                <c:pt idx="32">
                  <c:v>0.10968763303241137</c:v>
                </c:pt>
                <c:pt idx="33">
                  <c:v>0.10969862518046261</c:v>
                </c:pt>
                <c:pt idx="34">
                  <c:v>0.10970593515673553</c:v>
                </c:pt>
                <c:pt idx="35">
                  <c:v>0.10971079642251011</c:v>
                </c:pt>
                <c:pt idx="36">
                  <c:v>0.1097161791413494</c:v>
                </c:pt>
                <c:pt idx="37">
                  <c:v>0.10971855964302621</c:v>
                </c:pt>
                <c:pt idx="38">
                  <c:v>0.10971961241735874</c:v>
                </c:pt>
                <c:pt idx="39">
                  <c:v>0.10972007800568663</c:v>
                </c:pt>
                <c:pt idx="40">
                  <c:v>0.10972028391162902</c:v>
                </c:pt>
                <c:pt idx="41">
                  <c:v>0.10972037497331287</c:v>
                </c:pt>
                <c:pt idx="42">
                  <c:v>0.10972041524524562</c:v>
                </c:pt>
                <c:pt idx="43">
                  <c:v>0.109720433055465</c:v>
                </c:pt>
                <c:pt idx="44">
                  <c:v>0.10972044093201556</c:v>
                </c:pt>
                <c:pt idx="45">
                  <c:v>0.10972044441541166</c:v>
                </c:pt>
                <c:pt idx="46">
                  <c:v>0.10972044595593988</c:v>
                </c:pt>
                <c:pt idx="47">
                  <c:v>0.10972044663723685</c:v>
                </c:pt>
                <c:pt idx="48">
                  <c:v>0.1097204469385397</c:v>
                </c:pt>
                <c:pt idx="49">
                  <c:v>0.10972044707179057</c:v>
                </c:pt>
                <c:pt idx="50">
                  <c:v>0.10972044713072063</c:v>
                </c:pt>
                <c:pt idx="51">
                  <c:v>0.10972044715678238</c:v>
                </c:pt>
                <c:pt idx="52">
                  <c:v>0.10972044716830816</c:v>
                </c:pt>
                <c:pt idx="53">
                  <c:v>0.10972044717340543</c:v>
                </c:pt>
                <c:pt idx="54">
                  <c:v>0.10972044717565969</c:v>
                </c:pt>
                <c:pt idx="55">
                  <c:v>0.10972044717665663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C26-4FE0-AB92-7861CB72633D}"/>
            </c:ext>
          </c:extLst>
        </c:ser>
        <c:ser>
          <c:idx val="0"/>
          <c:order val="3"/>
          <c:tx>
            <c:strRef>
              <c:f>'using SEG'!$E$2</c:f>
              <c:strCache>
                <c:ptCount val="1"/>
                <c:pt idx="0">
                  <c:v>0.075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SEG'!$D$4:$D$59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SEG'!$E$4:$E$59</c:f>
              <c:numCache>
                <c:formatCode>General</c:formatCode>
                <c:ptCount val="56"/>
                <c:pt idx="0">
                  <c:v>7.8432841274187093E-2</c:v>
                </c:pt>
                <c:pt idx="1">
                  <c:v>8.0690159470811137E-2</c:v>
                </c:pt>
                <c:pt idx="2">
                  <c:v>8.2784618116705566E-2</c:v>
                </c:pt>
                <c:pt idx="3">
                  <c:v>8.4727967098662385E-2</c:v>
                </c:pt>
                <c:pt idx="4">
                  <c:v>8.6531108580149993E-2</c:v>
                </c:pt>
                <c:pt idx="5">
                  <c:v>8.8204158162313792E-2</c:v>
                </c:pt>
                <c:pt idx="6">
                  <c:v>8.975650163237206E-2</c:v>
                </c:pt>
                <c:pt idx="7">
                  <c:v>9.1196847617764754E-2</c:v>
                </c:pt>
                <c:pt idx="8">
                  <c:v>9.2533276441444462E-2</c:v>
                </c:pt>
                <c:pt idx="9">
                  <c:v>9.3773285452387056E-2</c:v>
                </c:pt>
                <c:pt idx="10">
                  <c:v>9.4923831085625604E-2</c:v>
                </c:pt>
                <c:pt idx="11">
                  <c:v>9.599136788776387E-2</c:v>
                </c:pt>
                <c:pt idx="12">
                  <c:v>9.6981884726901987E-2</c:v>
                </c:pt>
                <c:pt idx="13">
                  <c:v>9.7900938390111519E-2</c:v>
                </c:pt>
                <c:pt idx="14">
                  <c:v>9.8753684756941407E-2</c:v>
                </c:pt>
                <c:pt idx="15">
                  <c:v>9.9544907723837728E-2</c:v>
                </c:pt>
                <c:pt idx="16">
                  <c:v>0.10027904604174287</c:v>
                </c:pt>
                <c:pt idx="17">
                  <c:v>0.10096021821743278</c:v>
                </c:pt>
                <c:pt idx="18">
                  <c:v>0.10159224561828843</c:v>
                </c:pt>
                <c:pt idx="19">
                  <c:v>0.10217867391011899</c:v>
                </c:pt>
                <c:pt idx="20">
                  <c:v>0.10453401732378004</c:v>
                </c:pt>
                <c:pt idx="21">
                  <c:v>0.10615377211661771</c:v>
                </c:pt>
                <c:pt idx="22">
                  <c:v>0.10726766725976483</c:v>
                </c:pt>
                <c:pt idx="23">
                  <c:v>0.10803368591605358</c:v>
                </c:pt>
                <c:pt idx="24">
                  <c:v>0.10856047210898422</c:v>
                </c:pt>
                <c:pt idx="25">
                  <c:v>0.10892273964748887</c:v>
                </c:pt>
                <c:pt idx="26">
                  <c:v>0.10917186874619229</c:v>
                </c:pt>
                <c:pt idx="27">
                  <c:v>0.10934319325425329</c:v>
                </c:pt>
                <c:pt idx="28">
                  <c:v>0.10946101203662398</c:v>
                </c:pt>
                <c:pt idx="29">
                  <c:v>0.10954203526929754</c:v>
                </c:pt>
                <c:pt idx="30">
                  <c:v>0.10959775443478867</c:v>
                </c:pt>
                <c:pt idx="31">
                  <c:v>0.10963607215306012</c:v>
                </c:pt>
                <c:pt idx="32">
                  <c:v>0.10966242300595944</c:v>
                </c:pt>
                <c:pt idx="33">
                  <c:v>0.10968054432110673</c:v>
                </c:pt>
                <c:pt idx="34">
                  <c:v>0.10969300623510708</c:v>
                </c:pt>
                <c:pt idx="35">
                  <c:v>0.10970157621467479</c:v>
                </c:pt>
                <c:pt idx="36">
                  <c:v>0.10971152267257166</c:v>
                </c:pt>
                <c:pt idx="37">
                  <c:v>0.10971622657735199</c:v>
                </c:pt>
                <c:pt idx="38">
                  <c:v>0.10971845116025496</c:v>
                </c:pt>
                <c:pt idx="39">
                  <c:v>0.10971950321579674</c:v>
                </c:pt>
                <c:pt idx="40">
                  <c:v>0.10972000075664429</c:v>
                </c:pt>
                <c:pt idx="41">
                  <c:v>0.10972023605495806</c:v>
                </c:pt>
                <c:pt idx="42">
                  <c:v>0.1097203473328496</c:v>
                </c:pt>
                <c:pt idx="43">
                  <c:v>0.10972039995867995</c:v>
                </c:pt>
                <c:pt idx="44">
                  <c:v>0.10972042484662474</c:v>
                </c:pt>
                <c:pt idx="45">
                  <c:v>0.10972043661669643</c:v>
                </c:pt>
                <c:pt idx="46">
                  <c:v>0.1097204421830294</c:v>
                </c:pt>
                <c:pt idx="47">
                  <c:v>0.10972044481547408</c:v>
                </c:pt>
                <c:pt idx="48">
                  <c:v>0.10972044606041668</c:v>
                </c:pt>
                <c:pt idx="49">
                  <c:v>0.10972044664917818</c:v>
                </c:pt>
                <c:pt idx="50">
                  <c:v>0.1097204469276168</c:v>
                </c:pt>
                <c:pt idx="51">
                  <c:v>0.10972044705929672</c:v>
                </c:pt>
                <c:pt idx="52">
                  <c:v>0.10972044712157113</c:v>
                </c:pt>
                <c:pt idx="53">
                  <c:v>0.1097204471510221</c:v>
                </c:pt>
                <c:pt idx="54">
                  <c:v>0.10972044716495014</c:v>
                </c:pt>
                <c:pt idx="55">
                  <c:v>0.10972044717153702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C26-4FE0-AB92-7861CB7263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7.0000000000000007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Measured vs Predicted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(k=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'using SEG'!$J$47</c:f>
              <c:strCache>
                <c:ptCount val="1"/>
                <c:pt idx="0">
                  <c:v>Low Flow (τ* = 0.075)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SEG'!$K$49:$K$54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9.3773285452387056E-2</c:v>
                </c:pt>
                <c:pt idx="2">
                  <c:v>0.10615377211661771</c:v>
                </c:pt>
                <c:pt idx="3">
                  <c:v>0.10934319325425329</c:v>
                </c:pt>
                <c:pt idx="4">
                  <c:v>0.10971622657735199</c:v>
                </c:pt>
                <c:pt idx="5">
                  <c:v>0.10972044664917818</c:v>
                </c:pt>
              </c:numCache>
            </c:numRef>
          </c:xVal>
          <c:yVal>
            <c:numRef>
              <c:f>'using SEG'!$L$49:$L$54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8.7604318893872962E-2</c:v>
                </c:pt>
                <c:pt idx="2">
                  <c:v>8.82413343442877E-2</c:v>
                </c:pt>
                <c:pt idx="3">
                  <c:v>9.5909343224736487E-2</c:v>
                </c:pt>
                <c:pt idx="4">
                  <c:v>9.6747384868129102E-2</c:v>
                </c:pt>
                <c:pt idx="5">
                  <c:v>8.315138079069874E-2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D5-4502-BD19-587EAFE09938}"/>
            </c:ext>
          </c:extLst>
        </c:ser>
        <c:ser>
          <c:idx val="1"/>
          <c:order val="1"/>
          <c:tx>
            <c:strRef>
              <c:f>'using SEG'!$J$38</c:f>
              <c:strCache>
                <c:ptCount val="1"/>
                <c:pt idx="0">
                  <c:v>Med Low Flow (τ* = 0.086)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'using SEG'!$K$40:$K$45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9.4807615308434748E-2</c:v>
                </c:pt>
                <c:pt idx="2">
                  <c:v>0.10680373406537885</c:v>
                </c:pt>
                <c:pt idx="3">
                  <c:v>0.10946816062462227</c:v>
                </c:pt>
                <c:pt idx="4">
                  <c:v>0.10971855964302621</c:v>
                </c:pt>
                <c:pt idx="5">
                  <c:v>0.10972044707179057</c:v>
                </c:pt>
              </c:numCache>
            </c:numRef>
          </c:xVal>
          <c:yVal>
            <c:numRef>
              <c:f>'using SEG'!$L$40:$L$45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0.10069087208399324</c:v>
                </c:pt>
                <c:pt idx="2">
                  <c:v>0.10972044717744713</c:v>
                </c:pt>
                <c:pt idx="3">
                  <c:v>0.10050961300625309</c:v>
                </c:pt>
                <c:pt idx="4">
                  <c:v>8.788893040268185E-2</c:v>
                </c:pt>
                <c:pt idx="5">
                  <c:v>9.0415380610003052E-2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ED5-4502-BD19-587EAFE09938}"/>
            </c:ext>
          </c:extLst>
        </c:ser>
        <c:ser>
          <c:idx val="2"/>
          <c:order val="2"/>
          <c:tx>
            <c:strRef>
              <c:f>'using SEG'!$J$29</c:f>
              <c:strCache>
                <c:ptCount val="1"/>
                <c:pt idx="0">
                  <c:v>Med High Flow (τ* = 0.089)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'using SEG'!$K$31:$K$36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9.5929853426950706E-2</c:v>
                </c:pt>
                <c:pt idx="2">
                  <c:v>0.10741390051799407</c:v>
                </c:pt>
                <c:pt idx="3">
                  <c:v>0.10956267472964304</c:v>
                </c:pt>
                <c:pt idx="4">
                  <c:v>0.10971970898601226</c:v>
                </c:pt>
                <c:pt idx="5">
                  <c:v>0.109720447161287</c:v>
                </c:pt>
              </c:numCache>
            </c:numRef>
          </c:xVal>
          <c:yVal>
            <c:numRef>
              <c:f>'using SEG'!$L$31:$L$36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9.0862480884593408E-2</c:v>
                </c:pt>
                <c:pt idx="2">
                  <c:v>8.5024416000407887E-2</c:v>
                </c:pt>
                <c:pt idx="3">
                  <c:v>0.1018424267519739</c:v>
                </c:pt>
                <c:pt idx="4">
                  <c:v>9.0161671068370017E-2</c:v>
                </c:pt>
                <c:pt idx="5">
                  <c:v>9.2516468769631724E-2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ED5-4502-BD19-587EAFE09938}"/>
            </c:ext>
          </c:extLst>
        </c:ser>
        <c:ser>
          <c:idx val="3"/>
          <c:order val="3"/>
          <c:tx>
            <c:strRef>
              <c:f>'using SEG'!$J$20</c:f>
              <c:strCache>
                <c:ptCount val="1"/>
                <c:pt idx="0">
                  <c:v>High Flow: (τ* = 0.108)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'using SEG'!$K$22:$K$27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9.831618971297186E-2</c:v>
                </c:pt>
                <c:pt idx="2">
                  <c:v>0.10841603636597899</c:v>
                </c:pt>
                <c:pt idx="3">
                  <c:v>0.10966998854752086</c:v>
                </c:pt>
                <c:pt idx="4">
                  <c:v>0.1097203716721218</c:v>
                </c:pt>
                <c:pt idx="5">
                  <c:v>0.10972044717727805</c:v>
                </c:pt>
              </c:numCache>
            </c:numRef>
          </c:xVal>
          <c:yVal>
            <c:numRef>
              <c:f>'using SEG'!$L$22:$L$27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9.0450482570703483E-2</c:v>
                </c:pt>
                <c:pt idx="2">
                  <c:v>9.5420493988168181E-2</c:v>
                </c:pt>
                <c:pt idx="3">
                  <c:v>9.0686938018793059E-2</c:v>
                </c:pt>
                <c:pt idx="4">
                  <c:v>9.0335218374187551E-2</c:v>
                </c:pt>
                <c:pt idx="5">
                  <c:v>8.5517652359137733E-2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ED5-4502-BD19-587EAFE099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>
                    <a:lumMod val="50000"/>
                    <a:lumOff val="50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FED5-4502-BD19-587EAFE09938}"/>
              </c:ext>
            </c:extLst>
          </c:dPt>
          <c:xVal>
            <c:numRef>
              <c:f>'using SEG'!$J$56:$J$57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xVal>
          <c:yVal>
            <c:numRef>
              <c:f>'using SEG'!$K$56:$K$57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ED5-4502-BD19-587EAFE099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valAx>
        <c:axId val="1496099248"/>
        <c:scaling>
          <c:orientation val="minMax"/>
          <c:max val="0.13"/>
          <c:min val="7.0000000000000007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1088"/>
        <c:crosses val="autoZero"/>
        <c:crossBetween val="midCat"/>
      </c:valAx>
      <c:valAx>
        <c:axId val="1496091088"/>
        <c:scaling>
          <c:orientation val="minMax"/>
          <c:max val="0.13"/>
          <c:min val="7.0000000000000007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9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461595</xdr:colOff>
      <xdr:row>0</xdr:row>
      <xdr:rowOff>166425</xdr:rowOff>
    </xdr:from>
    <xdr:to>
      <xdr:col>11</xdr:col>
      <xdr:colOff>820616</xdr:colOff>
      <xdr:row>2</xdr:row>
      <xdr:rowOff>54078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582C68-74CC-E442-B110-6D3AF3C447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05095" y="166425"/>
          <a:ext cx="2820867" cy="268653"/>
        </a:xfrm>
        <a:prstGeom prst="rect">
          <a:avLst/>
        </a:prstGeom>
      </xdr:spPr>
    </xdr:pic>
    <xdr:clientData/>
  </xdr:twoCellAnchor>
  <xdr:twoCellAnchor>
    <xdr:from>
      <xdr:col>8</xdr:col>
      <xdr:colOff>321652</xdr:colOff>
      <xdr:row>3</xdr:row>
      <xdr:rowOff>120894</xdr:rowOff>
    </xdr:from>
    <xdr:to>
      <xdr:col>13</xdr:col>
      <xdr:colOff>402248</xdr:colOff>
      <xdr:row>18</xdr:row>
      <xdr:rowOff>6594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7050664-55E0-40FA-A3AC-EB5474BDCD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419099</xdr:colOff>
      <xdr:row>19</xdr:row>
      <xdr:rowOff>176212</xdr:rowOff>
    </xdr:from>
    <xdr:to>
      <xdr:col>19</xdr:col>
      <xdr:colOff>209550</xdr:colOff>
      <xdr:row>35</xdr:row>
      <xdr:rowOff>171450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369C137-67EF-919A-DBAB-DD8A1E9993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FAACC-8A6A-4CD6-A3DC-46EC6066ED12}">
  <dimension ref="B2:T24"/>
  <sheetViews>
    <sheetView zoomScale="115" zoomScaleNormal="115" workbookViewId="0">
      <selection activeCell="G6" sqref="G6:G12"/>
    </sheetView>
  </sheetViews>
  <sheetFormatPr defaultRowHeight="15" x14ac:dyDescent="0.25"/>
  <sheetData>
    <row r="2" spans="2:20" x14ac:dyDescent="0.25">
      <c r="B2" s="1" t="s">
        <v>6</v>
      </c>
      <c r="H2" s="1" t="s">
        <v>3</v>
      </c>
      <c r="I2">
        <v>8.767302452316077</v>
      </c>
      <c r="J2" t="s">
        <v>4</v>
      </c>
      <c r="L2" s="1" t="s">
        <v>5</v>
      </c>
      <c r="R2" s="1" t="s">
        <v>3</v>
      </c>
      <c r="S2">
        <v>18.540626187088346</v>
      </c>
      <c r="T2" t="s">
        <v>4</v>
      </c>
    </row>
    <row r="4" spans="2:20" x14ac:dyDescent="0.25">
      <c r="C4" s="1" t="s">
        <v>0</v>
      </c>
      <c r="G4" s="1" t="s">
        <v>1</v>
      </c>
      <c r="M4" s="1" t="s">
        <v>0</v>
      </c>
      <c r="Q4" s="1" t="s">
        <v>1</v>
      </c>
    </row>
    <row r="5" spans="2:20" x14ac:dyDescent="0.25">
      <c r="B5" s="2" t="s">
        <v>2</v>
      </c>
      <c r="C5" s="4">
        <v>4000</v>
      </c>
      <c r="D5" s="3">
        <v>5000</v>
      </c>
      <c r="E5" s="3">
        <v>6000</v>
      </c>
      <c r="F5" s="2">
        <v>7000</v>
      </c>
      <c r="G5" s="3">
        <v>4000</v>
      </c>
      <c r="H5" s="3">
        <v>5000</v>
      </c>
      <c r="I5" s="3">
        <v>6000</v>
      </c>
      <c r="J5" s="3">
        <v>7000</v>
      </c>
      <c r="L5" s="2" t="s">
        <v>2</v>
      </c>
      <c r="M5" s="4">
        <v>4000</v>
      </c>
      <c r="N5" s="3">
        <v>5000</v>
      </c>
      <c r="O5" s="3">
        <v>6000</v>
      </c>
      <c r="P5" s="2">
        <v>7000</v>
      </c>
      <c r="Q5" s="3">
        <v>4000</v>
      </c>
      <c r="R5" s="3">
        <v>5000</v>
      </c>
      <c r="S5" s="3">
        <v>6000</v>
      </c>
      <c r="T5" s="3">
        <v>7000</v>
      </c>
    </row>
    <row r="6" spans="2:20" x14ac:dyDescent="0.25">
      <c r="B6" s="5">
        <v>0</v>
      </c>
      <c r="C6" s="6">
        <v>0</v>
      </c>
      <c r="D6" s="6">
        <v>0</v>
      </c>
      <c r="E6" s="6">
        <v>0</v>
      </c>
      <c r="F6" s="5">
        <v>0</v>
      </c>
      <c r="G6" s="9">
        <v>7.5999999999999998E-2</v>
      </c>
      <c r="H6" s="9">
        <v>7.5999999999999998E-2</v>
      </c>
      <c r="I6" s="9">
        <v>7.5999999999999998E-2</v>
      </c>
      <c r="J6" s="9">
        <v>7.5999999999999998E-2</v>
      </c>
      <c r="L6" s="5">
        <v>0</v>
      </c>
      <c r="M6" s="6">
        <v>0</v>
      </c>
      <c r="N6" s="6">
        <v>0</v>
      </c>
      <c r="O6" s="6">
        <v>0</v>
      </c>
      <c r="P6" s="5">
        <v>0</v>
      </c>
      <c r="Q6" s="10">
        <v>3.4000000000000002E-2</v>
      </c>
      <c r="R6" s="10">
        <v>3.4000000000000002E-2</v>
      </c>
      <c r="S6" s="10">
        <v>3.4000000000000002E-2</v>
      </c>
      <c r="T6" s="10">
        <v>3.4000000000000002E-2</v>
      </c>
    </row>
    <row r="7" spans="2:20" x14ac:dyDescent="0.25">
      <c r="B7" s="7">
        <v>10</v>
      </c>
      <c r="C7">
        <v>0.98529411764705876</v>
      </c>
      <c r="D7">
        <v>1.0735294117647058</v>
      </c>
      <c r="E7">
        <v>1.1764705882352942</v>
      </c>
      <c r="F7" s="7">
        <v>1.4264705882352942</v>
      </c>
      <c r="G7" s="8">
        <v>8.7604318893872962E-2</v>
      </c>
      <c r="H7" s="8">
        <v>0.10069087208399324</v>
      </c>
      <c r="I7" s="8">
        <v>9.0862480884593408E-2</v>
      </c>
      <c r="J7" s="8">
        <v>9.0450482570703483E-2</v>
      </c>
      <c r="L7" s="7">
        <v>10</v>
      </c>
      <c r="M7">
        <v>0.98529411764705876</v>
      </c>
      <c r="N7">
        <v>1.0735294117647058</v>
      </c>
      <c r="O7">
        <v>1.1764705882352942</v>
      </c>
      <c r="P7" s="7">
        <v>1.4264705882352942</v>
      </c>
      <c r="Q7">
        <v>3.9800000000000002E-2</v>
      </c>
      <c r="R7">
        <v>4.2900000000000001E-2</v>
      </c>
      <c r="S7">
        <v>4.2700000000000002E-2</v>
      </c>
      <c r="T7">
        <v>4.1500000000000002E-2</v>
      </c>
    </row>
    <row r="8" spans="2:20" x14ac:dyDescent="0.25">
      <c r="B8" s="7">
        <v>30</v>
      </c>
      <c r="C8">
        <v>0.98529411764705876</v>
      </c>
      <c r="D8">
        <v>1.0735294117647058</v>
      </c>
      <c r="E8">
        <v>1.1764705882352942</v>
      </c>
      <c r="F8" s="7">
        <v>1.4264705882352942</v>
      </c>
      <c r="G8" s="8">
        <v>8.82413343442877E-2</v>
      </c>
      <c r="H8" s="8">
        <v>0.10972044717744713</v>
      </c>
      <c r="I8" s="8">
        <v>8.5024416000407887E-2</v>
      </c>
      <c r="J8" s="8">
        <v>9.5420493988168181E-2</v>
      </c>
      <c r="L8" s="7">
        <v>30</v>
      </c>
      <c r="M8">
        <v>0.98529411764705876</v>
      </c>
      <c r="N8">
        <v>1.0735294117647058</v>
      </c>
      <c r="O8">
        <v>1.1764705882352942</v>
      </c>
      <c r="P8" s="7">
        <v>1.4264705882352942</v>
      </c>
      <c r="Q8">
        <v>4.24E-2</v>
      </c>
      <c r="R8">
        <v>4.3999999999999997E-2</v>
      </c>
      <c r="S8">
        <v>4.2000000000000003E-2</v>
      </c>
      <c r="T8">
        <v>4.3700000000000003E-2</v>
      </c>
    </row>
    <row r="9" spans="2:20" x14ac:dyDescent="0.25">
      <c r="B9" s="7">
        <v>60</v>
      </c>
      <c r="C9">
        <v>0.98529411764705876</v>
      </c>
      <c r="D9">
        <v>1.0735294117647058</v>
      </c>
      <c r="E9">
        <v>1.1764705882352942</v>
      </c>
      <c r="F9" s="7">
        <v>1.4264705882352942</v>
      </c>
      <c r="G9" s="8">
        <v>9.5909343224736487E-2</v>
      </c>
      <c r="H9" s="8">
        <v>0.10050961300625309</v>
      </c>
      <c r="I9" s="8">
        <v>0.1018424267519739</v>
      </c>
      <c r="J9" s="8">
        <v>9.0686938018793059E-2</v>
      </c>
      <c r="L9" s="7">
        <v>60</v>
      </c>
      <c r="M9">
        <v>0.98529411764705876</v>
      </c>
      <c r="N9">
        <v>1.0735294117647058</v>
      </c>
      <c r="O9">
        <v>1.1764705882352942</v>
      </c>
      <c r="P9" s="7">
        <v>1.4264705882352942</v>
      </c>
      <c r="Q9">
        <v>4.2799999999999998E-2</v>
      </c>
      <c r="R9">
        <v>4.6800000000000001E-2</v>
      </c>
      <c r="S9">
        <v>4.7899999999999998E-2</v>
      </c>
      <c r="T9">
        <v>4.36E-2</v>
      </c>
    </row>
    <row r="10" spans="2:20" x14ac:dyDescent="0.25">
      <c r="B10" s="7">
        <v>120</v>
      </c>
      <c r="C10">
        <v>0.98529411764705876</v>
      </c>
      <c r="D10">
        <v>1.0735294117647058</v>
      </c>
      <c r="E10">
        <v>1.1764705882352942</v>
      </c>
      <c r="F10" s="7">
        <v>1.4264705882352942</v>
      </c>
      <c r="G10" s="8">
        <v>9.6747384868129102E-2</v>
      </c>
      <c r="H10" s="8">
        <v>8.788893040268185E-2</v>
      </c>
      <c r="I10" s="8">
        <v>9.0161671068370017E-2</v>
      </c>
      <c r="J10" s="8">
        <v>9.0335218374187551E-2</v>
      </c>
      <c r="L10" s="7">
        <v>120</v>
      </c>
      <c r="M10">
        <v>0.98529411764705876</v>
      </c>
      <c r="N10">
        <v>1.0735294117647058</v>
      </c>
      <c r="O10">
        <v>1.1764705882352942</v>
      </c>
      <c r="P10" s="7">
        <v>1.4264705882352942</v>
      </c>
      <c r="Q10">
        <v>4.3799999999999999E-2</v>
      </c>
      <c r="R10">
        <v>4.4400000000000002E-2</v>
      </c>
      <c r="S10">
        <v>4.4999999999999998E-2</v>
      </c>
      <c r="T10">
        <v>4.2799999999999998E-2</v>
      </c>
    </row>
    <row r="11" spans="2:20" x14ac:dyDescent="0.25">
      <c r="B11" s="7">
        <v>240</v>
      </c>
      <c r="C11">
        <v>0.98529411764705876</v>
      </c>
      <c r="D11">
        <v>1.0735294117647058</v>
      </c>
      <c r="E11">
        <v>1.1764705882352942</v>
      </c>
      <c r="F11" s="7">
        <v>1.4264705882352942</v>
      </c>
      <c r="G11" s="46">
        <v>8.315138079069874E-2</v>
      </c>
      <c r="H11" s="46">
        <v>9.0415380610003052E-2</v>
      </c>
      <c r="I11" s="46">
        <v>9.2516468769631724E-2</v>
      </c>
      <c r="J11" s="46">
        <v>8.5517652359137733E-2</v>
      </c>
      <c r="L11" s="7">
        <v>240</v>
      </c>
      <c r="M11">
        <v>0.98529411764705876</v>
      </c>
      <c r="N11">
        <v>1.0735294117647058</v>
      </c>
      <c r="O11">
        <v>1.1764705882352942</v>
      </c>
      <c r="P11" s="7">
        <v>1.4264705882352942</v>
      </c>
      <c r="Q11" s="1">
        <v>3.9100000000000003E-2</v>
      </c>
      <c r="R11" s="1">
        <v>4.1300000000000003E-2</v>
      </c>
      <c r="S11" s="1">
        <v>4.3799999999999999E-2</v>
      </c>
      <c r="T11" s="1">
        <v>4.2000000000000003E-2</v>
      </c>
    </row>
    <row r="13" spans="2:20" x14ac:dyDescent="0.25">
      <c r="B13" s="1"/>
      <c r="C13" t="s">
        <v>9</v>
      </c>
      <c r="L13" s="1"/>
    </row>
    <row r="14" spans="2:20" x14ac:dyDescent="0.25">
      <c r="B14" s="2" t="s">
        <v>2</v>
      </c>
      <c r="C14" s="4">
        <v>4000</v>
      </c>
      <c r="D14" s="3">
        <v>5000</v>
      </c>
      <c r="E14" s="3">
        <v>6000</v>
      </c>
      <c r="F14" s="2">
        <v>7000</v>
      </c>
    </row>
    <row r="15" spans="2:20" x14ac:dyDescent="0.25">
      <c r="B15" s="5">
        <v>0</v>
      </c>
      <c r="C15" s="11">
        <f>C6*G$6</f>
        <v>0</v>
      </c>
      <c r="D15" s="12">
        <f t="shared" ref="D15:F15" si="0">D6*H$6</f>
        <v>0</v>
      </c>
      <c r="E15" s="12">
        <f t="shared" si="0"/>
        <v>0</v>
      </c>
      <c r="F15" s="13">
        <f t="shared" si="0"/>
        <v>0</v>
      </c>
    </row>
    <row r="16" spans="2:20" x14ac:dyDescent="0.25">
      <c r="B16" s="7">
        <v>10</v>
      </c>
      <c r="C16" s="14">
        <f t="shared" ref="C16:C20" si="1">C7*G$6</f>
        <v>7.4882352941176469E-2</v>
      </c>
      <c r="D16" s="15">
        <f t="shared" ref="D16:D20" si="2">D7*H$6</f>
        <v>8.1588235294117642E-2</v>
      </c>
      <c r="E16" s="15">
        <f t="shared" ref="E16:E20" si="3">E7*I$6</f>
        <v>8.9411764705882357E-2</v>
      </c>
      <c r="F16" s="7">
        <f t="shared" ref="F16:F20" si="4">F7*J$6</f>
        <v>0.10841176470588235</v>
      </c>
    </row>
    <row r="17" spans="2:17" x14ac:dyDescent="0.25">
      <c r="B17" s="7">
        <v>30</v>
      </c>
      <c r="C17" s="14">
        <f t="shared" si="1"/>
        <v>7.4882352941176469E-2</v>
      </c>
      <c r="D17" s="15">
        <f t="shared" si="2"/>
        <v>8.1588235294117642E-2</v>
      </c>
      <c r="E17" s="15">
        <f t="shared" si="3"/>
        <v>8.9411764705882357E-2</v>
      </c>
      <c r="F17" s="7">
        <f t="shared" si="4"/>
        <v>0.10841176470588235</v>
      </c>
    </row>
    <row r="18" spans="2:17" x14ac:dyDescent="0.25">
      <c r="B18" s="7">
        <v>60</v>
      </c>
      <c r="C18" s="14">
        <f t="shared" si="1"/>
        <v>7.4882352941176469E-2</v>
      </c>
      <c r="D18" s="15">
        <f t="shared" si="2"/>
        <v>8.1588235294117642E-2</v>
      </c>
      <c r="E18" s="15">
        <f t="shared" si="3"/>
        <v>8.9411764705882357E-2</v>
      </c>
      <c r="F18" s="7">
        <f t="shared" si="4"/>
        <v>0.10841176470588235</v>
      </c>
    </row>
    <row r="19" spans="2:17" x14ac:dyDescent="0.25">
      <c r="B19" s="7">
        <v>120</v>
      </c>
      <c r="C19" s="14">
        <f t="shared" si="1"/>
        <v>7.4882352941176469E-2</v>
      </c>
      <c r="D19" s="15">
        <f t="shared" si="2"/>
        <v>8.1588235294117642E-2</v>
      </c>
      <c r="E19" s="15">
        <f t="shared" si="3"/>
        <v>8.9411764705882357E-2</v>
      </c>
      <c r="F19" s="7">
        <f t="shared" si="4"/>
        <v>0.10841176470588235</v>
      </c>
    </row>
    <row r="20" spans="2:17" x14ac:dyDescent="0.25">
      <c r="B20" s="7">
        <v>240</v>
      </c>
      <c r="C20" s="14">
        <f t="shared" si="1"/>
        <v>7.4882352941176469E-2</v>
      </c>
      <c r="D20" s="15">
        <f t="shared" si="2"/>
        <v>8.1588235294117642E-2</v>
      </c>
      <c r="E20" s="15">
        <f t="shared" si="3"/>
        <v>8.9411764705882357E-2</v>
      </c>
      <c r="F20" s="7">
        <f t="shared" si="4"/>
        <v>0.10841176470588235</v>
      </c>
    </row>
    <row r="21" spans="2:17" x14ac:dyDescent="0.25">
      <c r="P21" t="s">
        <v>7</v>
      </c>
      <c r="Q21" s="8">
        <f>MIN(Q6:T11)</f>
        <v>3.4000000000000002E-2</v>
      </c>
    </row>
    <row r="22" spans="2:17" x14ac:dyDescent="0.25">
      <c r="P22" t="s">
        <v>8</v>
      </c>
      <c r="Q22" s="8">
        <f>MAX(Q6:T11)</f>
        <v>4.7899999999999998E-2</v>
      </c>
    </row>
    <row r="23" spans="2:17" x14ac:dyDescent="0.25">
      <c r="B23" t="s">
        <v>10</v>
      </c>
      <c r="C23" s="8">
        <f>MIN(G6:J11)</f>
        <v>7.5999999999999998E-2</v>
      </c>
    </row>
    <row r="24" spans="2:17" x14ac:dyDescent="0.25">
      <c r="B24" t="s">
        <v>11</v>
      </c>
      <c r="C24" s="8">
        <f>MAX(G6:J11)</f>
        <v>0.10972044717744713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8D944-DD70-4A27-93A1-B8CAD3369FDD}">
  <dimension ref="A1:M59"/>
  <sheetViews>
    <sheetView tabSelected="1" zoomScaleNormal="100" workbookViewId="0">
      <selection activeCell="G8" sqref="G8"/>
    </sheetView>
  </sheetViews>
  <sheetFormatPr defaultRowHeight="15" x14ac:dyDescent="0.25"/>
  <cols>
    <col min="4" max="4" width="13.28515625" customWidth="1"/>
    <col min="10" max="10" width="12.7109375" customWidth="1"/>
    <col min="11" max="12" width="15" customWidth="1"/>
  </cols>
  <sheetData>
    <row r="1" spans="1:8" x14ac:dyDescent="0.25">
      <c r="A1" s="17" t="s">
        <v>12</v>
      </c>
      <c r="B1" s="18" t="s">
        <v>15</v>
      </c>
      <c r="D1" s="16" t="s">
        <v>16</v>
      </c>
      <c r="E1" s="20" t="s">
        <v>14</v>
      </c>
      <c r="F1" s="20"/>
      <c r="G1" s="20"/>
      <c r="H1" s="20"/>
    </row>
    <row r="2" spans="1:8" x14ac:dyDescent="0.25">
      <c r="A2" s="18">
        <v>4000</v>
      </c>
      <c r="B2" s="19">
        <v>7.4882352941176469E-2</v>
      </c>
      <c r="D2" s="16" t="s">
        <v>13</v>
      </c>
      <c r="E2" s="34">
        <v>7.4882352941176469E-2</v>
      </c>
      <c r="F2" s="35">
        <v>8.1588235294117642E-2</v>
      </c>
      <c r="G2" s="37">
        <v>8.9411764705882357E-2</v>
      </c>
      <c r="H2" s="39">
        <v>0.10841176470588235</v>
      </c>
    </row>
    <row r="3" spans="1:8" x14ac:dyDescent="0.25">
      <c r="A3" s="18">
        <v>5000</v>
      </c>
      <c r="B3" s="19">
        <v>8.1588235294117642E-2</v>
      </c>
      <c r="D3" s="16">
        <v>0</v>
      </c>
      <c r="E3" s="41">
        <f>$B$8-($B$8-$B$7)*EXP(-$E$2*D3)</f>
        <v>7.5999999999999998E-2</v>
      </c>
      <c r="F3" s="42">
        <f>$B$8-($B$8-$B$7)*EXP(-$F$2*D3)</f>
        <v>7.5999999999999998E-2</v>
      </c>
      <c r="G3" s="43">
        <f>$B$8-($B$8-$B$7)*EXP(-$G$2*D3)</f>
        <v>7.5999999999999998E-2</v>
      </c>
      <c r="H3" s="44">
        <f>$B$8-($B$8-$B$7)*EXP(-$H$2*D3)</f>
        <v>7.5999999999999998E-2</v>
      </c>
    </row>
    <row r="4" spans="1:8" x14ac:dyDescent="0.25">
      <c r="A4" s="18">
        <v>6000</v>
      </c>
      <c r="B4" s="19">
        <v>8.9411764705882357E-2</v>
      </c>
      <c r="D4" s="16">
        <f>D3+1</f>
        <v>1</v>
      </c>
      <c r="E4" s="32">
        <f t="shared" ref="E4:H59" si="0">$B$8-($B$8-$B$7)*EXP(-$E$2*D4)</f>
        <v>7.8432841274187093E-2</v>
      </c>
      <c r="F4" s="36">
        <f t="shared" ref="F4:F59" si="1">$B$8-($B$8-$B$7)*EXP(-$F$2*D4)</f>
        <v>7.8641950364384816E-2</v>
      </c>
      <c r="G4" s="38">
        <f t="shared" ref="G4:G59" si="2">$B$8-($B$8-$B$7)*EXP(-$G$2*D4)</f>
        <v>7.8884145253509702E-2</v>
      </c>
      <c r="H4" s="40">
        <f t="shared" ref="H4:H59" si="3">$B$8-($B$8-$B$7)*EXP(-$H$2*D4)</f>
        <v>7.9464504121791596E-2</v>
      </c>
    </row>
    <row r="5" spans="1:8" x14ac:dyDescent="0.25">
      <c r="A5" s="18">
        <v>7000</v>
      </c>
      <c r="B5" s="19">
        <v>0.10841176470588235</v>
      </c>
      <c r="D5" s="16">
        <f t="shared" ref="D5:D24" si="4">D4+1</f>
        <v>2</v>
      </c>
      <c r="E5" s="32">
        <f t="shared" si="0"/>
        <v>8.0690159470811137E-2</v>
      </c>
      <c r="F5" s="36">
        <f t="shared" si="1"/>
        <v>8.1076907574404194E-2</v>
      </c>
      <c r="G5" s="38">
        <f t="shared" si="2"/>
        <v>8.1521606535138236E-2</v>
      </c>
      <c r="H5" s="40">
        <f t="shared" si="3"/>
        <v>8.2573058372967648E-2</v>
      </c>
    </row>
    <row r="6" spans="1:8" x14ac:dyDescent="0.25">
      <c r="D6" s="16">
        <f t="shared" si="4"/>
        <v>3</v>
      </c>
      <c r="E6" s="32">
        <f t="shared" si="0"/>
        <v>8.2784618116705566E-2</v>
      </c>
      <c r="F6" s="36">
        <f t="shared" si="1"/>
        <v>8.3321089257206535E-2</v>
      </c>
      <c r="G6" s="38">
        <f t="shared" si="2"/>
        <v>8.3933482984018384E-2</v>
      </c>
      <c r="H6" s="40">
        <f t="shared" si="3"/>
        <v>8.5362233733367446E-2</v>
      </c>
    </row>
    <row r="7" spans="1:8" x14ac:dyDescent="0.25">
      <c r="A7" t="s">
        <v>10</v>
      </c>
      <c r="B7" s="8">
        <f>Sheet1!C23</f>
        <v>7.5999999999999998E-2</v>
      </c>
      <c r="D7" s="16">
        <f t="shared" si="4"/>
        <v>4</v>
      </c>
      <c r="E7" s="32">
        <f t="shared" si="0"/>
        <v>8.4727967098662385E-2</v>
      </c>
      <c r="F7" s="36">
        <f t="shared" si="1"/>
        <v>8.5389442411299712E-2</v>
      </c>
      <c r="G7" s="38">
        <f t="shared" si="2"/>
        <v>8.6139069107758898E-2</v>
      </c>
      <c r="H7" s="40">
        <f t="shared" si="3"/>
        <v>8.7864843809456084E-2</v>
      </c>
    </row>
    <row r="8" spans="1:8" x14ac:dyDescent="0.25">
      <c r="A8" t="s">
        <v>11</v>
      </c>
      <c r="B8" s="8">
        <f>Sheet1!C24</f>
        <v>0.10972044717744713</v>
      </c>
      <c r="D8" s="16">
        <f t="shared" si="4"/>
        <v>5</v>
      </c>
      <c r="E8" s="32">
        <f t="shared" si="0"/>
        <v>8.6531108580149993E-2</v>
      </c>
      <c r="F8" s="36">
        <f t="shared" si="1"/>
        <v>8.7295742958546446E-2</v>
      </c>
      <c r="G8" s="38">
        <f t="shared" si="2"/>
        <v>8.8156009134473523E-2</v>
      </c>
      <c r="H8" s="40">
        <f t="shared" si="3"/>
        <v>9.0110330874149852E-2</v>
      </c>
    </row>
    <row r="9" spans="1:8" x14ac:dyDescent="0.25">
      <c r="B9" s="15"/>
      <c r="C9" s="15"/>
      <c r="D9" s="16">
        <f t="shared" si="4"/>
        <v>6</v>
      </c>
      <c r="E9" s="32">
        <f t="shared" si="0"/>
        <v>8.8204158162313792E-2</v>
      </c>
      <c r="F9" s="36">
        <f t="shared" si="1"/>
        <v>8.9052687496398553E-2</v>
      </c>
      <c r="G9" s="38">
        <f t="shared" si="2"/>
        <v>9.0000438162919028E-2</v>
      </c>
      <c r="H9" s="40">
        <f t="shared" si="3"/>
        <v>9.2125112244161617E-2</v>
      </c>
    </row>
    <row r="10" spans="1:8" x14ac:dyDescent="0.25">
      <c r="D10" s="16">
        <f t="shared" si="4"/>
        <v>7</v>
      </c>
      <c r="E10" s="32">
        <f t="shared" si="0"/>
        <v>8.975650163237206E-2</v>
      </c>
      <c r="F10" s="36">
        <f t="shared" si="1"/>
        <v>9.0671977861470701E-2</v>
      </c>
      <c r="G10" s="38">
        <f t="shared" si="2"/>
        <v>9.168711123991366E-2</v>
      </c>
      <c r="H10" s="40">
        <f t="shared" si="3"/>
        <v>9.3932891069865992E-2</v>
      </c>
    </row>
    <row r="11" spans="1:8" x14ac:dyDescent="0.25">
      <c r="D11" s="16">
        <f t="shared" si="4"/>
        <v>8</v>
      </c>
      <c r="E11" s="32">
        <f t="shared" si="0"/>
        <v>9.1196847617764754E-2</v>
      </c>
      <c r="F11" s="36">
        <f t="shared" si="1"/>
        <v>9.2164399067675096E-2</v>
      </c>
      <c r="G11" s="38">
        <f t="shared" si="2"/>
        <v>9.3229521397628579E-2</v>
      </c>
      <c r="H11" s="40">
        <f t="shared" si="3"/>
        <v>9.5554935194011315E-2</v>
      </c>
    </row>
    <row r="12" spans="1:8" x14ac:dyDescent="0.25">
      <c r="D12" s="16">
        <f t="shared" si="4"/>
        <v>9</v>
      </c>
      <c r="E12" s="32">
        <f t="shared" si="0"/>
        <v>9.2533276441444462E-2</v>
      </c>
      <c r="F12" s="36">
        <f t="shared" si="1"/>
        <v>9.3539891138011311E-2</v>
      </c>
      <c r="G12" s="38">
        <f t="shared" si="2"/>
        <v>9.4640007595025596E-2</v>
      </c>
      <c r="H12" s="40">
        <f t="shared" si="3"/>
        <v>9.7010327359946913E-2</v>
      </c>
    </row>
    <row r="13" spans="1:8" x14ac:dyDescent="0.25">
      <c r="D13" s="16">
        <f t="shared" si="4"/>
        <v>10</v>
      </c>
      <c r="E13" s="41">
        <f t="shared" si="0"/>
        <v>9.3773285452387056E-2</v>
      </c>
      <c r="F13" s="42">
        <f t="shared" si="1"/>
        <v>9.4807615308434748E-2</v>
      </c>
      <c r="G13" s="43">
        <f t="shared" si="2"/>
        <v>9.5929853426950706E-2</v>
      </c>
      <c r="H13" s="44">
        <f t="shared" si="3"/>
        <v>9.831618971297186E-2</v>
      </c>
    </row>
    <row r="14" spans="1:8" x14ac:dyDescent="0.25">
      <c r="D14" s="16">
        <f t="shared" si="4"/>
        <v>11</v>
      </c>
      <c r="E14" s="32">
        <f t="shared" si="0"/>
        <v>9.4923831085625604E-2</v>
      </c>
      <c r="F14" s="36">
        <f t="shared" si="1"/>
        <v>9.5976015044743623E-2</v>
      </c>
      <c r="G14" s="38">
        <f t="shared" si="2"/>
        <v>9.7109377390534934E-2</v>
      </c>
      <c r="H14" s="40">
        <f t="shared" si="3"/>
        <v>9.9487885235979998E-2</v>
      </c>
    </row>
    <row r="15" spans="1:8" x14ac:dyDescent="0.25">
      <c r="D15" s="16">
        <f t="shared" si="4"/>
        <v>12</v>
      </c>
      <c r="E15" s="32">
        <f t="shared" si="0"/>
        <v>9.599136788776387E-2</v>
      </c>
      <c r="F15" s="36">
        <f t="shared" si="1"/>
        <v>9.7052872278877364E-2</v>
      </c>
      <c r="G15" s="38">
        <f t="shared" si="2"/>
        <v>9.8188015431015283E-2</v>
      </c>
      <c r="H15" s="40">
        <f t="shared" si="3"/>
        <v>0.10053919848921618</v>
      </c>
    </row>
    <row r="16" spans="1:8" x14ac:dyDescent="0.25">
      <c r="D16" s="16">
        <f t="shared" si="4"/>
        <v>13</v>
      </c>
      <c r="E16" s="32">
        <f t="shared" si="0"/>
        <v>9.6981884726901987E-2</v>
      </c>
      <c r="F16" s="36">
        <f t="shared" si="1"/>
        <v>9.8045359239178759E-2</v>
      </c>
      <c r="G16" s="38">
        <f t="shared" si="2"/>
        <v>9.9174396427324896E-2</v>
      </c>
      <c r="H16" s="40">
        <f t="shared" si="3"/>
        <v>0.10148249778047955</v>
      </c>
    </row>
    <row r="17" spans="4:13" x14ac:dyDescent="0.25">
      <c r="D17" s="16">
        <f t="shared" si="4"/>
        <v>14</v>
      </c>
      <c r="E17" s="32">
        <f t="shared" si="0"/>
        <v>9.7900938390111519E-2</v>
      </c>
      <c r="F17" s="36">
        <f t="shared" si="1"/>
        <v>9.8960086219826951E-2</v>
      </c>
      <c r="G17" s="38">
        <f t="shared" si="2"/>
        <v>0.10007641122132148</v>
      </c>
      <c r="H17" s="40">
        <f t="shared" si="3"/>
        <v>0.10232888067364573</v>
      </c>
    </row>
    <row r="18" spans="4:13" x14ac:dyDescent="0.25">
      <c r="D18" s="16">
        <f t="shared" si="4"/>
        <v>15</v>
      </c>
      <c r="E18" s="32">
        <f t="shared" si="0"/>
        <v>9.8753684756941407E-2</v>
      </c>
      <c r="F18" s="36">
        <f t="shared" si="1"/>
        <v>9.980314560760134E-2</v>
      </c>
      <c r="G18" s="38">
        <f t="shared" si="2"/>
        <v>0.10090127574287325</v>
      </c>
      <c r="H18" s="40">
        <f t="shared" si="3"/>
        <v>0.10308830454736126</v>
      </c>
    </row>
    <row r="19" spans="4:13" x14ac:dyDescent="0.25">
      <c r="D19" s="16">
        <f t="shared" si="4"/>
        <v>16</v>
      </c>
      <c r="E19" s="32">
        <f t="shared" si="0"/>
        <v>9.9544907723837728E-2</v>
      </c>
      <c r="F19" s="36">
        <f t="shared" si="1"/>
        <v>0.10058015245920952</v>
      </c>
      <c r="G19" s="38">
        <f t="shared" si="2"/>
        <v>0.1016555887357901</v>
      </c>
      <c r="H19" s="40">
        <f t="shared" si="3"/>
        <v>0.10376970373988471</v>
      </c>
    </row>
    <row r="20" spans="4:13" x14ac:dyDescent="0.25">
      <c r="D20" s="16">
        <f>D19+1</f>
        <v>17</v>
      </c>
      <c r="E20" s="32">
        <f t="shared" si="0"/>
        <v>0.10027904604174287</v>
      </c>
      <c r="F20" s="36">
        <f t="shared" si="1"/>
        <v>0.1012962818994378</v>
      </c>
      <c r="G20" s="38">
        <f t="shared" si="2"/>
        <v>0.10234538454639518</v>
      </c>
      <c r="H20" s="40">
        <f t="shared" si="3"/>
        <v>0.10438109465823966</v>
      </c>
      <c r="J20" t="s">
        <v>19</v>
      </c>
    </row>
    <row r="21" spans="4:13" x14ac:dyDescent="0.25">
      <c r="D21" s="16">
        <f t="shared" si="4"/>
        <v>18</v>
      </c>
      <c r="E21" s="32">
        <f t="shared" si="0"/>
        <v>0.10096021821743278</v>
      </c>
      <c r="F21" s="36">
        <f t="shared" si="1"/>
        <v>0.10195630358920828</v>
      </c>
      <c r="G21" s="38">
        <f t="shared" si="2"/>
        <v>0.10297618139703456</v>
      </c>
      <c r="H21" s="40">
        <f t="shared" si="3"/>
        <v>0.10492967008824952</v>
      </c>
      <c r="J21" s="22" t="s">
        <v>13</v>
      </c>
      <c r="K21" s="22" t="s">
        <v>17</v>
      </c>
      <c r="L21" s="23" t="s">
        <v>18</v>
      </c>
      <c r="M21" s="55" t="s">
        <v>23</v>
      </c>
    </row>
    <row r="22" spans="4:13" x14ac:dyDescent="0.25">
      <c r="D22" s="16">
        <f t="shared" si="4"/>
        <v>19</v>
      </c>
      <c r="E22" s="32">
        <f t="shared" si="0"/>
        <v>0.10159224561828843</v>
      </c>
      <c r="F22" s="36">
        <f t="shared" si="1"/>
        <v>0.10256461349311141</v>
      </c>
      <c r="G22" s="38">
        <f t="shared" si="2"/>
        <v>0.10355302553070295</v>
      </c>
      <c r="H22" s="40">
        <f t="shared" si="3"/>
        <v>0.10542188381497646</v>
      </c>
      <c r="J22" s="24">
        <v>0</v>
      </c>
      <c r="K22" s="45">
        <f>H3</f>
        <v>7.5999999999999998E-2</v>
      </c>
      <c r="L22" s="47">
        <v>7.5999999999999998E-2</v>
      </c>
      <c r="M22" s="21" cm="1">
        <f t="array" ref="M22">SQRT(SUMSQ(K22:K27-L22:L27)/COUNTA(K22:K27-L22:L27))</f>
        <v>1.6086584075511765E-2</v>
      </c>
    </row>
    <row r="23" spans="4:13" x14ac:dyDescent="0.25">
      <c r="D23" s="16">
        <f t="shared" si="4"/>
        <v>20</v>
      </c>
      <c r="E23" s="32">
        <f t="shared" si="0"/>
        <v>0.10217867391011899</v>
      </c>
      <c r="F23" s="36">
        <f t="shared" si="1"/>
        <v>0.10312526315799642</v>
      </c>
      <c r="G23" s="38">
        <f t="shared" si="2"/>
        <v>0.10408053157993313</v>
      </c>
      <c r="H23" s="40">
        <f t="shared" si="3"/>
        <v>0.10586352654909245</v>
      </c>
      <c r="J23" s="22">
        <v>10</v>
      </c>
      <c r="K23" s="45">
        <f>H13</f>
        <v>9.831618971297186E-2</v>
      </c>
      <c r="L23" s="40">
        <v>9.0450482570703483E-2</v>
      </c>
    </row>
    <row r="24" spans="4:13" x14ac:dyDescent="0.25">
      <c r="D24" s="16">
        <f>D23+5</f>
        <v>25</v>
      </c>
      <c r="E24" s="32">
        <f t="shared" si="0"/>
        <v>0.10453401732378004</v>
      </c>
      <c r="F24" s="36">
        <f t="shared" si="1"/>
        <v>0.10533453111509082</v>
      </c>
      <c r="G24" s="38">
        <f t="shared" si="2"/>
        <v>0.10611368568255408</v>
      </c>
      <c r="H24" s="40">
        <f t="shared" si="3"/>
        <v>0.10747745610153971</v>
      </c>
      <c r="J24" s="22">
        <v>30</v>
      </c>
      <c r="K24" s="45">
        <f>H25</f>
        <v>0.10841603636597899</v>
      </c>
      <c r="L24" s="40">
        <v>9.5420493988168181E-2</v>
      </c>
    </row>
    <row r="25" spans="4:13" x14ac:dyDescent="0.25">
      <c r="D25" s="16">
        <f t="shared" ref="D25:D46" si="5">D24+5</f>
        <v>30</v>
      </c>
      <c r="E25" s="41">
        <f t="shared" si="0"/>
        <v>0.10615377211661771</v>
      </c>
      <c r="F25" s="42">
        <f t="shared" si="1"/>
        <v>0.10680373406537885</v>
      </c>
      <c r="G25" s="43">
        <f t="shared" si="2"/>
        <v>0.10741390051799407</v>
      </c>
      <c r="H25" s="44">
        <f t="shared" si="3"/>
        <v>0.10841603636597899</v>
      </c>
      <c r="J25" s="22">
        <v>60</v>
      </c>
      <c r="K25" s="45">
        <f>H31</f>
        <v>0.10966998854752086</v>
      </c>
      <c r="L25" s="40">
        <v>9.0686938018793059E-2</v>
      </c>
    </row>
    <row r="26" spans="4:13" x14ac:dyDescent="0.25">
      <c r="D26" s="16">
        <f t="shared" si="5"/>
        <v>35</v>
      </c>
      <c r="E26" s="32">
        <f t="shared" si="0"/>
        <v>0.10726766725976483</v>
      </c>
      <c r="F26" s="36">
        <f t="shared" si="1"/>
        <v>0.10778078046765137</v>
      </c>
      <c r="G26" s="38">
        <f t="shared" si="2"/>
        <v>0.10824539608250584</v>
      </c>
      <c r="H26" s="40">
        <f t="shared" si="3"/>
        <v>0.10896186744730414</v>
      </c>
      <c r="J26" s="22">
        <v>120</v>
      </c>
      <c r="K26" s="45">
        <f>H41</f>
        <v>0.1097203716721218</v>
      </c>
      <c r="L26" s="40">
        <v>9.0335218374187551E-2</v>
      </c>
    </row>
    <row r="27" spans="4:13" x14ac:dyDescent="0.25">
      <c r="D27" s="16">
        <f t="shared" si="5"/>
        <v>40</v>
      </c>
      <c r="E27" s="32">
        <f t="shared" si="0"/>
        <v>0.10803368591605358</v>
      </c>
      <c r="F27" s="36">
        <f t="shared" si="1"/>
        <v>0.10843053390845853</v>
      </c>
      <c r="G27" s="38">
        <f t="shared" si="2"/>
        <v>0.10877714272541258</v>
      </c>
      <c r="H27" s="40">
        <f t="shared" si="3"/>
        <v>0.10927929535478159</v>
      </c>
      <c r="J27" s="22">
        <v>240</v>
      </c>
      <c r="K27" s="45">
        <f>H53</f>
        <v>0.10972044717727805</v>
      </c>
      <c r="L27" s="47">
        <v>8.5517652359137733E-2</v>
      </c>
    </row>
    <row r="28" spans="4:13" x14ac:dyDescent="0.25">
      <c r="D28" s="16">
        <f t="shared" si="5"/>
        <v>45</v>
      </c>
      <c r="E28" s="32">
        <f t="shared" si="0"/>
        <v>0.10856047210898422</v>
      </c>
      <c r="F28" s="36">
        <f t="shared" si="1"/>
        <v>0.10886263163980352</v>
      </c>
      <c r="G28" s="38">
        <f t="shared" si="2"/>
        <v>0.10911719804778655</v>
      </c>
      <c r="H28" s="40">
        <f t="shared" si="3"/>
        <v>0.10946389546256748</v>
      </c>
    </row>
    <row r="29" spans="4:13" x14ac:dyDescent="0.25">
      <c r="D29" s="16">
        <f t="shared" si="5"/>
        <v>50</v>
      </c>
      <c r="E29" s="32">
        <f t="shared" si="0"/>
        <v>0.10892273964748887</v>
      </c>
      <c r="F29" s="36">
        <f t="shared" si="1"/>
        <v>0.10914998440734185</v>
      </c>
      <c r="G29" s="38">
        <f t="shared" si="2"/>
        <v>0.10933466556510411</v>
      </c>
      <c r="H29" s="40">
        <f t="shared" si="3"/>
        <v>0.10957124960185965</v>
      </c>
      <c r="J29" t="s">
        <v>20</v>
      </c>
    </row>
    <row r="30" spans="4:13" x14ac:dyDescent="0.25">
      <c r="D30" s="16">
        <f t="shared" si="5"/>
        <v>55</v>
      </c>
      <c r="E30" s="32">
        <f t="shared" si="0"/>
        <v>0.10917186874619229</v>
      </c>
      <c r="F30" s="36">
        <f t="shared" si="1"/>
        <v>0.10934107916906373</v>
      </c>
      <c r="G30" s="38">
        <f t="shared" si="2"/>
        <v>0.10947373741011482</v>
      </c>
      <c r="H30" s="40">
        <f t="shared" si="3"/>
        <v>0.10963368137051568</v>
      </c>
      <c r="J30" s="25" t="s">
        <v>13</v>
      </c>
      <c r="K30" s="25" t="s">
        <v>17</v>
      </c>
      <c r="L30" s="26" t="s">
        <v>18</v>
      </c>
      <c r="M30" s="56" t="s">
        <v>23</v>
      </c>
    </row>
    <row r="31" spans="4:13" x14ac:dyDescent="0.25">
      <c r="D31" s="16">
        <f t="shared" si="5"/>
        <v>60</v>
      </c>
      <c r="E31" s="41">
        <f t="shared" si="0"/>
        <v>0.10934319325425329</v>
      </c>
      <c r="F31" s="42">
        <f t="shared" si="1"/>
        <v>0.10946816062462227</v>
      </c>
      <c r="G31" s="43">
        <f t="shared" si="2"/>
        <v>0.10956267472964304</v>
      </c>
      <c r="H31" s="44">
        <f t="shared" si="3"/>
        <v>0.10966998854752086</v>
      </c>
      <c r="J31" s="27">
        <v>0</v>
      </c>
      <c r="K31" s="49">
        <f>G3</f>
        <v>7.5999999999999998E-2</v>
      </c>
      <c r="L31" s="38">
        <v>7.5999999999999998E-2</v>
      </c>
      <c r="M31" s="21" cm="1">
        <f t="array" ref="M31">SQRT(SUMSQ(K31:K36-L31:L36)/COUNTA(K31:K36-L31:L36))</f>
        <v>1.4520463892793083E-2</v>
      </c>
    </row>
    <row r="32" spans="4:13" x14ac:dyDescent="0.25">
      <c r="D32" s="16">
        <f>D31+5</f>
        <v>65</v>
      </c>
      <c r="E32" s="32">
        <f t="shared" si="0"/>
        <v>0.10946101203662398</v>
      </c>
      <c r="F32" s="36">
        <f t="shared" si="1"/>
        <v>0.10955267207957453</v>
      </c>
      <c r="G32" s="38">
        <f t="shared" si="2"/>
        <v>0.10961955070482161</v>
      </c>
      <c r="H32" s="40">
        <f t="shared" si="3"/>
        <v>0.10969110297580732</v>
      </c>
      <c r="J32" s="25">
        <v>10</v>
      </c>
      <c r="K32" s="49">
        <f>G13</f>
        <v>9.5929853426950706E-2</v>
      </c>
      <c r="L32" s="38">
        <v>9.0862480884593408E-2</v>
      </c>
    </row>
    <row r="33" spans="4:13" x14ac:dyDescent="0.25">
      <c r="D33" s="16">
        <f t="shared" si="5"/>
        <v>70</v>
      </c>
      <c r="E33" s="32">
        <f t="shared" si="0"/>
        <v>0.10954203526929754</v>
      </c>
      <c r="F33" s="36">
        <f t="shared" si="1"/>
        <v>0.10960887371801785</v>
      </c>
      <c r="G33" s="38">
        <f t="shared" si="2"/>
        <v>0.10965592324864992</v>
      </c>
      <c r="H33" s="40">
        <f t="shared" si="3"/>
        <v>0.10970338206547053</v>
      </c>
      <c r="J33" s="25">
        <v>30</v>
      </c>
      <c r="K33" s="49">
        <f>G25</f>
        <v>0.10741390051799407</v>
      </c>
      <c r="L33" s="38">
        <v>8.5024416000407887E-2</v>
      </c>
    </row>
    <row r="34" spans="4:13" x14ac:dyDescent="0.25">
      <c r="D34" s="16">
        <f t="shared" si="5"/>
        <v>75</v>
      </c>
      <c r="E34" s="32">
        <f t="shared" si="0"/>
        <v>0.10959775443478867</v>
      </c>
      <c r="F34" s="36">
        <f t="shared" si="1"/>
        <v>0.10964624881900856</v>
      </c>
      <c r="G34" s="38">
        <f t="shared" si="2"/>
        <v>0.10967918371918056</v>
      </c>
      <c r="H34" s="40">
        <f t="shared" si="3"/>
        <v>0.10971052296651278</v>
      </c>
      <c r="J34" s="25">
        <v>60</v>
      </c>
      <c r="K34" s="49">
        <f>G31</f>
        <v>0.10956267472964304</v>
      </c>
      <c r="L34" s="38">
        <v>0.1018424267519739</v>
      </c>
    </row>
    <row r="35" spans="4:13" x14ac:dyDescent="0.25">
      <c r="D35" s="16">
        <f t="shared" si="5"/>
        <v>80</v>
      </c>
      <c r="E35" s="32">
        <f t="shared" si="0"/>
        <v>0.10963607215306012</v>
      </c>
      <c r="F35" s="36">
        <f t="shared" si="1"/>
        <v>0.10967110393378381</v>
      </c>
      <c r="G35" s="38">
        <f t="shared" si="2"/>
        <v>0.10969405893637352</v>
      </c>
      <c r="H35" s="40">
        <f t="shared" si="3"/>
        <v>0.10971467575544856</v>
      </c>
      <c r="J35" s="25">
        <v>120</v>
      </c>
      <c r="K35" s="49">
        <f>G41</f>
        <v>0.10971970898601226</v>
      </c>
      <c r="L35" s="38">
        <v>9.0161671068370017E-2</v>
      </c>
    </row>
    <row r="36" spans="4:13" x14ac:dyDescent="0.25">
      <c r="D36" s="16">
        <f t="shared" si="5"/>
        <v>85</v>
      </c>
      <c r="E36" s="32">
        <f t="shared" si="0"/>
        <v>0.10966242300595944</v>
      </c>
      <c r="F36" s="36">
        <f t="shared" si="1"/>
        <v>0.10968763303241137</v>
      </c>
      <c r="G36" s="38">
        <f t="shared" si="2"/>
        <v>0.10970357173132092</v>
      </c>
      <c r="H36" s="40">
        <f t="shared" si="3"/>
        <v>0.10971709080865309</v>
      </c>
      <c r="J36" s="25">
        <v>240</v>
      </c>
      <c r="K36" s="49">
        <f>G53</f>
        <v>0.109720447161287</v>
      </c>
      <c r="L36" s="38">
        <v>9.2516468769631724E-2</v>
      </c>
    </row>
    <row r="37" spans="4:13" x14ac:dyDescent="0.25">
      <c r="D37" s="16">
        <f t="shared" si="5"/>
        <v>90</v>
      </c>
      <c r="E37" s="32">
        <f t="shared" si="0"/>
        <v>0.10968054432110673</v>
      </c>
      <c r="F37" s="36">
        <f t="shared" si="1"/>
        <v>0.10969862518046261</v>
      </c>
      <c r="G37" s="38">
        <f t="shared" si="2"/>
        <v>0.10970965522351718</v>
      </c>
      <c r="H37" s="40">
        <f t="shared" si="3"/>
        <v>0.10971849528214569</v>
      </c>
    </row>
    <row r="38" spans="4:13" x14ac:dyDescent="0.25">
      <c r="D38" s="16">
        <f t="shared" si="5"/>
        <v>95</v>
      </c>
      <c r="E38" s="32">
        <f t="shared" si="0"/>
        <v>0.10969300623510708</v>
      </c>
      <c r="F38" s="36">
        <f t="shared" si="1"/>
        <v>0.10970593515673553</v>
      </c>
      <c r="G38" s="38">
        <f t="shared" si="2"/>
        <v>0.10971354565503669</v>
      </c>
      <c r="H38" s="40">
        <f t="shared" si="3"/>
        <v>0.10971931205329911</v>
      </c>
      <c r="J38" t="s">
        <v>21</v>
      </c>
    </row>
    <row r="39" spans="4:13" x14ac:dyDescent="0.25">
      <c r="D39" s="16">
        <f t="shared" si="5"/>
        <v>100</v>
      </c>
      <c r="E39" s="32">
        <f t="shared" si="0"/>
        <v>0.10970157621467479</v>
      </c>
      <c r="F39" s="36">
        <f t="shared" si="1"/>
        <v>0.10971079642251011</v>
      </c>
      <c r="G39" s="38">
        <f t="shared" si="2"/>
        <v>0.10971603361046094</v>
      </c>
      <c r="H39" s="40">
        <f t="shared" si="3"/>
        <v>0.10971978704632715</v>
      </c>
      <c r="J39" s="28" t="s">
        <v>13</v>
      </c>
      <c r="K39" s="28" t="s">
        <v>17</v>
      </c>
      <c r="L39" s="29" t="s">
        <v>18</v>
      </c>
      <c r="M39" s="57" t="s">
        <v>23</v>
      </c>
    </row>
    <row r="40" spans="4:13" x14ac:dyDescent="0.25">
      <c r="D40" s="16">
        <f>D39+10</f>
        <v>110</v>
      </c>
      <c r="E40" s="32">
        <f t="shared" si="0"/>
        <v>0.10971152267257166</v>
      </c>
      <c r="F40" s="36">
        <f t="shared" si="1"/>
        <v>0.1097161791413494</v>
      </c>
      <c r="G40" s="38">
        <f t="shared" si="2"/>
        <v>0.10971864216848692</v>
      </c>
      <c r="H40" s="40">
        <f t="shared" si="3"/>
        <v>0.10972022392105871</v>
      </c>
      <c r="J40" s="30">
        <v>0</v>
      </c>
      <c r="K40" s="50">
        <f>F3</f>
        <v>7.5999999999999998E-2</v>
      </c>
      <c r="L40" s="36">
        <v>7.5999999999999998E-2</v>
      </c>
      <c r="M40" s="21" cm="1">
        <f t="array" ref="M40">SQRT(SUMSQ(K40:K45-L40:L45)/COUNTA(K40:K45-L40:L45))</f>
        <v>1.2731809278082363E-2</v>
      </c>
    </row>
    <row r="41" spans="4:13" x14ac:dyDescent="0.25">
      <c r="D41" s="16">
        <f t="shared" ref="D41:D62" si="6">D40+10</f>
        <v>120</v>
      </c>
      <c r="E41" s="41">
        <f t="shared" si="0"/>
        <v>0.10971622657735199</v>
      </c>
      <c r="F41" s="42">
        <f t="shared" si="1"/>
        <v>0.10971855964302621</v>
      </c>
      <c r="G41" s="43">
        <f t="shared" si="2"/>
        <v>0.10971970898601226</v>
      </c>
      <c r="H41" s="44">
        <f t="shared" si="3"/>
        <v>0.1097203716721218</v>
      </c>
      <c r="J41" s="28">
        <v>10</v>
      </c>
      <c r="K41" s="50">
        <f>F13</f>
        <v>9.4807615308434748E-2</v>
      </c>
      <c r="L41" s="36">
        <v>0.10069087208399324</v>
      </c>
    </row>
    <row r="42" spans="4:13" x14ac:dyDescent="0.25">
      <c r="D42" s="16">
        <f t="shared" si="6"/>
        <v>130</v>
      </c>
      <c r="E42" s="32">
        <f t="shared" si="0"/>
        <v>0.10971845116025496</v>
      </c>
      <c r="F42" s="36">
        <f t="shared" si="1"/>
        <v>0.10971961241735874</v>
      </c>
      <c r="G42" s="38">
        <f t="shared" si="2"/>
        <v>0.10972014528055546</v>
      </c>
      <c r="H42" s="40">
        <f t="shared" si="3"/>
        <v>0.10972042164154111</v>
      </c>
      <c r="J42" s="28">
        <v>30</v>
      </c>
      <c r="K42" s="50">
        <f>F25</f>
        <v>0.10680373406537885</v>
      </c>
      <c r="L42" s="36">
        <v>0.10972044717744713</v>
      </c>
    </row>
    <row r="43" spans="4:13" x14ac:dyDescent="0.25">
      <c r="D43" s="16">
        <f t="shared" si="6"/>
        <v>140</v>
      </c>
      <c r="E43" s="32">
        <f t="shared" si="0"/>
        <v>0.10971950321579674</v>
      </c>
      <c r="F43" s="36">
        <f t="shared" si="1"/>
        <v>0.10972007800568663</v>
      </c>
      <c r="G43" s="38">
        <f t="shared" si="2"/>
        <v>0.10972032371119042</v>
      </c>
      <c r="H43" s="40">
        <f t="shared" si="3"/>
        <v>0.10972043854120202</v>
      </c>
      <c r="J43" s="28">
        <v>60</v>
      </c>
      <c r="K43" s="50">
        <f>F31</f>
        <v>0.10946816062462227</v>
      </c>
      <c r="L43" s="36">
        <v>0.10050961300625309</v>
      </c>
    </row>
    <row r="44" spans="4:13" x14ac:dyDescent="0.25">
      <c r="D44" s="16">
        <f t="shared" si="6"/>
        <v>150</v>
      </c>
      <c r="E44" s="32">
        <f t="shared" si="0"/>
        <v>0.10972000075664429</v>
      </c>
      <c r="F44" s="36">
        <f t="shared" si="1"/>
        <v>0.10972028391162902</v>
      </c>
      <c r="G44" s="38">
        <f t="shared" si="2"/>
        <v>0.10972039668366278</v>
      </c>
      <c r="H44" s="40">
        <f t="shared" si="3"/>
        <v>0.10972044425666846</v>
      </c>
      <c r="J44" s="28">
        <v>120</v>
      </c>
      <c r="K44" s="50">
        <f>F41</f>
        <v>0.10971855964302621</v>
      </c>
      <c r="L44" s="36">
        <v>8.788893040268185E-2</v>
      </c>
    </row>
    <row r="45" spans="4:13" x14ac:dyDescent="0.25">
      <c r="D45" s="16">
        <f t="shared" si="6"/>
        <v>160</v>
      </c>
      <c r="E45" s="32">
        <f t="shared" si="0"/>
        <v>0.10972023605495806</v>
      </c>
      <c r="F45" s="36">
        <f t="shared" si="1"/>
        <v>0.10972037497331287</v>
      </c>
      <c r="G45" s="38">
        <f t="shared" si="2"/>
        <v>0.10972042652709028</v>
      </c>
      <c r="H45" s="40">
        <f t="shared" si="3"/>
        <v>0.10972044618963958</v>
      </c>
      <c r="J45" s="28">
        <v>240</v>
      </c>
      <c r="K45" s="50">
        <f>F53</f>
        <v>0.10972044707179057</v>
      </c>
      <c r="L45" s="36">
        <v>9.0415380610003052E-2</v>
      </c>
    </row>
    <row r="46" spans="4:13" x14ac:dyDescent="0.25">
      <c r="D46" s="16">
        <f t="shared" si="6"/>
        <v>170</v>
      </c>
      <c r="E46" s="32">
        <f t="shared" si="0"/>
        <v>0.1097203473328496</v>
      </c>
      <c r="F46" s="36">
        <f t="shared" si="1"/>
        <v>0.10972041524524562</v>
      </c>
      <c r="G46" s="38">
        <f t="shared" si="2"/>
        <v>0.10972043873210592</v>
      </c>
      <c r="H46" s="40">
        <f t="shared" si="3"/>
        <v>0.10972044684337055</v>
      </c>
    </row>
    <row r="47" spans="4:13" x14ac:dyDescent="0.25">
      <c r="D47" s="16">
        <f t="shared" si="6"/>
        <v>180</v>
      </c>
      <c r="E47" s="32">
        <f t="shared" si="0"/>
        <v>0.10972039995867995</v>
      </c>
      <c r="F47" s="36">
        <f t="shared" si="1"/>
        <v>0.109720433055465</v>
      </c>
      <c r="G47" s="38">
        <f t="shared" si="2"/>
        <v>0.10972044372357034</v>
      </c>
      <c r="H47" s="40">
        <f t="shared" si="3"/>
        <v>0.10972044706446241</v>
      </c>
      <c r="J47" t="s">
        <v>22</v>
      </c>
    </row>
    <row r="48" spans="4:13" x14ac:dyDescent="0.25">
      <c r="D48" s="16">
        <f t="shared" si="6"/>
        <v>190</v>
      </c>
      <c r="E48" s="32">
        <f t="shared" si="0"/>
        <v>0.10972042484662474</v>
      </c>
      <c r="F48" s="36">
        <f t="shared" si="1"/>
        <v>0.10972044093201556</v>
      </c>
      <c r="G48" s="38">
        <f t="shared" si="2"/>
        <v>0.10972044576492103</v>
      </c>
      <c r="H48" s="40">
        <f t="shared" si="3"/>
        <v>0.10972044713923569</v>
      </c>
      <c r="J48" s="31" t="s">
        <v>13</v>
      </c>
      <c r="K48" s="31" t="s">
        <v>17</v>
      </c>
      <c r="L48" s="32" t="s">
        <v>18</v>
      </c>
      <c r="M48" s="52" t="s">
        <v>23</v>
      </c>
    </row>
    <row r="49" spans="4:13" x14ac:dyDescent="0.25">
      <c r="D49" s="16">
        <f t="shared" si="6"/>
        <v>200</v>
      </c>
      <c r="E49" s="32">
        <f t="shared" si="0"/>
        <v>0.10972043661669643</v>
      </c>
      <c r="F49" s="36">
        <f t="shared" si="1"/>
        <v>0.10972044441541166</v>
      </c>
      <c r="G49" s="38">
        <f t="shared" si="2"/>
        <v>0.10972044659976873</v>
      </c>
      <c r="H49" s="40">
        <f t="shared" si="3"/>
        <v>0.10972044716452402</v>
      </c>
      <c r="J49" s="33">
        <v>0</v>
      </c>
      <c r="K49" s="51">
        <f>E3</f>
        <v>7.5999999999999998E-2</v>
      </c>
      <c r="L49" s="48">
        <v>7.5999999999999998E-2</v>
      </c>
      <c r="M49" s="21" cm="1">
        <f t="array" ref="M49">SQRT(SUMSQ(K49:K54-L49:L54)/COUNTA(K49:K54-L49:L54))</f>
        <v>1.5348648245770188E-2</v>
      </c>
    </row>
    <row r="50" spans="4:13" x14ac:dyDescent="0.25">
      <c r="D50" s="16">
        <f t="shared" si="6"/>
        <v>210</v>
      </c>
      <c r="E50" s="32">
        <f t="shared" si="0"/>
        <v>0.1097204421830294</v>
      </c>
      <c r="F50" s="36">
        <f t="shared" si="1"/>
        <v>0.10972044595593988</v>
      </c>
      <c r="G50" s="38">
        <f t="shared" si="2"/>
        <v>0.10972044694119498</v>
      </c>
      <c r="H50" s="40">
        <f t="shared" si="3"/>
        <v>0.10972044717307652</v>
      </c>
      <c r="J50" s="31">
        <v>10</v>
      </c>
      <c r="K50" s="51">
        <f>E13</f>
        <v>9.3773285452387056E-2</v>
      </c>
      <c r="L50" s="48">
        <v>8.7604318893872962E-2</v>
      </c>
    </row>
    <row r="51" spans="4:13" x14ac:dyDescent="0.25">
      <c r="D51" s="16">
        <f t="shared" si="6"/>
        <v>220</v>
      </c>
      <c r="E51" s="32">
        <f t="shared" si="0"/>
        <v>0.10972044481547408</v>
      </c>
      <c r="F51" s="36">
        <f t="shared" si="1"/>
        <v>0.10972044663723685</v>
      </c>
      <c r="G51" s="38">
        <f t="shared" si="2"/>
        <v>0.10972044708082748</v>
      </c>
      <c r="H51" s="40">
        <f t="shared" si="3"/>
        <v>0.10972044717596899</v>
      </c>
      <c r="J51" s="31">
        <v>30</v>
      </c>
      <c r="K51" s="51">
        <f>E25</f>
        <v>0.10615377211661771</v>
      </c>
      <c r="L51" s="48">
        <v>8.82413343442877E-2</v>
      </c>
    </row>
    <row r="52" spans="4:13" x14ac:dyDescent="0.25">
      <c r="D52" s="16">
        <f t="shared" si="6"/>
        <v>230</v>
      </c>
      <c r="E52" s="32">
        <f t="shared" si="0"/>
        <v>0.10972044606041668</v>
      </c>
      <c r="F52" s="36">
        <f t="shared" si="1"/>
        <v>0.1097204469385397</v>
      </c>
      <c r="G52" s="38">
        <f t="shared" si="2"/>
        <v>0.10972044713793276</v>
      </c>
      <c r="H52" s="40">
        <f t="shared" si="3"/>
        <v>0.10972044717694722</v>
      </c>
      <c r="J52" s="31">
        <v>60</v>
      </c>
      <c r="K52" s="51">
        <f>E31</f>
        <v>0.10934319325425329</v>
      </c>
      <c r="L52" s="48">
        <v>9.5909343224736487E-2</v>
      </c>
    </row>
    <row r="53" spans="4:13" x14ac:dyDescent="0.25">
      <c r="D53" s="16">
        <f t="shared" si="6"/>
        <v>240</v>
      </c>
      <c r="E53" s="41">
        <f t="shared" si="0"/>
        <v>0.10972044664917818</v>
      </c>
      <c r="F53" s="42">
        <f t="shared" si="1"/>
        <v>0.10972044707179057</v>
      </c>
      <c r="G53" s="43">
        <f t="shared" si="2"/>
        <v>0.109720447161287</v>
      </c>
      <c r="H53" s="44">
        <f t="shared" si="3"/>
        <v>0.10972044717727805</v>
      </c>
      <c r="J53" s="31">
        <v>120</v>
      </c>
      <c r="K53" s="51">
        <f>E41</f>
        <v>0.10971622657735199</v>
      </c>
      <c r="L53" s="48">
        <v>9.6747384868129102E-2</v>
      </c>
    </row>
    <row r="54" spans="4:13" x14ac:dyDescent="0.25">
      <c r="D54" s="16">
        <f t="shared" si="6"/>
        <v>250</v>
      </c>
      <c r="E54" s="32">
        <f t="shared" si="0"/>
        <v>0.1097204469276168</v>
      </c>
      <c r="F54" s="36">
        <f t="shared" si="1"/>
        <v>0.10972044713072063</v>
      </c>
      <c r="G54" s="38">
        <f t="shared" si="2"/>
        <v>0.10972044717083815</v>
      </c>
      <c r="H54" s="40">
        <f t="shared" si="3"/>
        <v>0.10972044717738995</v>
      </c>
      <c r="J54" s="31">
        <v>240</v>
      </c>
      <c r="K54" s="51">
        <f>E53</f>
        <v>0.10972044664917818</v>
      </c>
      <c r="L54" s="48">
        <v>8.315138079069874E-2</v>
      </c>
    </row>
    <row r="55" spans="4:13" x14ac:dyDescent="0.25">
      <c r="D55" s="16">
        <f t="shared" si="6"/>
        <v>260</v>
      </c>
      <c r="E55" s="32">
        <f t="shared" si="0"/>
        <v>0.10972044705929672</v>
      </c>
      <c r="F55" s="36">
        <f t="shared" si="1"/>
        <v>0.10972044715678238</v>
      </c>
      <c r="G55" s="38">
        <f t="shared" si="2"/>
        <v>0.10972044717474426</v>
      </c>
      <c r="H55" s="40">
        <f t="shared" si="3"/>
        <v>0.10972044717742779</v>
      </c>
      <c r="L55" s="8"/>
    </row>
    <row r="56" spans="4:13" x14ac:dyDescent="0.25">
      <c r="D56" s="16">
        <f t="shared" si="6"/>
        <v>270</v>
      </c>
      <c r="E56" s="32">
        <f t="shared" si="0"/>
        <v>0.10972044712157113</v>
      </c>
      <c r="F56" s="36">
        <f t="shared" si="1"/>
        <v>0.10972044716830816</v>
      </c>
      <c r="G56" s="38">
        <f t="shared" si="2"/>
        <v>0.10972044717634175</v>
      </c>
      <c r="H56" s="40">
        <f t="shared" si="3"/>
        <v>0.10972044717744059</v>
      </c>
      <c r="J56" s="53">
        <v>0</v>
      </c>
      <c r="K56" s="54">
        <v>0</v>
      </c>
    </row>
    <row r="57" spans="4:13" x14ac:dyDescent="0.25">
      <c r="D57" s="16">
        <f t="shared" si="6"/>
        <v>280</v>
      </c>
      <c r="E57" s="32">
        <f t="shared" si="0"/>
        <v>0.1097204471510221</v>
      </c>
      <c r="F57" s="36">
        <f t="shared" si="1"/>
        <v>0.10972044717340543</v>
      </c>
      <c r="G57" s="38">
        <f t="shared" si="2"/>
        <v>0.10972044717699506</v>
      </c>
      <c r="H57" s="40">
        <f t="shared" si="3"/>
        <v>0.10972044717744492</v>
      </c>
      <c r="J57" s="53">
        <v>0.2</v>
      </c>
      <c r="K57" s="54">
        <v>0.2</v>
      </c>
    </row>
    <row r="58" spans="4:13" x14ac:dyDescent="0.25">
      <c r="D58" s="16">
        <f t="shared" si="6"/>
        <v>290</v>
      </c>
      <c r="E58" s="32">
        <f t="shared" si="0"/>
        <v>0.10972044716495014</v>
      </c>
      <c r="F58" s="36">
        <f t="shared" si="1"/>
        <v>0.10972044717565969</v>
      </c>
      <c r="G58" s="38">
        <f t="shared" si="2"/>
        <v>0.10972044717726225</v>
      </c>
      <c r="H58" s="40">
        <f t="shared" si="3"/>
        <v>0.10972044717744638</v>
      </c>
    </row>
    <row r="59" spans="4:13" x14ac:dyDescent="0.25">
      <c r="D59" s="16">
        <f t="shared" si="6"/>
        <v>300</v>
      </c>
      <c r="E59" s="32">
        <f t="shared" si="0"/>
        <v>0.10972044717153702</v>
      </c>
      <c r="F59" s="36">
        <f t="shared" si="1"/>
        <v>0.10972044717665663</v>
      </c>
      <c r="G59" s="38">
        <f t="shared" si="2"/>
        <v>0.10972044717737152</v>
      </c>
      <c r="H59" s="40">
        <f t="shared" si="3"/>
        <v>0.10972044717744688</v>
      </c>
    </row>
  </sheetData>
  <mergeCells count="1">
    <mergeCell ref="E1:H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using SEG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Bernal Vallejos, Sebastian (bern9483@vandals.uidaho.edu)</dc:creator>
  <cp:lastModifiedBy>Hucke Nunez, Nicole (huck4481@vandals.uidaho.edu)</cp:lastModifiedBy>
  <dcterms:created xsi:type="dcterms:W3CDTF">2025-12-10T22:56:15Z</dcterms:created>
  <dcterms:modified xsi:type="dcterms:W3CDTF">2025-12-18T23:18:27Z</dcterms:modified>
</cp:coreProperties>
</file>